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456704EB-4A0B-45D0-B3C2-437A1AA2104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Мелитополь" sheetId="1" r:id="rId1"/>
  </sheets>
  <definedNames>
    <definedName name="_xlnm._FilterDatabase" localSheetId="0" hidden="1">Мелитополь!$A$1:$JI$200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17" i="1" l="1"/>
  <c r="S109" i="1"/>
  <c r="S46" i="1"/>
  <c r="S28" i="1"/>
  <c r="S24" i="1"/>
  <c r="R36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200" i="1"/>
  <c r="R3" i="1"/>
  <c r="Y195" i="1"/>
  <c r="Y184" i="1"/>
  <c r="Y174" i="1"/>
  <c r="Y167" i="1"/>
  <c r="Y129" i="1"/>
  <c r="Y119" i="1"/>
  <c r="Y109" i="1"/>
  <c r="Y107" i="1"/>
  <c r="Y46" i="1"/>
  <c r="Y29" i="1"/>
  <c r="Y28" i="1"/>
  <c r="Y13" i="1"/>
  <c r="X36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200" i="1"/>
  <c r="X3" i="1"/>
  <c r="AE184" i="1"/>
  <c r="AE174" i="1"/>
  <c r="AE117" i="1"/>
  <c r="AE29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3" i="1"/>
  <c r="AK190" i="1"/>
  <c r="AK184" i="1"/>
  <c r="AK167" i="1"/>
  <c r="AK129" i="1"/>
  <c r="AK109" i="1"/>
  <c r="AK107" i="1"/>
  <c r="AK65" i="1"/>
  <c r="AK36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3" i="1"/>
  <c r="RG2" i="1" l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Y2" i="1"/>
  <c r="X2" i="1"/>
  <c r="W2" i="1"/>
  <c r="U2" i="1"/>
  <c r="S2" i="1"/>
  <c r="R2" i="1"/>
  <c r="Q2" i="1"/>
  <c r="O2" i="1"/>
  <c r="M2" i="1"/>
  <c r="L2" i="1"/>
  <c r="K2" i="1"/>
  <c r="I2" i="1"/>
  <c r="H2" i="1"/>
  <c r="G2" i="1"/>
  <c r="F2" i="1"/>
  <c r="E2" i="1"/>
  <c r="D2" i="1"/>
  <c r="C2" i="1"/>
  <c r="Z2" i="1"/>
  <c r="V2" i="1"/>
  <c r="T2" i="1"/>
  <c r="N2" i="1"/>
  <c r="P2" i="1"/>
  <c r="J2" i="1"/>
</calcChain>
</file>

<file path=xl/sharedStrings.xml><?xml version="1.0" encoding="utf-8"?>
<sst xmlns="http://schemas.openxmlformats.org/spreadsheetml/2006/main" count="673" uniqueCount="490">
  <si>
    <t>Номенклатура</t>
  </si>
  <si>
    <t>кооф</t>
  </si>
  <si>
    <t>06,11,пр</t>
  </si>
  <si>
    <t>03,11,пр</t>
  </si>
  <si>
    <t>30,10,пр</t>
  </si>
  <si>
    <t>27,10,пр</t>
  </si>
  <si>
    <t>23,10,пр</t>
  </si>
  <si>
    <t>20,10,пр</t>
  </si>
  <si>
    <t>разн.шт.</t>
  </si>
  <si>
    <t>недогруз вес</t>
  </si>
  <si>
    <t>10,11,</t>
  </si>
  <si>
    <t>08,11,</t>
  </si>
  <si>
    <t>03,11,</t>
  </si>
  <si>
    <t>01,11,</t>
  </si>
  <si>
    <t>27,10,</t>
  </si>
  <si>
    <t>25,10,</t>
  </si>
  <si>
    <t>20,10,</t>
  </si>
  <si>
    <t>18,10,</t>
  </si>
  <si>
    <t>13,10,</t>
  </si>
  <si>
    <t>16,10,пр</t>
  </si>
  <si>
    <t>11,10,</t>
  </si>
  <si>
    <t>14,10,пр</t>
  </si>
  <si>
    <t>06,10,</t>
  </si>
  <si>
    <t>09,10,пр</t>
  </si>
  <si>
    <t>04,10,</t>
  </si>
  <si>
    <t>06,10,пр</t>
  </si>
  <si>
    <t>29,09,</t>
  </si>
  <si>
    <t>02,10,пр</t>
  </si>
  <si>
    <t>27,09,</t>
  </si>
  <si>
    <t>29,09,пр</t>
  </si>
  <si>
    <t>22,09,</t>
  </si>
  <si>
    <t>25,09,пр</t>
  </si>
  <si>
    <t>20,09,</t>
  </si>
  <si>
    <t>22,09,пр</t>
  </si>
  <si>
    <t>16,09(2),пр</t>
  </si>
  <si>
    <t>15,09,</t>
  </si>
  <si>
    <t>16,09,пр</t>
  </si>
  <si>
    <t>13,09,</t>
  </si>
  <si>
    <t>17,09,пр</t>
  </si>
  <si>
    <t>08,09,</t>
  </si>
  <si>
    <t>12,09,пр</t>
  </si>
  <si>
    <t>06,09,</t>
  </si>
  <si>
    <t>08,09,пр</t>
  </si>
  <si>
    <t>01,09,</t>
  </si>
  <si>
    <t>04,09,пр</t>
  </si>
  <si>
    <t>30,08,</t>
  </si>
  <si>
    <t>29,08(2),пр</t>
  </si>
  <si>
    <t>25,08,</t>
  </si>
  <si>
    <t>29,08,пр</t>
  </si>
  <si>
    <t>23,08,</t>
  </si>
  <si>
    <t>22,08,пр</t>
  </si>
  <si>
    <t>16,08,</t>
  </si>
  <si>
    <t>18,08,пр</t>
  </si>
  <si>
    <t>11,08,</t>
  </si>
  <si>
    <t>15,08,пр</t>
  </si>
  <si>
    <t>09,08,</t>
  </si>
  <si>
    <t>10,08,пр</t>
  </si>
  <si>
    <t>04,08,</t>
  </si>
  <si>
    <t>08,08,пр</t>
  </si>
  <si>
    <t>02,08,</t>
  </si>
  <si>
    <t>04,08,пр</t>
  </si>
  <si>
    <t>28,07,</t>
  </si>
  <si>
    <t>01,08,пр</t>
  </si>
  <si>
    <t>26,07,</t>
  </si>
  <si>
    <t>28,07,пр</t>
  </si>
  <si>
    <t>21,07,</t>
  </si>
  <si>
    <t>25,07,пр</t>
  </si>
  <si>
    <t>19,07,</t>
  </si>
  <si>
    <t>22,07,пр</t>
  </si>
  <si>
    <t>14,07,</t>
  </si>
  <si>
    <t>18,07,пр</t>
  </si>
  <si>
    <t>12,07,</t>
  </si>
  <si>
    <t>14,07(2),пр</t>
  </si>
  <si>
    <t>07,07,</t>
  </si>
  <si>
    <t>11,07,пр</t>
  </si>
  <si>
    <t>05,07,(2)</t>
  </si>
  <si>
    <t>14,07,пр</t>
  </si>
  <si>
    <t>05,07,(1)</t>
  </si>
  <si>
    <t>07,07,пр</t>
  </si>
  <si>
    <t>30,06,</t>
  </si>
  <si>
    <t>04,07,пр</t>
  </si>
  <si>
    <t>28,06,</t>
  </si>
  <si>
    <t>03,07,пр</t>
  </si>
  <si>
    <t>23,06,</t>
  </si>
  <si>
    <t>25,06,пр</t>
  </si>
  <si>
    <t>21,06,(2)</t>
  </si>
  <si>
    <t>27,06,пр</t>
  </si>
  <si>
    <t>21,06,(1)</t>
  </si>
  <si>
    <t>23,06,пр</t>
  </si>
  <si>
    <t>16,06,</t>
  </si>
  <si>
    <t>20,06,пр</t>
  </si>
  <si>
    <t>14,06,</t>
  </si>
  <si>
    <t>16,06,пр</t>
  </si>
  <si>
    <t>09,06,</t>
  </si>
  <si>
    <t>12,06,пр</t>
  </si>
  <si>
    <t>07,06,</t>
  </si>
  <si>
    <t>10,06,пр</t>
  </si>
  <si>
    <t>02,06,</t>
  </si>
  <si>
    <t>06,06,пр</t>
  </si>
  <si>
    <t>31,05,</t>
  </si>
  <si>
    <t>02,06,пр</t>
  </si>
  <si>
    <t>26,05,(2)</t>
  </si>
  <si>
    <t>29,05,пр</t>
  </si>
  <si>
    <t>26,05,(1)</t>
  </si>
  <si>
    <t>30,05,пр</t>
  </si>
  <si>
    <t>24,05,</t>
  </si>
  <si>
    <t>23,05,пр</t>
  </si>
  <si>
    <t>19,05,</t>
  </si>
  <si>
    <t>22,05,пр</t>
  </si>
  <si>
    <t>17,05,</t>
  </si>
  <si>
    <t>19,05,пр</t>
  </si>
  <si>
    <t>12,05,</t>
  </si>
  <si>
    <t>15,05,пр</t>
  </si>
  <si>
    <t>10,05,</t>
  </si>
  <si>
    <t>07,05,пр</t>
  </si>
  <si>
    <t>03,05,</t>
  </si>
  <si>
    <t>02,05,(2),пр</t>
  </si>
  <si>
    <t>28,04,</t>
  </si>
  <si>
    <t>02,05,пр</t>
  </si>
  <si>
    <t>26,04,</t>
  </si>
  <si>
    <t>29,04,пр</t>
  </si>
  <si>
    <t>21,04,(2)</t>
  </si>
  <si>
    <t>25,04,пр</t>
  </si>
  <si>
    <t>21,04,(1)</t>
  </si>
  <si>
    <t>24,04,пр</t>
  </si>
  <si>
    <t>19,04,</t>
  </si>
  <si>
    <t>17,04,пр</t>
  </si>
  <si>
    <t>14,04,</t>
  </si>
  <si>
    <t>15,04,пр</t>
  </si>
  <si>
    <t>12,04,</t>
  </si>
  <si>
    <t>14,04,пр</t>
  </si>
  <si>
    <t>07,04,</t>
  </si>
  <si>
    <t>10,04,пр</t>
  </si>
  <si>
    <t>05,04,</t>
  </si>
  <si>
    <t>07,04,пр</t>
  </si>
  <si>
    <t>31,03,</t>
  </si>
  <si>
    <t>02,04,пр</t>
  </si>
  <si>
    <t>29,03,</t>
  </si>
  <si>
    <t>27,03,пр</t>
  </si>
  <si>
    <t>23,03,</t>
  </si>
  <si>
    <t>24,03,пр</t>
  </si>
  <si>
    <t>17,03,</t>
  </si>
  <si>
    <t>18,03,пр</t>
  </si>
  <si>
    <t>10,03,</t>
  </si>
  <si>
    <t>12,03,пр</t>
  </si>
  <si>
    <t>08,03,</t>
  </si>
  <si>
    <t>10,03,пр</t>
  </si>
  <si>
    <t>03,03,</t>
  </si>
  <si>
    <t>04,03,пр</t>
  </si>
  <si>
    <t>01,03,</t>
  </si>
  <si>
    <t>03,03(2),пр</t>
  </si>
  <si>
    <t>03,03,пр</t>
  </si>
  <si>
    <t>24,02,</t>
  </si>
  <si>
    <t>25,02,пр</t>
  </si>
  <si>
    <t>22,02,</t>
  </si>
  <si>
    <t>21,02,пр</t>
  </si>
  <si>
    <t>17,02,</t>
  </si>
  <si>
    <t>19,02,пр</t>
  </si>
  <si>
    <t>15,02,</t>
  </si>
  <si>
    <t>13,02,пр</t>
  </si>
  <si>
    <t>10,02,</t>
  </si>
  <si>
    <t>12,02,пр</t>
  </si>
  <si>
    <t>08,02,</t>
  </si>
  <si>
    <t>07,02,пр</t>
  </si>
  <si>
    <t>03,02,</t>
  </si>
  <si>
    <t>06,02,пр</t>
  </si>
  <si>
    <t>01,02,</t>
  </si>
  <si>
    <t>30,01,пр</t>
  </si>
  <si>
    <t>27,01,</t>
  </si>
  <si>
    <t>28,01,пр</t>
  </si>
  <si>
    <t>25,01,</t>
  </si>
  <si>
    <t>24,01,пр</t>
  </si>
  <si>
    <t>20,01,</t>
  </si>
  <si>
    <t>22,01,пр</t>
  </si>
  <si>
    <t>18,01,</t>
  </si>
  <si>
    <t>16,01,пр</t>
  </si>
  <si>
    <t>11,01,</t>
  </si>
  <si>
    <t>13,01,пр</t>
  </si>
  <si>
    <t>06,01,</t>
  </si>
  <si>
    <t>08,01,пр</t>
  </si>
  <si>
    <t>04,01,</t>
  </si>
  <si>
    <t>06,01,пр</t>
  </si>
  <si>
    <t>30,12,</t>
  </si>
  <si>
    <t>27,12,пр</t>
  </si>
  <si>
    <t>23,12,</t>
  </si>
  <si>
    <t>25,12,пр</t>
  </si>
  <si>
    <t>21,12,</t>
  </si>
  <si>
    <t>23,12,пр</t>
  </si>
  <si>
    <t>16,12,</t>
  </si>
  <si>
    <t>18,12,пр</t>
  </si>
  <si>
    <t>14,12,</t>
  </si>
  <si>
    <t>16,12,пр</t>
  </si>
  <si>
    <t>09,12,</t>
  </si>
  <si>
    <t>10,12,пр</t>
  </si>
  <si>
    <t>07,12,</t>
  </si>
  <si>
    <t>08,12,пр</t>
  </si>
  <si>
    <t>02,12,</t>
  </si>
  <si>
    <t>05,12,пр</t>
  </si>
  <si>
    <t>30,11,</t>
  </si>
  <si>
    <t>02,12,пр</t>
  </si>
  <si>
    <t>25,11,(2)</t>
  </si>
  <si>
    <t>25,11,(1)</t>
  </si>
  <si>
    <t>28,11,пр</t>
  </si>
  <si>
    <t>23,11,</t>
  </si>
  <si>
    <t>24,11,пр</t>
  </si>
  <si>
    <t>18,11,</t>
  </si>
  <si>
    <t>19,11,пр</t>
  </si>
  <si>
    <t>16,11,</t>
  </si>
  <si>
    <t>14,11,пр</t>
  </si>
  <si>
    <t>11,11,</t>
  </si>
  <si>
    <t>15,11,пр</t>
  </si>
  <si>
    <t>09,11,</t>
  </si>
  <si>
    <t>12,11,</t>
  </si>
  <si>
    <t>02,11,</t>
  </si>
  <si>
    <t>04,11,пр</t>
  </si>
  <si>
    <t>28,10,</t>
  </si>
  <si>
    <t>31,10,пр</t>
  </si>
  <si>
    <t>26,10,</t>
  </si>
  <si>
    <t>26,10,пр</t>
  </si>
  <si>
    <t>21,10,</t>
  </si>
  <si>
    <t>25,10,пр</t>
  </si>
  <si>
    <t>19,10,</t>
  </si>
  <si>
    <t>18,10,пр</t>
  </si>
  <si>
    <t>12,10,</t>
  </si>
  <si>
    <t>07,10,</t>
  </si>
  <si>
    <t>10,10,пр</t>
  </si>
  <si>
    <t>05,10,</t>
  </si>
  <si>
    <t>01,10,пр</t>
  </si>
  <si>
    <t>28,09,</t>
  </si>
  <si>
    <t>27,09,пр</t>
  </si>
  <si>
    <t>23,09,</t>
  </si>
  <si>
    <t>26,09,пр</t>
  </si>
  <si>
    <t>21,09,</t>
  </si>
  <si>
    <t>18,09,пр</t>
  </si>
  <si>
    <t>14,09,(2)</t>
  </si>
  <si>
    <t>14,09,(1)</t>
  </si>
  <si>
    <t>09,09,</t>
  </si>
  <si>
    <t>11,09,</t>
  </si>
  <si>
    <t>07,09,</t>
  </si>
  <si>
    <t>09,09,пр</t>
  </si>
  <si>
    <t>02,09,</t>
  </si>
  <si>
    <t>31,08,</t>
  </si>
  <si>
    <t>31,08,пр</t>
  </si>
  <si>
    <t>25,08,д</t>
  </si>
  <si>
    <t>28,08,пр</t>
  </si>
  <si>
    <t>24,08,</t>
  </si>
  <si>
    <t>23,08,пр</t>
  </si>
  <si>
    <t>17,08,(2)</t>
  </si>
  <si>
    <t>21,08,пр</t>
  </si>
  <si>
    <t>17,08,(1)</t>
  </si>
  <si>
    <t>14,08,пр</t>
  </si>
  <si>
    <t>10,08,(2)</t>
  </si>
  <si>
    <t>10,08,(1)</t>
  </si>
  <si>
    <t>03,08,</t>
  </si>
  <si>
    <t>31,07,пр</t>
  </si>
  <si>
    <t>29,07,</t>
  </si>
  <si>
    <t>27,07,</t>
  </si>
  <si>
    <t>30,07,пр</t>
  </si>
  <si>
    <t>20,07,</t>
  </si>
  <si>
    <t>23,07,пр</t>
  </si>
  <si>
    <t>13,07,</t>
  </si>
  <si>
    <t>08,07,</t>
  </si>
  <si>
    <t>15,07,пр</t>
  </si>
  <si>
    <t>06,07,</t>
  </si>
  <si>
    <t>29,06,(2)</t>
  </si>
  <si>
    <t>29,06,(1)</t>
  </si>
  <si>
    <t>28,06,пр</t>
  </si>
  <si>
    <t>22,06,(2)</t>
  </si>
  <si>
    <t>22,06,(1)</t>
  </si>
  <si>
    <t>24,06,пр</t>
  </si>
  <si>
    <t>19,06,пр</t>
  </si>
  <si>
    <t>15,06,</t>
  </si>
  <si>
    <t>13,06,пр</t>
  </si>
  <si>
    <t>08,06,(1)</t>
  </si>
  <si>
    <t>17,06,пр</t>
  </si>
  <si>
    <t>08,06,(2)</t>
  </si>
  <si>
    <t>01,06,</t>
  </si>
  <si>
    <t>25,05,(1)</t>
  </si>
  <si>
    <t>25,05,(2)</t>
  </si>
  <si>
    <t>21,05,пр</t>
  </si>
  <si>
    <t>18,05,(1)</t>
  </si>
  <si>
    <t>18,05,(2)</t>
  </si>
  <si>
    <t>14,05,пр</t>
  </si>
  <si>
    <t>11,05,(1)</t>
  </si>
  <si>
    <t>16,05,пр</t>
  </si>
  <si>
    <t>11,05,(2)</t>
  </si>
  <si>
    <t>09,05,пр(2)</t>
  </si>
  <si>
    <t>04,05,(1)</t>
  </si>
  <si>
    <t>09,05,пр(1)</t>
  </si>
  <si>
    <t>04,05,(2)</t>
  </si>
  <si>
    <t>30,04,пр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</si>
  <si>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</si>
  <si>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</si>
  <si>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</si>
  <si>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</si>
  <si>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</si>
  <si>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</si>
  <si>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</si>
  <si>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</si>
  <si>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</si>
  <si>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</si>
  <si>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</si>
  <si>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</si>
  <si>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</si>
  <si>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</si>
  <si>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</si>
  <si>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</si>
  <si>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</si>
  <si>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</si>
  <si>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</si>
  <si>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</si>
  <si>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</si>
  <si>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</si>
  <si>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</si>
  <si>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</si>
  <si>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</si>
  <si>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</si>
  <si>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</si>
  <si>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</si>
  <si>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</si>
  <si>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</si>
  <si>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</si>
  <si>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</si>
  <si>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</si>
  <si>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</si>
  <si>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</si>
  <si>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</si>
  <si>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</si>
  <si>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</si>
  <si>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</si>
  <si>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</si>
  <si>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</si>
  <si>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</si>
  <si>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</si>
  <si>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</si>
  <si>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</si>
  <si>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</si>
  <si>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</si>
  <si>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</si>
  <si>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</si>
  <si>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</si>
  <si>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</si>
  <si>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</si>
  <si>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</si>
  <si>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</si>
  <si>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</si>
  <si>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</si>
  <si>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</si>
  <si>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</si>
  <si>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</si>
  <si>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</si>
  <si>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</si>
  <si>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</si>
  <si>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</si>
  <si>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</si>
  <si>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</si>
  <si>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</si>
  <si>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</si>
  <si>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</si>
  <si>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</si>
  <si>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</si>
  <si>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</si>
  <si>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</si>
  <si>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</si>
  <si>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</si>
  <si>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</si>
  <si>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</si>
  <si>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</si>
  <si>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</si>
  <si>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</si>
  <si>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</si>
  <si>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</si>
  <si>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</si>
  <si>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</si>
  <si>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</si>
  <si>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</si>
  <si>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</si>
  <si>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</si>
  <si>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</si>
  <si>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</si>
  <si>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</si>
  <si>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</si>
  <si>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</si>
  <si>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</si>
  <si>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</si>
  <si>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</si>
  <si>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</si>
  <si>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</si>
  <si>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</si>
  <si>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</si>
  <si>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</si>
  <si>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</si>
  <si>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</si>
  <si>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</si>
  <si>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</si>
  <si>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</si>
  <si>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</si>
  <si>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</si>
  <si>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</si>
  <si>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</si>
  <si>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</si>
  <si>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</si>
  <si>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</si>
  <si>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</si>
  <si>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</si>
  <si>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</si>
  <si>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</si>
  <si>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</si>
  <si>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</si>
  <si>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</si>
  <si>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</si>
  <si>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</si>
  <si>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</si>
  <si>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</si>
  <si>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</si>
  <si>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</si>
  <si>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</si>
  <si>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</si>
  <si>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</si>
  <si>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</si>
  <si>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</si>
  <si>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</si>
  <si>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</si>
  <si>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</si>
  <si>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</si>
  <si>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</si>
  <si>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</si>
  <si>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</si>
  <si>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</si>
  <si>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</si>
  <si>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</si>
  <si>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</si>
  <si>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</si>
  <si>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</si>
  <si>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</si>
  <si>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</si>
  <si>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</si>
  <si>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</si>
  <si>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</si>
  <si>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</si>
  <si>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</si>
  <si>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</si>
  <si>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6956 СОЧНЫЕ Папа может сос п/о мгс 1.5*4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</si>
  <si>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</si>
  <si>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</si>
  <si>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</si>
  <si>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</si>
  <si>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</si>
  <si>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</si>
  <si>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</si>
  <si>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</si>
  <si>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</si>
  <si>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</si>
  <si>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</si>
  <si>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</si>
  <si>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</si>
  <si>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</si>
  <si>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</si>
  <si>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</si>
  <si>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</si>
  <si>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</si>
  <si>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</si>
  <si>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</si>
  <si>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</si>
  <si>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</si>
  <si>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</si>
  <si>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</si>
  <si>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</si>
  <si>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</si>
  <si>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</si>
  <si>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</si>
  <si>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</si>
  <si>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</si>
  <si>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</si>
  <si>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</si>
  <si>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</si>
  <si>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</si>
  <si>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</si>
  <si>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</si>
  <si>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</si>
  <si>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</si>
  <si>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</si>
  <si>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7257 ФИЛЕЙНЫЕ ПМ сос ц/о мгс 0,33кг 8шт  Останкино</t>
  </si>
  <si>
    <t>7272 МЯСНЫЕ С ГОВЯД.ПМ сос п/о мгс 1кг 6шт  Останкино</t>
  </si>
  <si>
    <t>7276 СЛИВОЧНЫЕ ПМ сос п/о мгс 0,3кг 7шт  Останкино</t>
  </si>
  <si>
    <t>7284 ДЛЯ ДЕТЕЙ сос п/о мгс 0,33кг 6шт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</si>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</sst>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758CE0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5">
    <xf numFmtId="0" fontId="0" fillId="0" borderId="0" xfId="0"/>
    <xf numFmtId="164" fontId="1" fillId="3" borderId="2" xfId="1" applyNumberFormat="1" applyFont="1" applyFill="1" applyBorder="1"/>
    <xf numFmtId="164" fontId="0" fillId="0" borderId="2" xfId="0" applyNumberFormat="1" applyBorder="1"/>
    <xf numFmtId="1" fontId="0" fillId="5" borderId="0" xfId="0" applyNumberFormat="1" applyFill="1"/>
    <xf numFmtId="1" fontId="0" fillId="5" borderId="4" xfId="0" applyNumberFormat="1" applyFill="1" applyBorder="1"/>
    <xf numFmtId="164" fontId="2" fillId="4" borderId="1" xfId="1" applyNumberFormat="1" applyFill="1" applyBorder="1"/>
    <xf numFmtId="164" fontId="2" fillId="4" borderId="2" xfId="1" applyNumberFormat="1" applyFill="1" applyBorder="1"/>
    <xf numFmtId="1" fontId="0" fillId="7" borderId="0" xfId="0" applyNumberFormat="1" applyFill="1"/>
    <xf numFmtId="1" fontId="0" fillId="7" borderId="4" xfId="0" applyNumberFormat="1" applyFill="1" applyBorder="1"/>
    <xf numFmtId="1" fontId="0" fillId="0" borderId="6" xfId="0" applyNumberFormat="1" applyBorder="1"/>
    <xf numFmtId="164" fontId="0" fillId="6" borderId="7" xfId="0" applyNumberFormat="1" applyFill="1" applyBorder="1"/>
    <xf numFmtId="1" fontId="0" fillId="8" borderId="3" xfId="0" applyNumberFormat="1" applyFill="1" applyBorder="1"/>
    <xf numFmtId="164" fontId="1" fillId="4" borderId="1" xfId="1" applyNumberFormat="1" applyFont="1" applyFill="1" applyBorder="1"/>
    <xf numFmtId="164" fontId="1" fillId="4" borderId="2" xfId="1" applyNumberFormat="1" applyFont="1" applyFill="1" applyBorder="1"/>
    <xf numFmtId="1" fontId="0" fillId="9" borderId="0" xfId="0" applyNumberFormat="1" applyFill="1"/>
    <xf numFmtId="1" fontId="0" fillId="9" borderId="4" xfId="0" applyNumberFormat="1" applyFill="1" applyBorder="1"/>
    <xf numFmtId="1" fontId="0" fillId="0" borderId="7" xfId="0" applyNumberFormat="1" applyBorder="1"/>
    <xf numFmtId="164" fontId="0" fillId="0" borderId="7" xfId="0" applyNumberFormat="1" applyBorder="1"/>
    <xf numFmtId="1" fontId="1" fillId="3" borderId="2" xfId="1" applyNumberFormat="1" applyFont="1" applyFill="1" applyBorder="1"/>
    <xf numFmtId="164" fontId="0" fillId="9" borderId="4" xfId="0" applyNumberFormat="1" applyFill="1" applyBorder="1"/>
    <xf numFmtId="164" fontId="0" fillId="0" borderId="6" xfId="0" applyNumberFormat="1" applyBorder="1"/>
    <xf numFmtId="1" fontId="0" fillId="8" borderId="7" xfId="0" applyNumberFormat="1" applyFill="1" applyBorder="1"/>
    <xf numFmtId="1" fontId="0" fillId="0" borderId="8" xfId="0" applyNumberFormat="1" applyBorder="1"/>
    <xf numFmtId="164" fontId="3" fillId="6" borderId="0" xfId="0" applyNumberFormat="1" applyFont="1" applyFill="1"/>
    <xf numFmtId="1" fontId="0" fillId="0" borderId="3" xfId="0" applyNumberFormat="1" applyBorder="1"/>
    <xf numFmtId="1" fontId="0" fillId="10" borderId="4" xfId="0" applyNumberFormat="1" applyFill="1" applyBorder="1"/>
    <xf numFmtId="1" fontId="0" fillId="11" borderId="0" xfId="0" applyNumberFormat="1" applyFill="1"/>
    <xf numFmtId="1" fontId="0" fillId="8" borderId="4" xfId="0" applyNumberFormat="1" applyFill="1" applyBorder="1"/>
    <xf numFmtId="164" fontId="0" fillId="8" borderId="0" xfId="0" applyNumberFormat="1" applyFill="1"/>
    <xf numFmtId="164" fontId="0" fillId="9" borderId="0" xfId="0" applyNumberFormat="1" applyFill="1"/>
    <xf numFmtId="1" fontId="0" fillId="8" borderId="0" xfId="0" applyNumberFormat="1" applyFill="1"/>
    <xf numFmtId="0" fontId="0" fillId="0" borderId="7" xfId="0" applyBorder="1"/>
    <xf numFmtId="164" fontId="0" fillId="0" borderId="8" xfId="0" applyNumberFormat="1" applyBorder="1"/>
    <xf numFmtId="0" fontId="0" fillId="0" borderId="6" xfId="0" applyBorder="1"/>
    <xf numFmtId="164" fontId="0" fillId="0" borderId="3" xfId="0" applyNumberFormat="1" applyBorder="1"/>
    <xf numFmtId="164" fontId="3" fillId="0" borderId="0" xfId="0" applyNumberFormat="1" applyFont="1"/>
    <xf numFmtId="1" fontId="0" fillId="12" borderId="0" xfId="0" applyNumberFormat="1" applyFill="1"/>
    <xf numFmtId="0" fontId="0" fillId="12" borderId="0" xfId="0" applyFill="1"/>
    <xf numFmtId="164" fontId="1" fillId="2" borderId="0" xfId="1" applyNumberFormat="1" applyFont="1" applyFill="1"/>
    <xf numFmtId="164" fontId="0" fillId="6" borderId="0" xfId="0" applyNumberFormat="1" applyFill="1"/>
    <xf numFmtId="1" fontId="0" fillId="0" borderId="0" xfId="0" applyNumberFormat="1"/>
    <xf numFmtId="2" fontId="0" fillId="0" borderId="0" xfId="0" applyNumberFormat="1"/>
    <xf numFmtId="164" fontId="0" fillId="0" borderId="0" xfId="0" applyNumberFormat="1"/>
    <xf numFmtId="164" fontId="0" fillId="0" borderId="4" xfId="0" applyNumberFormat="1" applyBorder="1"/>
    <xf numFmtId="164" fontId="0" fillId="0" borderId="5" xfId="0" applyNumberFormat="1" applyBorder="1"/>
    <xf numFmtId="1" fontId="0" fillId="0" borderId="4" xfId="0" applyNumberFormat="1" applyBorder="1"/>
    <xf numFmtId="0" fontId="0" fillId="0" borderId="4" xfId="0" applyBorder="1"/>
    <xf numFmtId="1" fontId="0" fillId="0" borderId="5" xfId="0" applyNumberFormat="1" applyBorder="1"/>
    <xf numFmtId="164" fontId="0" fillId="0" borderId="0" xfId="0" applyNumberFormat="1" applyBorder="1"/>
    <xf numFmtId="0" fontId="0" fillId="0" borderId="0" xfId="0" applyBorder="1"/>
    <xf numFmtId="164" fontId="1" fillId="2" borderId="4" xfId="1" applyNumberFormat="1" applyFont="1" applyFill="1" applyBorder="1"/>
    <xf numFmtId="164" fontId="1" fillId="2" borderId="0" xfId="1" applyNumberFormat="1" applyFont="1" applyFill="1" applyBorder="1"/>
    <xf numFmtId="164" fontId="1" fillId="2" borderId="5" xfId="1" applyNumberFormat="1" applyFont="1" applyFill="1" applyBorder="1"/>
    <xf numFmtId="164" fontId="0" fillId="6" borderId="0" xfId="0" applyNumberFormat="1" applyFill="1" applyBorder="1"/>
    <xf numFmtId="1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G264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L3" sqref="L3"/>
    </sheetView>
  </sheetViews>
  <sheetFormatPr defaultRowHeight="15" x14ac:dyDescent="0.25"/>
  <cols>
    <col min="1" max="1" width="62.5703125" style="40" bestFit="1" customWidth="1"/>
    <col min="2" max="2" width="6.85546875" style="41" customWidth="1"/>
    <col min="3" max="77" width="10.7109375" style="42" customWidth="1"/>
    <col min="78" max="78" width="10.7109375" style="40" customWidth="1"/>
    <col min="79" max="85" width="10.7109375" style="42" customWidth="1"/>
    <col min="86" max="86" width="10.7109375" style="40" customWidth="1"/>
    <col min="87" max="87" width="10.7109375" style="42" customWidth="1"/>
    <col min="88" max="88" width="10.7109375" style="40" customWidth="1"/>
    <col min="89" max="94" width="10.7109375" style="42" customWidth="1"/>
    <col min="95" max="97" width="10.7109375" style="40" customWidth="1"/>
    <col min="98" max="101" width="10.7109375" style="42" customWidth="1"/>
    <col min="102" max="102" width="10.7109375" style="40" customWidth="1"/>
    <col min="103" max="104" width="10.7109375" style="42" customWidth="1"/>
    <col min="105" max="111" width="10.7109375" style="40" customWidth="1"/>
    <col min="112" max="112" width="10.7109375" style="42" customWidth="1"/>
    <col min="113" max="115" width="10.7109375" style="40" customWidth="1"/>
    <col min="116" max="116" width="10.7109375" style="42" customWidth="1"/>
    <col min="117" max="121" width="10.7109375" style="40" customWidth="1"/>
    <col min="122" max="122" width="10.7109375" style="42" customWidth="1"/>
    <col min="123" max="127" width="10.7109375" style="40" customWidth="1"/>
    <col min="128" max="128" width="10.7109375" style="42" customWidth="1"/>
    <col min="129" max="131" width="10.7109375" style="40" customWidth="1"/>
    <col min="132" max="132" width="10.7109375" style="42" customWidth="1"/>
    <col min="133" max="137" width="10.7109375" style="40" customWidth="1"/>
    <col min="138" max="138" width="10.7109375" style="42" customWidth="1"/>
    <col min="139" max="141" width="10.7109375" style="40" customWidth="1"/>
    <col min="142" max="142" width="10.7109375" style="42" customWidth="1"/>
    <col min="143" max="147" width="10.7109375" style="40" customWidth="1"/>
    <col min="148" max="148" width="10.7109375" style="42" customWidth="1"/>
    <col min="149" max="153" width="10.7109375" style="40" customWidth="1"/>
    <col min="154" max="154" width="10.7109375" style="42" customWidth="1"/>
    <col min="155" max="159" width="10.7109375" style="40" customWidth="1"/>
    <col min="160" max="160" width="10.7109375" style="42" customWidth="1"/>
    <col min="161" max="165" width="10.7109375" style="40" customWidth="1"/>
    <col min="166" max="166" width="10.7109375" style="42" customWidth="1"/>
    <col min="167" max="171" width="10.7109375" style="40" customWidth="1"/>
    <col min="172" max="172" width="10.7109375" style="42" customWidth="1"/>
    <col min="173" max="177" width="10.7109375" style="40" customWidth="1"/>
    <col min="178" max="178" width="10.7109375" style="42" customWidth="1"/>
    <col min="179" max="183" width="10.7109375" style="40" customWidth="1"/>
    <col min="184" max="184" width="10.7109375" style="42" customWidth="1"/>
    <col min="185" max="187" width="10.7109375" style="40" customWidth="1"/>
    <col min="188" max="188" width="10.7109375" style="42" customWidth="1"/>
    <col min="189" max="193" width="10.7109375" style="40" customWidth="1"/>
    <col min="194" max="194" width="10.7109375" style="42" customWidth="1"/>
    <col min="195" max="199" width="10.7109375" style="40" customWidth="1"/>
    <col min="200" max="200" width="10.7109375" style="42" customWidth="1"/>
    <col min="201" max="205" width="10.7109375" style="40" customWidth="1"/>
    <col min="206" max="206" width="10.7109375" style="42" customWidth="1"/>
    <col min="207" max="211" width="10.7109375" style="40" customWidth="1"/>
    <col min="212" max="212" width="10.7109375" style="42" customWidth="1"/>
    <col min="213" max="217" width="10.7109375" style="40" customWidth="1"/>
    <col min="218" max="218" width="10.7109375" style="42" customWidth="1"/>
    <col min="219" max="223" width="10.7109375" style="40" customWidth="1"/>
    <col min="224" max="224" width="10.7109375" style="42" customWidth="1"/>
    <col min="225" max="225" width="10.7109375" style="40" customWidth="1"/>
    <col min="226" max="226" width="10.7109375" style="42" customWidth="1"/>
    <col min="227" max="229" width="10.7109375" style="40" customWidth="1"/>
    <col min="230" max="230" width="10.7109375" style="42" customWidth="1"/>
    <col min="231" max="235" width="10.7109375" style="40" customWidth="1"/>
    <col min="236" max="236" width="10.7109375" style="42" customWidth="1"/>
    <col min="237" max="239" width="10.7109375" style="40" customWidth="1"/>
    <col min="240" max="240" width="10.7109375" style="42" customWidth="1"/>
    <col min="241" max="245" width="10.7109375" style="40" customWidth="1"/>
    <col min="246" max="246" width="10.7109375" style="42" customWidth="1"/>
    <col min="247" max="251" width="10.7109375" style="40" customWidth="1"/>
    <col min="252" max="252" width="10.7109375" style="42" customWidth="1"/>
    <col min="253" max="257" width="10.7109375" style="40" customWidth="1"/>
    <col min="258" max="258" width="10.7109375" style="42" customWidth="1"/>
    <col min="259" max="263" width="10.7109375" style="40" customWidth="1"/>
    <col min="264" max="264" width="10.7109375" style="42" customWidth="1"/>
    <col min="265" max="267" width="10.7109375" style="40" customWidth="1"/>
    <col min="268" max="268" width="10.7109375" style="42" customWidth="1"/>
    <col min="269" max="272" width="10.7109375" style="40" customWidth="1"/>
    <col min="273" max="384" width="9.140625" style="40" customWidth="1"/>
    <col min="385" max="16384" width="9.140625" style="40"/>
  </cols>
  <sheetData>
    <row r="1" spans="1:475" x14ac:dyDescent="0.25">
      <c r="A1" s="40" t="s">
        <v>0</v>
      </c>
      <c r="B1" s="41" t="s">
        <v>1</v>
      </c>
      <c r="C1" s="2" t="s">
        <v>8</v>
      </c>
      <c r="D1" s="2" t="s">
        <v>9</v>
      </c>
      <c r="E1" s="18" t="s">
        <v>10</v>
      </c>
      <c r="F1" s="18" t="s">
        <v>11</v>
      </c>
      <c r="G1" s="2" t="s">
        <v>8</v>
      </c>
      <c r="H1" s="2" t="s">
        <v>9</v>
      </c>
      <c r="I1" s="18" t="s">
        <v>12</v>
      </c>
      <c r="J1" s="13" t="s">
        <v>2</v>
      </c>
      <c r="K1" s="18" t="s">
        <v>13</v>
      </c>
      <c r="L1" s="2" t="s">
        <v>8</v>
      </c>
      <c r="M1" s="2" t="s">
        <v>9</v>
      </c>
      <c r="N1" s="12" t="s">
        <v>4</v>
      </c>
      <c r="O1" s="18" t="s">
        <v>14</v>
      </c>
      <c r="P1" s="13" t="s">
        <v>3</v>
      </c>
      <c r="Q1" s="18" t="s">
        <v>15</v>
      </c>
      <c r="R1" s="2" t="s">
        <v>8</v>
      </c>
      <c r="S1" s="34" t="s">
        <v>9</v>
      </c>
      <c r="T1" s="12" t="s">
        <v>5</v>
      </c>
      <c r="U1" s="18" t="s">
        <v>16</v>
      </c>
      <c r="V1" s="13" t="s">
        <v>6</v>
      </c>
      <c r="W1" s="18" t="s">
        <v>17</v>
      </c>
      <c r="X1" s="2" t="s">
        <v>8</v>
      </c>
      <c r="Y1" s="34" t="s">
        <v>9</v>
      </c>
      <c r="Z1" s="12" t="s">
        <v>7</v>
      </c>
      <c r="AA1" s="18" t="s">
        <v>18</v>
      </c>
      <c r="AB1" s="13" t="s">
        <v>19</v>
      </c>
      <c r="AC1" s="18" t="s">
        <v>20</v>
      </c>
      <c r="AD1" s="2" t="s">
        <v>8</v>
      </c>
      <c r="AE1" s="34" t="s">
        <v>9</v>
      </c>
      <c r="AF1" s="12" t="s">
        <v>21</v>
      </c>
      <c r="AG1" s="18" t="s">
        <v>22</v>
      </c>
      <c r="AH1" s="13" t="s">
        <v>23</v>
      </c>
      <c r="AI1" s="18" t="s">
        <v>24</v>
      </c>
      <c r="AJ1" s="2" t="s">
        <v>8</v>
      </c>
      <c r="AK1" s="34" t="s">
        <v>9</v>
      </c>
      <c r="AL1" s="13" t="s">
        <v>25</v>
      </c>
      <c r="AM1" s="18" t="s">
        <v>26</v>
      </c>
      <c r="AN1" s="13" t="s">
        <v>27</v>
      </c>
      <c r="AO1" s="18" t="s">
        <v>28</v>
      </c>
      <c r="AP1" s="2" t="s">
        <v>8</v>
      </c>
      <c r="AQ1" s="34" t="s">
        <v>9</v>
      </c>
      <c r="AR1" s="12" t="s">
        <v>29</v>
      </c>
      <c r="AS1" s="18" t="s">
        <v>30</v>
      </c>
      <c r="AT1" s="13" t="s">
        <v>31</v>
      </c>
      <c r="AU1" s="18" t="s">
        <v>32</v>
      </c>
      <c r="AV1" s="2" t="s">
        <v>8</v>
      </c>
      <c r="AW1" s="34" t="s">
        <v>9</v>
      </c>
      <c r="AX1" s="13" t="s">
        <v>33</v>
      </c>
      <c r="AY1" s="13" t="s">
        <v>34</v>
      </c>
      <c r="AZ1" s="18" t="s">
        <v>35</v>
      </c>
      <c r="BA1" s="13" t="s">
        <v>36</v>
      </c>
      <c r="BB1" s="18" t="s">
        <v>37</v>
      </c>
      <c r="BC1" s="2" t="s">
        <v>8</v>
      </c>
      <c r="BD1" s="34" t="s">
        <v>9</v>
      </c>
      <c r="BE1" s="12" t="s">
        <v>38</v>
      </c>
      <c r="BF1" s="18" t="s">
        <v>39</v>
      </c>
      <c r="BG1" s="13" t="s">
        <v>40</v>
      </c>
      <c r="BH1" s="18" t="s">
        <v>41</v>
      </c>
      <c r="BI1" s="2" t="s">
        <v>8</v>
      </c>
      <c r="BJ1" s="34" t="s">
        <v>9</v>
      </c>
      <c r="BK1" s="13" t="s">
        <v>42</v>
      </c>
      <c r="BL1" s="18" t="s">
        <v>43</v>
      </c>
      <c r="BM1" s="13" t="s">
        <v>44</v>
      </c>
      <c r="BN1" s="18" t="s">
        <v>45</v>
      </c>
      <c r="BO1" s="2" t="s">
        <v>8</v>
      </c>
      <c r="BP1" s="34" t="s">
        <v>9</v>
      </c>
      <c r="BQ1" s="13" t="s">
        <v>46</v>
      </c>
      <c r="BR1" s="18" t="s">
        <v>47</v>
      </c>
      <c r="BS1" s="2" t="s">
        <v>8</v>
      </c>
      <c r="BT1" s="34" t="s">
        <v>9</v>
      </c>
      <c r="BU1" s="12" t="s">
        <v>48</v>
      </c>
      <c r="BV1" s="18" t="s">
        <v>49</v>
      </c>
      <c r="BW1" s="13" t="s">
        <v>50</v>
      </c>
      <c r="BX1" s="18" t="s">
        <v>51</v>
      </c>
      <c r="BY1" s="2" t="s">
        <v>8</v>
      </c>
      <c r="BZ1" s="34" t="s">
        <v>9</v>
      </c>
      <c r="CA1" s="13" t="s">
        <v>52</v>
      </c>
      <c r="CB1" s="18" t="s">
        <v>53</v>
      </c>
      <c r="CC1" s="13" t="s">
        <v>54</v>
      </c>
      <c r="CD1" s="18" t="s">
        <v>55</v>
      </c>
      <c r="CE1" s="2" t="s">
        <v>8</v>
      </c>
      <c r="CF1" s="34" t="s">
        <v>9</v>
      </c>
      <c r="CG1" s="12" t="s">
        <v>56</v>
      </c>
      <c r="CH1" s="18" t="s">
        <v>57</v>
      </c>
      <c r="CI1" s="13" t="s">
        <v>58</v>
      </c>
      <c r="CJ1" s="18" t="s">
        <v>59</v>
      </c>
      <c r="CK1" s="2" t="s">
        <v>8</v>
      </c>
      <c r="CL1" s="34" t="s">
        <v>9</v>
      </c>
      <c r="CM1" s="12" t="s">
        <v>60</v>
      </c>
      <c r="CN1" s="18" t="s">
        <v>61</v>
      </c>
      <c r="CO1" s="13" t="s">
        <v>62</v>
      </c>
      <c r="CP1" s="18" t="s">
        <v>63</v>
      </c>
      <c r="CQ1" s="2" t="s">
        <v>8</v>
      </c>
      <c r="CR1" s="34" t="s">
        <v>9</v>
      </c>
      <c r="CS1" s="13" t="s">
        <v>64</v>
      </c>
      <c r="CT1" s="18" t="s">
        <v>65</v>
      </c>
      <c r="CU1" s="13" t="s">
        <v>66</v>
      </c>
      <c r="CV1" s="18" t="s">
        <v>67</v>
      </c>
      <c r="CW1" s="2" t="s">
        <v>8</v>
      </c>
      <c r="CX1" s="34" t="s">
        <v>9</v>
      </c>
      <c r="CY1" s="12" t="s">
        <v>68</v>
      </c>
      <c r="CZ1" s="18" t="s">
        <v>69</v>
      </c>
      <c r="DA1" s="13" t="s">
        <v>70</v>
      </c>
      <c r="DB1" s="18" t="s">
        <v>71</v>
      </c>
      <c r="DC1" s="2" t="s">
        <v>8</v>
      </c>
      <c r="DD1" s="34" t="s">
        <v>9</v>
      </c>
      <c r="DE1" s="12" t="s">
        <v>72</v>
      </c>
      <c r="DF1" s="18" t="s">
        <v>73</v>
      </c>
      <c r="DG1" s="13" t="s">
        <v>74</v>
      </c>
      <c r="DH1" s="18" t="s">
        <v>75</v>
      </c>
      <c r="DI1" s="13" t="s">
        <v>76</v>
      </c>
      <c r="DJ1" s="18" t="s">
        <v>77</v>
      </c>
      <c r="DK1" s="2" t="s">
        <v>8</v>
      </c>
      <c r="DL1" s="34" t="s">
        <v>9</v>
      </c>
      <c r="DM1" s="12" t="s">
        <v>78</v>
      </c>
      <c r="DN1" s="18" t="s">
        <v>79</v>
      </c>
      <c r="DO1" s="13" t="s">
        <v>80</v>
      </c>
      <c r="DP1" s="18" t="s">
        <v>81</v>
      </c>
      <c r="DQ1" s="2" t="s">
        <v>8</v>
      </c>
      <c r="DR1" s="34" t="s">
        <v>9</v>
      </c>
      <c r="DS1" s="13" t="s">
        <v>82</v>
      </c>
      <c r="DT1" s="18" t="s">
        <v>83</v>
      </c>
      <c r="DU1" s="13" t="s">
        <v>84</v>
      </c>
      <c r="DV1" s="18" t="s">
        <v>85</v>
      </c>
      <c r="DW1" s="13" t="s">
        <v>86</v>
      </c>
      <c r="DX1" s="18" t="s">
        <v>87</v>
      </c>
      <c r="DY1" s="2" t="s">
        <v>8</v>
      </c>
      <c r="DZ1" s="34" t="s">
        <v>9</v>
      </c>
      <c r="EA1" s="12" t="s">
        <v>88</v>
      </c>
      <c r="EB1" s="18" t="s">
        <v>89</v>
      </c>
      <c r="EC1" s="13" t="s">
        <v>90</v>
      </c>
      <c r="ED1" s="18" t="s">
        <v>91</v>
      </c>
      <c r="EE1" s="2" t="s">
        <v>8</v>
      </c>
      <c r="EF1" s="34" t="s">
        <v>9</v>
      </c>
      <c r="EG1" s="12" t="s">
        <v>92</v>
      </c>
      <c r="EH1" s="18" t="s">
        <v>93</v>
      </c>
      <c r="EI1" s="13" t="s">
        <v>94</v>
      </c>
      <c r="EJ1" s="18" t="s">
        <v>95</v>
      </c>
      <c r="EK1" s="2" t="s">
        <v>8</v>
      </c>
      <c r="EL1" s="34" t="s">
        <v>9</v>
      </c>
      <c r="EM1" s="12" t="s">
        <v>96</v>
      </c>
      <c r="EN1" s="18" t="s">
        <v>97</v>
      </c>
      <c r="EO1" s="13" t="s">
        <v>98</v>
      </c>
      <c r="EP1" s="18" t="s">
        <v>99</v>
      </c>
      <c r="EQ1" s="2" t="s">
        <v>8</v>
      </c>
      <c r="ER1" s="34" t="s">
        <v>9</v>
      </c>
      <c r="ES1" s="13" t="s">
        <v>100</v>
      </c>
      <c r="ET1" s="18" t="s">
        <v>101</v>
      </c>
      <c r="EU1" s="13" t="s">
        <v>102</v>
      </c>
      <c r="EV1" s="18" t="s">
        <v>103</v>
      </c>
      <c r="EW1" s="13" t="s">
        <v>104</v>
      </c>
      <c r="EX1" s="18" t="s">
        <v>105</v>
      </c>
      <c r="EY1" s="2" t="s">
        <v>8</v>
      </c>
      <c r="EZ1" s="34" t="s">
        <v>9</v>
      </c>
      <c r="FA1" s="13" t="s">
        <v>106</v>
      </c>
      <c r="FB1" s="18" t="s">
        <v>107</v>
      </c>
      <c r="FC1" s="13" t="s">
        <v>108</v>
      </c>
      <c r="FD1" s="18" t="s">
        <v>109</v>
      </c>
      <c r="FE1" s="2" t="s">
        <v>8</v>
      </c>
      <c r="FF1" s="34" t="s">
        <v>9</v>
      </c>
      <c r="FG1" s="12" t="s">
        <v>110</v>
      </c>
      <c r="FH1" s="18" t="s">
        <v>111</v>
      </c>
      <c r="FI1" s="13" t="s">
        <v>112</v>
      </c>
      <c r="FJ1" s="18" t="s">
        <v>113</v>
      </c>
      <c r="FK1" s="2" t="s">
        <v>8</v>
      </c>
      <c r="FL1" s="34" t="s">
        <v>9</v>
      </c>
      <c r="FM1" s="12" t="s">
        <v>114</v>
      </c>
      <c r="FN1" s="18" t="s">
        <v>115</v>
      </c>
      <c r="FO1" s="2" t="s">
        <v>8</v>
      </c>
      <c r="FP1" s="34" t="s">
        <v>9</v>
      </c>
      <c r="FQ1" s="13" t="s">
        <v>116</v>
      </c>
      <c r="FR1" s="18" t="s">
        <v>117</v>
      </c>
      <c r="FS1" s="13" t="s">
        <v>118</v>
      </c>
      <c r="FT1" s="18" t="s">
        <v>119</v>
      </c>
      <c r="FU1" s="2" t="s">
        <v>8</v>
      </c>
      <c r="FV1" s="34" t="s">
        <v>9</v>
      </c>
      <c r="FW1" s="12" t="s">
        <v>120</v>
      </c>
      <c r="FX1" s="18" t="s">
        <v>121</v>
      </c>
      <c r="FY1" s="13" t="s">
        <v>122</v>
      </c>
      <c r="FZ1" s="18" t="s">
        <v>123</v>
      </c>
      <c r="GA1" s="13" t="s">
        <v>124</v>
      </c>
      <c r="GB1" s="18" t="s">
        <v>125</v>
      </c>
      <c r="GC1" s="2" t="s">
        <v>8</v>
      </c>
      <c r="GD1" s="34" t="s">
        <v>9</v>
      </c>
      <c r="GE1" s="13" t="s">
        <v>126</v>
      </c>
      <c r="GF1" s="18" t="s">
        <v>127</v>
      </c>
      <c r="GG1" s="13" t="s">
        <v>128</v>
      </c>
      <c r="GH1" s="18" t="s">
        <v>129</v>
      </c>
      <c r="GI1" s="2" t="s">
        <v>8</v>
      </c>
      <c r="GJ1" s="34" t="s">
        <v>9</v>
      </c>
      <c r="GK1" s="12" t="s">
        <v>130</v>
      </c>
      <c r="GL1" s="18" t="s">
        <v>131</v>
      </c>
      <c r="GM1" s="13" t="s">
        <v>132</v>
      </c>
      <c r="GN1" s="18" t="s">
        <v>133</v>
      </c>
      <c r="GO1" s="2" t="s">
        <v>8</v>
      </c>
      <c r="GP1" s="34" t="s">
        <v>9</v>
      </c>
      <c r="GQ1" s="13" t="s">
        <v>134</v>
      </c>
      <c r="GR1" s="18" t="s">
        <v>135</v>
      </c>
      <c r="GS1" s="13" t="s">
        <v>136</v>
      </c>
      <c r="GT1" s="18" t="s">
        <v>137</v>
      </c>
      <c r="GU1" s="2" t="s">
        <v>8</v>
      </c>
      <c r="GV1" s="34" t="s">
        <v>9</v>
      </c>
      <c r="GW1" s="13" t="s">
        <v>138</v>
      </c>
      <c r="GX1" s="18" t="s">
        <v>139</v>
      </c>
      <c r="GY1" s="2" t="s">
        <v>8</v>
      </c>
      <c r="GZ1" s="34" t="s">
        <v>9</v>
      </c>
      <c r="HA1" s="12" t="s">
        <v>140</v>
      </c>
      <c r="HB1" s="18" t="s">
        <v>141</v>
      </c>
      <c r="HC1" s="2" t="s">
        <v>8</v>
      </c>
      <c r="HD1" s="34" t="s">
        <v>9</v>
      </c>
      <c r="HE1" s="12" t="s">
        <v>142</v>
      </c>
      <c r="HF1" s="18" t="s">
        <v>143</v>
      </c>
      <c r="HG1" s="13" t="s">
        <v>144</v>
      </c>
      <c r="HH1" s="18" t="s">
        <v>145</v>
      </c>
      <c r="HI1" s="2" t="s">
        <v>8</v>
      </c>
      <c r="HJ1" s="34" t="s">
        <v>9</v>
      </c>
      <c r="HK1" s="12" t="s">
        <v>146</v>
      </c>
      <c r="HL1" s="18" t="s">
        <v>147</v>
      </c>
      <c r="HM1" s="13" t="s">
        <v>148</v>
      </c>
      <c r="HN1" s="18" t="s">
        <v>149</v>
      </c>
      <c r="HO1" s="2" t="s">
        <v>8</v>
      </c>
      <c r="HP1" s="34" t="s">
        <v>9</v>
      </c>
      <c r="HQ1" s="13" t="s">
        <v>150</v>
      </c>
      <c r="HR1" s="13" t="s">
        <v>151</v>
      </c>
      <c r="HS1" s="18" t="s">
        <v>152</v>
      </c>
      <c r="HT1" s="13" t="s">
        <v>153</v>
      </c>
      <c r="HU1" s="18" t="s">
        <v>154</v>
      </c>
      <c r="HV1" s="2" t="s">
        <v>8</v>
      </c>
      <c r="HW1" s="34" t="s">
        <v>9</v>
      </c>
      <c r="HX1" s="12" t="s">
        <v>155</v>
      </c>
      <c r="HY1" s="18" t="s">
        <v>156</v>
      </c>
      <c r="HZ1" s="13" t="s">
        <v>157</v>
      </c>
      <c r="IA1" s="18" t="s">
        <v>158</v>
      </c>
      <c r="IB1" s="2" t="s">
        <v>8</v>
      </c>
      <c r="IC1" s="34" t="s">
        <v>9</v>
      </c>
      <c r="ID1" s="13" t="s">
        <v>159</v>
      </c>
      <c r="IE1" s="18" t="s">
        <v>160</v>
      </c>
      <c r="IF1" s="13" t="s">
        <v>161</v>
      </c>
      <c r="IG1" s="18" t="s">
        <v>162</v>
      </c>
      <c r="IH1" s="2" t="s">
        <v>8</v>
      </c>
      <c r="II1" s="34" t="s">
        <v>9</v>
      </c>
      <c r="IJ1" s="13" t="s">
        <v>163</v>
      </c>
      <c r="IK1" s="18" t="s">
        <v>164</v>
      </c>
      <c r="IL1" s="13" t="s">
        <v>165</v>
      </c>
      <c r="IM1" s="18" t="s">
        <v>166</v>
      </c>
      <c r="IN1" s="2" t="s">
        <v>8</v>
      </c>
      <c r="IO1" s="34" t="s">
        <v>9</v>
      </c>
      <c r="IP1" s="13" t="s">
        <v>167</v>
      </c>
      <c r="IQ1" s="18" t="s">
        <v>168</v>
      </c>
      <c r="IR1" s="13" t="s">
        <v>169</v>
      </c>
      <c r="IS1" s="18" t="s">
        <v>170</v>
      </c>
      <c r="IT1" s="2" t="s">
        <v>8</v>
      </c>
      <c r="IU1" s="34" t="s">
        <v>9</v>
      </c>
      <c r="IV1" s="13" t="s">
        <v>171</v>
      </c>
      <c r="IW1" s="18" t="s">
        <v>172</v>
      </c>
      <c r="IX1" s="13" t="s">
        <v>173</v>
      </c>
      <c r="IY1" s="18" t="s">
        <v>174</v>
      </c>
      <c r="IZ1" s="2" t="s">
        <v>8</v>
      </c>
      <c r="JA1" s="34" t="s">
        <v>9</v>
      </c>
      <c r="JB1" s="13" t="s">
        <v>175</v>
      </c>
      <c r="JC1" s="18" t="s">
        <v>176</v>
      </c>
      <c r="JD1" s="2" t="s">
        <v>8</v>
      </c>
      <c r="JE1" s="34" t="s">
        <v>9</v>
      </c>
      <c r="JF1" s="13" t="s">
        <v>177</v>
      </c>
      <c r="JG1" s="18" t="s">
        <v>178</v>
      </c>
      <c r="JH1" s="13" t="s">
        <v>179</v>
      </c>
      <c r="JI1" s="18" t="s">
        <v>180</v>
      </c>
      <c r="JJ1" s="2" t="s">
        <v>8</v>
      </c>
      <c r="JK1" s="34" t="s">
        <v>9</v>
      </c>
      <c r="JL1" s="12" t="s">
        <v>181</v>
      </c>
      <c r="JM1" s="18" t="s">
        <v>182</v>
      </c>
      <c r="JN1" s="2" t="s">
        <v>8</v>
      </c>
      <c r="JO1" s="24" t="s">
        <v>9</v>
      </c>
      <c r="JP1" s="13" t="s">
        <v>183</v>
      </c>
      <c r="JQ1" s="18" t="s">
        <v>184</v>
      </c>
      <c r="JR1" s="13" t="s">
        <v>185</v>
      </c>
      <c r="JS1" s="18" t="s">
        <v>186</v>
      </c>
      <c r="JT1" s="2" t="s">
        <v>8</v>
      </c>
      <c r="JU1" s="24" t="s">
        <v>9</v>
      </c>
      <c r="JV1" s="13" t="s">
        <v>187</v>
      </c>
      <c r="JW1" s="18" t="s">
        <v>188</v>
      </c>
      <c r="JX1" s="13" t="s">
        <v>189</v>
      </c>
      <c r="JY1" s="18" t="s">
        <v>190</v>
      </c>
      <c r="JZ1" s="2" t="s">
        <v>8</v>
      </c>
      <c r="KA1" s="24" t="s">
        <v>9</v>
      </c>
      <c r="KB1" s="13" t="s">
        <v>191</v>
      </c>
      <c r="KC1" s="18" t="s">
        <v>192</v>
      </c>
      <c r="KD1" s="13" t="s">
        <v>193</v>
      </c>
      <c r="KE1" s="18" t="s">
        <v>194</v>
      </c>
      <c r="KF1" s="2" t="s">
        <v>8</v>
      </c>
      <c r="KG1" s="24" t="s">
        <v>9</v>
      </c>
      <c r="KH1" s="13" t="s">
        <v>195</v>
      </c>
      <c r="KI1" s="18" t="s">
        <v>196</v>
      </c>
      <c r="KJ1" s="13" t="s">
        <v>197</v>
      </c>
      <c r="KK1" s="18" t="s">
        <v>198</v>
      </c>
      <c r="KL1" s="2" t="s">
        <v>8</v>
      </c>
      <c r="KM1" s="24" t="s">
        <v>9</v>
      </c>
      <c r="KN1" s="12" t="s">
        <v>199</v>
      </c>
      <c r="KO1" s="18" t="s">
        <v>200</v>
      </c>
      <c r="KP1" s="13" t="s">
        <v>199</v>
      </c>
      <c r="KQ1" s="18" t="s">
        <v>201</v>
      </c>
      <c r="KR1" s="13" t="s">
        <v>202</v>
      </c>
      <c r="KS1" s="18" t="s">
        <v>203</v>
      </c>
      <c r="KT1" s="2" t="s">
        <v>8</v>
      </c>
      <c r="KU1" s="24" t="s">
        <v>9</v>
      </c>
      <c r="KV1" s="13" t="s">
        <v>204</v>
      </c>
      <c r="KW1" s="18" t="s">
        <v>205</v>
      </c>
      <c r="KX1" s="13" t="s">
        <v>206</v>
      </c>
      <c r="KY1" s="18" t="s">
        <v>207</v>
      </c>
      <c r="KZ1" s="2" t="s">
        <v>8</v>
      </c>
      <c r="LA1" s="24" t="s">
        <v>9</v>
      </c>
      <c r="LB1" s="13" t="s">
        <v>208</v>
      </c>
      <c r="LC1" s="18" t="s">
        <v>209</v>
      </c>
      <c r="LD1" s="13" t="s">
        <v>210</v>
      </c>
      <c r="LE1" s="18" t="s">
        <v>211</v>
      </c>
      <c r="LF1" s="2" t="s">
        <v>8</v>
      </c>
      <c r="LG1" s="24" t="s">
        <v>9</v>
      </c>
      <c r="LH1" s="12" t="s">
        <v>212</v>
      </c>
      <c r="LI1" s="18" t="s">
        <v>213</v>
      </c>
      <c r="LJ1" s="2" t="s">
        <v>8</v>
      </c>
      <c r="LK1" s="24" t="s">
        <v>9</v>
      </c>
      <c r="LL1" s="12" t="s">
        <v>214</v>
      </c>
      <c r="LM1" s="18" t="s">
        <v>215</v>
      </c>
      <c r="LN1" s="13" t="s">
        <v>216</v>
      </c>
      <c r="LO1" s="18" t="s">
        <v>217</v>
      </c>
      <c r="LP1" s="2" t="s">
        <v>8</v>
      </c>
      <c r="LQ1" s="24" t="s">
        <v>9</v>
      </c>
      <c r="LR1" s="12" t="s">
        <v>218</v>
      </c>
      <c r="LS1" s="18" t="s">
        <v>219</v>
      </c>
      <c r="LT1" s="13" t="s">
        <v>220</v>
      </c>
      <c r="LU1" s="18" t="s">
        <v>221</v>
      </c>
      <c r="LV1" s="2" t="s">
        <v>8</v>
      </c>
      <c r="LW1" s="24" t="s">
        <v>9</v>
      </c>
      <c r="LX1" s="12" t="s">
        <v>222</v>
      </c>
      <c r="LY1" s="18" t="s">
        <v>223</v>
      </c>
      <c r="LZ1" s="2" t="s">
        <v>8</v>
      </c>
      <c r="MA1" s="24" t="s">
        <v>9</v>
      </c>
      <c r="MB1" s="12" t="s">
        <v>19</v>
      </c>
      <c r="MC1" s="18" t="s">
        <v>224</v>
      </c>
      <c r="MD1" s="13" t="s">
        <v>225</v>
      </c>
      <c r="ME1" s="18" t="s">
        <v>226</v>
      </c>
      <c r="MF1" s="2" t="s">
        <v>8</v>
      </c>
      <c r="MG1" s="24" t="s">
        <v>9</v>
      </c>
      <c r="MH1" s="12" t="s">
        <v>227</v>
      </c>
      <c r="MI1" s="18" t="s">
        <v>228</v>
      </c>
      <c r="MJ1" s="2" t="s">
        <v>8</v>
      </c>
      <c r="MK1" s="24" t="s">
        <v>9</v>
      </c>
      <c r="ML1" s="12" t="s">
        <v>229</v>
      </c>
      <c r="MM1" s="18" t="s">
        <v>230</v>
      </c>
      <c r="MN1" s="13" t="s">
        <v>231</v>
      </c>
      <c r="MO1" s="18" t="s">
        <v>232</v>
      </c>
      <c r="MP1" s="2" t="s">
        <v>8</v>
      </c>
      <c r="MQ1" s="24" t="s">
        <v>9</v>
      </c>
      <c r="MR1" s="13" t="s">
        <v>233</v>
      </c>
      <c r="MS1" s="18" t="s">
        <v>234</v>
      </c>
      <c r="MT1" s="13" t="s">
        <v>38</v>
      </c>
      <c r="MU1" s="18" t="s">
        <v>235</v>
      </c>
      <c r="MV1" s="2" t="s">
        <v>8</v>
      </c>
      <c r="MW1" s="24" t="s">
        <v>9</v>
      </c>
      <c r="MX1" s="12" t="s">
        <v>35</v>
      </c>
      <c r="MY1" s="18" t="s">
        <v>236</v>
      </c>
      <c r="MZ1" s="13" t="s">
        <v>237</v>
      </c>
      <c r="NA1" s="18" t="s">
        <v>238</v>
      </c>
      <c r="NB1" s="2" t="s">
        <v>8</v>
      </c>
      <c r="NC1" s="24" t="s">
        <v>9</v>
      </c>
      <c r="ND1" s="12" t="s">
        <v>239</v>
      </c>
      <c r="NE1" s="18" t="s">
        <v>240</v>
      </c>
      <c r="NF1" s="13" t="s">
        <v>44</v>
      </c>
      <c r="NG1" s="18" t="s">
        <v>241</v>
      </c>
      <c r="NH1" s="2" t="s">
        <v>8</v>
      </c>
      <c r="NI1" s="24" t="s">
        <v>9</v>
      </c>
      <c r="NJ1" s="12" t="s">
        <v>242</v>
      </c>
      <c r="NK1" s="18" t="s">
        <v>243</v>
      </c>
      <c r="NL1" s="13" t="s">
        <v>244</v>
      </c>
      <c r="NM1" s="18" t="s">
        <v>245</v>
      </c>
      <c r="NN1" s="2" t="s">
        <v>8</v>
      </c>
      <c r="NO1" s="24" t="s">
        <v>9</v>
      </c>
      <c r="NP1" s="12" t="s">
        <v>246</v>
      </c>
      <c r="NQ1" s="18" t="s">
        <v>247</v>
      </c>
      <c r="NR1" s="13" t="s">
        <v>248</v>
      </c>
      <c r="NS1" s="18" t="s">
        <v>249</v>
      </c>
      <c r="NT1" s="2" t="s">
        <v>8</v>
      </c>
      <c r="NU1" s="24" t="s">
        <v>9</v>
      </c>
      <c r="NV1" s="12" t="s">
        <v>250</v>
      </c>
      <c r="NW1" s="18" t="s">
        <v>251</v>
      </c>
      <c r="NX1" s="13" t="s">
        <v>54</v>
      </c>
      <c r="NY1" s="18" t="s">
        <v>252</v>
      </c>
      <c r="NZ1" s="2" t="s">
        <v>8</v>
      </c>
      <c r="OA1" s="24" t="s">
        <v>9</v>
      </c>
      <c r="OB1" s="12" t="s">
        <v>58</v>
      </c>
      <c r="OC1" s="18" t="s">
        <v>253</v>
      </c>
      <c r="OD1" s="2" t="s">
        <v>8</v>
      </c>
      <c r="OE1" s="24" t="s">
        <v>9</v>
      </c>
      <c r="OF1" s="12" t="s">
        <v>254</v>
      </c>
      <c r="OG1" s="18" t="s">
        <v>255</v>
      </c>
      <c r="OH1" s="13" t="s">
        <v>60</v>
      </c>
      <c r="OI1" s="18" t="s">
        <v>256</v>
      </c>
      <c r="OJ1" s="2" t="s">
        <v>8</v>
      </c>
      <c r="OK1" s="24" t="s">
        <v>9</v>
      </c>
      <c r="OL1" s="12" t="s">
        <v>257</v>
      </c>
      <c r="OM1" s="18" t="s">
        <v>65</v>
      </c>
      <c r="ON1" s="13" t="s">
        <v>66</v>
      </c>
      <c r="OO1" s="18" t="s">
        <v>258</v>
      </c>
      <c r="OP1" s="2" t="s">
        <v>8</v>
      </c>
      <c r="OQ1" s="24" t="s">
        <v>9</v>
      </c>
      <c r="OR1" s="12" t="s">
        <v>259</v>
      </c>
      <c r="OS1" s="18" t="s">
        <v>69</v>
      </c>
      <c r="OT1" s="13" t="s">
        <v>70</v>
      </c>
      <c r="OU1" s="18" t="s">
        <v>260</v>
      </c>
      <c r="OV1" s="2" t="s">
        <v>8</v>
      </c>
      <c r="OW1" s="24" t="s">
        <v>9</v>
      </c>
      <c r="OX1" s="13" t="s">
        <v>74</v>
      </c>
      <c r="OY1" s="18" t="s">
        <v>261</v>
      </c>
      <c r="OZ1" s="13" t="s">
        <v>262</v>
      </c>
      <c r="PA1" s="18" t="s">
        <v>263</v>
      </c>
      <c r="PB1" s="2" t="s">
        <v>8</v>
      </c>
      <c r="PC1" s="24" t="s">
        <v>9</v>
      </c>
      <c r="PD1" s="12" t="s">
        <v>78</v>
      </c>
      <c r="PE1" s="18" t="s">
        <v>264</v>
      </c>
      <c r="PF1" s="13" t="s">
        <v>82</v>
      </c>
      <c r="PG1" s="18" t="s">
        <v>265</v>
      </c>
      <c r="PH1" s="2" t="s">
        <v>8</v>
      </c>
      <c r="PI1" s="24" t="s">
        <v>9</v>
      </c>
      <c r="PJ1" s="12" t="s">
        <v>266</v>
      </c>
      <c r="PK1" s="18" t="s">
        <v>267</v>
      </c>
      <c r="PL1" s="13" t="s">
        <v>86</v>
      </c>
      <c r="PM1" s="18" t="s">
        <v>268</v>
      </c>
      <c r="PN1" s="2" t="s">
        <v>8</v>
      </c>
      <c r="PO1" s="24" t="s">
        <v>9</v>
      </c>
      <c r="PP1" s="12" t="s">
        <v>269</v>
      </c>
      <c r="PQ1" s="18" t="s">
        <v>89</v>
      </c>
      <c r="PR1" s="13" t="s">
        <v>270</v>
      </c>
      <c r="PS1" s="18" t="s">
        <v>271</v>
      </c>
      <c r="PT1" s="2" t="s">
        <v>8</v>
      </c>
      <c r="PU1" s="24" t="s">
        <v>9</v>
      </c>
      <c r="PV1" s="12" t="s">
        <v>272</v>
      </c>
      <c r="PW1" s="1" t="s">
        <v>273</v>
      </c>
      <c r="PX1" s="13" t="s">
        <v>274</v>
      </c>
      <c r="PY1" s="1" t="s">
        <v>275</v>
      </c>
      <c r="PZ1" s="2" t="s">
        <v>8</v>
      </c>
      <c r="QA1" s="24" t="s">
        <v>9</v>
      </c>
      <c r="QB1" s="5" t="s">
        <v>98</v>
      </c>
      <c r="QC1" s="1" t="s">
        <v>276</v>
      </c>
      <c r="QD1" s="2" t="s">
        <v>8</v>
      </c>
      <c r="QE1" s="11" t="s">
        <v>9</v>
      </c>
      <c r="QF1" s="5" t="s">
        <v>102</v>
      </c>
      <c r="QG1" s="1" t="s">
        <v>277</v>
      </c>
      <c r="QH1" s="6" t="s">
        <v>104</v>
      </c>
      <c r="QI1" s="1" t="s">
        <v>278</v>
      </c>
      <c r="QJ1" s="2" t="s">
        <v>8</v>
      </c>
      <c r="QK1" s="11" t="s">
        <v>9</v>
      </c>
      <c r="QL1" s="5" t="s">
        <v>279</v>
      </c>
      <c r="QM1" s="1" t="s">
        <v>280</v>
      </c>
      <c r="QN1" s="6" t="s">
        <v>106</v>
      </c>
      <c r="QO1" s="1" t="s">
        <v>281</v>
      </c>
      <c r="QP1" s="2" t="s">
        <v>8</v>
      </c>
      <c r="QQ1" s="11" t="s">
        <v>9</v>
      </c>
      <c r="QR1" s="5" t="s">
        <v>282</v>
      </c>
      <c r="QS1" s="1" t="s">
        <v>283</v>
      </c>
      <c r="QT1" s="6" t="s">
        <v>284</v>
      </c>
      <c r="QU1" s="1" t="s">
        <v>285</v>
      </c>
      <c r="QV1" s="2" t="s">
        <v>8</v>
      </c>
      <c r="QW1" s="11" t="s">
        <v>9</v>
      </c>
      <c r="QX1" s="5" t="s">
        <v>286</v>
      </c>
      <c r="QY1" s="1" t="s">
        <v>287</v>
      </c>
      <c r="QZ1" s="6" t="s">
        <v>288</v>
      </c>
      <c r="RA1" s="1" t="s">
        <v>289</v>
      </c>
      <c r="RB1" s="2" t="s">
        <v>8</v>
      </c>
      <c r="RC1" s="11" t="s">
        <v>9</v>
      </c>
      <c r="RD1" s="12" t="s">
        <v>290</v>
      </c>
      <c r="RE1" s="1" t="s">
        <v>291</v>
      </c>
      <c r="RF1" s="2" t="s">
        <v>8</v>
      </c>
      <c r="RG1" s="11" t="s">
        <v>9</v>
      </c>
    </row>
    <row r="2" spans="1:475" x14ac:dyDescent="0.25">
      <c r="C2" s="38">
        <f t="shared" ref="C2:BO2" si="0">SUM(C3:C264)</f>
        <v>0</v>
      </c>
      <c r="D2" s="38">
        <f t="shared" si="0"/>
        <v>0</v>
      </c>
      <c r="E2" s="38">
        <f t="shared" si="0"/>
        <v>7283</v>
      </c>
      <c r="F2" s="38">
        <f t="shared" si="0"/>
        <v>6832</v>
      </c>
      <c r="G2" s="38">
        <f t="shared" si="0"/>
        <v>0</v>
      </c>
      <c r="H2" s="38">
        <f t="shared" si="0"/>
        <v>0</v>
      </c>
      <c r="I2" s="38">
        <f t="shared" si="0"/>
        <v>4874</v>
      </c>
      <c r="J2" s="38">
        <f>SUM(J3:J264)</f>
        <v>5885</v>
      </c>
      <c r="K2" s="38">
        <f t="shared" si="0"/>
        <v>6271</v>
      </c>
      <c r="L2" s="38">
        <f t="shared" si="0"/>
        <v>0</v>
      </c>
      <c r="M2" s="38">
        <f t="shared" si="0"/>
        <v>0</v>
      </c>
      <c r="N2" s="50">
        <f>SUM(N3:N264)</f>
        <v>6437</v>
      </c>
      <c r="O2" s="51">
        <f t="shared" si="0"/>
        <v>6713</v>
      </c>
      <c r="P2" s="51">
        <f>SUM(P3:P264)</f>
        <v>7892</v>
      </c>
      <c r="Q2" s="51">
        <f t="shared" si="0"/>
        <v>8135</v>
      </c>
      <c r="R2" s="51">
        <f t="shared" si="0"/>
        <v>-519</v>
      </c>
      <c r="S2" s="52">
        <f t="shared" si="0"/>
        <v>201.53</v>
      </c>
      <c r="T2" s="50">
        <f>SUM(T3:T264)</f>
        <v>8572</v>
      </c>
      <c r="U2" s="51">
        <f t="shared" si="0"/>
        <v>9127</v>
      </c>
      <c r="V2" s="51">
        <f>SUM(V3:V264)</f>
        <v>9793</v>
      </c>
      <c r="W2" s="51">
        <f t="shared" si="0"/>
        <v>10449</v>
      </c>
      <c r="X2" s="51">
        <f t="shared" si="0"/>
        <v>-1211</v>
      </c>
      <c r="Y2" s="52">
        <f t="shared" si="0"/>
        <v>398.17999999999995</v>
      </c>
      <c r="Z2" s="50">
        <f>SUM(Z3:Z264)</f>
        <v>5478</v>
      </c>
      <c r="AA2" s="51">
        <f t="shared" si="0"/>
        <v>5491</v>
      </c>
      <c r="AB2" s="51">
        <f t="shared" si="0"/>
        <v>6212</v>
      </c>
      <c r="AC2" s="51">
        <f t="shared" si="0"/>
        <v>6315</v>
      </c>
      <c r="AD2" s="51">
        <f t="shared" si="0"/>
        <v>-116</v>
      </c>
      <c r="AE2" s="52">
        <f t="shared" si="0"/>
        <v>51.92</v>
      </c>
      <c r="AF2" s="50">
        <f t="shared" si="0"/>
        <v>6092</v>
      </c>
      <c r="AG2" s="51">
        <f t="shared" si="0"/>
        <v>6201</v>
      </c>
      <c r="AH2" s="51">
        <f t="shared" si="0"/>
        <v>7650</v>
      </c>
      <c r="AI2" s="51">
        <f t="shared" si="0"/>
        <v>7923</v>
      </c>
      <c r="AJ2" s="51">
        <f t="shared" si="0"/>
        <v>-382</v>
      </c>
      <c r="AK2" s="52">
        <f t="shared" si="0"/>
        <v>134.5</v>
      </c>
      <c r="AL2" s="38">
        <f t="shared" si="0"/>
        <v>8028</v>
      </c>
      <c r="AM2" s="38">
        <f t="shared" si="0"/>
        <v>8270</v>
      </c>
      <c r="AN2" s="38">
        <f t="shared" si="0"/>
        <v>8995</v>
      </c>
      <c r="AO2" s="38">
        <f t="shared" si="0"/>
        <v>8829</v>
      </c>
      <c r="AP2" s="38">
        <f t="shared" si="0"/>
        <v>-76</v>
      </c>
      <c r="AQ2" s="38">
        <f t="shared" si="0"/>
        <v>75.059999999999988</v>
      </c>
      <c r="AR2" s="38">
        <f t="shared" si="0"/>
        <v>3890</v>
      </c>
      <c r="AS2" s="38">
        <f t="shared" si="0"/>
        <v>4026</v>
      </c>
      <c r="AT2" s="38">
        <f t="shared" si="0"/>
        <v>5076</v>
      </c>
      <c r="AU2" s="38">
        <f t="shared" si="0"/>
        <v>5139</v>
      </c>
      <c r="AV2" s="38">
        <f t="shared" si="0"/>
        <v>-199</v>
      </c>
      <c r="AW2" s="38">
        <f t="shared" si="0"/>
        <v>45.82</v>
      </c>
      <c r="AX2" s="38">
        <f t="shared" si="0"/>
        <v>5374</v>
      </c>
      <c r="AY2" s="38">
        <f t="shared" si="0"/>
        <v>62</v>
      </c>
      <c r="AZ2" s="38">
        <f t="shared" si="0"/>
        <v>5916</v>
      </c>
      <c r="BA2" s="38">
        <f t="shared" si="0"/>
        <v>9709</v>
      </c>
      <c r="BB2" s="38">
        <f t="shared" si="0"/>
        <v>10153</v>
      </c>
      <c r="BC2" s="38">
        <f t="shared" si="0"/>
        <v>-924</v>
      </c>
      <c r="BD2" s="38">
        <f t="shared" si="0"/>
        <v>511.3</v>
      </c>
      <c r="BE2" s="38">
        <f t="shared" si="0"/>
        <v>4886</v>
      </c>
      <c r="BF2" s="38">
        <f t="shared" si="0"/>
        <v>5781</v>
      </c>
      <c r="BG2" s="38">
        <f t="shared" si="0"/>
        <v>4891</v>
      </c>
      <c r="BH2" s="38">
        <f t="shared" si="0"/>
        <v>4866</v>
      </c>
      <c r="BI2" s="38">
        <f t="shared" si="0"/>
        <v>-870</v>
      </c>
      <c r="BJ2" s="38">
        <f t="shared" si="0"/>
        <v>685.2</v>
      </c>
      <c r="BK2" s="38">
        <f t="shared" si="0"/>
        <v>8519</v>
      </c>
      <c r="BL2" s="38">
        <f t="shared" si="0"/>
        <v>8712</v>
      </c>
      <c r="BM2" s="38">
        <f t="shared" si="0"/>
        <v>8546</v>
      </c>
      <c r="BN2" s="38">
        <f t="shared" si="0"/>
        <v>9314</v>
      </c>
      <c r="BO2" s="38">
        <f t="shared" si="0"/>
        <v>-961</v>
      </c>
      <c r="BP2" s="38">
        <f t="shared" ref="BP2:EA2" si="1">SUM(BP3:BP264)</f>
        <v>345.14000000000004</v>
      </c>
      <c r="BQ2" s="38">
        <f t="shared" si="1"/>
        <v>1959</v>
      </c>
      <c r="BR2" s="38">
        <f t="shared" si="1"/>
        <v>1950</v>
      </c>
      <c r="BS2" s="38">
        <f t="shared" si="1"/>
        <v>9</v>
      </c>
      <c r="BT2" s="38">
        <f t="shared" si="1"/>
        <v>0</v>
      </c>
      <c r="BU2" s="38">
        <f t="shared" si="1"/>
        <v>16625</v>
      </c>
      <c r="BV2" s="38">
        <f t="shared" si="1"/>
        <v>16928</v>
      </c>
      <c r="BW2" s="38">
        <f t="shared" si="1"/>
        <v>19368</v>
      </c>
      <c r="BX2" s="38">
        <f t="shared" si="1"/>
        <v>20024</v>
      </c>
      <c r="BY2" s="38">
        <f t="shared" si="1"/>
        <v>-959</v>
      </c>
      <c r="BZ2" s="38">
        <f t="shared" si="1"/>
        <v>464.16000000000008</v>
      </c>
      <c r="CA2" s="38">
        <f t="shared" si="1"/>
        <v>6244</v>
      </c>
      <c r="CB2" s="38">
        <f t="shared" si="1"/>
        <v>6310</v>
      </c>
      <c r="CC2" s="38">
        <f t="shared" si="1"/>
        <v>9712</v>
      </c>
      <c r="CD2" s="38">
        <f t="shared" si="1"/>
        <v>10067</v>
      </c>
      <c r="CE2" s="38">
        <f t="shared" si="1"/>
        <v>-421</v>
      </c>
      <c r="CF2" s="38">
        <f t="shared" si="1"/>
        <v>91.58</v>
      </c>
      <c r="CG2" s="38">
        <f t="shared" si="1"/>
        <v>5113</v>
      </c>
      <c r="CH2" s="38">
        <f t="shared" si="1"/>
        <v>5280</v>
      </c>
      <c r="CI2" s="38">
        <f t="shared" si="1"/>
        <v>9596</v>
      </c>
      <c r="CJ2" s="38">
        <f t="shared" si="1"/>
        <v>10145</v>
      </c>
      <c r="CK2" s="38">
        <f t="shared" si="1"/>
        <v>-716</v>
      </c>
      <c r="CL2" s="38">
        <f t="shared" si="1"/>
        <v>211.54999999999998</v>
      </c>
      <c r="CM2" s="38">
        <f t="shared" si="1"/>
        <v>3115</v>
      </c>
      <c r="CN2" s="38">
        <f t="shared" si="1"/>
        <v>3230</v>
      </c>
      <c r="CO2" s="38">
        <f t="shared" si="1"/>
        <v>17630</v>
      </c>
      <c r="CP2" s="38">
        <f t="shared" si="1"/>
        <v>17681</v>
      </c>
      <c r="CQ2" s="38">
        <f t="shared" si="1"/>
        <v>-166</v>
      </c>
      <c r="CR2" s="38">
        <f t="shared" si="1"/>
        <v>70</v>
      </c>
      <c r="CS2" s="38">
        <f t="shared" si="1"/>
        <v>3804</v>
      </c>
      <c r="CT2" s="38">
        <f t="shared" si="1"/>
        <v>3997</v>
      </c>
      <c r="CU2" s="38">
        <f t="shared" si="1"/>
        <v>6436</v>
      </c>
      <c r="CV2" s="38">
        <f t="shared" si="1"/>
        <v>6953</v>
      </c>
      <c r="CW2" s="38">
        <f t="shared" si="1"/>
        <v>-710</v>
      </c>
      <c r="CX2" s="38">
        <f t="shared" si="1"/>
        <v>217.8</v>
      </c>
      <c r="CY2" s="38">
        <f t="shared" si="1"/>
        <v>4209</v>
      </c>
      <c r="CZ2" s="38">
        <f t="shared" si="1"/>
        <v>4189</v>
      </c>
      <c r="DA2" s="38">
        <f t="shared" si="1"/>
        <v>10903</v>
      </c>
      <c r="DB2" s="38">
        <f t="shared" si="1"/>
        <v>11011</v>
      </c>
      <c r="DC2" s="38">
        <f t="shared" si="1"/>
        <v>-88</v>
      </c>
      <c r="DD2" s="38">
        <f t="shared" si="1"/>
        <v>39.399999999999991</v>
      </c>
      <c r="DE2" s="38">
        <f t="shared" si="1"/>
        <v>1157</v>
      </c>
      <c r="DF2" s="38">
        <f t="shared" si="1"/>
        <v>1160</v>
      </c>
      <c r="DG2" s="38">
        <f t="shared" si="1"/>
        <v>6282</v>
      </c>
      <c r="DH2" s="38">
        <f t="shared" si="1"/>
        <v>6765</v>
      </c>
      <c r="DI2" s="38">
        <f t="shared" si="1"/>
        <v>7352</v>
      </c>
      <c r="DJ2" s="38">
        <f t="shared" si="1"/>
        <v>8403</v>
      </c>
      <c r="DK2" s="38">
        <f t="shared" si="1"/>
        <v>-1537</v>
      </c>
      <c r="DL2" s="38">
        <f t="shared" si="1"/>
        <v>757.03</v>
      </c>
      <c r="DM2" s="38">
        <f t="shared" si="1"/>
        <v>3880</v>
      </c>
      <c r="DN2" s="38">
        <f t="shared" si="1"/>
        <v>3904</v>
      </c>
      <c r="DO2" s="38">
        <f t="shared" si="1"/>
        <v>6692</v>
      </c>
      <c r="DP2" s="38">
        <f t="shared" si="1"/>
        <v>6812</v>
      </c>
      <c r="DQ2" s="38">
        <f t="shared" si="1"/>
        <v>-144</v>
      </c>
      <c r="DR2" s="38">
        <f t="shared" si="1"/>
        <v>96.000000000000014</v>
      </c>
      <c r="DS2" s="38">
        <f t="shared" si="1"/>
        <v>5203</v>
      </c>
      <c r="DT2" s="38">
        <f t="shared" si="1"/>
        <v>5170</v>
      </c>
      <c r="DU2" s="38">
        <f t="shared" si="1"/>
        <v>11448</v>
      </c>
      <c r="DV2" s="38">
        <f t="shared" si="1"/>
        <v>11634</v>
      </c>
      <c r="DW2" s="38">
        <f t="shared" si="1"/>
        <v>8068</v>
      </c>
      <c r="DX2" s="38">
        <f t="shared" si="1"/>
        <v>8060</v>
      </c>
      <c r="DY2" s="38">
        <f t="shared" si="1"/>
        <v>-145</v>
      </c>
      <c r="DZ2" s="38">
        <f t="shared" si="1"/>
        <v>48.01</v>
      </c>
      <c r="EA2" s="38">
        <f t="shared" si="1"/>
        <v>1515</v>
      </c>
      <c r="EB2" s="38">
        <f t="shared" ref="EB2:GM2" si="2">SUM(EB3:EB264)</f>
        <v>1500</v>
      </c>
      <c r="EC2" s="38">
        <f t="shared" si="2"/>
        <v>8882</v>
      </c>
      <c r="ED2" s="38">
        <f t="shared" si="2"/>
        <v>8845</v>
      </c>
      <c r="EE2" s="38">
        <f t="shared" si="2"/>
        <v>52</v>
      </c>
      <c r="EF2" s="38">
        <f t="shared" si="2"/>
        <v>20</v>
      </c>
      <c r="EG2" s="38">
        <f t="shared" si="2"/>
        <v>3050</v>
      </c>
      <c r="EH2" s="38">
        <f t="shared" si="2"/>
        <v>3260</v>
      </c>
      <c r="EI2" s="38">
        <f t="shared" si="2"/>
        <v>6723</v>
      </c>
      <c r="EJ2" s="38">
        <f t="shared" si="2"/>
        <v>7419</v>
      </c>
      <c r="EK2" s="38">
        <f t="shared" si="2"/>
        <v>-906</v>
      </c>
      <c r="EL2" s="38">
        <f t="shared" si="2"/>
        <v>333.8</v>
      </c>
      <c r="EM2" s="38">
        <f t="shared" si="2"/>
        <v>9110</v>
      </c>
      <c r="EN2" s="38">
        <f t="shared" si="2"/>
        <v>9410</v>
      </c>
      <c r="EO2" s="38">
        <f t="shared" si="2"/>
        <v>10599</v>
      </c>
      <c r="EP2" s="38">
        <f t="shared" si="2"/>
        <v>10824</v>
      </c>
      <c r="EQ2" s="38">
        <f t="shared" si="2"/>
        <v>-525</v>
      </c>
      <c r="ER2" s="38">
        <f t="shared" si="2"/>
        <v>156.38</v>
      </c>
      <c r="ES2" s="38">
        <f t="shared" si="2"/>
        <v>3900</v>
      </c>
      <c r="ET2" s="38">
        <f t="shared" si="2"/>
        <v>3930</v>
      </c>
      <c r="EU2" s="38">
        <f t="shared" si="2"/>
        <v>5066</v>
      </c>
      <c r="EV2" s="38">
        <f t="shared" si="2"/>
        <v>5124</v>
      </c>
      <c r="EW2" s="38">
        <f t="shared" si="2"/>
        <v>7550</v>
      </c>
      <c r="EX2" s="38">
        <f t="shared" si="2"/>
        <v>7663</v>
      </c>
      <c r="EY2" s="38">
        <f t="shared" si="2"/>
        <v>-201</v>
      </c>
      <c r="EZ2" s="38">
        <f t="shared" si="2"/>
        <v>69.72</v>
      </c>
      <c r="FA2" s="38">
        <f t="shared" si="2"/>
        <v>3946</v>
      </c>
      <c r="FB2" s="38">
        <f t="shared" si="2"/>
        <v>4021</v>
      </c>
      <c r="FC2" s="38">
        <f t="shared" si="2"/>
        <v>7395</v>
      </c>
      <c r="FD2" s="38">
        <f t="shared" si="2"/>
        <v>7439</v>
      </c>
      <c r="FE2" s="38">
        <f t="shared" si="2"/>
        <v>-119</v>
      </c>
      <c r="FF2" s="38">
        <f t="shared" si="2"/>
        <v>25.639999999999993</v>
      </c>
      <c r="FG2" s="38">
        <f t="shared" si="2"/>
        <v>4243</v>
      </c>
      <c r="FH2" s="38">
        <f t="shared" si="2"/>
        <v>4230</v>
      </c>
      <c r="FI2" s="38">
        <f t="shared" si="2"/>
        <v>11541</v>
      </c>
      <c r="FJ2" s="38">
        <f t="shared" si="2"/>
        <v>11095</v>
      </c>
      <c r="FK2" s="38">
        <f t="shared" si="2"/>
        <v>459</v>
      </c>
      <c r="FL2" s="38">
        <f t="shared" si="2"/>
        <v>23.16</v>
      </c>
      <c r="FM2" s="38">
        <f t="shared" si="2"/>
        <v>4933</v>
      </c>
      <c r="FN2" s="38">
        <f t="shared" si="2"/>
        <v>5022</v>
      </c>
      <c r="FO2" s="38">
        <f t="shared" si="2"/>
        <v>-89</v>
      </c>
      <c r="FP2" s="38">
        <f t="shared" si="2"/>
        <v>50.72</v>
      </c>
      <c r="FQ2" s="38">
        <f t="shared" si="2"/>
        <v>1376</v>
      </c>
      <c r="FR2" s="38">
        <f t="shared" si="2"/>
        <v>1360</v>
      </c>
      <c r="FS2" s="38">
        <f t="shared" si="2"/>
        <v>10405</v>
      </c>
      <c r="FT2" s="38">
        <f t="shared" si="2"/>
        <v>10413</v>
      </c>
      <c r="FU2" s="38">
        <f t="shared" si="2"/>
        <v>8</v>
      </c>
      <c r="FV2" s="38">
        <f t="shared" si="2"/>
        <v>23.48</v>
      </c>
      <c r="FW2" s="38">
        <f t="shared" si="2"/>
        <v>5532</v>
      </c>
      <c r="FX2" s="38">
        <f t="shared" si="2"/>
        <v>5876</v>
      </c>
      <c r="FY2" s="38">
        <f t="shared" si="2"/>
        <v>2741</v>
      </c>
      <c r="FZ2" s="38">
        <f t="shared" si="2"/>
        <v>3400</v>
      </c>
      <c r="GA2" s="38">
        <f t="shared" si="2"/>
        <v>8795</v>
      </c>
      <c r="GB2" s="38">
        <f t="shared" si="2"/>
        <v>8845</v>
      </c>
      <c r="GC2" s="38">
        <f t="shared" si="2"/>
        <v>-1053</v>
      </c>
      <c r="GD2" s="38">
        <f t="shared" si="2"/>
        <v>424.42</v>
      </c>
      <c r="GE2" s="38">
        <f t="shared" si="2"/>
        <v>7117</v>
      </c>
      <c r="GF2" s="38">
        <f t="shared" si="2"/>
        <v>7120</v>
      </c>
      <c r="GG2" s="38">
        <f t="shared" si="2"/>
        <v>8950</v>
      </c>
      <c r="GH2" s="38">
        <f t="shared" si="2"/>
        <v>8932</v>
      </c>
      <c r="GI2" s="38">
        <f t="shared" si="2"/>
        <v>15</v>
      </c>
      <c r="GJ2" s="38">
        <f t="shared" si="2"/>
        <v>5.28</v>
      </c>
      <c r="GK2" s="38">
        <f t="shared" si="2"/>
        <v>1739</v>
      </c>
      <c r="GL2" s="38">
        <f t="shared" si="2"/>
        <v>1720</v>
      </c>
      <c r="GM2" s="38">
        <f t="shared" si="2"/>
        <v>6296</v>
      </c>
      <c r="GN2" s="38">
        <f t="shared" ref="GN2:IY2" si="3">SUM(GN3:GN264)</f>
        <v>6428</v>
      </c>
      <c r="GO2" s="38">
        <f t="shared" si="3"/>
        <v>-113</v>
      </c>
      <c r="GP2" s="38">
        <f t="shared" si="3"/>
        <v>113.22</v>
      </c>
      <c r="GQ2" s="38">
        <f t="shared" si="3"/>
        <v>6368</v>
      </c>
      <c r="GR2" s="38">
        <f t="shared" si="3"/>
        <v>6391</v>
      </c>
      <c r="GS2" s="38">
        <f t="shared" si="3"/>
        <v>9548</v>
      </c>
      <c r="GT2" s="38">
        <f t="shared" si="3"/>
        <v>9532</v>
      </c>
      <c r="GU2" s="38">
        <f t="shared" si="3"/>
        <v>-7</v>
      </c>
      <c r="GV2" s="38">
        <f t="shared" si="3"/>
        <v>24.939999999999998</v>
      </c>
      <c r="GW2" s="38">
        <f t="shared" si="3"/>
        <v>8195</v>
      </c>
      <c r="GX2" s="38">
        <f t="shared" si="3"/>
        <v>8415.3505999999998</v>
      </c>
      <c r="GY2" s="38">
        <f t="shared" si="3"/>
        <v>-220.35060000000007</v>
      </c>
      <c r="GZ2" s="38">
        <f t="shared" si="3"/>
        <v>237.8888</v>
      </c>
      <c r="HA2" s="38">
        <f t="shared" si="3"/>
        <v>2372</v>
      </c>
      <c r="HB2" s="38">
        <f t="shared" si="3"/>
        <v>2392</v>
      </c>
      <c r="HC2" s="38">
        <f t="shared" si="3"/>
        <v>-20</v>
      </c>
      <c r="HD2" s="38">
        <f t="shared" si="3"/>
        <v>2.7</v>
      </c>
      <c r="HE2" s="38">
        <f t="shared" si="3"/>
        <v>6446</v>
      </c>
      <c r="HF2" s="38">
        <f t="shared" si="3"/>
        <v>6870</v>
      </c>
      <c r="HG2" s="38">
        <f t="shared" si="3"/>
        <v>10432</v>
      </c>
      <c r="HH2" s="38">
        <f t="shared" si="3"/>
        <v>10446</v>
      </c>
      <c r="HI2" s="38">
        <f t="shared" si="3"/>
        <v>-438</v>
      </c>
      <c r="HJ2" s="38">
        <f t="shared" si="3"/>
        <v>112</v>
      </c>
      <c r="HK2" s="38">
        <f t="shared" si="3"/>
        <v>5075</v>
      </c>
      <c r="HL2" s="38">
        <f t="shared" si="3"/>
        <v>5045</v>
      </c>
      <c r="HM2" s="38">
        <f t="shared" si="3"/>
        <v>8964</v>
      </c>
      <c r="HN2" s="38">
        <f t="shared" si="3"/>
        <v>8945</v>
      </c>
      <c r="HO2" s="38">
        <f t="shared" si="3"/>
        <v>49</v>
      </c>
      <c r="HP2" s="38">
        <f t="shared" si="3"/>
        <v>15</v>
      </c>
      <c r="HQ2" s="38">
        <f t="shared" si="3"/>
        <v>170</v>
      </c>
      <c r="HR2" s="38">
        <f t="shared" si="3"/>
        <v>3403</v>
      </c>
      <c r="HS2" s="38">
        <f t="shared" si="3"/>
        <v>3170</v>
      </c>
      <c r="HT2" s="38">
        <f t="shared" si="3"/>
        <v>11633</v>
      </c>
      <c r="HU2" s="38">
        <f t="shared" si="3"/>
        <v>11590</v>
      </c>
      <c r="HV2" s="38">
        <f t="shared" si="3"/>
        <v>446</v>
      </c>
      <c r="HW2" s="38">
        <f t="shared" si="3"/>
        <v>15.040000000000001</v>
      </c>
      <c r="HX2" s="38">
        <f t="shared" si="3"/>
        <v>10638</v>
      </c>
      <c r="HY2" s="38">
        <f t="shared" si="3"/>
        <v>11264</v>
      </c>
      <c r="HZ2" s="38">
        <f t="shared" si="3"/>
        <v>11907</v>
      </c>
      <c r="IA2" s="38">
        <f t="shared" si="3"/>
        <v>11937</v>
      </c>
      <c r="IB2" s="38">
        <f t="shared" si="3"/>
        <v>-656</v>
      </c>
      <c r="IC2" s="38">
        <f t="shared" si="3"/>
        <v>261.48</v>
      </c>
      <c r="ID2" s="38">
        <f t="shared" si="3"/>
        <v>1928</v>
      </c>
      <c r="IE2" s="38">
        <f t="shared" si="3"/>
        <v>1910</v>
      </c>
      <c r="IF2" s="38">
        <f t="shared" si="3"/>
        <v>5849</v>
      </c>
      <c r="IG2" s="38">
        <f t="shared" si="3"/>
        <v>5802</v>
      </c>
      <c r="IH2" s="38">
        <f t="shared" si="3"/>
        <v>65</v>
      </c>
      <c r="II2" s="38">
        <f t="shared" si="3"/>
        <v>0</v>
      </c>
      <c r="IJ2" s="38">
        <f t="shared" si="3"/>
        <v>3685</v>
      </c>
      <c r="IK2" s="38">
        <f t="shared" si="3"/>
        <v>3804</v>
      </c>
      <c r="IL2" s="38">
        <f t="shared" si="3"/>
        <v>5226</v>
      </c>
      <c r="IM2" s="38">
        <f t="shared" si="3"/>
        <v>5301</v>
      </c>
      <c r="IN2" s="38">
        <f t="shared" si="3"/>
        <v>-194</v>
      </c>
      <c r="IO2" s="38">
        <f t="shared" si="3"/>
        <v>114.64</v>
      </c>
      <c r="IP2" s="38">
        <f t="shared" si="3"/>
        <v>9962</v>
      </c>
      <c r="IQ2" s="38">
        <f t="shared" si="3"/>
        <v>10508</v>
      </c>
      <c r="IR2" s="38">
        <f t="shared" si="3"/>
        <v>9328</v>
      </c>
      <c r="IS2" s="38">
        <f t="shared" si="3"/>
        <v>9308</v>
      </c>
      <c r="IT2" s="38">
        <f t="shared" si="3"/>
        <v>-526</v>
      </c>
      <c r="IU2" s="38">
        <f t="shared" si="3"/>
        <v>526</v>
      </c>
      <c r="IV2" s="38">
        <f t="shared" si="3"/>
        <v>7865</v>
      </c>
      <c r="IW2" s="38">
        <f t="shared" si="3"/>
        <v>8320</v>
      </c>
      <c r="IX2" s="38">
        <f t="shared" si="3"/>
        <v>7423</v>
      </c>
      <c r="IY2" s="38">
        <f t="shared" si="3"/>
        <v>7524</v>
      </c>
      <c r="IZ2" s="38">
        <f t="shared" ref="IZ2:LK2" si="4">SUM(IZ3:IZ264)</f>
        <v>-556</v>
      </c>
      <c r="JA2" s="38">
        <f t="shared" si="4"/>
        <v>291.7</v>
      </c>
      <c r="JB2" s="38">
        <f t="shared" si="4"/>
        <v>8506</v>
      </c>
      <c r="JC2" s="38">
        <f t="shared" si="4"/>
        <v>8764</v>
      </c>
      <c r="JD2" s="38">
        <f t="shared" si="4"/>
        <v>-258</v>
      </c>
      <c r="JE2" s="38">
        <f t="shared" si="4"/>
        <v>34.799999999999997</v>
      </c>
      <c r="JF2" s="38">
        <f t="shared" si="4"/>
        <v>11016</v>
      </c>
      <c r="JG2" s="38">
        <f t="shared" si="4"/>
        <v>11094</v>
      </c>
      <c r="JH2" s="38">
        <f t="shared" si="4"/>
        <v>9104</v>
      </c>
      <c r="JI2" s="38">
        <f t="shared" si="4"/>
        <v>9249</v>
      </c>
      <c r="JJ2" s="38">
        <f t="shared" si="4"/>
        <v>-223</v>
      </c>
      <c r="JK2" s="38">
        <f t="shared" si="4"/>
        <v>71.610000000000014</v>
      </c>
      <c r="JL2" s="38">
        <f t="shared" si="4"/>
        <v>8152</v>
      </c>
      <c r="JM2" s="38">
        <f t="shared" si="4"/>
        <v>8214.9950000000008</v>
      </c>
      <c r="JN2" s="38">
        <f t="shared" si="4"/>
        <v>-62.995000000000005</v>
      </c>
      <c r="JO2" s="38">
        <f t="shared" si="4"/>
        <v>43</v>
      </c>
      <c r="JP2" s="38">
        <f t="shared" si="4"/>
        <v>686</v>
      </c>
      <c r="JQ2" s="38">
        <f t="shared" si="4"/>
        <v>685</v>
      </c>
      <c r="JR2" s="38">
        <f t="shared" si="4"/>
        <v>5822</v>
      </c>
      <c r="JS2" s="38">
        <f t="shared" si="4"/>
        <v>6007</v>
      </c>
      <c r="JT2" s="38">
        <f t="shared" si="4"/>
        <v>-184</v>
      </c>
      <c r="JU2" s="38">
        <f t="shared" si="4"/>
        <v>19</v>
      </c>
      <c r="JV2" s="38">
        <f t="shared" si="4"/>
        <v>6010</v>
      </c>
      <c r="JW2" s="38">
        <f t="shared" si="4"/>
        <v>6308</v>
      </c>
      <c r="JX2" s="38">
        <f t="shared" si="4"/>
        <v>7416</v>
      </c>
      <c r="JY2" s="38">
        <f t="shared" si="4"/>
        <v>7547</v>
      </c>
      <c r="JZ2" s="38">
        <f t="shared" si="4"/>
        <v>-429</v>
      </c>
      <c r="KA2" s="38">
        <f t="shared" si="4"/>
        <v>180.74</v>
      </c>
      <c r="KB2" s="38">
        <f t="shared" si="4"/>
        <v>5973</v>
      </c>
      <c r="KC2" s="38">
        <f t="shared" si="4"/>
        <v>6296</v>
      </c>
      <c r="KD2" s="38">
        <f t="shared" si="4"/>
        <v>10931</v>
      </c>
      <c r="KE2" s="38">
        <f t="shared" si="4"/>
        <v>10908</v>
      </c>
      <c r="KF2" s="38">
        <f t="shared" si="4"/>
        <v>-300</v>
      </c>
      <c r="KG2" s="38">
        <f t="shared" si="4"/>
        <v>305.8</v>
      </c>
      <c r="KH2" s="38">
        <f t="shared" si="4"/>
        <v>5857</v>
      </c>
      <c r="KI2" s="38">
        <f t="shared" si="4"/>
        <v>5938</v>
      </c>
      <c r="KJ2" s="38">
        <f t="shared" si="4"/>
        <v>12335</v>
      </c>
      <c r="KK2" s="38">
        <f t="shared" si="4"/>
        <v>12533</v>
      </c>
      <c r="KL2" s="38">
        <f t="shared" si="4"/>
        <v>-279</v>
      </c>
      <c r="KM2" s="38">
        <f t="shared" si="4"/>
        <v>93.97999999999999</v>
      </c>
      <c r="KN2" s="38">
        <f t="shared" si="4"/>
        <v>4249</v>
      </c>
      <c r="KO2" s="38">
        <f t="shared" si="4"/>
        <v>4555</v>
      </c>
      <c r="KP2" s="38">
        <f t="shared" si="4"/>
        <v>6471</v>
      </c>
      <c r="KQ2" s="38">
        <f t="shared" si="4"/>
        <v>7140</v>
      </c>
      <c r="KR2" s="38">
        <f t="shared" si="4"/>
        <v>7367</v>
      </c>
      <c r="KS2" s="38">
        <f t="shared" si="4"/>
        <v>4439</v>
      </c>
      <c r="KT2" s="38">
        <f t="shared" si="4"/>
        <v>2418</v>
      </c>
      <c r="KU2" s="38">
        <f t="shared" si="4"/>
        <v>752.06999999999994</v>
      </c>
      <c r="KV2" s="38">
        <f t="shared" si="4"/>
        <v>7662.4899999999989</v>
      </c>
      <c r="KW2" s="38">
        <f t="shared" si="4"/>
        <v>7960</v>
      </c>
      <c r="KX2" s="38">
        <f t="shared" si="4"/>
        <v>16681.953999999998</v>
      </c>
      <c r="KY2" s="38">
        <f t="shared" si="4"/>
        <v>17274</v>
      </c>
      <c r="KZ2" s="38">
        <f t="shared" si="4"/>
        <v>-889.55600000000015</v>
      </c>
      <c r="LA2" s="38">
        <f t="shared" si="4"/>
        <v>620.80700000000013</v>
      </c>
      <c r="LB2" s="38">
        <f t="shared" si="4"/>
        <v>2951.06</v>
      </c>
      <c r="LC2" s="38">
        <f t="shared" si="4"/>
        <v>3026</v>
      </c>
      <c r="LD2" s="38">
        <f t="shared" si="4"/>
        <v>5312.8079999999991</v>
      </c>
      <c r="LE2" s="38">
        <f t="shared" si="4"/>
        <v>5366</v>
      </c>
      <c r="LF2" s="38">
        <f t="shared" si="4"/>
        <v>-128.13199999999995</v>
      </c>
      <c r="LG2" s="38">
        <f t="shared" si="4"/>
        <v>39.17</v>
      </c>
      <c r="LH2" s="38">
        <f t="shared" si="4"/>
        <v>8956.1879999999983</v>
      </c>
      <c r="LI2" s="38">
        <f t="shared" si="4"/>
        <v>9151</v>
      </c>
      <c r="LJ2" s="38">
        <f t="shared" si="4"/>
        <v>-194.81200000000004</v>
      </c>
      <c r="LK2" s="38">
        <f t="shared" si="4"/>
        <v>42.5</v>
      </c>
      <c r="LL2" s="38">
        <f t="shared" ref="LL2:NW2" si="5">SUM(LL3:LL264)</f>
        <v>5679.304000000001</v>
      </c>
      <c r="LM2" s="38">
        <f t="shared" si="5"/>
        <v>5630</v>
      </c>
      <c r="LN2" s="38">
        <f t="shared" si="5"/>
        <v>4868.7070000000003</v>
      </c>
      <c r="LO2" s="38">
        <f t="shared" si="5"/>
        <v>4965</v>
      </c>
      <c r="LP2" s="38">
        <f t="shared" si="5"/>
        <v>-46.98900000000004</v>
      </c>
      <c r="LQ2" s="38">
        <f t="shared" si="5"/>
        <v>58.585000000000001</v>
      </c>
      <c r="LR2" s="38">
        <f t="shared" si="5"/>
        <v>8816.7350000000006</v>
      </c>
      <c r="LS2" s="38">
        <f t="shared" si="5"/>
        <v>8858</v>
      </c>
      <c r="LT2" s="38">
        <f t="shared" si="5"/>
        <v>9246.4590000000007</v>
      </c>
      <c r="LU2" s="38">
        <f t="shared" si="5"/>
        <v>9252</v>
      </c>
      <c r="LV2" s="38">
        <f t="shared" si="5"/>
        <v>-46.805999999999855</v>
      </c>
      <c r="LW2" s="38">
        <f t="shared" si="5"/>
        <v>3.3</v>
      </c>
      <c r="LX2" s="38">
        <f t="shared" si="5"/>
        <v>17694.466999999997</v>
      </c>
      <c r="LY2" s="38">
        <f t="shared" si="5"/>
        <v>17709</v>
      </c>
      <c r="LZ2" s="38">
        <f t="shared" si="5"/>
        <v>-14.533000000000001</v>
      </c>
      <c r="MA2" s="38">
        <f t="shared" si="5"/>
        <v>5.3390000000000546</v>
      </c>
      <c r="MB2" s="38">
        <f t="shared" si="5"/>
        <v>4247.0750000000007</v>
      </c>
      <c r="MC2" s="38">
        <f t="shared" si="5"/>
        <v>4440</v>
      </c>
      <c r="MD2" s="38">
        <f t="shared" si="5"/>
        <v>8713.3079999999991</v>
      </c>
      <c r="ME2" s="38">
        <f t="shared" si="5"/>
        <v>8959</v>
      </c>
      <c r="MF2" s="38">
        <f t="shared" si="5"/>
        <v>-438.61699999999985</v>
      </c>
      <c r="MG2" s="38">
        <f t="shared" si="5"/>
        <v>174.4</v>
      </c>
      <c r="MH2" s="38">
        <f t="shared" si="5"/>
        <v>28521.183999999997</v>
      </c>
      <c r="MI2" s="38">
        <f t="shared" si="5"/>
        <v>28896</v>
      </c>
      <c r="MJ2" s="38">
        <f t="shared" si="5"/>
        <v>-374.81599999999992</v>
      </c>
      <c r="MK2" s="38">
        <f t="shared" si="5"/>
        <v>138.20600000000002</v>
      </c>
      <c r="ML2" s="38">
        <f t="shared" si="5"/>
        <v>2396.3200000000002</v>
      </c>
      <c r="MM2" s="38">
        <f t="shared" si="5"/>
        <v>2400</v>
      </c>
      <c r="MN2" s="38">
        <f t="shared" si="5"/>
        <v>8885.235999999999</v>
      </c>
      <c r="MO2" s="38">
        <f t="shared" si="5"/>
        <v>9092</v>
      </c>
      <c r="MP2" s="38">
        <f t="shared" si="5"/>
        <v>-210.44399999999987</v>
      </c>
      <c r="MQ2" s="38">
        <f t="shared" si="5"/>
        <v>61.8</v>
      </c>
      <c r="MR2" s="38">
        <f t="shared" si="5"/>
        <v>1611.086</v>
      </c>
      <c r="MS2" s="38">
        <f t="shared" si="5"/>
        <v>1600</v>
      </c>
      <c r="MT2" s="38">
        <f t="shared" si="5"/>
        <v>25083.530999999995</v>
      </c>
      <c r="MU2" s="38">
        <f t="shared" si="5"/>
        <v>25135</v>
      </c>
      <c r="MV2" s="38">
        <f t="shared" si="5"/>
        <v>-40.383000000000031</v>
      </c>
      <c r="MW2" s="38">
        <f t="shared" si="5"/>
        <v>27.824999999999992</v>
      </c>
      <c r="MX2" s="38">
        <f t="shared" si="5"/>
        <v>3672.9360000000001</v>
      </c>
      <c r="MY2" s="38">
        <f t="shared" si="5"/>
        <v>3680</v>
      </c>
      <c r="MZ2" s="38">
        <f t="shared" si="5"/>
        <v>11860.644</v>
      </c>
      <c r="NA2" s="38">
        <f t="shared" si="5"/>
        <v>11997</v>
      </c>
      <c r="NB2" s="38">
        <f t="shared" si="5"/>
        <v>-143.42000000000007</v>
      </c>
      <c r="NC2" s="38">
        <f t="shared" si="5"/>
        <v>67.768000000000029</v>
      </c>
      <c r="ND2" s="38">
        <f t="shared" si="5"/>
        <v>2894.4669999999996</v>
      </c>
      <c r="NE2" s="38">
        <f t="shared" si="5"/>
        <v>5196</v>
      </c>
      <c r="NF2" s="38">
        <f t="shared" si="5"/>
        <v>12049.906999999999</v>
      </c>
      <c r="NG2" s="38">
        <f t="shared" si="5"/>
        <v>12675</v>
      </c>
      <c r="NH2" s="38">
        <f t="shared" si="5"/>
        <v>-2926.6259999999997</v>
      </c>
      <c r="NI2" s="38">
        <f t="shared" si="5"/>
        <v>1998.9449999999995</v>
      </c>
      <c r="NJ2" s="38">
        <f t="shared" si="5"/>
        <v>7612.7489999999998</v>
      </c>
      <c r="NK2" s="38">
        <f t="shared" si="5"/>
        <v>7670</v>
      </c>
      <c r="NL2" s="38">
        <f t="shared" si="5"/>
        <v>10174.181999999999</v>
      </c>
      <c r="NM2" s="38">
        <f t="shared" si="5"/>
        <v>10347</v>
      </c>
      <c r="NN2" s="38">
        <f t="shared" si="5"/>
        <v>-230.06900000000007</v>
      </c>
      <c r="NO2" s="38">
        <f t="shared" si="5"/>
        <v>211.23400000000001</v>
      </c>
      <c r="NP2" s="38">
        <f t="shared" si="5"/>
        <v>3885.6130000000003</v>
      </c>
      <c r="NQ2" s="38">
        <f t="shared" si="5"/>
        <v>4190</v>
      </c>
      <c r="NR2" s="38">
        <f t="shared" si="5"/>
        <v>11781.718999999999</v>
      </c>
      <c r="NS2" s="38">
        <f t="shared" si="5"/>
        <v>11472</v>
      </c>
      <c r="NT2" s="38">
        <f t="shared" si="5"/>
        <v>5.3319999999997947</v>
      </c>
      <c r="NU2" s="38">
        <f t="shared" si="5"/>
        <v>1822.895</v>
      </c>
      <c r="NV2" s="38">
        <f t="shared" si="5"/>
        <v>6135.0439999999999</v>
      </c>
      <c r="NW2" s="38">
        <f t="shared" si="5"/>
        <v>6170</v>
      </c>
      <c r="NX2" s="38">
        <f t="shared" ref="NX2:QI2" si="6">SUM(NX3:NX264)</f>
        <v>9426.5259999999998</v>
      </c>
      <c r="NY2" s="38">
        <f t="shared" si="6"/>
        <v>10461</v>
      </c>
      <c r="NZ2" s="38">
        <f t="shared" si="6"/>
        <v>-1069.4299999999998</v>
      </c>
      <c r="OA2" s="38">
        <f t="shared" si="6"/>
        <v>507.62999999999994</v>
      </c>
      <c r="OB2" s="38">
        <f t="shared" si="6"/>
        <v>22039.766000000007</v>
      </c>
      <c r="OC2" s="38">
        <f t="shared" si="6"/>
        <v>22464</v>
      </c>
      <c r="OD2" s="38">
        <f t="shared" si="6"/>
        <v>-424.23400000000009</v>
      </c>
      <c r="OE2" s="38">
        <f t="shared" si="6"/>
        <v>154.68400000000003</v>
      </c>
      <c r="OF2" s="38">
        <f t="shared" si="6"/>
        <v>2859.3649999999998</v>
      </c>
      <c r="OG2" s="38">
        <f t="shared" si="6"/>
        <v>2866</v>
      </c>
      <c r="OH2" s="38">
        <f t="shared" si="6"/>
        <v>8536.8180000000011</v>
      </c>
      <c r="OI2" s="38">
        <f t="shared" si="6"/>
        <v>8657</v>
      </c>
      <c r="OJ2" s="38">
        <f t="shared" si="6"/>
        <v>-126.81700000000006</v>
      </c>
      <c r="OK2" s="38">
        <f t="shared" si="6"/>
        <v>26.8</v>
      </c>
      <c r="OL2" s="38">
        <f t="shared" si="6"/>
        <v>10788.597</v>
      </c>
      <c r="OM2" s="38">
        <f t="shared" si="6"/>
        <v>11520</v>
      </c>
      <c r="ON2" s="38">
        <f t="shared" si="6"/>
        <v>9427.4439999999977</v>
      </c>
      <c r="OO2" s="38">
        <f t="shared" si="6"/>
        <v>9448</v>
      </c>
      <c r="OP2" s="38">
        <f t="shared" si="6"/>
        <v>-751.95900000000006</v>
      </c>
      <c r="OQ2" s="38">
        <f t="shared" si="6"/>
        <v>96.06</v>
      </c>
      <c r="OR2" s="38">
        <f t="shared" si="6"/>
        <v>7482.7110000000002</v>
      </c>
      <c r="OS2" s="38">
        <f t="shared" si="6"/>
        <v>8520</v>
      </c>
      <c r="OT2" s="38">
        <f t="shared" si="6"/>
        <v>9860.6720000000005</v>
      </c>
      <c r="OU2" s="38">
        <f t="shared" si="6"/>
        <v>10102</v>
      </c>
      <c r="OV2" s="38">
        <f t="shared" si="6"/>
        <v>-1278.617</v>
      </c>
      <c r="OW2" s="38">
        <f t="shared" si="6"/>
        <v>492.83</v>
      </c>
      <c r="OX2" s="38">
        <f t="shared" si="6"/>
        <v>8078.378999999999</v>
      </c>
      <c r="OY2" s="38">
        <f t="shared" si="6"/>
        <v>8576</v>
      </c>
      <c r="OZ2" s="38">
        <f t="shared" si="6"/>
        <v>7916.2519999999995</v>
      </c>
      <c r="PA2" s="38">
        <f t="shared" si="6"/>
        <v>8488</v>
      </c>
      <c r="PB2" s="38">
        <f t="shared" si="6"/>
        <v>-1069.3689999999999</v>
      </c>
      <c r="PC2" s="38">
        <f t="shared" si="6"/>
        <v>588.60599999999999</v>
      </c>
      <c r="PD2" s="38">
        <f t="shared" si="6"/>
        <v>7378.0360000000001</v>
      </c>
      <c r="PE2" s="38">
        <f t="shared" si="6"/>
        <v>8100</v>
      </c>
      <c r="PF2" s="38">
        <f t="shared" si="6"/>
        <v>12007.267999999996</v>
      </c>
      <c r="PG2" s="38">
        <f t="shared" si="6"/>
        <v>12972</v>
      </c>
      <c r="PH2" s="38">
        <f t="shared" si="6"/>
        <v>-1686.6960000000001</v>
      </c>
      <c r="PI2" s="38">
        <f t="shared" si="6"/>
        <v>1146.625</v>
      </c>
      <c r="PJ2" s="38">
        <f t="shared" si="6"/>
        <v>6518.384</v>
      </c>
      <c r="PK2" s="38">
        <f t="shared" si="6"/>
        <v>6780</v>
      </c>
      <c r="PL2" s="38">
        <f t="shared" si="6"/>
        <v>12243.499999999996</v>
      </c>
      <c r="PM2" s="38">
        <f t="shared" si="6"/>
        <v>13115</v>
      </c>
      <c r="PN2" s="38">
        <f t="shared" si="6"/>
        <v>-1133.1160000000004</v>
      </c>
      <c r="PO2" s="38">
        <f t="shared" si="6"/>
        <v>1016.634</v>
      </c>
      <c r="PP2" s="38">
        <f t="shared" si="6"/>
        <v>6692.9270000000006</v>
      </c>
      <c r="PQ2" s="38">
        <f t="shared" si="6"/>
        <v>7560</v>
      </c>
      <c r="PR2" s="38">
        <f t="shared" si="6"/>
        <v>10307.811999999998</v>
      </c>
      <c r="PS2" s="38">
        <f t="shared" si="6"/>
        <v>10962</v>
      </c>
      <c r="PT2" s="38" t="e">
        <f t="shared" si="6"/>
        <v>#REF!</v>
      </c>
      <c r="PU2" s="38">
        <f t="shared" si="6"/>
        <v>802.29599999999994</v>
      </c>
      <c r="PV2" s="38">
        <f t="shared" si="6"/>
        <v>10000.51</v>
      </c>
      <c r="PW2" s="38">
        <f t="shared" si="6"/>
        <v>10830</v>
      </c>
      <c r="PX2" s="38">
        <f t="shared" si="6"/>
        <v>9668.4770000000008</v>
      </c>
      <c r="PY2" s="38">
        <f t="shared" si="6"/>
        <v>10370</v>
      </c>
      <c r="PZ2" s="38">
        <f t="shared" si="6"/>
        <v>-1531.0130000000001</v>
      </c>
      <c r="QA2" s="38">
        <f t="shared" si="6"/>
        <v>1132.9749999999999</v>
      </c>
      <c r="QB2" s="38">
        <f t="shared" si="6"/>
        <v>19737.987000000005</v>
      </c>
      <c r="QC2" s="38">
        <f t="shared" si="6"/>
        <v>20640</v>
      </c>
      <c r="QD2" s="38">
        <f t="shared" si="6"/>
        <v>-902.01299999999992</v>
      </c>
      <c r="QE2" s="38">
        <f t="shared" si="6"/>
        <v>647.63100000000009</v>
      </c>
      <c r="QF2" s="38">
        <f t="shared" si="6"/>
        <v>7670.4459999999981</v>
      </c>
      <c r="QG2" s="38">
        <f t="shared" si="6"/>
        <v>7739</v>
      </c>
      <c r="QH2" s="38">
        <f t="shared" si="6"/>
        <v>10036.630999999999</v>
      </c>
      <c r="QI2" s="38">
        <f t="shared" si="6"/>
        <v>10180</v>
      </c>
      <c r="QJ2" s="38">
        <f t="shared" ref="QJ2:RG2" si="7">SUM(QJ3:QJ264)</f>
        <v>-211.92299999999989</v>
      </c>
      <c r="QK2" s="38">
        <f t="shared" si="7"/>
        <v>112.999</v>
      </c>
      <c r="QL2" s="38">
        <f t="shared" si="7"/>
        <v>8211.9120000000003</v>
      </c>
      <c r="QM2" s="38">
        <f t="shared" si="7"/>
        <v>8485</v>
      </c>
      <c r="QN2" s="38">
        <f t="shared" si="7"/>
        <v>9783.8649999999998</v>
      </c>
      <c r="QO2" s="38">
        <f t="shared" si="7"/>
        <v>10260</v>
      </c>
      <c r="QP2" s="38">
        <f t="shared" si="7"/>
        <v>-749.22299999999996</v>
      </c>
      <c r="QQ2" s="38">
        <f t="shared" si="7"/>
        <v>486.72500000000002</v>
      </c>
      <c r="QR2" s="38">
        <f t="shared" si="7"/>
        <v>7509.4860000000008</v>
      </c>
      <c r="QS2" s="38">
        <f t="shared" si="7"/>
        <v>8050</v>
      </c>
      <c r="QT2" s="38">
        <f t="shared" si="7"/>
        <v>5100.4850000000006</v>
      </c>
      <c r="QU2" s="38">
        <f t="shared" si="7"/>
        <v>10110</v>
      </c>
      <c r="QV2" s="38">
        <f t="shared" si="7"/>
        <v>-5550.0289999999986</v>
      </c>
      <c r="QW2" s="38">
        <f t="shared" si="7"/>
        <v>3895.4480000000017</v>
      </c>
      <c r="QX2" s="38">
        <f t="shared" si="7"/>
        <v>9088.5190000000021</v>
      </c>
      <c r="QY2" s="38">
        <f t="shared" si="7"/>
        <v>9456</v>
      </c>
      <c r="QZ2" s="38">
        <f t="shared" si="7"/>
        <v>5702.3799999999992</v>
      </c>
      <c r="RA2" s="38">
        <f t="shared" si="7"/>
        <v>6380</v>
      </c>
      <c r="RB2" s="38">
        <f t="shared" si="7"/>
        <v>-1045.1010000000006</v>
      </c>
      <c r="RC2" s="38">
        <f t="shared" si="7"/>
        <v>533.31799999999998</v>
      </c>
      <c r="RD2" s="38">
        <f t="shared" si="7"/>
        <v>26663.360000000004</v>
      </c>
      <c r="RE2" s="38">
        <f t="shared" si="7"/>
        <v>27760.7438</v>
      </c>
      <c r="RF2" s="38">
        <f t="shared" si="7"/>
        <v>-1097.3838000000005</v>
      </c>
      <c r="RG2" s="38">
        <f t="shared" si="7"/>
        <v>1460.2949999999998</v>
      </c>
    </row>
    <row r="3" spans="1:475" x14ac:dyDescent="0.25">
      <c r="A3" s="40" t="s">
        <v>292</v>
      </c>
      <c r="B3" s="41">
        <v>1</v>
      </c>
      <c r="N3" s="43"/>
      <c r="O3" s="48"/>
      <c r="P3" s="48"/>
      <c r="Q3" s="48"/>
      <c r="R3" s="48">
        <f>N3+P3-O3-Q3</f>
        <v>0</v>
      </c>
      <c r="S3" s="44"/>
      <c r="T3" s="43"/>
      <c r="U3" s="48"/>
      <c r="V3" s="48"/>
      <c r="W3" s="48"/>
      <c r="X3" s="48">
        <f>T3+V3-U3-W3</f>
        <v>0</v>
      </c>
      <c r="Y3" s="44"/>
      <c r="Z3" s="43"/>
      <c r="AA3" s="48"/>
      <c r="AB3" s="48"/>
      <c r="AC3" s="48"/>
      <c r="AD3" s="48">
        <f>Z3+AB3-AA3-AC3</f>
        <v>0</v>
      </c>
      <c r="AE3" s="44"/>
      <c r="AF3" s="43"/>
      <c r="AG3" s="48"/>
      <c r="AH3" s="48"/>
      <c r="AI3" s="48"/>
      <c r="AJ3" s="48">
        <f>AF3+AH3-AG3-AI3</f>
        <v>0</v>
      </c>
      <c r="AK3" s="44"/>
      <c r="AL3" s="48"/>
      <c r="AP3" s="42">
        <v>0</v>
      </c>
      <c r="AQ3" s="44"/>
      <c r="AR3" s="43"/>
      <c r="AV3" s="42">
        <v>0</v>
      </c>
      <c r="AW3" s="44"/>
      <c r="BC3" s="42">
        <v>0</v>
      </c>
      <c r="BD3" s="44"/>
      <c r="BE3" s="43"/>
      <c r="BI3" s="42">
        <v>0</v>
      </c>
      <c r="BJ3" s="44"/>
      <c r="BO3" s="42">
        <v>0</v>
      </c>
      <c r="BP3" s="44"/>
      <c r="BS3" s="42">
        <v>0</v>
      </c>
      <c r="BT3" s="44"/>
      <c r="BU3" s="43"/>
      <c r="BY3" s="42">
        <v>0</v>
      </c>
      <c r="BZ3" s="44"/>
      <c r="CE3" s="42">
        <v>0</v>
      </c>
      <c r="CF3" s="44"/>
      <c r="CG3" s="43"/>
      <c r="CK3" s="42">
        <v>0</v>
      </c>
      <c r="CL3" s="44"/>
      <c r="CM3" s="43"/>
      <c r="CQ3" s="42">
        <v>0</v>
      </c>
      <c r="CR3" s="44"/>
      <c r="CW3" s="42">
        <v>0</v>
      </c>
      <c r="CX3" s="44"/>
      <c r="CY3" s="43"/>
      <c r="DC3" s="42">
        <v>0</v>
      </c>
      <c r="DD3" s="44"/>
      <c r="DE3" s="43"/>
      <c r="DK3" s="42">
        <v>0</v>
      </c>
      <c r="DL3" s="44"/>
      <c r="DM3" s="43"/>
      <c r="DQ3" s="42">
        <v>0</v>
      </c>
      <c r="DR3" s="44"/>
      <c r="DY3" s="42">
        <v>0</v>
      </c>
      <c r="DZ3" s="44"/>
      <c r="EA3" s="43"/>
      <c r="EE3" s="42">
        <v>0</v>
      </c>
      <c r="EF3" s="44"/>
      <c r="EG3" s="43"/>
      <c r="EK3" s="42">
        <v>0</v>
      </c>
      <c r="EL3" s="44"/>
      <c r="EM3" s="43"/>
      <c r="EQ3" s="42">
        <v>0</v>
      </c>
      <c r="ER3" s="44"/>
      <c r="EY3" s="42">
        <v>0</v>
      </c>
      <c r="EZ3" s="44"/>
      <c r="FE3" s="42">
        <v>0</v>
      </c>
      <c r="FF3" s="44"/>
      <c r="FG3" s="43"/>
      <c r="FK3" s="42">
        <v>0</v>
      </c>
      <c r="FL3" s="44"/>
      <c r="FM3" s="43"/>
      <c r="FO3" s="42">
        <v>0</v>
      </c>
      <c r="FP3" s="44"/>
      <c r="FU3" s="42">
        <v>0</v>
      </c>
      <c r="FV3" s="44"/>
      <c r="FW3" s="43"/>
      <c r="GC3" s="42">
        <v>0</v>
      </c>
      <c r="GD3" s="44"/>
      <c r="GI3" s="42">
        <v>0</v>
      </c>
      <c r="GJ3" s="44"/>
      <c r="GK3" s="43"/>
      <c r="GO3" s="42">
        <v>0</v>
      </c>
      <c r="GP3" s="47"/>
      <c r="GU3" s="42">
        <v>0</v>
      </c>
      <c r="GV3" s="44"/>
      <c r="GY3" s="42">
        <v>0</v>
      </c>
      <c r="GZ3" s="47"/>
      <c r="HA3" s="43"/>
      <c r="HC3" s="42">
        <v>0</v>
      </c>
      <c r="HD3" s="44"/>
      <c r="HE3" s="43"/>
      <c r="HI3" s="42">
        <v>0</v>
      </c>
      <c r="HJ3" s="47"/>
      <c r="HK3" s="43"/>
      <c r="HO3" s="42">
        <v>0</v>
      </c>
      <c r="HP3" s="44"/>
      <c r="HV3" s="42">
        <v>0</v>
      </c>
      <c r="HW3" s="44"/>
      <c r="HX3" s="45"/>
      <c r="IB3" s="42">
        <v>0</v>
      </c>
      <c r="IC3" s="44"/>
      <c r="IH3" s="42">
        <v>0</v>
      </c>
      <c r="II3" s="47"/>
      <c r="IL3">
        <v>78</v>
      </c>
      <c r="IM3">
        <v>76</v>
      </c>
      <c r="IN3" s="42">
        <v>2</v>
      </c>
      <c r="IO3" s="47"/>
      <c r="IT3" s="42">
        <v>0</v>
      </c>
      <c r="IU3" s="47"/>
      <c r="IW3" s="42">
        <v>50</v>
      </c>
      <c r="IX3" s="42">
        <v>49</v>
      </c>
      <c r="IZ3" s="42">
        <v>-1</v>
      </c>
      <c r="JA3" s="44"/>
      <c r="JE3" s="44"/>
      <c r="JK3" s="44"/>
      <c r="JL3" s="46"/>
      <c r="JO3" s="44"/>
      <c r="JU3" s="44"/>
      <c r="KA3" s="47"/>
      <c r="KG3" s="44"/>
      <c r="KM3" s="47"/>
      <c r="KN3" s="45"/>
      <c r="KU3" s="47"/>
      <c r="LA3" s="47"/>
      <c r="LG3" s="47"/>
      <c r="LH3" s="45"/>
      <c r="LK3" s="47"/>
      <c r="LL3" s="45"/>
      <c r="LQ3" s="47"/>
      <c r="LR3" s="45"/>
      <c r="LW3" s="47"/>
      <c r="LX3" s="45"/>
      <c r="MA3" s="47"/>
      <c r="MB3" s="45"/>
      <c r="MG3" s="47"/>
      <c r="MH3" s="45"/>
      <c r="MK3" s="47"/>
      <c r="ML3" s="45"/>
      <c r="MQ3" s="47"/>
      <c r="MW3" s="47"/>
      <c r="MX3" s="45"/>
      <c r="NC3" s="47"/>
      <c r="ND3" s="45"/>
      <c r="NI3" s="47"/>
      <c r="NJ3" s="45"/>
      <c r="NO3" s="47"/>
      <c r="NP3" s="45"/>
      <c r="NU3" s="47"/>
      <c r="NV3" s="45"/>
      <c r="OA3" s="47"/>
      <c r="OB3" s="45"/>
      <c r="OE3" s="47"/>
      <c r="OF3" s="45"/>
      <c r="OK3" s="47"/>
      <c r="OL3" s="45"/>
      <c r="OQ3" s="47"/>
      <c r="OR3" s="45"/>
      <c r="OW3" s="47"/>
      <c r="PC3" s="47"/>
      <c r="PD3" s="45"/>
      <c r="PI3" s="47"/>
      <c r="PJ3" s="45"/>
      <c r="PN3" s="35"/>
      <c r="PO3" s="47"/>
      <c r="PP3" s="43"/>
      <c r="PU3" s="47"/>
      <c r="PV3" s="45"/>
      <c r="PZ3" s="42"/>
      <c r="QA3" s="47"/>
      <c r="QB3" s="45"/>
      <c r="QD3" s="42"/>
      <c r="QE3" s="47"/>
      <c r="QF3" s="45"/>
      <c r="QJ3" s="42"/>
      <c r="QK3" s="47"/>
      <c r="QL3" s="45"/>
      <c r="QP3" s="42"/>
      <c r="QQ3" s="47"/>
      <c r="QR3" s="45"/>
      <c r="QV3" s="42"/>
      <c r="QW3" s="47"/>
      <c r="QX3" s="45"/>
      <c r="RB3" s="42"/>
      <c r="RC3" s="47"/>
      <c r="RD3" s="45"/>
      <c r="RF3" s="42"/>
      <c r="RG3" s="47"/>
    </row>
    <row r="4" spans="1:475" x14ac:dyDescent="0.25">
      <c r="A4" s="40" t="s">
        <v>293</v>
      </c>
      <c r="B4" s="41">
        <v>0.4</v>
      </c>
      <c r="E4">
        <v>120</v>
      </c>
      <c r="F4">
        <v>130</v>
      </c>
      <c r="N4" s="46">
        <v>320</v>
      </c>
      <c r="O4" s="49">
        <v>320</v>
      </c>
      <c r="P4" s="49">
        <v>320</v>
      </c>
      <c r="Q4" s="49">
        <v>325</v>
      </c>
      <c r="R4" s="48">
        <f t="shared" ref="R4:R67" si="8">N4+P4-O4-Q4</f>
        <v>-5</v>
      </c>
      <c r="S4" s="44"/>
      <c r="T4" s="46">
        <v>96</v>
      </c>
      <c r="U4" s="49">
        <v>100</v>
      </c>
      <c r="V4" s="49">
        <v>96</v>
      </c>
      <c r="W4" s="49">
        <v>100</v>
      </c>
      <c r="X4" s="48">
        <f t="shared" ref="X4:X67" si="9">T4+V4-U4-W4</f>
        <v>-8</v>
      </c>
      <c r="Y4" s="44"/>
      <c r="Z4" s="46">
        <v>152</v>
      </c>
      <c r="AA4" s="49">
        <v>150</v>
      </c>
      <c r="AB4" s="49">
        <v>152</v>
      </c>
      <c r="AC4" s="49">
        <v>150</v>
      </c>
      <c r="AD4" s="48">
        <f t="shared" ref="AD4:AD67" si="10">Z4+AB4-AA4-AC4</f>
        <v>4</v>
      </c>
      <c r="AE4" s="44"/>
      <c r="AF4" s="46">
        <v>96</v>
      </c>
      <c r="AG4" s="49">
        <v>100</v>
      </c>
      <c r="AH4" s="48"/>
      <c r="AI4" s="48"/>
      <c r="AJ4" s="48">
        <f t="shared" ref="AJ4:AJ67" si="11">AF4+AH4-AG4-AI4</f>
        <v>-4</v>
      </c>
      <c r="AK4" s="44"/>
      <c r="AL4" s="49">
        <v>200</v>
      </c>
      <c r="AM4">
        <v>200</v>
      </c>
      <c r="AN4">
        <v>160</v>
      </c>
      <c r="AO4">
        <v>163</v>
      </c>
      <c r="AP4" s="42">
        <v>-3</v>
      </c>
      <c r="AQ4" s="44"/>
      <c r="AR4" s="46">
        <v>152</v>
      </c>
      <c r="AS4">
        <v>150</v>
      </c>
      <c r="AT4">
        <v>160</v>
      </c>
      <c r="AU4">
        <v>162</v>
      </c>
      <c r="AV4" s="42">
        <v>0</v>
      </c>
      <c r="AW4" s="44"/>
      <c r="AX4">
        <v>216</v>
      </c>
      <c r="AZ4">
        <v>220</v>
      </c>
      <c r="BA4">
        <v>224</v>
      </c>
      <c r="BB4">
        <v>230</v>
      </c>
      <c r="BC4" s="42">
        <v>-10</v>
      </c>
      <c r="BD4" s="44"/>
      <c r="BE4" s="43"/>
      <c r="BI4" s="42">
        <v>0</v>
      </c>
      <c r="BJ4" s="44"/>
      <c r="BK4">
        <v>216</v>
      </c>
      <c r="BL4">
        <v>220</v>
      </c>
      <c r="BM4">
        <v>160</v>
      </c>
      <c r="BN4">
        <v>160</v>
      </c>
      <c r="BO4" s="42">
        <v>-4</v>
      </c>
      <c r="BP4" s="44"/>
      <c r="BS4" s="42">
        <v>0</v>
      </c>
      <c r="BT4" s="44"/>
      <c r="BU4" s="46">
        <v>176</v>
      </c>
      <c r="BV4">
        <v>181</v>
      </c>
      <c r="BW4">
        <v>560</v>
      </c>
      <c r="BX4">
        <v>579</v>
      </c>
      <c r="BY4" s="39">
        <v>-24</v>
      </c>
      <c r="BZ4" s="44">
        <v>9.6000000000000014</v>
      </c>
      <c r="CA4">
        <v>48</v>
      </c>
      <c r="CB4">
        <v>48</v>
      </c>
      <c r="CC4">
        <v>48</v>
      </c>
      <c r="CD4">
        <v>52</v>
      </c>
      <c r="CE4" s="42">
        <v>-4</v>
      </c>
      <c r="CF4" s="44"/>
      <c r="CG4" s="46">
        <v>152</v>
      </c>
      <c r="CH4">
        <v>150</v>
      </c>
      <c r="CI4">
        <v>192</v>
      </c>
      <c r="CJ4">
        <v>195</v>
      </c>
      <c r="CK4" s="42">
        <v>-1</v>
      </c>
      <c r="CL4" s="44"/>
      <c r="CM4" s="46">
        <v>96</v>
      </c>
      <c r="CN4">
        <v>100</v>
      </c>
      <c r="CO4">
        <v>544</v>
      </c>
      <c r="CP4">
        <v>542</v>
      </c>
      <c r="CQ4" s="42">
        <v>-2</v>
      </c>
      <c r="CR4" s="44"/>
      <c r="CS4">
        <v>40</v>
      </c>
      <c r="CT4">
        <v>40</v>
      </c>
      <c r="CU4">
        <v>56</v>
      </c>
      <c r="CV4">
        <v>60</v>
      </c>
      <c r="CW4" s="42">
        <v>-4</v>
      </c>
      <c r="CX4" s="44"/>
      <c r="CY4" s="46">
        <v>96</v>
      </c>
      <c r="CZ4">
        <v>100</v>
      </c>
      <c r="DA4">
        <v>128</v>
      </c>
      <c r="DB4">
        <v>126</v>
      </c>
      <c r="DC4" s="42">
        <v>-2</v>
      </c>
      <c r="DD4" s="44"/>
      <c r="DE4" s="46">
        <v>80</v>
      </c>
      <c r="DF4">
        <v>80</v>
      </c>
      <c r="DI4">
        <v>48</v>
      </c>
      <c r="DJ4">
        <v>60</v>
      </c>
      <c r="DK4" s="39">
        <v>-12</v>
      </c>
      <c r="DL4" s="44">
        <v>4.8000000000000007</v>
      </c>
      <c r="DM4" s="46">
        <v>200</v>
      </c>
      <c r="DN4">
        <v>200</v>
      </c>
      <c r="DO4">
        <v>200</v>
      </c>
      <c r="DP4">
        <v>200</v>
      </c>
      <c r="DQ4" s="42">
        <v>0</v>
      </c>
      <c r="DR4" s="44"/>
      <c r="DU4">
        <v>296</v>
      </c>
      <c r="DV4">
        <v>300</v>
      </c>
      <c r="DY4" s="42">
        <v>-4</v>
      </c>
      <c r="DZ4" s="44"/>
      <c r="EA4" s="43"/>
      <c r="EE4" s="42">
        <v>0</v>
      </c>
      <c r="EF4" s="44"/>
      <c r="EG4" s="43"/>
      <c r="EI4">
        <v>80</v>
      </c>
      <c r="EJ4">
        <v>80</v>
      </c>
      <c r="EK4" s="42">
        <v>0</v>
      </c>
      <c r="EL4" s="44"/>
      <c r="EM4" s="46">
        <v>200</v>
      </c>
      <c r="EN4">
        <v>200</v>
      </c>
      <c r="EO4">
        <v>672</v>
      </c>
      <c r="EP4">
        <v>670</v>
      </c>
      <c r="EQ4" s="42">
        <v>2</v>
      </c>
      <c r="ER4" s="44"/>
      <c r="EY4" s="42">
        <v>0</v>
      </c>
      <c r="EZ4" s="44"/>
      <c r="FA4">
        <v>128</v>
      </c>
      <c r="FB4">
        <v>128</v>
      </c>
      <c r="FC4">
        <v>160</v>
      </c>
      <c r="FD4">
        <v>162</v>
      </c>
      <c r="FE4" s="42">
        <v>-2</v>
      </c>
      <c r="FF4" s="44"/>
      <c r="FG4" s="46">
        <v>96</v>
      </c>
      <c r="FH4">
        <v>100</v>
      </c>
      <c r="FI4">
        <v>240</v>
      </c>
      <c r="FJ4">
        <v>242</v>
      </c>
      <c r="FK4" s="42">
        <v>-6</v>
      </c>
      <c r="FL4" s="44"/>
      <c r="FM4" s="43"/>
      <c r="FO4" s="42">
        <v>0</v>
      </c>
      <c r="FP4" s="44"/>
      <c r="FS4">
        <v>48</v>
      </c>
      <c r="FT4">
        <v>50</v>
      </c>
      <c r="FU4" s="42">
        <v>-2</v>
      </c>
      <c r="FV4" s="44"/>
      <c r="FW4" s="46">
        <v>200</v>
      </c>
      <c r="FX4">
        <v>200</v>
      </c>
      <c r="FY4">
        <v>96</v>
      </c>
      <c r="FZ4">
        <v>100</v>
      </c>
      <c r="GA4">
        <v>200</v>
      </c>
      <c r="GB4">
        <v>200</v>
      </c>
      <c r="GC4" s="42">
        <v>-4</v>
      </c>
      <c r="GD4" s="44"/>
      <c r="GG4">
        <v>96</v>
      </c>
      <c r="GH4">
        <v>100</v>
      </c>
      <c r="GI4" s="42">
        <v>-4</v>
      </c>
      <c r="GJ4" s="44"/>
      <c r="GK4" s="43"/>
      <c r="GM4">
        <v>96</v>
      </c>
      <c r="GN4">
        <v>100</v>
      </c>
      <c r="GO4" s="42">
        <v>-4</v>
      </c>
      <c r="GP4" s="47"/>
      <c r="GQ4">
        <v>96</v>
      </c>
      <c r="GR4">
        <v>100</v>
      </c>
      <c r="GS4">
        <v>192</v>
      </c>
      <c r="GT4">
        <v>190</v>
      </c>
      <c r="GU4" s="42">
        <v>-2</v>
      </c>
      <c r="GV4" s="44"/>
      <c r="GY4" s="42">
        <v>0</v>
      </c>
      <c r="GZ4" s="47"/>
      <c r="HA4" s="43"/>
      <c r="HC4" s="42">
        <v>0</v>
      </c>
      <c r="HD4" s="44"/>
      <c r="HE4" s="46">
        <v>296</v>
      </c>
      <c r="HF4">
        <v>300</v>
      </c>
      <c r="HG4">
        <v>400</v>
      </c>
      <c r="HH4">
        <v>400</v>
      </c>
      <c r="HI4" s="42">
        <v>-4</v>
      </c>
      <c r="HJ4" s="47"/>
      <c r="HK4" s="43"/>
      <c r="HM4">
        <v>16</v>
      </c>
      <c r="HN4">
        <v>20</v>
      </c>
      <c r="HO4" s="42">
        <v>-4</v>
      </c>
      <c r="HP4" s="44"/>
      <c r="HT4">
        <v>152</v>
      </c>
      <c r="HU4">
        <v>150</v>
      </c>
      <c r="HV4" s="42">
        <v>2</v>
      </c>
      <c r="HW4" s="44"/>
      <c r="HX4" s="46">
        <v>280</v>
      </c>
      <c r="HY4">
        <v>280</v>
      </c>
      <c r="HZ4">
        <v>272</v>
      </c>
      <c r="IA4">
        <v>270</v>
      </c>
      <c r="IB4" s="42">
        <v>2</v>
      </c>
      <c r="IC4" s="44"/>
      <c r="IH4" s="42">
        <v>0</v>
      </c>
      <c r="II4" s="47"/>
      <c r="IL4">
        <v>104</v>
      </c>
      <c r="IM4">
        <v>105</v>
      </c>
      <c r="IN4" s="42">
        <v>-1</v>
      </c>
      <c r="IO4" s="47"/>
      <c r="IP4">
        <v>56</v>
      </c>
      <c r="IQ4">
        <v>60</v>
      </c>
      <c r="IT4" s="42">
        <v>-4</v>
      </c>
      <c r="IU4" s="47"/>
      <c r="IX4">
        <v>88</v>
      </c>
      <c r="IY4">
        <v>90</v>
      </c>
      <c r="IZ4" s="42">
        <v>-2</v>
      </c>
      <c r="JA4" s="44"/>
      <c r="JB4">
        <v>248</v>
      </c>
      <c r="JC4">
        <v>250</v>
      </c>
      <c r="JD4" s="42">
        <v>-2</v>
      </c>
      <c r="JE4" s="44"/>
      <c r="JF4">
        <v>200</v>
      </c>
      <c r="JG4">
        <v>200</v>
      </c>
      <c r="JH4">
        <v>160</v>
      </c>
      <c r="JI4">
        <v>161</v>
      </c>
      <c r="JJ4" s="42">
        <v>-1</v>
      </c>
      <c r="JK4" s="44"/>
      <c r="JL4" s="46">
        <v>136</v>
      </c>
      <c r="JM4" s="40">
        <v>140</v>
      </c>
      <c r="JN4" s="42">
        <v>-4</v>
      </c>
      <c r="JO4" s="44"/>
      <c r="JR4">
        <v>96</v>
      </c>
      <c r="JS4">
        <v>100</v>
      </c>
      <c r="JT4" s="42">
        <v>-4</v>
      </c>
      <c r="JU4" s="44"/>
      <c r="JZ4" s="42">
        <v>0</v>
      </c>
      <c r="KA4" s="47"/>
      <c r="KB4">
        <v>152</v>
      </c>
      <c r="KC4">
        <v>150</v>
      </c>
      <c r="KD4">
        <v>408</v>
      </c>
      <c r="KE4">
        <v>410</v>
      </c>
      <c r="KF4" s="42">
        <v>0</v>
      </c>
      <c r="KG4" s="44"/>
      <c r="KH4">
        <v>136</v>
      </c>
      <c r="KI4">
        <v>140</v>
      </c>
      <c r="KJ4">
        <v>176</v>
      </c>
      <c r="KK4">
        <v>180</v>
      </c>
      <c r="KL4" s="42">
        <v>-8</v>
      </c>
      <c r="KM4" s="47"/>
      <c r="KN4" s="45"/>
      <c r="KT4" s="42">
        <v>0</v>
      </c>
      <c r="KU4" s="47"/>
      <c r="KV4" s="40">
        <v>296</v>
      </c>
      <c r="KW4" s="40">
        <v>300</v>
      </c>
      <c r="KX4" s="40">
        <v>400</v>
      </c>
      <c r="KY4" s="40">
        <v>400</v>
      </c>
      <c r="KZ4" s="42">
        <v>-4</v>
      </c>
      <c r="LA4" s="47"/>
      <c r="LB4" s="40">
        <v>0</v>
      </c>
      <c r="LC4" s="40">
        <v>0</v>
      </c>
      <c r="LD4" s="40">
        <v>0</v>
      </c>
      <c r="LE4" s="40">
        <v>0</v>
      </c>
      <c r="LF4" s="42">
        <v>0</v>
      </c>
      <c r="LG4" s="47"/>
      <c r="LH4" s="45">
        <v>0</v>
      </c>
      <c r="LI4" s="40">
        <v>0</v>
      </c>
      <c r="LJ4" s="42">
        <v>0</v>
      </c>
      <c r="LK4" s="47"/>
      <c r="LL4" s="45">
        <v>0</v>
      </c>
      <c r="LM4" s="40">
        <v>0</v>
      </c>
      <c r="LN4" s="40">
        <v>0</v>
      </c>
      <c r="LO4" s="40">
        <v>0</v>
      </c>
      <c r="LP4" s="42">
        <v>0</v>
      </c>
      <c r="LQ4" s="47"/>
      <c r="LR4" s="45">
        <v>0</v>
      </c>
      <c r="LS4" s="40">
        <v>0</v>
      </c>
      <c r="LT4" s="40">
        <v>56</v>
      </c>
      <c r="LU4" s="40">
        <v>60</v>
      </c>
      <c r="LV4" s="42">
        <v>-4</v>
      </c>
      <c r="LW4" s="47"/>
      <c r="LX4" s="45">
        <v>456</v>
      </c>
      <c r="LY4" s="40">
        <v>460</v>
      </c>
      <c r="LZ4" s="42">
        <v>-4</v>
      </c>
      <c r="MA4" s="47"/>
      <c r="MB4" s="45">
        <v>0</v>
      </c>
      <c r="MC4" s="40">
        <v>0</v>
      </c>
      <c r="MD4" s="40">
        <v>0</v>
      </c>
      <c r="ME4" s="40">
        <v>0</v>
      </c>
      <c r="MF4" s="42">
        <v>0</v>
      </c>
      <c r="MG4" s="47"/>
      <c r="MH4" s="45">
        <v>848</v>
      </c>
      <c r="MI4" s="40">
        <v>850</v>
      </c>
      <c r="MJ4" s="42">
        <v>-2</v>
      </c>
      <c r="MK4" s="47"/>
      <c r="ML4" s="45">
        <v>0</v>
      </c>
      <c r="MM4" s="40">
        <v>0</v>
      </c>
      <c r="MN4" s="40">
        <v>0</v>
      </c>
      <c r="MO4" s="40">
        <v>0</v>
      </c>
      <c r="MP4" s="42">
        <v>0</v>
      </c>
      <c r="MQ4" s="47"/>
      <c r="MR4" s="40">
        <v>0</v>
      </c>
      <c r="MS4" s="40">
        <v>0</v>
      </c>
      <c r="MT4" s="40">
        <v>752</v>
      </c>
      <c r="MU4" s="40">
        <v>750</v>
      </c>
      <c r="MV4" s="42">
        <v>2</v>
      </c>
      <c r="MW4" s="47"/>
      <c r="MX4" s="45">
        <v>96</v>
      </c>
      <c r="MY4" s="40">
        <v>100</v>
      </c>
      <c r="MZ4" s="40">
        <v>152</v>
      </c>
      <c r="NA4" s="40">
        <v>150</v>
      </c>
      <c r="NB4" s="42">
        <v>-2</v>
      </c>
      <c r="NC4" s="47"/>
      <c r="ND4" s="45">
        <v>24</v>
      </c>
      <c r="NE4" s="40">
        <v>100</v>
      </c>
      <c r="NF4" s="40">
        <v>176</v>
      </c>
      <c r="NG4" s="40">
        <v>220</v>
      </c>
      <c r="NH4" s="39">
        <v>-120</v>
      </c>
      <c r="NI4" s="47">
        <v>48</v>
      </c>
      <c r="NJ4" s="45">
        <v>152</v>
      </c>
      <c r="NK4" s="40">
        <v>150</v>
      </c>
      <c r="NL4" s="40">
        <v>200</v>
      </c>
      <c r="NM4" s="40">
        <v>200</v>
      </c>
      <c r="NN4" s="42">
        <v>2</v>
      </c>
      <c r="NO4" s="47"/>
      <c r="NP4" s="45">
        <v>0</v>
      </c>
      <c r="NQ4" s="30">
        <v>130</v>
      </c>
      <c r="NR4" s="40">
        <v>200</v>
      </c>
      <c r="NS4" s="40">
        <v>200</v>
      </c>
      <c r="NT4" s="39">
        <v>-130</v>
      </c>
      <c r="NU4" s="47">
        <v>52</v>
      </c>
      <c r="NV4" s="45">
        <v>152</v>
      </c>
      <c r="NW4" s="40">
        <v>150</v>
      </c>
      <c r="NX4" s="40">
        <v>152</v>
      </c>
      <c r="NY4" s="40">
        <v>150</v>
      </c>
      <c r="NZ4" s="42">
        <v>4</v>
      </c>
      <c r="OA4" s="47"/>
      <c r="OB4" s="45">
        <v>240</v>
      </c>
      <c r="OC4" s="40">
        <v>550</v>
      </c>
      <c r="OD4" s="39">
        <v>-310</v>
      </c>
      <c r="OE4" s="47">
        <v>124</v>
      </c>
      <c r="OF4" s="45">
        <v>0</v>
      </c>
      <c r="OG4" s="40">
        <v>0</v>
      </c>
      <c r="OH4" s="40">
        <v>248</v>
      </c>
      <c r="OI4" s="40">
        <v>250</v>
      </c>
      <c r="OJ4" s="42">
        <v>-2</v>
      </c>
      <c r="OK4" s="47"/>
      <c r="OL4" s="45">
        <v>160</v>
      </c>
      <c r="OM4" s="40">
        <v>160</v>
      </c>
      <c r="ON4" s="40">
        <v>120</v>
      </c>
      <c r="OO4" s="40">
        <v>120</v>
      </c>
      <c r="OP4" s="42">
        <v>0</v>
      </c>
      <c r="OQ4" s="47"/>
      <c r="OR4" s="45">
        <v>200</v>
      </c>
      <c r="OS4" s="40">
        <v>200</v>
      </c>
      <c r="OT4" s="40">
        <v>200</v>
      </c>
      <c r="OU4" s="40">
        <v>200</v>
      </c>
      <c r="OV4" s="42">
        <v>0</v>
      </c>
      <c r="OW4" s="47"/>
      <c r="OX4" s="40">
        <v>80</v>
      </c>
      <c r="OY4" s="40">
        <v>80</v>
      </c>
      <c r="OZ4" s="40">
        <v>72</v>
      </c>
      <c r="PA4" s="40">
        <v>70</v>
      </c>
      <c r="PB4" s="42">
        <v>2</v>
      </c>
      <c r="PC4" s="47"/>
      <c r="PD4" s="45">
        <v>0</v>
      </c>
      <c r="PE4" s="40">
        <v>0</v>
      </c>
      <c r="PF4" s="40">
        <v>352</v>
      </c>
      <c r="PG4" s="40">
        <v>350</v>
      </c>
      <c r="PH4" s="42">
        <v>2</v>
      </c>
      <c r="PI4" s="47"/>
      <c r="PJ4" s="45">
        <v>192</v>
      </c>
      <c r="PK4" s="40">
        <v>200</v>
      </c>
      <c r="PL4" s="40">
        <v>112</v>
      </c>
      <c r="PM4" s="40">
        <v>200</v>
      </c>
      <c r="PN4" s="23">
        <v>-96</v>
      </c>
      <c r="PO4" s="47">
        <v>38.400000000000013</v>
      </c>
      <c r="PP4" s="43">
        <v>0</v>
      </c>
      <c r="PQ4" s="40">
        <v>0</v>
      </c>
      <c r="PR4" s="40">
        <v>0</v>
      </c>
      <c r="PS4" s="30">
        <v>40</v>
      </c>
      <c r="PT4" s="39">
        <v>-40</v>
      </c>
      <c r="PU4" s="47">
        <v>16</v>
      </c>
      <c r="PV4" s="45">
        <v>200</v>
      </c>
      <c r="PW4" s="40">
        <v>200</v>
      </c>
      <c r="PX4" s="40">
        <v>248</v>
      </c>
      <c r="PY4" s="40">
        <v>250</v>
      </c>
      <c r="PZ4" s="42">
        <v>-2</v>
      </c>
      <c r="QA4" s="47"/>
      <c r="QB4" s="45">
        <v>296</v>
      </c>
      <c r="QC4" s="40">
        <v>300</v>
      </c>
      <c r="QD4" s="42">
        <v>-4</v>
      </c>
      <c r="QE4" s="47"/>
      <c r="QF4" s="45">
        <v>120</v>
      </c>
      <c r="QG4" s="40">
        <v>120</v>
      </c>
      <c r="QH4" s="40">
        <v>176</v>
      </c>
      <c r="QI4" s="40">
        <v>180</v>
      </c>
      <c r="QJ4" s="42">
        <v>-4</v>
      </c>
      <c r="QK4" s="47"/>
      <c r="QL4" s="45">
        <v>56</v>
      </c>
      <c r="QM4" s="40">
        <v>60</v>
      </c>
      <c r="QN4" s="40">
        <v>72</v>
      </c>
      <c r="QO4" s="40">
        <v>70</v>
      </c>
      <c r="QP4" s="42">
        <v>-2</v>
      </c>
      <c r="QQ4" s="47"/>
      <c r="QR4" s="45">
        <v>0</v>
      </c>
      <c r="QS4" s="40">
        <v>99</v>
      </c>
      <c r="QT4" s="40">
        <v>0</v>
      </c>
      <c r="QU4" s="40">
        <v>110</v>
      </c>
      <c r="QV4" s="39">
        <v>-209</v>
      </c>
      <c r="QW4" s="47">
        <v>83.600000000000009</v>
      </c>
      <c r="QX4" s="45">
        <v>0</v>
      </c>
      <c r="QY4" s="40">
        <v>130</v>
      </c>
      <c r="QZ4" s="40">
        <v>0</v>
      </c>
      <c r="RA4" s="40">
        <v>200</v>
      </c>
      <c r="RB4" s="39">
        <v>-330</v>
      </c>
      <c r="RC4" s="47">
        <v>132</v>
      </c>
      <c r="RD4" s="45">
        <v>440</v>
      </c>
      <c r="RE4" s="40">
        <v>439.19999999999987</v>
      </c>
      <c r="RF4" s="42">
        <v>0.80000000000006821</v>
      </c>
      <c r="RG4" s="47"/>
    </row>
    <row r="5" spans="1:475" x14ac:dyDescent="0.25">
      <c r="A5" s="40" t="s">
        <v>294</v>
      </c>
      <c r="B5" s="41">
        <v>1</v>
      </c>
      <c r="N5" s="43"/>
      <c r="O5" s="48"/>
      <c r="P5" s="49">
        <v>36</v>
      </c>
      <c r="Q5" s="49">
        <v>35</v>
      </c>
      <c r="R5" s="48">
        <f t="shared" si="8"/>
        <v>1</v>
      </c>
      <c r="S5" s="44"/>
      <c r="T5" s="43"/>
      <c r="U5" s="48"/>
      <c r="V5" s="49">
        <v>12</v>
      </c>
      <c r="W5" s="49">
        <v>10</v>
      </c>
      <c r="X5" s="48">
        <f t="shared" si="9"/>
        <v>2</v>
      </c>
      <c r="Y5" s="44"/>
      <c r="Z5" s="43"/>
      <c r="AA5" s="48"/>
      <c r="AB5" s="49">
        <v>31</v>
      </c>
      <c r="AC5" s="49">
        <v>30</v>
      </c>
      <c r="AD5" s="48">
        <f t="shared" si="10"/>
        <v>1</v>
      </c>
      <c r="AE5" s="44"/>
      <c r="AF5" s="46">
        <v>20</v>
      </c>
      <c r="AG5" s="49">
        <v>20</v>
      </c>
      <c r="AH5" s="48"/>
      <c r="AI5" s="48"/>
      <c r="AJ5" s="48">
        <f t="shared" si="11"/>
        <v>0</v>
      </c>
      <c r="AK5" s="44"/>
      <c r="AL5" s="49">
        <v>15</v>
      </c>
      <c r="AM5">
        <v>15</v>
      </c>
      <c r="AN5">
        <v>16</v>
      </c>
      <c r="AO5">
        <v>15</v>
      </c>
      <c r="AP5" s="42">
        <v>1</v>
      </c>
      <c r="AQ5" s="44"/>
      <c r="AR5" s="46">
        <v>12</v>
      </c>
      <c r="AS5">
        <v>10</v>
      </c>
      <c r="AT5">
        <v>12</v>
      </c>
      <c r="AU5">
        <v>10</v>
      </c>
      <c r="AV5" s="42">
        <v>4</v>
      </c>
      <c r="AW5" s="44"/>
      <c r="BA5">
        <v>9</v>
      </c>
      <c r="BB5">
        <v>10</v>
      </c>
      <c r="BC5" s="42">
        <v>-1</v>
      </c>
      <c r="BD5" s="44"/>
      <c r="BE5" s="43"/>
      <c r="BG5">
        <v>19</v>
      </c>
      <c r="BH5">
        <v>20</v>
      </c>
      <c r="BI5" s="42">
        <v>-1</v>
      </c>
      <c r="BJ5" s="44"/>
      <c r="BM5">
        <v>32</v>
      </c>
      <c r="BN5">
        <v>30</v>
      </c>
      <c r="BO5" s="42">
        <v>2</v>
      </c>
      <c r="BP5" s="44"/>
      <c r="BS5" s="42">
        <v>0</v>
      </c>
      <c r="BT5" s="44"/>
      <c r="BU5" s="46">
        <v>39</v>
      </c>
      <c r="BV5">
        <v>40</v>
      </c>
      <c r="BY5" s="42">
        <v>-1</v>
      </c>
      <c r="BZ5" s="44"/>
      <c r="CC5">
        <v>19</v>
      </c>
      <c r="CD5">
        <v>20</v>
      </c>
      <c r="CE5" s="42">
        <v>-1</v>
      </c>
      <c r="CF5" s="44"/>
      <c r="CG5" s="43"/>
      <c r="CI5">
        <v>51</v>
      </c>
      <c r="CJ5">
        <v>50</v>
      </c>
      <c r="CK5" s="42">
        <v>1</v>
      </c>
      <c r="CL5" s="44"/>
      <c r="CM5" s="43"/>
      <c r="CO5">
        <v>16</v>
      </c>
      <c r="CP5">
        <v>17</v>
      </c>
      <c r="CQ5" s="42">
        <v>-1</v>
      </c>
      <c r="CR5" s="44"/>
      <c r="CW5" s="42">
        <v>0</v>
      </c>
      <c r="CX5" s="44"/>
      <c r="CY5" s="46">
        <v>20</v>
      </c>
      <c r="CZ5">
        <v>21</v>
      </c>
      <c r="DC5" s="42">
        <v>-1</v>
      </c>
      <c r="DD5" s="44"/>
      <c r="DE5" s="43"/>
      <c r="DK5" s="42">
        <v>0</v>
      </c>
      <c r="DL5" s="44"/>
      <c r="DM5" s="43"/>
      <c r="DO5">
        <v>51</v>
      </c>
      <c r="DP5">
        <v>50</v>
      </c>
      <c r="DQ5" s="42">
        <v>1</v>
      </c>
      <c r="DR5" s="44"/>
      <c r="DU5">
        <v>51</v>
      </c>
      <c r="DV5">
        <v>52</v>
      </c>
      <c r="DY5" s="42">
        <v>-1</v>
      </c>
      <c r="DZ5" s="44"/>
      <c r="EA5" s="43"/>
      <c r="EE5" s="42">
        <v>0</v>
      </c>
      <c r="EF5" s="44"/>
      <c r="EG5" s="43"/>
      <c r="EK5" s="42">
        <v>0</v>
      </c>
      <c r="EL5" s="44"/>
      <c r="EM5" s="43"/>
      <c r="EO5">
        <v>27</v>
      </c>
      <c r="EP5">
        <v>30</v>
      </c>
      <c r="EQ5" s="42">
        <v>-3</v>
      </c>
      <c r="ER5" s="44"/>
      <c r="EW5">
        <v>36</v>
      </c>
      <c r="EX5">
        <v>35</v>
      </c>
      <c r="EY5" s="42">
        <v>1</v>
      </c>
      <c r="EZ5" s="44"/>
      <c r="FE5" s="42">
        <v>0</v>
      </c>
      <c r="FF5" s="44"/>
      <c r="FG5" s="43"/>
      <c r="FI5">
        <v>4</v>
      </c>
      <c r="FJ5">
        <v>4</v>
      </c>
      <c r="FK5" s="42">
        <v>0</v>
      </c>
      <c r="FL5" s="44"/>
      <c r="FM5" s="43"/>
      <c r="FO5" s="42">
        <v>0</v>
      </c>
      <c r="FP5" s="44"/>
      <c r="FS5">
        <v>51</v>
      </c>
      <c r="FT5">
        <v>50</v>
      </c>
      <c r="FU5" s="42">
        <v>1</v>
      </c>
      <c r="FV5" s="44"/>
      <c r="FW5" s="43"/>
      <c r="GA5">
        <v>51</v>
      </c>
      <c r="GB5">
        <v>50</v>
      </c>
      <c r="GC5" s="42">
        <v>1</v>
      </c>
      <c r="GD5" s="44"/>
      <c r="GG5">
        <v>23</v>
      </c>
      <c r="GH5">
        <v>22</v>
      </c>
      <c r="GI5" s="42">
        <v>1</v>
      </c>
      <c r="GJ5" s="44"/>
      <c r="GK5" s="43"/>
      <c r="GO5" s="42">
        <v>0</v>
      </c>
      <c r="GP5" s="47"/>
      <c r="GU5" s="42">
        <v>0</v>
      </c>
      <c r="GV5" s="44"/>
      <c r="GY5" s="42">
        <v>0</v>
      </c>
      <c r="GZ5" s="47"/>
      <c r="HA5" s="43"/>
      <c r="HC5" s="42">
        <v>0</v>
      </c>
      <c r="HD5" s="44"/>
      <c r="HE5" s="43"/>
      <c r="HG5">
        <v>24</v>
      </c>
      <c r="HH5">
        <v>24</v>
      </c>
      <c r="HI5" s="42">
        <v>0</v>
      </c>
      <c r="HJ5" s="47"/>
      <c r="HK5" s="43"/>
      <c r="HM5">
        <v>99</v>
      </c>
      <c r="HN5">
        <v>100</v>
      </c>
      <c r="HO5" s="42">
        <v>-1</v>
      </c>
      <c r="HP5" s="44"/>
      <c r="HT5">
        <v>55</v>
      </c>
      <c r="HU5">
        <v>60</v>
      </c>
      <c r="HV5" s="42">
        <v>-5</v>
      </c>
      <c r="HW5" s="44"/>
      <c r="HX5" s="45"/>
      <c r="IB5" s="42">
        <v>0</v>
      </c>
      <c r="IC5" s="44"/>
      <c r="IH5" s="42">
        <v>0</v>
      </c>
      <c r="II5" s="47"/>
      <c r="IJ5">
        <v>39</v>
      </c>
      <c r="IK5">
        <v>40</v>
      </c>
      <c r="IN5" s="42">
        <v>-1</v>
      </c>
      <c r="IO5" s="47"/>
      <c r="IT5" s="42">
        <v>0</v>
      </c>
      <c r="IU5" s="47"/>
      <c r="IX5">
        <v>39</v>
      </c>
      <c r="IY5">
        <v>40</v>
      </c>
      <c r="IZ5" s="42">
        <v>-1</v>
      </c>
      <c r="JA5" s="44"/>
      <c r="JB5">
        <v>20</v>
      </c>
      <c r="JC5">
        <v>20</v>
      </c>
      <c r="JD5" s="42">
        <v>0</v>
      </c>
      <c r="JE5" s="44"/>
      <c r="JH5">
        <v>82</v>
      </c>
      <c r="JI5">
        <v>83</v>
      </c>
      <c r="JJ5" s="42">
        <v>-1</v>
      </c>
      <c r="JK5" s="44"/>
      <c r="JL5" s="46">
        <v>51</v>
      </c>
      <c r="JM5" s="40">
        <v>50</v>
      </c>
      <c r="JN5" s="42">
        <v>1</v>
      </c>
      <c r="JO5" s="44"/>
      <c r="JT5" s="42">
        <v>0</v>
      </c>
      <c r="JU5" s="44"/>
      <c r="JV5">
        <v>44</v>
      </c>
      <c r="JW5">
        <v>42</v>
      </c>
      <c r="JZ5" s="42">
        <v>2</v>
      </c>
      <c r="KA5" s="47"/>
      <c r="KB5">
        <v>43</v>
      </c>
      <c r="KC5">
        <v>40</v>
      </c>
      <c r="KD5">
        <v>24</v>
      </c>
      <c r="KE5">
        <v>25</v>
      </c>
      <c r="KF5" s="42">
        <v>2</v>
      </c>
      <c r="KG5" s="44"/>
      <c r="KH5" s="41"/>
      <c r="KL5" s="42">
        <v>0</v>
      </c>
      <c r="KM5" s="47"/>
      <c r="KN5" s="46">
        <v>20</v>
      </c>
      <c r="KO5">
        <v>20</v>
      </c>
      <c r="KP5">
        <v>20</v>
      </c>
      <c r="KQ5">
        <v>20</v>
      </c>
      <c r="KR5">
        <v>51</v>
      </c>
      <c r="KS5">
        <v>30</v>
      </c>
      <c r="KT5" s="42">
        <v>21</v>
      </c>
      <c r="KU5" s="47"/>
      <c r="KV5" s="40">
        <v>0</v>
      </c>
      <c r="KW5" s="40">
        <v>0</v>
      </c>
      <c r="KX5" s="40">
        <v>50.372</v>
      </c>
      <c r="KY5" s="40">
        <v>50</v>
      </c>
      <c r="KZ5" s="42">
        <v>0.37199999999999989</v>
      </c>
      <c r="LA5" s="47"/>
      <c r="LB5" s="40">
        <v>0</v>
      </c>
      <c r="LC5" s="40">
        <v>0</v>
      </c>
      <c r="LD5" s="40">
        <v>0</v>
      </c>
      <c r="LE5" s="40">
        <v>0</v>
      </c>
      <c r="LF5" s="42">
        <v>0</v>
      </c>
      <c r="LG5" s="47"/>
      <c r="LH5" s="45">
        <v>39.015999999999998</v>
      </c>
      <c r="LI5" s="40">
        <v>40</v>
      </c>
      <c r="LJ5" s="42">
        <v>-0.98400000000000176</v>
      </c>
      <c r="LK5" s="47"/>
      <c r="LL5" s="45">
        <v>0</v>
      </c>
      <c r="LM5" s="40">
        <v>0</v>
      </c>
      <c r="LN5" s="40">
        <v>27.98</v>
      </c>
      <c r="LO5" s="40">
        <v>30</v>
      </c>
      <c r="LP5" s="42">
        <v>-2.02</v>
      </c>
      <c r="LQ5" s="47"/>
      <c r="LR5" s="45">
        <v>0</v>
      </c>
      <c r="LS5" s="40">
        <v>0</v>
      </c>
      <c r="LT5" s="40">
        <v>0</v>
      </c>
      <c r="LU5" s="40">
        <v>0</v>
      </c>
      <c r="LV5" s="42">
        <v>0</v>
      </c>
      <c r="LW5" s="47"/>
      <c r="LX5" s="45">
        <v>51.737000000000002</v>
      </c>
      <c r="LY5" s="40">
        <v>50</v>
      </c>
      <c r="LZ5" s="42">
        <v>1.7370000000000021</v>
      </c>
      <c r="MA5" s="47"/>
      <c r="MB5" s="45">
        <v>0</v>
      </c>
      <c r="MC5" s="40">
        <v>0</v>
      </c>
      <c r="MD5" s="40">
        <v>16.007999999999999</v>
      </c>
      <c r="ME5" s="40">
        <v>15</v>
      </c>
      <c r="MF5" s="42">
        <v>1.0079999999999989</v>
      </c>
      <c r="MG5" s="47"/>
      <c r="MH5" s="45">
        <v>40.25</v>
      </c>
      <c r="MI5" s="40">
        <v>40</v>
      </c>
      <c r="MJ5" s="42">
        <v>0.25</v>
      </c>
      <c r="MK5" s="47"/>
      <c r="ML5" s="45">
        <v>0</v>
      </c>
      <c r="MM5" s="40">
        <v>0</v>
      </c>
      <c r="MN5" s="40">
        <v>80.331999999999994</v>
      </c>
      <c r="MO5" s="40">
        <v>80</v>
      </c>
      <c r="MP5" s="42">
        <v>0.33199999999999358</v>
      </c>
      <c r="MQ5" s="47"/>
      <c r="MR5" s="40">
        <v>0</v>
      </c>
      <c r="MS5" s="40">
        <v>0</v>
      </c>
      <c r="MT5" s="40">
        <v>0</v>
      </c>
      <c r="MU5" s="40">
        <v>0</v>
      </c>
      <c r="MV5" s="42">
        <v>0</v>
      </c>
      <c r="MW5" s="47"/>
      <c r="MX5" s="45">
        <v>0</v>
      </c>
      <c r="MY5" s="40">
        <v>0</v>
      </c>
      <c r="MZ5" s="40">
        <v>63.704999999999998</v>
      </c>
      <c r="NA5" s="40">
        <v>64</v>
      </c>
      <c r="NB5" s="42">
        <v>-0.29500000000000171</v>
      </c>
      <c r="NC5" s="47"/>
      <c r="ND5" s="45">
        <v>0</v>
      </c>
      <c r="NE5" s="40">
        <v>0</v>
      </c>
      <c r="NF5" s="40">
        <v>0</v>
      </c>
      <c r="NG5" s="40">
        <v>0</v>
      </c>
      <c r="NH5" s="42">
        <v>0</v>
      </c>
      <c r="NI5" s="47"/>
      <c r="NJ5" s="45">
        <v>0</v>
      </c>
      <c r="NK5" s="40">
        <v>0</v>
      </c>
      <c r="NL5" s="40">
        <v>52.628999999999998</v>
      </c>
      <c r="NM5" s="40">
        <v>50</v>
      </c>
      <c r="NN5" s="42">
        <v>2.6289999999999978</v>
      </c>
      <c r="NO5" s="47"/>
      <c r="NP5" s="45">
        <v>0</v>
      </c>
      <c r="NQ5" s="40">
        <v>0</v>
      </c>
      <c r="NR5" s="40">
        <v>52.015000000000001</v>
      </c>
      <c r="NS5" s="40">
        <v>50</v>
      </c>
      <c r="NT5" s="42">
        <v>2.015000000000001</v>
      </c>
      <c r="NU5" s="47"/>
      <c r="NV5" s="45">
        <v>0</v>
      </c>
      <c r="NW5" s="40">
        <v>0</v>
      </c>
      <c r="NX5" s="40">
        <v>52.293999999999997</v>
      </c>
      <c r="NY5" s="40">
        <v>50</v>
      </c>
      <c r="NZ5" s="42">
        <v>2.2939999999999969</v>
      </c>
      <c r="OA5" s="47"/>
      <c r="OB5" s="45">
        <v>67.813999999999993</v>
      </c>
      <c r="OC5" s="40">
        <v>66</v>
      </c>
      <c r="OD5" s="42">
        <v>1.813999999999993</v>
      </c>
      <c r="OE5" s="47"/>
      <c r="OF5" s="45">
        <v>0</v>
      </c>
      <c r="OG5" s="40">
        <v>0</v>
      </c>
      <c r="OH5" s="40">
        <v>0</v>
      </c>
      <c r="OI5" s="40">
        <v>0</v>
      </c>
      <c r="OJ5" s="42">
        <v>0</v>
      </c>
      <c r="OK5" s="47"/>
      <c r="OL5" s="45">
        <v>0</v>
      </c>
      <c r="OM5" s="40">
        <v>0</v>
      </c>
      <c r="ON5" s="40">
        <v>77.867000000000004</v>
      </c>
      <c r="OO5" s="40">
        <v>80</v>
      </c>
      <c r="OP5" s="42">
        <v>-2.132999999999996</v>
      </c>
      <c r="OQ5" s="47"/>
      <c r="OR5" s="45">
        <v>0</v>
      </c>
      <c r="OS5" s="40">
        <v>0</v>
      </c>
      <c r="OT5" s="40">
        <v>0</v>
      </c>
      <c r="OU5" s="40">
        <v>0</v>
      </c>
      <c r="OV5" s="42">
        <v>0</v>
      </c>
      <c r="OW5" s="47"/>
      <c r="OX5" s="40">
        <v>31.187000000000001</v>
      </c>
      <c r="OY5" s="40">
        <v>30</v>
      </c>
      <c r="OZ5" s="40">
        <v>31.748000000000001</v>
      </c>
      <c r="PA5" s="40">
        <v>30</v>
      </c>
      <c r="PB5" s="42">
        <v>2.9350000000000018</v>
      </c>
      <c r="PC5" s="47"/>
      <c r="PD5" s="45">
        <v>0</v>
      </c>
      <c r="PE5" s="40">
        <v>0</v>
      </c>
      <c r="PF5" s="40">
        <v>70.372</v>
      </c>
      <c r="PG5" s="40">
        <v>70</v>
      </c>
      <c r="PH5" s="42">
        <v>0.37199999999999989</v>
      </c>
      <c r="PI5" s="47"/>
      <c r="PJ5" s="45">
        <v>0</v>
      </c>
      <c r="PK5" s="40">
        <v>0</v>
      </c>
      <c r="PL5" s="40">
        <v>51.98</v>
      </c>
      <c r="PM5" s="40">
        <v>50</v>
      </c>
      <c r="PN5" s="42">
        <v>1.9799999999999971</v>
      </c>
      <c r="PO5" s="47"/>
      <c r="PP5" s="43">
        <v>0</v>
      </c>
      <c r="PQ5" s="40">
        <v>0</v>
      </c>
      <c r="PR5" s="40">
        <v>19.815999999999999</v>
      </c>
      <c r="PS5" s="40">
        <v>20</v>
      </c>
      <c r="PT5" s="42">
        <v>-0.18400000000000111</v>
      </c>
      <c r="PU5" s="47"/>
      <c r="PV5" s="45">
        <v>50.996000000000002</v>
      </c>
      <c r="PW5" s="40">
        <v>50</v>
      </c>
      <c r="PX5" s="40">
        <v>0</v>
      </c>
      <c r="PY5" s="40">
        <v>0</v>
      </c>
      <c r="PZ5" s="42">
        <v>0.99600000000000222</v>
      </c>
      <c r="QA5" s="47"/>
      <c r="QB5" s="45">
        <v>80.272000000000006</v>
      </c>
      <c r="QC5" s="40">
        <v>80</v>
      </c>
      <c r="QD5" s="42">
        <v>0.27200000000000563</v>
      </c>
      <c r="QE5" s="47"/>
      <c r="QF5" s="45">
        <v>71.662999999999997</v>
      </c>
      <c r="QG5" s="40">
        <v>73</v>
      </c>
      <c r="QH5" s="40">
        <v>0</v>
      </c>
      <c r="QI5" s="40">
        <v>0</v>
      </c>
      <c r="QJ5" s="42">
        <v>-1.3370000000000031</v>
      </c>
      <c r="QK5" s="47"/>
      <c r="QL5" s="45">
        <v>0</v>
      </c>
      <c r="QM5" s="40">
        <v>0</v>
      </c>
      <c r="QN5" s="40">
        <v>0</v>
      </c>
      <c r="QO5" s="40">
        <v>0</v>
      </c>
      <c r="QP5" s="42">
        <v>0</v>
      </c>
      <c r="QQ5" s="47"/>
      <c r="QR5" s="45">
        <v>59.8</v>
      </c>
      <c r="QS5" s="40">
        <v>58</v>
      </c>
      <c r="QT5" s="40">
        <v>0</v>
      </c>
      <c r="QU5" s="40">
        <v>50</v>
      </c>
      <c r="QV5" s="39">
        <v>-48.2</v>
      </c>
      <c r="QW5" s="47">
        <v>48.2</v>
      </c>
      <c r="QX5" s="45">
        <v>31.968</v>
      </c>
      <c r="QY5" s="40">
        <v>30</v>
      </c>
      <c r="QZ5" s="40">
        <v>0</v>
      </c>
      <c r="RA5" s="40">
        <v>0</v>
      </c>
      <c r="RB5" s="42">
        <v>1.968</v>
      </c>
      <c r="RC5" s="47"/>
      <c r="RD5" s="45">
        <v>20.193000000000001</v>
      </c>
      <c r="RE5" s="40">
        <v>20</v>
      </c>
      <c r="RF5" s="42">
        <v>0.19300000000000139</v>
      </c>
      <c r="RG5" s="47"/>
    </row>
    <row r="6" spans="1:475" x14ac:dyDescent="0.25">
      <c r="A6" s="40" t="s">
        <v>295</v>
      </c>
      <c r="B6" s="41">
        <v>1</v>
      </c>
      <c r="N6" s="43"/>
      <c r="O6" s="48"/>
      <c r="P6" s="48"/>
      <c r="Q6" s="48"/>
      <c r="R6" s="48">
        <f t="shared" si="8"/>
        <v>0</v>
      </c>
      <c r="S6" s="44"/>
      <c r="T6" s="43"/>
      <c r="U6" s="48"/>
      <c r="V6" s="48"/>
      <c r="W6" s="48"/>
      <c r="X6" s="48">
        <f t="shared" si="9"/>
        <v>0</v>
      </c>
      <c r="Y6" s="44"/>
      <c r="Z6" s="43"/>
      <c r="AA6" s="48"/>
      <c r="AB6" s="48"/>
      <c r="AC6" s="48"/>
      <c r="AD6" s="48">
        <f t="shared" si="10"/>
        <v>0</v>
      </c>
      <c r="AE6" s="44"/>
      <c r="AF6" s="43"/>
      <c r="AG6" s="48"/>
      <c r="AH6" s="48"/>
      <c r="AI6" s="48"/>
      <c r="AJ6" s="48">
        <f t="shared" si="11"/>
        <v>0</v>
      </c>
      <c r="AK6" s="44"/>
      <c r="AL6" s="48"/>
      <c r="AP6" s="42">
        <v>0</v>
      </c>
      <c r="AQ6" s="44"/>
      <c r="AR6" s="43"/>
      <c r="AV6" s="42">
        <v>0</v>
      </c>
      <c r="AW6" s="44"/>
      <c r="BC6" s="42">
        <v>0</v>
      </c>
      <c r="BD6" s="44"/>
      <c r="BE6" s="43"/>
      <c r="BI6" s="42">
        <v>0</v>
      </c>
      <c r="BJ6" s="44"/>
      <c r="BO6" s="42">
        <v>0</v>
      </c>
      <c r="BP6" s="44"/>
      <c r="BS6" s="42">
        <v>0</v>
      </c>
      <c r="BT6" s="44"/>
      <c r="BU6" s="43"/>
      <c r="BY6" s="42">
        <v>0</v>
      </c>
      <c r="BZ6" s="44"/>
      <c r="CE6" s="42">
        <v>0</v>
      </c>
      <c r="CF6" s="44"/>
      <c r="CG6" s="43"/>
      <c r="CK6" s="42">
        <v>0</v>
      </c>
      <c r="CL6" s="44"/>
      <c r="CM6" s="43"/>
      <c r="CQ6" s="42">
        <v>0</v>
      </c>
      <c r="CR6" s="44"/>
      <c r="CW6" s="42">
        <v>0</v>
      </c>
      <c r="CX6" s="44"/>
      <c r="CY6" s="43"/>
      <c r="DC6" s="42">
        <v>0</v>
      </c>
      <c r="DD6" s="44"/>
      <c r="DE6" s="43"/>
      <c r="DK6" s="42">
        <v>0</v>
      </c>
      <c r="DL6" s="44"/>
      <c r="DM6" s="43"/>
      <c r="DQ6" s="42">
        <v>0</v>
      </c>
      <c r="DR6" s="44"/>
      <c r="DY6" s="42">
        <v>0</v>
      </c>
      <c r="DZ6" s="44"/>
      <c r="EA6" s="43"/>
      <c r="EE6" s="42">
        <v>0</v>
      </c>
      <c r="EF6" s="44"/>
      <c r="EG6" s="43"/>
      <c r="EK6" s="42">
        <v>0</v>
      </c>
      <c r="EL6" s="44"/>
      <c r="EM6" s="43"/>
      <c r="EQ6" s="42">
        <v>0</v>
      </c>
      <c r="ER6" s="44"/>
      <c r="EY6" s="42">
        <v>0</v>
      </c>
      <c r="EZ6" s="44"/>
      <c r="FE6" s="42">
        <v>0</v>
      </c>
      <c r="FF6" s="44"/>
      <c r="FG6" s="43"/>
      <c r="FK6" s="42">
        <v>0</v>
      </c>
      <c r="FL6" s="44"/>
      <c r="FM6" s="43"/>
      <c r="FO6" s="42">
        <v>0</v>
      </c>
      <c r="FP6" s="44"/>
      <c r="FU6" s="42">
        <v>0</v>
      </c>
      <c r="FV6" s="44"/>
      <c r="FW6" s="43"/>
      <c r="GC6" s="42">
        <v>0</v>
      </c>
      <c r="GD6" s="44"/>
      <c r="GI6" s="42">
        <v>0</v>
      </c>
      <c r="GJ6" s="44"/>
      <c r="GK6" s="43"/>
      <c r="GO6" s="42">
        <v>0</v>
      </c>
      <c r="GP6" s="47"/>
      <c r="GU6" s="42">
        <v>0</v>
      </c>
      <c r="GV6" s="44"/>
      <c r="GY6" s="42">
        <v>0</v>
      </c>
      <c r="GZ6" s="47"/>
      <c r="HA6" s="43"/>
      <c r="HC6" s="42">
        <v>0</v>
      </c>
      <c r="HD6" s="44"/>
      <c r="HE6" s="43"/>
      <c r="HI6" s="42">
        <v>0</v>
      </c>
      <c r="HJ6" s="47"/>
      <c r="HK6" s="43"/>
      <c r="HO6" s="42">
        <v>0</v>
      </c>
      <c r="HP6" s="44"/>
      <c r="HV6" s="42">
        <v>0</v>
      </c>
      <c r="HW6" s="44"/>
      <c r="HX6" s="45"/>
      <c r="IB6" s="42">
        <v>0</v>
      </c>
      <c r="IC6" s="44"/>
      <c r="IH6" s="42">
        <v>0</v>
      </c>
      <c r="II6" s="47"/>
      <c r="IN6" s="42">
        <v>0</v>
      </c>
      <c r="IO6" s="47"/>
      <c r="IT6" s="42">
        <v>0</v>
      </c>
      <c r="IU6" s="47"/>
      <c r="IZ6" s="42">
        <v>0</v>
      </c>
      <c r="JA6" s="44"/>
      <c r="JD6" s="42">
        <v>0</v>
      </c>
      <c r="JE6" s="44"/>
      <c r="JJ6" s="42">
        <v>0</v>
      </c>
      <c r="JK6" s="44"/>
      <c r="JL6" s="45"/>
      <c r="JN6" s="42">
        <v>0</v>
      </c>
      <c r="JO6" s="44"/>
      <c r="JT6" s="42">
        <v>0</v>
      </c>
      <c r="JU6" s="44"/>
      <c r="JZ6" s="42">
        <v>0</v>
      </c>
      <c r="KA6" s="47"/>
      <c r="KF6" s="42">
        <v>0</v>
      </c>
      <c r="KG6" s="44"/>
      <c r="KH6" s="41"/>
      <c r="KL6" s="42">
        <v>0</v>
      </c>
      <c r="KM6" s="47"/>
      <c r="KN6" s="45"/>
      <c r="KT6" s="42">
        <v>0</v>
      </c>
      <c r="KU6" s="47"/>
      <c r="KV6" s="40">
        <v>0</v>
      </c>
      <c r="KW6" s="40">
        <v>0</v>
      </c>
      <c r="KX6" s="40">
        <v>0</v>
      </c>
      <c r="KY6" s="40">
        <v>0</v>
      </c>
      <c r="KZ6" s="42">
        <v>0</v>
      </c>
      <c r="LA6" s="47"/>
      <c r="LB6" s="40">
        <v>0</v>
      </c>
      <c r="LC6" s="40">
        <v>0</v>
      </c>
      <c r="LD6" s="40">
        <v>0</v>
      </c>
      <c r="LE6" s="40">
        <v>0</v>
      </c>
      <c r="LF6" s="42">
        <v>0</v>
      </c>
      <c r="LG6" s="47"/>
      <c r="LH6" s="45">
        <v>0</v>
      </c>
      <c r="LI6" s="40">
        <v>0</v>
      </c>
      <c r="LJ6" s="42">
        <v>0</v>
      </c>
      <c r="LK6" s="47"/>
      <c r="LL6" s="45">
        <v>0</v>
      </c>
      <c r="LM6" s="40">
        <v>0</v>
      </c>
      <c r="LN6" s="40">
        <v>0</v>
      </c>
      <c r="LO6" s="40">
        <v>0</v>
      </c>
      <c r="LP6" s="42">
        <v>0</v>
      </c>
      <c r="LQ6" s="47"/>
      <c r="LR6" s="45">
        <v>0</v>
      </c>
      <c r="LS6" s="40">
        <v>0</v>
      </c>
      <c r="LT6" s="40">
        <v>0</v>
      </c>
      <c r="LU6" s="40">
        <v>0</v>
      </c>
      <c r="LV6" s="42">
        <v>0</v>
      </c>
      <c r="LW6" s="47"/>
      <c r="LX6" s="45">
        <v>0</v>
      </c>
      <c r="LY6" s="40">
        <v>0</v>
      </c>
      <c r="LZ6" s="42">
        <v>0</v>
      </c>
      <c r="MA6" s="47"/>
      <c r="MB6" s="45">
        <v>0</v>
      </c>
      <c r="MC6" s="40">
        <v>0</v>
      </c>
      <c r="MD6" s="40">
        <v>0</v>
      </c>
      <c r="ME6" s="40">
        <v>0</v>
      </c>
      <c r="MF6" s="42">
        <v>0</v>
      </c>
      <c r="MG6" s="47"/>
      <c r="MH6" s="45">
        <v>0</v>
      </c>
      <c r="MI6" s="40">
        <v>0</v>
      </c>
      <c r="MJ6" s="42">
        <v>0</v>
      </c>
      <c r="MK6" s="47"/>
      <c r="ML6" s="45">
        <v>0</v>
      </c>
      <c r="MM6" s="40">
        <v>0</v>
      </c>
      <c r="MN6" s="40">
        <v>0</v>
      </c>
      <c r="MO6" s="40">
        <v>0</v>
      </c>
      <c r="MP6" s="42">
        <v>0</v>
      </c>
      <c r="MQ6" s="47"/>
      <c r="MR6" s="40">
        <v>0</v>
      </c>
      <c r="MS6" s="40">
        <v>0</v>
      </c>
      <c r="MT6" s="40">
        <v>0</v>
      </c>
      <c r="MU6" s="40">
        <v>0</v>
      </c>
      <c r="MV6" s="42">
        <v>0</v>
      </c>
      <c r="MW6" s="47"/>
      <c r="MX6" s="45">
        <v>0</v>
      </c>
      <c r="MY6" s="40">
        <v>0</v>
      </c>
      <c r="MZ6" s="40">
        <v>0</v>
      </c>
      <c r="NA6" s="40">
        <v>0</v>
      </c>
      <c r="NB6" s="42">
        <v>0</v>
      </c>
      <c r="NC6" s="47"/>
      <c r="ND6" s="45">
        <v>0</v>
      </c>
      <c r="NE6" s="40">
        <v>0</v>
      </c>
      <c r="NF6" s="40">
        <v>0</v>
      </c>
      <c r="NG6" s="40">
        <v>0</v>
      </c>
      <c r="NH6" s="42">
        <v>0</v>
      </c>
      <c r="NI6" s="47"/>
      <c r="NJ6" s="45">
        <v>0</v>
      </c>
      <c r="NK6" s="40">
        <v>0</v>
      </c>
      <c r="NL6" s="40">
        <v>0</v>
      </c>
      <c r="NM6" s="40">
        <v>0</v>
      </c>
      <c r="NN6" s="42">
        <v>0</v>
      </c>
      <c r="NO6" s="47"/>
      <c r="NP6" s="45">
        <v>0</v>
      </c>
      <c r="NQ6" s="40">
        <v>0</v>
      </c>
      <c r="NR6" s="40">
        <v>0</v>
      </c>
      <c r="NS6" s="40">
        <v>0</v>
      </c>
      <c r="NT6" s="42">
        <v>0</v>
      </c>
      <c r="NU6" s="47"/>
      <c r="NV6" s="45">
        <v>0</v>
      </c>
      <c r="NW6" s="40">
        <v>0</v>
      </c>
      <c r="NX6" s="40">
        <v>0</v>
      </c>
      <c r="NY6" s="40">
        <v>0</v>
      </c>
      <c r="NZ6" s="42">
        <v>0</v>
      </c>
      <c r="OA6" s="47"/>
      <c r="OB6" s="45">
        <v>0</v>
      </c>
      <c r="OC6" s="40">
        <v>0</v>
      </c>
      <c r="OD6" s="42">
        <v>0</v>
      </c>
      <c r="OE6" s="47"/>
      <c r="OF6" s="45">
        <v>0</v>
      </c>
      <c r="OG6" s="40">
        <v>0</v>
      </c>
      <c r="OH6" s="40">
        <v>0</v>
      </c>
      <c r="OI6" s="40">
        <v>0</v>
      </c>
      <c r="OJ6" s="42">
        <v>0</v>
      </c>
      <c r="OK6" s="47"/>
      <c r="OL6" s="45">
        <v>0</v>
      </c>
      <c r="OM6" s="40">
        <v>0</v>
      </c>
      <c r="ON6" s="40">
        <v>0</v>
      </c>
      <c r="OO6" s="40">
        <v>0</v>
      </c>
      <c r="OP6" s="42">
        <v>0</v>
      </c>
      <c r="OQ6" s="47"/>
      <c r="OR6" s="45">
        <v>0</v>
      </c>
      <c r="OS6" s="40">
        <v>0</v>
      </c>
      <c r="OT6" s="40">
        <v>0</v>
      </c>
      <c r="OU6" s="14">
        <v>53</v>
      </c>
      <c r="OV6" s="42">
        <v>0.45799999999999841</v>
      </c>
      <c r="OW6" s="47"/>
      <c r="OX6" s="40">
        <v>0</v>
      </c>
      <c r="OY6" s="14">
        <v>160</v>
      </c>
      <c r="OZ6" s="40">
        <v>0</v>
      </c>
      <c r="PA6" s="14">
        <v>150</v>
      </c>
      <c r="PB6" s="42">
        <v>1.023000000000025</v>
      </c>
      <c r="PC6" s="47"/>
      <c r="PD6" s="45">
        <v>250.411</v>
      </c>
      <c r="PE6" s="40">
        <v>250</v>
      </c>
      <c r="PF6" s="40">
        <v>282.49400000000003</v>
      </c>
      <c r="PG6" s="40">
        <v>282</v>
      </c>
      <c r="PH6" s="42">
        <v>0.90499999999997272</v>
      </c>
      <c r="PI6" s="47"/>
      <c r="PJ6" s="45">
        <v>159.709</v>
      </c>
      <c r="PK6" s="40">
        <v>150</v>
      </c>
      <c r="PL6" s="40">
        <v>152.02099999999999</v>
      </c>
      <c r="PM6" s="40">
        <v>150</v>
      </c>
      <c r="PN6" s="42">
        <v>11.73000000000002</v>
      </c>
      <c r="PO6" s="47"/>
      <c r="PP6" s="43">
        <v>102.241</v>
      </c>
      <c r="PQ6" s="40">
        <v>100</v>
      </c>
      <c r="PR6" s="40">
        <v>150.649</v>
      </c>
      <c r="PS6" s="40">
        <v>150</v>
      </c>
      <c r="PT6" s="42">
        <v>2.8899999999999859</v>
      </c>
      <c r="PU6" s="47"/>
      <c r="PV6" s="45">
        <v>223.988</v>
      </c>
      <c r="PW6" s="40">
        <v>230</v>
      </c>
      <c r="PX6" s="40">
        <v>199.976</v>
      </c>
      <c r="PY6" s="40">
        <v>200</v>
      </c>
      <c r="PZ6" s="42">
        <v>-6.0360000000000014</v>
      </c>
      <c r="QA6" s="47"/>
      <c r="QB6" s="45">
        <v>431.166</v>
      </c>
      <c r="QC6" s="40">
        <v>430</v>
      </c>
      <c r="QD6" s="42">
        <v>1.165999999999997</v>
      </c>
      <c r="QE6" s="47"/>
      <c r="QF6" s="45">
        <v>148.94</v>
      </c>
      <c r="QG6" s="40">
        <v>148</v>
      </c>
      <c r="QH6" s="40">
        <v>200.858</v>
      </c>
      <c r="QI6" s="40">
        <v>200</v>
      </c>
      <c r="QJ6" s="42">
        <v>1.798000000000002</v>
      </c>
      <c r="QK6" s="47"/>
      <c r="QL6" s="45">
        <v>155.80500000000001</v>
      </c>
      <c r="QM6" s="40">
        <v>170</v>
      </c>
      <c r="QN6" s="40">
        <v>200.619</v>
      </c>
      <c r="QO6" s="40">
        <v>200</v>
      </c>
      <c r="QP6" s="39">
        <v>-13.57600000000002</v>
      </c>
      <c r="QQ6" s="47">
        <v>13.57600000000002</v>
      </c>
      <c r="QR6" s="45">
        <v>51.805</v>
      </c>
      <c r="QS6" s="40">
        <v>49</v>
      </c>
      <c r="QT6" s="40">
        <v>0</v>
      </c>
      <c r="QU6" s="40">
        <v>50</v>
      </c>
      <c r="QV6" s="39">
        <v>-47.195</v>
      </c>
      <c r="QW6" s="47">
        <v>47.195</v>
      </c>
      <c r="QX6" s="45">
        <v>149.226</v>
      </c>
      <c r="QY6" s="40">
        <v>150</v>
      </c>
      <c r="QZ6" s="40">
        <v>247.84299999999999</v>
      </c>
      <c r="RA6" s="40">
        <v>250</v>
      </c>
      <c r="RB6" s="42">
        <v>-2.93100000000004</v>
      </c>
      <c r="RC6" s="47"/>
      <c r="RD6" s="45">
        <v>202.64400000000001</v>
      </c>
      <c r="RE6" s="40">
        <v>203.08400000000009</v>
      </c>
      <c r="RF6" s="42">
        <v>-0.44000000000005463</v>
      </c>
      <c r="RG6" s="47"/>
    </row>
    <row r="7" spans="1:475" x14ac:dyDescent="0.25">
      <c r="A7" s="40" t="s">
        <v>296</v>
      </c>
      <c r="B7" s="41">
        <v>1</v>
      </c>
      <c r="N7" s="43"/>
      <c r="O7" s="48"/>
      <c r="P7" s="48"/>
      <c r="Q7" s="48"/>
      <c r="R7" s="48">
        <f t="shared" si="8"/>
        <v>0</v>
      </c>
      <c r="S7" s="44"/>
      <c r="T7" s="43"/>
      <c r="U7" s="48"/>
      <c r="V7" s="48"/>
      <c r="W7" s="48"/>
      <c r="X7" s="48">
        <f t="shared" si="9"/>
        <v>0</v>
      </c>
      <c r="Y7" s="44"/>
      <c r="Z7" s="43"/>
      <c r="AA7" s="48"/>
      <c r="AB7" s="48"/>
      <c r="AC7" s="48"/>
      <c r="AD7" s="48">
        <f t="shared" si="10"/>
        <v>0</v>
      </c>
      <c r="AE7" s="44"/>
      <c r="AF7" s="43"/>
      <c r="AG7" s="48"/>
      <c r="AH7" s="48"/>
      <c r="AI7" s="48"/>
      <c r="AJ7" s="48">
        <f t="shared" si="11"/>
        <v>0</v>
      </c>
      <c r="AK7" s="44"/>
      <c r="AL7" s="48"/>
      <c r="AP7" s="42">
        <v>0</v>
      </c>
      <c r="AQ7" s="44"/>
      <c r="AR7" s="43"/>
      <c r="AV7" s="42">
        <v>0</v>
      </c>
      <c r="AW7" s="44"/>
      <c r="BC7" s="42">
        <v>0</v>
      </c>
      <c r="BD7" s="44"/>
      <c r="BE7" s="43"/>
      <c r="BI7" s="42">
        <v>0</v>
      </c>
      <c r="BJ7" s="44"/>
      <c r="BO7" s="42">
        <v>0</v>
      </c>
      <c r="BP7" s="44"/>
      <c r="BS7" s="42">
        <v>0</v>
      </c>
      <c r="BT7" s="44"/>
      <c r="BU7" s="43"/>
      <c r="BY7" s="42">
        <v>0</v>
      </c>
      <c r="BZ7" s="44"/>
      <c r="CE7" s="42">
        <v>0</v>
      </c>
      <c r="CF7" s="44"/>
      <c r="CG7" s="43"/>
      <c r="CK7" s="42">
        <v>0</v>
      </c>
      <c r="CL7" s="44"/>
      <c r="CM7" s="43"/>
      <c r="CQ7" s="42">
        <v>0</v>
      </c>
      <c r="CR7" s="44"/>
      <c r="CW7" s="42">
        <v>0</v>
      </c>
      <c r="CX7" s="44"/>
      <c r="CY7" s="43"/>
      <c r="DC7" s="42">
        <v>0</v>
      </c>
      <c r="DD7" s="44"/>
      <c r="DE7" s="43"/>
      <c r="DK7" s="42">
        <v>0</v>
      </c>
      <c r="DL7" s="44"/>
      <c r="DM7" s="43"/>
      <c r="DQ7" s="42">
        <v>0</v>
      </c>
      <c r="DR7" s="44"/>
      <c r="DY7" s="42">
        <v>0</v>
      </c>
      <c r="DZ7" s="44"/>
      <c r="EA7" s="43"/>
      <c r="EE7" s="42">
        <v>0</v>
      </c>
      <c r="EF7" s="44"/>
      <c r="EG7" s="43"/>
      <c r="EK7" s="42">
        <v>0</v>
      </c>
      <c r="EL7" s="44"/>
      <c r="EM7" s="43"/>
      <c r="EQ7" s="42">
        <v>0</v>
      </c>
      <c r="ER7" s="44"/>
      <c r="EY7" s="42">
        <v>0</v>
      </c>
      <c r="EZ7" s="44"/>
      <c r="FE7" s="42">
        <v>0</v>
      </c>
      <c r="FF7" s="44"/>
      <c r="FG7" s="43"/>
      <c r="FK7" s="42">
        <v>0</v>
      </c>
      <c r="FL7" s="44"/>
      <c r="FM7" s="43"/>
      <c r="FO7" s="42">
        <v>0</v>
      </c>
      <c r="FP7" s="44"/>
      <c r="FU7" s="42">
        <v>0</v>
      </c>
      <c r="FV7" s="44"/>
      <c r="FW7" s="43"/>
      <c r="GC7" s="42">
        <v>0</v>
      </c>
      <c r="GD7" s="44"/>
      <c r="GI7" s="42">
        <v>0</v>
      </c>
      <c r="GJ7" s="44"/>
      <c r="GK7" s="43"/>
      <c r="GO7" s="42">
        <v>0</v>
      </c>
      <c r="GP7" s="47"/>
      <c r="GU7" s="42">
        <v>0</v>
      </c>
      <c r="GV7" s="44"/>
      <c r="GY7" s="42">
        <v>0</v>
      </c>
      <c r="GZ7" s="47"/>
      <c r="HA7" s="43"/>
      <c r="HC7" s="42">
        <v>0</v>
      </c>
      <c r="HD7" s="44"/>
      <c r="HE7" s="43"/>
      <c r="HI7" s="42">
        <v>0</v>
      </c>
      <c r="HJ7" s="47"/>
      <c r="HK7" s="43"/>
      <c r="HO7" s="42">
        <v>0</v>
      </c>
      <c r="HP7" s="44"/>
      <c r="HV7" s="42">
        <v>0</v>
      </c>
      <c r="HW7" s="44"/>
      <c r="HX7" s="45"/>
      <c r="IB7" s="42">
        <v>0</v>
      </c>
      <c r="IC7" s="44"/>
      <c r="IH7" s="42">
        <v>0</v>
      </c>
      <c r="II7" s="47"/>
      <c r="IN7" s="42">
        <v>0</v>
      </c>
      <c r="IO7" s="47"/>
      <c r="IT7" s="42">
        <v>0</v>
      </c>
      <c r="IU7" s="47"/>
      <c r="IZ7" s="42">
        <v>0</v>
      </c>
      <c r="JA7" s="44"/>
      <c r="JD7" s="42">
        <v>0</v>
      </c>
      <c r="JE7" s="44"/>
      <c r="JJ7" s="42">
        <v>0</v>
      </c>
      <c r="JK7" s="44"/>
      <c r="JL7" s="45"/>
      <c r="JN7" s="42">
        <v>0</v>
      </c>
      <c r="JO7" s="44"/>
      <c r="JT7" s="42">
        <v>0</v>
      </c>
      <c r="JU7" s="44"/>
      <c r="JZ7" s="42">
        <v>0</v>
      </c>
      <c r="KA7" s="47"/>
      <c r="KF7" s="42">
        <v>0</v>
      </c>
      <c r="KG7" s="44"/>
      <c r="KH7" s="41"/>
      <c r="KL7" s="42">
        <v>0</v>
      </c>
      <c r="KM7" s="47"/>
      <c r="KN7" s="45"/>
      <c r="KO7">
        <v>200</v>
      </c>
      <c r="KQ7">
        <v>400</v>
      </c>
      <c r="KS7" s="37">
        <v>300</v>
      </c>
      <c r="KT7" s="39">
        <v>-435</v>
      </c>
      <c r="KU7" s="47">
        <v>435</v>
      </c>
      <c r="KV7" s="40">
        <v>256.02100000000002</v>
      </c>
      <c r="KW7" s="40">
        <v>250</v>
      </c>
      <c r="KX7" s="40">
        <v>359.44400000000002</v>
      </c>
      <c r="KY7" s="40">
        <v>350</v>
      </c>
      <c r="KZ7" s="42">
        <v>15.46500000000003</v>
      </c>
      <c r="LA7" s="47"/>
      <c r="LB7" s="40">
        <v>0</v>
      </c>
      <c r="LC7" s="40">
        <v>0</v>
      </c>
      <c r="LD7" s="40">
        <v>0</v>
      </c>
      <c r="LE7" s="40">
        <v>0</v>
      </c>
      <c r="LF7" s="42">
        <v>0</v>
      </c>
      <c r="LG7" s="47"/>
      <c r="LH7" s="45">
        <v>296.81400000000002</v>
      </c>
      <c r="LI7" s="40">
        <v>290</v>
      </c>
      <c r="LJ7" s="42">
        <v>6.8140000000000214</v>
      </c>
      <c r="LK7" s="47"/>
      <c r="LL7" s="45">
        <v>411.25799999999998</v>
      </c>
      <c r="LM7" s="40">
        <v>400</v>
      </c>
      <c r="LN7" s="40">
        <v>323.41000000000003</v>
      </c>
      <c r="LO7" s="40">
        <v>320</v>
      </c>
      <c r="LP7" s="42">
        <v>14.66800000000001</v>
      </c>
      <c r="LQ7" s="47"/>
      <c r="LR7" s="45">
        <v>119.459</v>
      </c>
      <c r="LS7" s="40">
        <v>120</v>
      </c>
      <c r="LT7" s="40">
        <v>129.435</v>
      </c>
      <c r="LU7" s="40">
        <v>130</v>
      </c>
      <c r="LV7" s="42">
        <v>-1.105999999999995</v>
      </c>
      <c r="LW7" s="47"/>
      <c r="LX7" s="45">
        <v>120.089</v>
      </c>
      <c r="LY7" s="40">
        <v>120</v>
      </c>
      <c r="LZ7" s="42">
        <v>8.8999999999998636E-2</v>
      </c>
      <c r="MA7" s="47"/>
      <c r="MB7" s="45">
        <v>298.37700000000001</v>
      </c>
      <c r="MC7" s="40">
        <v>300</v>
      </c>
      <c r="MD7" s="40">
        <v>350.95600000000002</v>
      </c>
      <c r="ME7" s="40">
        <v>350</v>
      </c>
      <c r="MF7" s="42">
        <v>-0.66699999999991633</v>
      </c>
      <c r="MG7" s="47"/>
      <c r="MH7" s="45">
        <v>273.09399999999999</v>
      </c>
      <c r="MI7" s="40">
        <v>280</v>
      </c>
      <c r="MJ7" s="39">
        <v>-6.9060000000000059</v>
      </c>
      <c r="MK7" s="47">
        <v>6.9060000000000059</v>
      </c>
      <c r="ML7" s="45">
        <v>0</v>
      </c>
      <c r="MM7" s="40">
        <v>0</v>
      </c>
      <c r="MN7" s="40">
        <v>101.6</v>
      </c>
      <c r="MO7" s="40">
        <v>100</v>
      </c>
      <c r="MP7" s="42">
        <v>1.5999999999999941</v>
      </c>
      <c r="MQ7" s="47"/>
      <c r="MR7" s="40">
        <v>171.48699999999999</v>
      </c>
      <c r="MS7" s="40">
        <v>170</v>
      </c>
      <c r="MT7" s="40">
        <v>702.09299999999996</v>
      </c>
      <c r="MU7" s="40">
        <v>700</v>
      </c>
      <c r="MV7" s="42">
        <v>3.5799999999999268</v>
      </c>
      <c r="MW7" s="47"/>
      <c r="MX7" s="45">
        <v>82.274000000000001</v>
      </c>
      <c r="MY7" s="40">
        <v>80</v>
      </c>
      <c r="MZ7" s="40">
        <v>339.28699999999998</v>
      </c>
      <c r="NA7" s="40">
        <v>337</v>
      </c>
      <c r="NB7" s="42">
        <v>4.5609999999999786</v>
      </c>
      <c r="NC7" s="47"/>
      <c r="ND7" s="45">
        <v>0</v>
      </c>
      <c r="NE7" s="30">
        <v>150</v>
      </c>
      <c r="NF7" s="40">
        <v>248.73099999999999</v>
      </c>
      <c r="NG7" s="40">
        <v>250</v>
      </c>
      <c r="NH7" s="39">
        <v>-151.26900000000001</v>
      </c>
      <c r="NI7" s="47">
        <v>151.26900000000001</v>
      </c>
      <c r="NJ7" s="45">
        <v>102.71</v>
      </c>
      <c r="NK7" s="40">
        <v>100</v>
      </c>
      <c r="NL7" s="40">
        <v>139.827</v>
      </c>
      <c r="NM7" s="40">
        <v>140</v>
      </c>
      <c r="NN7" s="42">
        <v>2.5369999999999782</v>
      </c>
      <c r="NO7" s="47"/>
      <c r="NP7" s="45">
        <v>40.741999999999997</v>
      </c>
      <c r="NQ7" s="40">
        <v>200</v>
      </c>
      <c r="NR7" s="40">
        <v>300.01499999999999</v>
      </c>
      <c r="NS7" s="40">
        <v>300</v>
      </c>
      <c r="NT7" s="39">
        <v>-159.24299999999999</v>
      </c>
      <c r="NU7" s="47">
        <v>159.24299999999999</v>
      </c>
      <c r="NV7" s="45">
        <v>103.56</v>
      </c>
      <c r="NW7" s="40">
        <v>100</v>
      </c>
      <c r="NX7" s="40">
        <v>138.55500000000001</v>
      </c>
      <c r="NY7" s="40">
        <v>140</v>
      </c>
      <c r="NZ7" s="42">
        <v>2.1150000000000091</v>
      </c>
      <c r="OA7" s="47"/>
      <c r="OB7" s="45">
        <v>387.55200000000002</v>
      </c>
      <c r="OC7" s="40">
        <v>380</v>
      </c>
      <c r="OD7" s="42">
        <v>7.5520000000000209</v>
      </c>
      <c r="OE7" s="47"/>
      <c r="OF7" s="45">
        <v>0</v>
      </c>
      <c r="OG7" s="40">
        <v>0</v>
      </c>
      <c r="OH7" s="40">
        <v>101.968</v>
      </c>
      <c r="OI7" s="40">
        <v>100</v>
      </c>
      <c r="OJ7" s="42">
        <v>1.968000000000004</v>
      </c>
      <c r="OK7" s="47"/>
      <c r="OL7" s="45">
        <v>404.767</v>
      </c>
      <c r="OM7" s="40">
        <v>400</v>
      </c>
      <c r="ON7" s="40">
        <v>299.05799999999999</v>
      </c>
      <c r="OO7" s="40">
        <v>300</v>
      </c>
      <c r="OP7" s="42">
        <v>3.825000000000045</v>
      </c>
      <c r="OQ7" s="47"/>
      <c r="OR7" s="45">
        <v>398.75400000000002</v>
      </c>
      <c r="OS7" s="40">
        <v>400</v>
      </c>
      <c r="OT7" s="40">
        <v>301.16899999999998</v>
      </c>
      <c r="OU7" s="40">
        <v>300</v>
      </c>
      <c r="OV7" s="42">
        <v>-7.6999999999998181E-2</v>
      </c>
      <c r="OW7" s="47"/>
      <c r="OX7" s="40">
        <v>248.07</v>
      </c>
      <c r="OY7" s="40">
        <v>250</v>
      </c>
      <c r="OZ7" s="40">
        <v>249.02799999999999</v>
      </c>
      <c r="PA7" s="40">
        <v>250</v>
      </c>
      <c r="PB7" s="42">
        <v>-2.9020000000000441</v>
      </c>
      <c r="PC7" s="47"/>
      <c r="PD7" s="45">
        <v>149.49700000000001</v>
      </c>
      <c r="PE7" s="40">
        <v>150</v>
      </c>
      <c r="PF7" s="40">
        <v>199.43299999999999</v>
      </c>
      <c r="PG7" s="40">
        <v>200</v>
      </c>
      <c r="PH7" s="42">
        <v>-1.069999999999993</v>
      </c>
      <c r="PI7" s="47"/>
      <c r="PJ7" s="45">
        <v>403.61900000000003</v>
      </c>
      <c r="PK7" s="40">
        <v>400</v>
      </c>
      <c r="PL7" s="40">
        <v>451.80599999999998</v>
      </c>
      <c r="PM7" s="40">
        <v>450</v>
      </c>
      <c r="PN7" s="42">
        <v>5.4249999999999554</v>
      </c>
      <c r="PO7" s="47"/>
      <c r="PP7" s="43">
        <v>400.96199999999999</v>
      </c>
      <c r="PQ7" s="40">
        <v>400</v>
      </c>
      <c r="PR7" s="40">
        <v>445.89100000000002</v>
      </c>
      <c r="PS7" s="40">
        <v>450</v>
      </c>
      <c r="PT7" s="42">
        <v>-3.146999999999935</v>
      </c>
      <c r="PU7" s="47"/>
      <c r="PV7" s="45">
        <v>149.97900000000001</v>
      </c>
      <c r="PW7" s="40">
        <v>150</v>
      </c>
      <c r="PX7" s="40">
        <v>151.40899999999999</v>
      </c>
      <c r="PY7" s="40">
        <v>150</v>
      </c>
      <c r="PZ7" s="42">
        <v>1.3880000000000341</v>
      </c>
      <c r="QA7" s="47"/>
      <c r="QB7" s="45">
        <v>522.64700000000005</v>
      </c>
      <c r="QC7" s="40">
        <v>520</v>
      </c>
      <c r="QD7" s="42">
        <v>2.6470000000000482</v>
      </c>
      <c r="QE7" s="47"/>
      <c r="QF7" s="45">
        <v>199.93600000000001</v>
      </c>
      <c r="QG7" s="40">
        <v>200</v>
      </c>
      <c r="QH7" s="40">
        <v>296.76600000000002</v>
      </c>
      <c r="QI7" s="40">
        <v>300</v>
      </c>
      <c r="QJ7" s="42">
        <v>-3.2980000000000018</v>
      </c>
      <c r="QK7" s="47"/>
      <c r="QL7" s="45">
        <v>0</v>
      </c>
      <c r="QM7" s="40">
        <v>0</v>
      </c>
      <c r="QN7" s="40">
        <v>0</v>
      </c>
      <c r="QO7" s="40">
        <v>0</v>
      </c>
      <c r="QP7" s="42">
        <v>0</v>
      </c>
      <c r="QQ7" s="47"/>
      <c r="QR7" s="45">
        <v>0</v>
      </c>
      <c r="QS7" s="40">
        <v>0</v>
      </c>
      <c r="QT7" s="40">
        <v>0</v>
      </c>
      <c r="QU7" s="40">
        <v>0</v>
      </c>
      <c r="QV7" s="42">
        <v>0</v>
      </c>
      <c r="QW7" s="47"/>
      <c r="QX7" s="45">
        <v>711.32500000000005</v>
      </c>
      <c r="QY7" s="40">
        <v>700</v>
      </c>
      <c r="QZ7" s="40">
        <v>800.27099999999996</v>
      </c>
      <c r="RA7" s="40">
        <v>800</v>
      </c>
      <c r="RB7" s="42">
        <v>11.596</v>
      </c>
      <c r="RC7" s="47"/>
      <c r="RD7" s="45">
        <v>52.585999999999999</v>
      </c>
      <c r="RE7" s="40">
        <v>53.044799999999903</v>
      </c>
      <c r="RF7" s="42">
        <v>-0.45879999999989712</v>
      </c>
      <c r="RG7" s="47"/>
    </row>
    <row r="8" spans="1:475" x14ac:dyDescent="0.25">
      <c r="A8" s="40" t="s">
        <v>297</v>
      </c>
      <c r="B8" s="41">
        <v>1</v>
      </c>
      <c r="E8">
        <v>100</v>
      </c>
      <c r="F8">
        <v>100</v>
      </c>
      <c r="I8">
        <v>180</v>
      </c>
      <c r="J8">
        <v>203</v>
      </c>
      <c r="K8">
        <v>200</v>
      </c>
      <c r="N8" s="46">
        <v>202</v>
      </c>
      <c r="O8" s="49">
        <v>200</v>
      </c>
      <c r="P8" s="49">
        <v>241</v>
      </c>
      <c r="Q8" s="49">
        <v>237</v>
      </c>
      <c r="R8" s="48">
        <f t="shared" si="8"/>
        <v>6</v>
      </c>
      <c r="S8" s="44"/>
      <c r="T8" s="46">
        <v>149</v>
      </c>
      <c r="U8" s="49">
        <v>150</v>
      </c>
      <c r="V8" s="49">
        <v>150</v>
      </c>
      <c r="W8" s="49">
        <v>150</v>
      </c>
      <c r="X8" s="48">
        <f t="shared" si="9"/>
        <v>-1</v>
      </c>
      <c r="Y8" s="44"/>
      <c r="Z8" s="46">
        <v>299</v>
      </c>
      <c r="AA8" s="49">
        <v>300</v>
      </c>
      <c r="AB8" s="49">
        <v>150</v>
      </c>
      <c r="AC8" s="49">
        <v>150</v>
      </c>
      <c r="AD8" s="48">
        <f t="shared" si="10"/>
        <v>-1</v>
      </c>
      <c r="AE8" s="44"/>
      <c r="AF8" s="46">
        <v>221</v>
      </c>
      <c r="AG8" s="49">
        <v>220</v>
      </c>
      <c r="AH8" s="49">
        <v>425</v>
      </c>
      <c r="AI8" s="49">
        <v>430</v>
      </c>
      <c r="AJ8" s="48">
        <f t="shared" si="11"/>
        <v>-4</v>
      </c>
      <c r="AK8" s="44"/>
      <c r="AL8" s="49">
        <v>310</v>
      </c>
      <c r="AM8">
        <v>310</v>
      </c>
      <c r="AN8">
        <v>321</v>
      </c>
      <c r="AO8">
        <v>319</v>
      </c>
      <c r="AP8" s="42">
        <v>2</v>
      </c>
      <c r="AQ8" s="44"/>
      <c r="AR8" s="46">
        <v>141</v>
      </c>
      <c r="AS8">
        <v>140</v>
      </c>
      <c r="AT8">
        <v>157</v>
      </c>
      <c r="AU8">
        <v>160</v>
      </c>
      <c r="AV8" s="42">
        <v>-2</v>
      </c>
      <c r="AW8" s="44"/>
      <c r="AZ8">
        <v>130</v>
      </c>
      <c r="BA8">
        <v>170</v>
      </c>
      <c r="BB8">
        <v>170</v>
      </c>
      <c r="BC8" s="39">
        <v>-130</v>
      </c>
      <c r="BD8" s="44">
        <v>130</v>
      </c>
      <c r="BE8" s="46">
        <v>297</v>
      </c>
      <c r="BF8">
        <v>300</v>
      </c>
      <c r="BG8">
        <v>247</v>
      </c>
      <c r="BH8">
        <v>247</v>
      </c>
      <c r="BI8" s="42">
        <v>-3</v>
      </c>
      <c r="BJ8" s="44"/>
      <c r="BK8">
        <v>122</v>
      </c>
      <c r="BL8">
        <v>120</v>
      </c>
      <c r="BM8">
        <v>73</v>
      </c>
      <c r="BN8">
        <v>73</v>
      </c>
      <c r="BO8" s="42">
        <v>2</v>
      </c>
      <c r="BP8" s="44"/>
      <c r="BQ8">
        <v>101</v>
      </c>
      <c r="BR8">
        <v>100</v>
      </c>
      <c r="BS8" s="42">
        <v>1</v>
      </c>
      <c r="BT8" s="44"/>
      <c r="BU8" s="46">
        <v>344</v>
      </c>
      <c r="BV8">
        <v>342</v>
      </c>
      <c r="BW8">
        <v>796</v>
      </c>
      <c r="BX8">
        <v>792</v>
      </c>
      <c r="BY8" s="42">
        <v>6</v>
      </c>
      <c r="BZ8" s="44"/>
      <c r="CE8" s="42">
        <v>0</v>
      </c>
      <c r="CF8" s="44"/>
      <c r="CG8" s="46">
        <v>201</v>
      </c>
      <c r="CH8">
        <v>200</v>
      </c>
      <c r="CI8">
        <v>373</v>
      </c>
      <c r="CJ8">
        <v>374</v>
      </c>
      <c r="CK8" s="42">
        <v>0</v>
      </c>
      <c r="CL8" s="44"/>
      <c r="CM8" s="46">
        <v>101</v>
      </c>
      <c r="CN8">
        <v>100</v>
      </c>
      <c r="CO8">
        <v>506</v>
      </c>
      <c r="CP8">
        <v>500</v>
      </c>
      <c r="CQ8" s="42">
        <v>7</v>
      </c>
      <c r="CR8" s="44"/>
      <c r="CS8">
        <v>102</v>
      </c>
      <c r="CT8">
        <v>100</v>
      </c>
      <c r="CU8">
        <v>205</v>
      </c>
      <c r="CV8">
        <v>200</v>
      </c>
      <c r="CW8" s="42">
        <v>7</v>
      </c>
      <c r="CX8" s="44"/>
      <c r="CY8" s="46">
        <v>205</v>
      </c>
      <c r="CZ8">
        <v>200</v>
      </c>
      <c r="DA8">
        <v>198</v>
      </c>
      <c r="DB8">
        <v>199</v>
      </c>
      <c r="DC8" s="42">
        <v>4</v>
      </c>
      <c r="DD8" s="44"/>
      <c r="DE8" s="46">
        <v>102</v>
      </c>
      <c r="DF8">
        <v>100</v>
      </c>
      <c r="DI8">
        <v>259</v>
      </c>
      <c r="DJ8">
        <v>289</v>
      </c>
      <c r="DK8" s="39">
        <v>-28</v>
      </c>
      <c r="DL8" s="44">
        <v>28</v>
      </c>
      <c r="DM8" s="46">
        <v>101</v>
      </c>
      <c r="DN8">
        <v>100</v>
      </c>
      <c r="DO8">
        <v>226</v>
      </c>
      <c r="DP8">
        <v>230</v>
      </c>
      <c r="DQ8" s="42">
        <v>-3</v>
      </c>
      <c r="DR8" s="44"/>
      <c r="DS8">
        <v>201</v>
      </c>
      <c r="DT8">
        <v>200</v>
      </c>
      <c r="DU8">
        <v>203</v>
      </c>
      <c r="DV8">
        <v>200</v>
      </c>
      <c r="DW8">
        <v>202</v>
      </c>
      <c r="DX8">
        <v>200</v>
      </c>
      <c r="DY8" s="42">
        <v>6</v>
      </c>
      <c r="DZ8" s="44"/>
      <c r="EA8" s="46">
        <v>102</v>
      </c>
      <c r="EB8">
        <v>100</v>
      </c>
      <c r="EC8">
        <v>203</v>
      </c>
      <c r="ED8">
        <v>200</v>
      </c>
      <c r="EE8" s="42">
        <v>5</v>
      </c>
      <c r="EF8" s="44"/>
      <c r="EG8" s="43"/>
      <c r="EH8">
        <v>150</v>
      </c>
      <c r="EI8">
        <v>150</v>
      </c>
      <c r="EJ8">
        <v>150</v>
      </c>
      <c r="EK8" s="39">
        <v>-150</v>
      </c>
      <c r="EL8" s="44">
        <v>150</v>
      </c>
      <c r="EM8" s="46">
        <v>101</v>
      </c>
      <c r="EN8">
        <v>100</v>
      </c>
      <c r="EO8">
        <v>149</v>
      </c>
      <c r="EP8">
        <v>150</v>
      </c>
      <c r="EQ8" s="42">
        <v>0</v>
      </c>
      <c r="ER8" s="44"/>
      <c r="ES8">
        <v>204</v>
      </c>
      <c r="ET8">
        <v>200</v>
      </c>
      <c r="EU8">
        <v>203</v>
      </c>
      <c r="EV8">
        <v>200</v>
      </c>
      <c r="EW8">
        <v>210</v>
      </c>
      <c r="EX8">
        <v>210</v>
      </c>
      <c r="EY8" s="42">
        <v>7</v>
      </c>
      <c r="EZ8" s="44"/>
      <c r="FA8">
        <v>123</v>
      </c>
      <c r="FB8">
        <v>120</v>
      </c>
      <c r="FC8">
        <v>143</v>
      </c>
      <c r="FD8">
        <v>140</v>
      </c>
      <c r="FE8" s="42">
        <v>6</v>
      </c>
      <c r="FF8" s="44"/>
      <c r="FG8" s="46">
        <v>102</v>
      </c>
      <c r="FH8">
        <v>100</v>
      </c>
      <c r="FI8">
        <v>219</v>
      </c>
      <c r="FJ8">
        <v>220</v>
      </c>
      <c r="FK8" s="42">
        <v>1</v>
      </c>
      <c r="FL8" s="44"/>
      <c r="FM8" s="43"/>
      <c r="FO8" s="42">
        <v>0</v>
      </c>
      <c r="FP8" s="44"/>
      <c r="FQ8">
        <v>203</v>
      </c>
      <c r="FR8">
        <v>200</v>
      </c>
      <c r="FS8">
        <v>204</v>
      </c>
      <c r="FT8">
        <v>200</v>
      </c>
      <c r="FU8" s="42">
        <v>7</v>
      </c>
      <c r="FV8" s="44"/>
      <c r="FW8" s="46">
        <v>100</v>
      </c>
      <c r="FX8">
        <v>100</v>
      </c>
      <c r="FY8">
        <v>102</v>
      </c>
      <c r="FZ8">
        <v>100</v>
      </c>
      <c r="GA8">
        <v>121</v>
      </c>
      <c r="GB8">
        <v>120</v>
      </c>
      <c r="GC8" s="42">
        <v>3</v>
      </c>
      <c r="GD8" s="44"/>
      <c r="GE8">
        <v>249</v>
      </c>
      <c r="GF8">
        <v>250</v>
      </c>
      <c r="GG8">
        <v>230</v>
      </c>
      <c r="GH8">
        <v>230</v>
      </c>
      <c r="GI8" s="42">
        <v>-1</v>
      </c>
      <c r="GJ8" s="44"/>
      <c r="GK8" s="46">
        <v>101</v>
      </c>
      <c r="GL8">
        <v>100</v>
      </c>
      <c r="GM8">
        <v>123</v>
      </c>
      <c r="GN8">
        <v>120</v>
      </c>
      <c r="GO8" s="42">
        <v>4</v>
      </c>
      <c r="GP8" s="47"/>
      <c r="GQ8">
        <v>105</v>
      </c>
      <c r="GR8">
        <v>105</v>
      </c>
      <c r="GS8">
        <v>134</v>
      </c>
      <c r="GT8">
        <v>135</v>
      </c>
      <c r="GU8" s="42">
        <v>-1</v>
      </c>
      <c r="GV8" s="44"/>
      <c r="GW8">
        <v>220</v>
      </c>
      <c r="GX8" s="40">
        <v>218.8212</v>
      </c>
      <c r="GY8" s="42">
        <v>1.178799999999995</v>
      </c>
      <c r="GZ8" s="47"/>
      <c r="HA8" s="43"/>
      <c r="HC8" s="42">
        <v>0</v>
      </c>
      <c r="HD8" s="44"/>
      <c r="HE8" s="43"/>
      <c r="HI8" s="42">
        <v>0</v>
      </c>
      <c r="HJ8" s="47"/>
      <c r="HK8" s="46">
        <v>450</v>
      </c>
      <c r="HL8">
        <v>450</v>
      </c>
      <c r="HM8">
        <v>386</v>
      </c>
      <c r="HN8">
        <v>380</v>
      </c>
      <c r="HO8" s="42">
        <v>6</v>
      </c>
      <c r="HP8" s="44"/>
      <c r="HR8">
        <v>194</v>
      </c>
      <c r="HS8">
        <v>200</v>
      </c>
      <c r="HT8">
        <v>328</v>
      </c>
      <c r="HU8">
        <v>330</v>
      </c>
      <c r="HV8" s="39">
        <v>-8</v>
      </c>
      <c r="HW8" s="44">
        <v>8</v>
      </c>
      <c r="HX8" s="46">
        <v>286</v>
      </c>
      <c r="HY8">
        <v>310</v>
      </c>
      <c r="HZ8">
        <v>313</v>
      </c>
      <c r="IA8">
        <v>310</v>
      </c>
      <c r="IB8" s="39">
        <v>-21</v>
      </c>
      <c r="IC8" s="44">
        <v>21</v>
      </c>
      <c r="IH8" s="42">
        <v>0</v>
      </c>
      <c r="II8" s="47"/>
      <c r="IJ8">
        <v>149</v>
      </c>
      <c r="IK8">
        <v>150</v>
      </c>
      <c r="IN8" s="42">
        <v>-1</v>
      </c>
      <c r="IO8" s="47"/>
      <c r="IP8">
        <v>403</v>
      </c>
      <c r="IQ8">
        <v>400</v>
      </c>
      <c r="IR8">
        <v>202</v>
      </c>
      <c r="IS8">
        <v>200</v>
      </c>
      <c r="IT8" s="42">
        <v>5</v>
      </c>
      <c r="IU8" s="47"/>
      <c r="IV8">
        <v>380</v>
      </c>
      <c r="IW8">
        <v>380</v>
      </c>
      <c r="IX8">
        <v>300</v>
      </c>
      <c r="IY8">
        <v>300</v>
      </c>
      <c r="IZ8" s="42">
        <v>0</v>
      </c>
      <c r="JA8" s="44"/>
      <c r="JD8" s="42">
        <v>0</v>
      </c>
      <c r="JE8" s="44"/>
      <c r="JF8">
        <v>450</v>
      </c>
      <c r="JG8">
        <v>450</v>
      </c>
      <c r="JH8">
        <v>328</v>
      </c>
      <c r="JI8">
        <v>328</v>
      </c>
      <c r="JJ8" s="42">
        <v>0</v>
      </c>
      <c r="JK8" s="44"/>
      <c r="JL8" s="46">
        <v>183</v>
      </c>
      <c r="JM8" s="40">
        <v>180</v>
      </c>
      <c r="JN8" s="42">
        <v>3</v>
      </c>
      <c r="JO8" s="44"/>
      <c r="JP8">
        <v>252</v>
      </c>
      <c r="JQ8">
        <v>250</v>
      </c>
      <c r="JR8">
        <v>253</v>
      </c>
      <c r="JS8">
        <v>250</v>
      </c>
      <c r="JT8" s="42">
        <v>5</v>
      </c>
      <c r="JU8" s="44"/>
      <c r="JV8">
        <v>248</v>
      </c>
      <c r="JW8">
        <v>337</v>
      </c>
      <c r="JZ8" s="39">
        <v>-89</v>
      </c>
      <c r="KA8" s="47">
        <v>89</v>
      </c>
      <c r="KC8">
        <v>200</v>
      </c>
      <c r="KF8" s="39">
        <v>-200</v>
      </c>
      <c r="KG8" s="47">
        <v>200</v>
      </c>
      <c r="KH8">
        <v>251</v>
      </c>
      <c r="KI8">
        <v>250</v>
      </c>
      <c r="KJ8">
        <v>202</v>
      </c>
      <c r="KK8">
        <v>200</v>
      </c>
      <c r="KL8" s="42">
        <v>3</v>
      </c>
      <c r="KM8" s="47"/>
      <c r="KN8" s="46">
        <v>161</v>
      </c>
      <c r="KO8">
        <v>160</v>
      </c>
      <c r="KP8">
        <v>248</v>
      </c>
      <c r="KQ8">
        <v>250</v>
      </c>
      <c r="KR8">
        <v>635</v>
      </c>
      <c r="KS8">
        <v>200</v>
      </c>
      <c r="KT8" s="42">
        <v>434</v>
      </c>
      <c r="KU8" s="47"/>
      <c r="KV8" s="40">
        <v>202.726</v>
      </c>
      <c r="KW8" s="40">
        <v>200</v>
      </c>
      <c r="KX8" s="40">
        <v>320.33699999999999</v>
      </c>
      <c r="KY8" s="40">
        <v>320</v>
      </c>
      <c r="KZ8" s="42">
        <v>3.0629999999999882</v>
      </c>
      <c r="LA8" s="47"/>
      <c r="LB8" s="40">
        <v>150.494</v>
      </c>
      <c r="LC8" s="40">
        <v>150</v>
      </c>
      <c r="LD8" s="40">
        <v>183.73400000000001</v>
      </c>
      <c r="LE8" s="40">
        <v>180</v>
      </c>
      <c r="LF8" s="42">
        <v>4.2280000000000086</v>
      </c>
      <c r="LG8" s="47"/>
      <c r="LH8" s="45">
        <v>281.96499999999997</v>
      </c>
      <c r="LI8" s="40">
        <v>280</v>
      </c>
      <c r="LJ8" s="42">
        <v>1.964999999999975</v>
      </c>
      <c r="LK8" s="47"/>
      <c r="LL8" s="45">
        <v>202.71100000000001</v>
      </c>
      <c r="LM8" s="40">
        <v>200</v>
      </c>
      <c r="LN8" s="40">
        <v>178.423</v>
      </c>
      <c r="LO8" s="40">
        <v>180</v>
      </c>
      <c r="LP8" s="42">
        <v>1.134000000000015</v>
      </c>
      <c r="LQ8" s="47"/>
      <c r="LR8" s="45">
        <v>350.786</v>
      </c>
      <c r="LS8" s="40">
        <v>350</v>
      </c>
      <c r="LT8" s="40">
        <v>352.11700000000002</v>
      </c>
      <c r="LU8" s="40">
        <v>350</v>
      </c>
      <c r="LV8" s="42">
        <v>2.90300000000002</v>
      </c>
      <c r="LW8" s="47"/>
      <c r="LX8" s="45">
        <v>122.578</v>
      </c>
      <c r="LY8" s="40">
        <v>120</v>
      </c>
      <c r="LZ8" s="42">
        <v>2.578000000000003</v>
      </c>
      <c r="MA8" s="47"/>
      <c r="MB8" s="45">
        <v>449.22300000000001</v>
      </c>
      <c r="MC8" s="40">
        <v>450</v>
      </c>
      <c r="MD8" s="40">
        <v>398.66</v>
      </c>
      <c r="ME8" s="40">
        <v>400</v>
      </c>
      <c r="MF8" s="42">
        <v>-2.1169999999999618</v>
      </c>
      <c r="MG8" s="47"/>
      <c r="MH8" s="45">
        <v>181.387</v>
      </c>
      <c r="MI8" s="40">
        <v>180</v>
      </c>
      <c r="MJ8" s="42">
        <v>1.387</v>
      </c>
      <c r="MK8" s="47"/>
      <c r="ML8" s="45">
        <v>246.84200000000001</v>
      </c>
      <c r="MM8" s="40">
        <v>250</v>
      </c>
      <c r="MN8" s="40">
        <v>203.46700000000001</v>
      </c>
      <c r="MO8" s="40">
        <v>200</v>
      </c>
      <c r="MP8" s="42">
        <v>0.30900000000002592</v>
      </c>
      <c r="MQ8" s="47"/>
      <c r="MR8" s="40">
        <v>0</v>
      </c>
      <c r="MS8" s="40">
        <v>0</v>
      </c>
      <c r="MT8" s="40">
        <v>0</v>
      </c>
      <c r="MU8" s="40">
        <v>0</v>
      </c>
      <c r="MV8" s="42">
        <v>0</v>
      </c>
      <c r="MW8" s="47"/>
      <c r="MX8" s="45">
        <v>101.212</v>
      </c>
      <c r="MY8" s="40">
        <v>100</v>
      </c>
      <c r="MZ8" s="40">
        <v>552.14499999999998</v>
      </c>
      <c r="NA8" s="40">
        <v>551</v>
      </c>
      <c r="NB8" s="42">
        <v>2.3569999999999709</v>
      </c>
      <c r="NC8" s="47"/>
      <c r="ND8" s="45">
        <v>895.33799999999997</v>
      </c>
      <c r="NE8" s="40">
        <v>100</v>
      </c>
      <c r="NF8" s="40">
        <v>0</v>
      </c>
      <c r="NG8" s="40">
        <v>0</v>
      </c>
      <c r="NH8" s="42">
        <v>795.33799999999997</v>
      </c>
      <c r="NI8" s="47"/>
      <c r="NJ8" s="45">
        <v>231.60599999999999</v>
      </c>
      <c r="NK8" s="40">
        <v>300</v>
      </c>
      <c r="NL8" s="40">
        <v>157.16</v>
      </c>
      <c r="NM8" s="40">
        <v>300</v>
      </c>
      <c r="NN8" s="39">
        <v>-211.23400000000001</v>
      </c>
      <c r="NO8" s="47">
        <v>211.23400000000001</v>
      </c>
      <c r="NP8" s="45">
        <v>356.10599999999999</v>
      </c>
      <c r="NQ8" s="40">
        <v>200</v>
      </c>
      <c r="NR8" s="40">
        <v>420.34399999999999</v>
      </c>
      <c r="NS8" s="40">
        <v>420</v>
      </c>
      <c r="NT8" s="42">
        <v>156.44999999999999</v>
      </c>
      <c r="NU8" s="47"/>
      <c r="NV8" s="45">
        <v>101.824</v>
      </c>
      <c r="NW8" s="40">
        <v>100</v>
      </c>
      <c r="NX8" s="40">
        <v>0</v>
      </c>
      <c r="NY8" s="30">
        <v>150</v>
      </c>
      <c r="NZ8" s="39">
        <v>-148.17599999999999</v>
      </c>
      <c r="OA8" s="47">
        <v>148.17599999999999</v>
      </c>
      <c r="OB8" s="45">
        <v>556.79399999999998</v>
      </c>
      <c r="OC8" s="40">
        <v>550</v>
      </c>
      <c r="OD8" s="42">
        <v>6.7939999999999827</v>
      </c>
      <c r="OE8" s="47"/>
      <c r="OF8" s="45">
        <v>0</v>
      </c>
      <c r="OG8" s="40">
        <v>0</v>
      </c>
      <c r="OH8" s="40">
        <v>192.875</v>
      </c>
      <c r="OI8" s="40">
        <v>191</v>
      </c>
      <c r="OJ8" s="42">
        <v>1.875</v>
      </c>
      <c r="OK8" s="47"/>
      <c r="OL8" s="45">
        <v>468.01299999999998</v>
      </c>
      <c r="OM8" s="40">
        <v>470</v>
      </c>
      <c r="ON8" s="40">
        <v>383.03899999999999</v>
      </c>
      <c r="OO8" s="40">
        <v>380</v>
      </c>
      <c r="OP8" s="42">
        <v>1.051999999999907</v>
      </c>
      <c r="OQ8" s="47"/>
      <c r="OR8" s="45">
        <v>218.43799999999999</v>
      </c>
      <c r="OS8" s="40">
        <v>220</v>
      </c>
      <c r="OT8" s="40">
        <v>223.37700000000001</v>
      </c>
      <c r="OU8" s="40">
        <v>221</v>
      </c>
      <c r="OV8" s="42">
        <v>0.81499999999999773</v>
      </c>
      <c r="OW8" s="47"/>
      <c r="OX8" s="40">
        <v>351.52100000000002</v>
      </c>
      <c r="OY8" s="40">
        <v>350</v>
      </c>
      <c r="OZ8" s="40">
        <v>354.44799999999998</v>
      </c>
      <c r="PA8" s="40">
        <v>350</v>
      </c>
      <c r="PB8" s="42">
        <v>5.9690000000000509</v>
      </c>
      <c r="PC8" s="47"/>
      <c r="PD8" s="45">
        <v>102.419</v>
      </c>
      <c r="PE8" s="40">
        <v>100</v>
      </c>
      <c r="PF8" s="40">
        <v>101.459</v>
      </c>
      <c r="PG8" s="40">
        <v>100</v>
      </c>
      <c r="PH8" s="42">
        <v>3.8779999999999859</v>
      </c>
      <c r="PI8" s="47"/>
      <c r="PJ8" s="45">
        <v>292.238</v>
      </c>
      <c r="PK8" s="40">
        <v>400</v>
      </c>
      <c r="PL8" s="40">
        <v>277.23200000000003</v>
      </c>
      <c r="PM8" s="40">
        <v>400</v>
      </c>
      <c r="PN8" s="39">
        <v>-230.53</v>
      </c>
      <c r="PO8" s="47">
        <v>230.53</v>
      </c>
      <c r="PP8" s="43">
        <v>350.65300000000002</v>
      </c>
      <c r="PQ8" s="40">
        <v>350</v>
      </c>
      <c r="PR8" s="40">
        <v>396.88299999999998</v>
      </c>
      <c r="PS8" s="40">
        <v>400</v>
      </c>
      <c r="PT8" s="42">
        <v>-2.4639999999999418</v>
      </c>
      <c r="PU8" s="47"/>
      <c r="PV8" s="45">
        <v>297.63</v>
      </c>
      <c r="PW8" s="40">
        <v>300</v>
      </c>
      <c r="PX8" s="40">
        <v>297.18099999999998</v>
      </c>
      <c r="PY8" s="40">
        <v>300</v>
      </c>
      <c r="PZ8" s="42">
        <v>-5.1890000000000782</v>
      </c>
      <c r="QA8" s="47"/>
      <c r="QB8" s="45">
        <v>502.30399999999997</v>
      </c>
      <c r="QC8" s="40">
        <v>500</v>
      </c>
      <c r="QD8" s="42">
        <v>2.3039999999999741</v>
      </c>
      <c r="QE8" s="47"/>
      <c r="QF8" s="45">
        <v>20.116</v>
      </c>
      <c r="QG8" s="40">
        <v>0</v>
      </c>
      <c r="QH8" s="40">
        <v>36.276000000000003</v>
      </c>
      <c r="QI8" s="40">
        <v>0</v>
      </c>
      <c r="QJ8" s="42">
        <v>56.392000000000003</v>
      </c>
      <c r="QK8" s="47"/>
      <c r="QL8" s="45">
        <v>299.95400000000001</v>
      </c>
      <c r="QM8" s="40">
        <v>300</v>
      </c>
      <c r="QN8" s="40">
        <v>402.62700000000001</v>
      </c>
      <c r="QO8" s="40">
        <v>400</v>
      </c>
      <c r="QP8" s="42">
        <v>2.5810000000000168</v>
      </c>
      <c r="QQ8" s="47"/>
      <c r="QR8" s="45">
        <v>146.02699999999999</v>
      </c>
      <c r="QS8" s="40">
        <v>271</v>
      </c>
      <c r="QT8" s="40">
        <v>1135.0530000000001</v>
      </c>
      <c r="QU8" s="40">
        <v>350</v>
      </c>
      <c r="QV8" s="42">
        <v>660.08000000000015</v>
      </c>
      <c r="QW8" s="47"/>
      <c r="QX8" s="45">
        <v>121.021</v>
      </c>
      <c r="QY8" s="40">
        <v>200</v>
      </c>
      <c r="QZ8" s="40">
        <v>149.661</v>
      </c>
      <c r="RA8" s="40">
        <v>300</v>
      </c>
      <c r="RB8" s="39">
        <v>-229.31800000000001</v>
      </c>
      <c r="RC8" s="47">
        <v>229.31800000000001</v>
      </c>
      <c r="RD8" s="45">
        <v>399.32600000000002</v>
      </c>
      <c r="RE8" s="40">
        <v>1000</v>
      </c>
      <c r="RF8" s="39">
        <v>-600.67399999999998</v>
      </c>
      <c r="RG8" s="47">
        <v>600.67399999999998</v>
      </c>
    </row>
    <row r="9" spans="1:475" x14ac:dyDescent="0.25">
      <c r="A9" s="40" t="s">
        <v>298</v>
      </c>
      <c r="B9" s="41">
        <v>1</v>
      </c>
      <c r="N9" s="46">
        <v>12</v>
      </c>
      <c r="O9" s="49">
        <v>10</v>
      </c>
      <c r="P9" s="48"/>
      <c r="Q9" s="48"/>
      <c r="R9" s="48">
        <f t="shared" si="8"/>
        <v>2</v>
      </c>
      <c r="S9" s="44"/>
      <c r="T9" s="43"/>
      <c r="U9" s="48"/>
      <c r="V9" s="49">
        <v>32</v>
      </c>
      <c r="W9" s="49">
        <v>30</v>
      </c>
      <c r="X9" s="48">
        <f t="shared" si="9"/>
        <v>2</v>
      </c>
      <c r="Y9" s="44"/>
      <c r="Z9" s="46">
        <v>20</v>
      </c>
      <c r="AA9" s="49">
        <v>20</v>
      </c>
      <c r="AB9" s="49">
        <v>12</v>
      </c>
      <c r="AC9" s="49">
        <v>10</v>
      </c>
      <c r="AD9" s="48">
        <f t="shared" si="10"/>
        <v>2</v>
      </c>
      <c r="AE9" s="44"/>
      <c r="AF9" s="46">
        <v>12</v>
      </c>
      <c r="AG9" s="49">
        <v>10</v>
      </c>
      <c r="AH9" s="49">
        <v>12</v>
      </c>
      <c r="AI9" s="49">
        <v>10</v>
      </c>
      <c r="AJ9" s="48">
        <f t="shared" si="11"/>
        <v>4</v>
      </c>
      <c r="AK9" s="44"/>
      <c r="AL9" s="48"/>
      <c r="AN9">
        <v>16</v>
      </c>
      <c r="AO9">
        <v>20</v>
      </c>
      <c r="AP9" s="42">
        <v>-4</v>
      </c>
      <c r="AQ9" s="44"/>
      <c r="AR9" s="46">
        <v>4</v>
      </c>
      <c r="AS9">
        <v>4</v>
      </c>
      <c r="AV9" s="42">
        <v>0</v>
      </c>
      <c r="AW9" s="44"/>
      <c r="BC9" s="42">
        <v>0</v>
      </c>
      <c r="BD9" s="44"/>
      <c r="BE9" s="43"/>
      <c r="BG9">
        <v>39</v>
      </c>
      <c r="BH9">
        <v>40</v>
      </c>
      <c r="BI9" s="42">
        <v>-1</v>
      </c>
      <c r="BJ9" s="44"/>
      <c r="BM9">
        <v>32</v>
      </c>
      <c r="BN9">
        <v>30</v>
      </c>
      <c r="BO9" s="42">
        <v>2</v>
      </c>
      <c r="BP9" s="44"/>
      <c r="BS9" s="42">
        <v>0</v>
      </c>
      <c r="BT9" s="44"/>
      <c r="BU9" s="46">
        <v>16</v>
      </c>
      <c r="BV9">
        <v>15</v>
      </c>
      <c r="BW9">
        <v>32</v>
      </c>
      <c r="BX9">
        <v>30</v>
      </c>
      <c r="BY9" s="42">
        <v>3</v>
      </c>
      <c r="BZ9" s="44"/>
      <c r="CC9">
        <v>31</v>
      </c>
      <c r="CD9">
        <v>30</v>
      </c>
      <c r="CE9" s="42">
        <v>1</v>
      </c>
      <c r="CF9" s="44"/>
      <c r="CG9" s="43"/>
      <c r="CI9">
        <v>20</v>
      </c>
      <c r="CJ9">
        <v>20</v>
      </c>
      <c r="CK9" s="42">
        <v>0</v>
      </c>
      <c r="CL9" s="44"/>
      <c r="CM9" s="43"/>
      <c r="CO9">
        <v>35</v>
      </c>
      <c r="CP9">
        <v>33</v>
      </c>
      <c r="CQ9" s="42">
        <v>2</v>
      </c>
      <c r="CR9" s="44"/>
      <c r="CU9">
        <v>8</v>
      </c>
      <c r="CV9">
        <v>8</v>
      </c>
      <c r="CW9" s="42">
        <v>0</v>
      </c>
      <c r="CX9" s="44"/>
      <c r="CY9" s="46">
        <v>12</v>
      </c>
      <c r="CZ9">
        <v>10</v>
      </c>
      <c r="DA9">
        <v>12</v>
      </c>
      <c r="DB9">
        <v>11</v>
      </c>
      <c r="DC9" s="42">
        <v>3</v>
      </c>
      <c r="DD9" s="44"/>
      <c r="DE9" s="43"/>
      <c r="DI9">
        <v>32</v>
      </c>
      <c r="DJ9">
        <v>30</v>
      </c>
      <c r="DK9" s="42">
        <v>2</v>
      </c>
      <c r="DL9" s="44"/>
      <c r="DM9" s="43"/>
      <c r="DO9">
        <v>16</v>
      </c>
      <c r="DP9">
        <v>15</v>
      </c>
      <c r="DQ9" s="42">
        <v>1</v>
      </c>
      <c r="DR9" s="44"/>
      <c r="DU9">
        <v>51</v>
      </c>
      <c r="DV9">
        <v>52</v>
      </c>
      <c r="DY9" s="42">
        <v>-1</v>
      </c>
      <c r="DZ9" s="44"/>
      <c r="EA9" s="43"/>
      <c r="EE9" s="42">
        <v>0</v>
      </c>
      <c r="EF9" s="44"/>
      <c r="EG9" s="43"/>
      <c r="EK9" s="42">
        <v>0</v>
      </c>
      <c r="EL9" s="44"/>
      <c r="EM9" s="43"/>
      <c r="EQ9" s="42">
        <v>0</v>
      </c>
      <c r="ER9" s="44"/>
      <c r="EW9">
        <v>24</v>
      </c>
      <c r="EX9">
        <v>23</v>
      </c>
      <c r="EY9" s="42">
        <v>1</v>
      </c>
      <c r="EZ9" s="44"/>
      <c r="FE9" s="42">
        <v>0</v>
      </c>
      <c r="FF9" s="44"/>
      <c r="FG9" s="43"/>
      <c r="FI9">
        <v>16</v>
      </c>
      <c r="FJ9">
        <v>17</v>
      </c>
      <c r="FK9" s="42">
        <v>-1</v>
      </c>
      <c r="FL9" s="44"/>
      <c r="FM9" s="43"/>
      <c r="FO9" s="42">
        <v>0</v>
      </c>
      <c r="FP9" s="44"/>
      <c r="FS9">
        <v>51</v>
      </c>
      <c r="FT9">
        <v>50</v>
      </c>
      <c r="FU9" s="42">
        <v>1</v>
      </c>
      <c r="FV9" s="44"/>
      <c r="FW9" s="43"/>
      <c r="GA9">
        <v>40</v>
      </c>
      <c r="GB9">
        <v>40</v>
      </c>
      <c r="GC9" s="42">
        <v>0</v>
      </c>
      <c r="GD9" s="44"/>
      <c r="GG9">
        <v>12</v>
      </c>
      <c r="GH9">
        <v>10</v>
      </c>
      <c r="GI9" s="42">
        <v>2</v>
      </c>
      <c r="GJ9" s="44"/>
      <c r="GK9" s="43"/>
      <c r="GM9">
        <v>12</v>
      </c>
      <c r="GN9">
        <v>11</v>
      </c>
      <c r="GO9" s="42">
        <v>1</v>
      </c>
      <c r="GP9" s="47"/>
      <c r="GU9" s="42">
        <v>0</v>
      </c>
      <c r="GV9" s="44"/>
      <c r="GY9" s="42">
        <v>0</v>
      </c>
      <c r="GZ9" s="47"/>
      <c r="HA9" s="43"/>
      <c r="HC9" s="42">
        <v>0</v>
      </c>
      <c r="HD9" s="44"/>
      <c r="HE9" s="43"/>
      <c r="HG9">
        <v>71</v>
      </c>
      <c r="HH9">
        <v>70</v>
      </c>
      <c r="HI9" s="42">
        <v>1</v>
      </c>
      <c r="HJ9" s="47"/>
      <c r="HK9" s="43"/>
      <c r="HM9">
        <v>32</v>
      </c>
      <c r="HN9">
        <v>30</v>
      </c>
      <c r="HO9" s="42">
        <v>2</v>
      </c>
      <c r="HP9" s="44"/>
      <c r="HT9">
        <v>32</v>
      </c>
      <c r="HU9">
        <v>30</v>
      </c>
      <c r="HV9" s="42">
        <v>2</v>
      </c>
      <c r="HW9" s="44"/>
      <c r="HX9" s="45"/>
      <c r="HZ9">
        <v>24</v>
      </c>
      <c r="IA9">
        <v>25</v>
      </c>
      <c r="IB9" s="42">
        <v>-1</v>
      </c>
      <c r="IC9" s="44"/>
      <c r="IH9" s="42">
        <v>0</v>
      </c>
      <c r="II9" s="47"/>
      <c r="IN9" s="42">
        <v>0</v>
      </c>
      <c r="IO9" s="47"/>
      <c r="IR9">
        <v>20</v>
      </c>
      <c r="IS9">
        <v>20</v>
      </c>
      <c r="IT9" s="42">
        <v>0</v>
      </c>
      <c r="IU9" s="47"/>
      <c r="IZ9" s="42">
        <v>0</v>
      </c>
      <c r="JA9" s="44"/>
      <c r="JD9" s="42">
        <v>0</v>
      </c>
      <c r="JE9" s="44"/>
      <c r="JF9">
        <v>52</v>
      </c>
      <c r="JG9">
        <v>50</v>
      </c>
      <c r="JH9">
        <v>40</v>
      </c>
      <c r="JI9">
        <v>39</v>
      </c>
      <c r="JJ9" s="42">
        <v>3</v>
      </c>
      <c r="JK9" s="44"/>
      <c r="JL9" s="46">
        <v>53</v>
      </c>
      <c r="JM9" s="40">
        <v>50</v>
      </c>
      <c r="JN9" s="42">
        <v>3</v>
      </c>
      <c r="JO9" s="44"/>
      <c r="JR9">
        <v>20</v>
      </c>
      <c r="JS9">
        <v>19</v>
      </c>
      <c r="JT9" s="42">
        <v>1</v>
      </c>
      <c r="JU9" s="44"/>
      <c r="JV9">
        <v>28</v>
      </c>
      <c r="JW9">
        <v>28</v>
      </c>
      <c r="JZ9" s="42">
        <v>0</v>
      </c>
      <c r="KA9" s="47"/>
      <c r="KB9">
        <v>31</v>
      </c>
      <c r="KC9">
        <v>30</v>
      </c>
      <c r="KF9" s="42">
        <v>1</v>
      </c>
      <c r="KG9" s="44"/>
      <c r="KH9" s="41"/>
      <c r="KL9" s="42">
        <v>0</v>
      </c>
      <c r="KM9" s="47"/>
      <c r="KN9" s="46">
        <v>24</v>
      </c>
      <c r="KO9">
        <v>25</v>
      </c>
      <c r="KP9">
        <v>31</v>
      </c>
      <c r="KQ9">
        <v>30</v>
      </c>
      <c r="KR9">
        <v>44</v>
      </c>
      <c r="KS9">
        <v>25</v>
      </c>
      <c r="KT9" s="42">
        <v>19</v>
      </c>
      <c r="KU9" s="47"/>
      <c r="KV9" s="40">
        <v>0</v>
      </c>
      <c r="KW9" s="40">
        <v>0</v>
      </c>
      <c r="KX9" s="40">
        <v>31.983000000000001</v>
      </c>
      <c r="KY9" s="40">
        <v>35</v>
      </c>
      <c r="KZ9" s="42">
        <v>-3.016999999999999</v>
      </c>
      <c r="LA9" s="47"/>
      <c r="LB9" s="40">
        <v>0</v>
      </c>
      <c r="LC9" s="40">
        <v>0</v>
      </c>
      <c r="LD9" s="40">
        <v>0</v>
      </c>
      <c r="LE9" s="40">
        <v>0</v>
      </c>
      <c r="LF9" s="42">
        <v>0</v>
      </c>
      <c r="LG9" s="47"/>
      <c r="LH9" s="45">
        <v>0</v>
      </c>
      <c r="LI9" s="40">
        <v>0</v>
      </c>
      <c r="LJ9" s="42">
        <v>0</v>
      </c>
      <c r="LK9" s="47"/>
      <c r="LL9" s="45">
        <v>0</v>
      </c>
      <c r="LM9" s="40">
        <v>0</v>
      </c>
      <c r="LN9" s="40">
        <v>0</v>
      </c>
      <c r="LO9" s="40">
        <v>0</v>
      </c>
      <c r="LP9" s="42">
        <v>0</v>
      </c>
      <c r="LQ9" s="47"/>
      <c r="LR9" s="45">
        <v>0</v>
      </c>
      <c r="LS9" s="40">
        <v>0</v>
      </c>
      <c r="LT9" s="40">
        <v>40.164999999999999</v>
      </c>
      <c r="LU9" s="40">
        <v>38</v>
      </c>
      <c r="LV9" s="42">
        <v>2.1649999999999991</v>
      </c>
      <c r="LW9" s="47"/>
      <c r="LX9" s="45">
        <v>52.341000000000001</v>
      </c>
      <c r="LY9" s="40">
        <v>50</v>
      </c>
      <c r="LZ9" s="42">
        <v>2.3410000000000011</v>
      </c>
      <c r="MA9" s="47"/>
      <c r="MB9" s="45">
        <v>0</v>
      </c>
      <c r="MC9" s="40">
        <v>0</v>
      </c>
      <c r="MD9" s="40">
        <v>0</v>
      </c>
      <c r="ME9" s="40">
        <v>0</v>
      </c>
      <c r="MF9" s="42">
        <v>0</v>
      </c>
      <c r="MG9" s="47"/>
      <c r="MH9" s="45">
        <v>52.487000000000002</v>
      </c>
      <c r="MI9" s="40">
        <v>50</v>
      </c>
      <c r="MJ9" s="42">
        <v>2.4870000000000019</v>
      </c>
      <c r="MK9" s="47"/>
      <c r="ML9" s="45">
        <v>0</v>
      </c>
      <c r="MM9" s="40">
        <v>0</v>
      </c>
      <c r="MN9" s="40">
        <v>0</v>
      </c>
      <c r="MO9" s="40">
        <v>0</v>
      </c>
      <c r="MP9" s="42">
        <v>0</v>
      </c>
      <c r="MQ9" s="47"/>
      <c r="MR9" s="40">
        <v>0</v>
      </c>
      <c r="MS9" s="40">
        <v>0</v>
      </c>
      <c r="MT9" s="40">
        <v>32.930999999999997</v>
      </c>
      <c r="MU9" s="40">
        <v>30</v>
      </c>
      <c r="MV9" s="42">
        <v>2.9309999999999969</v>
      </c>
      <c r="MW9" s="47"/>
      <c r="MX9" s="45">
        <v>0</v>
      </c>
      <c r="MY9" s="40">
        <v>0</v>
      </c>
      <c r="MZ9" s="40">
        <v>73.125</v>
      </c>
      <c r="NA9" s="40">
        <v>70</v>
      </c>
      <c r="NB9" s="42">
        <v>3.125</v>
      </c>
      <c r="NC9" s="47"/>
      <c r="ND9" s="45">
        <v>0</v>
      </c>
      <c r="NE9" s="40">
        <v>0</v>
      </c>
      <c r="NF9" s="40">
        <v>32.003</v>
      </c>
      <c r="NG9" s="40">
        <v>30</v>
      </c>
      <c r="NH9" s="42">
        <v>2.0030000000000001</v>
      </c>
      <c r="NI9" s="47"/>
      <c r="NJ9" s="45">
        <v>0</v>
      </c>
      <c r="NK9" s="40">
        <v>0</v>
      </c>
      <c r="NL9" s="40">
        <v>0</v>
      </c>
      <c r="NM9" s="40">
        <v>0</v>
      </c>
      <c r="NN9" s="42">
        <v>0</v>
      </c>
      <c r="NO9" s="47"/>
      <c r="NP9" s="45">
        <v>0</v>
      </c>
      <c r="NQ9" s="40">
        <v>0</v>
      </c>
      <c r="NR9" s="40">
        <v>0</v>
      </c>
      <c r="NS9" s="40">
        <v>0</v>
      </c>
      <c r="NT9" s="42">
        <v>0</v>
      </c>
      <c r="NU9" s="47"/>
      <c r="NV9" s="45">
        <v>0</v>
      </c>
      <c r="NW9" s="40">
        <v>0</v>
      </c>
      <c r="NX9" s="40">
        <v>39.625</v>
      </c>
      <c r="NY9" s="40">
        <v>40</v>
      </c>
      <c r="NZ9" s="42">
        <v>-0.375</v>
      </c>
      <c r="OA9" s="47"/>
      <c r="OB9" s="45">
        <v>33.057000000000002</v>
      </c>
      <c r="OC9" s="40">
        <v>30</v>
      </c>
      <c r="OD9" s="42">
        <v>3.0570000000000022</v>
      </c>
      <c r="OE9" s="47"/>
      <c r="OF9" s="45">
        <v>0</v>
      </c>
      <c r="OG9" s="40">
        <v>0</v>
      </c>
      <c r="OH9" s="40">
        <v>0</v>
      </c>
      <c r="OI9" s="40">
        <v>0</v>
      </c>
      <c r="OJ9" s="42">
        <v>0</v>
      </c>
      <c r="OK9" s="47"/>
      <c r="OL9" s="45">
        <v>0</v>
      </c>
      <c r="OM9" s="40">
        <v>0</v>
      </c>
      <c r="ON9" s="40">
        <v>0</v>
      </c>
      <c r="OO9" s="40">
        <v>0</v>
      </c>
      <c r="OP9" s="42">
        <v>0</v>
      </c>
      <c r="OQ9" s="47"/>
      <c r="OR9" s="45">
        <v>0</v>
      </c>
      <c r="OS9" s="40">
        <v>0</v>
      </c>
      <c r="OT9" s="40">
        <v>0</v>
      </c>
      <c r="OU9" s="30">
        <v>20</v>
      </c>
      <c r="OV9" s="39">
        <v>-20</v>
      </c>
      <c r="OW9" s="47">
        <v>20</v>
      </c>
      <c r="OX9" s="40">
        <v>86.569000000000003</v>
      </c>
      <c r="OY9" s="40">
        <v>83</v>
      </c>
      <c r="OZ9" s="40">
        <v>85.117999999999995</v>
      </c>
      <c r="PA9" s="40">
        <v>83</v>
      </c>
      <c r="PB9" s="42">
        <v>5.6870000000000118</v>
      </c>
      <c r="PC9" s="47"/>
      <c r="PD9" s="45">
        <v>0</v>
      </c>
      <c r="PE9" s="40">
        <v>0</v>
      </c>
      <c r="PF9" s="40">
        <v>0</v>
      </c>
      <c r="PG9" s="40">
        <v>0</v>
      </c>
      <c r="PH9" s="42">
        <v>0</v>
      </c>
      <c r="PI9" s="47"/>
      <c r="PJ9" s="45">
        <v>0</v>
      </c>
      <c r="PK9" s="40">
        <v>0</v>
      </c>
      <c r="PL9" s="40">
        <v>0</v>
      </c>
      <c r="PM9" s="40">
        <v>0</v>
      </c>
      <c r="PN9" s="42">
        <v>0</v>
      </c>
      <c r="PO9" s="47"/>
      <c r="PP9" s="43">
        <v>0</v>
      </c>
      <c r="PQ9" s="40">
        <v>0</v>
      </c>
      <c r="PR9" s="40">
        <v>0</v>
      </c>
      <c r="PS9" s="40">
        <v>0</v>
      </c>
      <c r="PT9" s="42">
        <v>0</v>
      </c>
      <c r="PU9" s="47"/>
      <c r="PV9" s="45">
        <v>148.06800000000001</v>
      </c>
      <c r="PW9" s="40">
        <v>150</v>
      </c>
      <c r="PX9" s="40">
        <v>0</v>
      </c>
      <c r="PY9" s="40">
        <v>0</v>
      </c>
      <c r="PZ9" s="42">
        <v>-1.9319999999999879</v>
      </c>
      <c r="QA9" s="47"/>
      <c r="QB9" s="45">
        <v>0</v>
      </c>
      <c r="QC9" s="40">
        <v>0</v>
      </c>
      <c r="QD9" s="42">
        <v>0</v>
      </c>
      <c r="QE9" s="47"/>
      <c r="QF9" s="45">
        <v>0</v>
      </c>
      <c r="QG9" s="40">
        <v>0</v>
      </c>
      <c r="QH9" s="40">
        <v>0</v>
      </c>
      <c r="QI9" s="40">
        <v>0</v>
      </c>
      <c r="QJ9" s="42">
        <v>0</v>
      </c>
      <c r="QK9" s="47"/>
      <c r="QL9" s="45">
        <v>52.344000000000001</v>
      </c>
      <c r="QM9" s="40">
        <v>50</v>
      </c>
      <c r="QN9" s="40">
        <v>51.582999999999998</v>
      </c>
      <c r="QO9" s="40">
        <v>50</v>
      </c>
      <c r="QP9" s="42">
        <v>3.9269999999999921</v>
      </c>
      <c r="QQ9" s="47"/>
      <c r="QR9" s="45">
        <v>53.012</v>
      </c>
      <c r="QS9" s="40">
        <v>50</v>
      </c>
      <c r="QT9" s="40">
        <v>0</v>
      </c>
      <c r="QU9" s="40">
        <v>0</v>
      </c>
      <c r="QV9" s="42">
        <v>3.012</v>
      </c>
      <c r="QW9" s="47"/>
      <c r="QX9" s="45">
        <v>53.036000000000001</v>
      </c>
      <c r="QY9" s="40">
        <v>50</v>
      </c>
      <c r="QZ9" s="40">
        <v>0</v>
      </c>
      <c r="RA9" s="40">
        <v>0</v>
      </c>
      <c r="RB9" s="42">
        <v>3.0360000000000009</v>
      </c>
      <c r="RC9" s="47"/>
      <c r="RD9" s="45">
        <v>154.636</v>
      </c>
      <c r="RE9" s="40">
        <v>150</v>
      </c>
      <c r="RF9" s="42">
        <v>4.6359999999999957</v>
      </c>
      <c r="RG9" s="47"/>
    </row>
    <row r="10" spans="1:475" x14ac:dyDescent="0.25">
      <c r="A10" s="40" t="s">
        <v>299</v>
      </c>
      <c r="B10" s="41">
        <v>1</v>
      </c>
      <c r="N10" s="43"/>
      <c r="O10" s="48"/>
      <c r="P10" s="48"/>
      <c r="Q10" s="48"/>
      <c r="R10" s="48">
        <f t="shared" si="8"/>
        <v>0</v>
      </c>
      <c r="S10" s="44"/>
      <c r="T10" s="43"/>
      <c r="U10" s="48"/>
      <c r="V10" s="48"/>
      <c r="W10" s="48"/>
      <c r="X10" s="48">
        <f t="shared" si="9"/>
        <v>0</v>
      </c>
      <c r="Y10" s="44"/>
      <c r="Z10" s="43"/>
      <c r="AA10" s="48"/>
      <c r="AB10" s="48"/>
      <c r="AC10" s="48"/>
      <c r="AD10" s="48">
        <f t="shared" si="10"/>
        <v>0</v>
      </c>
      <c r="AE10" s="44"/>
      <c r="AF10" s="43"/>
      <c r="AG10" s="48"/>
      <c r="AH10" s="48"/>
      <c r="AI10" s="48"/>
      <c r="AJ10" s="48">
        <f t="shared" si="11"/>
        <v>0</v>
      </c>
      <c r="AK10" s="44"/>
      <c r="AL10" s="48"/>
      <c r="AP10" s="42">
        <v>0</v>
      </c>
      <c r="AQ10" s="44"/>
      <c r="AR10" s="43"/>
      <c r="AV10" s="42">
        <v>0</v>
      </c>
      <c r="AW10" s="44"/>
      <c r="BC10" s="42">
        <v>0</v>
      </c>
      <c r="BD10" s="44"/>
      <c r="BE10" s="43"/>
      <c r="BI10" s="42">
        <v>0</v>
      </c>
      <c r="BJ10" s="44"/>
      <c r="BO10" s="42">
        <v>0</v>
      </c>
      <c r="BP10" s="44"/>
      <c r="BS10" s="42">
        <v>0</v>
      </c>
      <c r="BT10" s="44"/>
      <c r="BU10" s="43"/>
      <c r="BY10" s="42">
        <v>0</v>
      </c>
      <c r="BZ10" s="44"/>
      <c r="CE10" s="42">
        <v>0</v>
      </c>
      <c r="CF10" s="44"/>
      <c r="CG10" s="43"/>
      <c r="CK10" s="42">
        <v>0</v>
      </c>
      <c r="CL10" s="44"/>
      <c r="CM10" s="43"/>
      <c r="CQ10" s="42">
        <v>0</v>
      </c>
      <c r="CR10" s="44"/>
      <c r="CW10" s="42">
        <v>0</v>
      </c>
      <c r="CX10" s="44"/>
      <c r="CY10" s="43"/>
      <c r="DC10" s="42">
        <v>0</v>
      </c>
      <c r="DD10" s="44"/>
      <c r="DE10" s="43"/>
      <c r="DK10" s="42">
        <v>0</v>
      </c>
      <c r="DL10" s="44"/>
      <c r="DM10" s="43"/>
      <c r="DQ10" s="42">
        <v>0</v>
      </c>
      <c r="DR10" s="44"/>
      <c r="DY10" s="42">
        <v>0</v>
      </c>
      <c r="DZ10" s="44"/>
      <c r="EA10" s="43"/>
      <c r="EE10" s="42">
        <v>0</v>
      </c>
      <c r="EF10" s="44"/>
      <c r="EG10" s="43"/>
      <c r="EK10" s="42">
        <v>0</v>
      </c>
      <c r="EL10" s="44"/>
      <c r="EM10" s="43"/>
      <c r="EQ10" s="42">
        <v>0</v>
      </c>
      <c r="ER10" s="44"/>
      <c r="EY10" s="42">
        <v>0</v>
      </c>
      <c r="EZ10" s="44"/>
      <c r="FE10" s="42">
        <v>0</v>
      </c>
      <c r="FF10" s="44"/>
      <c r="FG10" s="43"/>
      <c r="FK10" s="42">
        <v>0</v>
      </c>
      <c r="FL10" s="44"/>
      <c r="FM10" s="43"/>
      <c r="FO10" s="42">
        <v>0</v>
      </c>
      <c r="FP10" s="44"/>
      <c r="FU10" s="42">
        <v>0</v>
      </c>
      <c r="FV10" s="44"/>
      <c r="FW10" s="43"/>
      <c r="GC10" s="42">
        <v>0</v>
      </c>
      <c r="GD10" s="44"/>
      <c r="GE10">
        <v>70</v>
      </c>
      <c r="GF10">
        <v>70</v>
      </c>
      <c r="GG10">
        <v>65</v>
      </c>
      <c r="GH10">
        <v>70</v>
      </c>
      <c r="GI10" s="42">
        <v>-5</v>
      </c>
      <c r="GJ10" s="44"/>
      <c r="GK10" s="43"/>
      <c r="GN10">
        <v>30</v>
      </c>
      <c r="GO10" s="39">
        <v>-30</v>
      </c>
      <c r="GP10" s="44">
        <v>30</v>
      </c>
      <c r="GQ10">
        <v>69</v>
      </c>
      <c r="GR10">
        <v>70</v>
      </c>
      <c r="GS10">
        <v>111</v>
      </c>
      <c r="GT10">
        <v>110</v>
      </c>
      <c r="GU10" s="42">
        <v>0</v>
      </c>
      <c r="GV10" s="44"/>
      <c r="GY10" s="42">
        <v>0</v>
      </c>
      <c r="GZ10" s="47"/>
      <c r="HA10" s="43"/>
      <c r="HC10" s="42">
        <v>0</v>
      </c>
      <c r="HD10" s="44"/>
      <c r="HE10" s="43"/>
      <c r="HI10" s="42">
        <v>0</v>
      </c>
      <c r="HJ10" s="47"/>
      <c r="HK10" s="46">
        <v>204</v>
      </c>
      <c r="HL10">
        <v>200</v>
      </c>
      <c r="HM10">
        <v>150</v>
      </c>
      <c r="HN10">
        <v>150</v>
      </c>
      <c r="HO10" s="42">
        <v>4</v>
      </c>
      <c r="HP10" s="44"/>
      <c r="HT10">
        <v>89</v>
      </c>
      <c r="HU10">
        <v>90</v>
      </c>
      <c r="HV10" s="42">
        <v>-1</v>
      </c>
      <c r="HW10" s="44"/>
      <c r="HX10" s="45"/>
      <c r="HZ10">
        <v>102</v>
      </c>
      <c r="IA10">
        <v>100</v>
      </c>
      <c r="IB10" s="42">
        <v>2</v>
      </c>
      <c r="IC10" s="44"/>
      <c r="IH10" s="42">
        <v>0</v>
      </c>
      <c r="II10" s="47"/>
      <c r="IJ10">
        <v>102</v>
      </c>
      <c r="IK10">
        <v>100</v>
      </c>
      <c r="IL10">
        <v>81</v>
      </c>
      <c r="IM10">
        <v>80</v>
      </c>
      <c r="IN10" s="42">
        <v>3</v>
      </c>
      <c r="IO10" s="47"/>
      <c r="IP10">
        <v>82</v>
      </c>
      <c r="IQ10">
        <v>80</v>
      </c>
      <c r="IR10">
        <v>20</v>
      </c>
      <c r="IS10">
        <v>20</v>
      </c>
      <c r="IT10" s="42">
        <v>2</v>
      </c>
      <c r="IU10" s="47"/>
      <c r="IX10">
        <v>129</v>
      </c>
      <c r="IY10">
        <v>130</v>
      </c>
      <c r="IZ10" s="42">
        <v>-1</v>
      </c>
      <c r="JA10" s="44"/>
      <c r="JB10">
        <v>77</v>
      </c>
      <c r="JC10">
        <v>80</v>
      </c>
      <c r="JD10" s="42">
        <v>-3</v>
      </c>
      <c r="JE10" s="44"/>
      <c r="JF10">
        <v>102</v>
      </c>
      <c r="JG10">
        <v>100</v>
      </c>
      <c r="JH10">
        <v>81</v>
      </c>
      <c r="JI10">
        <v>79</v>
      </c>
      <c r="JJ10" s="42">
        <v>4</v>
      </c>
      <c r="JK10" s="44"/>
      <c r="JL10" s="45"/>
      <c r="JN10" s="42">
        <v>0</v>
      </c>
      <c r="JO10" s="44"/>
      <c r="JT10" s="42">
        <v>0</v>
      </c>
      <c r="JU10" s="44"/>
      <c r="JV10">
        <v>102</v>
      </c>
      <c r="JW10">
        <v>100</v>
      </c>
      <c r="JX10">
        <v>218</v>
      </c>
      <c r="JY10">
        <v>220</v>
      </c>
      <c r="JZ10" s="42">
        <v>0</v>
      </c>
      <c r="KA10" s="47"/>
      <c r="KF10" s="42">
        <v>0</v>
      </c>
      <c r="KG10" s="44"/>
      <c r="KH10">
        <v>49</v>
      </c>
      <c r="KI10">
        <v>50</v>
      </c>
      <c r="KJ10">
        <v>102</v>
      </c>
      <c r="KK10">
        <v>100</v>
      </c>
      <c r="KL10" s="42">
        <v>1</v>
      </c>
      <c r="KM10" s="47"/>
      <c r="KN10" s="46">
        <v>40</v>
      </c>
      <c r="KO10">
        <v>40</v>
      </c>
      <c r="KP10">
        <v>48</v>
      </c>
      <c r="KQ10">
        <v>50</v>
      </c>
      <c r="KR10">
        <v>28</v>
      </c>
      <c r="KS10">
        <v>30</v>
      </c>
      <c r="KT10" s="42">
        <v>-4</v>
      </c>
      <c r="KU10" s="47"/>
      <c r="KV10" s="40">
        <v>0</v>
      </c>
      <c r="KW10" s="40">
        <v>0</v>
      </c>
      <c r="KX10" s="40">
        <v>32.712000000000003</v>
      </c>
      <c r="KY10" s="40">
        <v>30</v>
      </c>
      <c r="KZ10" s="42">
        <v>2.7120000000000029</v>
      </c>
      <c r="LA10" s="47"/>
      <c r="LB10" s="40">
        <v>0</v>
      </c>
      <c r="LC10" s="40">
        <v>0</v>
      </c>
      <c r="LD10" s="40">
        <v>88.748999999999995</v>
      </c>
      <c r="LE10" s="40">
        <v>90</v>
      </c>
      <c r="LF10" s="42">
        <v>-1.251000000000005</v>
      </c>
      <c r="LG10" s="47"/>
      <c r="LH10" s="45">
        <v>129.96299999999999</v>
      </c>
      <c r="LI10" s="40">
        <v>130</v>
      </c>
      <c r="LJ10" s="42">
        <v>-3.7000000000006139E-2</v>
      </c>
      <c r="LK10" s="47"/>
      <c r="LL10" s="45">
        <v>40.585999999999999</v>
      </c>
      <c r="LM10" s="40">
        <v>50</v>
      </c>
      <c r="LN10" s="40">
        <v>0</v>
      </c>
      <c r="LO10" s="40">
        <v>0</v>
      </c>
      <c r="LP10" s="39">
        <v>-9.4140000000000015</v>
      </c>
      <c r="LQ10" s="47">
        <v>9.4140000000000015</v>
      </c>
      <c r="LR10" s="45">
        <v>129.84100000000001</v>
      </c>
      <c r="LS10" s="40">
        <v>130</v>
      </c>
      <c r="LT10" s="40">
        <v>0</v>
      </c>
      <c r="LU10" s="40">
        <v>0</v>
      </c>
      <c r="LV10" s="42">
        <v>-0.15899999999999179</v>
      </c>
      <c r="LW10" s="47"/>
      <c r="LX10" s="45">
        <v>170.41200000000001</v>
      </c>
      <c r="LY10" s="40">
        <v>170</v>
      </c>
      <c r="LZ10" s="42">
        <v>0.41200000000000608</v>
      </c>
      <c r="MA10" s="47"/>
      <c r="MB10" s="45">
        <v>0</v>
      </c>
      <c r="MC10" s="40">
        <v>0</v>
      </c>
      <c r="MD10" s="40">
        <v>81.527000000000001</v>
      </c>
      <c r="ME10" s="40">
        <v>80</v>
      </c>
      <c r="MF10" s="42">
        <v>1.527000000000001</v>
      </c>
      <c r="MG10" s="47"/>
      <c r="MH10" s="45">
        <v>40.625999999999998</v>
      </c>
      <c r="MI10" s="40">
        <v>40</v>
      </c>
      <c r="MJ10" s="42">
        <v>0.62599999999999767</v>
      </c>
      <c r="MK10" s="47"/>
      <c r="ML10" s="45">
        <v>64.744</v>
      </c>
      <c r="MM10" s="40">
        <v>70</v>
      </c>
      <c r="MN10" s="40">
        <v>0</v>
      </c>
      <c r="MO10" s="40">
        <v>0</v>
      </c>
      <c r="MP10" s="39">
        <v>-5.2560000000000002</v>
      </c>
      <c r="MQ10" s="47"/>
      <c r="MW10" s="47"/>
      <c r="MX10" s="45"/>
      <c r="NC10" s="47"/>
      <c r="ND10" s="45"/>
      <c r="NI10" s="47"/>
      <c r="NJ10" s="45"/>
      <c r="NO10" s="47"/>
      <c r="NP10" s="45"/>
      <c r="NU10" s="47"/>
      <c r="NV10" s="45"/>
      <c r="OA10" s="47"/>
      <c r="OB10" s="45"/>
      <c r="OE10" s="47"/>
      <c r="OF10" s="45"/>
      <c r="OK10" s="47"/>
      <c r="OL10" s="45"/>
      <c r="OQ10" s="47"/>
      <c r="OR10" s="45"/>
      <c r="OW10" s="47"/>
      <c r="PC10" s="47"/>
      <c r="PD10" s="45"/>
      <c r="PI10" s="47"/>
      <c r="PJ10" s="45"/>
      <c r="PO10" s="47"/>
      <c r="PP10" s="43"/>
      <c r="PU10" s="47"/>
      <c r="PV10" s="45"/>
      <c r="QA10" s="47"/>
      <c r="QB10" s="45"/>
      <c r="QE10" s="47"/>
      <c r="QF10" s="45"/>
      <c r="QK10" s="47"/>
      <c r="QL10" s="45"/>
      <c r="QQ10" s="47"/>
      <c r="QR10" s="45"/>
      <c r="QW10" s="47"/>
      <c r="QX10" s="45"/>
      <c r="RB10" s="42"/>
      <c r="RC10" s="47"/>
      <c r="RD10" s="45"/>
      <c r="RF10" s="42"/>
      <c r="RG10" s="47"/>
    </row>
    <row r="11" spans="1:475" x14ac:dyDescent="0.25">
      <c r="A11" s="40" t="s">
        <v>300</v>
      </c>
      <c r="B11" s="41">
        <v>1</v>
      </c>
      <c r="E11">
        <v>30</v>
      </c>
      <c r="I11">
        <v>30</v>
      </c>
      <c r="N11" s="43"/>
      <c r="O11" s="48"/>
      <c r="P11" s="49">
        <v>81</v>
      </c>
      <c r="Q11" s="49">
        <v>80</v>
      </c>
      <c r="R11" s="48">
        <f t="shared" si="8"/>
        <v>1</v>
      </c>
      <c r="S11" s="44"/>
      <c r="T11" s="43"/>
      <c r="U11" s="48"/>
      <c r="V11" s="49">
        <v>12</v>
      </c>
      <c r="W11" s="49">
        <v>10</v>
      </c>
      <c r="X11" s="48">
        <f t="shared" si="9"/>
        <v>2</v>
      </c>
      <c r="Y11" s="44"/>
      <c r="Z11" s="43"/>
      <c r="AA11" s="48"/>
      <c r="AB11" s="49">
        <v>81</v>
      </c>
      <c r="AC11" s="49">
        <v>80</v>
      </c>
      <c r="AD11" s="48">
        <f t="shared" si="10"/>
        <v>1</v>
      </c>
      <c r="AE11" s="44"/>
      <c r="AF11" s="46">
        <v>41</v>
      </c>
      <c r="AG11" s="49">
        <v>40</v>
      </c>
      <c r="AH11" s="49">
        <v>65</v>
      </c>
      <c r="AI11" s="49">
        <v>65</v>
      </c>
      <c r="AJ11" s="48">
        <f t="shared" si="11"/>
        <v>1</v>
      </c>
      <c r="AK11" s="44"/>
      <c r="AL11" s="48"/>
      <c r="AN11">
        <v>41</v>
      </c>
      <c r="AO11">
        <v>40</v>
      </c>
      <c r="AP11" s="42">
        <v>1</v>
      </c>
      <c r="AQ11" s="44"/>
      <c r="AR11" s="43"/>
      <c r="AT11">
        <v>61</v>
      </c>
      <c r="AU11">
        <v>60</v>
      </c>
      <c r="AV11" s="42">
        <v>1</v>
      </c>
      <c r="AW11" s="44"/>
      <c r="BA11">
        <v>60</v>
      </c>
      <c r="BB11">
        <v>60</v>
      </c>
      <c r="BC11" s="42">
        <v>0</v>
      </c>
      <c r="BD11" s="44"/>
      <c r="BE11" s="43"/>
      <c r="BI11" s="42">
        <v>0</v>
      </c>
      <c r="BJ11" s="44"/>
      <c r="BM11">
        <v>54</v>
      </c>
      <c r="BN11">
        <v>80</v>
      </c>
      <c r="BO11" s="39">
        <v>-26</v>
      </c>
      <c r="BP11" s="44">
        <v>26</v>
      </c>
      <c r="BS11" s="42">
        <v>0</v>
      </c>
      <c r="BT11" s="44"/>
      <c r="BU11" s="46">
        <v>73</v>
      </c>
      <c r="BV11">
        <v>80</v>
      </c>
      <c r="BW11">
        <v>32</v>
      </c>
      <c r="BX11">
        <v>30</v>
      </c>
      <c r="BY11" s="42">
        <v>-5</v>
      </c>
      <c r="BZ11" s="44"/>
      <c r="CC11">
        <v>16</v>
      </c>
      <c r="CD11">
        <v>15</v>
      </c>
      <c r="CE11" s="42">
        <v>1</v>
      </c>
      <c r="CF11" s="44"/>
      <c r="CG11" s="43"/>
      <c r="CK11" s="42">
        <v>0</v>
      </c>
      <c r="CL11" s="44"/>
      <c r="CM11" s="43"/>
      <c r="CO11">
        <v>161</v>
      </c>
      <c r="CP11">
        <v>160</v>
      </c>
      <c r="CQ11" s="42">
        <v>1</v>
      </c>
      <c r="CR11" s="44"/>
      <c r="CS11">
        <v>32</v>
      </c>
      <c r="CT11">
        <v>30</v>
      </c>
      <c r="CU11">
        <v>48</v>
      </c>
      <c r="CV11">
        <v>50</v>
      </c>
      <c r="CW11" s="42">
        <v>0</v>
      </c>
      <c r="CX11" s="44"/>
      <c r="CY11" s="43"/>
      <c r="DC11" s="42">
        <v>0</v>
      </c>
      <c r="DD11" s="44"/>
      <c r="DE11" s="43"/>
      <c r="DI11">
        <v>16</v>
      </c>
      <c r="DJ11">
        <v>16</v>
      </c>
      <c r="DK11" s="42">
        <v>0</v>
      </c>
      <c r="DL11" s="44"/>
      <c r="DM11" s="46">
        <v>69</v>
      </c>
      <c r="DN11">
        <v>70</v>
      </c>
      <c r="DO11">
        <v>81</v>
      </c>
      <c r="DP11">
        <v>80</v>
      </c>
      <c r="DQ11" s="42">
        <v>0</v>
      </c>
      <c r="DR11" s="44"/>
      <c r="DU11">
        <v>48</v>
      </c>
      <c r="DV11">
        <v>50</v>
      </c>
      <c r="DY11" s="42">
        <v>-2</v>
      </c>
      <c r="DZ11" s="44"/>
      <c r="EA11" s="43"/>
      <c r="EC11">
        <v>52</v>
      </c>
      <c r="ED11">
        <v>53</v>
      </c>
      <c r="EE11" s="42">
        <v>-1</v>
      </c>
      <c r="EF11" s="44"/>
      <c r="EG11" s="43"/>
      <c r="EK11" s="42">
        <v>0</v>
      </c>
      <c r="EL11" s="44"/>
      <c r="EM11" s="43"/>
      <c r="EQ11" s="42">
        <v>0</v>
      </c>
      <c r="ER11" s="44"/>
      <c r="ES11">
        <v>49</v>
      </c>
      <c r="ET11">
        <v>50</v>
      </c>
      <c r="EU11">
        <v>49</v>
      </c>
      <c r="EV11">
        <v>50</v>
      </c>
      <c r="EW11">
        <v>49</v>
      </c>
      <c r="EX11">
        <v>50</v>
      </c>
      <c r="EY11" s="42">
        <v>-3</v>
      </c>
      <c r="EZ11" s="44"/>
      <c r="FC11">
        <v>109</v>
      </c>
      <c r="FD11">
        <v>110</v>
      </c>
      <c r="FE11" s="42">
        <v>-1</v>
      </c>
      <c r="FF11" s="44"/>
      <c r="FG11" s="43"/>
      <c r="FI11">
        <v>20</v>
      </c>
      <c r="FJ11">
        <v>20</v>
      </c>
      <c r="FK11" s="42">
        <v>0</v>
      </c>
      <c r="FL11" s="44"/>
      <c r="FM11" s="43"/>
      <c r="FO11" s="42">
        <v>0</v>
      </c>
      <c r="FP11" s="44"/>
      <c r="FS11">
        <v>162</v>
      </c>
      <c r="FT11">
        <v>160</v>
      </c>
      <c r="FU11" s="42">
        <v>2</v>
      </c>
      <c r="FV11" s="44"/>
      <c r="FW11" s="43"/>
      <c r="GA11">
        <v>44</v>
      </c>
      <c r="GB11">
        <v>44</v>
      </c>
      <c r="GC11" s="42">
        <v>0</v>
      </c>
      <c r="GD11" s="44"/>
      <c r="GG11">
        <v>85</v>
      </c>
      <c r="GH11">
        <v>84</v>
      </c>
      <c r="GI11" s="42">
        <v>1</v>
      </c>
      <c r="GJ11" s="44"/>
      <c r="GK11" s="43"/>
      <c r="GO11" s="42">
        <v>0</v>
      </c>
      <c r="GP11" s="47"/>
      <c r="GU11" s="42">
        <v>0</v>
      </c>
      <c r="GV11" s="44"/>
      <c r="GW11">
        <v>162</v>
      </c>
      <c r="GX11" s="40">
        <v>160</v>
      </c>
      <c r="GY11" s="42">
        <v>2</v>
      </c>
      <c r="GZ11" s="47"/>
      <c r="HA11" s="43"/>
      <c r="HC11" s="42">
        <v>0</v>
      </c>
      <c r="HD11" s="44"/>
      <c r="HE11" s="43"/>
      <c r="HG11">
        <v>28</v>
      </c>
      <c r="HH11">
        <v>28</v>
      </c>
      <c r="HI11" s="42">
        <v>0</v>
      </c>
      <c r="HJ11" s="47"/>
      <c r="HK11" s="43"/>
      <c r="HO11" s="42">
        <v>0</v>
      </c>
      <c r="HP11" s="44"/>
      <c r="HT11">
        <v>77</v>
      </c>
      <c r="HU11">
        <v>75</v>
      </c>
      <c r="HV11" s="42">
        <v>2</v>
      </c>
      <c r="HW11" s="44"/>
      <c r="HX11" s="45"/>
      <c r="HZ11">
        <v>150</v>
      </c>
      <c r="IA11">
        <v>150</v>
      </c>
      <c r="IB11" s="42">
        <v>0</v>
      </c>
      <c r="IC11" s="44"/>
      <c r="IH11" s="42">
        <v>0</v>
      </c>
      <c r="II11" s="47"/>
      <c r="IN11" s="42">
        <v>0</v>
      </c>
      <c r="IO11" s="47"/>
      <c r="IP11">
        <v>100</v>
      </c>
      <c r="IQ11">
        <v>100</v>
      </c>
      <c r="IR11">
        <v>89</v>
      </c>
      <c r="IS11">
        <v>90</v>
      </c>
      <c r="IT11" s="42">
        <v>-1</v>
      </c>
      <c r="IU11" s="47"/>
      <c r="IV11">
        <v>102</v>
      </c>
      <c r="IW11">
        <v>100</v>
      </c>
      <c r="IX11">
        <v>80</v>
      </c>
      <c r="IY11">
        <v>80</v>
      </c>
      <c r="IZ11" s="42">
        <v>2</v>
      </c>
      <c r="JA11" s="44"/>
      <c r="JB11">
        <v>81</v>
      </c>
      <c r="JC11">
        <v>82</v>
      </c>
      <c r="JD11" s="42">
        <v>-1</v>
      </c>
      <c r="JE11" s="44"/>
      <c r="JH11">
        <v>53</v>
      </c>
      <c r="JI11">
        <v>51</v>
      </c>
      <c r="JJ11" s="42">
        <v>2</v>
      </c>
      <c r="JK11" s="44"/>
      <c r="JL11" s="46">
        <v>48</v>
      </c>
      <c r="JM11" s="40">
        <v>50</v>
      </c>
      <c r="JN11" s="42">
        <v>-2</v>
      </c>
      <c r="JO11" s="44"/>
      <c r="JT11" s="42">
        <v>0</v>
      </c>
      <c r="JU11" s="44"/>
      <c r="JV11">
        <v>32</v>
      </c>
      <c r="JW11">
        <v>30</v>
      </c>
      <c r="JZ11" s="42">
        <v>2</v>
      </c>
      <c r="KA11" s="47"/>
      <c r="KF11" s="42">
        <v>0</v>
      </c>
      <c r="KG11" s="44"/>
      <c r="KH11">
        <v>60</v>
      </c>
      <c r="KI11">
        <v>60</v>
      </c>
      <c r="KJ11">
        <v>68</v>
      </c>
      <c r="KK11">
        <v>70</v>
      </c>
      <c r="KL11" s="42">
        <v>-2</v>
      </c>
      <c r="KM11" s="47"/>
      <c r="KN11" s="46">
        <v>81</v>
      </c>
      <c r="KO11">
        <v>80</v>
      </c>
      <c r="KP11">
        <v>102</v>
      </c>
      <c r="KQ11">
        <v>100</v>
      </c>
      <c r="KR11">
        <v>157</v>
      </c>
      <c r="KS11">
        <v>70</v>
      </c>
      <c r="KT11" s="42">
        <v>90</v>
      </c>
      <c r="KU11" s="47"/>
      <c r="KV11" s="40">
        <v>0</v>
      </c>
      <c r="KW11" s="40">
        <v>0</v>
      </c>
      <c r="KX11" s="40">
        <v>148.83699999999999</v>
      </c>
      <c r="KY11" s="40">
        <v>150</v>
      </c>
      <c r="KZ11" s="42">
        <v>-1.1630000000000109</v>
      </c>
      <c r="LA11" s="47"/>
      <c r="LB11" s="40">
        <v>0</v>
      </c>
      <c r="LC11" s="40">
        <v>0</v>
      </c>
      <c r="LD11" s="40">
        <v>32.353999999999999</v>
      </c>
      <c r="LE11" s="40">
        <v>30</v>
      </c>
      <c r="LF11" s="42">
        <v>2.3539999999999992</v>
      </c>
      <c r="LG11" s="47"/>
      <c r="LH11" s="45">
        <v>40.134999999999998</v>
      </c>
      <c r="LI11" s="40">
        <v>40</v>
      </c>
      <c r="LJ11" s="42">
        <v>0.13499999999999801</v>
      </c>
      <c r="LK11" s="47"/>
      <c r="LL11" s="45">
        <v>88.92</v>
      </c>
      <c r="LM11" s="40">
        <v>90</v>
      </c>
      <c r="LN11" s="40">
        <v>0</v>
      </c>
      <c r="LO11" s="40">
        <v>0</v>
      </c>
      <c r="LP11" s="42">
        <v>-1.0799999999999981</v>
      </c>
      <c r="LQ11" s="47"/>
      <c r="LR11" s="45">
        <v>102.43600000000001</v>
      </c>
      <c r="LS11" s="40">
        <v>100</v>
      </c>
      <c r="LT11" s="40">
        <v>120.883</v>
      </c>
      <c r="LU11" s="40">
        <v>120</v>
      </c>
      <c r="LV11" s="42">
        <v>3.3190000000000168</v>
      </c>
      <c r="LW11" s="47"/>
      <c r="LX11" s="45">
        <v>0</v>
      </c>
      <c r="LY11" s="40">
        <v>0</v>
      </c>
      <c r="LZ11" s="42">
        <v>0</v>
      </c>
      <c r="MA11" s="47"/>
      <c r="MB11" s="45">
        <v>48.448</v>
      </c>
      <c r="MC11" s="40">
        <v>50</v>
      </c>
      <c r="MD11" s="40">
        <v>159.13999999999999</v>
      </c>
      <c r="ME11" s="40">
        <v>162</v>
      </c>
      <c r="MF11" s="42">
        <v>-4.4120000000000061</v>
      </c>
      <c r="MG11" s="47"/>
      <c r="MH11" s="45">
        <v>40.378999999999998</v>
      </c>
      <c r="MI11" s="40">
        <v>40</v>
      </c>
      <c r="MJ11" s="42">
        <v>0.37899999999999778</v>
      </c>
      <c r="MK11" s="47"/>
      <c r="ML11" s="45">
        <v>0</v>
      </c>
      <c r="MM11" s="40">
        <v>0</v>
      </c>
      <c r="MN11" s="40">
        <v>170.84700000000001</v>
      </c>
      <c r="MO11" s="40">
        <v>170</v>
      </c>
      <c r="MP11" s="42">
        <v>0.84700000000000841</v>
      </c>
      <c r="MQ11" s="47"/>
      <c r="MR11" s="40">
        <v>0</v>
      </c>
      <c r="MS11" s="40">
        <v>0</v>
      </c>
      <c r="MT11" s="40">
        <v>60.290999999999997</v>
      </c>
      <c r="MU11" s="40">
        <v>60</v>
      </c>
      <c r="MV11" s="42">
        <v>0.29099999999999682</v>
      </c>
      <c r="MW11" s="47"/>
      <c r="MX11" s="45">
        <v>0</v>
      </c>
      <c r="MY11" s="40">
        <v>0</v>
      </c>
      <c r="MZ11" s="40">
        <v>68.95</v>
      </c>
      <c r="NA11" s="40">
        <v>70</v>
      </c>
      <c r="NB11" s="42">
        <v>-1.0499999999999969</v>
      </c>
      <c r="NC11" s="47"/>
      <c r="ND11" s="25">
        <v>100.89100000000001</v>
      </c>
      <c r="NE11" s="40">
        <v>0</v>
      </c>
      <c r="NF11" s="40">
        <v>53.564</v>
      </c>
      <c r="NG11" s="40">
        <v>54</v>
      </c>
      <c r="NH11" s="42">
        <v>100.455</v>
      </c>
      <c r="NI11" s="47"/>
      <c r="NJ11" s="45">
        <v>40.564</v>
      </c>
      <c r="NK11" s="40">
        <v>40</v>
      </c>
      <c r="NL11" s="40">
        <v>60.610999999999997</v>
      </c>
      <c r="NM11" s="40">
        <v>60</v>
      </c>
      <c r="NN11" s="42">
        <v>1.1749999999999969</v>
      </c>
      <c r="NO11" s="47"/>
      <c r="NP11" s="25">
        <v>102.173</v>
      </c>
      <c r="NQ11" s="40">
        <v>0</v>
      </c>
      <c r="NR11" s="40">
        <v>48.86</v>
      </c>
      <c r="NS11" s="40">
        <v>50</v>
      </c>
      <c r="NT11" s="42">
        <v>101.033</v>
      </c>
      <c r="NU11" s="47"/>
      <c r="NV11" s="45">
        <v>0</v>
      </c>
      <c r="NW11" s="40">
        <v>0</v>
      </c>
      <c r="NX11" s="40">
        <v>141.91300000000001</v>
      </c>
      <c r="NY11" s="40">
        <v>140</v>
      </c>
      <c r="NZ11" s="42">
        <v>1.9130000000000109</v>
      </c>
      <c r="OA11" s="47"/>
      <c r="OB11" s="45">
        <v>122.248</v>
      </c>
      <c r="OC11" s="40">
        <v>120</v>
      </c>
      <c r="OD11" s="42">
        <v>2.2480000000000051</v>
      </c>
      <c r="OE11" s="47"/>
      <c r="OF11" s="45">
        <v>0</v>
      </c>
      <c r="OG11" s="40">
        <v>0</v>
      </c>
      <c r="OH11" s="40">
        <v>20.138000000000002</v>
      </c>
      <c r="OI11" s="40">
        <v>21</v>
      </c>
      <c r="OJ11" s="42">
        <v>-0.86199999999999832</v>
      </c>
      <c r="OK11" s="47"/>
      <c r="OL11" s="45">
        <v>44.847000000000001</v>
      </c>
      <c r="OM11" s="40">
        <v>45</v>
      </c>
      <c r="ON11" s="40">
        <v>40.564</v>
      </c>
      <c r="OO11" s="40">
        <v>40</v>
      </c>
      <c r="OP11" s="42">
        <v>0.41100000000000142</v>
      </c>
      <c r="OQ11" s="47"/>
      <c r="OR11" s="45">
        <v>0</v>
      </c>
      <c r="OS11" s="40">
        <v>0</v>
      </c>
      <c r="OT11" s="40">
        <v>175.24</v>
      </c>
      <c r="OU11" s="40">
        <v>174</v>
      </c>
      <c r="OV11" s="42">
        <v>1.2400000000000091</v>
      </c>
      <c r="OW11" s="47"/>
      <c r="OX11" s="40">
        <v>31.952000000000002</v>
      </c>
      <c r="OY11" s="40">
        <v>32</v>
      </c>
      <c r="OZ11" s="40">
        <v>32.167000000000002</v>
      </c>
      <c r="PA11" s="40">
        <v>32</v>
      </c>
      <c r="PB11" s="42">
        <v>0.1189999999999998</v>
      </c>
      <c r="PC11" s="47"/>
      <c r="PD11" s="45">
        <v>0</v>
      </c>
      <c r="PE11" s="40">
        <v>0</v>
      </c>
      <c r="PF11" s="40">
        <v>48.658999999999999</v>
      </c>
      <c r="PG11" s="40">
        <v>52</v>
      </c>
      <c r="PH11" s="42">
        <v>-3.3410000000000011</v>
      </c>
      <c r="PI11" s="47"/>
      <c r="PJ11" s="45">
        <v>0</v>
      </c>
      <c r="PK11" s="40">
        <v>0</v>
      </c>
      <c r="PL11" s="40">
        <v>105.41800000000001</v>
      </c>
      <c r="PM11" s="40">
        <v>135</v>
      </c>
      <c r="PN11" s="39">
        <v>-29.58199999999999</v>
      </c>
      <c r="PO11" s="47">
        <v>29.58199999999999</v>
      </c>
      <c r="PP11" s="43">
        <v>0</v>
      </c>
      <c r="PQ11" s="40">
        <v>0</v>
      </c>
      <c r="PR11" s="40">
        <v>40.284999999999997</v>
      </c>
      <c r="PS11" s="40">
        <v>40</v>
      </c>
      <c r="PT11" s="42">
        <v>0.28499999999999659</v>
      </c>
      <c r="PU11" s="47"/>
      <c r="PV11" s="45">
        <v>48.393000000000001</v>
      </c>
      <c r="PW11" s="40">
        <v>50</v>
      </c>
      <c r="PX11" s="40">
        <v>0</v>
      </c>
      <c r="PY11" s="40">
        <v>0</v>
      </c>
      <c r="PZ11" s="42">
        <v>-1.6069999999999991</v>
      </c>
      <c r="QA11" s="47"/>
      <c r="QB11" s="45">
        <v>169.60900000000001</v>
      </c>
      <c r="QC11" s="40">
        <v>170</v>
      </c>
      <c r="QD11" s="42">
        <v>-0.39099999999999108</v>
      </c>
      <c r="QE11" s="47"/>
      <c r="QF11" s="45">
        <v>0</v>
      </c>
      <c r="QG11" s="40">
        <v>0</v>
      </c>
      <c r="QH11" s="40">
        <v>0</v>
      </c>
      <c r="QI11" s="40">
        <v>0</v>
      </c>
      <c r="QJ11" s="42">
        <v>0</v>
      </c>
      <c r="QK11" s="47"/>
      <c r="QL11" s="45">
        <v>0</v>
      </c>
      <c r="QM11" s="40">
        <v>0</v>
      </c>
      <c r="QN11" s="40">
        <v>0</v>
      </c>
      <c r="QO11" s="40">
        <v>0</v>
      </c>
      <c r="QP11" s="42">
        <v>0</v>
      </c>
      <c r="QQ11" s="47"/>
      <c r="QR11" s="45">
        <v>0</v>
      </c>
      <c r="QS11" s="40">
        <v>0</v>
      </c>
      <c r="QT11" s="40">
        <v>0</v>
      </c>
      <c r="QU11" s="40">
        <v>0</v>
      </c>
      <c r="QV11" s="42">
        <v>0</v>
      </c>
      <c r="QW11" s="47"/>
      <c r="QX11" s="45">
        <v>149.232</v>
      </c>
      <c r="QY11" s="40">
        <v>150</v>
      </c>
      <c r="QZ11" s="40">
        <v>0</v>
      </c>
      <c r="RA11" s="40">
        <v>0</v>
      </c>
      <c r="RB11" s="42">
        <v>-0.76800000000000068</v>
      </c>
      <c r="RC11" s="47"/>
      <c r="RD11" s="45">
        <v>136.78</v>
      </c>
      <c r="RE11" s="40">
        <v>137.48439999999999</v>
      </c>
      <c r="RF11" s="42">
        <v>-0.70439999999996417</v>
      </c>
      <c r="RG11" s="47"/>
    </row>
    <row r="12" spans="1:475" x14ac:dyDescent="0.25">
      <c r="A12" s="40" t="s">
        <v>301</v>
      </c>
      <c r="B12" s="41">
        <v>1</v>
      </c>
      <c r="E12">
        <v>100</v>
      </c>
      <c r="F12">
        <v>100</v>
      </c>
      <c r="I12">
        <v>145</v>
      </c>
      <c r="N12" s="46">
        <v>102</v>
      </c>
      <c r="O12" s="49">
        <v>100</v>
      </c>
      <c r="P12" s="49">
        <v>61</v>
      </c>
      <c r="Q12" s="49">
        <v>61</v>
      </c>
      <c r="R12" s="48">
        <f t="shared" si="8"/>
        <v>2</v>
      </c>
      <c r="S12" s="44"/>
      <c r="T12" s="46">
        <v>217</v>
      </c>
      <c r="U12" s="49">
        <v>220</v>
      </c>
      <c r="V12" s="49">
        <v>227</v>
      </c>
      <c r="W12" s="49">
        <v>230</v>
      </c>
      <c r="X12" s="48">
        <f t="shared" si="9"/>
        <v>-6</v>
      </c>
      <c r="Y12" s="44"/>
      <c r="Z12" s="46">
        <v>149</v>
      </c>
      <c r="AA12" s="49">
        <v>150</v>
      </c>
      <c r="AB12" s="49">
        <v>49</v>
      </c>
      <c r="AC12" s="49">
        <v>50</v>
      </c>
      <c r="AD12" s="48">
        <f t="shared" si="10"/>
        <v>-2</v>
      </c>
      <c r="AE12" s="44"/>
      <c r="AF12" s="46">
        <v>149</v>
      </c>
      <c r="AG12" s="49">
        <v>150</v>
      </c>
      <c r="AH12" s="48"/>
      <c r="AI12" s="48"/>
      <c r="AJ12" s="48">
        <f t="shared" si="11"/>
        <v>-1</v>
      </c>
      <c r="AK12" s="44"/>
      <c r="AL12" s="49">
        <v>279</v>
      </c>
      <c r="AM12">
        <v>280</v>
      </c>
      <c r="AN12">
        <v>296</v>
      </c>
      <c r="AO12">
        <v>296</v>
      </c>
      <c r="AP12" s="42">
        <v>-1</v>
      </c>
      <c r="AQ12" s="44"/>
      <c r="AR12" s="46">
        <v>68</v>
      </c>
      <c r="AS12">
        <v>70</v>
      </c>
      <c r="AT12">
        <v>81</v>
      </c>
      <c r="AU12">
        <v>80</v>
      </c>
      <c r="AV12" s="42">
        <v>-1</v>
      </c>
      <c r="AW12" s="44"/>
      <c r="AZ12">
        <v>100</v>
      </c>
      <c r="BA12">
        <v>102</v>
      </c>
      <c r="BB12">
        <v>100</v>
      </c>
      <c r="BC12" s="39">
        <v>-98</v>
      </c>
      <c r="BD12" s="44">
        <v>98</v>
      </c>
      <c r="BE12" s="43"/>
      <c r="BF12">
        <v>244</v>
      </c>
      <c r="BI12" s="39">
        <v>-244</v>
      </c>
      <c r="BJ12" s="44">
        <v>244</v>
      </c>
      <c r="BK12">
        <v>202</v>
      </c>
      <c r="BL12">
        <v>200</v>
      </c>
      <c r="BM12">
        <v>174</v>
      </c>
      <c r="BN12">
        <v>175</v>
      </c>
      <c r="BO12" s="42">
        <v>1</v>
      </c>
      <c r="BP12" s="44"/>
      <c r="BQ12">
        <v>150</v>
      </c>
      <c r="BR12">
        <v>150</v>
      </c>
      <c r="BS12" s="42">
        <v>0</v>
      </c>
      <c r="BT12" s="44"/>
      <c r="BU12" s="46">
        <v>347</v>
      </c>
      <c r="BV12">
        <v>344</v>
      </c>
      <c r="BW12">
        <v>313</v>
      </c>
      <c r="BX12">
        <v>310</v>
      </c>
      <c r="BY12" s="42">
        <v>6</v>
      </c>
      <c r="BZ12" s="44"/>
      <c r="CA12">
        <v>89</v>
      </c>
      <c r="CB12">
        <v>90</v>
      </c>
      <c r="CC12">
        <v>61</v>
      </c>
      <c r="CD12">
        <v>60</v>
      </c>
      <c r="CE12" s="42">
        <v>0</v>
      </c>
      <c r="CF12" s="44"/>
      <c r="CG12" s="46">
        <v>151</v>
      </c>
      <c r="CH12">
        <v>150</v>
      </c>
      <c r="CI12">
        <v>211</v>
      </c>
      <c r="CJ12">
        <v>208</v>
      </c>
      <c r="CK12" s="42">
        <v>4</v>
      </c>
      <c r="CL12" s="44"/>
      <c r="CM12" s="43"/>
      <c r="CO12">
        <v>431</v>
      </c>
      <c r="CP12">
        <v>430</v>
      </c>
      <c r="CQ12" s="42">
        <v>1</v>
      </c>
      <c r="CR12" s="44"/>
      <c r="CS12">
        <v>40</v>
      </c>
      <c r="CT12">
        <v>40</v>
      </c>
      <c r="CU12">
        <v>61</v>
      </c>
      <c r="CV12">
        <v>60</v>
      </c>
      <c r="CW12" s="42">
        <v>1</v>
      </c>
      <c r="CX12" s="44"/>
      <c r="CY12" s="46">
        <v>202</v>
      </c>
      <c r="CZ12">
        <v>200</v>
      </c>
      <c r="DA12">
        <v>317</v>
      </c>
      <c r="DB12">
        <v>323</v>
      </c>
      <c r="DC12" s="42">
        <v>-4</v>
      </c>
      <c r="DD12" s="44"/>
      <c r="DE12" s="46">
        <v>101</v>
      </c>
      <c r="DF12">
        <v>100</v>
      </c>
      <c r="DG12">
        <v>299</v>
      </c>
      <c r="DH12">
        <v>300</v>
      </c>
      <c r="DI12">
        <v>141</v>
      </c>
      <c r="DJ12">
        <v>144</v>
      </c>
      <c r="DK12" s="42">
        <v>-3</v>
      </c>
      <c r="DL12" s="44"/>
      <c r="DM12" s="46">
        <v>32</v>
      </c>
      <c r="DN12">
        <v>30</v>
      </c>
      <c r="DO12">
        <v>40</v>
      </c>
      <c r="DP12">
        <v>40</v>
      </c>
      <c r="DQ12" s="42">
        <v>2</v>
      </c>
      <c r="DR12" s="44"/>
      <c r="DS12">
        <v>202</v>
      </c>
      <c r="DT12">
        <v>200</v>
      </c>
      <c r="DU12">
        <v>202</v>
      </c>
      <c r="DV12">
        <v>200</v>
      </c>
      <c r="DW12">
        <v>204</v>
      </c>
      <c r="DX12">
        <v>200</v>
      </c>
      <c r="DY12" s="42">
        <v>8</v>
      </c>
      <c r="DZ12" s="44"/>
      <c r="EA12" s="43"/>
      <c r="EC12">
        <v>255</v>
      </c>
      <c r="ED12">
        <v>254</v>
      </c>
      <c r="EE12" s="42">
        <v>1</v>
      </c>
      <c r="EF12" s="44"/>
      <c r="EG12" s="43"/>
      <c r="EI12">
        <v>100</v>
      </c>
      <c r="EJ12">
        <v>100</v>
      </c>
      <c r="EK12" s="42">
        <v>0</v>
      </c>
      <c r="EL12" s="44"/>
      <c r="EM12" s="46">
        <v>163</v>
      </c>
      <c r="EN12">
        <v>160</v>
      </c>
      <c r="EO12">
        <v>41</v>
      </c>
      <c r="EP12">
        <v>40</v>
      </c>
      <c r="EQ12" s="42">
        <v>4</v>
      </c>
      <c r="ER12" s="44"/>
      <c r="ES12">
        <v>200</v>
      </c>
      <c r="ET12">
        <v>200</v>
      </c>
      <c r="EU12">
        <v>201</v>
      </c>
      <c r="EV12">
        <v>200</v>
      </c>
      <c r="EW12">
        <v>204</v>
      </c>
      <c r="EX12">
        <v>200</v>
      </c>
      <c r="EY12" s="42">
        <v>5</v>
      </c>
      <c r="EZ12" s="44"/>
      <c r="FC12">
        <v>45</v>
      </c>
      <c r="FD12">
        <v>45</v>
      </c>
      <c r="FE12" s="42">
        <v>0</v>
      </c>
      <c r="FF12" s="44"/>
      <c r="FG12" s="46">
        <v>49</v>
      </c>
      <c r="FH12">
        <v>50</v>
      </c>
      <c r="FI12">
        <v>149</v>
      </c>
      <c r="FJ12">
        <v>150</v>
      </c>
      <c r="FK12" s="42">
        <v>-2</v>
      </c>
      <c r="FL12" s="44"/>
      <c r="FM12" s="43"/>
      <c r="FO12" s="42">
        <v>0</v>
      </c>
      <c r="FP12" s="44"/>
      <c r="FQ12">
        <v>252</v>
      </c>
      <c r="FR12">
        <v>250</v>
      </c>
      <c r="FS12">
        <v>301</v>
      </c>
      <c r="FT12">
        <v>300</v>
      </c>
      <c r="FU12" s="42">
        <v>3</v>
      </c>
      <c r="FV12" s="44"/>
      <c r="FW12" s="43"/>
      <c r="GA12">
        <v>162</v>
      </c>
      <c r="GB12">
        <v>160</v>
      </c>
      <c r="GC12" s="42">
        <v>2</v>
      </c>
      <c r="GD12" s="44"/>
      <c r="GE12">
        <v>258</v>
      </c>
      <c r="GF12">
        <v>260</v>
      </c>
      <c r="GG12">
        <v>202</v>
      </c>
      <c r="GH12">
        <v>200</v>
      </c>
      <c r="GI12" s="42">
        <v>0</v>
      </c>
      <c r="GJ12" s="44"/>
      <c r="GK12" s="43"/>
      <c r="GM12">
        <v>181</v>
      </c>
      <c r="GN12">
        <v>180</v>
      </c>
      <c r="GO12" s="42">
        <v>1</v>
      </c>
      <c r="GP12" s="47"/>
      <c r="GQ12">
        <v>150</v>
      </c>
      <c r="GR12">
        <v>150</v>
      </c>
      <c r="GS12">
        <v>150</v>
      </c>
      <c r="GT12">
        <v>150</v>
      </c>
      <c r="GU12" s="42">
        <v>0</v>
      </c>
      <c r="GV12" s="44"/>
      <c r="GW12">
        <v>49</v>
      </c>
      <c r="GX12" s="40">
        <v>47.394800000000011</v>
      </c>
      <c r="GY12" s="42">
        <v>1.6051999999999891</v>
      </c>
      <c r="GZ12" s="47"/>
      <c r="HA12" s="43"/>
      <c r="HC12" s="42">
        <v>0</v>
      </c>
      <c r="HD12" s="44"/>
      <c r="HE12" s="43"/>
      <c r="HI12" s="42">
        <v>0</v>
      </c>
      <c r="HJ12" s="47"/>
      <c r="HK12" s="46">
        <v>506</v>
      </c>
      <c r="HL12">
        <v>500</v>
      </c>
      <c r="HM12">
        <v>463</v>
      </c>
      <c r="HN12">
        <v>460</v>
      </c>
      <c r="HO12" s="42">
        <v>9</v>
      </c>
      <c r="HP12" s="44"/>
      <c r="HT12">
        <v>404</v>
      </c>
      <c r="HU12">
        <v>400</v>
      </c>
      <c r="HV12" s="42">
        <v>4</v>
      </c>
      <c r="HW12" s="44"/>
      <c r="HX12" s="46">
        <v>183</v>
      </c>
      <c r="HY12">
        <v>180</v>
      </c>
      <c r="HZ12">
        <v>182</v>
      </c>
      <c r="IA12">
        <v>180</v>
      </c>
      <c r="IB12" s="42">
        <v>5</v>
      </c>
      <c r="IC12" s="44"/>
      <c r="IF12">
        <v>191</v>
      </c>
      <c r="IG12">
        <v>190</v>
      </c>
      <c r="IH12" s="42">
        <v>1</v>
      </c>
      <c r="II12" s="47"/>
      <c r="IJ12">
        <v>101</v>
      </c>
      <c r="IK12">
        <v>100</v>
      </c>
      <c r="IN12" s="42">
        <v>1</v>
      </c>
      <c r="IO12" s="47"/>
      <c r="IP12">
        <v>202</v>
      </c>
      <c r="IQ12">
        <v>200</v>
      </c>
      <c r="IR12">
        <v>184</v>
      </c>
      <c r="IS12">
        <v>180</v>
      </c>
      <c r="IT12" s="42">
        <v>6</v>
      </c>
      <c r="IU12" s="47"/>
      <c r="IV12">
        <v>352</v>
      </c>
      <c r="IW12">
        <v>350</v>
      </c>
      <c r="IX12">
        <v>252</v>
      </c>
      <c r="IY12">
        <v>250</v>
      </c>
      <c r="IZ12" s="42">
        <v>4</v>
      </c>
      <c r="JA12" s="44"/>
      <c r="JB12">
        <v>69</v>
      </c>
      <c r="JC12">
        <v>70</v>
      </c>
      <c r="JD12" s="42">
        <v>-1</v>
      </c>
      <c r="JE12" s="44"/>
      <c r="JF12">
        <v>322</v>
      </c>
      <c r="JG12">
        <v>320</v>
      </c>
      <c r="JH12">
        <v>234</v>
      </c>
      <c r="JI12">
        <v>234</v>
      </c>
      <c r="JJ12" s="42">
        <v>2</v>
      </c>
      <c r="JK12" s="44"/>
      <c r="JL12" s="46">
        <v>81</v>
      </c>
      <c r="JM12" s="40">
        <v>80</v>
      </c>
      <c r="JN12" s="42">
        <v>1</v>
      </c>
      <c r="JO12" s="44"/>
      <c r="JP12">
        <v>134</v>
      </c>
      <c r="JQ12">
        <v>135</v>
      </c>
      <c r="JR12">
        <v>338</v>
      </c>
      <c r="JS12">
        <v>335</v>
      </c>
      <c r="JT12" s="42">
        <v>2</v>
      </c>
      <c r="JU12" s="44"/>
      <c r="JV12">
        <v>202</v>
      </c>
      <c r="JW12">
        <v>200</v>
      </c>
      <c r="JX12">
        <v>287</v>
      </c>
      <c r="JY12">
        <v>285</v>
      </c>
      <c r="JZ12" s="42">
        <v>4</v>
      </c>
      <c r="KA12" s="47"/>
      <c r="KB12">
        <v>24</v>
      </c>
      <c r="KC12">
        <v>100</v>
      </c>
      <c r="KD12">
        <v>90</v>
      </c>
      <c r="KE12">
        <v>90</v>
      </c>
      <c r="KF12" s="39">
        <v>-76</v>
      </c>
      <c r="KG12" s="47">
        <v>76</v>
      </c>
      <c r="KH12">
        <v>139</v>
      </c>
      <c r="KI12">
        <v>150</v>
      </c>
      <c r="KL12" s="39">
        <v>-11</v>
      </c>
      <c r="KM12" s="47">
        <v>11</v>
      </c>
      <c r="KN12" s="46">
        <v>250</v>
      </c>
      <c r="KO12">
        <v>250</v>
      </c>
      <c r="KP12">
        <v>328</v>
      </c>
      <c r="KQ12">
        <v>330</v>
      </c>
      <c r="KR12">
        <v>281</v>
      </c>
      <c r="KS12">
        <v>220</v>
      </c>
      <c r="KT12" s="42">
        <v>59</v>
      </c>
      <c r="KU12" s="47"/>
      <c r="KV12" s="40">
        <v>100.003</v>
      </c>
      <c r="KW12" s="40">
        <v>100</v>
      </c>
      <c r="KX12" s="40">
        <v>182.03800000000001</v>
      </c>
      <c r="KY12" s="40">
        <v>180</v>
      </c>
      <c r="KZ12" s="42">
        <v>2.0409999999999968</v>
      </c>
      <c r="LA12" s="47"/>
      <c r="LB12" s="40">
        <v>201.149</v>
      </c>
      <c r="LC12" s="40">
        <v>200</v>
      </c>
      <c r="LD12" s="40">
        <v>218.04499999999999</v>
      </c>
      <c r="LE12" s="40">
        <v>220</v>
      </c>
      <c r="LF12" s="42">
        <v>-0.80600000000004002</v>
      </c>
      <c r="LG12" s="47"/>
      <c r="LH12" s="45">
        <v>69.158000000000001</v>
      </c>
      <c r="LI12" s="40">
        <v>70</v>
      </c>
      <c r="LJ12" s="42">
        <v>-0.84199999999999875</v>
      </c>
      <c r="LK12" s="47"/>
      <c r="LL12" s="45">
        <v>271.68099999999998</v>
      </c>
      <c r="LM12" s="40">
        <v>270</v>
      </c>
      <c r="LN12" s="40">
        <v>198.36099999999999</v>
      </c>
      <c r="LO12" s="40">
        <v>200</v>
      </c>
      <c r="LP12" s="42">
        <v>4.199999999997317E-2</v>
      </c>
      <c r="LQ12" s="47"/>
      <c r="LR12" s="45">
        <v>251.91</v>
      </c>
      <c r="LS12" s="40">
        <v>250</v>
      </c>
      <c r="LT12" s="40">
        <v>250.899</v>
      </c>
      <c r="LU12" s="40">
        <v>250</v>
      </c>
      <c r="LV12" s="42">
        <v>2.8089999999999691</v>
      </c>
      <c r="LW12" s="47"/>
      <c r="LX12" s="45">
        <v>32.694000000000003</v>
      </c>
      <c r="LY12" s="40">
        <v>30</v>
      </c>
      <c r="LZ12" s="42">
        <v>2.6940000000000031</v>
      </c>
      <c r="MA12" s="47"/>
      <c r="MB12" s="45">
        <v>299.59699999999998</v>
      </c>
      <c r="MC12" s="40">
        <v>300</v>
      </c>
      <c r="MD12" s="40">
        <v>332.92700000000002</v>
      </c>
      <c r="ME12" s="40">
        <v>330</v>
      </c>
      <c r="MF12" s="42">
        <v>2.5240000000000009</v>
      </c>
      <c r="MG12" s="47"/>
      <c r="MH12" s="45">
        <v>238.41900000000001</v>
      </c>
      <c r="MI12" s="40">
        <v>240</v>
      </c>
      <c r="MJ12" s="42">
        <v>-1.5809999999999891</v>
      </c>
      <c r="MK12" s="47"/>
      <c r="ML12" s="45">
        <v>149.703</v>
      </c>
      <c r="MM12" s="40">
        <v>150</v>
      </c>
      <c r="MN12" s="40">
        <v>341.238</v>
      </c>
      <c r="MO12" s="40">
        <v>340</v>
      </c>
      <c r="MP12" s="42">
        <v>0.94100000000003092</v>
      </c>
      <c r="MQ12" s="47"/>
      <c r="MR12" s="40">
        <v>170.214</v>
      </c>
      <c r="MS12" s="40">
        <v>170</v>
      </c>
      <c r="MT12" s="40">
        <v>428.495</v>
      </c>
      <c r="MU12" s="40">
        <v>430</v>
      </c>
      <c r="MV12" s="42">
        <v>-1.29099999999994</v>
      </c>
      <c r="MW12" s="47"/>
      <c r="MX12" s="45">
        <v>100.184</v>
      </c>
      <c r="MY12" s="40">
        <v>100</v>
      </c>
      <c r="MZ12" s="40">
        <v>265.548</v>
      </c>
      <c r="NA12" s="40">
        <v>300</v>
      </c>
      <c r="NB12" s="39">
        <v>-34.268000000000029</v>
      </c>
      <c r="NC12" s="47">
        <v>34.268000000000029</v>
      </c>
      <c r="ND12" s="45">
        <v>100.387</v>
      </c>
      <c r="NE12" s="40">
        <v>30</v>
      </c>
      <c r="NF12" s="40">
        <v>68.596000000000004</v>
      </c>
      <c r="NG12" s="40">
        <v>70</v>
      </c>
      <c r="NH12" s="42">
        <v>68.983000000000004</v>
      </c>
      <c r="NI12" s="47"/>
      <c r="NJ12" s="45">
        <v>279.72699999999998</v>
      </c>
      <c r="NK12" s="40">
        <v>280</v>
      </c>
      <c r="NL12" s="40">
        <v>292.01799999999997</v>
      </c>
      <c r="NM12" s="40">
        <v>290</v>
      </c>
      <c r="NN12" s="42">
        <v>1.7449999999998911</v>
      </c>
      <c r="NO12" s="47"/>
      <c r="NP12" s="45">
        <v>202.738</v>
      </c>
      <c r="NQ12" s="40">
        <v>120</v>
      </c>
      <c r="NR12" s="40">
        <v>191.88499999999999</v>
      </c>
      <c r="NS12" s="40">
        <v>190</v>
      </c>
      <c r="NT12" s="42">
        <v>84.62299999999999</v>
      </c>
      <c r="NU12" s="47"/>
      <c r="NV12" s="45">
        <v>203.036</v>
      </c>
      <c r="NW12" s="40">
        <v>200</v>
      </c>
      <c r="NX12" s="40">
        <v>229.83500000000001</v>
      </c>
      <c r="NY12" s="40">
        <v>230</v>
      </c>
      <c r="NZ12" s="42">
        <v>2.8709999999999809</v>
      </c>
      <c r="OA12" s="47"/>
      <c r="OB12" s="45">
        <v>304.8</v>
      </c>
      <c r="OC12" s="40">
        <v>300</v>
      </c>
      <c r="OD12" s="42">
        <v>4.8000000000000114</v>
      </c>
      <c r="OE12" s="47"/>
      <c r="OF12" s="45">
        <v>0</v>
      </c>
      <c r="OG12" s="40">
        <v>0</v>
      </c>
      <c r="OH12" s="40">
        <v>252.898</v>
      </c>
      <c r="OI12" s="40">
        <v>250</v>
      </c>
      <c r="OJ12" s="42">
        <v>2.8979999999999961</v>
      </c>
      <c r="OK12" s="47"/>
      <c r="OL12" s="45">
        <v>296.99299999999999</v>
      </c>
      <c r="OM12" s="40">
        <v>300</v>
      </c>
      <c r="ON12" s="40">
        <v>200.459</v>
      </c>
      <c r="OO12" s="40">
        <v>200</v>
      </c>
      <c r="OP12" s="42">
        <v>-2.5480000000000018</v>
      </c>
      <c r="OQ12" s="47"/>
      <c r="OR12" s="45">
        <v>251.374</v>
      </c>
      <c r="OS12" s="40">
        <v>250</v>
      </c>
      <c r="OT12" s="40">
        <v>302.892</v>
      </c>
      <c r="OU12" s="40">
        <v>300</v>
      </c>
      <c r="OV12" s="42">
        <v>4.2659999999999627</v>
      </c>
      <c r="OW12" s="47"/>
      <c r="OX12" s="40">
        <v>454.97</v>
      </c>
      <c r="OY12" s="40">
        <v>450</v>
      </c>
      <c r="OZ12" s="40">
        <v>352.46199999999999</v>
      </c>
      <c r="PA12" s="40">
        <v>350</v>
      </c>
      <c r="PB12" s="42">
        <v>7.4320000000000164</v>
      </c>
      <c r="PC12" s="47"/>
      <c r="PD12" s="45">
        <v>203.33699999999999</v>
      </c>
      <c r="PE12" s="40">
        <v>200</v>
      </c>
      <c r="PF12" s="40">
        <v>198.38300000000001</v>
      </c>
      <c r="PG12" s="40">
        <v>198</v>
      </c>
      <c r="PH12" s="42">
        <v>3.7200000000000268</v>
      </c>
      <c r="PI12" s="47"/>
      <c r="PJ12" s="45">
        <v>65.305999999999997</v>
      </c>
      <c r="PK12" s="40">
        <v>150</v>
      </c>
      <c r="PL12" s="40">
        <v>65.435000000000002</v>
      </c>
      <c r="PM12" s="40">
        <v>150</v>
      </c>
      <c r="PN12" s="39">
        <v>-169.25899999999999</v>
      </c>
      <c r="PO12" s="47">
        <v>169.25899999999999</v>
      </c>
      <c r="PP12" s="43">
        <v>253.36099999999999</v>
      </c>
      <c r="PQ12" s="40">
        <v>250</v>
      </c>
      <c r="PR12" s="40">
        <v>301.45800000000003</v>
      </c>
      <c r="PS12" s="40">
        <v>300</v>
      </c>
      <c r="PT12" s="42">
        <v>4.81899999999996</v>
      </c>
      <c r="PU12" s="47"/>
      <c r="PV12" s="45">
        <v>301.387</v>
      </c>
      <c r="PW12" s="40">
        <v>300</v>
      </c>
      <c r="PX12" s="40">
        <v>352.35199999999998</v>
      </c>
      <c r="PY12" s="40">
        <v>350</v>
      </c>
      <c r="PZ12" s="42">
        <v>3.7390000000000332</v>
      </c>
      <c r="QA12" s="47"/>
      <c r="QB12" s="45">
        <v>421.26</v>
      </c>
      <c r="QC12" s="40">
        <v>420</v>
      </c>
      <c r="QD12" s="42">
        <v>1.2599999999999909</v>
      </c>
      <c r="QE12" s="47"/>
      <c r="QF12" s="45">
        <v>101.2</v>
      </c>
      <c r="QG12" s="40">
        <v>100</v>
      </c>
      <c r="QH12" s="40">
        <v>148.69300000000001</v>
      </c>
      <c r="QI12" s="40">
        <v>150</v>
      </c>
      <c r="QJ12" s="42">
        <v>-0.1069999999999709</v>
      </c>
      <c r="QK12" s="47"/>
      <c r="QL12" s="45">
        <v>101.97499999999999</v>
      </c>
      <c r="QM12" s="40">
        <v>100</v>
      </c>
      <c r="QN12" s="40">
        <v>150.679</v>
      </c>
      <c r="QO12" s="40">
        <v>150</v>
      </c>
      <c r="QP12" s="42">
        <v>2.6539999999999959</v>
      </c>
      <c r="QQ12" s="47"/>
      <c r="QR12" s="45">
        <v>137.73500000000001</v>
      </c>
      <c r="QS12" s="40">
        <v>300</v>
      </c>
      <c r="QT12" s="40">
        <v>203.74799999999999</v>
      </c>
      <c r="QU12" s="40">
        <v>500</v>
      </c>
      <c r="QV12" s="39">
        <v>-458.517</v>
      </c>
      <c r="QW12" s="47">
        <v>458.517</v>
      </c>
      <c r="QX12" s="45">
        <v>202.726</v>
      </c>
      <c r="QY12" s="40">
        <v>200</v>
      </c>
      <c r="QZ12" s="40">
        <v>301.42099999999999</v>
      </c>
      <c r="RA12" s="40">
        <v>300</v>
      </c>
      <c r="RB12" s="42">
        <v>4.1469999999999914</v>
      </c>
      <c r="RC12" s="47"/>
      <c r="RD12" s="45">
        <v>102.28400000000001</v>
      </c>
      <c r="RE12" s="40">
        <v>700</v>
      </c>
      <c r="RF12" s="39">
        <v>-597.71600000000001</v>
      </c>
      <c r="RG12" s="47">
        <v>597.71600000000001</v>
      </c>
    </row>
    <row r="13" spans="1:475" x14ac:dyDescent="0.25">
      <c r="A13" s="40" t="s">
        <v>302</v>
      </c>
      <c r="B13" s="41">
        <v>0.25</v>
      </c>
      <c r="E13">
        <v>150</v>
      </c>
      <c r="F13">
        <v>150</v>
      </c>
      <c r="I13">
        <v>100</v>
      </c>
      <c r="N13" s="46">
        <v>96</v>
      </c>
      <c r="O13" s="49">
        <v>100</v>
      </c>
      <c r="P13" s="49">
        <v>120</v>
      </c>
      <c r="Q13" s="49">
        <v>125</v>
      </c>
      <c r="R13" s="48">
        <f t="shared" si="8"/>
        <v>-9</v>
      </c>
      <c r="S13" s="44"/>
      <c r="T13" s="43"/>
      <c r="U13" s="49">
        <v>96</v>
      </c>
      <c r="V13" s="49">
        <v>64</v>
      </c>
      <c r="W13" s="49">
        <v>64</v>
      </c>
      <c r="X13" s="53">
        <f t="shared" si="9"/>
        <v>-96</v>
      </c>
      <c r="Y13" s="44">
        <f>-1*X13*B13</f>
        <v>24</v>
      </c>
      <c r="Z13" s="46">
        <v>96</v>
      </c>
      <c r="AA13" s="49">
        <v>100</v>
      </c>
      <c r="AB13" s="48"/>
      <c r="AC13" s="48"/>
      <c r="AD13" s="48">
        <f t="shared" si="10"/>
        <v>-4</v>
      </c>
      <c r="AE13" s="44"/>
      <c r="AF13" s="46">
        <v>96</v>
      </c>
      <c r="AG13" s="49">
        <v>100</v>
      </c>
      <c r="AH13" s="49">
        <v>200</v>
      </c>
      <c r="AI13" s="49">
        <v>200</v>
      </c>
      <c r="AJ13" s="48">
        <f t="shared" si="11"/>
        <v>-4</v>
      </c>
      <c r="AK13" s="44"/>
      <c r="AL13" s="48"/>
      <c r="AN13">
        <v>48</v>
      </c>
      <c r="AO13">
        <v>50</v>
      </c>
      <c r="AP13" s="42">
        <v>-2</v>
      </c>
      <c r="AQ13" s="44"/>
      <c r="AR13" s="46">
        <v>16</v>
      </c>
      <c r="AS13">
        <v>20</v>
      </c>
      <c r="AV13" s="42">
        <v>-4</v>
      </c>
      <c r="AW13" s="44"/>
      <c r="AX13">
        <v>128</v>
      </c>
      <c r="AZ13">
        <v>130</v>
      </c>
      <c r="BA13">
        <v>168</v>
      </c>
      <c r="BB13">
        <v>170</v>
      </c>
      <c r="BC13" s="42">
        <v>-4</v>
      </c>
      <c r="BD13" s="44"/>
      <c r="BE13" s="43"/>
      <c r="BI13" s="42">
        <v>0</v>
      </c>
      <c r="BJ13" s="44"/>
      <c r="BK13">
        <v>200</v>
      </c>
      <c r="BL13">
        <v>200</v>
      </c>
      <c r="BM13">
        <v>216</v>
      </c>
      <c r="BN13">
        <v>216</v>
      </c>
      <c r="BO13" s="42">
        <v>0</v>
      </c>
      <c r="BP13" s="44"/>
      <c r="BS13" s="42">
        <v>0</v>
      </c>
      <c r="BT13" s="44"/>
      <c r="BU13" s="43"/>
      <c r="BW13">
        <v>184</v>
      </c>
      <c r="BX13">
        <v>188</v>
      </c>
      <c r="BY13" s="42">
        <v>-4</v>
      </c>
      <c r="BZ13" s="44"/>
      <c r="CA13">
        <v>152</v>
      </c>
      <c r="CB13">
        <v>150</v>
      </c>
      <c r="CC13">
        <v>200</v>
      </c>
      <c r="CD13">
        <v>200</v>
      </c>
      <c r="CE13" s="42">
        <v>2</v>
      </c>
      <c r="CF13" s="44"/>
      <c r="CG13" s="46">
        <v>48</v>
      </c>
      <c r="CH13">
        <v>50</v>
      </c>
      <c r="CI13">
        <v>96</v>
      </c>
      <c r="CJ13">
        <v>100</v>
      </c>
      <c r="CK13" s="42">
        <v>-6</v>
      </c>
      <c r="CL13" s="44"/>
      <c r="CM13" s="43"/>
      <c r="CO13">
        <v>216</v>
      </c>
      <c r="CP13">
        <v>220</v>
      </c>
      <c r="CQ13" s="42">
        <v>-4</v>
      </c>
      <c r="CR13" s="44"/>
      <c r="CS13">
        <v>80</v>
      </c>
      <c r="CT13">
        <v>80</v>
      </c>
      <c r="CU13">
        <v>120</v>
      </c>
      <c r="CV13">
        <v>120</v>
      </c>
      <c r="CW13" s="42">
        <v>0</v>
      </c>
      <c r="CX13" s="44"/>
      <c r="CY13" s="46">
        <v>48</v>
      </c>
      <c r="CZ13">
        <v>48</v>
      </c>
      <c r="DA13">
        <v>80</v>
      </c>
      <c r="DB13">
        <v>82</v>
      </c>
      <c r="DC13" s="42">
        <v>-2</v>
      </c>
      <c r="DD13" s="44"/>
      <c r="DE13" s="43"/>
      <c r="DI13">
        <v>200</v>
      </c>
      <c r="DJ13">
        <v>200</v>
      </c>
      <c r="DK13" s="42">
        <v>0</v>
      </c>
      <c r="DL13" s="44"/>
      <c r="DM13" s="46">
        <v>80</v>
      </c>
      <c r="DN13">
        <v>80</v>
      </c>
      <c r="DO13">
        <v>112</v>
      </c>
      <c r="DP13">
        <v>110</v>
      </c>
      <c r="DQ13" s="42">
        <v>2</v>
      </c>
      <c r="DR13" s="44"/>
      <c r="DY13" s="42">
        <v>0</v>
      </c>
      <c r="DZ13" s="44"/>
      <c r="EA13" s="46">
        <v>96</v>
      </c>
      <c r="EB13">
        <v>100</v>
      </c>
      <c r="EC13">
        <v>200</v>
      </c>
      <c r="ED13">
        <v>200</v>
      </c>
      <c r="EE13" s="42">
        <v>-4</v>
      </c>
      <c r="EF13" s="44"/>
      <c r="EG13" s="43"/>
      <c r="EH13">
        <v>100</v>
      </c>
      <c r="EI13">
        <v>200</v>
      </c>
      <c r="EJ13">
        <v>200</v>
      </c>
      <c r="EK13" s="39">
        <v>-100</v>
      </c>
      <c r="EL13" s="44">
        <v>25</v>
      </c>
      <c r="EM13" s="43"/>
      <c r="EQ13" s="42">
        <v>0</v>
      </c>
      <c r="ER13" s="44"/>
      <c r="ES13">
        <v>48</v>
      </c>
      <c r="ET13">
        <v>48</v>
      </c>
      <c r="EU13">
        <v>48</v>
      </c>
      <c r="EV13">
        <v>48</v>
      </c>
      <c r="EW13">
        <v>56</v>
      </c>
      <c r="EX13">
        <v>54</v>
      </c>
      <c r="EY13" s="42">
        <v>2</v>
      </c>
      <c r="EZ13" s="44"/>
      <c r="FA13">
        <v>120</v>
      </c>
      <c r="FB13">
        <v>120</v>
      </c>
      <c r="FC13">
        <v>128</v>
      </c>
      <c r="FD13">
        <v>127</v>
      </c>
      <c r="FE13" s="42">
        <v>1</v>
      </c>
      <c r="FF13" s="44"/>
      <c r="FG13" s="43"/>
      <c r="FI13">
        <v>152</v>
      </c>
      <c r="FJ13">
        <v>150</v>
      </c>
      <c r="FK13" s="42">
        <v>2</v>
      </c>
      <c r="FL13" s="44"/>
      <c r="FM13" s="43"/>
      <c r="FO13" s="42">
        <v>0</v>
      </c>
      <c r="FP13" s="44"/>
      <c r="FS13">
        <v>96</v>
      </c>
      <c r="FT13">
        <v>100</v>
      </c>
      <c r="FU13" s="42">
        <v>-4</v>
      </c>
      <c r="FV13" s="44"/>
      <c r="FW13" s="46">
        <v>96</v>
      </c>
      <c r="FX13">
        <v>100</v>
      </c>
      <c r="FY13">
        <v>96</v>
      </c>
      <c r="FZ13">
        <v>100</v>
      </c>
      <c r="GA13">
        <v>200</v>
      </c>
      <c r="GB13">
        <v>200</v>
      </c>
      <c r="GC13" s="42">
        <v>-8</v>
      </c>
      <c r="GD13" s="44"/>
      <c r="GE13">
        <v>96</v>
      </c>
      <c r="GF13">
        <v>100</v>
      </c>
      <c r="GG13">
        <v>96</v>
      </c>
      <c r="GH13">
        <v>101</v>
      </c>
      <c r="GI13" s="42">
        <v>-9</v>
      </c>
      <c r="GJ13" s="44"/>
      <c r="GK13" s="43"/>
      <c r="GM13">
        <v>40</v>
      </c>
      <c r="GN13">
        <v>38</v>
      </c>
      <c r="GO13" s="42">
        <v>2</v>
      </c>
      <c r="GP13" s="47"/>
      <c r="GS13">
        <v>136</v>
      </c>
      <c r="GT13">
        <v>140</v>
      </c>
      <c r="GU13" s="42">
        <v>-4</v>
      </c>
      <c r="GV13" s="44"/>
      <c r="GY13" s="42">
        <v>0</v>
      </c>
      <c r="GZ13" s="47"/>
      <c r="HA13" s="43"/>
      <c r="HC13" s="42">
        <v>0</v>
      </c>
      <c r="HD13" s="44"/>
      <c r="HE13" s="43"/>
      <c r="HI13" s="42">
        <v>0</v>
      </c>
      <c r="HJ13" s="47"/>
      <c r="HK13" s="46">
        <v>400</v>
      </c>
      <c r="HL13">
        <v>400</v>
      </c>
      <c r="HM13">
        <v>360</v>
      </c>
      <c r="HN13">
        <v>360</v>
      </c>
      <c r="HO13" s="42">
        <v>0</v>
      </c>
      <c r="HP13" s="44"/>
      <c r="HT13">
        <v>128</v>
      </c>
      <c r="HU13">
        <v>129</v>
      </c>
      <c r="HV13" s="42">
        <v>-1</v>
      </c>
      <c r="HW13" s="44"/>
      <c r="HX13" s="46">
        <v>120</v>
      </c>
      <c r="HY13">
        <v>120</v>
      </c>
      <c r="HZ13">
        <v>120</v>
      </c>
      <c r="IA13">
        <v>120</v>
      </c>
      <c r="IB13" s="42">
        <v>0</v>
      </c>
      <c r="IC13" s="44"/>
      <c r="IH13" s="42">
        <v>0</v>
      </c>
      <c r="II13" s="47"/>
      <c r="IN13" s="42">
        <v>0</v>
      </c>
      <c r="IO13" s="47"/>
      <c r="IP13">
        <v>280</v>
      </c>
      <c r="IQ13">
        <v>280</v>
      </c>
      <c r="IR13">
        <v>256</v>
      </c>
      <c r="IS13">
        <v>260</v>
      </c>
      <c r="IT13" s="42">
        <v>-4</v>
      </c>
      <c r="IU13" s="47"/>
      <c r="IZ13" s="42">
        <v>0</v>
      </c>
      <c r="JA13" s="44"/>
      <c r="JB13">
        <v>216</v>
      </c>
      <c r="JC13">
        <v>220</v>
      </c>
      <c r="JD13" s="42">
        <v>-4</v>
      </c>
      <c r="JE13" s="44"/>
      <c r="JF13">
        <v>160</v>
      </c>
      <c r="JG13">
        <v>160</v>
      </c>
      <c r="JH13">
        <v>128</v>
      </c>
      <c r="JI13">
        <v>133</v>
      </c>
      <c r="JJ13" s="42">
        <v>-5</v>
      </c>
      <c r="JK13" s="44"/>
      <c r="JL13" s="46">
        <v>40</v>
      </c>
      <c r="JM13" s="40">
        <v>40</v>
      </c>
      <c r="JN13" s="42">
        <v>0</v>
      </c>
      <c r="JO13" s="44"/>
      <c r="JR13">
        <v>64</v>
      </c>
      <c r="JS13">
        <v>63</v>
      </c>
      <c r="JT13" s="42">
        <v>1</v>
      </c>
      <c r="JU13" s="44"/>
      <c r="JV13">
        <v>136</v>
      </c>
      <c r="JW13">
        <v>140</v>
      </c>
      <c r="JZ13" s="42">
        <v>-4</v>
      </c>
      <c r="KA13" s="47"/>
      <c r="KB13">
        <v>176</v>
      </c>
      <c r="KC13">
        <v>180</v>
      </c>
      <c r="KF13" s="42">
        <v>-4</v>
      </c>
      <c r="KG13" s="44"/>
      <c r="KH13">
        <v>296</v>
      </c>
      <c r="KI13">
        <v>300</v>
      </c>
      <c r="KJ13">
        <v>296</v>
      </c>
      <c r="KK13">
        <v>300</v>
      </c>
      <c r="KL13" s="42">
        <v>-8</v>
      </c>
      <c r="KM13" s="47"/>
      <c r="KN13" s="45"/>
      <c r="KR13">
        <v>64</v>
      </c>
      <c r="KT13" s="42">
        <v>64</v>
      </c>
      <c r="KU13" s="47"/>
      <c r="KV13" s="40">
        <v>200</v>
      </c>
      <c r="KW13" s="40">
        <v>200</v>
      </c>
      <c r="KX13" s="40">
        <v>296</v>
      </c>
      <c r="KY13" s="40">
        <v>300</v>
      </c>
      <c r="KZ13" s="42">
        <v>-4</v>
      </c>
      <c r="LA13" s="47"/>
      <c r="LB13" s="40">
        <v>56</v>
      </c>
      <c r="LC13" s="40">
        <v>60</v>
      </c>
      <c r="LD13" s="40">
        <v>88</v>
      </c>
      <c r="LE13" s="40">
        <v>90</v>
      </c>
      <c r="LF13" s="42">
        <v>-6</v>
      </c>
      <c r="LG13" s="47"/>
      <c r="LH13" s="45">
        <v>0</v>
      </c>
      <c r="LI13" s="40">
        <v>0</v>
      </c>
      <c r="LJ13" s="42">
        <v>0</v>
      </c>
      <c r="LK13" s="47"/>
      <c r="LL13" s="45">
        <v>96</v>
      </c>
      <c r="LM13" s="40">
        <v>100</v>
      </c>
      <c r="LN13" s="40">
        <v>88</v>
      </c>
      <c r="LO13" s="40">
        <v>90</v>
      </c>
      <c r="LP13" s="42">
        <v>-6</v>
      </c>
      <c r="LQ13" s="47"/>
      <c r="LR13" s="45">
        <v>48</v>
      </c>
      <c r="LS13" s="40">
        <v>50</v>
      </c>
      <c r="LT13" s="40">
        <v>0</v>
      </c>
      <c r="LU13" s="40">
        <v>0</v>
      </c>
      <c r="LV13" s="42">
        <v>-2</v>
      </c>
      <c r="LW13" s="47"/>
      <c r="LX13" s="45">
        <v>48</v>
      </c>
      <c r="LY13" s="40">
        <v>50</v>
      </c>
      <c r="LZ13" s="42">
        <v>-2</v>
      </c>
      <c r="MA13" s="47"/>
      <c r="MB13" s="45">
        <v>48</v>
      </c>
      <c r="MC13" s="40">
        <v>50</v>
      </c>
      <c r="MD13" s="40">
        <v>48</v>
      </c>
      <c r="ME13" s="40">
        <v>50</v>
      </c>
      <c r="MF13" s="42">
        <v>-4</v>
      </c>
      <c r="MG13" s="47"/>
      <c r="MH13" s="45">
        <v>496</v>
      </c>
      <c r="MI13" s="40">
        <v>500</v>
      </c>
      <c r="MJ13" s="42">
        <v>-4</v>
      </c>
      <c r="MK13" s="47"/>
      <c r="ML13" s="45">
        <v>152</v>
      </c>
      <c r="MM13" s="40">
        <v>150</v>
      </c>
      <c r="MN13" s="40">
        <v>0</v>
      </c>
      <c r="MO13" s="40">
        <v>0</v>
      </c>
      <c r="MP13" s="42">
        <v>2</v>
      </c>
      <c r="MQ13" s="47"/>
      <c r="MR13" s="40">
        <v>0</v>
      </c>
      <c r="MS13" s="40">
        <v>0</v>
      </c>
      <c r="MT13" s="40">
        <v>552</v>
      </c>
      <c r="MU13" s="40">
        <v>550</v>
      </c>
      <c r="MV13" s="42">
        <v>2</v>
      </c>
      <c r="MW13" s="47"/>
      <c r="MX13" s="45">
        <v>0</v>
      </c>
      <c r="MY13" s="40">
        <v>0</v>
      </c>
      <c r="MZ13" s="40">
        <v>48</v>
      </c>
      <c r="NA13" s="40">
        <v>50</v>
      </c>
      <c r="NB13" s="42">
        <v>-2</v>
      </c>
      <c r="NC13" s="47"/>
      <c r="ND13" s="45">
        <v>0</v>
      </c>
      <c r="NE13" s="30">
        <v>150</v>
      </c>
      <c r="NF13" s="40">
        <v>96</v>
      </c>
      <c r="NG13" s="40">
        <v>100</v>
      </c>
      <c r="NH13" s="39">
        <v>-154</v>
      </c>
      <c r="NI13" s="47">
        <v>38.5</v>
      </c>
      <c r="NJ13" s="45">
        <v>200</v>
      </c>
      <c r="NK13" s="40">
        <v>200</v>
      </c>
      <c r="NL13" s="40">
        <v>216</v>
      </c>
      <c r="NM13" s="40">
        <v>220</v>
      </c>
      <c r="NN13" s="42">
        <v>-4</v>
      </c>
      <c r="NO13" s="47"/>
      <c r="NP13" s="45">
        <v>0</v>
      </c>
      <c r="NQ13" s="30">
        <v>120</v>
      </c>
      <c r="NR13" s="40">
        <v>176</v>
      </c>
      <c r="NS13" s="40">
        <v>180</v>
      </c>
      <c r="NT13" s="39">
        <v>-124</v>
      </c>
      <c r="NU13" s="47">
        <v>31</v>
      </c>
      <c r="NV13" s="45">
        <v>96</v>
      </c>
      <c r="NW13" s="40">
        <v>100</v>
      </c>
      <c r="NX13" s="40">
        <v>96</v>
      </c>
      <c r="NY13" s="40">
        <v>100</v>
      </c>
      <c r="NZ13" s="42">
        <v>-8</v>
      </c>
      <c r="OA13" s="47"/>
      <c r="OB13" s="45">
        <v>200</v>
      </c>
      <c r="OC13" s="40">
        <v>200</v>
      </c>
      <c r="OD13" s="42">
        <v>0</v>
      </c>
      <c r="OE13" s="47"/>
      <c r="OF13" s="45">
        <v>0</v>
      </c>
      <c r="OG13" s="40">
        <v>0</v>
      </c>
      <c r="OH13" s="40">
        <v>200</v>
      </c>
      <c r="OI13" s="40">
        <v>200</v>
      </c>
      <c r="OJ13" s="42">
        <v>0</v>
      </c>
      <c r="OK13" s="47"/>
      <c r="OL13" s="45">
        <v>400</v>
      </c>
      <c r="OM13" s="40">
        <v>400</v>
      </c>
      <c r="ON13" s="40">
        <v>296</v>
      </c>
      <c r="OO13" s="40">
        <v>300</v>
      </c>
      <c r="OP13" s="42">
        <v>-4</v>
      </c>
      <c r="OQ13" s="47"/>
      <c r="OR13" s="45">
        <v>96</v>
      </c>
      <c r="OS13" s="40">
        <v>100</v>
      </c>
      <c r="OT13" s="40">
        <v>96</v>
      </c>
      <c r="OU13" s="40">
        <v>100</v>
      </c>
      <c r="OV13" s="42">
        <v>-8</v>
      </c>
      <c r="OW13" s="47"/>
      <c r="OX13" s="40">
        <v>72</v>
      </c>
      <c r="OY13" s="40">
        <v>75</v>
      </c>
      <c r="OZ13" s="40">
        <v>72</v>
      </c>
      <c r="PA13" s="40">
        <v>75</v>
      </c>
      <c r="PB13" s="42">
        <v>-6</v>
      </c>
      <c r="PC13" s="47"/>
      <c r="PD13" s="45">
        <v>296</v>
      </c>
      <c r="PE13" s="40">
        <v>300</v>
      </c>
      <c r="PF13" s="40">
        <v>296</v>
      </c>
      <c r="PG13" s="40">
        <v>300</v>
      </c>
      <c r="PH13" s="42">
        <v>-8</v>
      </c>
      <c r="PI13" s="47"/>
      <c r="PJ13" s="45">
        <v>264</v>
      </c>
      <c r="PK13" s="40">
        <v>250</v>
      </c>
      <c r="PL13" s="40">
        <v>344</v>
      </c>
      <c r="PM13" s="40">
        <v>250</v>
      </c>
      <c r="PN13" s="42">
        <v>108</v>
      </c>
      <c r="PO13" s="47"/>
      <c r="PP13" s="43">
        <v>96</v>
      </c>
      <c r="PQ13" s="40">
        <v>100</v>
      </c>
      <c r="PR13" s="40">
        <v>152</v>
      </c>
      <c r="PS13" s="40">
        <v>150</v>
      </c>
      <c r="PT13" s="42">
        <v>-2</v>
      </c>
      <c r="PU13" s="47"/>
      <c r="PV13" s="45">
        <v>200</v>
      </c>
      <c r="PW13" s="40">
        <v>200</v>
      </c>
      <c r="PX13" s="40">
        <v>152</v>
      </c>
      <c r="PY13" s="40">
        <v>150</v>
      </c>
      <c r="PZ13" s="42">
        <v>2</v>
      </c>
      <c r="QA13" s="47"/>
      <c r="QB13" s="45">
        <v>120</v>
      </c>
      <c r="QC13" s="40">
        <v>120</v>
      </c>
      <c r="QD13" s="42">
        <v>0</v>
      </c>
      <c r="QE13" s="47"/>
      <c r="QF13" s="45">
        <v>128</v>
      </c>
      <c r="QG13" s="40">
        <v>150</v>
      </c>
      <c r="QH13" s="40">
        <v>200</v>
      </c>
      <c r="QI13" s="40">
        <v>200</v>
      </c>
      <c r="QJ13" s="39">
        <v>-22</v>
      </c>
      <c r="QK13" s="47">
        <v>5.5</v>
      </c>
      <c r="QL13" s="45">
        <v>296</v>
      </c>
      <c r="QM13" s="40">
        <v>300</v>
      </c>
      <c r="QN13" s="40">
        <v>400</v>
      </c>
      <c r="QO13" s="40">
        <v>400</v>
      </c>
      <c r="QP13" s="42">
        <v>-4</v>
      </c>
      <c r="QQ13" s="47"/>
      <c r="QR13" s="45">
        <v>168</v>
      </c>
      <c r="QS13" s="40">
        <v>169</v>
      </c>
      <c r="QT13" s="40">
        <v>0</v>
      </c>
      <c r="QU13" s="40">
        <v>250</v>
      </c>
      <c r="QV13" s="39">
        <v>-251</v>
      </c>
      <c r="QW13" s="47">
        <v>62.75</v>
      </c>
      <c r="QX13" s="45">
        <v>0</v>
      </c>
      <c r="QY13" s="40">
        <v>0</v>
      </c>
      <c r="QZ13" s="40">
        <v>0</v>
      </c>
      <c r="RA13" s="40">
        <v>0</v>
      </c>
      <c r="RB13" s="42">
        <v>0</v>
      </c>
      <c r="RC13" s="47"/>
      <c r="RD13" s="45">
        <v>1200</v>
      </c>
      <c r="RE13" s="40">
        <v>1100</v>
      </c>
      <c r="RF13" s="42">
        <v>100</v>
      </c>
      <c r="RG13" s="47"/>
    </row>
    <row r="14" spans="1:475" x14ac:dyDescent="0.25">
      <c r="A14" s="40" t="s">
        <v>303</v>
      </c>
      <c r="B14" s="41">
        <v>0.15</v>
      </c>
      <c r="N14" s="43"/>
      <c r="O14" s="48"/>
      <c r="P14" s="48"/>
      <c r="Q14" s="48"/>
      <c r="R14" s="48">
        <f t="shared" si="8"/>
        <v>0</v>
      </c>
      <c r="S14" s="44"/>
      <c r="T14" s="43"/>
      <c r="U14" s="48"/>
      <c r="V14" s="48"/>
      <c r="W14" s="48"/>
      <c r="X14" s="48">
        <f t="shared" si="9"/>
        <v>0</v>
      </c>
      <c r="Y14" s="44"/>
      <c r="Z14" s="43"/>
      <c r="AA14" s="48"/>
      <c r="AB14" s="48"/>
      <c r="AC14" s="48"/>
      <c r="AD14" s="48">
        <f t="shared" si="10"/>
        <v>0</v>
      </c>
      <c r="AE14" s="44"/>
      <c r="AF14" s="43"/>
      <c r="AG14" s="48"/>
      <c r="AH14" s="48"/>
      <c r="AI14" s="48"/>
      <c r="AJ14" s="48">
        <f t="shared" si="11"/>
        <v>0</v>
      </c>
      <c r="AK14" s="44"/>
      <c r="AL14" s="48"/>
      <c r="AP14" s="42">
        <v>0</v>
      </c>
      <c r="AQ14" s="44"/>
      <c r="AR14" s="43"/>
      <c r="AV14" s="42">
        <v>0</v>
      </c>
      <c r="AW14" s="44"/>
      <c r="BC14" s="42">
        <v>0</v>
      </c>
      <c r="BD14" s="44"/>
      <c r="BE14" s="43"/>
      <c r="BI14" s="42">
        <v>0</v>
      </c>
      <c r="BJ14" s="44"/>
      <c r="BO14" s="42">
        <v>0</v>
      </c>
      <c r="BP14" s="44"/>
      <c r="BS14" s="42">
        <v>0</v>
      </c>
      <c r="BT14" s="44"/>
      <c r="BU14" s="43"/>
      <c r="BY14" s="42">
        <v>0</v>
      </c>
      <c r="BZ14" s="44"/>
      <c r="CE14" s="42">
        <v>0</v>
      </c>
      <c r="CF14" s="44"/>
      <c r="CG14" s="43"/>
      <c r="CK14" s="42">
        <v>0</v>
      </c>
      <c r="CL14" s="44"/>
      <c r="CM14" s="43"/>
      <c r="CQ14" s="42">
        <v>0</v>
      </c>
      <c r="CR14" s="44"/>
      <c r="CW14" s="42">
        <v>0</v>
      </c>
      <c r="CX14" s="44"/>
      <c r="CY14" s="43"/>
      <c r="DC14" s="42">
        <v>0</v>
      </c>
      <c r="DD14" s="44"/>
      <c r="DE14" s="43"/>
      <c r="DK14" s="42">
        <v>0</v>
      </c>
      <c r="DL14" s="44"/>
      <c r="DM14" s="43"/>
      <c r="DQ14" s="42">
        <v>0</v>
      </c>
      <c r="DR14" s="44"/>
      <c r="DY14" s="42">
        <v>0</v>
      </c>
      <c r="DZ14" s="44"/>
      <c r="EA14" s="43"/>
      <c r="EE14" s="42">
        <v>0</v>
      </c>
      <c r="EF14" s="44"/>
      <c r="EG14" s="43"/>
      <c r="EK14" s="42">
        <v>0</v>
      </c>
      <c r="EL14" s="44"/>
      <c r="EM14" s="43"/>
      <c r="EQ14" s="42">
        <v>0</v>
      </c>
      <c r="ER14" s="44"/>
      <c r="EY14" s="42">
        <v>0</v>
      </c>
      <c r="EZ14" s="44"/>
      <c r="FE14" s="42">
        <v>0</v>
      </c>
      <c r="FF14" s="44"/>
      <c r="FG14" s="43"/>
      <c r="FK14" s="42">
        <v>0</v>
      </c>
      <c r="FL14" s="44"/>
      <c r="FM14" s="43"/>
      <c r="FO14" s="42">
        <v>0</v>
      </c>
      <c r="FP14" s="44"/>
      <c r="FU14" s="42">
        <v>0</v>
      </c>
      <c r="FV14" s="44"/>
      <c r="FW14" s="43"/>
      <c r="GC14" s="42">
        <v>0</v>
      </c>
      <c r="GD14" s="44"/>
      <c r="GI14" s="42">
        <v>0</v>
      </c>
      <c r="GJ14" s="44"/>
      <c r="GK14" s="43"/>
      <c r="GO14" s="42">
        <v>0</v>
      </c>
      <c r="GP14" s="47"/>
      <c r="GU14" s="42">
        <v>0</v>
      </c>
      <c r="GV14" s="44"/>
      <c r="GY14" s="42">
        <v>0</v>
      </c>
      <c r="GZ14" s="47"/>
      <c r="HA14" s="43"/>
      <c r="HC14" s="42">
        <v>0</v>
      </c>
      <c r="HD14" s="44"/>
      <c r="HE14" s="43"/>
      <c r="HI14" s="42">
        <v>0</v>
      </c>
      <c r="HJ14" s="47"/>
      <c r="HK14" s="43"/>
      <c r="HO14" s="42">
        <v>0</v>
      </c>
      <c r="HP14" s="44"/>
      <c r="HV14" s="42">
        <v>0</v>
      </c>
      <c r="HW14" s="44"/>
      <c r="HX14" s="45"/>
      <c r="IB14" s="42">
        <v>0</v>
      </c>
      <c r="IC14" s="44"/>
      <c r="IH14" s="42">
        <v>0</v>
      </c>
      <c r="II14" s="47"/>
      <c r="IN14" s="42">
        <v>0</v>
      </c>
      <c r="IO14" s="47"/>
      <c r="IT14" s="42">
        <v>0</v>
      </c>
      <c r="IU14" s="47"/>
      <c r="IZ14" s="42">
        <v>0</v>
      </c>
      <c r="JA14" s="44"/>
      <c r="JD14" s="42">
        <v>0</v>
      </c>
      <c r="JE14" s="44"/>
      <c r="JJ14" s="42">
        <v>0</v>
      </c>
      <c r="JK14" s="44"/>
      <c r="JL14" s="45"/>
      <c r="JN14" s="42">
        <v>0</v>
      </c>
      <c r="JO14" s="44"/>
      <c r="JT14" s="42">
        <v>0</v>
      </c>
      <c r="JU14" s="44"/>
      <c r="JZ14" s="42">
        <v>0</v>
      </c>
      <c r="KA14" s="47"/>
      <c r="KF14" s="42">
        <v>0</v>
      </c>
      <c r="KG14" s="44"/>
      <c r="KH14" s="41"/>
      <c r="KL14" s="42">
        <v>0</v>
      </c>
      <c r="KM14" s="47"/>
      <c r="KN14" s="45"/>
      <c r="KT14" s="42">
        <v>0</v>
      </c>
      <c r="KU14" s="47"/>
      <c r="KV14" s="40">
        <v>0</v>
      </c>
      <c r="KW14" s="40">
        <v>0</v>
      </c>
      <c r="KX14" s="40">
        <v>0</v>
      </c>
      <c r="KY14" s="40">
        <v>0</v>
      </c>
      <c r="KZ14" s="42">
        <v>0</v>
      </c>
      <c r="LA14" s="47"/>
      <c r="LB14" s="40">
        <v>0</v>
      </c>
      <c r="LC14" s="40">
        <v>0</v>
      </c>
      <c r="LD14" s="40">
        <v>0</v>
      </c>
      <c r="LE14" s="40">
        <v>0</v>
      </c>
      <c r="LF14" s="42">
        <v>0</v>
      </c>
      <c r="LG14" s="47"/>
      <c r="LH14" s="45">
        <v>0</v>
      </c>
      <c r="LI14" s="40">
        <v>0</v>
      </c>
      <c r="LJ14" s="42">
        <v>0</v>
      </c>
      <c r="LK14" s="47"/>
      <c r="LL14" s="45">
        <v>0</v>
      </c>
      <c r="LM14" s="40">
        <v>0</v>
      </c>
      <c r="LN14" s="40">
        <v>0</v>
      </c>
      <c r="LO14" s="40">
        <v>0</v>
      </c>
      <c r="LP14" s="42">
        <v>0</v>
      </c>
      <c r="LQ14" s="47"/>
      <c r="LR14" s="45">
        <v>0</v>
      </c>
      <c r="LS14" s="40">
        <v>0</v>
      </c>
      <c r="LT14" s="40">
        <v>0</v>
      </c>
      <c r="LU14" s="40">
        <v>0</v>
      </c>
      <c r="LV14" s="42">
        <v>0</v>
      </c>
      <c r="LW14" s="47"/>
      <c r="LX14" s="45">
        <v>0</v>
      </c>
      <c r="LY14" s="40">
        <v>0</v>
      </c>
      <c r="LZ14" s="42">
        <v>0</v>
      </c>
      <c r="MA14" s="47"/>
      <c r="MB14" s="45">
        <v>0</v>
      </c>
      <c r="MC14" s="40">
        <v>0</v>
      </c>
      <c r="MD14" s="40">
        <v>0</v>
      </c>
      <c r="ME14" s="40">
        <v>0</v>
      </c>
      <c r="MF14" s="42">
        <v>0</v>
      </c>
      <c r="MG14" s="47"/>
      <c r="MH14" s="45">
        <v>0</v>
      </c>
      <c r="MI14" s="40">
        <v>0</v>
      </c>
      <c r="MJ14" s="42">
        <v>0</v>
      </c>
      <c r="MK14" s="47"/>
      <c r="ML14" s="45">
        <v>0</v>
      </c>
      <c r="MM14" s="40">
        <v>0</v>
      </c>
      <c r="MN14" s="40">
        <v>0</v>
      </c>
      <c r="MO14" s="40">
        <v>0</v>
      </c>
      <c r="MP14" s="42">
        <v>0</v>
      </c>
      <c r="MQ14" s="47"/>
      <c r="MR14" s="40">
        <v>0</v>
      </c>
      <c r="MS14" s="40">
        <v>0</v>
      </c>
      <c r="MT14" s="40">
        <v>0</v>
      </c>
      <c r="MU14" s="40">
        <v>0</v>
      </c>
      <c r="MV14" s="42">
        <v>0</v>
      </c>
      <c r="MW14" s="47"/>
      <c r="MX14" s="45">
        <v>0</v>
      </c>
      <c r="MY14" s="40">
        <v>0</v>
      </c>
      <c r="MZ14" s="40">
        <v>0</v>
      </c>
      <c r="NA14" s="40">
        <v>0</v>
      </c>
      <c r="NB14" s="42">
        <v>0</v>
      </c>
      <c r="NC14" s="47"/>
      <c r="ND14" s="45">
        <v>0</v>
      </c>
      <c r="NE14" s="40">
        <v>0</v>
      </c>
      <c r="NF14" s="40">
        <v>0</v>
      </c>
      <c r="NG14" s="40">
        <v>0</v>
      </c>
      <c r="NH14" s="42">
        <v>0</v>
      </c>
      <c r="NI14" s="47"/>
      <c r="NJ14" s="45">
        <v>0</v>
      </c>
      <c r="NK14" s="40">
        <v>0</v>
      </c>
      <c r="NL14" s="40">
        <v>0</v>
      </c>
      <c r="NM14" s="40">
        <v>0</v>
      </c>
      <c r="NN14" s="42">
        <v>0</v>
      </c>
      <c r="NO14" s="47"/>
      <c r="NP14" s="45">
        <v>0</v>
      </c>
      <c r="NQ14" s="40">
        <v>0</v>
      </c>
      <c r="NR14" s="40">
        <v>0</v>
      </c>
      <c r="NS14" s="40">
        <v>0</v>
      </c>
      <c r="NT14" s="42">
        <v>0</v>
      </c>
      <c r="NU14" s="47"/>
      <c r="NV14" s="45">
        <v>0</v>
      </c>
      <c r="NW14" s="40">
        <v>0</v>
      </c>
      <c r="NX14" s="40">
        <v>0</v>
      </c>
      <c r="NY14" s="40">
        <v>0</v>
      </c>
      <c r="NZ14" s="42">
        <v>0</v>
      </c>
      <c r="OA14" s="47"/>
      <c r="OB14" s="45">
        <v>0</v>
      </c>
      <c r="OC14" s="40">
        <v>0</v>
      </c>
      <c r="OD14" s="42">
        <v>0</v>
      </c>
      <c r="OE14" s="47"/>
      <c r="OF14" s="45">
        <v>0</v>
      </c>
      <c r="OG14" s="40">
        <v>0</v>
      </c>
      <c r="OH14" s="40">
        <v>0</v>
      </c>
      <c r="OI14" s="40">
        <v>0</v>
      </c>
      <c r="OJ14" s="42">
        <v>0</v>
      </c>
      <c r="OK14" s="47"/>
      <c r="OL14" s="45">
        <v>0</v>
      </c>
      <c r="OM14" s="40">
        <v>0</v>
      </c>
      <c r="ON14" s="40">
        <v>0</v>
      </c>
      <c r="OO14" s="40">
        <v>0</v>
      </c>
      <c r="OP14" s="42">
        <v>0</v>
      </c>
      <c r="OQ14" s="47"/>
      <c r="OR14" s="45">
        <v>0</v>
      </c>
      <c r="OS14" s="40">
        <v>0</v>
      </c>
      <c r="OT14" s="40">
        <v>0</v>
      </c>
      <c r="OU14" s="40">
        <v>0</v>
      </c>
      <c r="OV14" s="42">
        <v>0</v>
      </c>
      <c r="OW14" s="47"/>
      <c r="OX14" s="40">
        <v>0</v>
      </c>
      <c r="OY14" s="40">
        <v>0</v>
      </c>
      <c r="OZ14" s="40">
        <v>0</v>
      </c>
      <c r="PA14" s="40">
        <v>0</v>
      </c>
      <c r="PB14" s="42">
        <v>0</v>
      </c>
      <c r="PC14" s="47"/>
      <c r="PD14" s="45">
        <v>0</v>
      </c>
      <c r="PE14" s="40">
        <v>0</v>
      </c>
      <c r="PF14" s="40">
        <v>0</v>
      </c>
      <c r="PG14" s="40">
        <v>0</v>
      </c>
      <c r="PH14" s="42">
        <v>0</v>
      </c>
      <c r="PI14" s="47"/>
      <c r="PJ14" s="45">
        <v>0</v>
      </c>
      <c r="PK14" s="40">
        <v>0</v>
      </c>
      <c r="PL14" s="40">
        <v>0</v>
      </c>
      <c r="PM14" s="40">
        <v>0</v>
      </c>
      <c r="PN14" s="42">
        <v>0</v>
      </c>
      <c r="PO14" s="47"/>
      <c r="PP14" s="43">
        <v>0</v>
      </c>
      <c r="PQ14" s="40">
        <v>0</v>
      </c>
      <c r="PR14" s="40">
        <v>0</v>
      </c>
      <c r="PS14" s="40">
        <v>0</v>
      </c>
      <c r="PT14" s="42">
        <v>0</v>
      </c>
      <c r="PU14" s="47"/>
      <c r="PV14" s="45">
        <v>0</v>
      </c>
      <c r="PW14" s="40">
        <v>0</v>
      </c>
      <c r="PX14" s="40">
        <v>0</v>
      </c>
      <c r="PY14" s="40">
        <v>0</v>
      </c>
      <c r="PZ14" s="42">
        <v>0</v>
      </c>
      <c r="QA14" s="47"/>
      <c r="QB14" s="45">
        <v>0</v>
      </c>
      <c r="QC14" s="40">
        <v>0</v>
      </c>
      <c r="QD14" s="42">
        <v>0</v>
      </c>
      <c r="QE14" s="47"/>
      <c r="QF14" s="45">
        <v>0</v>
      </c>
      <c r="QG14" s="40">
        <v>0</v>
      </c>
      <c r="QH14" s="40">
        <v>0</v>
      </c>
      <c r="QI14" s="40">
        <v>0</v>
      </c>
      <c r="QJ14" s="42">
        <v>0</v>
      </c>
      <c r="QK14" s="47"/>
      <c r="QL14" s="45">
        <v>0</v>
      </c>
      <c r="QM14" s="40">
        <v>0</v>
      </c>
      <c r="QN14" s="40">
        <v>0</v>
      </c>
      <c r="QO14" s="40">
        <v>0</v>
      </c>
      <c r="QP14" s="42">
        <v>0</v>
      </c>
      <c r="QQ14" s="47"/>
      <c r="QR14" s="45">
        <v>0</v>
      </c>
      <c r="QS14" s="40">
        <v>0</v>
      </c>
      <c r="QT14" s="40">
        <v>0</v>
      </c>
      <c r="QU14" s="40">
        <v>0</v>
      </c>
      <c r="QV14" s="42">
        <v>0</v>
      </c>
      <c r="QW14" s="47"/>
      <c r="QX14" s="45">
        <v>0</v>
      </c>
      <c r="QY14" s="3">
        <v>150</v>
      </c>
      <c r="QZ14" s="40">
        <v>0</v>
      </c>
      <c r="RA14" s="40">
        <v>0</v>
      </c>
      <c r="RB14" s="42">
        <v>-6</v>
      </c>
      <c r="RC14" s="47"/>
      <c r="RD14" s="45">
        <v>0</v>
      </c>
      <c r="RE14" s="3">
        <v>400</v>
      </c>
      <c r="RF14" s="42">
        <v>-4</v>
      </c>
      <c r="RG14" s="47"/>
    </row>
    <row r="15" spans="1:475" x14ac:dyDescent="0.25">
      <c r="A15" s="40" t="s">
        <v>304</v>
      </c>
      <c r="B15" s="41">
        <v>0.15</v>
      </c>
      <c r="N15" s="43"/>
      <c r="O15" s="48"/>
      <c r="P15" s="48"/>
      <c r="Q15" s="48"/>
      <c r="R15" s="48">
        <f t="shared" si="8"/>
        <v>0</v>
      </c>
      <c r="S15" s="44"/>
      <c r="T15" s="43"/>
      <c r="U15" s="48"/>
      <c r="V15" s="48"/>
      <c r="W15" s="48"/>
      <c r="X15" s="48">
        <f t="shared" si="9"/>
        <v>0</v>
      </c>
      <c r="Y15" s="44"/>
      <c r="Z15" s="43"/>
      <c r="AA15" s="48"/>
      <c r="AB15" s="48"/>
      <c r="AC15" s="48"/>
      <c r="AD15" s="48">
        <f t="shared" si="10"/>
        <v>0</v>
      </c>
      <c r="AE15" s="44"/>
      <c r="AF15" s="43"/>
      <c r="AG15" s="48"/>
      <c r="AH15" s="48"/>
      <c r="AI15" s="48"/>
      <c r="AJ15" s="48">
        <f t="shared" si="11"/>
        <v>0</v>
      </c>
      <c r="AK15" s="44"/>
      <c r="AL15" s="48"/>
      <c r="AP15" s="42">
        <v>0</v>
      </c>
      <c r="AQ15" s="44"/>
      <c r="AR15" s="43"/>
      <c r="AV15" s="42">
        <v>0</v>
      </c>
      <c r="AW15" s="44"/>
      <c r="BC15" s="42">
        <v>0</v>
      </c>
      <c r="BD15" s="44"/>
      <c r="BE15" s="43"/>
      <c r="BI15" s="42">
        <v>0</v>
      </c>
      <c r="BJ15" s="44"/>
      <c r="BO15" s="42">
        <v>0</v>
      </c>
      <c r="BP15" s="44"/>
      <c r="BS15" s="42">
        <v>0</v>
      </c>
      <c r="BT15" s="44"/>
      <c r="BU15" s="43"/>
      <c r="BY15" s="42">
        <v>0</v>
      </c>
      <c r="BZ15" s="44"/>
      <c r="CE15" s="42">
        <v>0</v>
      </c>
      <c r="CF15" s="44"/>
      <c r="CG15" s="43"/>
      <c r="CK15" s="42">
        <v>0</v>
      </c>
      <c r="CL15" s="44"/>
      <c r="CM15" s="43"/>
      <c r="CQ15" s="42">
        <v>0</v>
      </c>
      <c r="CR15" s="44"/>
      <c r="CW15" s="42">
        <v>0</v>
      </c>
      <c r="CX15" s="44"/>
      <c r="CY15" s="43"/>
      <c r="DC15" s="42">
        <v>0</v>
      </c>
      <c r="DD15" s="44"/>
      <c r="DE15" s="43"/>
      <c r="DK15" s="42">
        <v>0</v>
      </c>
      <c r="DL15" s="44"/>
      <c r="DM15" s="43"/>
      <c r="DQ15" s="42">
        <v>0</v>
      </c>
      <c r="DR15" s="44"/>
      <c r="DY15" s="42">
        <v>0</v>
      </c>
      <c r="DZ15" s="44"/>
      <c r="EA15" s="43"/>
      <c r="EE15" s="42">
        <v>0</v>
      </c>
      <c r="EF15" s="44"/>
      <c r="EG15" s="43"/>
      <c r="EK15" s="42">
        <v>0</v>
      </c>
      <c r="EL15" s="44"/>
      <c r="EM15" s="43"/>
      <c r="EQ15" s="42">
        <v>0</v>
      </c>
      <c r="ER15" s="44"/>
      <c r="EY15" s="42">
        <v>0</v>
      </c>
      <c r="EZ15" s="44"/>
      <c r="FE15" s="42">
        <v>0</v>
      </c>
      <c r="FF15" s="44"/>
      <c r="FG15" s="43"/>
      <c r="FK15" s="42">
        <v>0</v>
      </c>
      <c r="FL15" s="44"/>
      <c r="FM15" s="43"/>
      <c r="FO15" s="42">
        <v>0</v>
      </c>
      <c r="FP15" s="44"/>
      <c r="FU15" s="42">
        <v>0</v>
      </c>
      <c r="FV15" s="44"/>
      <c r="FW15" s="43"/>
      <c r="GC15" s="42">
        <v>0</v>
      </c>
      <c r="GD15" s="44"/>
      <c r="GI15" s="42">
        <v>0</v>
      </c>
      <c r="GJ15" s="44"/>
      <c r="GK15" s="43"/>
      <c r="GO15" s="42">
        <v>0</v>
      </c>
      <c r="GP15" s="47"/>
      <c r="GU15" s="42">
        <v>0</v>
      </c>
      <c r="GV15" s="44"/>
      <c r="GY15" s="42">
        <v>0</v>
      </c>
      <c r="GZ15" s="47"/>
      <c r="HA15" s="43"/>
      <c r="HC15" s="42">
        <v>0</v>
      </c>
      <c r="HD15" s="44"/>
      <c r="HE15" s="43"/>
      <c r="HI15" s="42">
        <v>0</v>
      </c>
      <c r="HJ15" s="47"/>
      <c r="HK15" s="43"/>
      <c r="HO15" s="42">
        <v>0</v>
      </c>
      <c r="HP15" s="44"/>
      <c r="HV15" s="42">
        <v>0</v>
      </c>
      <c r="HW15" s="44"/>
      <c r="HX15" s="45"/>
      <c r="IB15" s="42">
        <v>0</v>
      </c>
      <c r="IC15" s="44"/>
      <c r="IH15" s="42">
        <v>0</v>
      </c>
      <c r="II15" s="47"/>
      <c r="IN15" s="42">
        <v>0</v>
      </c>
      <c r="IO15" s="47"/>
      <c r="IT15" s="42">
        <v>0</v>
      </c>
      <c r="IU15" s="47"/>
      <c r="IZ15" s="42">
        <v>0</v>
      </c>
      <c r="JA15" s="44"/>
      <c r="JD15" s="42">
        <v>0</v>
      </c>
      <c r="JE15" s="44"/>
      <c r="JJ15" s="42">
        <v>0</v>
      </c>
      <c r="JK15" s="44"/>
      <c r="JL15" s="45"/>
      <c r="JN15" s="42">
        <v>0</v>
      </c>
      <c r="JO15" s="44"/>
      <c r="JT15" s="42">
        <v>0</v>
      </c>
      <c r="JU15" s="44"/>
      <c r="JZ15" s="42">
        <v>0</v>
      </c>
      <c r="KA15" s="47"/>
      <c r="KF15" s="42">
        <v>0</v>
      </c>
      <c r="KG15" s="44"/>
      <c r="KH15" s="41"/>
      <c r="KL15" s="42">
        <v>0</v>
      </c>
      <c r="KM15" s="47"/>
      <c r="KN15" s="45"/>
      <c r="KT15" s="42">
        <v>0</v>
      </c>
      <c r="KU15" s="47"/>
      <c r="KV15" s="40">
        <v>0</v>
      </c>
      <c r="KW15" s="40">
        <v>0</v>
      </c>
      <c r="KX15" s="40">
        <v>0</v>
      </c>
      <c r="KY15" s="40">
        <v>0</v>
      </c>
      <c r="KZ15" s="42">
        <v>0</v>
      </c>
      <c r="LA15" s="47"/>
      <c r="LB15" s="40">
        <v>0</v>
      </c>
      <c r="LC15" s="40">
        <v>0</v>
      </c>
      <c r="LD15" s="40">
        <v>0</v>
      </c>
      <c r="LE15" s="40">
        <v>0</v>
      </c>
      <c r="LF15" s="42">
        <v>0</v>
      </c>
      <c r="LG15" s="47"/>
      <c r="LH15" s="45">
        <v>0</v>
      </c>
      <c r="LI15" s="40">
        <v>0</v>
      </c>
      <c r="LJ15" s="42">
        <v>0</v>
      </c>
      <c r="LK15" s="47"/>
      <c r="LL15" s="45">
        <v>0</v>
      </c>
      <c r="LM15" s="40">
        <v>0</v>
      </c>
      <c r="LN15" s="40">
        <v>0</v>
      </c>
      <c r="LO15" s="40">
        <v>0</v>
      </c>
      <c r="LP15" s="42">
        <v>0</v>
      </c>
      <c r="LQ15" s="47"/>
      <c r="LR15" s="45">
        <v>0</v>
      </c>
      <c r="LS15" s="40">
        <v>0</v>
      </c>
      <c r="LT15" s="40">
        <v>0</v>
      </c>
      <c r="LU15" s="40">
        <v>0</v>
      </c>
      <c r="LV15" s="42">
        <v>0</v>
      </c>
      <c r="LW15" s="47"/>
      <c r="LX15" s="45">
        <v>0</v>
      </c>
      <c r="LY15" s="40">
        <v>0</v>
      </c>
      <c r="LZ15" s="42">
        <v>0</v>
      </c>
      <c r="MA15" s="47"/>
      <c r="MB15" s="45">
        <v>0</v>
      </c>
      <c r="MC15" s="40">
        <v>0</v>
      </c>
      <c r="MD15" s="40">
        <v>0</v>
      </c>
      <c r="ME15" s="40">
        <v>0</v>
      </c>
      <c r="MF15" s="42">
        <v>0</v>
      </c>
      <c r="MG15" s="47"/>
      <c r="MH15" s="45">
        <v>0</v>
      </c>
      <c r="MI15" s="40">
        <v>0</v>
      </c>
      <c r="MJ15" s="42">
        <v>0</v>
      </c>
      <c r="MK15" s="47"/>
      <c r="ML15" s="45">
        <v>0</v>
      </c>
      <c r="MM15" s="40">
        <v>0</v>
      </c>
      <c r="MN15" s="40">
        <v>0</v>
      </c>
      <c r="MO15" s="40">
        <v>0</v>
      </c>
      <c r="MP15" s="42">
        <v>0</v>
      </c>
      <c r="MQ15" s="47"/>
      <c r="MR15" s="40">
        <v>0</v>
      </c>
      <c r="MS15" s="40">
        <v>0</v>
      </c>
      <c r="MT15" s="40">
        <v>0</v>
      </c>
      <c r="MU15" s="40">
        <v>0</v>
      </c>
      <c r="MV15" s="42">
        <v>0</v>
      </c>
      <c r="MW15" s="47"/>
      <c r="MX15" s="45">
        <v>0</v>
      </c>
      <c r="MY15" s="40">
        <v>0</v>
      </c>
      <c r="MZ15" s="40">
        <v>0</v>
      </c>
      <c r="NA15" s="40">
        <v>0</v>
      </c>
      <c r="NB15" s="42">
        <v>0</v>
      </c>
      <c r="NC15" s="47"/>
      <c r="ND15" s="45">
        <v>0</v>
      </c>
      <c r="NE15" s="40">
        <v>0</v>
      </c>
      <c r="NF15" s="40">
        <v>0</v>
      </c>
      <c r="NG15" s="40">
        <v>0</v>
      </c>
      <c r="NH15" s="42">
        <v>0</v>
      </c>
      <c r="NI15" s="47"/>
      <c r="NJ15" s="45">
        <v>0</v>
      </c>
      <c r="NK15" s="40">
        <v>0</v>
      </c>
      <c r="NL15" s="40">
        <v>0</v>
      </c>
      <c r="NM15" s="40">
        <v>0</v>
      </c>
      <c r="NN15" s="42">
        <v>0</v>
      </c>
      <c r="NO15" s="47"/>
      <c r="NP15" s="45">
        <v>0</v>
      </c>
      <c r="NQ15" s="40">
        <v>0</v>
      </c>
      <c r="NR15" s="40">
        <v>0</v>
      </c>
      <c r="NS15" s="40">
        <v>0</v>
      </c>
      <c r="NT15" s="42">
        <v>0</v>
      </c>
      <c r="NU15" s="47"/>
      <c r="NV15" s="45">
        <v>0</v>
      </c>
      <c r="NW15" s="40">
        <v>0</v>
      </c>
      <c r="NX15" s="40">
        <v>0</v>
      </c>
      <c r="NY15" s="40">
        <v>0</v>
      </c>
      <c r="NZ15" s="42">
        <v>0</v>
      </c>
      <c r="OA15" s="47"/>
      <c r="OB15" s="45">
        <v>0</v>
      </c>
      <c r="OC15" s="40">
        <v>0</v>
      </c>
      <c r="OD15" s="42">
        <v>0</v>
      </c>
      <c r="OE15" s="47"/>
      <c r="OF15" s="45">
        <v>0</v>
      </c>
      <c r="OG15" s="40">
        <v>0</v>
      </c>
      <c r="OH15" s="40">
        <v>0</v>
      </c>
      <c r="OI15" s="40">
        <v>0</v>
      </c>
      <c r="OJ15" s="42">
        <v>0</v>
      </c>
      <c r="OK15" s="47"/>
      <c r="OL15" s="45">
        <v>0</v>
      </c>
      <c r="OM15" s="40">
        <v>0</v>
      </c>
      <c r="ON15" s="40">
        <v>0</v>
      </c>
      <c r="OO15" s="40">
        <v>0</v>
      </c>
      <c r="OP15" s="42">
        <v>0</v>
      </c>
      <c r="OQ15" s="47"/>
      <c r="OR15" s="45">
        <v>0</v>
      </c>
      <c r="OS15" s="40">
        <v>0</v>
      </c>
      <c r="OT15" s="40">
        <v>0</v>
      </c>
      <c r="OU15" s="40">
        <v>0</v>
      </c>
      <c r="OV15" s="42">
        <v>0</v>
      </c>
      <c r="OW15" s="47"/>
      <c r="OX15" s="40">
        <v>0</v>
      </c>
      <c r="OY15" s="40">
        <v>0</v>
      </c>
      <c r="OZ15" s="40">
        <v>0</v>
      </c>
      <c r="PA15" s="40">
        <v>0</v>
      </c>
      <c r="PB15" s="42">
        <v>0</v>
      </c>
      <c r="PC15" s="47"/>
      <c r="PD15" s="45">
        <v>0</v>
      </c>
      <c r="PE15" s="40">
        <v>0</v>
      </c>
      <c r="PF15" s="40">
        <v>0</v>
      </c>
      <c r="PG15" s="40">
        <v>0</v>
      </c>
      <c r="PH15" s="42">
        <v>0</v>
      </c>
      <c r="PI15" s="47"/>
      <c r="PJ15" s="45">
        <v>0</v>
      </c>
      <c r="PK15" s="40">
        <v>0</v>
      </c>
      <c r="PL15" s="40">
        <v>0</v>
      </c>
      <c r="PM15" s="40">
        <v>0</v>
      </c>
      <c r="PN15" s="42">
        <v>0</v>
      </c>
      <c r="PO15" s="47"/>
      <c r="PP15" s="43">
        <v>0</v>
      </c>
      <c r="PQ15" s="40">
        <v>0</v>
      </c>
      <c r="PR15" s="40">
        <v>0</v>
      </c>
      <c r="PS15" s="40">
        <v>0</v>
      </c>
      <c r="PT15" s="42">
        <v>0</v>
      </c>
      <c r="PU15" s="47"/>
      <c r="PV15" s="45">
        <v>0</v>
      </c>
      <c r="PW15" s="40">
        <v>0</v>
      </c>
      <c r="PX15" s="40">
        <v>0</v>
      </c>
      <c r="PY15" s="40">
        <v>0</v>
      </c>
      <c r="PZ15" s="42">
        <v>0</v>
      </c>
      <c r="QA15" s="47"/>
      <c r="QB15" s="45">
        <v>0</v>
      </c>
      <c r="QC15" s="40">
        <v>0</v>
      </c>
      <c r="QD15" s="42">
        <v>0</v>
      </c>
      <c r="QE15" s="47"/>
      <c r="QF15" s="45">
        <v>0</v>
      </c>
      <c r="QG15" s="40">
        <v>0</v>
      </c>
      <c r="QH15" s="40">
        <v>0</v>
      </c>
      <c r="QI15" s="40">
        <v>0</v>
      </c>
      <c r="QJ15" s="42">
        <v>0</v>
      </c>
      <c r="QK15" s="47"/>
      <c r="QL15" s="45">
        <v>0</v>
      </c>
      <c r="QM15" s="40">
        <v>0</v>
      </c>
      <c r="QN15" s="40">
        <v>0</v>
      </c>
      <c r="QO15" s="40">
        <v>0</v>
      </c>
      <c r="QP15" s="42">
        <v>0</v>
      </c>
      <c r="QQ15" s="47"/>
      <c r="QR15" s="45">
        <v>0</v>
      </c>
      <c r="QS15" s="40">
        <v>0</v>
      </c>
      <c r="QT15" s="40">
        <v>0</v>
      </c>
      <c r="QU15" s="40">
        <v>0</v>
      </c>
      <c r="QV15" s="42">
        <v>0</v>
      </c>
      <c r="QW15" s="47"/>
      <c r="QX15" s="45">
        <v>0</v>
      </c>
      <c r="QY15" s="3">
        <v>100</v>
      </c>
      <c r="QZ15" s="40">
        <v>0</v>
      </c>
      <c r="RA15" s="3">
        <v>100</v>
      </c>
      <c r="RB15" s="42">
        <v>-8</v>
      </c>
      <c r="RC15" s="47"/>
      <c r="RD15" s="45">
        <v>0</v>
      </c>
      <c r="RE15" s="3">
        <v>400</v>
      </c>
      <c r="RF15" s="42">
        <v>-4</v>
      </c>
      <c r="RG15" s="47"/>
    </row>
    <row r="16" spans="1:475" x14ac:dyDescent="0.25">
      <c r="A16" s="40" t="s">
        <v>305</v>
      </c>
      <c r="B16" s="41">
        <v>0.15</v>
      </c>
      <c r="N16" s="43"/>
      <c r="O16" s="48"/>
      <c r="P16" s="48"/>
      <c r="Q16" s="48"/>
      <c r="R16" s="48">
        <f t="shared" si="8"/>
        <v>0</v>
      </c>
      <c r="S16" s="44"/>
      <c r="T16" s="43"/>
      <c r="U16" s="48"/>
      <c r="V16" s="48"/>
      <c r="W16" s="48"/>
      <c r="X16" s="48">
        <f t="shared" si="9"/>
        <v>0</v>
      </c>
      <c r="Y16" s="44"/>
      <c r="Z16" s="43"/>
      <c r="AA16" s="48"/>
      <c r="AB16" s="48"/>
      <c r="AC16" s="48"/>
      <c r="AD16" s="48">
        <f t="shared" si="10"/>
        <v>0</v>
      </c>
      <c r="AE16" s="44"/>
      <c r="AF16" s="43"/>
      <c r="AG16" s="48"/>
      <c r="AH16" s="48"/>
      <c r="AI16" s="48"/>
      <c r="AJ16" s="48">
        <f t="shared" si="11"/>
        <v>0</v>
      </c>
      <c r="AK16" s="44"/>
      <c r="AL16" s="48"/>
      <c r="AP16" s="42">
        <v>0</v>
      </c>
      <c r="AQ16" s="44"/>
      <c r="AR16" s="43"/>
      <c r="AV16" s="42">
        <v>0</v>
      </c>
      <c r="AW16" s="44"/>
      <c r="BC16" s="42">
        <v>0</v>
      </c>
      <c r="BD16" s="44"/>
      <c r="BE16" s="43"/>
      <c r="BI16" s="42">
        <v>0</v>
      </c>
      <c r="BJ16" s="44"/>
      <c r="BO16" s="42">
        <v>0</v>
      </c>
      <c r="BP16" s="44"/>
      <c r="BS16" s="42">
        <v>0</v>
      </c>
      <c r="BT16" s="44"/>
      <c r="BU16" s="43"/>
      <c r="BY16" s="42">
        <v>0</v>
      </c>
      <c r="BZ16" s="44"/>
      <c r="CE16" s="42">
        <v>0</v>
      </c>
      <c r="CF16" s="44"/>
      <c r="CG16" s="43"/>
      <c r="CK16" s="42">
        <v>0</v>
      </c>
      <c r="CL16" s="44"/>
      <c r="CM16" s="43"/>
      <c r="CQ16" s="42">
        <v>0</v>
      </c>
      <c r="CR16" s="44"/>
      <c r="CW16" s="42">
        <v>0</v>
      </c>
      <c r="CX16" s="44"/>
      <c r="CY16" s="43"/>
      <c r="DC16" s="42">
        <v>0</v>
      </c>
      <c r="DD16" s="44"/>
      <c r="DE16" s="43"/>
      <c r="DK16" s="42">
        <v>0</v>
      </c>
      <c r="DL16" s="44"/>
      <c r="DM16" s="43"/>
      <c r="DQ16" s="42">
        <v>0</v>
      </c>
      <c r="DR16" s="44"/>
      <c r="DY16" s="42">
        <v>0</v>
      </c>
      <c r="DZ16" s="44"/>
      <c r="EA16" s="43"/>
      <c r="EE16" s="42">
        <v>0</v>
      </c>
      <c r="EF16" s="44"/>
      <c r="EG16" s="43"/>
      <c r="EK16" s="42">
        <v>0</v>
      </c>
      <c r="EL16" s="44"/>
      <c r="EM16" s="43"/>
      <c r="EQ16" s="42">
        <v>0</v>
      </c>
      <c r="ER16" s="44"/>
      <c r="EY16" s="42">
        <v>0</v>
      </c>
      <c r="EZ16" s="44"/>
      <c r="FE16" s="42">
        <v>0</v>
      </c>
      <c r="FF16" s="44"/>
      <c r="FG16" s="43"/>
      <c r="FK16" s="42">
        <v>0</v>
      </c>
      <c r="FL16" s="44"/>
      <c r="FM16" s="43"/>
      <c r="FO16" s="42">
        <v>0</v>
      </c>
      <c r="FP16" s="44"/>
      <c r="FU16" s="42">
        <v>0</v>
      </c>
      <c r="FV16" s="44"/>
      <c r="FW16" s="43"/>
      <c r="GC16" s="42">
        <v>0</v>
      </c>
      <c r="GD16" s="44"/>
      <c r="GI16" s="42">
        <v>0</v>
      </c>
      <c r="GJ16" s="44"/>
      <c r="GK16" s="43"/>
      <c r="GO16" s="42">
        <v>0</v>
      </c>
      <c r="GP16" s="47"/>
      <c r="GU16" s="42">
        <v>0</v>
      </c>
      <c r="GV16" s="44"/>
      <c r="GY16" s="42">
        <v>0</v>
      </c>
      <c r="GZ16" s="47"/>
      <c r="HA16" s="43"/>
      <c r="HC16" s="42">
        <v>0</v>
      </c>
      <c r="HD16" s="44"/>
      <c r="HE16" s="43"/>
      <c r="HI16" s="42">
        <v>0</v>
      </c>
      <c r="HJ16" s="47"/>
      <c r="HK16" s="43"/>
      <c r="HO16" s="42">
        <v>0</v>
      </c>
      <c r="HP16" s="44"/>
      <c r="HV16" s="42">
        <v>0</v>
      </c>
      <c r="HW16" s="44"/>
      <c r="HX16" s="45"/>
      <c r="IB16" s="42">
        <v>0</v>
      </c>
      <c r="IC16" s="44"/>
      <c r="IH16" s="42">
        <v>0</v>
      </c>
      <c r="II16" s="47"/>
      <c r="IN16" s="42">
        <v>0</v>
      </c>
      <c r="IO16" s="47"/>
      <c r="IT16" s="42">
        <v>0</v>
      </c>
      <c r="IU16" s="47"/>
      <c r="IZ16" s="42">
        <v>0</v>
      </c>
      <c r="JA16" s="44"/>
      <c r="JD16" s="42">
        <v>0</v>
      </c>
      <c r="JE16" s="44"/>
      <c r="JJ16" s="42">
        <v>0</v>
      </c>
      <c r="JK16" s="44"/>
      <c r="JL16" s="45"/>
      <c r="JN16" s="42">
        <v>0</v>
      </c>
      <c r="JO16" s="44"/>
      <c r="JT16" s="42">
        <v>0</v>
      </c>
      <c r="JU16" s="44"/>
      <c r="JZ16" s="42">
        <v>0</v>
      </c>
      <c r="KA16" s="47"/>
      <c r="KF16" s="42">
        <v>0</v>
      </c>
      <c r="KG16" s="44"/>
      <c r="KH16" s="41"/>
      <c r="KL16" s="42">
        <v>0</v>
      </c>
      <c r="KM16" s="47"/>
      <c r="KN16" s="45"/>
      <c r="KT16" s="42">
        <v>0</v>
      </c>
      <c r="KU16" s="47"/>
      <c r="KV16" s="40">
        <v>0</v>
      </c>
      <c r="KW16" s="40">
        <v>0</v>
      </c>
      <c r="KX16" s="40">
        <v>0</v>
      </c>
      <c r="KY16" s="40">
        <v>0</v>
      </c>
      <c r="KZ16" s="42">
        <v>0</v>
      </c>
      <c r="LA16" s="47"/>
      <c r="LB16" s="40">
        <v>0</v>
      </c>
      <c r="LC16" s="40">
        <v>0</v>
      </c>
      <c r="LD16" s="40">
        <v>0</v>
      </c>
      <c r="LE16" s="40">
        <v>0</v>
      </c>
      <c r="LF16" s="42">
        <v>0</v>
      </c>
      <c r="LG16" s="47"/>
      <c r="LH16" s="45">
        <v>0</v>
      </c>
      <c r="LI16" s="40">
        <v>0</v>
      </c>
      <c r="LJ16" s="42">
        <v>0</v>
      </c>
      <c r="LK16" s="47"/>
      <c r="LL16" s="45">
        <v>0</v>
      </c>
      <c r="LM16" s="40">
        <v>0</v>
      </c>
      <c r="LN16" s="40">
        <v>0</v>
      </c>
      <c r="LO16" s="40">
        <v>0</v>
      </c>
      <c r="LP16" s="42">
        <v>0</v>
      </c>
      <c r="LQ16" s="47"/>
      <c r="LR16" s="45">
        <v>0</v>
      </c>
      <c r="LS16" s="40">
        <v>0</v>
      </c>
      <c r="LT16" s="40">
        <v>0</v>
      </c>
      <c r="LU16" s="40">
        <v>0</v>
      </c>
      <c r="LV16" s="42">
        <v>0</v>
      </c>
      <c r="LW16" s="47"/>
      <c r="LX16" s="45">
        <v>0</v>
      </c>
      <c r="LY16" s="40">
        <v>0</v>
      </c>
      <c r="LZ16" s="42">
        <v>0</v>
      </c>
      <c r="MA16" s="47"/>
      <c r="MB16" s="45">
        <v>0</v>
      </c>
      <c r="MC16" s="40">
        <v>0</v>
      </c>
      <c r="MD16" s="40">
        <v>0</v>
      </c>
      <c r="ME16" s="40">
        <v>0</v>
      </c>
      <c r="MF16" s="42">
        <v>0</v>
      </c>
      <c r="MG16" s="47"/>
      <c r="MH16" s="45">
        <v>0</v>
      </c>
      <c r="MI16" s="40">
        <v>0</v>
      </c>
      <c r="MJ16" s="42">
        <v>0</v>
      </c>
      <c r="MK16" s="47"/>
      <c r="ML16" s="45">
        <v>0</v>
      </c>
      <c r="MM16" s="40">
        <v>0</v>
      </c>
      <c r="MN16" s="40">
        <v>0</v>
      </c>
      <c r="MO16" s="40">
        <v>0</v>
      </c>
      <c r="MP16" s="42">
        <v>0</v>
      </c>
      <c r="MQ16" s="47"/>
      <c r="MR16" s="40">
        <v>0</v>
      </c>
      <c r="MS16" s="40">
        <v>0</v>
      </c>
      <c r="MT16" s="40">
        <v>0</v>
      </c>
      <c r="MU16" s="40">
        <v>0</v>
      </c>
      <c r="MV16" s="42">
        <v>0</v>
      </c>
      <c r="MW16" s="47"/>
      <c r="MX16" s="45">
        <v>0</v>
      </c>
      <c r="MY16" s="40">
        <v>0</v>
      </c>
      <c r="MZ16" s="40">
        <v>0</v>
      </c>
      <c r="NA16" s="40">
        <v>0</v>
      </c>
      <c r="NB16" s="42">
        <v>0</v>
      </c>
      <c r="NC16" s="47"/>
      <c r="ND16" s="45">
        <v>0</v>
      </c>
      <c r="NE16" s="40">
        <v>0</v>
      </c>
      <c r="NF16" s="40">
        <v>0</v>
      </c>
      <c r="NG16" s="40">
        <v>0</v>
      </c>
      <c r="NH16" s="42">
        <v>0</v>
      </c>
      <c r="NI16" s="47"/>
      <c r="NJ16" s="45">
        <v>0</v>
      </c>
      <c r="NK16" s="40">
        <v>0</v>
      </c>
      <c r="NL16" s="40">
        <v>0</v>
      </c>
      <c r="NM16" s="40">
        <v>0</v>
      </c>
      <c r="NN16" s="42">
        <v>0</v>
      </c>
      <c r="NO16" s="47"/>
      <c r="NP16" s="45">
        <v>0</v>
      </c>
      <c r="NQ16" s="40">
        <v>0</v>
      </c>
      <c r="NR16" s="40">
        <v>0</v>
      </c>
      <c r="NS16" s="40">
        <v>0</v>
      </c>
      <c r="NT16" s="42">
        <v>0</v>
      </c>
      <c r="NU16" s="47"/>
      <c r="NV16" s="45">
        <v>0</v>
      </c>
      <c r="NW16" s="40">
        <v>0</v>
      </c>
      <c r="NX16" s="40">
        <v>0</v>
      </c>
      <c r="NY16" s="40">
        <v>0</v>
      </c>
      <c r="NZ16" s="42">
        <v>0</v>
      </c>
      <c r="OA16" s="47"/>
      <c r="OB16" s="45">
        <v>0</v>
      </c>
      <c r="OC16" s="40">
        <v>0</v>
      </c>
      <c r="OD16" s="42">
        <v>0</v>
      </c>
      <c r="OE16" s="47"/>
      <c r="OF16" s="45">
        <v>0</v>
      </c>
      <c r="OG16" s="40">
        <v>0</v>
      </c>
      <c r="OH16" s="40">
        <v>0</v>
      </c>
      <c r="OI16" s="40">
        <v>0</v>
      </c>
      <c r="OJ16" s="42">
        <v>0</v>
      </c>
      <c r="OK16" s="47"/>
      <c r="OL16" s="45">
        <v>0</v>
      </c>
      <c r="OM16" s="40">
        <v>0</v>
      </c>
      <c r="ON16" s="40">
        <v>0</v>
      </c>
      <c r="OO16" s="40">
        <v>0</v>
      </c>
      <c r="OP16" s="42">
        <v>0</v>
      </c>
      <c r="OQ16" s="47"/>
      <c r="OR16" s="45">
        <v>0</v>
      </c>
      <c r="OS16" s="40">
        <v>0</v>
      </c>
      <c r="OT16" s="40">
        <v>0</v>
      </c>
      <c r="OU16" s="40">
        <v>0</v>
      </c>
      <c r="OV16" s="42">
        <v>0</v>
      </c>
      <c r="OW16" s="47"/>
      <c r="OX16" s="40">
        <v>0</v>
      </c>
      <c r="OY16" s="40">
        <v>0</v>
      </c>
      <c r="OZ16" s="40">
        <v>0</v>
      </c>
      <c r="PA16" s="40">
        <v>0</v>
      </c>
      <c r="PB16" s="42">
        <v>0</v>
      </c>
      <c r="PC16" s="47"/>
      <c r="PD16" s="45">
        <v>0</v>
      </c>
      <c r="PE16" s="40">
        <v>0</v>
      </c>
      <c r="PF16" s="40">
        <v>0</v>
      </c>
      <c r="PG16" s="40">
        <v>0</v>
      </c>
      <c r="PH16" s="42">
        <v>0</v>
      </c>
      <c r="PI16" s="47"/>
      <c r="PJ16" s="45">
        <v>0</v>
      </c>
      <c r="PK16" s="40">
        <v>0</v>
      </c>
      <c r="PL16" s="40">
        <v>0</v>
      </c>
      <c r="PM16" s="40">
        <v>0</v>
      </c>
      <c r="PN16" s="42">
        <v>0</v>
      </c>
      <c r="PO16" s="47"/>
      <c r="PP16" s="43">
        <v>0</v>
      </c>
      <c r="PQ16" s="40">
        <v>0</v>
      </c>
      <c r="PR16" s="40">
        <v>0</v>
      </c>
      <c r="PS16" s="40">
        <v>0</v>
      </c>
      <c r="PT16" s="42">
        <v>0</v>
      </c>
      <c r="PU16" s="47"/>
      <c r="PV16" s="45">
        <v>0</v>
      </c>
      <c r="PW16" s="40">
        <v>0</v>
      </c>
      <c r="PX16" s="40">
        <v>0</v>
      </c>
      <c r="PY16" s="40">
        <v>0</v>
      </c>
      <c r="PZ16" s="42">
        <v>0</v>
      </c>
      <c r="QA16" s="47"/>
      <c r="QB16" s="45">
        <v>0</v>
      </c>
      <c r="QC16" s="40">
        <v>0</v>
      </c>
      <c r="QD16" s="42">
        <v>0</v>
      </c>
      <c r="QE16" s="47"/>
      <c r="QF16" s="45">
        <v>0</v>
      </c>
      <c r="QG16" s="40">
        <v>0</v>
      </c>
      <c r="QH16" s="40">
        <v>0</v>
      </c>
      <c r="QI16" s="40">
        <v>0</v>
      </c>
      <c r="QJ16" s="42">
        <v>0</v>
      </c>
      <c r="QK16" s="47"/>
      <c r="QL16" s="45">
        <v>0</v>
      </c>
      <c r="QM16" s="40">
        <v>0</v>
      </c>
      <c r="QN16" s="40">
        <v>0</v>
      </c>
      <c r="QO16" s="40">
        <v>0</v>
      </c>
      <c r="QP16" s="42">
        <v>0</v>
      </c>
      <c r="QQ16" s="47"/>
      <c r="QR16" s="45">
        <v>0</v>
      </c>
      <c r="QS16" s="40">
        <v>0</v>
      </c>
      <c r="QT16" s="40">
        <v>0</v>
      </c>
      <c r="QU16" s="40">
        <v>0</v>
      </c>
      <c r="QV16" s="42">
        <v>0</v>
      </c>
      <c r="QW16" s="47"/>
      <c r="QX16" s="45">
        <v>0</v>
      </c>
      <c r="QY16" s="3">
        <v>150</v>
      </c>
      <c r="QZ16" s="40">
        <v>0</v>
      </c>
      <c r="RA16" s="40">
        <v>0</v>
      </c>
      <c r="RB16" s="42">
        <v>-6</v>
      </c>
      <c r="RC16" s="47"/>
      <c r="RD16" s="45">
        <v>0</v>
      </c>
      <c r="RE16" s="3">
        <v>400</v>
      </c>
      <c r="RF16" s="42">
        <v>-4</v>
      </c>
      <c r="RG16" s="47"/>
    </row>
    <row r="17" spans="1:475" x14ac:dyDescent="0.25">
      <c r="A17" s="40" t="s">
        <v>306</v>
      </c>
      <c r="B17" s="41">
        <v>1</v>
      </c>
      <c r="N17" s="43"/>
      <c r="O17" s="48"/>
      <c r="P17" s="48"/>
      <c r="Q17" s="48"/>
      <c r="R17" s="48">
        <f t="shared" si="8"/>
        <v>0</v>
      </c>
      <c r="S17" s="44"/>
      <c r="T17" s="43"/>
      <c r="U17" s="48"/>
      <c r="V17" s="48"/>
      <c r="W17" s="48"/>
      <c r="X17" s="48">
        <f t="shared" si="9"/>
        <v>0</v>
      </c>
      <c r="Y17" s="44"/>
      <c r="Z17" s="43"/>
      <c r="AA17" s="48"/>
      <c r="AB17" s="48"/>
      <c r="AC17" s="48"/>
      <c r="AD17" s="48">
        <f t="shared" si="10"/>
        <v>0</v>
      </c>
      <c r="AE17" s="44"/>
      <c r="AF17" s="43"/>
      <c r="AG17" s="48"/>
      <c r="AH17" s="48"/>
      <c r="AI17" s="48"/>
      <c r="AJ17" s="48">
        <f t="shared" si="11"/>
        <v>0</v>
      </c>
      <c r="AK17" s="44"/>
      <c r="AL17" s="48"/>
      <c r="AP17" s="42">
        <v>0</v>
      </c>
      <c r="AQ17" s="44"/>
      <c r="AR17" s="43"/>
      <c r="AV17" s="42">
        <v>0</v>
      </c>
      <c r="AW17" s="44"/>
      <c r="BC17" s="42">
        <v>0</v>
      </c>
      <c r="BD17" s="44"/>
      <c r="BE17" s="43"/>
      <c r="BI17" s="42">
        <v>0</v>
      </c>
      <c r="BJ17" s="44"/>
      <c r="BO17" s="42">
        <v>0</v>
      </c>
      <c r="BP17" s="44"/>
      <c r="BS17" s="42">
        <v>0</v>
      </c>
      <c r="BT17" s="44"/>
      <c r="BU17" s="43"/>
      <c r="BY17" s="42">
        <v>0</v>
      </c>
      <c r="BZ17" s="44"/>
      <c r="CE17" s="42">
        <v>0</v>
      </c>
      <c r="CF17" s="44"/>
      <c r="CG17" s="43"/>
      <c r="CK17" s="42">
        <v>0</v>
      </c>
      <c r="CL17" s="44"/>
      <c r="CM17" s="43"/>
      <c r="CQ17" s="42">
        <v>0</v>
      </c>
      <c r="CR17" s="44"/>
      <c r="CW17" s="42">
        <v>0</v>
      </c>
      <c r="CX17" s="44"/>
      <c r="CY17" s="43"/>
      <c r="DC17" s="42">
        <v>0</v>
      </c>
      <c r="DD17" s="44"/>
      <c r="DE17" s="43"/>
      <c r="DK17" s="42">
        <v>0</v>
      </c>
      <c r="DL17" s="44"/>
      <c r="DM17" s="43"/>
      <c r="DQ17" s="42">
        <v>0</v>
      </c>
      <c r="DR17" s="44"/>
      <c r="DY17" s="42">
        <v>0</v>
      </c>
      <c r="DZ17" s="44"/>
      <c r="EA17" s="43"/>
      <c r="EE17" s="42">
        <v>0</v>
      </c>
      <c r="EF17" s="44"/>
      <c r="EG17" s="43"/>
      <c r="EK17" s="42">
        <v>0</v>
      </c>
      <c r="EL17" s="44"/>
      <c r="EM17" s="43"/>
      <c r="EQ17" s="42">
        <v>0</v>
      </c>
      <c r="ER17" s="44"/>
      <c r="EY17" s="42">
        <v>0</v>
      </c>
      <c r="EZ17" s="44"/>
      <c r="FE17" s="42">
        <v>0</v>
      </c>
      <c r="FF17" s="44"/>
      <c r="FG17" s="43"/>
      <c r="FK17" s="42">
        <v>0</v>
      </c>
      <c r="FL17" s="44"/>
      <c r="FM17" s="43"/>
      <c r="FO17" s="42">
        <v>0</v>
      </c>
      <c r="FP17" s="44"/>
      <c r="FU17" s="42">
        <v>0</v>
      </c>
      <c r="FV17" s="44"/>
      <c r="FW17" s="43"/>
      <c r="GC17" s="42">
        <v>0</v>
      </c>
      <c r="GD17" s="44"/>
      <c r="GI17" s="42">
        <v>0</v>
      </c>
      <c r="GJ17" s="44"/>
      <c r="GK17" s="43"/>
      <c r="GO17" s="42">
        <v>0</v>
      </c>
      <c r="GP17" s="47"/>
      <c r="GU17" s="42">
        <v>0</v>
      </c>
      <c r="GV17" s="44"/>
      <c r="GY17" s="42">
        <v>0</v>
      </c>
      <c r="GZ17" s="47"/>
      <c r="HA17" s="43"/>
      <c r="HC17" s="42">
        <v>0</v>
      </c>
      <c r="HD17" s="44"/>
      <c r="HE17" s="43"/>
      <c r="HI17" s="42">
        <v>0</v>
      </c>
      <c r="HJ17" s="47"/>
      <c r="HK17" s="43"/>
      <c r="HO17" s="42">
        <v>0</v>
      </c>
      <c r="HP17" s="44"/>
      <c r="HV17" s="42">
        <v>0</v>
      </c>
      <c r="HW17" s="44"/>
      <c r="HX17" s="45"/>
      <c r="IB17" s="42">
        <v>0</v>
      </c>
      <c r="IC17" s="44"/>
      <c r="IH17" s="42">
        <v>0</v>
      </c>
      <c r="II17" s="47"/>
      <c r="IN17" s="42">
        <v>0</v>
      </c>
      <c r="IO17" s="47"/>
      <c r="IT17" s="42">
        <v>0</v>
      </c>
      <c r="IU17" s="47"/>
      <c r="IZ17" s="42">
        <v>0</v>
      </c>
      <c r="JA17" s="44"/>
      <c r="JD17" s="42">
        <v>0</v>
      </c>
      <c r="JE17" s="44"/>
      <c r="JJ17" s="42">
        <v>0</v>
      </c>
      <c r="JK17" s="44"/>
      <c r="JL17" s="45"/>
      <c r="JN17" s="42">
        <v>0</v>
      </c>
      <c r="JO17" s="44"/>
      <c r="JT17" s="42">
        <v>0</v>
      </c>
      <c r="JU17" s="44"/>
      <c r="JZ17" s="42">
        <v>0</v>
      </c>
      <c r="KA17" s="47"/>
      <c r="KF17" s="42">
        <v>0</v>
      </c>
      <c r="KG17" s="44"/>
      <c r="KH17" s="41"/>
      <c r="KL17" s="42">
        <v>0</v>
      </c>
      <c r="KM17" s="47"/>
      <c r="KN17" s="45"/>
      <c r="KT17" s="42">
        <v>0</v>
      </c>
      <c r="KU17" s="47"/>
      <c r="KV17" s="40">
        <v>0</v>
      </c>
      <c r="KW17" s="40">
        <v>0</v>
      </c>
      <c r="KX17" s="40">
        <v>0</v>
      </c>
      <c r="KY17" s="40">
        <v>0</v>
      </c>
      <c r="KZ17" s="42">
        <v>0</v>
      </c>
      <c r="LA17" s="47"/>
      <c r="LB17" s="40">
        <v>0</v>
      </c>
      <c r="LC17" s="40">
        <v>0</v>
      </c>
      <c r="LD17" s="40">
        <v>0</v>
      </c>
      <c r="LE17" s="40">
        <v>0</v>
      </c>
      <c r="LF17" s="42">
        <v>0</v>
      </c>
      <c r="LG17" s="47"/>
      <c r="LH17" s="45">
        <v>0</v>
      </c>
      <c r="LI17" s="40">
        <v>0</v>
      </c>
      <c r="LJ17" s="42">
        <v>0</v>
      </c>
      <c r="LK17" s="47"/>
      <c r="LL17" s="45">
        <v>0</v>
      </c>
      <c r="LM17" s="40">
        <v>0</v>
      </c>
      <c r="LN17" s="40">
        <v>0</v>
      </c>
      <c r="LO17" s="40">
        <v>0</v>
      </c>
      <c r="LP17" s="42">
        <v>0</v>
      </c>
      <c r="LQ17" s="47"/>
      <c r="LR17" s="45">
        <v>0</v>
      </c>
      <c r="LS17" s="40">
        <v>0</v>
      </c>
      <c r="LT17" s="40">
        <v>0</v>
      </c>
      <c r="LU17" s="40">
        <v>0</v>
      </c>
      <c r="LV17" s="42">
        <v>0</v>
      </c>
      <c r="LW17" s="47"/>
      <c r="LX17" s="45">
        <v>0</v>
      </c>
      <c r="LY17" s="40">
        <v>0</v>
      </c>
      <c r="LZ17" s="42">
        <v>0</v>
      </c>
      <c r="MA17" s="47"/>
      <c r="MB17" s="45">
        <v>0</v>
      </c>
      <c r="MC17" s="40">
        <v>0</v>
      </c>
      <c r="MD17" s="40">
        <v>0</v>
      </c>
      <c r="ME17" s="40">
        <v>0</v>
      </c>
      <c r="MF17" s="42">
        <v>0</v>
      </c>
      <c r="MG17" s="47"/>
      <c r="MH17" s="45">
        <v>0</v>
      </c>
      <c r="MI17" s="40">
        <v>0</v>
      </c>
      <c r="MJ17" s="42">
        <v>0</v>
      </c>
      <c r="MK17" s="47"/>
      <c r="ML17" s="45">
        <v>0</v>
      </c>
      <c r="MM17" s="40">
        <v>0</v>
      </c>
      <c r="MN17" s="40">
        <v>0</v>
      </c>
      <c r="MO17" s="40">
        <v>0</v>
      </c>
      <c r="MP17" s="42">
        <v>0</v>
      </c>
      <c r="MQ17" s="47"/>
      <c r="MR17" s="40">
        <v>0</v>
      </c>
      <c r="MS17" s="40">
        <v>0</v>
      </c>
      <c r="MT17" s="40">
        <v>0</v>
      </c>
      <c r="MU17" s="40">
        <v>0</v>
      </c>
      <c r="MV17" s="42">
        <v>0</v>
      </c>
      <c r="MW17" s="47"/>
      <c r="MX17" s="45">
        <v>0</v>
      </c>
      <c r="MY17" s="40">
        <v>0</v>
      </c>
      <c r="MZ17" s="40">
        <v>0</v>
      </c>
      <c r="NA17" s="40">
        <v>0</v>
      </c>
      <c r="NB17" s="42">
        <v>0</v>
      </c>
      <c r="NC17" s="47"/>
      <c r="ND17" s="45">
        <v>0</v>
      </c>
      <c r="NE17" s="40">
        <v>0</v>
      </c>
      <c r="NF17" s="40">
        <v>0</v>
      </c>
      <c r="NG17" s="40">
        <v>0</v>
      </c>
      <c r="NH17" s="42">
        <v>0</v>
      </c>
      <c r="NI17" s="47"/>
      <c r="NJ17" s="45">
        <v>0</v>
      </c>
      <c r="NK17" s="40">
        <v>0</v>
      </c>
      <c r="NL17" s="40">
        <v>0</v>
      </c>
      <c r="NM17" s="40">
        <v>0</v>
      </c>
      <c r="NN17" s="42">
        <v>0</v>
      </c>
      <c r="NO17" s="47"/>
      <c r="NP17" s="45">
        <v>0</v>
      </c>
      <c r="NQ17" s="40">
        <v>0</v>
      </c>
      <c r="NR17" s="40">
        <v>0</v>
      </c>
      <c r="NS17" s="40">
        <v>0</v>
      </c>
      <c r="NT17" s="42">
        <v>0</v>
      </c>
      <c r="NU17" s="47"/>
      <c r="NV17" s="45">
        <v>0</v>
      </c>
      <c r="NW17" s="40">
        <v>0</v>
      </c>
      <c r="NX17" s="40">
        <v>0</v>
      </c>
      <c r="NY17" s="40">
        <v>0</v>
      </c>
      <c r="NZ17" s="42">
        <v>0</v>
      </c>
      <c r="OA17" s="47"/>
      <c r="OB17" s="45">
        <v>0</v>
      </c>
      <c r="OC17" s="40">
        <v>0</v>
      </c>
      <c r="OD17" s="42">
        <v>0</v>
      </c>
      <c r="OE17" s="47"/>
      <c r="OF17" s="45">
        <v>0</v>
      </c>
      <c r="OG17" s="40">
        <v>0</v>
      </c>
      <c r="OH17" s="40">
        <v>0</v>
      </c>
      <c r="OI17" s="40">
        <v>0</v>
      </c>
      <c r="OJ17" s="42">
        <v>0</v>
      </c>
      <c r="OK17" s="47"/>
      <c r="OL17" s="45">
        <v>0</v>
      </c>
      <c r="OM17" s="40">
        <v>0</v>
      </c>
      <c r="ON17" s="40">
        <v>0</v>
      </c>
      <c r="OO17" s="40">
        <v>0</v>
      </c>
      <c r="OP17" s="42">
        <v>0</v>
      </c>
      <c r="OQ17" s="47"/>
      <c r="OR17" s="45">
        <v>0</v>
      </c>
      <c r="OS17" s="40">
        <v>0</v>
      </c>
      <c r="OT17" s="40">
        <v>0</v>
      </c>
      <c r="OU17" s="40">
        <v>0</v>
      </c>
      <c r="OV17" s="42">
        <v>0</v>
      </c>
      <c r="OW17" s="47"/>
      <c r="OX17" s="40">
        <v>0</v>
      </c>
      <c r="OY17" s="40">
        <v>0</v>
      </c>
      <c r="OZ17" s="40">
        <v>0</v>
      </c>
      <c r="PA17" s="40">
        <v>0</v>
      </c>
      <c r="PB17" s="42">
        <v>0</v>
      </c>
      <c r="PC17" s="47"/>
      <c r="PD17" s="45">
        <v>0</v>
      </c>
      <c r="PE17" s="40">
        <v>0</v>
      </c>
      <c r="PF17" s="40">
        <v>0</v>
      </c>
      <c r="PG17" s="40">
        <v>0</v>
      </c>
      <c r="PH17" s="42">
        <v>0</v>
      </c>
      <c r="PI17" s="47"/>
      <c r="PJ17" s="45">
        <v>0</v>
      </c>
      <c r="PK17" s="40">
        <v>0</v>
      </c>
      <c r="PL17" s="40">
        <v>0</v>
      </c>
      <c r="PM17" s="40">
        <v>0</v>
      </c>
      <c r="PN17" s="42">
        <v>0</v>
      </c>
      <c r="PO17" s="47"/>
      <c r="PP17" s="43">
        <v>0</v>
      </c>
      <c r="PQ17" s="40">
        <v>0</v>
      </c>
      <c r="PR17" s="40">
        <v>0</v>
      </c>
      <c r="PS17" s="40">
        <v>0</v>
      </c>
      <c r="PT17" s="42">
        <v>0</v>
      </c>
      <c r="PU17" s="47"/>
      <c r="PV17" s="45">
        <v>0</v>
      </c>
      <c r="PW17" s="40">
        <v>0</v>
      </c>
      <c r="PX17" s="40">
        <v>0</v>
      </c>
      <c r="PY17" s="40">
        <v>0</v>
      </c>
      <c r="PZ17" s="42">
        <v>0</v>
      </c>
      <c r="QA17" s="47"/>
      <c r="QB17" s="45">
        <v>0</v>
      </c>
      <c r="QC17" s="40">
        <v>0</v>
      </c>
      <c r="QD17" s="42">
        <v>0</v>
      </c>
      <c r="QE17" s="47"/>
      <c r="QF17" s="45">
        <v>0</v>
      </c>
      <c r="QG17" s="40">
        <v>0</v>
      </c>
      <c r="QH17" s="40">
        <v>0</v>
      </c>
      <c r="QI17" s="40">
        <v>0</v>
      </c>
      <c r="QJ17" s="42">
        <v>0</v>
      </c>
      <c r="QK17" s="47"/>
      <c r="QL17" s="45">
        <v>0</v>
      </c>
      <c r="QM17" s="40">
        <v>0</v>
      </c>
      <c r="QN17" s="40">
        <v>0</v>
      </c>
      <c r="QO17" s="40">
        <v>0</v>
      </c>
      <c r="QP17" s="42">
        <v>0</v>
      </c>
      <c r="QQ17" s="47"/>
      <c r="QR17" s="45">
        <v>51.936</v>
      </c>
      <c r="QS17" s="40">
        <v>50</v>
      </c>
      <c r="QT17" s="40">
        <v>0</v>
      </c>
      <c r="QU17" s="40">
        <v>0</v>
      </c>
      <c r="QV17" s="42">
        <v>1.9359999999999999</v>
      </c>
      <c r="QW17" s="47"/>
      <c r="QX17" s="45">
        <v>52.234000000000002</v>
      </c>
      <c r="QY17" s="40">
        <v>50</v>
      </c>
      <c r="QZ17" s="40">
        <v>0</v>
      </c>
      <c r="RA17" s="40">
        <v>0</v>
      </c>
      <c r="RB17" s="42">
        <v>2.2340000000000022</v>
      </c>
      <c r="RC17" s="47"/>
      <c r="RD17" s="45">
        <v>72.341999999999999</v>
      </c>
      <c r="RE17" s="40">
        <v>70</v>
      </c>
      <c r="RF17" s="42">
        <v>2.3419999999999992</v>
      </c>
      <c r="RG17" s="47"/>
    </row>
    <row r="18" spans="1:475" x14ac:dyDescent="0.25">
      <c r="A18" s="40" t="s">
        <v>307</v>
      </c>
      <c r="B18" s="41">
        <v>1</v>
      </c>
      <c r="N18" s="43"/>
      <c r="O18" s="48"/>
      <c r="P18" s="48"/>
      <c r="Q18" s="48"/>
      <c r="R18" s="48">
        <f t="shared" si="8"/>
        <v>0</v>
      </c>
      <c r="S18" s="44"/>
      <c r="T18" s="43"/>
      <c r="U18" s="48"/>
      <c r="V18" s="48"/>
      <c r="W18" s="48"/>
      <c r="X18" s="48">
        <f t="shared" si="9"/>
        <v>0</v>
      </c>
      <c r="Y18" s="44"/>
      <c r="Z18" s="43"/>
      <c r="AA18" s="48"/>
      <c r="AB18" s="48"/>
      <c r="AC18" s="48"/>
      <c r="AD18" s="48">
        <f t="shared" si="10"/>
        <v>0</v>
      </c>
      <c r="AE18" s="44"/>
      <c r="AF18" s="43"/>
      <c r="AG18" s="48"/>
      <c r="AH18" s="48"/>
      <c r="AI18" s="48"/>
      <c r="AJ18" s="48">
        <f t="shared" si="11"/>
        <v>0</v>
      </c>
      <c r="AK18" s="44"/>
      <c r="AL18" s="48"/>
      <c r="AP18" s="42">
        <v>0</v>
      </c>
      <c r="AQ18" s="44"/>
      <c r="AR18" s="43"/>
      <c r="AV18" s="42">
        <v>0</v>
      </c>
      <c r="AW18" s="44"/>
      <c r="BC18" s="42">
        <v>0</v>
      </c>
      <c r="BD18" s="44"/>
      <c r="BE18" s="43"/>
      <c r="BI18" s="42">
        <v>0</v>
      </c>
      <c r="BJ18" s="44"/>
      <c r="BO18" s="42">
        <v>0</v>
      </c>
      <c r="BP18" s="44"/>
      <c r="BS18" s="42">
        <v>0</v>
      </c>
      <c r="BT18" s="44"/>
      <c r="BU18" s="43"/>
      <c r="BY18" s="42">
        <v>0</v>
      </c>
      <c r="BZ18" s="44"/>
      <c r="CE18" s="42">
        <v>0</v>
      </c>
      <c r="CF18" s="44"/>
      <c r="CG18" s="43"/>
      <c r="CK18" s="42">
        <v>0</v>
      </c>
      <c r="CL18" s="44"/>
      <c r="CM18" s="43"/>
      <c r="CQ18" s="42">
        <v>0</v>
      </c>
      <c r="CR18" s="44"/>
      <c r="CW18" s="42">
        <v>0</v>
      </c>
      <c r="CX18" s="44"/>
      <c r="CY18" s="43"/>
      <c r="DC18" s="42">
        <v>0</v>
      </c>
      <c r="DD18" s="44"/>
      <c r="DE18" s="43"/>
      <c r="DK18" s="42">
        <v>0</v>
      </c>
      <c r="DL18" s="44"/>
      <c r="DM18" s="43"/>
      <c r="DQ18" s="42">
        <v>0</v>
      </c>
      <c r="DR18" s="44"/>
      <c r="DY18" s="42">
        <v>0</v>
      </c>
      <c r="DZ18" s="44"/>
      <c r="EA18" s="43"/>
      <c r="EE18" s="42">
        <v>0</v>
      </c>
      <c r="EF18" s="44"/>
      <c r="EG18" s="43"/>
      <c r="EK18" s="42">
        <v>0</v>
      </c>
      <c r="EL18" s="44"/>
      <c r="EM18" s="43"/>
      <c r="EQ18" s="42">
        <v>0</v>
      </c>
      <c r="ER18" s="44"/>
      <c r="EY18" s="42">
        <v>0</v>
      </c>
      <c r="EZ18" s="44"/>
      <c r="FE18" s="42">
        <v>0</v>
      </c>
      <c r="FF18" s="44"/>
      <c r="FG18" s="43"/>
      <c r="FK18" s="42">
        <v>0</v>
      </c>
      <c r="FL18" s="44"/>
      <c r="FM18" s="43"/>
      <c r="FO18" s="42">
        <v>0</v>
      </c>
      <c r="FP18" s="44"/>
      <c r="FU18" s="42">
        <v>0</v>
      </c>
      <c r="FV18" s="44"/>
      <c r="FW18" s="43"/>
      <c r="GC18" s="42">
        <v>0</v>
      </c>
      <c r="GD18" s="44"/>
      <c r="GI18" s="42">
        <v>0</v>
      </c>
      <c r="GJ18" s="44"/>
      <c r="GK18" s="43"/>
      <c r="GO18" s="42">
        <v>0</v>
      </c>
      <c r="GP18" s="47"/>
      <c r="GU18" s="42">
        <v>0</v>
      </c>
      <c r="GV18" s="44"/>
      <c r="GY18" s="42">
        <v>0</v>
      </c>
      <c r="GZ18" s="47"/>
      <c r="HA18" s="43"/>
      <c r="HC18" s="42">
        <v>0</v>
      </c>
      <c r="HD18" s="44"/>
      <c r="HE18" s="43"/>
      <c r="HI18" s="42">
        <v>0</v>
      </c>
      <c r="HJ18" s="47"/>
      <c r="HK18" s="43"/>
      <c r="HO18" s="42">
        <v>0</v>
      </c>
      <c r="HP18" s="44"/>
      <c r="HV18" s="42">
        <v>0</v>
      </c>
      <c r="HW18" s="44"/>
      <c r="HX18" s="45"/>
      <c r="IB18" s="42">
        <v>0</v>
      </c>
      <c r="IC18" s="44"/>
      <c r="IH18" s="42">
        <v>0</v>
      </c>
      <c r="II18" s="47"/>
      <c r="IN18" s="42">
        <v>0</v>
      </c>
      <c r="IO18" s="47"/>
      <c r="IT18" s="42">
        <v>0</v>
      </c>
      <c r="IU18" s="47"/>
      <c r="IZ18" s="42">
        <v>0</v>
      </c>
      <c r="JA18" s="44"/>
      <c r="JD18" s="42">
        <v>0</v>
      </c>
      <c r="JE18" s="44"/>
      <c r="JJ18" s="42">
        <v>0</v>
      </c>
      <c r="JK18" s="44"/>
      <c r="JL18" s="45"/>
      <c r="JN18" s="42">
        <v>0</v>
      </c>
      <c r="JO18" s="44"/>
      <c r="JT18" s="42">
        <v>0</v>
      </c>
      <c r="JU18" s="44"/>
      <c r="JZ18" s="42">
        <v>0</v>
      </c>
      <c r="KA18" s="47"/>
      <c r="KF18" s="42">
        <v>0</v>
      </c>
      <c r="KG18" s="44"/>
      <c r="KH18" s="41"/>
      <c r="KL18" s="42">
        <v>0</v>
      </c>
      <c r="KM18" s="47"/>
      <c r="KN18" s="45"/>
      <c r="KT18" s="42">
        <v>0</v>
      </c>
      <c r="KU18" s="47"/>
      <c r="KV18" s="40">
        <v>0</v>
      </c>
      <c r="KW18" s="40">
        <v>0</v>
      </c>
      <c r="KX18" s="40">
        <v>0</v>
      </c>
      <c r="KY18" s="40">
        <v>0</v>
      </c>
      <c r="KZ18" s="42">
        <v>0</v>
      </c>
      <c r="LA18" s="47"/>
      <c r="LB18" s="40">
        <v>0</v>
      </c>
      <c r="LC18" s="40">
        <v>0</v>
      </c>
      <c r="LD18" s="40">
        <v>0</v>
      </c>
      <c r="LE18" s="40">
        <v>0</v>
      </c>
      <c r="LF18" s="42">
        <v>0</v>
      </c>
      <c r="LG18" s="47"/>
      <c r="LH18" s="45">
        <v>0</v>
      </c>
      <c r="LI18" s="40">
        <v>0</v>
      </c>
      <c r="LJ18" s="42">
        <v>0</v>
      </c>
      <c r="LK18" s="47"/>
      <c r="LL18" s="45">
        <v>0</v>
      </c>
      <c r="LM18" s="40">
        <v>0</v>
      </c>
      <c r="LN18" s="40">
        <v>0</v>
      </c>
      <c r="LO18" s="40">
        <v>0</v>
      </c>
      <c r="LP18" s="42">
        <v>0</v>
      </c>
      <c r="LQ18" s="47"/>
      <c r="LR18" s="45">
        <v>0</v>
      </c>
      <c r="LS18" s="40">
        <v>0</v>
      </c>
      <c r="LT18" s="40">
        <v>0</v>
      </c>
      <c r="LU18" s="40">
        <v>0</v>
      </c>
      <c r="LV18" s="42">
        <v>0</v>
      </c>
      <c r="LW18" s="47"/>
      <c r="LX18" s="45">
        <v>0</v>
      </c>
      <c r="LY18" s="40">
        <v>0</v>
      </c>
      <c r="LZ18" s="42">
        <v>0</v>
      </c>
      <c r="MA18" s="47"/>
      <c r="MB18" s="45">
        <v>0</v>
      </c>
      <c r="MC18" s="40">
        <v>0</v>
      </c>
      <c r="MD18" s="40">
        <v>0</v>
      </c>
      <c r="ME18" s="40">
        <v>0</v>
      </c>
      <c r="MF18" s="42">
        <v>0</v>
      </c>
      <c r="MG18" s="47"/>
      <c r="MH18" s="45">
        <v>0</v>
      </c>
      <c r="MI18" s="40">
        <v>0</v>
      </c>
      <c r="MJ18" s="42">
        <v>0</v>
      </c>
      <c r="MK18" s="47"/>
      <c r="ML18" s="45">
        <v>0</v>
      </c>
      <c r="MM18" s="40">
        <v>0</v>
      </c>
      <c r="MN18" s="40">
        <v>0</v>
      </c>
      <c r="MO18" s="40">
        <v>0</v>
      </c>
      <c r="MP18" s="42">
        <v>0</v>
      </c>
      <c r="MQ18" s="47"/>
      <c r="MR18" s="40">
        <v>0</v>
      </c>
      <c r="MS18" s="40">
        <v>0</v>
      </c>
      <c r="MT18" s="40">
        <v>0</v>
      </c>
      <c r="MU18" s="40">
        <v>0</v>
      </c>
      <c r="MV18" s="42">
        <v>0</v>
      </c>
      <c r="MW18" s="47"/>
      <c r="MX18" s="45">
        <v>0</v>
      </c>
      <c r="MY18" s="40">
        <v>0</v>
      </c>
      <c r="MZ18" s="40">
        <v>0</v>
      </c>
      <c r="NA18" s="40">
        <v>0</v>
      </c>
      <c r="NB18" s="42">
        <v>0</v>
      </c>
      <c r="NC18" s="47"/>
      <c r="ND18" s="45">
        <v>0</v>
      </c>
      <c r="NE18" s="40">
        <v>0</v>
      </c>
      <c r="NF18" s="40">
        <v>0</v>
      </c>
      <c r="NG18" s="40">
        <v>0</v>
      </c>
      <c r="NH18" s="42">
        <v>0</v>
      </c>
      <c r="NI18" s="47"/>
      <c r="NJ18" s="45">
        <v>0</v>
      </c>
      <c r="NK18" s="40">
        <v>0</v>
      </c>
      <c r="NL18" s="40">
        <v>0</v>
      </c>
      <c r="NM18" s="40">
        <v>0</v>
      </c>
      <c r="NN18" s="42">
        <v>0</v>
      </c>
      <c r="NO18" s="47"/>
      <c r="NP18" s="45">
        <v>0</v>
      </c>
      <c r="NQ18" s="40">
        <v>0</v>
      </c>
      <c r="NR18" s="40">
        <v>0</v>
      </c>
      <c r="NS18" s="40">
        <v>0</v>
      </c>
      <c r="NT18" s="42">
        <v>0</v>
      </c>
      <c r="NU18" s="47"/>
      <c r="NV18" s="45">
        <v>0</v>
      </c>
      <c r="NW18" s="40">
        <v>0</v>
      </c>
      <c r="NX18" s="40">
        <v>0</v>
      </c>
      <c r="NY18" s="40">
        <v>0</v>
      </c>
      <c r="NZ18" s="42">
        <v>0</v>
      </c>
      <c r="OA18" s="47"/>
      <c r="OB18" s="45">
        <v>0</v>
      </c>
      <c r="OC18" s="40">
        <v>0</v>
      </c>
      <c r="OD18" s="42">
        <v>0</v>
      </c>
      <c r="OE18" s="47"/>
      <c r="OF18" s="45">
        <v>0</v>
      </c>
      <c r="OG18" s="40">
        <v>0</v>
      </c>
      <c r="OH18" s="40">
        <v>0</v>
      </c>
      <c r="OI18" s="40">
        <v>0</v>
      </c>
      <c r="OJ18" s="42">
        <v>0</v>
      </c>
      <c r="OK18" s="47"/>
      <c r="OL18" s="45">
        <v>0</v>
      </c>
      <c r="OM18" s="40">
        <v>0</v>
      </c>
      <c r="ON18" s="40">
        <v>0</v>
      </c>
      <c r="OO18" s="40">
        <v>0</v>
      </c>
      <c r="OP18" s="42">
        <v>0</v>
      </c>
      <c r="OQ18" s="47"/>
      <c r="OR18" s="45">
        <v>0</v>
      </c>
      <c r="OS18" s="40">
        <v>0</v>
      </c>
      <c r="OT18" s="40">
        <v>0</v>
      </c>
      <c r="OU18" s="40">
        <v>0</v>
      </c>
      <c r="OV18" s="42">
        <v>0</v>
      </c>
      <c r="OW18" s="47"/>
      <c r="OX18" s="40">
        <v>0</v>
      </c>
      <c r="OY18" s="40">
        <v>0</v>
      </c>
      <c r="OZ18" s="40">
        <v>0</v>
      </c>
      <c r="PA18" s="40">
        <v>0</v>
      </c>
      <c r="PB18" s="42">
        <v>0</v>
      </c>
      <c r="PC18" s="47"/>
      <c r="PD18" s="45">
        <v>0</v>
      </c>
      <c r="PE18" s="40">
        <v>0</v>
      </c>
      <c r="PF18" s="40">
        <v>0</v>
      </c>
      <c r="PG18" s="40">
        <v>0</v>
      </c>
      <c r="PH18" s="42">
        <v>0</v>
      </c>
      <c r="PI18" s="47"/>
      <c r="PJ18" s="45">
        <v>0</v>
      </c>
      <c r="PK18" s="40">
        <v>0</v>
      </c>
      <c r="PL18" s="40">
        <v>22.51</v>
      </c>
      <c r="PM18" s="40">
        <v>20</v>
      </c>
      <c r="PN18" s="42">
        <v>2.510000000000002</v>
      </c>
      <c r="PO18" s="47"/>
      <c r="PP18" s="43">
        <v>0</v>
      </c>
      <c r="PQ18" s="40">
        <v>0</v>
      </c>
      <c r="PR18" s="40">
        <v>72.477999999999994</v>
      </c>
      <c r="PS18" s="40">
        <v>70</v>
      </c>
      <c r="PT18" s="42">
        <v>2.477999999999994</v>
      </c>
      <c r="PU18" s="47"/>
      <c r="PV18" s="45">
        <v>0</v>
      </c>
      <c r="PW18" s="40">
        <v>0</v>
      </c>
      <c r="PX18" s="40">
        <v>99.302000000000007</v>
      </c>
      <c r="PY18" s="40">
        <v>100</v>
      </c>
      <c r="PZ18" s="42">
        <v>-0.69799999999999329</v>
      </c>
      <c r="QA18" s="47"/>
      <c r="QB18" s="45">
        <v>22.396999999999998</v>
      </c>
      <c r="QC18" s="40">
        <v>20</v>
      </c>
      <c r="QD18" s="42">
        <v>2.396999999999998</v>
      </c>
      <c r="QE18" s="47"/>
      <c r="QF18" s="45">
        <v>0</v>
      </c>
      <c r="QG18" s="40">
        <v>0</v>
      </c>
      <c r="QH18" s="40">
        <v>0</v>
      </c>
      <c r="QI18" s="40">
        <v>0</v>
      </c>
      <c r="QJ18" s="42">
        <v>0</v>
      </c>
      <c r="QK18" s="47"/>
      <c r="QL18" s="45">
        <v>0</v>
      </c>
      <c r="QM18" s="40">
        <v>0</v>
      </c>
      <c r="QN18" s="40">
        <v>0</v>
      </c>
      <c r="QO18" s="40">
        <v>0</v>
      </c>
      <c r="QP18" s="42">
        <v>0</v>
      </c>
      <c r="QQ18" s="47"/>
      <c r="QR18" s="45">
        <v>0</v>
      </c>
      <c r="QS18" s="40">
        <v>0</v>
      </c>
      <c r="QT18" s="40">
        <v>0</v>
      </c>
      <c r="QU18" s="40">
        <v>0</v>
      </c>
      <c r="QV18" s="42">
        <v>0</v>
      </c>
      <c r="QW18" s="47"/>
      <c r="QX18" s="45">
        <v>0</v>
      </c>
      <c r="QY18" s="40">
        <v>0</v>
      </c>
      <c r="QZ18" s="40">
        <v>0</v>
      </c>
      <c r="RA18" s="40">
        <v>0</v>
      </c>
      <c r="RB18" s="42">
        <v>0</v>
      </c>
      <c r="RC18" s="47"/>
      <c r="RD18" s="45">
        <v>0</v>
      </c>
      <c r="RE18" s="40">
        <v>0</v>
      </c>
      <c r="RF18" s="42">
        <v>0</v>
      </c>
      <c r="RG18" s="47"/>
    </row>
    <row r="19" spans="1:475" x14ac:dyDescent="0.25">
      <c r="A19" s="40" t="s">
        <v>308</v>
      </c>
      <c r="B19" s="41">
        <v>1</v>
      </c>
      <c r="N19" s="43"/>
      <c r="O19" s="48"/>
      <c r="P19" s="48"/>
      <c r="Q19" s="48"/>
      <c r="R19" s="48">
        <f t="shared" si="8"/>
        <v>0</v>
      </c>
      <c r="S19" s="44"/>
      <c r="T19" s="43"/>
      <c r="U19" s="48"/>
      <c r="V19" s="48"/>
      <c r="W19" s="48"/>
      <c r="X19" s="48">
        <f t="shared" si="9"/>
        <v>0</v>
      </c>
      <c r="Y19" s="44"/>
      <c r="Z19" s="43"/>
      <c r="AA19" s="48"/>
      <c r="AB19" s="48"/>
      <c r="AC19" s="48"/>
      <c r="AD19" s="48">
        <f t="shared" si="10"/>
        <v>0</v>
      </c>
      <c r="AE19" s="44"/>
      <c r="AF19" s="43"/>
      <c r="AG19" s="48"/>
      <c r="AH19" s="48"/>
      <c r="AI19" s="48"/>
      <c r="AJ19" s="48">
        <f t="shared" si="11"/>
        <v>0</v>
      </c>
      <c r="AK19" s="44"/>
      <c r="AL19" s="48"/>
      <c r="AP19" s="42">
        <v>0</v>
      </c>
      <c r="AQ19" s="44"/>
      <c r="AR19" s="43"/>
      <c r="AV19" s="42">
        <v>0</v>
      </c>
      <c r="AW19" s="44"/>
      <c r="BC19" s="42">
        <v>0</v>
      </c>
      <c r="BD19" s="44"/>
      <c r="BE19" s="43"/>
      <c r="BI19" s="42">
        <v>0</v>
      </c>
      <c r="BJ19" s="44"/>
      <c r="BO19" s="42">
        <v>0</v>
      </c>
      <c r="BP19" s="44"/>
      <c r="BS19" s="42">
        <v>0</v>
      </c>
      <c r="BT19" s="44"/>
      <c r="BU19" s="43"/>
      <c r="BY19" s="42">
        <v>0</v>
      </c>
      <c r="BZ19" s="44"/>
      <c r="CE19" s="42">
        <v>0</v>
      </c>
      <c r="CF19" s="44"/>
      <c r="CG19" s="43"/>
      <c r="CK19" s="42">
        <v>0</v>
      </c>
      <c r="CL19" s="44"/>
      <c r="CM19" s="43"/>
      <c r="CQ19" s="42">
        <v>0</v>
      </c>
      <c r="CR19" s="44"/>
      <c r="CW19" s="42">
        <v>0</v>
      </c>
      <c r="CX19" s="44"/>
      <c r="CY19" s="43"/>
      <c r="DC19" s="42">
        <v>0</v>
      </c>
      <c r="DD19" s="44"/>
      <c r="DE19" s="43"/>
      <c r="DK19" s="42">
        <v>0</v>
      </c>
      <c r="DL19" s="44"/>
      <c r="DM19" s="43"/>
      <c r="DQ19" s="42">
        <v>0</v>
      </c>
      <c r="DR19" s="44"/>
      <c r="DY19" s="42">
        <v>0</v>
      </c>
      <c r="DZ19" s="44"/>
      <c r="EA19" s="43"/>
      <c r="EE19" s="42">
        <v>0</v>
      </c>
      <c r="EF19" s="44"/>
      <c r="EG19" s="43"/>
      <c r="EK19" s="42">
        <v>0</v>
      </c>
      <c r="EL19" s="44"/>
      <c r="EM19" s="43"/>
      <c r="EQ19" s="42">
        <v>0</v>
      </c>
      <c r="ER19" s="44"/>
      <c r="EY19" s="42">
        <v>0</v>
      </c>
      <c r="EZ19" s="44"/>
      <c r="FE19" s="42">
        <v>0</v>
      </c>
      <c r="FF19" s="44"/>
      <c r="FG19" s="43"/>
      <c r="FK19" s="42">
        <v>0</v>
      </c>
      <c r="FL19" s="44"/>
      <c r="FM19" s="43"/>
      <c r="FO19" s="42">
        <v>0</v>
      </c>
      <c r="FP19" s="44"/>
      <c r="FU19" s="42">
        <v>0</v>
      </c>
      <c r="FV19" s="44"/>
      <c r="FW19" s="43"/>
      <c r="GC19" s="42">
        <v>0</v>
      </c>
      <c r="GD19" s="44"/>
      <c r="GI19" s="42">
        <v>0</v>
      </c>
      <c r="GJ19" s="44"/>
      <c r="GK19" s="43"/>
      <c r="GO19" s="42">
        <v>0</v>
      </c>
      <c r="GP19" s="47"/>
      <c r="GU19" s="42">
        <v>0</v>
      </c>
      <c r="GV19" s="44"/>
      <c r="GY19" s="42">
        <v>0</v>
      </c>
      <c r="GZ19" s="47"/>
      <c r="HA19" s="43"/>
      <c r="HC19" s="42">
        <v>0</v>
      </c>
      <c r="HD19" s="44"/>
      <c r="HE19" s="43"/>
      <c r="HI19" s="42">
        <v>0</v>
      </c>
      <c r="HJ19" s="47"/>
      <c r="HK19" s="43"/>
      <c r="HO19" s="42">
        <v>0</v>
      </c>
      <c r="HP19" s="44"/>
      <c r="HV19" s="42">
        <v>0</v>
      </c>
      <c r="HW19" s="44"/>
      <c r="HX19" s="45"/>
      <c r="IB19" s="42">
        <v>0</v>
      </c>
      <c r="IC19" s="44"/>
      <c r="IH19" s="42">
        <v>0</v>
      </c>
      <c r="II19" s="47"/>
      <c r="IN19" s="42">
        <v>0</v>
      </c>
      <c r="IO19" s="47"/>
      <c r="IT19" s="42">
        <v>0</v>
      </c>
      <c r="IU19" s="47"/>
      <c r="IZ19" s="42">
        <v>0</v>
      </c>
      <c r="JA19" s="44"/>
      <c r="JD19" s="42">
        <v>0</v>
      </c>
      <c r="JE19" s="44"/>
      <c r="JJ19" s="42">
        <v>0</v>
      </c>
      <c r="JK19" s="44"/>
      <c r="JL19" s="45"/>
      <c r="JN19" s="42">
        <v>0</v>
      </c>
      <c r="JO19" s="44"/>
      <c r="JT19" s="42">
        <v>0</v>
      </c>
      <c r="JU19" s="44"/>
      <c r="JZ19" s="42">
        <v>0</v>
      </c>
      <c r="KA19" s="47"/>
      <c r="KF19" s="42">
        <v>0</v>
      </c>
      <c r="KG19" s="44"/>
      <c r="KH19" s="41"/>
      <c r="KL19" s="42">
        <v>0</v>
      </c>
      <c r="KM19" s="47"/>
      <c r="KN19" s="45"/>
      <c r="KT19" s="42">
        <v>0</v>
      </c>
      <c r="KU19" s="47"/>
      <c r="KV19" s="40">
        <v>0</v>
      </c>
      <c r="KW19" s="40">
        <v>0</v>
      </c>
      <c r="KX19" s="40">
        <v>0</v>
      </c>
      <c r="KY19" s="40">
        <v>0</v>
      </c>
      <c r="KZ19" s="42">
        <v>0</v>
      </c>
      <c r="LA19" s="47"/>
      <c r="LB19" s="40">
        <v>0</v>
      </c>
      <c r="LC19" s="40">
        <v>0</v>
      </c>
      <c r="LD19" s="40">
        <v>0</v>
      </c>
      <c r="LE19" s="40">
        <v>0</v>
      </c>
      <c r="LF19" s="42">
        <v>0</v>
      </c>
      <c r="LG19" s="47"/>
      <c r="LH19" s="45">
        <v>0</v>
      </c>
      <c r="LI19" s="40">
        <v>0</v>
      </c>
      <c r="LJ19" s="42">
        <v>0</v>
      </c>
      <c r="LK19" s="47"/>
      <c r="LL19" s="45">
        <v>0</v>
      </c>
      <c r="LM19" s="40">
        <v>0</v>
      </c>
      <c r="LN19" s="40">
        <v>0</v>
      </c>
      <c r="LO19" s="40">
        <v>0</v>
      </c>
      <c r="LP19" s="42">
        <v>0</v>
      </c>
      <c r="LQ19" s="47"/>
      <c r="LR19" s="45">
        <v>0</v>
      </c>
      <c r="LS19" s="40">
        <v>0</v>
      </c>
      <c r="LT19" s="40">
        <v>0</v>
      </c>
      <c r="LU19" s="40">
        <v>0</v>
      </c>
      <c r="LV19" s="42">
        <v>0</v>
      </c>
      <c r="LW19" s="47"/>
      <c r="LX19" s="45">
        <v>0</v>
      </c>
      <c r="LY19" s="40">
        <v>0</v>
      </c>
      <c r="LZ19" s="42">
        <v>0</v>
      </c>
      <c r="MA19" s="47"/>
      <c r="MB19" s="45">
        <v>0</v>
      </c>
      <c r="MC19" s="40">
        <v>0</v>
      </c>
      <c r="MD19" s="40">
        <v>0</v>
      </c>
      <c r="ME19" s="40">
        <v>0</v>
      </c>
      <c r="MF19" s="42">
        <v>0</v>
      </c>
      <c r="MG19" s="47"/>
      <c r="MH19" s="45">
        <v>0</v>
      </c>
      <c r="MI19" s="40">
        <v>0</v>
      </c>
      <c r="MJ19" s="42">
        <v>0</v>
      </c>
      <c r="MK19" s="47"/>
      <c r="ML19" s="45">
        <v>0</v>
      </c>
      <c r="MM19" s="40">
        <v>0</v>
      </c>
      <c r="MN19" s="40">
        <v>0</v>
      </c>
      <c r="MO19" s="40">
        <v>0</v>
      </c>
      <c r="MP19" s="42">
        <v>0</v>
      </c>
      <c r="MQ19" s="47"/>
      <c r="MR19" s="40">
        <v>0</v>
      </c>
      <c r="MS19" s="40">
        <v>0</v>
      </c>
      <c r="MT19" s="40">
        <v>0</v>
      </c>
      <c r="MU19" s="40">
        <v>0</v>
      </c>
      <c r="MV19" s="42">
        <v>0</v>
      </c>
      <c r="MW19" s="47"/>
      <c r="MX19" s="45">
        <v>0</v>
      </c>
      <c r="MY19" s="40">
        <v>0</v>
      </c>
      <c r="MZ19" s="40">
        <v>0</v>
      </c>
      <c r="NA19" s="40">
        <v>0</v>
      </c>
      <c r="NB19" s="42">
        <v>0</v>
      </c>
      <c r="NC19" s="47"/>
      <c r="ND19" s="45">
        <v>0</v>
      </c>
      <c r="NE19" s="40">
        <v>0</v>
      </c>
      <c r="NF19" s="40">
        <v>0</v>
      </c>
      <c r="NG19" s="40">
        <v>0</v>
      </c>
      <c r="NH19" s="42">
        <v>0</v>
      </c>
      <c r="NI19" s="47"/>
      <c r="NJ19" s="45">
        <v>0</v>
      </c>
      <c r="NK19" s="40">
        <v>0</v>
      </c>
      <c r="NL19" s="40">
        <v>0</v>
      </c>
      <c r="NM19" s="40">
        <v>0</v>
      </c>
      <c r="NN19" s="42">
        <v>0</v>
      </c>
      <c r="NO19" s="47"/>
      <c r="NP19" s="45">
        <v>0</v>
      </c>
      <c r="NQ19" s="40">
        <v>0</v>
      </c>
      <c r="NR19" s="40">
        <v>0</v>
      </c>
      <c r="NS19" s="40">
        <v>0</v>
      </c>
      <c r="NT19" s="42">
        <v>0</v>
      </c>
      <c r="NU19" s="47"/>
      <c r="NV19" s="45">
        <v>0</v>
      </c>
      <c r="NW19" s="40">
        <v>0</v>
      </c>
      <c r="NX19" s="40">
        <v>0</v>
      </c>
      <c r="NY19" s="40">
        <v>0</v>
      </c>
      <c r="NZ19" s="42">
        <v>0</v>
      </c>
      <c r="OA19" s="47"/>
      <c r="OB19" s="45">
        <v>0</v>
      </c>
      <c r="OC19" s="40">
        <v>0</v>
      </c>
      <c r="OD19" s="42">
        <v>0</v>
      </c>
      <c r="OE19" s="47"/>
      <c r="OF19" s="45">
        <v>0</v>
      </c>
      <c r="OG19" s="40">
        <v>0</v>
      </c>
      <c r="OH19" s="40">
        <v>0</v>
      </c>
      <c r="OI19" s="40">
        <v>0</v>
      </c>
      <c r="OJ19" s="42">
        <v>0</v>
      </c>
      <c r="OK19" s="47"/>
      <c r="OL19" s="45">
        <v>0</v>
      </c>
      <c r="OM19" s="40">
        <v>0</v>
      </c>
      <c r="ON19" s="40">
        <v>0</v>
      </c>
      <c r="OO19" s="40">
        <v>0</v>
      </c>
      <c r="OP19" s="42">
        <v>0</v>
      </c>
      <c r="OQ19" s="47"/>
      <c r="OR19" s="45">
        <v>0</v>
      </c>
      <c r="OS19" s="40">
        <v>0</v>
      </c>
      <c r="OT19" s="40">
        <v>0</v>
      </c>
      <c r="OU19" s="40">
        <v>0</v>
      </c>
      <c r="OV19" s="42">
        <v>0</v>
      </c>
      <c r="OW19" s="47"/>
      <c r="OX19" s="40">
        <v>0</v>
      </c>
      <c r="OY19" s="40">
        <v>0</v>
      </c>
      <c r="OZ19" s="40">
        <v>0</v>
      </c>
      <c r="PA19" s="40">
        <v>0</v>
      </c>
      <c r="PB19" s="42">
        <v>0</v>
      </c>
      <c r="PC19" s="47"/>
      <c r="PD19" s="45">
        <v>0</v>
      </c>
      <c r="PE19" s="40">
        <v>0</v>
      </c>
      <c r="PF19" s="40">
        <v>0</v>
      </c>
      <c r="PG19" s="14">
        <v>100</v>
      </c>
      <c r="PH19" s="42">
        <v>-1.9309999999999969</v>
      </c>
      <c r="PI19" s="47"/>
      <c r="PJ19" s="45">
        <v>0</v>
      </c>
      <c r="PK19" s="40">
        <v>0</v>
      </c>
      <c r="PL19" s="40">
        <v>0</v>
      </c>
      <c r="PM19" s="14">
        <v>100</v>
      </c>
      <c r="PN19" s="42">
        <v>1.3509999999999991</v>
      </c>
      <c r="PO19" s="47"/>
      <c r="PP19" s="43">
        <v>0</v>
      </c>
      <c r="PQ19" s="40">
        <v>0</v>
      </c>
      <c r="PR19" s="40">
        <v>62.631</v>
      </c>
      <c r="PS19" s="40">
        <v>60</v>
      </c>
      <c r="PT19" s="42">
        <v>2.6309999999999998</v>
      </c>
      <c r="PU19" s="47"/>
      <c r="PV19" s="45">
        <v>0</v>
      </c>
      <c r="PW19" s="40">
        <v>0</v>
      </c>
      <c r="PX19" s="40">
        <v>34.585000000000001</v>
      </c>
      <c r="PY19" s="40">
        <v>80</v>
      </c>
      <c r="PZ19" s="39">
        <v>-45.414999999999999</v>
      </c>
      <c r="QA19" s="47">
        <v>45.414999999999999</v>
      </c>
      <c r="QB19" s="45">
        <v>127.21599999999999</v>
      </c>
      <c r="QC19" s="40">
        <v>120</v>
      </c>
      <c r="QD19" s="42">
        <v>7.215999999999994</v>
      </c>
      <c r="QE19" s="47"/>
      <c r="QF19" s="45">
        <v>50.789000000000001</v>
      </c>
      <c r="QG19" s="40">
        <v>50</v>
      </c>
      <c r="QH19" s="40">
        <v>50.889000000000003</v>
      </c>
      <c r="QI19" s="40">
        <v>50</v>
      </c>
      <c r="QJ19" s="42">
        <v>1.677999999999997</v>
      </c>
      <c r="QK19" s="47"/>
      <c r="QL19" s="45">
        <v>0</v>
      </c>
      <c r="QM19" s="40">
        <v>0</v>
      </c>
      <c r="QN19" s="40">
        <v>0</v>
      </c>
      <c r="QO19" s="40">
        <v>0</v>
      </c>
      <c r="QP19" s="42">
        <v>0</v>
      </c>
      <c r="QQ19" s="47"/>
      <c r="QR19" s="45">
        <v>23.45</v>
      </c>
      <c r="QS19" s="40">
        <v>136</v>
      </c>
      <c r="QT19" s="40">
        <v>0</v>
      </c>
      <c r="QU19" s="40">
        <v>0</v>
      </c>
      <c r="QV19" s="39">
        <v>-112.55</v>
      </c>
      <c r="QW19" s="47">
        <v>112.55</v>
      </c>
      <c r="QX19" s="45">
        <v>0</v>
      </c>
      <c r="QY19" s="40">
        <v>0</v>
      </c>
      <c r="QZ19" s="40">
        <v>0</v>
      </c>
      <c r="RA19" s="40">
        <v>0</v>
      </c>
      <c r="RB19" s="42">
        <v>0</v>
      </c>
      <c r="RC19" s="47"/>
      <c r="RD19" s="45">
        <v>102.56399999999999</v>
      </c>
      <c r="RE19" s="40">
        <v>100</v>
      </c>
      <c r="RF19" s="42">
        <v>2.563999999999993</v>
      </c>
      <c r="RG19" s="47"/>
    </row>
    <row r="20" spans="1:475" x14ac:dyDescent="0.25">
      <c r="A20" s="40" t="s">
        <v>309</v>
      </c>
      <c r="B20" s="41">
        <v>1</v>
      </c>
      <c r="N20" s="43"/>
      <c r="O20" s="48"/>
      <c r="P20" s="48"/>
      <c r="Q20" s="48"/>
      <c r="R20" s="48">
        <f t="shared" si="8"/>
        <v>0</v>
      </c>
      <c r="S20" s="44"/>
      <c r="T20" s="43"/>
      <c r="U20" s="48"/>
      <c r="V20" s="48"/>
      <c r="W20" s="48"/>
      <c r="X20" s="48">
        <f t="shared" si="9"/>
        <v>0</v>
      </c>
      <c r="Y20" s="44"/>
      <c r="Z20" s="43"/>
      <c r="AA20" s="48"/>
      <c r="AB20" s="48"/>
      <c r="AC20" s="48"/>
      <c r="AD20" s="48">
        <f t="shared" si="10"/>
        <v>0</v>
      </c>
      <c r="AE20" s="44"/>
      <c r="AF20" s="43"/>
      <c r="AG20" s="48"/>
      <c r="AH20" s="48"/>
      <c r="AI20" s="48"/>
      <c r="AJ20" s="48">
        <f t="shared" si="11"/>
        <v>0</v>
      </c>
      <c r="AK20" s="44"/>
      <c r="AL20" s="48"/>
      <c r="AP20" s="42">
        <v>0</v>
      </c>
      <c r="AQ20" s="44"/>
      <c r="AR20" s="43"/>
      <c r="AV20" s="42">
        <v>0</v>
      </c>
      <c r="AW20" s="44"/>
      <c r="BC20" s="42">
        <v>0</v>
      </c>
      <c r="BD20" s="44"/>
      <c r="BE20" s="43"/>
      <c r="BI20" s="42">
        <v>0</v>
      </c>
      <c r="BJ20" s="44"/>
      <c r="BO20" s="42">
        <v>0</v>
      </c>
      <c r="BP20" s="44"/>
      <c r="BS20" s="42">
        <v>0</v>
      </c>
      <c r="BT20" s="44"/>
      <c r="BU20" s="43"/>
      <c r="BY20" s="42">
        <v>0</v>
      </c>
      <c r="BZ20" s="44"/>
      <c r="CE20" s="42">
        <v>0</v>
      </c>
      <c r="CF20" s="44"/>
      <c r="CG20" s="43"/>
      <c r="CK20" s="42">
        <v>0</v>
      </c>
      <c r="CL20" s="44"/>
      <c r="CM20" s="43"/>
      <c r="CQ20" s="42">
        <v>0</v>
      </c>
      <c r="CR20" s="44"/>
      <c r="CW20" s="42">
        <v>0</v>
      </c>
      <c r="CX20" s="44"/>
      <c r="CY20" s="43"/>
      <c r="DC20" s="42">
        <v>0</v>
      </c>
      <c r="DD20" s="44"/>
      <c r="DE20" s="43"/>
      <c r="DK20" s="42">
        <v>0</v>
      </c>
      <c r="DL20" s="44"/>
      <c r="DM20" s="43"/>
      <c r="DQ20" s="42">
        <v>0</v>
      </c>
      <c r="DR20" s="44"/>
      <c r="DY20" s="42">
        <v>0</v>
      </c>
      <c r="DZ20" s="44"/>
      <c r="EA20" s="43"/>
      <c r="EE20" s="42">
        <v>0</v>
      </c>
      <c r="EF20" s="44"/>
      <c r="EG20" s="43"/>
      <c r="EK20" s="42">
        <v>0</v>
      </c>
      <c r="EL20" s="44"/>
      <c r="EM20" s="43"/>
      <c r="EQ20" s="42">
        <v>0</v>
      </c>
      <c r="ER20" s="44"/>
      <c r="EY20" s="42">
        <v>0</v>
      </c>
      <c r="EZ20" s="44"/>
      <c r="FE20" s="42">
        <v>0</v>
      </c>
      <c r="FF20" s="44"/>
      <c r="FG20" s="43"/>
      <c r="FK20" s="42">
        <v>0</v>
      </c>
      <c r="FL20" s="44"/>
      <c r="FM20" s="43"/>
      <c r="FO20" s="42">
        <v>0</v>
      </c>
      <c r="FP20" s="44"/>
      <c r="FU20" s="42">
        <v>0</v>
      </c>
      <c r="FV20" s="44"/>
      <c r="FW20" s="43"/>
      <c r="GC20" s="42">
        <v>0</v>
      </c>
      <c r="GD20" s="44"/>
      <c r="GI20" s="42">
        <v>0</v>
      </c>
      <c r="GJ20" s="44"/>
      <c r="GK20" s="43"/>
      <c r="GO20" s="42">
        <v>0</v>
      </c>
      <c r="GP20" s="47"/>
      <c r="GU20" s="42">
        <v>0</v>
      </c>
      <c r="GV20" s="44"/>
      <c r="GY20" s="42">
        <v>0</v>
      </c>
      <c r="GZ20" s="47"/>
      <c r="HA20" s="43"/>
      <c r="HC20" s="42">
        <v>0</v>
      </c>
      <c r="HD20" s="44"/>
      <c r="HE20" s="43"/>
      <c r="HI20" s="42">
        <v>0</v>
      </c>
      <c r="HJ20" s="47"/>
      <c r="HK20" s="43"/>
      <c r="HO20" s="42">
        <v>0</v>
      </c>
      <c r="HP20" s="44"/>
      <c r="HV20" s="42">
        <v>0</v>
      </c>
      <c r="HW20" s="44"/>
      <c r="HX20" s="45"/>
      <c r="IB20" s="42">
        <v>0</v>
      </c>
      <c r="IC20" s="44"/>
      <c r="IH20" s="42">
        <v>0</v>
      </c>
      <c r="II20" s="47"/>
      <c r="IN20" s="42">
        <v>0</v>
      </c>
      <c r="IO20" s="47"/>
      <c r="IT20" s="42">
        <v>0</v>
      </c>
      <c r="IU20" s="47"/>
      <c r="IZ20" s="42">
        <v>0</v>
      </c>
      <c r="JA20" s="44"/>
      <c r="JD20" s="42">
        <v>0</v>
      </c>
      <c r="JE20" s="44"/>
      <c r="JJ20" s="42">
        <v>0</v>
      </c>
      <c r="JK20" s="44"/>
      <c r="JL20" s="45"/>
      <c r="JN20" s="42">
        <v>0</v>
      </c>
      <c r="JO20" s="44"/>
      <c r="JT20" s="42">
        <v>0</v>
      </c>
      <c r="JU20" s="44"/>
      <c r="JZ20" s="42">
        <v>0</v>
      </c>
      <c r="KA20" s="47"/>
      <c r="KF20" s="42">
        <v>0</v>
      </c>
      <c r="KG20" s="44"/>
      <c r="KH20" s="41"/>
      <c r="KL20" s="42">
        <v>0</v>
      </c>
      <c r="KM20" s="47"/>
      <c r="KN20" s="45"/>
      <c r="KT20" s="42">
        <v>0</v>
      </c>
      <c r="KU20" s="47"/>
      <c r="KV20" s="40">
        <v>0</v>
      </c>
      <c r="KW20" s="40">
        <v>0</v>
      </c>
      <c r="KX20" s="40">
        <v>0</v>
      </c>
      <c r="KY20" s="40">
        <v>0</v>
      </c>
      <c r="KZ20" s="42">
        <v>0</v>
      </c>
      <c r="LA20" s="47"/>
      <c r="LB20" s="40">
        <v>0</v>
      </c>
      <c r="LC20" s="40">
        <v>0</v>
      </c>
      <c r="LD20" s="40">
        <v>0</v>
      </c>
      <c r="LE20" s="40">
        <v>0</v>
      </c>
      <c r="LF20" s="42">
        <v>0</v>
      </c>
      <c r="LG20" s="47"/>
      <c r="LH20" s="45">
        <v>0</v>
      </c>
      <c r="LI20" s="40">
        <v>0</v>
      </c>
      <c r="LJ20" s="42">
        <v>0</v>
      </c>
      <c r="LK20" s="47"/>
      <c r="LL20" s="45">
        <v>0</v>
      </c>
      <c r="LM20" s="40">
        <v>0</v>
      </c>
      <c r="LN20" s="40">
        <v>0</v>
      </c>
      <c r="LO20" s="40">
        <v>0</v>
      </c>
      <c r="LP20" s="42">
        <v>0</v>
      </c>
      <c r="LQ20" s="47"/>
      <c r="LR20" s="45">
        <v>0</v>
      </c>
      <c r="LS20" s="40">
        <v>0</v>
      </c>
      <c r="LT20" s="40">
        <v>0</v>
      </c>
      <c r="LU20" s="40">
        <v>0</v>
      </c>
      <c r="LV20" s="42">
        <v>0</v>
      </c>
      <c r="LW20" s="47"/>
      <c r="LX20" s="45">
        <v>0</v>
      </c>
      <c r="LY20" s="40">
        <v>0</v>
      </c>
      <c r="LZ20" s="42">
        <v>0</v>
      </c>
      <c r="MA20" s="47"/>
      <c r="MB20" s="45">
        <v>0</v>
      </c>
      <c r="MC20" s="40">
        <v>0</v>
      </c>
      <c r="MD20" s="40">
        <v>0</v>
      </c>
      <c r="ME20" s="40">
        <v>0</v>
      </c>
      <c r="MF20" s="42">
        <v>0</v>
      </c>
      <c r="MG20" s="47"/>
      <c r="MH20" s="45">
        <v>0</v>
      </c>
      <c r="MI20" s="40">
        <v>0</v>
      </c>
      <c r="MJ20" s="42">
        <v>0</v>
      </c>
      <c r="MK20" s="47"/>
      <c r="ML20" s="45">
        <v>0</v>
      </c>
      <c r="MM20" s="40">
        <v>0</v>
      </c>
      <c r="MN20" s="40">
        <v>0</v>
      </c>
      <c r="MO20" s="40">
        <v>0</v>
      </c>
      <c r="MP20" s="42">
        <v>0</v>
      </c>
      <c r="MQ20" s="47"/>
      <c r="MR20" s="40">
        <v>0</v>
      </c>
      <c r="MS20" s="40">
        <v>0</v>
      </c>
      <c r="MT20" s="40">
        <v>0</v>
      </c>
      <c r="MU20" s="40">
        <v>0</v>
      </c>
      <c r="MV20" s="42">
        <v>0</v>
      </c>
      <c r="MW20" s="47"/>
      <c r="MX20" s="45">
        <v>0</v>
      </c>
      <c r="MY20" s="40">
        <v>0</v>
      </c>
      <c r="MZ20" s="40">
        <v>0</v>
      </c>
      <c r="NA20" s="40">
        <v>0</v>
      </c>
      <c r="NB20" s="42">
        <v>0</v>
      </c>
      <c r="NC20" s="47"/>
      <c r="ND20" s="45">
        <v>0</v>
      </c>
      <c r="NE20" s="40">
        <v>0</v>
      </c>
      <c r="NF20" s="40">
        <v>0</v>
      </c>
      <c r="NG20" s="40">
        <v>0</v>
      </c>
      <c r="NH20" s="42">
        <v>0</v>
      </c>
      <c r="NI20" s="47"/>
      <c r="NJ20" s="45">
        <v>0</v>
      </c>
      <c r="NK20" s="40">
        <v>0</v>
      </c>
      <c r="NL20" s="40">
        <v>0</v>
      </c>
      <c r="NM20" s="40">
        <v>0</v>
      </c>
      <c r="NN20" s="42">
        <v>0</v>
      </c>
      <c r="NO20" s="47"/>
      <c r="NP20" s="45">
        <v>0</v>
      </c>
      <c r="NQ20" s="40">
        <v>0</v>
      </c>
      <c r="NR20" s="40">
        <v>0</v>
      </c>
      <c r="NS20" s="40">
        <v>0</v>
      </c>
      <c r="NT20" s="42">
        <v>0</v>
      </c>
      <c r="NU20" s="47"/>
      <c r="NV20" s="45">
        <v>0</v>
      </c>
      <c r="NW20" s="40">
        <v>0</v>
      </c>
      <c r="NX20" s="40">
        <v>0</v>
      </c>
      <c r="NY20" s="40">
        <v>0</v>
      </c>
      <c r="NZ20" s="42">
        <v>0</v>
      </c>
      <c r="OA20" s="47"/>
      <c r="OB20" s="45">
        <v>0</v>
      </c>
      <c r="OC20" s="40">
        <v>0</v>
      </c>
      <c r="OD20" s="42">
        <v>0</v>
      </c>
      <c r="OE20" s="47"/>
      <c r="OF20" s="45">
        <v>0</v>
      </c>
      <c r="OG20" s="40">
        <v>0</v>
      </c>
      <c r="OH20" s="40">
        <v>0</v>
      </c>
      <c r="OI20" s="40">
        <v>0</v>
      </c>
      <c r="OJ20" s="42">
        <v>0</v>
      </c>
      <c r="OK20" s="47"/>
      <c r="OL20" s="45">
        <v>0</v>
      </c>
      <c r="OM20" s="40">
        <v>0</v>
      </c>
      <c r="ON20" s="40">
        <v>0</v>
      </c>
      <c r="OO20" s="40">
        <v>0</v>
      </c>
      <c r="OP20" s="42">
        <v>0</v>
      </c>
      <c r="OQ20" s="47"/>
      <c r="OR20" s="45">
        <v>0</v>
      </c>
      <c r="OS20" s="40">
        <v>0</v>
      </c>
      <c r="OT20" s="40">
        <v>0</v>
      </c>
      <c r="OU20" s="40">
        <v>0</v>
      </c>
      <c r="OV20" s="42">
        <v>0</v>
      </c>
      <c r="OW20" s="47"/>
      <c r="OX20" s="40">
        <v>0</v>
      </c>
      <c r="OY20" s="14">
        <v>30</v>
      </c>
      <c r="OZ20" s="40">
        <v>0</v>
      </c>
      <c r="PA20" s="14">
        <v>30</v>
      </c>
      <c r="PB20" s="42">
        <v>2.382999999999996</v>
      </c>
      <c r="PC20" s="47"/>
      <c r="PD20" s="45">
        <v>0</v>
      </c>
      <c r="PE20" s="40">
        <v>0</v>
      </c>
      <c r="PF20" s="40">
        <v>0</v>
      </c>
      <c r="PG20" s="14">
        <v>40</v>
      </c>
      <c r="PH20" s="42">
        <v>-4.1730000000000018</v>
      </c>
      <c r="PI20" s="47"/>
      <c r="PJ20" s="45">
        <v>0</v>
      </c>
      <c r="PK20" s="40">
        <v>0</v>
      </c>
      <c r="PL20" s="40">
        <v>19.905000000000001</v>
      </c>
      <c r="PM20" s="40">
        <v>18</v>
      </c>
      <c r="PN20" s="42">
        <v>1.9050000000000009</v>
      </c>
      <c r="PO20" s="47"/>
      <c r="PP20" s="43">
        <v>0</v>
      </c>
      <c r="PQ20" s="40">
        <v>0</v>
      </c>
      <c r="PR20" s="40">
        <v>0</v>
      </c>
      <c r="PS20" s="40">
        <v>0</v>
      </c>
      <c r="PT20" s="42">
        <v>0</v>
      </c>
      <c r="PU20" s="47"/>
      <c r="PV20" s="45">
        <v>46.533999999999999</v>
      </c>
      <c r="PW20" s="40">
        <v>50</v>
      </c>
      <c r="PX20" s="40">
        <v>50.738999999999997</v>
      </c>
      <c r="PY20" s="40">
        <v>50</v>
      </c>
      <c r="PZ20" s="42">
        <v>-2.7270000000000039</v>
      </c>
      <c r="QA20" s="47"/>
      <c r="QB20" s="45">
        <v>102.593</v>
      </c>
      <c r="QC20" s="40">
        <v>100</v>
      </c>
      <c r="QD20" s="42">
        <v>2.593000000000004</v>
      </c>
      <c r="QE20" s="47"/>
      <c r="QF20" s="45">
        <v>0</v>
      </c>
      <c r="QG20" s="40">
        <v>0</v>
      </c>
      <c r="QH20" s="40">
        <v>0</v>
      </c>
      <c r="QI20" s="40">
        <v>0</v>
      </c>
      <c r="QJ20" s="42">
        <v>0</v>
      </c>
      <c r="QK20" s="47"/>
      <c r="QL20" s="45">
        <v>0</v>
      </c>
      <c r="QM20" s="40">
        <v>0</v>
      </c>
      <c r="QN20" s="40">
        <v>0</v>
      </c>
      <c r="QO20" s="40">
        <v>0</v>
      </c>
      <c r="QP20" s="42">
        <v>0</v>
      </c>
      <c r="QQ20" s="47"/>
      <c r="QR20" s="45">
        <v>0</v>
      </c>
      <c r="QS20" s="40">
        <v>0</v>
      </c>
      <c r="QT20" s="40">
        <v>0</v>
      </c>
      <c r="QU20" s="40">
        <v>0</v>
      </c>
      <c r="QV20" s="42">
        <v>0</v>
      </c>
      <c r="QW20" s="47"/>
      <c r="QX20" s="45">
        <v>0</v>
      </c>
      <c r="QY20" s="40">
        <v>0</v>
      </c>
      <c r="QZ20" s="40">
        <v>0</v>
      </c>
      <c r="RA20" s="40">
        <v>0</v>
      </c>
      <c r="RB20" s="42">
        <v>0</v>
      </c>
      <c r="RC20" s="47"/>
      <c r="RD20" s="45">
        <v>94.17</v>
      </c>
      <c r="RE20" s="40">
        <v>90</v>
      </c>
      <c r="RF20" s="42">
        <v>4.1700000000000017</v>
      </c>
      <c r="RG20" s="47"/>
    </row>
    <row r="21" spans="1:475" x14ac:dyDescent="0.25">
      <c r="A21" s="40" t="s">
        <v>310</v>
      </c>
      <c r="B21" s="41">
        <v>1</v>
      </c>
      <c r="N21" s="43"/>
      <c r="O21" s="48"/>
      <c r="P21" s="48"/>
      <c r="Q21" s="48"/>
      <c r="R21" s="48">
        <f t="shared" si="8"/>
        <v>0</v>
      </c>
      <c r="S21" s="44"/>
      <c r="T21" s="43"/>
      <c r="U21" s="48"/>
      <c r="V21" s="48"/>
      <c r="W21" s="48"/>
      <c r="X21" s="48">
        <f t="shared" si="9"/>
        <v>0</v>
      </c>
      <c r="Y21" s="44"/>
      <c r="Z21" s="43"/>
      <c r="AA21" s="48"/>
      <c r="AB21" s="48"/>
      <c r="AC21" s="48"/>
      <c r="AD21" s="48">
        <f t="shared" si="10"/>
        <v>0</v>
      </c>
      <c r="AE21" s="44"/>
      <c r="AF21" s="43"/>
      <c r="AG21" s="48"/>
      <c r="AH21" s="48"/>
      <c r="AI21" s="48"/>
      <c r="AJ21" s="48">
        <f t="shared" si="11"/>
        <v>0</v>
      </c>
      <c r="AK21" s="44"/>
      <c r="AL21" s="48"/>
      <c r="AP21" s="42">
        <v>0</v>
      </c>
      <c r="AQ21" s="44"/>
      <c r="AR21" s="43"/>
      <c r="AV21" s="42">
        <v>0</v>
      </c>
      <c r="AW21" s="44"/>
      <c r="BC21" s="42">
        <v>0</v>
      </c>
      <c r="BD21" s="44"/>
      <c r="BE21" s="43"/>
      <c r="BI21" s="42">
        <v>0</v>
      </c>
      <c r="BJ21" s="44"/>
      <c r="BO21" s="42">
        <v>0</v>
      </c>
      <c r="BP21" s="44"/>
      <c r="BS21" s="42">
        <v>0</v>
      </c>
      <c r="BT21" s="44"/>
      <c r="BU21" s="43"/>
      <c r="BY21" s="42">
        <v>0</v>
      </c>
      <c r="BZ21" s="44"/>
      <c r="CE21" s="42">
        <v>0</v>
      </c>
      <c r="CF21" s="44"/>
      <c r="CG21" s="43"/>
      <c r="CK21" s="42">
        <v>0</v>
      </c>
      <c r="CL21" s="44"/>
      <c r="CM21" s="43"/>
      <c r="CQ21" s="42">
        <v>0</v>
      </c>
      <c r="CR21" s="44"/>
      <c r="CW21" s="42">
        <v>0</v>
      </c>
      <c r="CX21" s="44"/>
      <c r="CY21" s="43"/>
      <c r="DC21" s="42">
        <v>0</v>
      </c>
      <c r="DD21" s="44"/>
      <c r="DE21" s="43"/>
      <c r="DK21" s="42">
        <v>0</v>
      </c>
      <c r="DL21" s="44"/>
      <c r="DM21" s="43"/>
      <c r="DQ21" s="42">
        <v>0</v>
      </c>
      <c r="DR21" s="44"/>
      <c r="DY21" s="42">
        <v>0</v>
      </c>
      <c r="DZ21" s="44"/>
      <c r="EA21" s="43"/>
      <c r="EE21" s="42">
        <v>0</v>
      </c>
      <c r="EF21" s="44"/>
      <c r="EG21" s="43"/>
      <c r="EK21" s="42">
        <v>0</v>
      </c>
      <c r="EL21" s="44"/>
      <c r="EM21" s="43"/>
      <c r="EQ21" s="42">
        <v>0</v>
      </c>
      <c r="ER21" s="44"/>
      <c r="EY21" s="42">
        <v>0</v>
      </c>
      <c r="EZ21" s="44"/>
      <c r="FE21" s="42">
        <v>0</v>
      </c>
      <c r="FF21" s="44"/>
      <c r="FG21" s="43"/>
      <c r="FK21" s="42">
        <v>0</v>
      </c>
      <c r="FL21" s="44"/>
      <c r="FM21" s="43"/>
      <c r="FO21" s="42">
        <v>0</v>
      </c>
      <c r="FP21" s="44"/>
      <c r="FU21" s="42">
        <v>0</v>
      </c>
      <c r="FV21" s="44"/>
      <c r="FW21" s="43"/>
      <c r="GC21" s="42">
        <v>0</v>
      </c>
      <c r="GD21" s="44"/>
      <c r="GI21" s="42">
        <v>0</v>
      </c>
      <c r="GJ21" s="44"/>
      <c r="GK21" s="43"/>
      <c r="GO21" s="42">
        <v>0</v>
      </c>
      <c r="GP21" s="47"/>
      <c r="GU21" s="42">
        <v>0</v>
      </c>
      <c r="GV21" s="44"/>
      <c r="GY21" s="42">
        <v>0</v>
      </c>
      <c r="GZ21" s="47"/>
      <c r="HA21" s="43"/>
      <c r="HC21" s="42">
        <v>0</v>
      </c>
      <c r="HD21" s="44"/>
      <c r="HE21" s="43"/>
      <c r="HI21" s="42">
        <v>0</v>
      </c>
      <c r="HJ21" s="47"/>
      <c r="HK21" s="43"/>
      <c r="HO21" s="42">
        <v>0</v>
      </c>
      <c r="HP21" s="44"/>
      <c r="HR21">
        <v>301</v>
      </c>
      <c r="HS21">
        <v>300</v>
      </c>
      <c r="HT21">
        <v>356</v>
      </c>
      <c r="HU21">
        <v>350</v>
      </c>
      <c r="HV21" s="42">
        <v>7</v>
      </c>
      <c r="HW21" s="44"/>
      <c r="HX21" s="46">
        <v>253</v>
      </c>
      <c r="HY21">
        <v>250</v>
      </c>
      <c r="HZ21">
        <v>229</v>
      </c>
      <c r="IA21">
        <v>230</v>
      </c>
      <c r="IB21" s="42">
        <v>2</v>
      </c>
      <c r="IC21" s="44"/>
      <c r="IF21">
        <v>167</v>
      </c>
      <c r="IG21">
        <v>170</v>
      </c>
      <c r="IH21" s="42">
        <v>-3</v>
      </c>
      <c r="II21" s="47"/>
      <c r="IL21">
        <v>129</v>
      </c>
      <c r="IM21">
        <v>128</v>
      </c>
      <c r="IN21" s="42">
        <v>1</v>
      </c>
      <c r="IO21" s="47"/>
      <c r="IP21">
        <v>220</v>
      </c>
      <c r="IQ21">
        <v>220</v>
      </c>
      <c r="IR21">
        <v>192</v>
      </c>
      <c r="IS21">
        <v>190</v>
      </c>
      <c r="IT21" s="42">
        <v>2</v>
      </c>
      <c r="IU21" s="47"/>
      <c r="IV21">
        <v>304</v>
      </c>
      <c r="IW21">
        <v>300</v>
      </c>
      <c r="IX21">
        <v>254</v>
      </c>
      <c r="IY21">
        <v>250</v>
      </c>
      <c r="IZ21" s="42">
        <v>8</v>
      </c>
      <c r="JA21" s="44"/>
      <c r="JB21">
        <v>195</v>
      </c>
      <c r="JC21">
        <v>200</v>
      </c>
      <c r="JD21" s="42">
        <v>-5</v>
      </c>
      <c r="JE21" s="44"/>
      <c r="JF21">
        <v>399</v>
      </c>
      <c r="JG21">
        <v>400</v>
      </c>
      <c r="JH21">
        <v>319</v>
      </c>
      <c r="JI21">
        <v>319</v>
      </c>
      <c r="JJ21" s="42">
        <v>-1</v>
      </c>
      <c r="JK21" s="44"/>
      <c r="JL21" s="46">
        <v>230</v>
      </c>
      <c r="JM21" s="40">
        <v>230</v>
      </c>
      <c r="JN21" s="42">
        <v>0</v>
      </c>
      <c r="JO21" s="44"/>
      <c r="JR21">
        <v>62</v>
      </c>
      <c r="JS21">
        <v>60</v>
      </c>
      <c r="JT21" s="42">
        <v>2</v>
      </c>
      <c r="JU21" s="44"/>
      <c r="JV21">
        <v>284</v>
      </c>
      <c r="JW21">
        <v>280</v>
      </c>
      <c r="JZ21" s="42">
        <v>4</v>
      </c>
      <c r="KA21" s="47"/>
      <c r="KB21">
        <v>304</v>
      </c>
      <c r="KC21">
        <v>300</v>
      </c>
      <c r="KD21">
        <v>561</v>
      </c>
      <c r="KE21">
        <v>560</v>
      </c>
      <c r="KF21" s="42">
        <v>5</v>
      </c>
      <c r="KG21" s="44"/>
      <c r="KH21">
        <v>102</v>
      </c>
      <c r="KI21">
        <v>100</v>
      </c>
      <c r="KJ21">
        <v>140</v>
      </c>
      <c r="KK21">
        <v>140</v>
      </c>
      <c r="KL21" s="42">
        <v>2</v>
      </c>
      <c r="KM21" s="47"/>
      <c r="KN21" s="46">
        <v>112</v>
      </c>
      <c r="KO21">
        <v>110</v>
      </c>
      <c r="KP21">
        <v>151</v>
      </c>
      <c r="KQ21">
        <v>150</v>
      </c>
      <c r="KR21">
        <v>108</v>
      </c>
      <c r="KS21">
        <v>110</v>
      </c>
      <c r="KT21" s="42">
        <v>1</v>
      </c>
      <c r="KU21" s="47"/>
      <c r="KV21" s="40">
        <v>303.60899999999998</v>
      </c>
      <c r="KW21" s="40">
        <v>300</v>
      </c>
      <c r="KX21" s="40">
        <v>396.548</v>
      </c>
      <c r="KY21" s="40">
        <v>400</v>
      </c>
      <c r="KZ21" s="42">
        <v>0.15699999999992539</v>
      </c>
      <c r="LA21" s="47"/>
      <c r="LB21" s="40">
        <v>100.36</v>
      </c>
      <c r="LC21" s="40">
        <v>100</v>
      </c>
      <c r="LD21" s="40">
        <v>106.324</v>
      </c>
      <c r="LE21" s="40">
        <v>110</v>
      </c>
      <c r="LF21" s="42">
        <v>-3.3160000000000029</v>
      </c>
      <c r="LG21" s="47"/>
      <c r="LH21" s="45">
        <v>231.23099999999999</v>
      </c>
      <c r="LI21" s="40">
        <v>230</v>
      </c>
      <c r="LJ21" s="42">
        <v>1.230999999999995</v>
      </c>
      <c r="LK21" s="47"/>
      <c r="LL21" s="15">
        <v>314.90699999999998</v>
      </c>
      <c r="LM21" s="40">
        <v>240</v>
      </c>
      <c r="LN21" s="40">
        <v>197.428</v>
      </c>
      <c r="LO21" s="40">
        <v>200</v>
      </c>
      <c r="LP21" s="29">
        <v>72.335000000000036</v>
      </c>
      <c r="LQ21" s="47"/>
      <c r="LR21" s="45">
        <v>278.80700000000002</v>
      </c>
      <c r="LS21" s="40">
        <v>280</v>
      </c>
      <c r="LT21" s="40">
        <v>355.28800000000001</v>
      </c>
      <c r="LU21" s="40">
        <v>350</v>
      </c>
      <c r="LV21" s="42">
        <v>4.0950000000000273</v>
      </c>
      <c r="LW21" s="47"/>
      <c r="LX21" s="45">
        <v>407.41399999999999</v>
      </c>
      <c r="LY21" s="40">
        <v>410</v>
      </c>
      <c r="LZ21" s="42">
        <v>-2.5860000000000132</v>
      </c>
      <c r="MA21" s="47"/>
      <c r="MB21" s="45">
        <v>149.548</v>
      </c>
      <c r="MC21" s="40">
        <v>150</v>
      </c>
      <c r="MD21" s="40">
        <v>381.392</v>
      </c>
      <c r="ME21" s="40">
        <v>380</v>
      </c>
      <c r="MF21" s="42">
        <v>0.94000000000005457</v>
      </c>
      <c r="MG21" s="47"/>
      <c r="MH21" s="45">
        <v>585.15899999999999</v>
      </c>
      <c r="MI21" s="40">
        <v>580</v>
      </c>
      <c r="MJ21" s="42">
        <v>5.1589999999999918</v>
      </c>
      <c r="MK21" s="47"/>
      <c r="ML21" s="45">
        <v>0</v>
      </c>
      <c r="MM21" s="40">
        <v>0</v>
      </c>
      <c r="MN21" s="40">
        <v>0</v>
      </c>
      <c r="MO21" s="40">
        <v>0</v>
      </c>
      <c r="MP21" s="42">
        <v>0</v>
      </c>
      <c r="MQ21" s="47"/>
      <c r="MR21" s="40">
        <v>179.267</v>
      </c>
      <c r="MS21" s="40">
        <v>180</v>
      </c>
      <c r="MT21" s="40">
        <v>553.26599999999996</v>
      </c>
      <c r="MU21" s="40">
        <v>550</v>
      </c>
      <c r="MV21" s="42">
        <v>2.5329999999999022</v>
      </c>
      <c r="MW21" s="47"/>
      <c r="MX21" s="45">
        <v>147.601</v>
      </c>
      <c r="MY21" s="40">
        <v>150</v>
      </c>
      <c r="MZ21" s="40">
        <v>399.87200000000001</v>
      </c>
      <c r="NA21" s="40">
        <v>400</v>
      </c>
      <c r="NB21" s="42">
        <v>-2.5270000000000441</v>
      </c>
      <c r="NC21" s="47"/>
      <c r="ND21" s="45">
        <v>50.652000000000001</v>
      </c>
      <c r="NE21" s="40">
        <v>150</v>
      </c>
      <c r="NF21" s="40">
        <v>253.815</v>
      </c>
      <c r="NG21" s="40">
        <v>250</v>
      </c>
      <c r="NH21" s="39">
        <v>-95.533000000000015</v>
      </c>
      <c r="NI21" s="47">
        <v>95.533000000000015</v>
      </c>
      <c r="NJ21" s="45">
        <v>203.47499999999999</v>
      </c>
      <c r="NK21" s="40">
        <v>200</v>
      </c>
      <c r="NL21" s="40">
        <v>257.98500000000001</v>
      </c>
      <c r="NM21" s="40">
        <v>260</v>
      </c>
      <c r="NN21" s="42">
        <v>1.4600000000000359</v>
      </c>
      <c r="NO21" s="47"/>
      <c r="NP21" s="45">
        <v>0</v>
      </c>
      <c r="NQ21" s="30">
        <v>120</v>
      </c>
      <c r="NR21" s="40">
        <v>271.83300000000003</v>
      </c>
      <c r="NS21" s="40">
        <v>280</v>
      </c>
      <c r="NT21" s="39">
        <v>-128.167</v>
      </c>
      <c r="NU21" s="47">
        <v>128.167</v>
      </c>
      <c r="NV21" s="45">
        <v>98.144999999999996</v>
      </c>
      <c r="NW21" s="40">
        <v>100</v>
      </c>
      <c r="NX21" s="40">
        <v>100.196</v>
      </c>
      <c r="NY21" s="40">
        <v>100</v>
      </c>
      <c r="NZ21" s="42">
        <v>-1.658999999999992</v>
      </c>
      <c r="OA21" s="47"/>
      <c r="OB21" s="45">
        <v>604.88</v>
      </c>
      <c r="OC21" s="40">
        <v>600</v>
      </c>
      <c r="OD21" s="42">
        <v>4.8799999999999946</v>
      </c>
      <c r="OE21" s="47"/>
      <c r="OF21" s="45">
        <v>0</v>
      </c>
      <c r="OG21" s="40">
        <v>0</v>
      </c>
      <c r="OH21" s="40">
        <v>297.55599999999998</v>
      </c>
      <c r="OI21" s="40">
        <v>300</v>
      </c>
      <c r="OJ21" s="42">
        <v>-2.4440000000000168</v>
      </c>
      <c r="OK21" s="47"/>
      <c r="OL21" s="45">
        <v>240.23099999999999</v>
      </c>
      <c r="OM21" s="40">
        <v>240</v>
      </c>
      <c r="ON21" s="40">
        <v>177.834</v>
      </c>
      <c r="OO21" s="40">
        <v>180</v>
      </c>
      <c r="OP21" s="42">
        <v>-1.9350000000000021</v>
      </c>
      <c r="OQ21" s="47"/>
      <c r="OR21" s="45">
        <v>251.148</v>
      </c>
      <c r="OS21" s="40">
        <v>250</v>
      </c>
      <c r="OT21" s="40">
        <v>253.167</v>
      </c>
      <c r="OU21" s="40">
        <v>250</v>
      </c>
      <c r="OV21" s="42">
        <v>4.3149999999999977</v>
      </c>
      <c r="OW21" s="47"/>
      <c r="OX21" s="40">
        <v>78.593000000000004</v>
      </c>
      <c r="OY21" s="40">
        <v>80</v>
      </c>
      <c r="OZ21" s="40">
        <v>117.82899999999999</v>
      </c>
      <c r="PA21" s="40">
        <v>120</v>
      </c>
      <c r="PB21" s="42">
        <v>-3.578000000000003</v>
      </c>
      <c r="PC21" s="47"/>
      <c r="PD21" s="45">
        <v>201.899</v>
      </c>
      <c r="PE21" s="40">
        <v>200</v>
      </c>
      <c r="PF21" s="40">
        <v>254.36500000000001</v>
      </c>
      <c r="PG21" s="40">
        <v>250</v>
      </c>
      <c r="PH21" s="42">
        <v>6.26400000000001</v>
      </c>
      <c r="PI21" s="47"/>
      <c r="PJ21" s="45">
        <v>253.39099999999999</v>
      </c>
      <c r="PK21" s="40">
        <v>250</v>
      </c>
      <c r="PL21" s="40">
        <v>343.05700000000002</v>
      </c>
      <c r="PM21" s="40">
        <v>342</v>
      </c>
      <c r="PN21" s="42">
        <v>4.4479999999999791</v>
      </c>
      <c r="PO21" s="47"/>
      <c r="PP21" s="43">
        <v>0</v>
      </c>
      <c r="PQ21" s="30">
        <v>200</v>
      </c>
      <c r="PR21" s="40">
        <v>305.65199999999999</v>
      </c>
      <c r="PS21" s="40">
        <v>300</v>
      </c>
      <c r="PT21" s="39">
        <v>-194.34800000000001</v>
      </c>
      <c r="PU21" s="47">
        <v>194.34800000000001</v>
      </c>
      <c r="PV21" s="45">
        <v>148.833</v>
      </c>
      <c r="PW21" s="40">
        <v>150</v>
      </c>
      <c r="PX21" s="40">
        <v>193.804</v>
      </c>
      <c r="PY21" s="40">
        <v>200</v>
      </c>
      <c r="PZ21" s="42">
        <v>-7.3630000000000004</v>
      </c>
      <c r="QA21" s="47"/>
      <c r="QB21" s="45">
        <v>427.48599999999999</v>
      </c>
      <c r="QC21" s="40">
        <v>430</v>
      </c>
      <c r="QD21" s="42">
        <v>-2.51400000000001</v>
      </c>
      <c r="QE21" s="47"/>
      <c r="QF21" s="45">
        <v>190.84</v>
      </c>
      <c r="QG21" s="40">
        <v>188</v>
      </c>
      <c r="QH21" s="40">
        <v>251.02199999999999</v>
      </c>
      <c r="QI21" s="40">
        <v>250</v>
      </c>
      <c r="QJ21" s="42">
        <v>3.8619999999999659</v>
      </c>
      <c r="QK21" s="47"/>
      <c r="QL21" s="45">
        <v>49.988</v>
      </c>
      <c r="QM21" s="40">
        <v>50</v>
      </c>
      <c r="QN21" s="40">
        <v>49.872</v>
      </c>
      <c r="QO21" s="40">
        <v>50</v>
      </c>
      <c r="QP21" s="42">
        <v>-0.1400000000000006</v>
      </c>
      <c r="QQ21" s="47"/>
      <c r="QR21" s="45">
        <v>250.62700000000001</v>
      </c>
      <c r="QS21" s="40">
        <v>250</v>
      </c>
      <c r="QT21" s="40">
        <v>179.88</v>
      </c>
      <c r="QU21" s="40">
        <v>350</v>
      </c>
      <c r="QV21" s="39">
        <v>-169.49299999999999</v>
      </c>
      <c r="QW21" s="47">
        <v>169.49299999999999</v>
      </c>
      <c r="QX21" s="45">
        <v>251.34200000000001</v>
      </c>
      <c r="QY21" s="40">
        <v>250</v>
      </c>
      <c r="QZ21" s="40">
        <v>347.18700000000001</v>
      </c>
      <c r="RA21" s="40">
        <v>350</v>
      </c>
      <c r="RB21" s="42">
        <v>-1.4710000000000041</v>
      </c>
      <c r="RC21" s="47"/>
      <c r="RD21" s="45">
        <v>152.61000000000001</v>
      </c>
      <c r="RE21" s="40">
        <v>150</v>
      </c>
      <c r="RF21" s="42">
        <v>2.6100000000000141</v>
      </c>
      <c r="RG21" s="47"/>
    </row>
    <row r="22" spans="1:475" x14ac:dyDescent="0.25">
      <c r="A22" s="40" t="s">
        <v>311</v>
      </c>
      <c r="B22" s="41">
        <v>1</v>
      </c>
      <c r="E22">
        <v>60</v>
      </c>
      <c r="I22">
        <v>40</v>
      </c>
      <c r="J22">
        <v>61</v>
      </c>
      <c r="K22">
        <v>60</v>
      </c>
      <c r="N22" s="43"/>
      <c r="O22" s="48"/>
      <c r="P22" s="49">
        <v>49</v>
      </c>
      <c r="Q22" s="49">
        <v>50</v>
      </c>
      <c r="R22" s="48">
        <f t="shared" si="8"/>
        <v>-1</v>
      </c>
      <c r="S22" s="44"/>
      <c r="T22" s="43"/>
      <c r="U22" s="48"/>
      <c r="V22" s="48"/>
      <c r="W22" s="48"/>
      <c r="X22" s="48">
        <f t="shared" si="9"/>
        <v>0</v>
      </c>
      <c r="Y22" s="44"/>
      <c r="Z22" s="46">
        <v>81</v>
      </c>
      <c r="AA22" s="49">
        <v>80</v>
      </c>
      <c r="AB22" s="49">
        <v>123</v>
      </c>
      <c r="AC22" s="49">
        <v>120</v>
      </c>
      <c r="AD22" s="48">
        <f t="shared" si="10"/>
        <v>4</v>
      </c>
      <c r="AE22" s="44"/>
      <c r="AF22" s="46">
        <v>49</v>
      </c>
      <c r="AG22" s="49">
        <v>46</v>
      </c>
      <c r="AH22" s="48"/>
      <c r="AI22" s="48"/>
      <c r="AJ22" s="48">
        <f t="shared" si="11"/>
        <v>3</v>
      </c>
      <c r="AK22" s="44"/>
      <c r="AL22" s="48"/>
      <c r="AN22">
        <v>81</v>
      </c>
      <c r="AO22">
        <v>80</v>
      </c>
      <c r="AP22" s="42">
        <v>1</v>
      </c>
      <c r="AQ22" s="44"/>
      <c r="AR22" s="46">
        <v>70</v>
      </c>
      <c r="AS22">
        <v>70</v>
      </c>
      <c r="AT22">
        <v>90</v>
      </c>
      <c r="AU22">
        <v>90</v>
      </c>
      <c r="AV22" s="42">
        <v>0</v>
      </c>
      <c r="AW22" s="44"/>
      <c r="AX22">
        <v>33</v>
      </c>
      <c r="AZ22">
        <v>30</v>
      </c>
      <c r="BC22" s="42">
        <v>3</v>
      </c>
      <c r="BD22" s="44"/>
      <c r="BE22" s="43"/>
      <c r="BI22" s="42">
        <v>0</v>
      </c>
      <c r="BJ22" s="44"/>
      <c r="BM22">
        <v>256</v>
      </c>
      <c r="BN22">
        <v>250</v>
      </c>
      <c r="BO22" s="42">
        <v>6</v>
      </c>
      <c r="BP22" s="44"/>
      <c r="BS22" s="42">
        <v>0</v>
      </c>
      <c r="BT22" s="44"/>
      <c r="BU22" s="46">
        <v>102</v>
      </c>
      <c r="BV22">
        <v>100</v>
      </c>
      <c r="BW22">
        <v>49</v>
      </c>
      <c r="BX22">
        <v>50</v>
      </c>
      <c r="BY22" s="42">
        <v>1</v>
      </c>
      <c r="BZ22" s="44"/>
      <c r="CA22">
        <v>50</v>
      </c>
      <c r="CB22">
        <v>50</v>
      </c>
      <c r="CC22">
        <v>83</v>
      </c>
      <c r="CD22">
        <v>80</v>
      </c>
      <c r="CE22" s="42">
        <v>3</v>
      </c>
      <c r="CF22" s="44"/>
      <c r="CG22" s="43"/>
      <c r="CI22">
        <v>49</v>
      </c>
      <c r="CJ22">
        <v>50</v>
      </c>
      <c r="CK22" s="42">
        <v>-1</v>
      </c>
      <c r="CL22" s="44"/>
      <c r="CM22" s="43"/>
      <c r="CO22">
        <v>33</v>
      </c>
      <c r="CP22">
        <v>30</v>
      </c>
      <c r="CQ22" s="42">
        <v>3</v>
      </c>
      <c r="CR22" s="44"/>
      <c r="CS22">
        <v>70</v>
      </c>
      <c r="CT22">
        <v>70</v>
      </c>
      <c r="CU22">
        <v>101</v>
      </c>
      <c r="CV22">
        <v>100</v>
      </c>
      <c r="CW22" s="42">
        <v>1</v>
      </c>
      <c r="CX22" s="44"/>
      <c r="CY22" s="43"/>
      <c r="DA22">
        <v>49</v>
      </c>
      <c r="DB22">
        <v>50</v>
      </c>
      <c r="DC22" s="42">
        <v>-1</v>
      </c>
      <c r="DD22" s="44"/>
      <c r="DE22" s="43"/>
      <c r="DI22">
        <v>117</v>
      </c>
      <c r="DJ22">
        <v>112</v>
      </c>
      <c r="DK22" s="42">
        <v>5</v>
      </c>
      <c r="DL22" s="44"/>
      <c r="DM22" s="43"/>
      <c r="DO22">
        <v>103</v>
      </c>
      <c r="DP22">
        <v>100</v>
      </c>
      <c r="DQ22" s="42">
        <v>3</v>
      </c>
      <c r="DR22" s="44"/>
      <c r="DU22">
        <v>90</v>
      </c>
      <c r="DV22">
        <v>90</v>
      </c>
      <c r="DY22" s="42">
        <v>0</v>
      </c>
      <c r="DZ22" s="44"/>
      <c r="EA22" s="43"/>
      <c r="EC22">
        <v>69</v>
      </c>
      <c r="ED22">
        <v>70</v>
      </c>
      <c r="EE22" s="42">
        <v>-1</v>
      </c>
      <c r="EF22" s="44"/>
      <c r="EG22" s="43"/>
      <c r="EI22">
        <v>33</v>
      </c>
      <c r="EJ22">
        <v>30</v>
      </c>
      <c r="EK22" s="42">
        <v>3</v>
      </c>
      <c r="EL22" s="44"/>
      <c r="EM22" s="46">
        <v>20</v>
      </c>
      <c r="EN22">
        <v>20</v>
      </c>
      <c r="EQ22" s="42">
        <v>0</v>
      </c>
      <c r="ER22" s="44"/>
      <c r="EW22">
        <v>131</v>
      </c>
      <c r="EX22">
        <v>130</v>
      </c>
      <c r="EY22" s="42">
        <v>1</v>
      </c>
      <c r="EZ22" s="44"/>
      <c r="FC22">
        <v>8</v>
      </c>
      <c r="FD22">
        <v>6</v>
      </c>
      <c r="FE22" s="42">
        <v>2</v>
      </c>
      <c r="FF22" s="44"/>
      <c r="FG22" s="43"/>
      <c r="FI22">
        <v>41</v>
      </c>
      <c r="FJ22">
        <v>40</v>
      </c>
      <c r="FK22" s="42">
        <v>1</v>
      </c>
      <c r="FL22" s="44"/>
      <c r="FM22" s="43"/>
      <c r="FO22" s="42">
        <v>0</v>
      </c>
      <c r="FP22" s="44"/>
      <c r="FS22">
        <v>77</v>
      </c>
      <c r="FT22">
        <v>75</v>
      </c>
      <c r="FU22" s="42">
        <v>2</v>
      </c>
      <c r="FV22" s="44"/>
      <c r="FW22" s="43"/>
      <c r="GA22">
        <v>100</v>
      </c>
      <c r="GB22">
        <v>100</v>
      </c>
      <c r="GC22" s="42">
        <v>0</v>
      </c>
      <c r="GD22" s="44"/>
      <c r="GG22">
        <v>20</v>
      </c>
      <c r="GH22">
        <v>20</v>
      </c>
      <c r="GI22" s="42">
        <v>0</v>
      </c>
      <c r="GJ22" s="44"/>
      <c r="GK22" s="43"/>
      <c r="GO22" s="42">
        <v>0</v>
      </c>
      <c r="GP22" s="47"/>
      <c r="GS22">
        <v>61</v>
      </c>
      <c r="GT22">
        <v>60</v>
      </c>
      <c r="GU22" s="42">
        <v>1</v>
      </c>
      <c r="GV22" s="44"/>
      <c r="GW22">
        <v>90</v>
      </c>
      <c r="GX22" s="40">
        <v>88.189599999999999</v>
      </c>
      <c r="GY22" s="42">
        <v>1.8104000000000009</v>
      </c>
      <c r="GZ22" s="47"/>
      <c r="HA22" s="43"/>
      <c r="HC22" s="42">
        <v>0</v>
      </c>
      <c r="HD22" s="44"/>
      <c r="HE22" s="43"/>
      <c r="HI22" s="42">
        <v>0</v>
      </c>
      <c r="HJ22" s="47"/>
      <c r="HK22" s="43"/>
      <c r="HM22">
        <v>171</v>
      </c>
      <c r="HN22">
        <v>170</v>
      </c>
      <c r="HO22" s="42">
        <v>1</v>
      </c>
      <c r="HP22" s="44"/>
      <c r="HT22">
        <v>50</v>
      </c>
      <c r="HU22">
        <v>50</v>
      </c>
      <c r="HV22" s="42">
        <v>0</v>
      </c>
      <c r="HW22" s="44"/>
      <c r="HX22" s="46">
        <v>151</v>
      </c>
      <c r="HY22">
        <v>150</v>
      </c>
      <c r="HZ22">
        <v>121</v>
      </c>
      <c r="IA22">
        <v>120</v>
      </c>
      <c r="IB22" s="42">
        <v>2</v>
      </c>
      <c r="IC22" s="44"/>
      <c r="IH22" s="42">
        <v>0</v>
      </c>
      <c r="II22" s="47"/>
      <c r="IJ22">
        <v>102</v>
      </c>
      <c r="IK22">
        <v>100</v>
      </c>
      <c r="IL22">
        <v>122</v>
      </c>
      <c r="IM22">
        <v>120</v>
      </c>
      <c r="IN22" s="42">
        <v>4</v>
      </c>
      <c r="IO22" s="47"/>
      <c r="IP22">
        <v>81</v>
      </c>
      <c r="IQ22">
        <v>80</v>
      </c>
      <c r="IR22">
        <v>32</v>
      </c>
      <c r="IS22">
        <v>30</v>
      </c>
      <c r="IT22" s="42">
        <v>3</v>
      </c>
      <c r="IU22" s="47"/>
      <c r="IX22">
        <v>41</v>
      </c>
      <c r="IY22">
        <v>40</v>
      </c>
      <c r="IZ22" s="42">
        <v>1</v>
      </c>
      <c r="JA22" s="44"/>
      <c r="JB22">
        <v>77</v>
      </c>
      <c r="JC22">
        <v>80</v>
      </c>
      <c r="JD22" s="42">
        <v>-3</v>
      </c>
      <c r="JE22" s="44"/>
      <c r="JF22">
        <v>143</v>
      </c>
      <c r="JG22">
        <v>140</v>
      </c>
      <c r="JH22">
        <v>111</v>
      </c>
      <c r="JI22">
        <v>110</v>
      </c>
      <c r="JJ22" s="42">
        <v>4</v>
      </c>
      <c r="JK22" s="44"/>
      <c r="JL22" s="46">
        <v>60</v>
      </c>
      <c r="JM22" s="40">
        <v>60</v>
      </c>
      <c r="JN22" s="42">
        <v>0</v>
      </c>
      <c r="JO22" s="44"/>
      <c r="JR22">
        <v>146</v>
      </c>
      <c r="JS22">
        <v>140</v>
      </c>
      <c r="JT22" s="42">
        <v>6</v>
      </c>
      <c r="JU22" s="44"/>
      <c r="JV22">
        <v>100</v>
      </c>
      <c r="JW22">
        <v>100</v>
      </c>
      <c r="JX22">
        <v>108</v>
      </c>
      <c r="JY22">
        <v>110</v>
      </c>
      <c r="JZ22" s="42">
        <v>-2</v>
      </c>
      <c r="KA22" s="47"/>
      <c r="KB22">
        <v>81</v>
      </c>
      <c r="KC22">
        <v>80</v>
      </c>
      <c r="KD22">
        <v>89</v>
      </c>
      <c r="KE22">
        <v>90</v>
      </c>
      <c r="KF22" s="42">
        <v>0</v>
      </c>
      <c r="KG22" s="44"/>
      <c r="KH22" s="41"/>
      <c r="KL22" s="42">
        <v>0</v>
      </c>
      <c r="KM22" s="47"/>
      <c r="KN22" s="46">
        <v>99</v>
      </c>
      <c r="KO22">
        <v>100</v>
      </c>
      <c r="KP22">
        <v>110</v>
      </c>
      <c r="KQ22">
        <v>110</v>
      </c>
      <c r="KR22">
        <v>88</v>
      </c>
      <c r="KS22">
        <v>90</v>
      </c>
      <c r="KT22" s="42">
        <v>-3</v>
      </c>
      <c r="KU22" s="47"/>
      <c r="KV22" s="40">
        <v>0</v>
      </c>
      <c r="KW22" s="40">
        <v>0</v>
      </c>
      <c r="KX22" s="40">
        <v>183.126</v>
      </c>
      <c r="KY22" s="40">
        <v>180</v>
      </c>
      <c r="KZ22" s="42">
        <v>3.1260000000000052</v>
      </c>
      <c r="LA22" s="47"/>
      <c r="LB22" s="40">
        <v>0</v>
      </c>
      <c r="LC22" s="40">
        <v>0</v>
      </c>
      <c r="LD22" s="40">
        <v>61.063000000000002</v>
      </c>
      <c r="LE22" s="40">
        <v>60</v>
      </c>
      <c r="LF22" s="42">
        <v>1.0630000000000019</v>
      </c>
      <c r="LG22" s="47"/>
      <c r="LH22" s="45">
        <v>56.783999999999999</v>
      </c>
      <c r="LI22" s="40">
        <v>60</v>
      </c>
      <c r="LJ22" s="42">
        <v>-3.2160000000000011</v>
      </c>
      <c r="LK22" s="47"/>
      <c r="LL22" s="45">
        <v>61.71</v>
      </c>
      <c r="LM22" s="40">
        <v>60</v>
      </c>
      <c r="LN22" s="40">
        <v>49.354999999999997</v>
      </c>
      <c r="LO22" s="40">
        <v>50</v>
      </c>
      <c r="LP22" s="42">
        <v>1.0649999999999979</v>
      </c>
      <c r="LQ22" s="47"/>
      <c r="LR22" s="45">
        <v>0</v>
      </c>
      <c r="LS22" s="40">
        <v>0</v>
      </c>
      <c r="LT22" s="40">
        <v>0</v>
      </c>
      <c r="LU22" s="40">
        <v>0</v>
      </c>
      <c r="LV22" s="42">
        <v>0</v>
      </c>
      <c r="LW22" s="47"/>
      <c r="LX22" s="45">
        <v>0</v>
      </c>
      <c r="LY22" s="40">
        <v>0</v>
      </c>
      <c r="LZ22" s="42">
        <v>0</v>
      </c>
      <c r="MA22" s="47"/>
      <c r="MB22" s="45">
        <v>207.36500000000001</v>
      </c>
      <c r="MC22" s="40">
        <v>200</v>
      </c>
      <c r="MD22" s="40">
        <v>382.47500000000002</v>
      </c>
      <c r="ME22" s="40">
        <v>370</v>
      </c>
      <c r="MF22" s="42">
        <v>19.840000000000028</v>
      </c>
      <c r="MG22" s="47"/>
      <c r="MH22" s="45">
        <v>0</v>
      </c>
      <c r="MI22" s="40">
        <v>0</v>
      </c>
      <c r="MJ22" s="42">
        <v>0</v>
      </c>
      <c r="MK22" s="47"/>
      <c r="ML22" s="45">
        <v>48.895000000000003</v>
      </c>
      <c r="MM22" s="40">
        <v>50</v>
      </c>
      <c r="MN22" s="40">
        <v>131.495</v>
      </c>
      <c r="MO22" s="40">
        <v>130</v>
      </c>
      <c r="MP22" s="42">
        <v>0.39000000000001478</v>
      </c>
      <c r="MQ22" s="47"/>
      <c r="MR22" s="40">
        <v>0</v>
      </c>
      <c r="MS22" s="40">
        <v>0</v>
      </c>
      <c r="MT22" s="40">
        <v>252.995</v>
      </c>
      <c r="MU22" s="40">
        <v>250</v>
      </c>
      <c r="MV22" s="42">
        <v>2.995000000000005</v>
      </c>
      <c r="MW22" s="47"/>
      <c r="MX22" s="45">
        <v>0</v>
      </c>
      <c r="MY22" s="40">
        <v>0</v>
      </c>
      <c r="MZ22" s="40">
        <v>24.594999999999999</v>
      </c>
      <c r="NA22" s="40">
        <v>25</v>
      </c>
      <c r="NB22" s="42">
        <v>-0.40500000000000108</v>
      </c>
      <c r="NC22" s="47"/>
      <c r="ND22" s="45">
        <v>0</v>
      </c>
      <c r="NE22" s="30">
        <v>50</v>
      </c>
      <c r="NF22" s="40">
        <v>79.05</v>
      </c>
      <c r="NG22" s="40">
        <v>75</v>
      </c>
      <c r="NH22" s="39">
        <v>-45.95</v>
      </c>
      <c r="NI22" s="47">
        <v>45.95</v>
      </c>
      <c r="NJ22" s="45">
        <v>82.905000000000001</v>
      </c>
      <c r="NK22" s="40">
        <v>80</v>
      </c>
      <c r="NL22" s="40">
        <v>91.16</v>
      </c>
      <c r="NM22" s="40">
        <v>90</v>
      </c>
      <c r="NN22" s="42">
        <v>4.0649999999999977</v>
      </c>
      <c r="NO22" s="47"/>
      <c r="NP22" s="45">
        <v>0</v>
      </c>
      <c r="NQ22" s="30">
        <v>120</v>
      </c>
      <c r="NR22" s="40">
        <v>185.08500000000001</v>
      </c>
      <c r="NS22" s="40">
        <v>180</v>
      </c>
      <c r="NT22" s="39">
        <v>-114.91500000000001</v>
      </c>
      <c r="NU22" s="47">
        <v>114.91500000000001</v>
      </c>
      <c r="NV22" s="45">
        <v>0</v>
      </c>
      <c r="NW22" s="40">
        <v>0</v>
      </c>
      <c r="NX22" s="40">
        <v>146.02000000000001</v>
      </c>
      <c r="NY22" s="40">
        <v>140</v>
      </c>
      <c r="NZ22" s="42">
        <v>6.0200000000000102</v>
      </c>
      <c r="OA22" s="47"/>
      <c r="OB22" s="45">
        <v>70.72</v>
      </c>
      <c r="OC22" s="40">
        <v>70</v>
      </c>
      <c r="OD22" s="42">
        <v>0.71999999999999886</v>
      </c>
      <c r="OE22" s="47"/>
      <c r="OF22" s="45">
        <v>0</v>
      </c>
      <c r="OG22" s="40">
        <v>0</v>
      </c>
      <c r="OH22" s="40">
        <v>70.405000000000001</v>
      </c>
      <c r="OI22" s="40">
        <v>70</v>
      </c>
      <c r="OJ22" s="42">
        <v>0.40500000000000108</v>
      </c>
      <c r="OK22" s="47"/>
      <c r="OL22" s="45">
        <v>242.19499999999999</v>
      </c>
      <c r="OM22" s="40">
        <v>240</v>
      </c>
      <c r="ON22" s="40">
        <v>164.12</v>
      </c>
      <c r="OO22" s="40">
        <v>160</v>
      </c>
      <c r="OP22" s="42">
        <v>6.3149999999999977</v>
      </c>
      <c r="OQ22" s="47"/>
      <c r="OR22" s="45">
        <v>0</v>
      </c>
      <c r="OS22" s="40">
        <v>0</v>
      </c>
      <c r="OT22" s="40">
        <v>77.816999999999993</v>
      </c>
      <c r="OU22" s="40">
        <v>75</v>
      </c>
      <c r="OV22" s="42">
        <v>2.8169999999999931</v>
      </c>
      <c r="OW22" s="47"/>
      <c r="OX22" s="40">
        <v>81.86</v>
      </c>
      <c r="OY22" s="40">
        <v>80</v>
      </c>
      <c r="OZ22" s="40">
        <v>68.965000000000003</v>
      </c>
      <c r="PA22" s="40">
        <v>70</v>
      </c>
      <c r="PB22" s="42">
        <v>0.82499999999998863</v>
      </c>
      <c r="PC22" s="47"/>
      <c r="PD22" s="45">
        <v>152.47</v>
      </c>
      <c r="PE22" s="40">
        <v>150</v>
      </c>
      <c r="PF22" s="40">
        <v>212.52</v>
      </c>
      <c r="PG22" s="40">
        <v>216</v>
      </c>
      <c r="PH22" s="42">
        <v>-1.0099999999999909</v>
      </c>
      <c r="PI22" s="47"/>
      <c r="PJ22" s="45">
        <v>0</v>
      </c>
      <c r="PK22" s="40">
        <v>0</v>
      </c>
      <c r="PL22" s="40">
        <v>20.65</v>
      </c>
      <c r="PM22" s="40">
        <v>20</v>
      </c>
      <c r="PN22" s="42">
        <v>0.64999999999999858</v>
      </c>
      <c r="PO22" s="47"/>
      <c r="PP22" s="43">
        <v>0</v>
      </c>
      <c r="PQ22" s="40">
        <v>0</v>
      </c>
      <c r="PR22" s="40">
        <v>131.08500000000001</v>
      </c>
      <c r="PS22" s="40">
        <v>130</v>
      </c>
      <c r="PT22" s="42">
        <v>1.085000000000008</v>
      </c>
      <c r="PU22" s="47"/>
      <c r="PV22" s="45">
        <v>147.43</v>
      </c>
      <c r="PW22" s="40">
        <v>150</v>
      </c>
      <c r="PX22" s="40">
        <v>151.38</v>
      </c>
      <c r="PY22" s="40">
        <v>150</v>
      </c>
      <c r="PZ22" s="42">
        <v>-1.1899999999999979</v>
      </c>
      <c r="QA22" s="47"/>
      <c r="QB22" s="45">
        <v>140.78</v>
      </c>
      <c r="QC22" s="40">
        <v>140</v>
      </c>
      <c r="QD22" s="42">
        <v>0.78000000000000114</v>
      </c>
      <c r="QE22" s="47"/>
      <c r="QF22" s="45">
        <v>85.015000000000001</v>
      </c>
      <c r="QG22" s="40">
        <v>86</v>
      </c>
      <c r="QH22" s="40">
        <v>85.4</v>
      </c>
      <c r="QI22" s="40">
        <v>100</v>
      </c>
      <c r="QJ22" s="39">
        <v>-15.58499999999998</v>
      </c>
      <c r="QK22" s="47">
        <v>15.58499999999998</v>
      </c>
      <c r="QL22" s="45">
        <v>61.39</v>
      </c>
      <c r="QM22" s="40">
        <v>60</v>
      </c>
      <c r="QN22" s="40">
        <v>82.004999999999995</v>
      </c>
      <c r="QO22" s="40">
        <v>80</v>
      </c>
      <c r="QP22" s="42">
        <v>3.3949999999999818</v>
      </c>
      <c r="QQ22" s="47"/>
      <c r="QR22" s="45">
        <v>49</v>
      </c>
      <c r="QS22" s="40">
        <v>50</v>
      </c>
      <c r="QT22" s="40">
        <v>0</v>
      </c>
      <c r="QU22" s="40">
        <v>0</v>
      </c>
      <c r="QV22" s="42">
        <v>-1</v>
      </c>
      <c r="QW22" s="47"/>
      <c r="QX22" s="45">
        <v>97.795000000000002</v>
      </c>
      <c r="QY22" s="40">
        <v>100</v>
      </c>
      <c r="QZ22" s="40">
        <v>150.39400000000001</v>
      </c>
      <c r="RA22" s="40">
        <v>150</v>
      </c>
      <c r="RB22" s="42">
        <v>-1.8109999999999791</v>
      </c>
      <c r="RC22" s="47"/>
      <c r="RD22" s="45">
        <v>240.67</v>
      </c>
      <c r="RE22" s="40">
        <v>236.99160000000001</v>
      </c>
      <c r="RF22" s="42">
        <v>3.678400000000011</v>
      </c>
      <c r="RG22" s="47"/>
    </row>
    <row r="23" spans="1:475" x14ac:dyDescent="0.25">
      <c r="A23" s="40" t="s">
        <v>312</v>
      </c>
      <c r="B23" s="41">
        <v>0.25</v>
      </c>
      <c r="E23">
        <v>200</v>
      </c>
      <c r="F23">
        <v>200</v>
      </c>
      <c r="I23">
        <v>100</v>
      </c>
      <c r="J23">
        <v>88</v>
      </c>
      <c r="K23">
        <v>88</v>
      </c>
      <c r="N23" s="43"/>
      <c r="O23" s="48"/>
      <c r="P23" s="48"/>
      <c r="Q23" s="48"/>
      <c r="R23" s="48">
        <f t="shared" si="8"/>
        <v>0</v>
      </c>
      <c r="S23" s="44"/>
      <c r="T23" s="46">
        <v>296</v>
      </c>
      <c r="U23" s="49">
        <v>300</v>
      </c>
      <c r="V23" s="49">
        <v>296</v>
      </c>
      <c r="W23" s="49">
        <v>300</v>
      </c>
      <c r="X23" s="48">
        <f t="shared" si="9"/>
        <v>-8</v>
      </c>
      <c r="Y23" s="44"/>
      <c r="Z23" s="46">
        <v>96</v>
      </c>
      <c r="AA23" s="49">
        <v>100</v>
      </c>
      <c r="AB23" s="49">
        <v>56</v>
      </c>
      <c r="AC23" s="49">
        <v>60</v>
      </c>
      <c r="AD23" s="48">
        <f t="shared" si="10"/>
        <v>-8</v>
      </c>
      <c r="AE23" s="44"/>
      <c r="AF23" s="43"/>
      <c r="AG23" s="48"/>
      <c r="AH23" s="48"/>
      <c r="AI23" s="48"/>
      <c r="AJ23" s="48">
        <f t="shared" si="11"/>
        <v>0</v>
      </c>
      <c r="AK23" s="44"/>
      <c r="AL23" s="49">
        <v>248</v>
      </c>
      <c r="AM23">
        <v>250</v>
      </c>
      <c r="AN23">
        <v>256</v>
      </c>
      <c r="AO23">
        <v>258</v>
      </c>
      <c r="AP23" s="42">
        <v>-4</v>
      </c>
      <c r="AQ23" s="44"/>
      <c r="AR23" s="43"/>
      <c r="AT23">
        <v>8</v>
      </c>
      <c r="AU23">
        <v>13</v>
      </c>
      <c r="AV23" s="42">
        <v>-5</v>
      </c>
      <c r="AW23" s="44"/>
      <c r="AX23">
        <v>96</v>
      </c>
      <c r="AZ23">
        <v>100</v>
      </c>
      <c r="BC23" s="42">
        <v>-4</v>
      </c>
      <c r="BD23" s="44"/>
      <c r="BE23" s="43"/>
      <c r="BI23" s="42">
        <v>0</v>
      </c>
      <c r="BJ23" s="44"/>
      <c r="BK23">
        <v>352</v>
      </c>
      <c r="BL23">
        <v>350</v>
      </c>
      <c r="BM23">
        <v>352</v>
      </c>
      <c r="BN23">
        <v>350</v>
      </c>
      <c r="BO23" s="42">
        <v>4</v>
      </c>
      <c r="BP23" s="44"/>
      <c r="BQ23">
        <v>96</v>
      </c>
      <c r="BR23">
        <v>100</v>
      </c>
      <c r="BS23" s="42">
        <v>-4</v>
      </c>
      <c r="BT23" s="44"/>
      <c r="BU23" s="46">
        <v>128</v>
      </c>
      <c r="BV23">
        <v>128</v>
      </c>
      <c r="BW23">
        <v>296</v>
      </c>
      <c r="BX23">
        <v>296</v>
      </c>
      <c r="BY23" s="42">
        <v>0</v>
      </c>
      <c r="BZ23" s="44"/>
      <c r="CA23">
        <v>192</v>
      </c>
      <c r="CB23">
        <v>200</v>
      </c>
      <c r="CC23">
        <v>240</v>
      </c>
      <c r="CD23">
        <v>250</v>
      </c>
      <c r="CE23" s="39">
        <v>-18</v>
      </c>
      <c r="CF23" s="44">
        <v>4.5</v>
      </c>
      <c r="CG23" s="46">
        <v>48</v>
      </c>
      <c r="CH23">
        <v>50</v>
      </c>
      <c r="CI23">
        <v>96</v>
      </c>
      <c r="CJ23">
        <v>100</v>
      </c>
      <c r="CK23" s="42">
        <v>-6</v>
      </c>
      <c r="CL23" s="44"/>
      <c r="CM23" s="43"/>
      <c r="CO23">
        <v>448</v>
      </c>
      <c r="CP23">
        <v>450</v>
      </c>
      <c r="CQ23" s="42">
        <v>-2</v>
      </c>
      <c r="CR23" s="44"/>
      <c r="CS23">
        <v>48</v>
      </c>
      <c r="CT23">
        <v>50</v>
      </c>
      <c r="CU23">
        <v>96</v>
      </c>
      <c r="CV23">
        <v>100</v>
      </c>
      <c r="CW23" s="42">
        <v>-6</v>
      </c>
      <c r="CX23" s="44"/>
      <c r="CY23" s="46">
        <v>96</v>
      </c>
      <c r="CZ23">
        <v>96</v>
      </c>
      <c r="DA23">
        <v>32</v>
      </c>
      <c r="DB23">
        <v>37</v>
      </c>
      <c r="DC23" s="42">
        <v>-5</v>
      </c>
      <c r="DD23" s="44"/>
      <c r="DE23" s="43"/>
      <c r="DI23">
        <v>296</v>
      </c>
      <c r="DJ23">
        <v>297</v>
      </c>
      <c r="DK23" s="42">
        <v>-1</v>
      </c>
      <c r="DL23" s="44"/>
      <c r="DM23" s="46">
        <v>120</v>
      </c>
      <c r="DN23">
        <v>120</v>
      </c>
      <c r="DO23">
        <v>176</v>
      </c>
      <c r="DP23">
        <v>180</v>
      </c>
      <c r="DQ23" s="42">
        <v>-4</v>
      </c>
      <c r="DR23" s="44"/>
      <c r="DU23">
        <v>296</v>
      </c>
      <c r="DV23">
        <v>300</v>
      </c>
      <c r="DY23" s="42">
        <v>-4</v>
      </c>
      <c r="DZ23" s="44"/>
      <c r="EA23" s="46">
        <v>96</v>
      </c>
      <c r="EB23">
        <v>100</v>
      </c>
      <c r="EC23">
        <v>312</v>
      </c>
      <c r="ED23">
        <v>313</v>
      </c>
      <c r="EE23" s="42">
        <v>-5</v>
      </c>
      <c r="EF23" s="44"/>
      <c r="EG23" s="46">
        <v>96</v>
      </c>
      <c r="EH23">
        <v>100</v>
      </c>
      <c r="EI23">
        <v>200</v>
      </c>
      <c r="EJ23">
        <v>200</v>
      </c>
      <c r="EK23" s="42">
        <v>-4</v>
      </c>
      <c r="EL23" s="44"/>
      <c r="EM23" s="46">
        <v>120</v>
      </c>
      <c r="EN23">
        <v>120</v>
      </c>
      <c r="EQ23" s="42">
        <v>0</v>
      </c>
      <c r="ER23" s="44"/>
      <c r="ES23">
        <v>80</v>
      </c>
      <c r="ET23">
        <v>80</v>
      </c>
      <c r="EU23">
        <v>80</v>
      </c>
      <c r="EV23">
        <v>80</v>
      </c>
      <c r="EW23">
        <v>96</v>
      </c>
      <c r="EX23">
        <v>100</v>
      </c>
      <c r="EY23" s="42">
        <v>-4</v>
      </c>
      <c r="EZ23" s="44"/>
      <c r="FC23">
        <v>296</v>
      </c>
      <c r="FD23">
        <v>300</v>
      </c>
      <c r="FE23" s="42">
        <v>-4</v>
      </c>
      <c r="FF23" s="44"/>
      <c r="FG23" s="43"/>
      <c r="FI23">
        <v>200</v>
      </c>
      <c r="FJ23">
        <v>200</v>
      </c>
      <c r="FK23" s="42">
        <v>0</v>
      </c>
      <c r="FL23" s="44"/>
      <c r="FM23" s="46">
        <v>232</v>
      </c>
      <c r="FN23">
        <v>234</v>
      </c>
      <c r="FO23" s="42">
        <v>-2</v>
      </c>
      <c r="FP23" s="44"/>
      <c r="FS23">
        <v>248</v>
      </c>
      <c r="FT23">
        <v>250</v>
      </c>
      <c r="FU23" s="42">
        <v>-2</v>
      </c>
      <c r="FV23" s="44"/>
      <c r="FW23" s="46">
        <v>72</v>
      </c>
      <c r="FX23">
        <v>70</v>
      </c>
      <c r="FZ23">
        <v>100</v>
      </c>
      <c r="GA23">
        <v>96</v>
      </c>
      <c r="GB23">
        <v>100</v>
      </c>
      <c r="GC23" s="39">
        <v>-102</v>
      </c>
      <c r="GD23" s="44">
        <v>25.5</v>
      </c>
      <c r="GE23">
        <v>160</v>
      </c>
      <c r="GF23">
        <v>160</v>
      </c>
      <c r="GG23">
        <v>200</v>
      </c>
      <c r="GH23">
        <v>202</v>
      </c>
      <c r="GI23" s="42">
        <v>-2</v>
      </c>
      <c r="GJ23" s="44"/>
      <c r="GK23" s="43"/>
      <c r="GM23">
        <v>40</v>
      </c>
      <c r="GN23">
        <v>41</v>
      </c>
      <c r="GO23" s="42">
        <v>-1</v>
      </c>
      <c r="GP23" s="47"/>
      <c r="GQ23">
        <v>80</v>
      </c>
      <c r="GR23">
        <v>90</v>
      </c>
      <c r="GS23">
        <v>96</v>
      </c>
      <c r="GT23">
        <v>100</v>
      </c>
      <c r="GU23" s="39">
        <v>-14</v>
      </c>
      <c r="GV23" s="44">
        <v>3.5</v>
      </c>
      <c r="GY23" s="42">
        <v>0</v>
      </c>
      <c r="GZ23" s="47"/>
      <c r="HA23" s="43"/>
      <c r="HC23" s="42">
        <v>0</v>
      </c>
      <c r="HD23" s="44"/>
      <c r="HE23" s="46">
        <v>296</v>
      </c>
      <c r="HF23">
        <v>300</v>
      </c>
      <c r="HG23">
        <v>400</v>
      </c>
      <c r="HH23">
        <v>400</v>
      </c>
      <c r="HI23" s="42">
        <v>-4</v>
      </c>
      <c r="HJ23" s="47"/>
      <c r="HK23" s="43"/>
      <c r="HO23" s="42">
        <v>0</v>
      </c>
      <c r="HP23" s="44"/>
      <c r="HT23">
        <v>32</v>
      </c>
      <c r="HU23">
        <v>32</v>
      </c>
      <c r="HV23" s="42">
        <v>0</v>
      </c>
      <c r="HW23" s="44"/>
      <c r="HX23" s="46">
        <v>328</v>
      </c>
      <c r="HY23">
        <v>330</v>
      </c>
      <c r="HZ23">
        <v>296</v>
      </c>
      <c r="IA23">
        <v>300</v>
      </c>
      <c r="IB23" s="42">
        <v>-6</v>
      </c>
      <c r="IC23" s="44"/>
      <c r="IH23" s="42">
        <v>0</v>
      </c>
      <c r="II23" s="47"/>
      <c r="IN23" s="42">
        <v>0</v>
      </c>
      <c r="IO23" s="47"/>
      <c r="IP23">
        <v>200</v>
      </c>
      <c r="IQ23">
        <v>200</v>
      </c>
      <c r="IR23">
        <v>168</v>
      </c>
      <c r="IS23">
        <v>170</v>
      </c>
      <c r="IT23" s="42">
        <v>-2</v>
      </c>
      <c r="IU23" s="47"/>
      <c r="IX23">
        <v>96</v>
      </c>
      <c r="IY23">
        <v>100</v>
      </c>
      <c r="IZ23" s="42">
        <v>-4</v>
      </c>
      <c r="JA23" s="44"/>
      <c r="JB23">
        <v>104</v>
      </c>
      <c r="JC23">
        <v>110</v>
      </c>
      <c r="JD23" s="42">
        <v>-6</v>
      </c>
      <c r="JE23" s="44"/>
      <c r="JF23">
        <v>192</v>
      </c>
      <c r="JG23">
        <v>190</v>
      </c>
      <c r="JH23">
        <v>152</v>
      </c>
      <c r="JI23">
        <v>155</v>
      </c>
      <c r="JJ23" s="42">
        <v>-1</v>
      </c>
      <c r="JK23" s="44"/>
      <c r="JL23" s="46">
        <v>128</v>
      </c>
      <c r="JM23" s="40">
        <v>130</v>
      </c>
      <c r="JN23" s="42">
        <v>-2</v>
      </c>
      <c r="JO23" s="44"/>
      <c r="JP23">
        <v>96</v>
      </c>
      <c r="JQ23">
        <v>100</v>
      </c>
      <c r="JR23">
        <v>296</v>
      </c>
      <c r="JS23">
        <v>300</v>
      </c>
      <c r="JT23" s="42">
        <v>-8</v>
      </c>
      <c r="JU23" s="44"/>
      <c r="JV23">
        <v>216</v>
      </c>
      <c r="JW23">
        <v>221</v>
      </c>
      <c r="JZ23" s="42">
        <v>-5</v>
      </c>
      <c r="KA23" s="47"/>
      <c r="KB23">
        <v>248</v>
      </c>
      <c r="KC23">
        <v>250</v>
      </c>
      <c r="KF23" s="42">
        <v>-2</v>
      </c>
      <c r="KG23" s="44"/>
      <c r="KH23">
        <v>296</v>
      </c>
      <c r="KI23">
        <v>300</v>
      </c>
      <c r="KJ23">
        <v>112</v>
      </c>
      <c r="KK23">
        <v>110</v>
      </c>
      <c r="KL23" s="42">
        <v>-2</v>
      </c>
      <c r="KM23" s="47"/>
      <c r="KN23" s="45"/>
      <c r="KR23">
        <v>48</v>
      </c>
      <c r="KT23" s="42">
        <v>48</v>
      </c>
      <c r="KU23" s="47"/>
      <c r="KV23" s="40">
        <v>296</v>
      </c>
      <c r="KW23" s="40">
        <v>300</v>
      </c>
      <c r="KX23" s="40">
        <v>368</v>
      </c>
      <c r="KY23" s="40">
        <v>370</v>
      </c>
      <c r="KZ23" s="42">
        <v>-6</v>
      </c>
      <c r="LA23" s="47"/>
      <c r="LB23" s="40">
        <v>40</v>
      </c>
      <c r="LC23" s="40">
        <v>40</v>
      </c>
      <c r="LD23" s="40">
        <v>64</v>
      </c>
      <c r="LE23" s="40">
        <v>98</v>
      </c>
      <c r="LF23" s="39">
        <v>-34</v>
      </c>
      <c r="LG23" s="47">
        <v>8.5</v>
      </c>
      <c r="LH23" s="45">
        <v>0</v>
      </c>
      <c r="LI23" s="40">
        <v>170</v>
      </c>
      <c r="LJ23" s="39">
        <v>-170</v>
      </c>
      <c r="LK23" s="47">
        <v>42.5</v>
      </c>
      <c r="LL23" s="45">
        <v>0</v>
      </c>
      <c r="LM23" s="40">
        <v>0</v>
      </c>
      <c r="LN23" s="40">
        <v>0</v>
      </c>
      <c r="LO23" s="40">
        <v>0</v>
      </c>
      <c r="LP23" s="42">
        <v>0</v>
      </c>
      <c r="LQ23" s="47"/>
      <c r="LR23" s="45">
        <v>160</v>
      </c>
      <c r="LS23" s="40">
        <v>160</v>
      </c>
      <c r="LT23" s="40">
        <v>0</v>
      </c>
      <c r="LU23" s="40">
        <v>0</v>
      </c>
      <c r="LV23" s="42">
        <v>0</v>
      </c>
      <c r="LW23" s="47"/>
      <c r="LX23" s="45">
        <v>120</v>
      </c>
      <c r="LY23" s="40">
        <v>120</v>
      </c>
      <c r="LZ23" s="42">
        <v>0</v>
      </c>
      <c r="MA23" s="47"/>
      <c r="MB23" s="45">
        <v>0</v>
      </c>
      <c r="MC23" s="40">
        <v>0</v>
      </c>
      <c r="MD23" s="40">
        <v>400</v>
      </c>
      <c r="ME23" s="40">
        <v>400</v>
      </c>
      <c r="MF23" s="42">
        <v>0</v>
      </c>
      <c r="MG23" s="47"/>
      <c r="MH23" s="45">
        <v>400</v>
      </c>
      <c r="MI23" s="40">
        <v>400</v>
      </c>
      <c r="MJ23" s="42">
        <v>0</v>
      </c>
      <c r="MK23" s="47"/>
      <c r="ML23" s="45">
        <v>0</v>
      </c>
      <c r="MM23" s="40">
        <v>0</v>
      </c>
      <c r="MN23" s="40">
        <v>0</v>
      </c>
      <c r="MO23" s="40">
        <v>0</v>
      </c>
      <c r="MP23" s="42">
        <v>0</v>
      </c>
      <c r="MQ23" s="47"/>
      <c r="MR23" s="40">
        <v>0</v>
      </c>
      <c r="MS23" s="40">
        <v>0</v>
      </c>
      <c r="MT23" s="40">
        <v>648</v>
      </c>
      <c r="MU23" s="40">
        <v>650</v>
      </c>
      <c r="MV23" s="42">
        <v>-2</v>
      </c>
      <c r="MW23" s="47"/>
      <c r="MX23" s="45">
        <v>0</v>
      </c>
      <c r="MY23" s="40">
        <v>0</v>
      </c>
      <c r="MZ23" s="40">
        <v>96</v>
      </c>
      <c r="NA23" s="40">
        <v>100</v>
      </c>
      <c r="NB23" s="42">
        <v>-4</v>
      </c>
      <c r="NC23" s="47"/>
      <c r="ND23" s="45">
        <v>0</v>
      </c>
      <c r="NE23" s="30">
        <v>200</v>
      </c>
      <c r="NF23" s="40">
        <v>0</v>
      </c>
      <c r="NG23" s="40">
        <v>0</v>
      </c>
      <c r="NH23" s="39">
        <v>-200</v>
      </c>
      <c r="NI23" s="47">
        <v>50</v>
      </c>
      <c r="NJ23" s="45">
        <v>248</v>
      </c>
      <c r="NK23" s="40">
        <v>250</v>
      </c>
      <c r="NL23" s="40">
        <v>248</v>
      </c>
      <c r="NM23" s="40">
        <v>250</v>
      </c>
      <c r="NN23" s="42">
        <v>-4</v>
      </c>
      <c r="NO23" s="47"/>
      <c r="NP23" s="45">
        <v>96</v>
      </c>
      <c r="NQ23" s="40">
        <v>120</v>
      </c>
      <c r="NR23" s="40">
        <v>176</v>
      </c>
      <c r="NS23" s="40">
        <v>180</v>
      </c>
      <c r="NT23" s="39">
        <v>-28</v>
      </c>
      <c r="NU23" s="47">
        <v>7</v>
      </c>
      <c r="NV23" s="45">
        <v>0</v>
      </c>
      <c r="NW23" s="40">
        <v>0</v>
      </c>
      <c r="NX23" s="40">
        <v>112</v>
      </c>
      <c r="NY23" s="40">
        <v>110</v>
      </c>
      <c r="NZ23" s="42">
        <v>2</v>
      </c>
      <c r="OA23" s="47"/>
      <c r="OB23" s="45">
        <v>496</v>
      </c>
      <c r="OC23" s="40">
        <v>500</v>
      </c>
      <c r="OD23" s="42">
        <v>-4</v>
      </c>
      <c r="OE23" s="47"/>
      <c r="OF23" s="45">
        <v>184</v>
      </c>
      <c r="OG23" s="40">
        <v>185</v>
      </c>
      <c r="OH23" s="40">
        <v>184</v>
      </c>
      <c r="OI23" s="40">
        <v>185</v>
      </c>
      <c r="OJ23" s="42">
        <v>-2</v>
      </c>
      <c r="OK23" s="47"/>
      <c r="OL23" s="45">
        <v>80</v>
      </c>
      <c r="OM23" s="40">
        <v>80</v>
      </c>
      <c r="ON23" s="40">
        <v>72</v>
      </c>
      <c r="OO23" s="40">
        <v>70</v>
      </c>
      <c r="OP23" s="42">
        <v>2</v>
      </c>
      <c r="OQ23" s="47"/>
      <c r="OR23" s="45">
        <v>240</v>
      </c>
      <c r="OS23" s="40">
        <v>250</v>
      </c>
      <c r="OT23" s="40">
        <v>248</v>
      </c>
      <c r="OU23" s="40">
        <v>250</v>
      </c>
      <c r="OV23" s="39">
        <v>-12</v>
      </c>
      <c r="OW23" s="47">
        <v>3</v>
      </c>
      <c r="OX23" s="40">
        <v>248</v>
      </c>
      <c r="OY23" s="40">
        <v>250</v>
      </c>
      <c r="OZ23" s="40">
        <v>248</v>
      </c>
      <c r="PA23" s="40">
        <v>250</v>
      </c>
      <c r="PB23" s="42">
        <v>-4</v>
      </c>
      <c r="PC23" s="47"/>
      <c r="PD23" s="45">
        <v>0</v>
      </c>
      <c r="PE23" s="40">
        <v>0</v>
      </c>
      <c r="PF23" s="40">
        <v>0</v>
      </c>
      <c r="PG23" s="40">
        <v>0</v>
      </c>
      <c r="PH23" s="42">
        <v>0</v>
      </c>
      <c r="PI23" s="47"/>
      <c r="PJ23" s="45">
        <v>352</v>
      </c>
      <c r="PK23" s="40">
        <v>350</v>
      </c>
      <c r="PL23" s="40">
        <v>352</v>
      </c>
      <c r="PM23" s="40">
        <v>350</v>
      </c>
      <c r="PN23" s="42">
        <v>4</v>
      </c>
      <c r="PO23" s="47"/>
      <c r="PP23" s="43">
        <v>152</v>
      </c>
      <c r="PQ23" s="40">
        <v>150</v>
      </c>
      <c r="PR23" s="40">
        <v>152</v>
      </c>
      <c r="PS23" s="40">
        <v>150</v>
      </c>
      <c r="PT23" s="42">
        <v>4</v>
      </c>
      <c r="PU23" s="47"/>
      <c r="PV23" s="45">
        <v>96</v>
      </c>
      <c r="PW23" s="40">
        <v>100</v>
      </c>
      <c r="PX23" s="40">
        <v>96</v>
      </c>
      <c r="PY23" s="40">
        <v>100</v>
      </c>
      <c r="PZ23" s="42">
        <v>-8</v>
      </c>
      <c r="QA23" s="47"/>
      <c r="QB23" s="45">
        <v>0</v>
      </c>
      <c r="QC23" s="40">
        <v>0</v>
      </c>
      <c r="QD23" s="42">
        <v>0</v>
      </c>
      <c r="QE23" s="47"/>
      <c r="QF23" s="45">
        <v>48</v>
      </c>
      <c r="QG23" s="40">
        <v>50</v>
      </c>
      <c r="QH23" s="40">
        <v>48</v>
      </c>
      <c r="QI23" s="40">
        <v>50</v>
      </c>
      <c r="QJ23" s="42">
        <v>-4</v>
      </c>
      <c r="QK23" s="47"/>
      <c r="QL23" s="45">
        <v>496</v>
      </c>
      <c r="QM23" s="40">
        <v>500</v>
      </c>
      <c r="QN23" s="40">
        <v>696</v>
      </c>
      <c r="QO23" s="40">
        <v>700</v>
      </c>
      <c r="QP23" s="42">
        <v>-8</v>
      </c>
      <c r="QQ23" s="47"/>
      <c r="QR23" s="45">
        <v>56</v>
      </c>
      <c r="QS23" s="40">
        <v>54</v>
      </c>
      <c r="QT23" s="40">
        <v>0</v>
      </c>
      <c r="QU23" s="40">
        <v>100</v>
      </c>
      <c r="QV23" s="39">
        <v>-98</v>
      </c>
      <c r="QW23" s="47">
        <v>24.5</v>
      </c>
      <c r="QX23" s="45">
        <v>152</v>
      </c>
      <c r="QY23" s="40">
        <v>150</v>
      </c>
      <c r="QZ23" s="40">
        <v>144</v>
      </c>
      <c r="RA23" s="40">
        <v>150</v>
      </c>
      <c r="RB23" s="42">
        <v>-4</v>
      </c>
      <c r="RC23" s="47"/>
      <c r="RD23" s="45">
        <v>1000</v>
      </c>
      <c r="RE23" s="40">
        <v>1000</v>
      </c>
      <c r="RF23" s="42">
        <v>0</v>
      </c>
      <c r="RG23" s="47"/>
    </row>
    <row r="24" spans="1:475" x14ac:dyDescent="0.25">
      <c r="A24" s="40" t="s">
        <v>313</v>
      </c>
      <c r="B24" s="41">
        <v>0.4</v>
      </c>
      <c r="E24">
        <v>100</v>
      </c>
      <c r="F24">
        <v>100</v>
      </c>
      <c r="I24">
        <v>70</v>
      </c>
      <c r="J24">
        <v>54</v>
      </c>
      <c r="K24">
        <v>52</v>
      </c>
      <c r="N24" s="43"/>
      <c r="O24" s="49">
        <v>60</v>
      </c>
      <c r="P24" s="49">
        <v>42</v>
      </c>
      <c r="Q24" s="49">
        <v>40</v>
      </c>
      <c r="R24" s="53">
        <f t="shared" si="8"/>
        <v>-58</v>
      </c>
      <c r="S24" s="44">
        <f>-1*R24*B24</f>
        <v>23.200000000000003</v>
      </c>
      <c r="T24" s="46">
        <v>60</v>
      </c>
      <c r="U24" s="49">
        <v>60</v>
      </c>
      <c r="V24" s="49">
        <v>60</v>
      </c>
      <c r="W24" s="49">
        <v>60</v>
      </c>
      <c r="X24" s="48">
        <f t="shared" si="9"/>
        <v>0</v>
      </c>
      <c r="Y24" s="44"/>
      <c r="Z24" s="46">
        <v>72</v>
      </c>
      <c r="AA24" s="49">
        <v>70</v>
      </c>
      <c r="AB24" s="49">
        <v>78</v>
      </c>
      <c r="AC24" s="49">
        <v>80</v>
      </c>
      <c r="AD24" s="48">
        <f t="shared" si="10"/>
        <v>0</v>
      </c>
      <c r="AE24" s="44"/>
      <c r="AF24" s="46">
        <v>60</v>
      </c>
      <c r="AG24" s="49">
        <v>60</v>
      </c>
      <c r="AH24" s="49">
        <v>90</v>
      </c>
      <c r="AI24" s="49">
        <v>90</v>
      </c>
      <c r="AJ24" s="48">
        <f t="shared" si="11"/>
        <v>0</v>
      </c>
      <c r="AK24" s="44"/>
      <c r="AL24" s="48"/>
      <c r="AN24">
        <v>72</v>
      </c>
      <c r="AO24">
        <v>70</v>
      </c>
      <c r="AP24" s="42">
        <v>2</v>
      </c>
      <c r="AQ24" s="44"/>
      <c r="AR24" s="46">
        <v>90</v>
      </c>
      <c r="AS24">
        <v>90</v>
      </c>
      <c r="AT24">
        <v>90</v>
      </c>
      <c r="AU24">
        <v>90</v>
      </c>
      <c r="AV24" s="42">
        <v>0</v>
      </c>
      <c r="AW24" s="44"/>
      <c r="AZ24">
        <v>50</v>
      </c>
      <c r="BA24">
        <v>48</v>
      </c>
      <c r="BB24">
        <v>50</v>
      </c>
      <c r="BC24" s="39">
        <v>-52</v>
      </c>
      <c r="BD24" s="44">
        <v>20.8</v>
      </c>
      <c r="BE24" s="43"/>
      <c r="BI24" s="42">
        <v>0</v>
      </c>
      <c r="BJ24" s="44"/>
      <c r="BM24">
        <v>30</v>
      </c>
      <c r="BN24">
        <v>30</v>
      </c>
      <c r="BO24" s="42">
        <v>0</v>
      </c>
      <c r="BP24" s="44"/>
      <c r="BQ24">
        <v>102</v>
      </c>
      <c r="BR24">
        <v>100</v>
      </c>
      <c r="BS24" s="42">
        <v>2</v>
      </c>
      <c r="BT24" s="44"/>
      <c r="BU24" s="46">
        <v>216</v>
      </c>
      <c r="BV24">
        <v>219</v>
      </c>
      <c r="BY24" s="42">
        <v>-3</v>
      </c>
      <c r="BZ24" s="44"/>
      <c r="CA24">
        <v>90</v>
      </c>
      <c r="CB24">
        <v>90</v>
      </c>
      <c r="CC24">
        <v>72</v>
      </c>
      <c r="CD24">
        <v>70</v>
      </c>
      <c r="CE24" s="42">
        <v>2</v>
      </c>
      <c r="CF24" s="44"/>
      <c r="CG24" s="46">
        <v>102</v>
      </c>
      <c r="CH24">
        <v>100</v>
      </c>
      <c r="CI24">
        <v>198</v>
      </c>
      <c r="CJ24">
        <v>200</v>
      </c>
      <c r="CK24" s="42">
        <v>0</v>
      </c>
      <c r="CL24" s="44"/>
      <c r="CM24" s="43"/>
      <c r="CQ24" s="42">
        <v>0</v>
      </c>
      <c r="CR24" s="44"/>
      <c r="CS24">
        <v>54</v>
      </c>
      <c r="CT24">
        <v>60</v>
      </c>
      <c r="CU24">
        <v>138</v>
      </c>
      <c r="CV24">
        <v>140</v>
      </c>
      <c r="CW24" s="42">
        <v>-8</v>
      </c>
      <c r="CX24" s="44"/>
      <c r="CY24" s="46">
        <v>60</v>
      </c>
      <c r="CZ24">
        <v>60</v>
      </c>
      <c r="DA24">
        <v>144</v>
      </c>
      <c r="DB24">
        <v>142</v>
      </c>
      <c r="DC24" s="42">
        <v>2</v>
      </c>
      <c r="DD24" s="44"/>
      <c r="DE24" s="43"/>
      <c r="DI24">
        <v>60</v>
      </c>
      <c r="DJ24">
        <v>60</v>
      </c>
      <c r="DK24" s="42">
        <v>0</v>
      </c>
      <c r="DL24" s="44"/>
      <c r="DM24" s="46">
        <v>60</v>
      </c>
      <c r="DN24">
        <v>60</v>
      </c>
      <c r="DO24">
        <v>90</v>
      </c>
      <c r="DP24">
        <v>90</v>
      </c>
      <c r="DQ24" s="42">
        <v>0</v>
      </c>
      <c r="DR24" s="44"/>
      <c r="DU24">
        <v>138</v>
      </c>
      <c r="DV24">
        <v>138</v>
      </c>
      <c r="DY24" s="42">
        <v>0</v>
      </c>
      <c r="DZ24" s="44"/>
      <c r="EA24" s="43"/>
      <c r="EC24">
        <v>90</v>
      </c>
      <c r="ED24">
        <v>88</v>
      </c>
      <c r="EE24" s="42">
        <v>2</v>
      </c>
      <c r="EF24" s="44"/>
      <c r="EG24" s="43"/>
      <c r="EI24">
        <v>120</v>
      </c>
      <c r="EJ24">
        <v>120</v>
      </c>
      <c r="EK24" s="42">
        <v>0</v>
      </c>
      <c r="EL24" s="44"/>
      <c r="EM24" s="46">
        <v>18</v>
      </c>
      <c r="EN24">
        <v>20</v>
      </c>
      <c r="EQ24" s="42">
        <v>-2</v>
      </c>
      <c r="ER24" s="44"/>
      <c r="ES24">
        <v>48</v>
      </c>
      <c r="ET24">
        <v>48</v>
      </c>
      <c r="EU24">
        <v>48</v>
      </c>
      <c r="EV24">
        <v>48</v>
      </c>
      <c r="EW24">
        <v>54</v>
      </c>
      <c r="EX24">
        <v>54</v>
      </c>
      <c r="EY24" s="42">
        <v>0</v>
      </c>
      <c r="EZ24" s="44"/>
      <c r="FC24">
        <v>102</v>
      </c>
      <c r="FD24">
        <v>103</v>
      </c>
      <c r="FE24" s="42">
        <v>-1</v>
      </c>
      <c r="FF24" s="44"/>
      <c r="FG24" s="43"/>
      <c r="FI24">
        <v>78</v>
      </c>
      <c r="FJ24">
        <v>80</v>
      </c>
      <c r="FK24" s="42">
        <v>-2</v>
      </c>
      <c r="FL24" s="44"/>
      <c r="FM24" s="46">
        <v>24</v>
      </c>
      <c r="FN24">
        <v>32</v>
      </c>
      <c r="FO24" s="39">
        <v>-8</v>
      </c>
      <c r="FP24" s="44">
        <v>3.2</v>
      </c>
      <c r="FU24" s="42">
        <v>0</v>
      </c>
      <c r="FV24" s="44"/>
      <c r="FW24" s="43"/>
      <c r="GA24">
        <v>198</v>
      </c>
      <c r="GB24">
        <v>200</v>
      </c>
      <c r="GC24" s="42">
        <v>-2</v>
      </c>
      <c r="GD24" s="44"/>
      <c r="GG24">
        <v>132</v>
      </c>
      <c r="GH24">
        <v>130</v>
      </c>
      <c r="GI24" s="42">
        <v>2</v>
      </c>
      <c r="GJ24" s="44"/>
      <c r="GK24" s="43"/>
      <c r="GM24">
        <v>60</v>
      </c>
      <c r="GN24">
        <v>60</v>
      </c>
      <c r="GO24" s="42">
        <v>0</v>
      </c>
      <c r="GP24" s="47"/>
      <c r="GS24">
        <v>12</v>
      </c>
      <c r="GT24">
        <v>12</v>
      </c>
      <c r="GU24" s="42">
        <v>0</v>
      </c>
      <c r="GV24" s="44"/>
      <c r="GW24">
        <v>90</v>
      </c>
      <c r="GX24" s="40">
        <v>90</v>
      </c>
      <c r="GY24" s="42">
        <v>0</v>
      </c>
      <c r="GZ24" s="47"/>
      <c r="HA24" s="46">
        <v>72</v>
      </c>
      <c r="HB24">
        <v>75</v>
      </c>
      <c r="HC24" s="42">
        <v>-3</v>
      </c>
      <c r="HD24" s="44"/>
      <c r="HE24" s="43"/>
      <c r="HG24">
        <v>72</v>
      </c>
      <c r="HH24">
        <v>70</v>
      </c>
      <c r="HI24" s="42">
        <v>2</v>
      </c>
      <c r="HJ24" s="47"/>
      <c r="HK24" s="43"/>
      <c r="HO24" s="42">
        <v>0</v>
      </c>
      <c r="HP24" s="44"/>
      <c r="HT24">
        <v>150</v>
      </c>
      <c r="HU24">
        <v>150</v>
      </c>
      <c r="HV24" s="42">
        <v>0</v>
      </c>
      <c r="HW24" s="44"/>
      <c r="HX24" s="45"/>
      <c r="HZ24">
        <v>78</v>
      </c>
      <c r="IA24">
        <v>80</v>
      </c>
      <c r="IB24" s="42">
        <v>-2</v>
      </c>
      <c r="IC24" s="44"/>
      <c r="IF24">
        <v>30</v>
      </c>
      <c r="IG24">
        <v>30</v>
      </c>
      <c r="IH24" s="42">
        <v>0</v>
      </c>
      <c r="II24" s="47"/>
      <c r="IJ24">
        <v>18</v>
      </c>
      <c r="IK24">
        <v>16</v>
      </c>
      <c r="IN24" s="42">
        <v>2</v>
      </c>
      <c r="IO24" s="47"/>
      <c r="IP24">
        <v>78</v>
      </c>
      <c r="IQ24">
        <v>80</v>
      </c>
      <c r="IR24">
        <v>48</v>
      </c>
      <c r="IS24">
        <v>50</v>
      </c>
      <c r="IT24" s="42">
        <v>-4</v>
      </c>
      <c r="IU24" s="47"/>
      <c r="IZ24" s="42">
        <v>0</v>
      </c>
      <c r="JA24" s="44"/>
      <c r="JB24">
        <v>24</v>
      </c>
      <c r="JC24">
        <v>39</v>
      </c>
      <c r="JD24" s="39">
        <v>-15</v>
      </c>
      <c r="JE24" s="47">
        <v>6</v>
      </c>
      <c r="JF24">
        <v>54</v>
      </c>
      <c r="JG24">
        <v>52</v>
      </c>
      <c r="JJ24" s="42">
        <v>2</v>
      </c>
      <c r="JK24" s="44"/>
      <c r="JL24" s="45"/>
      <c r="JN24" s="42">
        <v>0</v>
      </c>
      <c r="JO24" s="44"/>
      <c r="JT24" s="42">
        <v>0</v>
      </c>
      <c r="JU24" s="44"/>
      <c r="JV24">
        <v>102</v>
      </c>
      <c r="JW24">
        <v>102</v>
      </c>
      <c r="JZ24" s="42">
        <v>0</v>
      </c>
      <c r="KA24" s="47"/>
      <c r="KF24" s="42">
        <v>0</v>
      </c>
      <c r="KG24" s="44"/>
      <c r="KH24">
        <v>48</v>
      </c>
      <c r="KI24">
        <v>50</v>
      </c>
      <c r="KJ24">
        <v>198</v>
      </c>
      <c r="KK24">
        <v>200</v>
      </c>
      <c r="KL24" s="42">
        <v>-4</v>
      </c>
      <c r="KM24" s="47"/>
      <c r="KN24" s="46">
        <v>48</v>
      </c>
      <c r="KO24">
        <v>50</v>
      </c>
      <c r="KP24">
        <v>60</v>
      </c>
      <c r="KQ24">
        <v>60</v>
      </c>
      <c r="KR24">
        <v>168</v>
      </c>
      <c r="KS24">
        <v>50</v>
      </c>
      <c r="KT24" s="42">
        <v>116</v>
      </c>
      <c r="KU24" s="47"/>
      <c r="KV24" s="40">
        <v>0</v>
      </c>
      <c r="KW24" s="40">
        <v>0</v>
      </c>
      <c r="KX24" s="40">
        <v>162</v>
      </c>
      <c r="KY24" s="40">
        <v>165</v>
      </c>
      <c r="KZ24" s="42">
        <v>-3</v>
      </c>
      <c r="LA24" s="47"/>
      <c r="LB24" s="40">
        <v>0</v>
      </c>
      <c r="LC24" s="40">
        <v>0</v>
      </c>
      <c r="LD24" s="40">
        <v>0</v>
      </c>
      <c r="LE24" s="40">
        <v>0</v>
      </c>
      <c r="LF24" s="42">
        <v>0</v>
      </c>
      <c r="LG24" s="47"/>
      <c r="LH24" s="45">
        <v>108</v>
      </c>
      <c r="LI24" s="40">
        <v>112</v>
      </c>
      <c r="LJ24" s="42">
        <v>-4</v>
      </c>
      <c r="LK24" s="47"/>
      <c r="LL24" s="45">
        <v>60</v>
      </c>
      <c r="LM24" s="40">
        <v>60</v>
      </c>
      <c r="LN24" s="40">
        <v>54</v>
      </c>
      <c r="LO24" s="40">
        <v>56</v>
      </c>
      <c r="LP24" s="42">
        <v>-2</v>
      </c>
      <c r="LQ24" s="47"/>
      <c r="LR24" s="45">
        <v>18</v>
      </c>
      <c r="LS24" s="40">
        <v>18</v>
      </c>
      <c r="LT24" s="40">
        <v>0</v>
      </c>
      <c r="LU24" s="40">
        <v>0</v>
      </c>
      <c r="LV24" s="42">
        <v>0</v>
      </c>
      <c r="LW24" s="47"/>
      <c r="LX24" s="45">
        <v>12</v>
      </c>
      <c r="LY24" s="40">
        <v>12</v>
      </c>
      <c r="LZ24" s="42">
        <v>0</v>
      </c>
      <c r="MA24" s="47"/>
      <c r="MB24" s="45">
        <v>48</v>
      </c>
      <c r="MC24" s="40">
        <v>50</v>
      </c>
      <c r="MD24" s="40">
        <v>114</v>
      </c>
      <c r="ME24" s="40">
        <v>117</v>
      </c>
      <c r="MF24" s="42">
        <v>-5</v>
      </c>
      <c r="MG24" s="47"/>
      <c r="MH24" s="45">
        <v>102</v>
      </c>
      <c r="MI24" s="40">
        <v>106</v>
      </c>
      <c r="MJ24" s="42">
        <v>-4</v>
      </c>
      <c r="MK24" s="47"/>
      <c r="ML24" s="45">
        <v>0</v>
      </c>
      <c r="MM24" s="40">
        <v>0</v>
      </c>
      <c r="MN24" s="40">
        <v>0</v>
      </c>
      <c r="MO24" s="40">
        <v>0</v>
      </c>
      <c r="MP24" s="42">
        <v>0</v>
      </c>
      <c r="MQ24" s="47"/>
      <c r="MR24" s="40">
        <v>0</v>
      </c>
      <c r="MS24" s="40">
        <v>0</v>
      </c>
      <c r="MT24" s="40">
        <v>180</v>
      </c>
      <c r="MU24" s="40">
        <v>180</v>
      </c>
      <c r="MV24" s="42">
        <v>0</v>
      </c>
      <c r="MW24" s="47"/>
      <c r="MX24" s="45">
        <v>0</v>
      </c>
      <c r="MY24" s="40">
        <v>0</v>
      </c>
      <c r="MZ24" s="40">
        <v>0</v>
      </c>
      <c r="NA24" s="40">
        <v>0</v>
      </c>
      <c r="NB24" s="42">
        <v>0</v>
      </c>
      <c r="NC24" s="47"/>
      <c r="ND24" s="45">
        <v>0</v>
      </c>
      <c r="NE24" s="30">
        <v>50</v>
      </c>
      <c r="NF24" s="40">
        <v>120</v>
      </c>
      <c r="NG24" s="40">
        <v>120</v>
      </c>
      <c r="NH24" s="39">
        <v>-50</v>
      </c>
      <c r="NI24" s="47">
        <v>20</v>
      </c>
      <c r="NJ24" s="45">
        <v>0</v>
      </c>
      <c r="NK24" s="40">
        <v>0</v>
      </c>
      <c r="NL24" s="40">
        <v>18</v>
      </c>
      <c r="NM24" s="40">
        <v>20</v>
      </c>
      <c r="NN24" s="42">
        <v>-2</v>
      </c>
      <c r="NO24" s="47"/>
      <c r="NP24" s="45">
        <v>0</v>
      </c>
      <c r="NQ24" s="40">
        <v>0</v>
      </c>
      <c r="NR24" s="40">
        <v>72</v>
      </c>
      <c r="NS24" s="40">
        <v>75</v>
      </c>
      <c r="NT24" s="42">
        <v>-3</v>
      </c>
      <c r="NU24" s="47"/>
      <c r="NV24" s="45">
        <v>102</v>
      </c>
      <c r="NW24" s="40">
        <v>100</v>
      </c>
      <c r="NX24" s="40">
        <v>120</v>
      </c>
      <c r="NY24" s="40">
        <v>120</v>
      </c>
      <c r="NZ24" s="42">
        <v>2</v>
      </c>
      <c r="OA24" s="47"/>
      <c r="OB24" s="45">
        <v>0</v>
      </c>
      <c r="OC24" s="40">
        <v>0</v>
      </c>
      <c r="OD24" s="42">
        <v>0</v>
      </c>
      <c r="OE24" s="47"/>
      <c r="OF24" s="45">
        <v>0</v>
      </c>
      <c r="OG24" s="40">
        <v>0</v>
      </c>
      <c r="OH24" s="40">
        <v>18</v>
      </c>
      <c r="OI24" s="40">
        <v>17</v>
      </c>
      <c r="OJ24" s="42">
        <v>1</v>
      </c>
      <c r="OK24" s="47"/>
      <c r="OL24" s="45">
        <v>0</v>
      </c>
      <c r="OM24" s="40">
        <v>0</v>
      </c>
      <c r="ON24" s="40">
        <v>0</v>
      </c>
      <c r="OO24" s="40">
        <v>0</v>
      </c>
      <c r="OP24" s="42">
        <v>0</v>
      </c>
      <c r="OQ24" s="47"/>
      <c r="OR24" s="45">
        <v>0</v>
      </c>
      <c r="OS24" s="40">
        <v>0</v>
      </c>
      <c r="OT24" s="40">
        <v>0</v>
      </c>
      <c r="OU24" s="40">
        <v>0</v>
      </c>
      <c r="OV24" s="42">
        <v>0</v>
      </c>
      <c r="OW24" s="47"/>
      <c r="OX24" s="40">
        <v>0</v>
      </c>
      <c r="OY24" s="40">
        <v>0</v>
      </c>
      <c r="OZ24" s="40">
        <v>0</v>
      </c>
      <c r="PA24" s="40">
        <v>0</v>
      </c>
      <c r="PB24" s="42">
        <v>0</v>
      </c>
      <c r="PC24" s="47"/>
      <c r="PD24" s="45">
        <v>0</v>
      </c>
      <c r="PE24" s="40">
        <v>0</v>
      </c>
      <c r="PF24" s="14">
        <v>102</v>
      </c>
      <c r="PG24" s="40">
        <v>0</v>
      </c>
      <c r="PH24" s="42">
        <v>0</v>
      </c>
      <c r="PI24" s="47"/>
      <c r="PJ24" s="45">
        <v>0</v>
      </c>
      <c r="PK24" s="40">
        <v>0</v>
      </c>
      <c r="PL24" s="14">
        <v>324</v>
      </c>
      <c r="PM24" s="40">
        <v>0</v>
      </c>
      <c r="PN24" s="42">
        <v>0</v>
      </c>
      <c r="PO24" s="47"/>
      <c r="PP24" s="43"/>
      <c r="PU24" s="47"/>
      <c r="PV24" s="45"/>
      <c r="QA24" s="47"/>
      <c r="QB24" s="45"/>
      <c r="QE24" s="47"/>
      <c r="QF24" s="45"/>
      <c r="QK24" s="47"/>
      <c r="QL24" s="45"/>
      <c r="QQ24" s="47"/>
      <c r="QR24" s="45"/>
      <c r="QV24" s="39"/>
      <c r="QW24" s="47"/>
      <c r="QX24" s="45"/>
      <c r="RB24" s="42"/>
      <c r="RC24" s="47"/>
      <c r="RD24" s="45"/>
      <c r="RF24" s="42"/>
      <c r="RG24" s="47"/>
    </row>
    <row r="25" spans="1:475" x14ac:dyDescent="0.25">
      <c r="A25" s="40" t="s">
        <v>314</v>
      </c>
      <c r="B25" s="41">
        <v>1</v>
      </c>
      <c r="E25">
        <v>100</v>
      </c>
      <c r="F25">
        <v>100</v>
      </c>
      <c r="I25">
        <v>250</v>
      </c>
      <c r="J25">
        <v>257</v>
      </c>
      <c r="K25">
        <v>250</v>
      </c>
      <c r="N25" s="46">
        <v>85</v>
      </c>
      <c r="O25" s="49">
        <v>80</v>
      </c>
      <c r="P25" s="49">
        <v>76</v>
      </c>
      <c r="Q25" s="49">
        <v>74</v>
      </c>
      <c r="R25" s="48">
        <f t="shared" si="8"/>
        <v>7</v>
      </c>
      <c r="S25" s="44"/>
      <c r="T25" s="46">
        <v>205</v>
      </c>
      <c r="U25" s="49">
        <v>200</v>
      </c>
      <c r="V25" s="49">
        <v>208</v>
      </c>
      <c r="W25" s="49">
        <v>200</v>
      </c>
      <c r="X25" s="48">
        <f t="shared" si="9"/>
        <v>13</v>
      </c>
      <c r="Y25" s="44"/>
      <c r="Z25" s="46">
        <v>206</v>
      </c>
      <c r="AA25" s="49">
        <v>200</v>
      </c>
      <c r="AB25" s="49">
        <v>205</v>
      </c>
      <c r="AC25" s="49">
        <v>200</v>
      </c>
      <c r="AD25" s="48">
        <f t="shared" si="10"/>
        <v>11</v>
      </c>
      <c r="AE25" s="44"/>
      <c r="AF25" s="46">
        <v>202</v>
      </c>
      <c r="AG25" s="49">
        <v>200</v>
      </c>
      <c r="AH25" s="48"/>
      <c r="AI25" s="48"/>
      <c r="AJ25" s="48">
        <f t="shared" si="11"/>
        <v>2</v>
      </c>
      <c r="AK25" s="44"/>
      <c r="AL25" s="49">
        <v>226</v>
      </c>
      <c r="AM25">
        <v>220</v>
      </c>
      <c r="AN25">
        <v>239</v>
      </c>
      <c r="AO25">
        <v>230</v>
      </c>
      <c r="AP25" s="42">
        <v>15</v>
      </c>
      <c r="AQ25" s="44"/>
      <c r="AR25" s="46">
        <v>176</v>
      </c>
      <c r="AS25">
        <v>170</v>
      </c>
      <c r="AT25">
        <v>134</v>
      </c>
      <c r="AU25">
        <v>130</v>
      </c>
      <c r="AV25" s="42">
        <v>10</v>
      </c>
      <c r="AW25" s="44"/>
      <c r="AX25">
        <v>227</v>
      </c>
      <c r="AZ25">
        <v>220</v>
      </c>
      <c r="BA25">
        <v>286</v>
      </c>
      <c r="BB25">
        <v>280</v>
      </c>
      <c r="BC25" s="42">
        <v>13</v>
      </c>
      <c r="BD25" s="44"/>
      <c r="BE25" s="46">
        <v>156</v>
      </c>
      <c r="BF25">
        <v>150</v>
      </c>
      <c r="BG25">
        <v>106</v>
      </c>
      <c r="BH25">
        <v>100</v>
      </c>
      <c r="BI25" s="42">
        <v>12</v>
      </c>
      <c r="BJ25" s="44"/>
      <c r="BM25">
        <v>623</v>
      </c>
      <c r="BN25">
        <v>600</v>
      </c>
      <c r="BO25" s="42">
        <v>23</v>
      </c>
      <c r="BP25" s="44"/>
      <c r="BS25" s="42">
        <v>0</v>
      </c>
      <c r="BT25" s="44"/>
      <c r="BU25" s="46">
        <v>304</v>
      </c>
      <c r="BV25">
        <v>290</v>
      </c>
      <c r="BW25">
        <v>417</v>
      </c>
      <c r="BX25">
        <v>400</v>
      </c>
      <c r="BY25" s="42">
        <v>31</v>
      </c>
      <c r="BZ25" s="44"/>
      <c r="CA25">
        <v>151</v>
      </c>
      <c r="CB25">
        <v>150</v>
      </c>
      <c r="CC25">
        <v>206</v>
      </c>
      <c r="CD25">
        <v>200</v>
      </c>
      <c r="CE25" s="42">
        <v>7</v>
      </c>
      <c r="CF25" s="44"/>
      <c r="CG25" s="46">
        <v>71</v>
      </c>
      <c r="CH25">
        <v>70</v>
      </c>
      <c r="CI25">
        <v>185</v>
      </c>
      <c r="CJ25">
        <v>180</v>
      </c>
      <c r="CK25" s="42">
        <v>6</v>
      </c>
      <c r="CL25" s="44"/>
      <c r="CM25" s="43"/>
      <c r="CO25">
        <v>362</v>
      </c>
      <c r="CP25">
        <v>350</v>
      </c>
      <c r="CQ25" s="42">
        <v>12</v>
      </c>
      <c r="CR25" s="44"/>
      <c r="CS25">
        <v>41</v>
      </c>
      <c r="CT25">
        <v>40</v>
      </c>
      <c r="CU25">
        <v>60</v>
      </c>
      <c r="CV25">
        <v>60</v>
      </c>
      <c r="CW25" s="42">
        <v>1</v>
      </c>
      <c r="CX25" s="44"/>
      <c r="CY25" s="46">
        <v>107</v>
      </c>
      <c r="CZ25">
        <v>100</v>
      </c>
      <c r="DA25">
        <v>418</v>
      </c>
      <c r="DB25">
        <v>400</v>
      </c>
      <c r="DC25" s="42">
        <v>25</v>
      </c>
      <c r="DD25" s="44"/>
      <c r="DE25" s="43"/>
      <c r="DG25">
        <v>416</v>
      </c>
      <c r="DH25">
        <v>400</v>
      </c>
      <c r="DI25">
        <v>208</v>
      </c>
      <c r="DJ25">
        <v>200</v>
      </c>
      <c r="DK25" s="42">
        <v>24</v>
      </c>
      <c r="DL25" s="44"/>
      <c r="DM25" s="46">
        <v>71</v>
      </c>
      <c r="DN25">
        <v>70</v>
      </c>
      <c r="DO25">
        <v>86</v>
      </c>
      <c r="DP25">
        <v>80</v>
      </c>
      <c r="DQ25" s="42">
        <v>7</v>
      </c>
      <c r="DR25" s="44"/>
      <c r="DU25">
        <v>228</v>
      </c>
      <c r="DV25">
        <v>220</v>
      </c>
      <c r="DW25">
        <v>208</v>
      </c>
      <c r="DX25">
        <v>200</v>
      </c>
      <c r="DY25" s="42">
        <v>16</v>
      </c>
      <c r="DZ25" s="44"/>
      <c r="EA25" s="46">
        <v>106</v>
      </c>
      <c r="EB25">
        <v>100</v>
      </c>
      <c r="EC25">
        <v>332</v>
      </c>
      <c r="ED25">
        <v>320</v>
      </c>
      <c r="EE25" s="42">
        <v>18</v>
      </c>
      <c r="EF25" s="44"/>
      <c r="EG25" s="43"/>
      <c r="EI25">
        <v>127</v>
      </c>
      <c r="EJ25">
        <v>120</v>
      </c>
      <c r="EK25" s="42">
        <v>7</v>
      </c>
      <c r="EL25" s="44"/>
      <c r="EM25" s="46">
        <v>314</v>
      </c>
      <c r="EN25">
        <v>300</v>
      </c>
      <c r="EO25">
        <v>117</v>
      </c>
      <c r="EP25">
        <v>110</v>
      </c>
      <c r="EQ25" s="42">
        <v>21</v>
      </c>
      <c r="ER25" s="44"/>
      <c r="ES25">
        <v>106</v>
      </c>
      <c r="ET25">
        <v>100</v>
      </c>
      <c r="EU25">
        <v>106</v>
      </c>
      <c r="EV25">
        <v>100</v>
      </c>
      <c r="EW25">
        <v>126</v>
      </c>
      <c r="EX25">
        <v>120</v>
      </c>
      <c r="EY25" s="42">
        <v>18</v>
      </c>
      <c r="EZ25" s="44"/>
      <c r="FA25">
        <v>51</v>
      </c>
      <c r="FB25">
        <v>50</v>
      </c>
      <c r="FE25" s="42">
        <v>1</v>
      </c>
      <c r="FF25" s="44"/>
      <c r="FG25" s="43"/>
      <c r="FI25">
        <v>206</v>
      </c>
      <c r="FJ25">
        <v>200</v>
      </c>
      <c r="FK25" s="42">
        <v>6</v>
      </c>
      <c r="FL25" s="44"/>
      <c r="FM25" s="46">
        <v>257</v>
      </c>
      <c r="FN25">
        <v>249</v>
      </c>
      <c r="FO25" s="42">
        <v>8</v>
      </c>
      <c r="FP25" s="44"/>
      <c r="FS25">
        <v>645</v>
      </c>
      <c r="FT25">
        <v>620</v>
      </c>
      <c r="FU25" s="42">
        <v>25</v>
      </c>
      <c r="FV25" s="44"/>
      <c r="FW25" s="46">
        <v>107</v>
      </c>
      <c r="FX25">
        <v>100</v>
      </c>
      <c r="FY25">
        <v>145</v>
      </c>
      <c r="FZ25">
        <v>100</v>
      </c>
      <c r="GA25">
        <v>178</v>
      </c>
      <c r="GB25">
        <v>170</v>
      </c>
      <c r="GC25" s="42">
        <v>60</v>
      </c>
      <c r="GD25" s="44"/>
      <c r="GE25">
        <v>225</v>
      </c>
      <c r="GF25">
        <v>220</v>
      </c>
      <c r="GG25">
        <v>249</v>
      </c>
      <c r="GH25">
        <v>240</v>
      </c>
      <c r="GI25" s="42">
        <v>14</v>
      </c>
      <c r="GJ25" s="44"/>
      <c r="GK25" s="46">
        <v>193</v>
      </c>
      <c r="GL25">
        <v>190</v>
      </c>
      <c r="GM25">
        <v>207</v>
      </c>
      <c r="GN25">
        <v>200</v>
      </c>
      <c r="GO25" s="42">
        <v>10</v>
      </c>
      <c r="GP25" s="47"/>
      <c r="GS25">
        <v>86</v>
      </c>
      <c r="GT25">
        <v>80</v>
      </c>
      <c r="GU25" s="42">
        <v>6</v>
      </c>
      <c r="GV25" s="44"/>
      <c r="GW25">
        <v>411</v>
      </c>
      <c r="GX25" s="40">
        <v>395.41340000000002</v>
      </c>
      <c r="GY25" s="42">
        <v>15.586599999999979</v>
      </c>
      <c r="GZ25" s="47"/>
      <c r="HA25" s="46">
        <v>258</v>
      </c>
      <c r="HB25">
        <v>249</v>
      </c>
      <c r="HC25" s="42">
        <v>9</v>
      </c>
      <c r="HD25" s="44"/>
      <c r="HE25" s="43"/>
      <c r="HG25">
        <v>91</v>
      </c>
      <c r="HH25">
        <v>91</v>
      </c>
      <c r="HI25" s="42">
        <v>0</v>
      </c>
      <c r="HJ25" s="47"/>
      <c r="HK25" s="43"/>
      <c r="HM25">
        <v>106</v>
      </c>
      <c r="HN25">
        <v>100</v>
      </c>
      <c r="HO25" s="42">
        <v>6</v>
      </c>
      <c r="HP25" s="44"/>
      <c r="HR25">
        <v>314</v>
      </c>
      <c r="HS25">
        <v>300</v>
      </c>
      <c r="HT25">
        <v>348</v>
      </c>
      <c r="HU25">
        <v>330</v>
      </c>
      <c r="HV25" s="42">
        <v>32</v>
      </c>
      <c r="HW25" s="44"/>
      <c r="HX25" s="46">
        <v>235</v>
      </c>
      <c r="HY25">
        <v>230</v>
      </c>
      <c r="HZ25">
        <v>204</v>
      </c>
      <c r="IA25">
        <v>200</v>
      </c>
      <c r="IB25" s="42">
        <v>9</v>
      </c>
      <c r="IC25" s="44"/>
      <c r="ID25">
        <v>197</v>
      </c>
      <c r="IE25">
        <v>190</v>
      </c>
      <c r="IF25">
        <v>261</v>
      </c>
      <c r="IG25">
        <v>250</v>
      </c>
      <c r="IH25" s="42">
        <v>18</v>
      </c>
      <c r="II25" s="47"/>
      <c r="IJ25">
        <v>123</v>
      </c>
      <c r="IK25">
        <v>118</v>
      </c>
      <c r="IN25" s="42">
        <v>5</v>
      </c>
      <c r="IO25" s="47"/>
      <c r="IQ25">
        <v>300</v>
      </c>
      <c r="IR25">
        <v>287</v>
      </c>
      <c r="IS25">
        <v>270</v>
      </c>
      <c r="IT25" s="39">
        <v>-283</v>
      </c>
      <c r="IU25" s="47">
        <v>283</v>
      </c>
      <c r="IV25">
        <v>239</v>
      </c>
      <c r="IW25">
        <v>230</v>
      </c>
      <c r="IX25">
        <v>227</v>
      </c>
      <c r="IY25">
        <v>220</v>
      </c>
      <c r="IZ25" s="42">
        <v>16</v>
      </c>
      <c r="JA25" s="44"/>
      <c r="JB25">
        <v>198</v>
      </c>
      <c r="JC25">
        <v>190</v>
      </c>
      <c r="JD25" s="42">
        <v>8</v>
      </c>
      <c r="JE25" s="44"/>
      <c r="JF25">
        <v>364</v>
      </c>
      <c r="JG25">
        <v>350</v>
      </c>
      <c r="JH25">
        <v>285</v>
      </c>
      <c r="JI25">
        <v>273</v>
      </c>
      <c r="JJ25" s="42">
        <v>26</v>
      </c>
      <c r="JK25" s="44"/>
      <c r="JL25" s="46">
        <v>348</v>
      </c>
      <c r="JM25" s="40">
        <v>330</v>
      </c>
      <c r="JN25" s="42">
        <v>18</v>
      </c>
      <c r="JO25" s="44"/>
      <c r="JT25" s="42">
        <v>0</v>
      </c>
      <c r="JU25" s="44"/>
      <c r="JV25">
        <v>448</v>
      </c>
      <c r="JW25">
        <v>430</v>
      </c>
      <c r="JZ25" s="42">
        <v>18</v>
      </c>
      <c r="KA25" s="47"/>
      <c r="KB25">
        <v>315</v>
      </c>
      <c r="KC25">
        <v>300</v>
      </c>
      <c r="KD25">
        <v>496</v>
      </c>
      <c r="KE25">
        <v>470</v>
      </c>
      <c r="KF25" s="42">
        <v>41</v>
      </c>
      <c r="KG25" s="44"/>
      <c r="KH25">
        <v>147</v>
      </c>
      <c r="KI25">
        <v>140</v>
      </c>
      <c r="KJ25">
        <v>144</v>
      </c>
      <c r="KK25">
        <v>140</v>
      </c>
      <c r="KL25" s="42">
        <v>11</v>
      </c>
      <c r="KM25" s="47"/>
      <c r="KN25" s="46">
        <v>126</v>
      </c>
      <c r="KO25">
        <v>120</v>
      </c>
      <c r="KP25">
        <v>197</v>
      </c>
      <c r="KQ25">
        <v>170</v>
      </c>
      <c r="KR25">
        <v>106</v>
      </c>
      <c r="KS25">
        <v>100</v>
      </c>
      <c r="KT25" s="42">
        <v>39</v>
      </c>
      <c r="KU25" s="47"/>
      <c r="KV25" s="40">
        <v>313.94299999999998</v>
      </c>
      <c r="KW25" s="40">
        <v>300</v>
      </c>
      <c r="KX25" s="40">
        <v>417.95699999999999</v>
      </c>
      <c r="KY25" s="40">
        <v>400</v>
      </c>
      <c r="KZ25" s="42">
        <v>31.899999999999981</v>
      </c>
      <c r="LA25" s="47"/>
      <c r="LB25" s="40">
        <v>90.581999999999994</v>
      </c>
      <c r="LC25" s="40">
        <v>100</v>
      </c>
      <c r="LD25" s="40">
        <v>165.95500000000001</v>
      </c>
      <c r="LE25" s="40">
        <v>160</v>
      </c>
      <c r="LF25" s="42">
        <v>-3.462999999999965</v>
      </c>
      <c r="LG25" s="47"/>
      <c r="LH25" s="45">
        <v>327.05099999999999</v>
      </c>
      <c r="LI25" s="40">
        <v>320</v>
      </c>
      <c r="LJ25" s="42">
        <v>7.0509999999999877</v>
      </c>
      <c r="LK25" s="47"/>
      <c r="LL25" s="45">
        <v>157.352</v>
      </c>
      <c r="LM25" s="40">
        <v>150</v>
      </c>
      <c r="LN25" s="40">
        <v>116.42</v>
      </c>
      <c r="LO25" s="40">
        <v>120</v>
      </c>
      <c r="LP25" s="42">
        <v>3.7719999999999909</v>
      </c>
      <c r="LQ25" s="47"/>
      <c r="LR25" s="45">
        <v>346.709</v>
      </c>
      <c r="LS25" s="40">
        <v>350</v>
      </c>
      <c r="LT25" s="40">
        <v>381.74299999999999</v>
      </c>
      <c r="LU25" s="40">
        <v>380</v>
      </c>
      <c r="LV25" s="42">
        <v>-1.548000000000002</v>
      </c>
      <c r="LW25" s="47"/>
      <c r="LX25" s="45">
        <v>321.68900000000002</v>
      </c>
      <c r="LY25" s="40">
        <v>320</v>
      </c>
      <c r="LZ25" s="42">
        <v>1.6890000000000209</v>
      </c>
      <c r="MA25" s="47"/>
      <c r="MB25" s="45">
        <v>196.59</v>
      </c>
      <c r="MC25" s="40">
        <v>200</v>
      </c>
      <c r="MD25" s="40">
        <v>326.79500000000002</v>
      </c>
      <c r="ME25" s="40">
        <v>320</v>
      </c>
      <c r="MF25" s="42">
        <v>3.3849999999999909</v>
      </c>
      <c r="MG25" s="47"/>
      <c r="MH25" s="45">
        <v>640.947</v>
      </c>
      <c r="MI25" s="40">
        <v>640</v>
      </c>
      <c r="MJ25" s="42">
        <v>0.94700000000000273</v>
      </c>
      <c r="MK25" s="47"/>
      <c r="ML25" s="45">
        <v>0</v>
      </c>
      <c r="MM25" s="40">
        <v>0</v>
      </c>
      <c r="MN25" s="40">
        <v>50.646000000000001</v>
      </c>
      <c r="MO25" s="40">
        <v>50</v>
      </c>
      <c r="MP25" s="42">
        <v>0.6460000000000008</v>
      </c>
      <c r="MQ25" s="47"/>
      <c r="MR25" s="40">
        <v>180.37700000000001</v>
      </c>
      <c r="MS25" s="40">
        <v>180</v>
      </c>
      <c r="MT25" s="40">
        <v>547.91800000000001</v>
      </c>
      <c r="MU25" s="40">
        <v>550</v>
      </c>
      <c r="MV25" s="42">
        <v>-1.704999999999927</v>
      </c>
      <c r="MW25" s="47"/>
      <c r="MX25" s="45">
        <v>101.119</v>
      </c>
      <c r="MY25" s="40">
        <v>100</v>
      </c>
      <c r="MZ25" s="40">
        <v>517.59199999999998</v>
      </c>
      <c r="NA25" s="40">
        <v>520</v>
      </c>
      <c r="NB25" s="42">
        <v>-1.288999999999987</v>
      </c>
      <c r="NC25" s="47"/>
      <c r="ND25" s="45">
        <v>50.706000000000003</v>
      </c>
      <c r="NE25" s="40">
        <v>150</v>
      </c>
      <c r="NF25" s="40">
        <v>241.79400000000001</v>
      </c>
      <c r="NG25" s="40">
        <v>250</v>
      </c>
      <c r="NH25" s="39">
        <v>-107.5</v>
      </c>
      <c r="NI25" s="47">
        <v>107.5</v>
      </c>
      <c r="NJ25" s="45">
        <v>201.84700000000001</v>
      </c>
      <c r="NK25" s="40">
        <v>200</v>
      </c>
      <c r="NL25" s="40">
        <v>200.845</v>
      </c>
      <c r="NM25" s="40">
        <v>200</v>
      </c>
      <c r="NN25" s="42">
        <v>2.6920000000000068</v>
      </c>
      <c r="NO25" s="47"/>
      <c r="NP25" s="45">
        <v>0</v>
      </c>
      <c r="NQ25" s="30">
        <v>130</v>
      </c>
      <c r="NR25" s="40">
        <v>321.73</v>
      </c>
      <c r="NS25" s="40">
        <v>320</v>
      </c>
      <c r="NT25" s="39">
        <v>-128.27000000000001</v>
      </c>
      <c r="NU25" s="47">
        <v>128.27000000000001</v>
      </c>
      <c r="NV25" s="45">
        <v>100.158</v>
      </c>
      <c r="NW25" s="40">
        <v>100</v>
      </c>
      <c r="NX25" s="40">
        <v>161.21299999999999</v>
      </c>
      <c r="NY25" s="40">
        <v>160</v>
      </c>
      <c r="NZ25" s="42">
        <v>1.3709999999999809</v>
      </c>
      <c r="OA25" s="47"/>
      <c r="OB25" s="45">
        <v>550.67399999999998</v>
      </c>
      <c r="OC25" s="40">
        <v>550</v>
      </c>
      <c r="OD25" s="42">
        <v>0.67399999999997817</v>
      </c>
      <c r="OE25" s="47"/>
      <c r="OF25" s="45">
        <v>0</v>
      </c>
      <c r="OG25" s="40">
        <v>0</v>
      </c>
      <c r="OH25" s="40">
        <v>291.57400000000001</v>
      </c>
      <c r="OI25" s="40">
        <v>290</v>
      </c>
      <c r="OJ25" s="42">
        <v>1.5740000000000121</v>
      </c>
      <c r="OK25" s="47"/>
      <c r="OL25" s="45">
        <v>281.47199999999998</v>
      </c>
      <c r="OM25" s="40">
        <v>280</v>
      </c>
      <c r="ON25" s="40">
        <v>198.67099999999999</v>
      </c>
      <c r="OO25" s="40">
        <v>200</v>
      </c>
      <c r="OP25" s="42">
        <v>0.14299999999997229</v>
      </c>
      <c r="OQ25" s="47"/>
      <c r="OR25" s="45">
        <v>0</v>
      </c>
      <c r="OS25" s="40">
        <v>0</v>
      </c>
      <c r="OT25" s="40">
        <v>120.88800000000001</v>
      </c>
      <c r="OU25" s="40">
        <v>122</v>
      </c>
      <c r="OV25" s="42">
        <v>-1.111999999999995</v>
      </c>
      <c r="OW25" s="47"/>
      <c r="OX25" s="40">
        <v>80.457999999999998</v>
      </c>
      <c r="OY25" s="40">
        <v>80</v>
      </c>
      <c r="OZ25" s="40">
        <v>70.239000000000004</v>
      </c>
      <c r="PA25" s="40">
        <v>70</v>
      </c>
      <c r="PB25" s="42">
        <v>0.69700000000000273</v>
      </c>
      <c r="PC25" s="47"/>
      <c r="PD25" s="45">
        <v>493.387</v>
      </c>
      <c r="PE25" s="40">
        <v>500</v>
      </c>
      <c r="PF25" s="40">
        <v>501.22199999999998</v>
      </c>
      <c r="PG25" s="40">
        <v>500</v>
      </c>
      <c r="PH25" s="42">
        <v>-5.3910000000000764</v>
      </c>
      <c r="PI25" s="47"/>
      <c r="PJ25" s="45">
        <v>0</v>
      </c>
      <c r="PK25" s="40">
        <v>0</v>
      </c>
      <c r="PL25" s="40">
        <v>76.870999999999995</v>
      </c>
      <c r="PM25" s="40">
        <v>100</v>
      </c>
      <c r="PN25" s="39">
        <v>-23.129000000000001</v>
      </c>
      <c r="PO25" s="47">
        <v>23.129000000000001</v>
      </c>
      <c r="PP25" s="43">
        <v>501.55799999999999</v>
      </c>
      <c r="PQ25" s="40">
        <v>500</v>
      </c>
      <c r="PR25" s="40">
        <v>576.54600000000005</v>
      </c>
      <c r="PS25" s="40">
        <v>574</v>
      </c>
      <c r="PT25" s="42">
        <v>4.1040000000000418</v>
      </c>
      <c r="PU25" s="47"/>
      <c r="PV25" s="45">
        <v>204.19300000000001</v>
      </c>
      <c r="PW25" s="40">
        <v>200</v>
      </c>
      <c r="PX25" s="40">
        <v>254.23</v>
      </c>
      <c r="PY25" s="40">
        <v>250</v>
      </c>
      <c r="PZ25" s="42">
        <v>8.4230000000000018</v>
      </c>
      <c r="QA25" s="47"/>
      <c r="QB25" s="45">
        <v>245.958</v>
      </c>
      <c r="QC25" s="40">
        <v>250</v>
      </c>
      <c r="QD25" s="42">
        <v>-4.0420000000000016</v>
      </c>
      <c r="QE25" s="47"/>
      <c r="QF25" s="45">
        <v>181.5</v>
      </c>
      <c r="QG25" s="40">
        <v>180</v>
      </c>
      <c r="QH25" s="40">
        <v>195.96899999999999</v>
      </c>
      <c r="QI25" s="40">
        <v>220</v>
      </c>
      <c r="QJ25" s="39">
        <v>-22.531000000000009</v>
      </c>
      <c r="QK25" s="47">
        <v>22.531000000000009</v>
      </c>
      <c r="QL25" s="45">
        <v>301.30399999999997</v>
      </c>
      <c r="QM25" s="40">
        <v>300</v>
      </c>
      <c r="QN25" s="40">
        <v>497.51400000000001</v>
      </c>
      <c r="QO25" s="40">
        <v>500</v>
      </c>
      <c r="QP25" s="42">
        <v>-1.1820000000000159</v>
      </c>
      <c r="QQ25" s="47"/>
      <c r="QR25" s="45">
        <v>236.822</v>
      </c>
      <c r="QS25" s="40">
        <v>239</v>
      </c>
      <c r="QT25" s="40">
        <v>0</v>
      </c>
      <c r="QU25" s="40">
        <v>250</v>
      </c>
      <c r="QV25" s="39">
        <v>-252.178</v>
      </c>
      <c r="QW25" s="47">
        <v>252.178</v>
      </c>
      <c r="QX25" s="45">
        <v>199.83799999999999</v>
      </c>
      <c r="QY25" s="40">
        <v>200</v>
      </c>
      <c r="QZ25" s="40">
        <v>245.65100000000001</v>
      </c>
      <c r="RA25" s="40">
        <v>250</v>
      </c>
      <c r="RB25" s="42">
        <v>-4.5109999999999673</v>
      </c>
      <c r="RC25" s="47"/>
      <c r="RD25" s="45">
        <v>499.62700000000001</v>
      </c>
      <c r="RE25" s="40">
        <v>400</v>
      </c>
      <c r="RF25" s="42">
        <v>99.62700000000001</v>
      </c>
      <c r="RG25" s="47"/>
    </row>
    <row r="26" spans="1:475" x14ac:dyDescent="0.25">
      <c r="A26" s="40" t="s">
        <v>315</v>
      </c>
      <c r="B26" s="41">
        <v>0.12</v>
      </c>
      <c r="E26">
        <v>120</v>
      </c>
      <c r="F26">
        <v>130</v>
      </c>
      <c r="N26" s="46">
        <v>120</v>
      </c>
      <c r="O26" s="49">
        <v>120</v>
      </c>
      <c r="P26" s="49">
        <v>136</v>
      </c>
      <c r="Q26" s="49">
        <v>141</v>
      </c>
      <c r="R26" s="48">
        <f t="shared" si="8"/>
        <v>-5</v>
      </c>
      <c r="S26" s="44"/>
      <c r="T26" s="46">
        <v>248</v>
      </c>
      <c r="U26" s="49">
        <v>250</v>
      </c>
      <c r="V26" s="49">
        <v>248</v>
      </c>
      <c r="W26" s="49">
        <v>250</v>
      </c>
      <c r="X26" s="48">
        <f t="shared" si="9"/>
        <v>-4</v>
      </c>
      <c r="Y26" s="44"/>
      <c r="Z26" s="46">
        <v>48</v>
      </c>
      <c r="AA26" s="49">
        <v>50</v>
      </c>
      <c r="AB26" s="48"/>
      <c r="AC26" s="48"/>
      <c r="AD26" s="48">
        <f t="shared" si="10"/>
        <v>-2</v>
      </c>
      <c r="AE26" s="44"/>
      <c r="AF26" s="46">
        <v>144</v>
      </c>
      <c r="AG26" s="49">
        <v>150</v>
      </c>
      <c r="AH26" s="49">
        <v>200</v>
      </c>
      <c r="AI26" s="49">
        <v>200</v>
      </c>
      <c r="AJ26" s="48">
        <f t="shared" si="11"/>
        <v>-6</v>
      </c>
      <c r="AK26" s="44"/>
      <c r="AL26" s="49">
        <v>80</v>
      </c>
      <c r="AM26">
        <v>80</v>
      </c>
      <c r="AN26">
        <v>48</v>
      </c>
      <c r="AO26">
        <v>47</v>
      </c>
      <c r="AP26" s="42">
        <v>1</v>
      </c>
      <c r="AQ26" s="44"/>
      <c r="AR26" s="46">
        <v>24</v>
      </c>
      <c r="AS26">
        <v>100</v>
      </c>
      <c r="AV26" s="39">
        <v>-76</v>
      </c>
      <c r="AW26" s="44">
        <v>9.1199999999999992</v>
      </c>
      <c r="AX26">
        <v>216</v>
      </c>
      <c r="AZ26">
        <v>220</v>
      </c>
      <c r="BA26">
        <v>280</v>
      </c>
      <c r="BB26">
        <v>280</v>
      </c>
      <c r="BC26" s="42">
        <v>-4</v>
      </c>
      <c r="BD26" s="44"/>
      <c r="BE26" s="43"/>
      <c r="BI26" s="42">
        <v>0</v>
      </c>
      <c r="BJ26" s="44"/>
      <c r="BK26">
        <v>120</v>
      </c>
      <c r="BL26">
        <v>120</v>
      </c>
      <c r="BM26">
        <v>88</v>
      </c>
      <c r="BN26">
        <v>97</v>
      </c>
      <c r="BO26" s="42">
        <v>-9</v>
      </c>
      <c r="BP26" s="44"/>
      <c r="BQ26">
        <v>152</v>
      </c>
      <c r="BR26">
        <v>150</v>
      </c>
      <c r="BS26" s="42">
        <v>2</v>
      </c>
      <c r="BT26" s="44"/>
      <c r="BU26" s="46">
        <v>528</v>
      </c>
      <c r="BV26">
        <v>530</v>
      </c>
      <c r="BW26">
        <v>96</v>
      </c>
      <c r="BX26">
        <v>100</v>
      </c>
      <c r="BY26" s="42">
        <v>-6</v>
      </c>
      <c r="BZ26" s="44"/>
      <c r="CA26">
        <v>168</v>
      </c>
      <c r="CB26">
        <v>170</v>
      </c>
      <c r="CD26">
        <v>230</v>
      </c>
      <c r="CE26" s="39">
        <v>-232</v>
      </c>
      <c r="CF26" s="44">
        <v>27.84</v>
      </c>
      <c r="CG26" s="46">
        <v>128</v>
      </c>
      <c r="CH26">
        <v>130</v>
      </c>
      <c r="CI26">
        <v>272</v>
      </c>
      <c r="CJ26">
        <v>270</v>
      </c>
      <c r="CK26" s="42">
        <v>0</v>
      </c>
      <c r="CL26" s="44"/>
      <c r="CM26" s="43"/>
      <c r="CO26">
        <v>208</v>
      </c>
      <c r="CP26">
        <v>210</v>
      </c>
      <c r="CQ26" s="42">
        <v>-2</v>
      </c>
      <c r="CR26" s="44"/>
      <c r="CS26">
        <v>96</v>
      </c>
      <c r="CT26">
        <v>100</v>
      </c>
      <c r="CU26">
        <v>152</v>
      </c>
      <c r="CV26">
        <v>150</v>
      </c>
      <c r="CW26" s="42">
        <v>-2</v>
      </c>
      <c r="CX26" s="44"/>
      <c r="CY26" s="46">
        <v>96</v>
      </c>
      <c r="CZ26">
        <v>100</v>
      </c>
      <c r="DA26">
        <v>80</v>
      </c>
      <c r="DB26">
        <v>85</v>
      </c>
      <c r="DC26" s="42">
        <v>-9</v>
      </c>
      <c r="DD26" s="44"/>
      <c r="DE26" s="43"/>
      <c r="DG26">
        <v>200</v>
      </c>
      <c r="DH26">
        <v>200</v>
      </c>
      <c r="DI26">
        <v>120</v>
      </c>
      <c r="DJ26">
        <v>120</v>
      </c>
      <c r="DK26" s="42">
        <v>0</v>
      </c>
      <c r="DL26" s="44"/>
      <c r="DM26" s="43"/>
      <c r="DO26">
        <v>152</v>
      </c>
      <c r="DP26">
        <v>150</v>
      </c>
      <c r="DQ26" s="42">
        <v>2</v>
      </c>
      <c r="DR26" s="44"/>
      <c r="DU26">
        <v>256</v>
      </c>
      <c r="DV26">
        <v>260</v>
      </c>
      <c r="DW26">
        <v>296</v>
      </c>
      <c r="DX26">
        <v>300</v>
      </c>
      <c r="DY26" s="42">
        <v>-8</v>
      </c>
      <c r="DZ26" s="44"/>
      <c r="EA26" s="43"/>
      <c r="EE26" s="42">
        <v>0</v>
      </c>
      <c r="EF26" s="44"/>
      <c r="EG26" s="46">
        <v>200</v>
      </c>
      <c r="EH26">
        <v>200</v>
      </c>
      <c r="EI26">
        <v>296</v>
      </c>
      <c r="EJ26">
        <v>300</v>
      </c>
      <c r="EK26" s="42">
        <v>-4</v>
      </c>
      <c r="EL26" s="44"/>
      <c r="EM26" s="46">
        <v>160</v>
      </c>
      <c r="EN26">
        <v>160</v>
      </c>
      <c r="EO26">
        <v>160</v>
      </c>
      <c r="EP26">
        <v>160</v>
      </c>
      <c r="EQ26" s="42">
        <v>0</v>
      </c>
      <c r="ER26" s="44"/>
      <c r="EY26" s="42">
        <v>0</v>
      </c>
      <c r="EZ26" s="44"/>
      <c r="FC26">
        <v>288</v>
      </c>
      <c r="FD26">
        <v>300</v>
      </c>
      <c r="FE26" s="39">
        <v>-12</v>
      </c>
      <c r="FF26" s="44">
        <v>1.44</v>
      </c>
      <c r="FG26" s="46">
        <v>152</v>
      </c>
      <c r="FH26">
        <v>150</v>
      </c>
      <c r="FI26">
        <v>248</v>
      </c>
      <c r="FJ26">
        <v>250</v>
      </c>
      <c r="FK26" s="42">
        <v>0</v>
      </c>
      <c r="FL26" s="44"/>
      <c r="FM26" s="43"/>
      <c r="FO26" s="42">
        <v>0</v>
      </c>
      <c r="FP26" s="44"/>
      <c r="FS26">
        <v>200</v>
      </c>
      <c r="FT26">
        <v>200</v>
      </c>
      <c r="FU26" s="42">
        <v>0</v>
      </c>
      <c r="FV26" s="44"/>
      <c r="FW26" s="46">
        <v>96</v>
      </c>
      <c r="FX26">
        <v>100</v>
      </c>
      <c r="FY26">
        <v>96</v>
      </c>
      <c r="FZ26">
        <v>100</v>
      </c>
      <c r="GA26">
        <v>200</v>
      </c>
      <c r="GB26">
        <v>200</v>
      </c>
      <c r="GC26" s="42">
        <v>-8</v>
      </c>
      <c r="GD26" s="44"/>
      <c r="GG26">
        <v>192</v>
      </c>
      <c r="GH26">
        <v>190</v>
      </c>
      <c r="GI26" s="42">
        <v>2</v>
      </c>
      <c r="GJ26" s="44"/>
      <c r="GK26" s="43"/>
      <c r="GM26">
        <v>128</v>
      </c>
      <c r="GN26">
        <v>130</v>
      </c>
      <c r="GO26" s="42">
        <v>-2</v>
      </c>
      <c r="GP26" s="47"/>
      <c r="GQ26">
        <v>216</v>
      </c>
      <c r="GR26">
        <v>220</v>
      </c>
      <c r="GS26">
        <v>248</v>
      </c>
      <c r="GT26">
        <v>250</v>
      </c>
      <c r="GU26" s="42">
        <v>-6</v>
      </c>
      <c r="GV26" s="44"/>
      <c r="GY26" s="42">
        <v>0</v>
      </c>
      <c r="GZ26" s="47"/>
      <c r="HA26" s="46">
        <v>200</v>
      </c>
      <c r="HB26">
        <v>205</v>
      </c>
      <c r="HC26" s="42">
        <v>-5</v>
      </c>
      <c r="HD26" s="44"/>
      <c r="HE26" s="43"/>
      <c r="HG26">
        <v>8</v>
      </c>
      <c r="HH26">
        <v>6</v>
      </c>
      <c r="HI26" s="42">
        <v>2</v>
      </c>
      <c r="HJ26" s="47"/>
      <c r="HK26" s="46">
        <v>296</v>
      </c>
      <c r="HL26">
        <v>300</v>
      </c>
      <c r="HM26">
        <v>280</v>
      </c>
      <c r="HN26">
        <v>280</v>
      </c>
      <c r="HO26" s="42">
        <v>-4</v>
      </c>
      <c r="HP26" s="44"/>
      <c r="HT26">
        <v>240</v>
      </c>
      <c r="HU26">
        <v>240</v>
      </c>
      <c r="HV26" s="42">
        <v>0</v>
      </c>
      <c r="HW26" s="44"/>
      <c r="HX26" s="46">
        <v>48</v>
      </c>
      <c r="HY26">
        <v>50</v>
      </c>
      <c r="HZ26">
        <v>48</v>
      </c>
      <c r="IA26">
        <v>50</v>
      </c>
      <c r="IB26" s="42">
        <v>-4</v>
      </c>
      <c r="IC26" s="44"/>
      <c r="ID26">
        <v>128</v>
      </c>
      <c r="IE26">
        <v>130</v>
      </c>
      <c r="IF26">
        <v>200</v>
      </c>
      <c r="IG26">
        <v>200</v>
      </c>
      <c r="IH26" s="42">
        <v>-2</v>
      </c>
      <c r="II26" s="47"/>
      <c r="IJ26">
        <v>96</v>
      </c>
      <c r="IK26">
        <v>100</v>
      </c>
      <c r="IL26">
        <v>96</v>
      </c>
      <c r="IM26">
        <v>100</v>
      </c>
      <c r="IN26" s="42">
        <v>-8</v>
      </c>
      <c r="IO26" s="47"/>
      <c r="IP26">
        <v>168</v>
      </c>
      <c r="IQ26">
        <v>170</v>
      </c>
      <c r="IR26">
        <v>136</v>
      </c>
      <c r="IS26">
        <v>140</v>
      </c>
      <c r="IT26" s="42">
        <v>-6</v>
      </c>
      <c r="IU26" s="47"/>
      <c r="IV26">
        <v>176</v>
      </c>
      <c r="IW26">
        <v>180</v>
      </c>
      <c r="IX26">
        <v>168</v>
      </c>
      <c r="IY26">
        <v>170</v>
      </c>
      <c r="IZ26" s="42">
        <v>-6</v>
      </c>
      <c r="JA26" s="44"/>
      <c r="JD26" s="42">
        <v>0</v>
      </c>
      <c r="JE26" s="44"/>
      <c r="JF26">
        <v>296</v>
      </c>
      <c r="JG26">
        <v>300</v>
      </c>
      <c r="JH26">
        <v>224</v>
      </c>
      <c r="JI26">
        <v>229</v>
      </c>
      <c r="JJ26" s="39">
        <v>-9</v>
      </c>
      <c r="JK26" s="44">
        <v>1.08</v>
      </c>
      <c r="JL26" s="46">
        <v>360</v>
      </c>
      <c r="JM26" s="40">
        <v>360</v>
      </c>
      <c r="JN26" s="42">
        <v>0</v>
      </c>
      <c r="JO26" s="44"/>
      <c r="JR26">
        <v>320</v>
      </c>
      <c r="JS26">
        <v>320</v>
      </c>
      <c r="JT26" s="42">
        <v>0</v>
      </c>
      <c r="JU26" s="44"/>
      <c r="JZ26" s="42">
        <v>0</v>
      </c>
      <c r="KA26" s="47"/>
      <c r="KB26">
        <v>80</v>
      </c>
      <c r="KC26">
        <v>80</v>
      </c>
      <c r="KD26">
        <v>72</v>
      </c>
      <c r="KE26">
        <v>70</v>
      </c>
      <c r="KF26" s="42">
        <v>2</v>
      </c>
      <c r="KG26" s="44"/>
      <c r="KH26">
        <v>248</v>
      </c>
      <c r="KI26">
        <v>250</v>
      </c>
      <c r="KJ26">
        <v>448</v>
      </c>
      <c r="KK26">
        <v>450</v>
      </c>
      <c r="KL26" s="42">
        <v>-4</v>
      </c>
      <c r="KM26" s="47"/>
      <c r="KN26" s="46">
        <v>48</v>
      </c>
      <c r="KO26">
        <v>50</v>
      </c>
      <c r="KP26">
        <v>48</v>
      </c>
      <c r="KQ26">
        <v>50</v>
      </c>
      <c r="KT26" s="42">
        <v>-4</v>
      </c>
      <c r="KU26" s="47"/>
      <c r="KV26" s="40">
        <v>248</v>
      </c>
      <c r="KW26" s="40">
        <v>250</v>
      </c>
      <c r="KX26" s="40">
        <v>320</v>
      </c>
      <c r="KY26" s="40">
        <v>320</v>
      </c>
      <c r="KZ26" s="42">
        <v>-2</v>
      </c>
      <c r="LA26" s="47"/>
      <c r="LB26" s="40">
        <v>80</v>
      </c>
      <c r="LC26" s="40">
        <v>80</v>
      </c>
      <c r="LD26" s="40">
        <v>96</v>
      </c>
      <c r="LE26" s="40">
        <v>100</v>
      </c>
      <c r="LF26" s="42">
        <v>-4</v>
      </c>
      <c r="LG26" s="47"/>
      <c r="LH26" s="45">
        <v>0</v>
      </c>
      <c r="LI26" s="40">
        <v>0</v>
      </c>
      <c r="LJ26" s="42">
        <v>0</v>
      </c>
      <c r="LK26" s="47"/>
      <c r="LL26" s="45">
        <v>336</v>
      </c>
      <c r="LM26" s="40">
        <v>340</v>
      </c>
      <c r="LN26" s="40">
        <v>296</v>
      </c>
      <c r="LO26" s="40">
        <v>300</v>
      </c>
      <c r="LP26" s="42">
        <v>-8</v>
      </c>
      <c r="LQ26" s="47"/>
      <c r="LR26" s="45">
        <v>200</v>
      </c>
      <c r="LS26" s="40">
        <v>200</v>
      </c>
      <c r="LT26" s="40">
        <v>128</v>
      </c>
      <c r="LU26" s="40">
        <v>130</v>
      </c>
      <c r="LV26" s="42">
        <v>-2</v>
      </c>
      <c r="LW26" s="47"/>
      <c r="LX26" s="45">
        <v>0</v>
      </c>
      <c r="LY26" s="40">
        <v>0</v>
      </c>
      <c r="LZ26" s="42">
        <v>0</v>
      </c>
      <c r="MA26" s="47"/>
      <c r="MB26" s="45">
        <v>152</v>
      </c>
      <c r="MC26" s="40">
        <v>150</v>
      </c>
      <c r="MD26" s="40">
        <v>400</v>
      </c>
      <c r="ME26" s="40">
        <v>400</v>
      </c>
      <c r="MF26" s="42">
        <v>2</v>
      </c>
      <c r="MG26" s="47"/>
      <c r="MH26" s="45">
        <v>216</v>
      </c>
      <c r="MI26" s="40">
        <v>220</v>
      </c>
      <c r="MJ26" s="42">
        <v>-4</v>
      </c>
      <c r="MK26" s="47"/>
      <c r="ML26" s="45">
        <v>72</v>
      </c>
      <c r="MM26" s="40">
        <v>70</v>
      </c>
      <c r="MN26" s="40">
        <v>248</v>
      </c>
      <c r="MO26" s="40">
        <v>250</v>
      </c>
      <c r="MP26" s="42">
        <v>0</v>
      </c>
      <c r="MQ26" s="47"/>
      <c r="MR26" s="40">
        <v>0</v>
      </c>
      <c r="MS26" s="40">
        <v>0</v>
      </c>
      <c r="MT26" s="40">
        <v>608</v>
      </c>
      <c r="MU26" s="40">
        <v>610</v>
      </c>
      <c r="MV26" s="42">
        <v>-2</v>
      </c>
      <c r="MW26" s="47"/>
      <c r="MX26" s="45">
        <v>96</v>
      </c>
      <c r="MY26" s="40">
        <v>100</v>
      </c>
      <c r="MZ26" s="40">
        <v>96</v>
      </c>
      <c r="NA26" s="40">
        <v>100</v>
      </c>
      <c r="NB26" s="42">
        <v>-8</v>
      </c>
      <c r="NC26" s="47"/>
      <c r="ND26" s="45">
        <v>0</v>
      </c>
      <c r="NE26" s="30">
        <v>50</v>
      </c>
      <c r="NF26" s="40">
        <v>184</v>
      </c>
      <c r="NG26" s="40">
        <v>184</v>
      </c>
      <c r="NH26" s="39">
        <v>-50</v>
      </c>
      <c r="NI26" s="47">
        <v>6</v>
      </c>
      <c r="NJ26" s="45">
        <v>296</v>
      </c>
      <c r="NK26" s="40">
        <v>300</v>
      </c>
      <c r="NL26" s="40">
        <v>296</v>
      </c>
      <c r="NM26" s="40">
        <v>300</v>
      </c>
      <c r="NN26" s="42">
        <v>-8</v>
      </c>
      <c r="NO26" s="47"/>
      <c r="NP26" s="45">
        <v>0</v>
      </c>
      <c r="NQ26" s="30">
        <v>100</v>
      </c>
      <c r="NR26" s="40">
        <v>160</v>
      </c>
      <c r="NS26" s="40">
        <v>160</v>
      </c>
      <c r="NT26" s="39">
        <v>-100</v>
      </c>
      <c r="NU26" s="47">
        <v>12</v>
      </c>
      <c r="NV26" s="45">
        <v>200</v>
      </c>
      <c r="NW26" s="40">
        <v>200</v>
      </c>
      <c r="NX26" s="40">
        <v>288</v>
      </c>
      <c r="NY26" s="40">
        <v>293</v>
      </c>
      <c r="NZ26" s="42">
        <v>-5</v>
      </c>
      <c r="OA26" s="47"/>
      <c r="OB26" s="45">
        <v>448</v>
      </c>
      <c r="OC26" s="40">
        <v>450</v>
      </c>
      <c r="OD26" s="42">
        <v>-2</v>
      </c>
      <c r="OE26" s="47"/>
      <c r="OF26" s="45">
        <v>0</v>
      </c>
      <c r="OG26" s="40">
        <v>0</v>
      </c>
      <c r="OH26" s="40">
        <v>0</v>
      </c>
      <c r="OI26" s="40">
        <v>0</v>
      </c>
      <c r="OJ26" s="42">
        <v>0</v>
      </c>
      <c r="OK26" s="47"/>
      <c r="OL26" s="45">
        <v>296</v>
      </c>
      <c r="OM26" s="40">
        <v>950</v>
      </c>
      <c r="ON26" s="40">
        <v>552</v>
      </c>
      <c r="OO26" s="40">
        <v>550</v>
      </c>
      <c r="OP26" s="39">
        <v>-652</v>
      </c>
      <c r="OQ26" s="47">
        <v>78.239999999999995</v>
      </c>
      <c r="OR26" s="45">
        <v>0</v>
      </c>
      <c r="OS26" s="40">
        <v>0</v>
      </c>
      <c r="OT26" s="40">
        <v>0</v>
      </c>
      <c r="OU26" s="40">
        <v>0</v>
      </c>
      <c r="OV26" s="42">
        <v>0</v>
      </c>
      <c r="OW26" s="47"/>
      <c r="OX26" s="40">
        <v>200</v>
      </c>
      <c r="OY26" s="40">
        <v>200</v>
      </c>
      <c r="OZ26" s="40">
        <v>200</v>
      </c>
      <c r="PA26" s="40">
        <v>200</v>
      </c>
      <c r="PB26" s="42">
        <v>0</v>
      </c>
      <c r="PC26" s="47"/>
      <c r="PD26" s="45">
        <v>496</v>
      </c>
      <c r="PE26" s="40">
        <v>500</v>
      </c>
      <c r="PF26" s="40">
        <v>560</v>
      </c>
      <c r="PG26" s="40">
        <v>558</v>
      </c>
      <c r="PH26" s="42">
        <v>-2</v>
      </c>
      <c r="PI26" s="47"/>
      <c r="PJ26" s="45">
        <v>0</v>
      </c>
      <c r="PK26" s="40">
        <v>0</v>
      </c>
      <c r="PL26" s="40">
        <v>200</v>
      </c>
      <c r="PM26" s="40">
        <v>200</v>
      </c>
      <c r="PN26" s="42">
        <v>0</v>
      </c>
      <c r="PO26" s="47"/>
      <c r="PP26" s="43">
        <v>240</v>
      </c>
      <c r="PQ26" s="40">
        <v>250</v>
      </c>
      <c r="PR26" s="40">
        <v>344</v>
      </c>
      <c r="PS26" s="40">
        <v>346</v>
      </c>
      <c r="PT26" s="42">
        <v>-12</v>
      </c>
      <c r="PU26" s="47"/>
      <c r="PV26" s="45">
        <v>200</v>
      </c>
      <c r="PW26" s="40">
        <v>200</v>
      </c>
      <c r="PX26" s="40">
        <v>200</v>
      </c>
      <c r="PY26" s="40">
        <v>200</v>
      </c>
      <c r="PZ26" s="42">
        <v>0</v>
      </c>
      <c r="QA26" s="47"/>
      <c r="QB26" s="45">
        <v>168</v>
      </c>
      <c r="QC26" s="40">
        <v>172</v>
      </c>
      <c r="QD26" s="42">
        <v>-4</v>
      </c>
      <c r="QE26" s="47"/>
      <c r="QF26" s="45">
        <v>328</v>
      </c>
      <c r="QG26" s="40">
        <v>332</v>
      </c>
      <c r="QH26" s="40">
        <v>480</v>
      </c>
      <c r="QI26" s="40">
        <v>500</v>
      </c>
      <c r="QJ26" s="39">
        <v>-24</v>
      </c>
      <c r="QK26" s="47">
        <v>2.88</v>
      </c>
      <c r="QL26" s="45">
        <v>152</v>
      </c>
      <c r="QM26" s="40">
        <v>150</v>
      </c>
      <c r="QN26" s="40">
        <v>248</v>
      </c>
      <c r="QO26" s="40">
        <v>250</v>
      </c>
      <c r="QP26" s="42">
        <v>0</v>
      </c>
      <c r="QQ26" s="47"/>
      <c r="QR26" s="45">
        <v>56</v>
      </c>
      <c r="QS26" s="40">
        <v>54</v>
      </c>
      <c r="QT26" s="40">
        <v>48</v>
      </c>
      <c r="QU26" s="40">
        <v>50</v>
      </c>
      <c r="QV26" s="42">
        <v>0</v>
      </c>
      <c r="QW26" s="47"/>
      <c r="QX26" s="45">
        <v>288</v>
      </c>
      <c r="QY26" s="40">
        <v>300</v>
      </c>
      <c r="QZ26" s="40">
        <v>344</v>
      </c>
      <c r="RA26" s="40">
        <v>350</v>
      </c>
      <c r="RB26" s="42">
        <v>-18</v>
      </c>
      <c r="RC26" s="47"/>
      <c r="RD26" s="45">
        <v>632</v>
      </c>
      <c r="RE26" s="40">
        <v>632.20000000000005</v>
      </c>
      <c r="RF26" s="42">
        <v>-0.2000000000000455</v>
      </c>
      <c r="RG26" s="47"/>
    </row>
    <row r="27" spans="1:475" x14ac:dyDescent="0.25">
      <c r="A27" s="40" t="s">
        <v>316</v>
      </c>
      <c r="B27" s="41">
        <v>1</v>
      </c>
      <c r="N27" s="43"/>
      <c r="O27" s="48"/>
      <c r="P27" s="48"/>
      <c r="Q27" s="48"/>
      <c r="R27" s="48">
        <f t="shared" si="8"/>
        <v>0</v>
      </c>
      <c r="S27" s="44"/>
      <c r="T27" s="43"/>
      <c r="U27" s="48"/>
      <c r="V27" s="48"/>
      <c r="W27" s="48"/>
      <c r="X27" s="48">
        <f t="shared" si="9"/>
        <v>0</v>
      </c>
      <c r="Y27" s="44"/>
      <c r="Z27" s="43"/>
      <c r="AA27" s="48"/>
      <c r="AB27" s="48"/>
      <c r="AC27" s="48"/>
      <c r="AD27" s="48">
        <f t="shared" si="10"/>
        <v>0</v>
      </c>
      <c r="AE27" s="44"/>
      <c r="AF27" s="43"/>
      <c r="AG27" s="48"/>
      <c r="AH27" s="48"/>
      <c r="AI27" s="48"/>
      <c r="AJ27" s="48">
        <f t="shared" si="11"/>
        <v>0</v>
      </c>
      <c r="AK27" s="44"/>
      <c r="AL27" s="48"/>
      <c r="AP27" s="42">
        <v>0</v>
      </c>
      <c r="AQ27" s="44"/>
      <c r="AR27" s="43"/>
      <c r="AV27" s="42">
        <v>0</v>
      </c>
      <c r="AW27" s="44"/>
      <c r="BC27" s="42">
        <v>0</v>
      </c>
      <c r="BD27" s="44"/>
      <c r="BE27" s="43"/>
      <c r="BI27" s="42">
        <v>0</v>
      </c>
      <c r="BJ27" s="44"/>
      <c r="BO27" s="42">
        <v>0</v>
      </c>
      <c r="BP27" s="44"/>
      <c r="BS27" s="42">
        <v>0</v>
      </c>
      <c r="BT27" s="44"/>
      <c r="BU27" s="43"/>
      <c r="BY27" s="42">
        <v>0</v>
      </c>
      <c r="BZ27" s="44"/>
      <c r="CE27" s="42">
        <v>0</v>
      </c>
      <c r="CF27" s="44"/>
      <c r="CG27" s="43"/>
      <c r="CK27" s="42">
        <v>0</v>
      </c>
      <c r="CL27" s="44"/>
      <c r="CM27" s="43"/>
      <c r="CQ27" s="42">
        <v>0</v>
      </c>
      <c r="CR27" s="44"/>
      <c r="CW27" s="42">
        <v>0</v>
      </c>
      <c r="CX27" s="44"/>
      <c r="CY27" s="43"/>
      <c r="DC27" s="42">
        <v>0</v>
      </c>
      <c r="DD27" s="44"/>
      <c r="DE27" s="43"/>
      <c r="DK27" s="42">
        <v>0</v>
      </c>
      <c r="DL27" s="44"/>
      <c r="DM27" s="43"/>
      <c r="DQ27" s="42">
        <v>0</v>
      </c>
      <c r="DR27" s="44"/>
      <c r="DY27" s="42">
        <v>0</v>
      </c>
      <c r="DZ27" s="44"/>
      <c r="EA27" s="43"/>
      <c r="EE27" s="42">
        <v>0</v>
      </c>
      <c r="EF27" s="44"/>
      <c r="EG27" s="43"/>
      <c r="EK27" s="42">
        <v>0</v>
      </c>
      <c r="EL27" s="44"/>
      <c r="EM27" s="43"/>
      <c r="EQ27" s="42">
        <v>0</v>
      </c>
      <c r="ER27" s="44"/>
      <c r="EY27" s="42">
        <v>0</v>
      </c>
      <c r="EZ27" s="44"/>
      <c r="FE27" s="42">
        <v>0</v>
      </c>
      <c r="FF27" s="44"/>
      <c r="FG27" s="43"/>
      <c r="FK27" s="42">
        <v>0</v>
      </c>
      <c r="FL27" s="44"/>
      <c r="FM27" s="43"/>
      <c r="FO27" s="42">
        <v>0</v>
      </c>
      <c r="FP27" s="44"/>
      <c r="FU27" s="42">
        <v>0</v>
      </c>
      <c r="FV27" s="44"/>
      <c r="FW27" s="43"/>
      <c r="GC27" s="42">
        <v>0</v>
      </c>
      <c r="GD27" s="44"/>
      <c r="GI27" s="42">
        <v>0</v>
      </c>
      <c r="GJ27" s="44"/>
      <c r="GK27" s="43"/>
      <c r="GO27" s="42">
        <v>0</v>
      </c>
      <c r="GP27" s="47"/>
      <c r="GU27" s="42">
        <v>0</v>
      </c>
      <c r="GV27" s="44"/>
      <c r="GY27" s="42">
        <v>0</v>
      </c>
      <c r="GZ27" s="47"/>
      <c r="HA27" s="43"/>
      <c r="HC27" s="42">
        <v>0</v>
      </c>
      <c r="HD27" s="44"/>
      <c r="HE27" s="43"/>
      <c r="HI27" s="42">
        <v>0</v>
      </c>
      <c r="HJ27" s="47"/>
      <c r="HK27" s="43"/>
      <c r="HO27" s="42">
        <v>0</v>
      </c>
      <c r="HP27" s="44"/>
      <c r="HV27" s="42">
        <v>0</v>
      </c>
      <c r="HW27" s="44"/>
      <c r="HX27" s="45"/>
      <c r="IB27" s="42">
        <v>0</v>
      </c>
      <c r="IC27" s="44"/>
      <c r="IH27" s="42">
        <v>0</v>
      </c>
      <c r="II27" s="47"/>
      <c r="IN27" s="42">
        <v>0</v>
      </c>
      <c r="IO27" s="47"/>
      <c r="IQ27">
        <v>200</v>
      </c>
      <c r="IR27">
        <v>196</v>
      </c>
      <c r="IS27">
        <v>200</v>
      </c>
      <c r="IT27" s="39">
        <v>-204</v>
      </c>
      <c r="IU27" s="47">
        <v>204</v>
      </c>
      <c r="IV27">
        <v>159</v>
      </c>
      <c r="IW27">
        <v>160</v>
      </c>
      <c r="IX27">
        <v>129</v>
      </c>
      <c r="IY27">
        <v>130</v>
      </c>
      <c r="IZ27" s="42">
        <v>-2</v>
      </c>
      <c r="JA27" s="44"/>
      <c r="JB27">
        <v>120</v>
      </c>
      <c r="JC27">
        <v>122</v>
      </c>
      <c r="JD27" s="42">
        <v>-2</v>
      </c>
      <c r="JE27" s="44"/>
      <c r="JF27">
        <v>149</v>
      </c>
      <c r="JG27">
        <v>150</v>
      </c>
      <c r="JH27">
        <v>104</v>
      </c>
      <c r="JI27">
        <v>105</v>
      </c>
      <c r="JJ27" s="42">
        <v>-2</v>
      </c>
      <c r="JK27" s="44"/>
      <c r="JL27" s="46">
        <v>110</v>
      </c>
      <c r="JM27" s="40">
        <v>110</v>
      </c>
      <c r="JN27" s="42">
        <v>0</v>
      </c>
      <c r="JO27" s="44"/>
      <c r="JT27" s="42">
        <v>0</v>
      </c>
      <c r="JU27" s="44"/>
      <c r="JV27">
        <v>198</v>
      </c>
      <c r="JW27">
        <v>200</v>
      </c>
      <c r="JZ27" s="42">
        <v>-2</v>
      </c>
      <c r="KA27" s="47"/>
      <c r="KB27">
        <v>149</v>
      </c>
      <c r="KC27">
        <v>150</v>
      </c>
      <c r="KD27">
        <v>223</v>
      </c>
      <c r="KE27">
        <v>220</v>
      </c>
      <c r="KF27" s="42">
        <v>2</v>
      </c>
      <c r="KG27" s="44"/>
      <c r="KH27">
        <v>52</v>
      </c>
      <c r="KI27">
        <v>50</v>
      </c>
      <c r="KJ27">
        <v>81</v>
      </c>
      <c r="KK27">
        <v>80</v>
      </c>
      <c r="KL27" s="42">
        <v>3</v>
      </c>
      <c r="KM27" s="47"/>
      <c r="KN27" s="46">
        <v>151</v>
      </c>
      <c r="KO27">
        <v>150</v>
      </c>
      <c r="KP27">
        <v>154</v>
      </c>
      <c r="KQ27">
        <v>150</v>
      </c>
      <c r="KR27">
        <v>120</v>
      </c>
      <c r="KS27">
        <v>100</v>
      </c>
      <c r="KT27" s="42">
        <v>25</v>
      </c>
      <c r="KU27" s="47"/>
      <c r="KV27" s="40">
        <v>149.61099999999999</v>
      </c>
      <c r="KW27" s="40">
        <v>150</v>
      </c>
      <c r="KX27" s="40">
        <v>218.733</v>
      </c>
      <c r="KY27" s="40">
        <v>220</v>
      </c>
      <c r="KZ27" s="42">
        <v>-1.6560000000000059</v>
      </c>
      <c r="LA27" s="47"/>
      <c r="LB27" s="40">
        <v>0</v>
      </c>
      <c r="LC27" s="40">
        <v>0</v>
      </c>
      <c r="LD27" s="40">
        <v>0</v>
      </c>
      <c r="LE27" s="40">
        <v>0</v>
      </c>
      <c r="LF27" s="42">
        <v>0</v>
      </c>
      <c r="LG27" s="47"/>
      <c r="LH27" s="45">
        <v>289.75799999999998</v>
      </c>
      <c r="LI27" s="40">
        <v>291</v>
      </c>
      <c r="LJ27" s="42">
        <v>-1.2420000000000191</v>
      </c>
      <c r="LK27" s="47"/>
      <c r="LL27" s="45">
        <v>100.753</v>
      </c>
      <c r="LM27" s="40">
        <v>100</v>
      </c>
      <c r="LN27" s="40">
        <v>77.605999999999995</v>
      </c>
      <c r="LO27" s="40">
        <v>80</v>
      </c>
      <c r="LP27" s="42">
        <v>-1.64100000000002</v>
      </c>
      <c r="LQ27" s="47"/>
      <c r="LR27" s="45">
        <v>150.078</v>
      </c>
      <c r="LS27" s="40">
        <v>150</v>
      </c>
      <c r="LT27" s="40">
        <v>223.24700000000001</v>
      </c>
      <c r="LU27" s="40">
        <v>220</v>
      </c>
      <c r="LV27" s="42">
        <v>3.325000000000045</v>
      </c>
      <c r="LW27" s="47"/>
      <c r="LX27" s="45">
        <v>122.223</v>
      </c>
      <c r="LY27" s="40">
        <v>120</v>
      </c>
      <c r="LZ27" s="42">
        <v>2.222999999999999</v>
      </c>
      <c r="MA27" s="47"/>
      <c r="MB27" s="45">
        <v>103.294</v>
      </c>
      <c r="MC27" s="40">
        <v>100</v>
      </c>
      <c r="MD27" s="40">
        <v>216.26400000000001</v>
      </c>
      <c r="ME27" s="40">
        <v>220</v>
      </c>
      <c r="MF27" s="42">
        <v>-0.44200000000000728</v>
      </c>
      <c r="MG27" s="47"/>
      <c r="MH27" s="45">
        <v>140.84200000000001</v>
      </c>
      <c r="MI27" s="40">
        <v>140</v>
      </c>
      <c r="MJ27" s="42">
        <v>0.84200000000001296</v>
      </c>
      <c r="MK27" s="47"/>
      <c r="ML27" s="45">
        <v>51.316000000000003</v>
      </c>
      <c r="MM27" s="40">
        <v>50</v>
      </c>
      <c r="MN27" s="40">
        <v>202.82900000000001</v>
      </c>
      <c r="MO27" s="40">
        <v>200</v>
      </c>
      <c r="MP27" s="42">
        <v>4.1450000000000102</v>
      </c>
      <c r="MQ27" s="47"/>
      <c r="MR27" s="40">
        <v>0</v>
      </c>
      <c r="MS27" s="40">
        <v>0</v>
      </c>
      <c r="MT27" s="40">
        <v>308.71800000000002</v>
      </c>
      <c r="MU27" s="40">
        <v>310</v>
      </c>
      <c r="MV27" s="42">
        <v>-1.281999999999982</v>
      </c>
      <c r="MW27" s="47"/>
      <c r="MX27" s="45">
        <v>0</v>
      </c>
      <c r="MY27" s="40">
        <v>0</v>
      </c>
      <c r="MZ27" s="40">
        <v>41.707999999999998</v>
      </c>
      <c r="NA27" s="40">
        <v>40</v>
      </c>
      <c r="NB27" s="42">
        <v>1.707999999999998</v>
      </c>
      <c r="NC27" s="47"/>
      <c r="ND27" s="45">
        <v>0</v>
      </c>
      <c r="NE27" s="40">
        <v>0</v>
      </c>
      <c r="NF27" s="40">
        <v>42.051000000000002</v>
      </c>
      <c r="NG27" s="40">
        <v>40</v>
      </c>
      <c r="NH27" s="42">
        <v>2.0510000000000019</v>
      </c>
      <c r="NI27" s="47"/>
      <c r="NJ27" s="45">
        <v>249.69499999999999</v>
      </c>
      <c r="NK27" s="40">
        <v>250</v>
      </c>
      <c r="NL27" s="40">
        <v>343.72899999999998</v>
      </c>
      <c r="NM27" s="40">
        <v>347</v>
      </c>
      <c r="NN27" s="42">
        <v>-3.5760000000000218</v>
      </c>
      <c r="NO27" s="47"/>
      <c r="NP27" s="45">
        <v>0</v>
      </c>
      <c r="NQ27" s="40">
        <v>0</v>
      </c>
      <c r="NR27" s="40">
        <v>60.296999999999997</v>
      </c>
      <c r="NS27" s="40">
        <v>60</v>
      </c>
      <c r="NT27" s="42">
        <v>0.29699999999999699</v>
      </c>
      <c r="NU27" s="47"/>
      <c r="NV27" s="45">
        <v>0</v>
      </c>
      <c r="NW27" s="40">
        <v>0</v>
      </c>
      <c r="NX27" s="40">
        <v>51.387999999999998</v>
      </c>
      <c r="NY27" s="40">
        <v>50</v>
      </c>
      <c r="NZ27" s="42">
        <v>1.3879999999999979</v>
      </c>
      <c r="OA27" s="47"/>
      <c r="OB27" s="45">
        <v>494.51299999999998</v>
      </c>
      <c r="OC27" s="40">
        <v>491</v>
      </c>
      <c r="OD27" s="42">
        <v>3.5129999999999768</v>
      </c>
      <c r="OE27" s="47"/>
      <c r="OF27" s="45">
        <v>0</v>
      </c>
      <c r="OG27" s="40">
        <v>0</v>
      </c>
      <c r="OH27" s="40">
        <v>0</v>
      </c>
      <c r="OI27" s="40">
        <v>0</v>
      </c>
      <c r="OJ27" s="42">
        <v>0</v>
      </c>
      <c r="OK27" s="47"/>
      <c r="OL27" s="45">
        <v>0</v>
      </c>
      <c r="OM27" s="40">
        <v>0</v>
      </c>
      <c r="ON27" s="40">
        <v>50.759</v>
      </c>
      <c r="OO27" s="40">
        <v>50</v>
      </c>
      <c r="OP27" s="42">
        <v>0.75900000000000034</v>
      </c>
      <c r="OQ27" s="47"/>
      <c r="OR27" s="45">
        <v>0</v>
      </c>
      <c r="OS27" s="40">
        <v>0</v>
      </c>
      <c r="OT27" s="14">
        <v>53.457999999999998</v>
      </c>
      <c r="OU27" s="40">
        <v>0</v>
      </c>
      <c r="OV27" s="42">
        <v>0</v>
      </c>
      <c r="OW27" s="47"/>
      <c r="OX27" s="14">
        <v>160.96899999999999</v>
      </c>
      <c r="OY27" s="40">
        <v>0</v>
      </c>
      <c r="OZ27" s="14">
        <v>150.054</v>
      </c>
      <c r="PA27" s="40">
        <v>0</v>
      </c>
      <c r="PB27" s="42">
        <v>0</v>
      </c>
      <c r="PC27" s="47"/>
      <c r="PD27" s="45"/>
      <c r="PI27" s="47"/>
      <c r="PJ27" s="45"/>
      <c r="PO27" s="47"/>
      <c r="PP27" s="43"/>
      <c r="PU27" s="47"/>
      <c r="PV27" s="45"/>
      <c r="QA27" s="47"/>
      <c r="QB27" s="45"/>
      <c r="QE27" s="47"/>
      <c r="QF27" s="45"/>
      <c r="QK27" s="47"/>
      <c r="QL27" s="45"/>
      <c r="QQ27" s="47"/>
      <c r="QR27" s="45"/>
      <c r="QW27" s="47"/>
      <c r="QX27" s="45"/>
      <c r="RB27" s="42"/>
      <c r="RC27" s="47"/>
      <c r="RD27" s="45"/>
      <c r="RF27" s="42"/>
      <c r="RG27" s="47"/>
    </row>
    <row r="28" spans="1:475" x14ac:dyDescent="0.25">
      <c r="A28" s="40" t="s">
        <v>317</v>
      </c>
      <c r="B28" s="41">
        <v>0.25</v>
      </c>
      <c r="E28">
        <v>50</v>
      </c>
      <c r="F28">
        <v>50</v>
      </c>
      <c r="I28">
        <v>120</v>
      </c>
      <c r="K28">
        <v>180</v>
      </c>
      <c r="N28" s="43"/>
      <c r="O28" s="49">
        <v>160</v>
      </c>
      <c r="P28" s="48"/>
      <c r="Q28" s="49">
        <v>197</v>
      </c>
      <c r="R28" s="53">
        <f t="shared" si="8"/>
        <v>-357</v>
      </c>
      <c r="S28" s="44">
        <f>-1*R28*B28</f>
        <v>89.25</v>
      </c>
      <c r="T28" s="43"/>
      <c r="U28" s="49">
        <v>240</v>
      </c>
      <c r="V28" s="48"/>
      <c r="W28" s="49">
        <v>260</v>
      </c>
      <c r="X28" s="53">
        <f t="shared" si="9"/>
        <v>-500</v>
      </c>
      <c r="Y28" s="44">
        <f t="shared" ref="Y28:Y29" si="12">-1*X28*B28</f>
        <v>125</v>
      </c>
      <c r="Z28" s="43"/>
      <c r="AA28" s="48"/>
      <c r="AB28" s="48"/>
      <c r="AC28" s="48"/>
      <c r="AD28" s="48">
        <f t="shared" si="10"/>
        <v>0</v>
      </c>
      <c r="AE28" s="44"/>
      <c r="AF28" s="43"/>
      <c r="AG28" s="48"/>
      <c r="AH28" s="48"/>
      <c r="AI28" s="48"/>
      <c r="AJ28" s="48">
        <f t="shared" si="11"/>
        <v>0</v>
      </c>
      <c r="AK28" s="44"/>
      <c r="AL28" s="49">
        <v>352</v>
      </c>
      <c r="AM28">
        <v>350</v>
      </c>
      <c r="AN28">
        <v>368</v>
      </c>
      <c r="AO28">
        <v>373</v>
      </c>
      <c r="AP28" s="42">
        <v>-3</v>
      </c>
      <c r="AQ28" s="44"/>
      <c r="AR28" s="43"/>
      <c r="AS28">
        <v>100</v>
      </c>
      <c r="AV28" s="39">
        <v>-100</v>
      </c>
      <c r="AW28" s="44">
        <v>25</v>
      </c>
      <c r="AX28">
        <v>96</v>
      </c>
      <c r="AZ28">
        <v>100</v>
      </c>
      <c r="BA28">
        <v>144</v>
      </c>
      <c r="BB28">
        <v>150</v>
      </c>
      <c r="BC28" s="42">
        <v>-10</v>
      </c>
      <c r="BD28" s="44"/>
      <c r="BE28" s="46">
        <v>144</v>
      </c>
      <c r="BF28">
        <v>150</v>
      </c>
      <c r="BI28" s="42">
        <v>-6</v>
      </c>
      <c r="BJ28" s="44"/>
      <c r="BK28">
        <v>248</v>
      </c>
      <c r="BL28">
        <v>250</v>
      </c>
      <c r="BM28">
        <v>264</v>
      </c>
      <c r="BN28">
        <v>268</v>
      </c>
      <c r="BO28" s="42">
        <v>-6</v>
      </c>
      <c r="BP28" s="44"/>
      <c r="BS28" s="42">
        <v>0</v>
      </c>
      <c r="BT28" s="44"/>
      <c r="BU28" s="43"/>
      <c r="BW28">
        <v>448</v>
      </c>
      <c r="BX28">
        <v>447</v>
      </c>
      <c r="BY28" s="42">
        <v>1</v>
      </c>
      <c r="BZ28" s="44"/>
      <c r="CA28">
        <v>152</v>
      </c>
      <c r="CB28">
        <v>150</v>
      </c>
      <c r="CC28">
        <v>400</v>
      </c>
      <c r="CD28">
        <v>400</v>
      </c>
      <c r="CE28" s="42">
        <v>2</v>
      </c>
      <c r="CF28" s="44"/>
      <c r="CG28" s="43"/>
      <c r="CH28">
        <v>50</v>
      </c>
      <c r="CI28">
        <v>96</v>
      </c>
      <c r="CJ28">
        <v>100</v>
      </c>
      <c r="CK28" s="42">
        <v>-54</v>
      </c>
      <c r="CL28" s="44"/>
      <c r="CM28" s="43"/>
      <c r="CO28">
        <v>320</v>
      </c>
      <c r="CP28">
        <v>320</v>
      </c>
      <c r="CQ28" s="42">
        <v>0</v>
      </c>
      <c r="CR28" s="44"/>
      <c r="CS28">
        <v>160</v>
      </c>
      <c r="CT28">
        <v>160</v>
      </c>
      <c r="CU28">
        <v>240</v>
      </c>
      <c r="CV28">
        <v>240</v>
      </c>
      <c r="CW28" s="42">
        <v>0</v>
      </c>
      <c r="CX28" s="44"/>
      <c r="CY28" s="46">
        <v>32</v>
      </c>
      <c r="CZ28">
        <v>30</v>
      </c>
      <c r="DC28" s="42">
        <v>2</v>
      </c>
      <c r="DD28" s="44"/>
      <c r="DE28" s="43"/>
      <c r="DI28">
        <v>200</v>
      </c>
      <c r="DJ28">
        <v>204</v>
      </c>
      <c r="DK28" s="42">
        <v>-4</v>
      </c>
      <c r="DL28" s="44"/>
      <c r="DM28" s="46">
        <v>40</v>
      </c>
      <c r="DN28">
        <v>40</v>
      </c>
      <c r="DO28">
        <v>56</v>
      </c>
      <c r="DP28">
        <v>60</v>
      </c>
      <c r="DQ28" s="42">
        <v>-4</v>
      </c>
      <c r="DR28" s="44"/>
      <c r="DS28">
        <v>200</v>
      </c>
      <c r="DT28">
        <v>200</v>
      </c>
      <c r="DU28">
        <v>232</v>
      </c>
      <c r="DV28">
        <v>230</v>
      </c>
      <c r="DW28">
        <v>200</v>
      </c>
      <c r="DX28">
        <v>200</v>
      </c>
      <c r="DY28" s="42">
        <v>2</v>
      </c>
      <c r="DZ28" s="44"/>
      <c r="EA28" s="46">
        <v>96</v>
      </c>
      <c r="EB28">
        <v>100</v>
      </c>
      <c r="EC28">
        <v>184</v>
      </c>
      <c r="ED28">
        <v>187</v>
      </c>
      <c r="EE28" s="42">
        <v>-7</v>
      </c>
      <c r="EF28" s="44"/>
      <c r="EG28" s="43"/>
      <c r="EI28">
        <v>152</v>
      </c>
      <c r="EJ28">
        <v>150</v>
      </c>
      <c r="EK28" s="42">
        <v>2</v>
      </c>
      <c r="EL28" s="44"/>
      <c r="EM28" s="46">
        <v>120</v>
      </c>
      <c r="EN28">
        <v>120</v>
      </c>
      <c r="EO28">
        <v>96</v>
      </c>
      <c r="EP28">
        <v>100</v>
      </c>
      <c r="EQ28" s="42">
        <v>-4</v>
      </c>
      <c r="ER28" s="44"/>
      <c r="ES28">
        <v>120</v>
      </c>
      <c r="ET28">
        <v>120</v>
      </c>
      <c r="EU28">
        <v>112</v>
      </c>
      <c r="EV28">
        <v>120</v>
      </c>
      <c r="EW28">
        <v>152</v>
      </c>
      <c r="EX28">
        <v>150</v>
      </c>
      <c r="EY28" s="42">
        <v>-6</v>
      </c>
      <c r="EZ28" s="44"/>
      <c r="FC28">
        <v>96</v>
      </c>
      <c r="FD28">
        <v>100</v>
      </c>
      <c r="FE28" s="42">
        <v>-4</v>
      </c>
      <c r="FF28" s="44"/>
      <c r="FG28" s="46">
        <v>96</v>
      </c>
      <c r="FH28">
        <v>100</v>
      </c>
      <c r="FI28">
        <v>192</v>
      </c>
      <c r="FJ28">
        <v>192</v>
      </c>
      <c r="FK28" s="42">
        <v>-4</v>
      </c>
      <c r="FL28" s="44"/>
      <c r="FM28" s="43"/>
      <c r="FO28" s="42">
        <v>0</v>
      </c>
      <c r="FP28" s="44"/>
      <c r="FS28">
        <v>248</v>
      </c>
      <c r="FT28">
        <v>250</v>
      </c>
      <c r="FU28" s="42">
        <v>-2</v>
      </c>
      <c r="FV28" s="44"/>
      <c r="FW28" s="46">
        <v>96</v>
      </c>
      <c r="FX28">
        <v>100</v>
      </c>
      <c r="FZ28">
        <v>100</v>
      </c>
      <c r="GA28">
        <v>200</v>
      </c>
      <c r="GB28">
        <v>200</v>
      </c>
      <c r="GC28" s="39">
        <v>-104</v>
      </c>
      <c r="GD28" s="44">
        <v>26</v>
      </c>
      <c r="GE28">
        <v>192</v>
      </c>
      <c r="GF28">
        <v>190</v>
      </c>
      <c r="GG28">
        <v>200</v>
      </c>
      <c r="GH28">
        <v>200</v>
      </c>
      <c r="GI28" s="42">
        <v>2</v>
      </c>
      <c r="GJ28" s="44"/>
      <c r="GK28" s="43"/>
      <c r="GM28">
        <v>72</v>
      </c>
      <c r="GN28">
        <v>75</v>
      </c>
      <c r="GO28" s="42">
        <v>-3</v>
      </c>
      <c r="GP28" s="47"/>
      <c r="GS28">
        <v>152</v>
      </c>
      <c r="GT28">
        <v>150</v>
      </c>
      <c r="GU28" s="42">
        <v>2</v>
      </c>
      <c r="GV28" s="44"/>
      <c r="GY28" s="42">
        <v>0</v>
      </c>
      <c r="GZ28" s="47"/>
      <c r="HA28" s="43"/>
      <c r="HC28" s="42">
        <v>0</v>
      </c>
      <c r="HD28" s="44"/>
      <c r="HE28" s="46">
        <v>352</v>
      </c>
      <c r="HF28">
        <v>350</v>
      </c>
      <c r="HG28">
        <v>400</v>
      </c>
      <c r="HH28">
        <v>400</v>
      </c>
      <c r="HI28" s="42">
        <v>2</v>
      </c>
      <c r="HJ28" s="47"/>
      <c r="HK28" s="46">
        <v>136</v>
      </c>
      <c r="HL28">
        <v>140</v>
      </c>
      <c r="HM28">
        <v>96</v>
      </c>
      <c r="HN28">
        <v>100</v>
      </c>
      <c r="HO28" s="42">
        <v>-8</v>
      </c>
      <c r="HP28" s="44"/>
      <c r="HT28">
        <v>48</v>
      </c>
      <c r="HU28">
        <v>50</v>
      </c>
      <c r="HV28" s="42">
        <v>-2</v>
      </c>
      <c r="HW28" s="44"/>
      <c r="HX28" s="46">
        <v>248</v>
      </c>
      <c r="HY28">
        <v>250</v>
      </c>
      <c r="HZ28">
        <v>240</v>
      </c>
      <c r="IA28">
        <v>242</v>
      </c>
      <c r="IB28" s="42">
        <v>-4</v>
      </c>
      <c r="IC28" s="44"/>
      <c r="IH28" s="42">
        <v>0</v>
      </c>
      <c r="II28" s="47"/>
      <c r="IL28">
        <v>40</v>
      </c>
      <c r="IM28">
        <v>40</v>
      </c>
      <c r="IN28" s="42">
        <v>0</v>
      </c>
      <c r="IO28" s="47"/>
      <c r="IP28">
        <v>168</v>
      </c>
      <c r="IQ28">
        <v>170</v>
      </c>
      <c r="IR28">
        <v>152</v>
      </c>
      <c r="IS28">
        <v>150</v>
      </c>
      <c r="IT28" s="42">
        <v>0</v>
      </c>
      <c r="IU28" s="47"/>
      <c r="IV28">
        <v>40</v>
      </c>
      <c r="IW28">
        <v>40</v>
      </c>
      <c r="IX28">
        <v>80</v>
      </c>
      <c r="IY28">
        <v>80</v>
      </c>
      <c r="IZ28" s="42">
        <v>0</v>
      </c>
      <c r="JA28" s="44"/>
      <c r="JD28" s="42">
        <v>0</v>
      </c>
      <c r="JE28" s="44"/>
      <c r="JF28">
        <v>320</v>
      </c>
      <c r="JG28">
        <v>320</v>
      </c>
      <c r="JH28">
        <v>224</v>
      </c>
      <c r="JI28">
        <v>228</v>
      </c>
      <c r="JJ28" s="42">
        <v>-4</v>
      </c>
      <c r="JK28" s="44"/>
      <c r="JL28" s="46">
        <v>288</v>
      </c>
      <c r="JM28" s="40">
        <v>290</v>
      </c>
      <c r="JN28" s="42">
        <v>-2</v>
      </c>
      <c r="JO28" s="44"/>
      <c r="JR28">
        <v>192</v>
      </c>
      <c r="JS28">
        <v>190</v>
      </c>
      <c r="JT28" s="42">
        <v>2</v>
      </c>
      <c r="JU28" s="44"/>
      <c r="JZ28" s="42">
        <v>0</v>
      </c>
      <c r="KA28" s="47"/>
      <c r="KB28">
        <v>352</v>
      </c>
      <c r="KC28">
        <v>350</v>
      </c>
      <c r="KD28">
        <v>96</v>
      </c>
      <c r="KE28">
        <v>100</v>
      </c>
      <c r="KF28" s="42">
        <v>-2</v>
      </c>
      <c r="KG28" s="44"/>
      <c r="KH28">
        <v>296</v>
      </c>
      <c r="KI28">
        <v>300</v>
      </c>
      <c r="KJ28">
        <v>96</v>
      </c>
      <c r="KK28">
        <v>100</v>
      </c>
      <c r="KL28" s="42">
        <v>-8</v>
      </c>
      <c r="KM28" s="47"/>
      <c r="KN28" s="45"/>
      <c r="KT28" s="42">
        <v>0</v>
      </c>
      <c r="KU28" s="47"/>
      <c r="KV28" s="40">
        <v>296</v>
      </c>
      <c r="KW28" s="40">
        <v>300</v>
      </c>
      <c r="KX28" s="40">
        <v>416</v>
      </c>
      <c r="KY28" s="40">
        <v>420</v>
      </c>
      <c r="KZ28" s="42">
        <v>-8</v>
      </c>
      <c r="LA28" s="47"/>
      <c r="LB28" s="40">
        <v>0</v>
      </c>
      <c r="LC28" s="40">
        <v>0</v>
      </c>
      <c r="LD28" s="40">
        <v>80</v>
      </c>
      <c r="LE28" s="40">
        <v>80</v>
      </c>
      <c r="LF28" s="42">
        <v>0</v>
      </c>
      <c r="LG28" s="47"/>
      <c r="LH28" s="45">
        <v>24</v>
      </c>
      <c r="LI28" s="40">
        <v>30</v>
      </c>
      <c r="LJ28" s="42">
        <v>-6</v>
      </c>
      <c r="LK28" s="47"/>
      <c r="LL28" s="45">
        <v>128</v>
      </c>
      <c r="LM28" s="40">
        <v>130</v>
      </c>
      <c r="LN28" s="40">
        <v>96</v>
      </c>
      <c r="LO28" s="40">
        <v>100</v>
      </c>
      <c r="LP28" s="42">
        <v>-6</v>
      </c>
      <c r="LQ28" s="47"/>
      <c r="LR28" s="45">
        <v>80</v>
      </c>
      <c r="LS28" s="40">
        <v>80</v>
      </c>
      <c r="LT28" s="40">
        <v>56</v>
      </c>
      <c r="LU28" s="40">
        <v>60</v>
      </c>
      <c r="LV28" s="42">
        <v>-4</v>
      </c>
      <c r="LW28" s="47"/>
      <c r="LX28" s="45">
        <v>272</v>
      </c>
      <c r="LY28" s="40">
        <v>270</v>
      </c>
      <c r="LZ28" s="42">
        <v>2</v>
      </c>
      <c r="MA28" s="47"/>
      <c r="MB28" s="45">
        <v>0</v>
      </c>
      <c r="MC28" s="30">
        <v>100</v>
      </c>
      <c r="MD28" s="40">
        <v>296</v>
      </c>
      <c r="ME28" s="40">
        <v>300</v>
      </c>
      <c r="MF28" s="39">
        <v>-104</v>
      </c>
      <c r="MG28" s="47">
        <v>26</v>
      </c>
      <c r="MH28" s="45">
        <v>152</v>
      </c>
      <c r="MI28" s="40">
        <v>150</v>
      </c>
      <c r="MJ28" s="42">
        <v>2</v>
      </c>
      <c r="MK28" s="47"/>
      <c r="ML28" s="45">
        <v>0</v>
      </c>
      <c r="MM28" s="40">
        <v>0</v>
      </c>
      <c r="MN28" s="40">
        <v>80</v>
      </c>
      <c r="MO28" s="40">
        <v>80</v>
      </c>
      <c r="MP28" s="42">
        <v>0</v>
      </c>
      <c r="MQ28" s="47"/>
      <c r="MR28" s="40">
        <v>0</v>
      </c>
      <c r="MS28" s="40">
        <v>0</v>
      </c>
      <c r="MT28" s="40">
        <v>728</v>
      </c>
      <c r="MU28" s="40">
        <v>730</v>
      </c>
      <c r="MV28" s="42">
        <v>-2</v>
      </c>
      <c r="MW28" s="47"/>
      <c r="MX28" s="45">
        <v>0</v>
      </c>
      <c r="MY28" s="40">
        <v>0</v>
      </c>
      <c r="MZ28" s="40">
        <v>0</v>
      </c>
      <c r="NA28" s="40">
        <v>0</v>
      </c>
      <c r="NB28" s="42">
        <v>0</v>
      </c>
      <c r="NC28" s="47"/>
      <c r="ND28" s="45">
        <v>0</v>
      </c>
      <c r="NE28" s="30">
        <v>200</v>
      </c>
      <c r="NF28" s="40">
        <v>200</v>
      </c>
      <c r="NG28" s="40">
        <v>200</v>
      </c>
      <c r="NH28" s="39">
        <v>-200</v>
      </c>
      <c r="NI28" s="47">
        <v>50</v>
      </c>
      <c r="NJ28" s="45">
        <v>152</v>
      </c>
      <c r="NK28" s="40">
        <v>150</v>
      </c>
      <c r="NL28" s="40">
        <v>152</v>
      </c>
      <c r="NM28" s="40">
        <v>150</v>
      </c>
      <c r="NN28" s="42">
        <v>4</v>
      </c>
      <c r="NO28" s="47"/>
      <c r="NP28" s="45">
        <v>0</v>
      </c>
      <c r="NQ28" s="30">
        <v>100</v>
      </c>
      <c r="NR28" s="40">
        <v>152</v>
      </c>
      <c r="NS28" s="40">
        <v>150</v>
      </c>
      <c r="NT28" s="39">
        <v>-98</v>
      </c>
      <c r="NU28" s="47">
        <v>24.5</v>
      </c>
      <c r="NV28" s="45">
        <v>80</v>
      </c>
      <c r="NW28" s="40">
        <v>80</v>
      </c>
      <c r="NX28" s="40">
        <v>96</v>
      </c>
      <c r="NY28" s="40">
        <v>100</v>
      </c>
      <c r="NZ28" s="42">
        <v>-4</v>
      </c>
      <c r="OA28" s="47"/>
      <c r="OB28" s="45">
        <v>352</v>
      </c>
      <c r="OC28" s="40">
        <v>350</v>
      </c>
      <c r="OD28" s="42">
        <v>2</v>
      </c>
      <c r="OE28" s="47"/>
      <c r="OF28" s="45">
        <v>296</v>
      </c>
      <c r="OG28" s="40">
        <v>300</v>
      </c>
      <c r="OH28" s="40">
        <v>296</v>
      </c>
      <c r="OI28" s="40">
        <v>300</v>
      </c>
      <c r="OJ28" s="42">
        <v>-8</v>
      </c>
      <c r="OK28" s="47"/>
      <c r="OL28" s="45">
        <v>96</v>
      </c>
      <c r="OM28" s="40">
        <v>100</v>
      </c>
      <c r="ON28" s="40">
        <v>88</v>
      </c>
      <c r="OO28" s="40">
        <v>90</v>
      </c>
      <c r="OP28" s="42">
        <v>-6</v>
      </c>
      <c r="OQ28" s="47"/>
      <c r="OR28" s="45">
        <v>400</v>
      </c>
      <c r="OS28" s="40">
        <v>400</v>
      </c>
      <c r="OT28" s="40">
        <v>296</v>
      </c>
      <c r="OU28" s="40">
        <v>300</v>
      </c>
      <c r="OV28" s="42">
        <v>-4</v>
      </c>
      <c r="OW28" s="47"/>
      <c r="OX28" s="40">
        <v>232</v>
      </c>
      <c r="OY28" s="40">
        <v>250</v>
      </c>
      <c r="OZ28" s="40">
        <v>248</v>
      </c>
      <c r="PA28" s="40">
        <v>250</v>
      </c>
      <c r="PB28" s="39">
        <v>-20</v>
      </c>
      <c r="PC28" s="47">
        <v>5</v>
      </c>
      <c r="PD28" s="45">
        <v>200</v>
      </c>
      <c r="PE28" s="40">
        <v>200</v>
      </c>
      <c r="PF28" s="40">
        <v>192</v>
      </c>
      <c r="PG28" s="40">
        <v>200</v>
      </c>
      <c r="PH28" s="39">
        <v>-8</v>
      </c>
      <c r="PI28" s="47">
        <v>2</v>
      </c>
      <c r="PJ28" s="45">
        <v>0</v>
      </c>
      <c r="PK28" s="40">
        <v>0</v>
      </c>
      <c r="PL28" s="40">
        <v>200</v>
      </c>
      <c r="PM28" s="40">
        <v>200</v>
      </c>
      <c r="PN28" s="42">
        <v>0</v>
      </c>
      <c r="PO28" s="47"/>
      <c r="PP28" s="43">
        <v>96</v>
      </c>
      <c r="PQ28" s="40">
        <v>100</v>
      </c>
      <c r="PR28" s="40">
        <v>96</v>
      </c>
      <c r="PS28" s="40">
        <v>100</v>
      </c>
      <c r="PT28" s="42">
        <v>-8</v>
      </c>
      <c r="PU28" s="47"/>
      <c r="PV28" s="45">
        <v>248</v>
      </c>
      <c r="PW28" s="40">
        <v>250</v>
      </c>
      <c r="PX28" s="40">
        <v>248</v>
      </c>
      <c r="PY28" s="40">
        <v>250</v>
      </c>
      <c r="PZ28" s="42">
        <v>-4</v>
      </c>
      <c r="QA28" s="47"/>
      <c r="QB28" s="45">
        <v>96</v>
      </c>
      <c r="QC28" s="40">
        <v>100</v>
      </c>
      <c r="QD28" s="42">
        <v>-4</v>
      </c>
      <c r="QE28" s="47"/>
      <c r="QF28" s="45">
        <v>200</v>
      </c>
      <c r="QG28" s="40">
        <v>200</v>
      </c>
      <c r="QH28" s="40">
        <v>296</v>
      </c>
      <c r="QI28" s="40">
        <v>300</v>
      </c>
      <c r="QJ28" s="42">
        <v>-4</v>
      </c>
      <c r="QK28" s="47"/>
      <c r="QL28" s="45">
        <v>248</v>
      </c>
      <c r="QM28" s="40">
        <v>250</v>
      </c>
      <c r="QN28" s="40">
        <v>296</v>
      </c>
      <c r="QO28" s="40">
        <v>300</v>
      </c>
      <c r="QP28" s="42">
        <v>-6</v>
      </c>
      <c r="QQ28" s="47"/>
      <c r="QR28" s="45">
        <v>120</v>
      </c>
      <c r="QS28" s="40">
        <v>120</v>
      </c>
      <c r="QT28" s="40">
        <v>0</v>
      </c>
      <c r="QU28" s="40">
        <v>180</v>
      </c>
      <c r="QV28" s="39">
        <v>-180</v>
      </c>
      <c r="QW28" s="47">
        <v>45</v>
      </c>
      <c r="QX28" s="45">
        <v>200</v>
      </c>
      <c r="QY28" s="40">
        <v>200</v>
      </c>
      <c r="QZ28" s="40">
        <v>296</v>
      </c>
      <c r="RA28" s="40">
        <v>300</v>
      </c>
      <c r="RB28" s="42">
        <v>-4</v>
      </c>
      <c r="RC28" s="47"/>
      <c r="RD28" s="45">
        <v>1048</v>
      </c>
      <c r="RE28" s="40">
        <v>900</v>
      </c>
      <c r="RF28" s="42">
        <v>148</v>
      </c>
      <c r="RG28" s="47"/>
    </row>
    <row r="29" spans="1:475" x14ac:dyDescent="0.25">
      <c r="A29" s="40" t="s">
        <v>318</v>
      </c>
      <c r="B29" s="41">
        <v>0.25</v>
      </c>
      <c r="I29">
        <v>50</v>
      </c>
      <c r="K29">
        <v>50</v>
      </c>
      <c r="N29" s="43"/>
      <c r="O29" s="48"/>
      <c r="P29" s="48"/>
      <c r="Q29" s="48"/>
      <c r="R29" s="48">
        <f t="shared" si="8"/>
        <v>0</v>
      </c>
      <c r="S29" s="44"/>
      <c r="T29" s="43"/>
      <c r="U29" s="49">
        <v>48</v>
      </c>
      <c r="V29" s="48"/>
      <c r="W29" s="49">
        <v>52</v>
      </c>
      <c r="X29" s="53">
        <f t="shared" si="9"/>
        <v>-100</v>
      </c>
      <c r="Y29" s="44">
        <f t="shared" si="12"/>
        <v>25</v>
      </c>
      <c r="Z29" s="43"/>
      <c r="AA29" s="49">
        <v>40</v>
      </c>
      <c r="AB29" s="48"/>
      <c r="AC29" s="49">
        <v>60</v>
      </c>
      <c r="AD29" s="53">
        <f t="shared" si="10"/>
        <v>-100</v>
      </c>
      <c r="AE29" s="44">
        <f>-1*AD29*B29</f>
        <v>25</v>
      </c>
      <c r="AF29" s="43"/>
      <c r="AG29" s="48"/>
      <c r="AH29" s="48"/>
      <c r="AI29" s="48"/>
      <c r="AJ29" s="48">
        <f t="shared" si="11"/>
        <v>0</v>
      </c>
      <c r="AK29" s="44"/>
      <c r="AL29" s="48"/>
      <c r="AP29" s="42">
        <v>0</v>
      </c>
      <c r="AQ29" s="44"/>
      <c r="AR29" s="43"/>
      <c r="AV29" s="42">
        <v>0</v>
      </c>
      <c r="AW29" s="44"/>
      <c r="AZ29">
        <v>50</v>
      </c>
      <c r="BB29">
        <v>50</v>
      </c>
      <c r="BC29" s="39">
        <v>-100</v>
      </c>
      <c r="BD29" s="44">
        <v>25</v>
      </c>
      <c r="BE29" s="46">
        <v>152</v>
      </c>
      <c r="BF29" s="42">
        <v>150</v>
      </c>
      <c r="BI29" s="42">
        <v>2</v>
      </c>
      <c r="BJ29" s="44"/>
      <c r="BM29">
        <v>152</v>
      </c>
      <c r="BN29">
        <v>150</v>
      </c>
      <c r="BO29" s="42">
        <v>2</v>
      </c>
      <c r="BP29" s="44"/>
      <c r="BS29" s="42">
        <v>0</v>
      </c>
      <c r="BT29" s="44"/>
      <c r="BU29" s="43"/>
      <c r="BV29">
        <v>160</v>
      </c>
      <c r="BX29">
        <v>50</v>
      </c>
      <c r="BY29" s="39">
        <v>-210</v>
      </c>
      <c r="BZ29" s="44">
        <v>52.5</v>
      </c>
      <c r="CB29">
        <v>48</v>
      </c>
      <c r="CD29">
        <v>52</v>
      </c>
      <c r="CE29" s="39">
        <v>-100</v>
      </c>
      <c r="CF29" s="44">
        <v>25</v>
      </c>
      <c r="CG29" s="43"/>
      <c r="CH29">
        <v>50</v>
      </c>
      <c r="CJ29">
        <v>100</v>
      </c>
      <c r="CK29" s="39">
        <v>-150</v>
      </c>
      <c r="CL29" s="44">
        <v>37.5</v>
      </c>
      <c r="CM29" s="43"/>
      <c r="CN29" s="42">
        <v>100</v>
      </c>
      <c r="CQ29" s="39">
        <v>-100</v>
      </c>
      <c r="CR29" s="44">
        <v>25</v>
      </c>
      <c r="CW29" s="42">
        <v>0</v>
      </c>
      <c r="CX29" s="44"/>
      <c r="CY29" s="43"/>
      <c r="CZ29" s="40"/>
      <c r="DC29" s="42">
        <v>0</v>
      </c>
      <c r="DD29" s="44"/>
      <c r="DE29" s="45"/>
      <c r="DK29" s="42">
        <v>0</v>
      </c>
      <c r="DL29" s="44"/>
      <c r="DM29" s="45"/>
      <c r="DQ29" s="42">
        <v>0</v>
      </c>
      <c r="DR29" s="44"/>
      <c r="DZ29" s="44"/>
      <c r="EA29" s="46"/>
      <c r="EF29" s="44"/>
      <c r="EG29" s="43"/>
      <c r="EL29" s="44"/>
      <c r="EM29" s="46"/>
      <c r="ER29" s="44"/>
      <c r="EZ29" s="44"/>
      <c r="FF29" s="44"/>
      <c r="FG29" s="46"/>
      <c r="FL29" s="44"/>
      <c r="FM29" s="43"/>
      <c r="FP29" s="44"/>
      <c r="FV29" s="44"/>
      <c r="FW29" s="46"/>
      <c r="GD29" s="44"/>
      <c r="GJ29" s="44"/>
      <c r="GK29" s="43"/>
      <c r="GP29" s="47"/>
      <c r="GV29" s="44"/>
      <c r="GZ29" s="47"/>
      <c r="HA29" s="43"/>
      <c r="HD29" s="44"/>
      <c r="HE29" s="46"/>
      <c r="HJ29" s="47"/>
      <c r="HK29" s="46"/>
      <c r="HP29" s="44"/>
      <c r="HW29" s="44"/>
      <c r="HX29" s="46"/>
      <c r="IC29" s="44"/>
      <c r="II29" s="47"/>
      <c r="IO29" s="47"/>
      <c r="IU29" s="47"/>
      <c r="JA29" s="44"/>
      <c r="JE29" s="44"/>
      <c r="JK29" s="44"/>
      <c r="JL29" s="46"/>
      <c r="JO29" s="44"/>
      <c r="JU29" s="44"/>
      <c r="KA29" s="47"/>
      <c r="KG29" s="44"/>
      <c r="KM29" s="47"/>
      <c r="KN29" s="45"/>
      <c r="KU29" s="47"/>
      <c r="LA29" s="47"/>
      <c r="LG29" s="47"/>
      <c r="LH29" s="45"/>
      <c r="LK29" s="47"/>
      <c r="LL29" s="45"/>
      <c r="LQ29" s="47"/>
      <c r="LR29" s="45"/>
      <c r="LV29" s="42"/>
      <c r="LW29" s="47"/>
      <c r="LX29" s="45"/>
      <c r="LZ29" s="42"/>
      <c r="MA29" s="47"/>
      <c r="MB29" s="45"/>
      <c r="MF29" s="42"/>
      <c r="MG29" s="47"/>
      <c r="MH29" s="45"/>
      <c r="MJ29" s="42"/>
      <c r="MK29" s="47"/>
      <c r="ML29" s="45"/>
      <c r="MP29" s="42"/>
      <c r="MQ29" s="47"/>
      <c r="MV29" s="42"/>
      <c r="MW29" s="47"/>
      <c r="MX29" s="45"/>
      <c r="NB29" s="42"/>
      <c r="NC29" s="47"/>
      <c r="ND29" s="45"/>
      <c r="NH29" s="42"/>
      <c r="NI29" s="47"/>
      <c r="NJ29" s="45"/>
      <c r="NN29" s="42"/>
      <c r="NO29" s="47"/>
      <c r="NP29" s="45"/>
      <c r="NT29" s="42"/>
      <c r="NU29" s="47"/>
      <c r="NV29" s="45"/>
      <c r="NZ29" s="42"/>
      <c r="OA29" s="47"/>
      <c r="OB29" s="45"/>
      <c r="OD29" s="42"/>
      <c r="OE29" s="47"/>
      <c r="OF29" s="45"/>
      <c r="OJ29" s="42"/>
      <c r="OK29" s="47"/>
      <c r="OL29" s="45"/>
      <c r="OP29" s="42"/>
      <c r="OQ29" s="47"/>
      <c r="OR29" s="45"/>
      <c r="OV29" s="42"/>
      <c r="OW29" s="47"/>
      <c r="PB29" s="42"/>
      <c r="PC29" s="47"/>
      <c r="PD29" s="45"/>
      <c r="PH29" s="42"/>
      <c r="PI29" s="47"/>
      <c r="PJ29" s="45"/>
      <c r="PN29" s="42"/>
      <c r="PO29" s="47"/>
      <c r="PP29" s="43"/>
      <c r="PT29" s="42"/>
      <c r="PU29" s="47"/>
      <c r="PV29" s="45"/>
      <c r="PZ29" s="42"/>
      <c r="QA29" s="47"/>
      <c r="QB29" s="45"/>
      <c r="QD29" s="42"/>
      <c r="QE29" s="47"/>
      <c r="QF29" s="45"/>
      <c r="QJ29" s="42"/>
      <c r="QK29" s="47"/>
      <c r="QL29" s="45"/>
      <c r="QP29" s="42"/>
      <c r="QQ29" s="47"/>
      <c r="QR29" s="45"/>
      <c r="QV29" s="42"/>
      <c r="QW29" s="47"/>
      <c r="QX29" s="45"/>
      <c r="RB29" s="42"/>
      <c r="RC29" s="47"/>
      <c r="RD29" s="45"/>
      <c r="RF29" s="42"/>
      <c r="RG29" s="47"/>
    </row>
    <row r="30" spans="1:475" x14ac:dyDescent="0.25">
      <c r="A30" s="40" t="s">
        <v>319</v>
      </c>
      <c r="B30" s="41">
        <v>1</v>
      </c>
      <c r="N30" s="43"/>
      <c r="O30" s="48"/>
      <c r="P30" s="49">
        <v>40</v>
      </c>
      <c r="Q30" s="49">
        <v>40</v>
      </c>
      <c r="R30" s="48">
        <f t="shared" si="8"/>
        <v>0</v>
      </c>
      <c r="S30" s="44"/>
      <c r="T30" s="46">
        <v>8</v>
      </c>
      <c r="U30" s="49">
        <v>8</v>
      </c>
      <c r="V30" s="48"/>
      <c r="W30" s="48"/>
      <c r="X30" s="48">
        <f t="shared" si="9"/>
        <v>0</v>
      </c>
      <c r="Y30" s="44"/>
      <c r="Z30" s="46">
        <v>20</v>
      </c>
      <c r="AA30" s="49">
        <v>20</v>
      </c>
      <c r="AB30" s="49">
        <v>12</v>
      </c>
      <c r="AC30" s="49">
        <v>10</v>
      </c>
      <c r="AD30" s="48">
        <f t="shared" si="10"/>
        <v>2</v>
      </c>
      <c r="AE30" s="44"/>
      <c r="AF30" s="43"/>
      <c r="AG30" s="48"/>
      <c r="AH30" s="49">
        <v>24</v>
      </c>
      <c r="AI30" s="49">
        <v>24</v>
      </c>
      <c r="AJ30" s="48">
        <f t="shared" si="11"/>
        <v>0</v>
      </c>
      <c r="AK30" s="44"/>
      <c r="AL30" s="48"/>
      <c r="AN30">
        <v>32</v>
      </c>
      <c r="AO30">
        <v>30</v>
      </c>
      <c r="AP30" s="42">
        <v>2</v>
      </c>
      <c r="AQ30" s="44"/>
      <c r="AR30" s="43"/>
      <c r="AT30">
        <v>20</v>
      </c>
      <c r="AU30">
        <v>20</v>
      </c>
      <c r="AV30" s="42">
        <v>0</v>
      </c>
      <c r="AW30" s="44"/>
      <c r="BA30">
        <v>40</v>
      </c>
      <c r="BB30">
        <v>40</v>
      </c>
      <c r="BC30" s="42">
        <v>0</v>
      </c>
      <c r="BD30" s="44"/>
      <c r="BE30" s="43"/>
      <c r="BI30" s="42">
        <v>0</v>
      </c>
      <c r="BJ30" s="44"/>
      <c r="BO30" s="42">
        <v>0</v>
      </c>
      <c r="BP30" s="44"/>
      <c r="BS30" s="42">
        <v>0</v>
      </c>
      <c r="BT30" s="44"/>
      <c r="BU30" s="46">
        <v>51</v>
      </c>
      <c r="BV30">
        <v>50</v>
      </c>
      <c r="BY30" s="42">
        <v>1</v>
      </c>
      <c r="BZ30" s="44"/>
      <c r="CC30">
        <v>32</v>
      </c>
      <c r="CD30">
        <v>30</v>
      </c>
      <c r="CE30" s="42">
        <v>2</v>
      </c>
      <c r="CF30" s="44"/>
      <c r="CG30" s="43"/>
      <c r="CI30">
        <v>24</v>
      </c>
      <c r="CJ30">
        <v>25</v>
      </c>
      <c r="CK30" s="42">
        <v>-1</v>
      </c>
      <c r="CL30" s="44"/>
      <c r="CM30" s="43"/>
      <c r="CO30">
        <v>12</v>
      </c>
      <c r="CP30">
        <v>10</v>
      </c>
      <c r="CQ30" s="42">
        <v>2</v>
      </c>
      <c r="CR30" s="44"/>
      <c r="CU30">
        <v>12</v>
      </c>
      <c r="CV30">
        <v>10</v>
      </c>
      <c r="CW30" s="42">
        <v>2</v>
      </c>
      <c r="CX30" s="44"/>
      <c r="CY30" s="43"/>
      <c r="DC30" s="42">
        <v>0</v>
      </c>
      <c r="DD30" s="44"/>
      <c r="DE30" s="43"/>
      <c r="DK30" s="42">
        <v>0</v>
      </c>
      <c r="DL30" s="44"/>
      <c r="DM30" s="43"/>
      <c r="DO30">
        <v>32</v>
      </c>
      <c r="DP30">
        <v>30</v>
      </c>
      <c r="DQ30" s="42">
        <v>2</v>
      </c>
      <c r="DR30" s="44"/>
      <c r="DU30">
        <v>40</v>
      </c>
      <c r="DV30">
        <v>39</v>
      </c>
      <c r="DY30" s="42">
        <v>1</v>
      </c>
      <c r="DZ30" s="44"/>
      <c r="EA30" s="43"/>
      <c r="EE30" s="42">
        <v>0</v>
      </c>
      <c r="EF30" s="44"/>
      <c r="EG30" s="43"/>
      <c r="EI30">
        <v>20</v>
      </c>
      <c r="EJ30">
        <v>20</v>
      </c>
      <c r="EK30" s="42">
        <v>0</v>
      </c>
      <c r="EL30" s="44"/>
      <c r="EM30" s="46">
        <v>12</v>
      </c>
      <c r="EN30">
        <v>10</v>
      </c>
      <c r="EQ30" s="42">
        <v>2</v>
      </c>
      <c r="ER30" s="44"/>
      <c r="EW30">
        <v>20</v>
      </c>
      <c r="EX30">
        <v>21</v>
      </c>
      <c r="EY30" s="42">
        <v>-1</v>
      </c>
      <c r="EZ30" s="44"/>
      <c r="FC30">
        <v>4</v>
      </c>
      <c r="FD30">
        <v>4</v>
      </c>
      <c r="FE30" s="42">
        <v>0</v>
      </c>
      <c r="FF30" s="44"/>
      <c r="FG30" s="43"/>
      <c r="FK30" s="42">
        <v>0</v>
      </c>
      <c r="FL30" s="44"/>
      <c r="FM30" s="43"/>
      <c r="FO30" s="42">
        <v>0</v>
      </c>
      <c r="FP30" s="44"/>
      <c r="FS30">
        <v>61</v>
      </c>
      <c r="FT30">
        <v>63</v>
      </c>
      <c r="FU30" s="42">
        <v>-2</v>
      </c>
      <c r="FV30" s="44"/>
      <c r="FW30" s="43"/>
      <c r="GA30">
        <v>20</v>
      </c>
      <c r="GB30">
        <v>20</v>
      </c>
      <c r="GC30" s="42">
        <v>0</v>
      </c>
      <c r="GD30" s="44"/>
      <c r="GI30" s="42">
        <v>0</v>
      </c>
      <c r="GJ30" s="44"/>
      <c r="GK30" s="43"/>
      <c r="GM30">
        <v>39</v>
      </c>
      <c r="GN30">
        <v>40</v>
      </c>
      <c r="GO30" s="42">
        <v>-1</v>
      </c>
      <c r="GP30" s="47"/>
      <c r="GU30" s="42">
        <v>0</v>
      </c>
      <c r="GV30" s="44"/>
      <c r="GY30" s="42">
        <v>0</v>
      </c>
      <c r="GZ30" s="47"/>
      <c r="HA30" s="43"/>
      <c r="HC30" s="42">
        <v>0</v>
      </c>
      <c r="HD30" s="44"/>
      <c r="HE30" s="43"/>
      <c r="HG30">
        <v>40</v>
      </c>
      <c r="HH30">
        <v>40</v>
      </c>
      <c r="HI30" s="42">
        <v>0</v>
      </c>
      <c r="HJ30" s="47"/>
      <c r="HK30" s="43"/>
      <c r="HM30">
        <v>12</v>
      </c>
      <c r="HN30">
        <v>10</v>
      </c>
      <c r="HO30" s="42">
        <v>2</v>
      </c>
      <c r="HP30" s="44"/>
      <c r="HT30">
        <v>8</v>
      </c>
      <c r="HU30">
        <v>6</v>
      </c>
      <c r="HV30" s="42">
        <v>2</v>
      </c>
      <c r="HW30" s="44"/>
      <c r="HX30" s="45"/>
      <c r="IB30" s="42">
        <v>0</v>
      </c>
      <c r="IC30" s="44"/>
      <c r="IH30" s="42">
        <v>0</v>
      </c>
      <c r="II30" s="47"/>
      <c r="IN30" s="42">
        <v>0</v>
      </c>
      <c r="IO30" s="47"/>
      <c r="IT30" s="42">
        <v>0</v>
      </c>
      <c r="IU30" s="47"/>
      <c r="IZ30" s="42">
        <v>0</v>
      </c>
      <c r="JA30" s="44"/>
      <c r="JB30">
        <v>24</v>
      </c>
      <c r="JC30">
        <v>26</v>
      </c>
      <c r="JD30" s="42">
        <v>-2</v>
      </c>
      <c r="JE30" s="44"/>
      <c r="JH30">
        <v>83</v>
      </c>
      <c r="JI30">
        <v>83</v>
      </c>
      <c r="JJ30" s="42">
        <v>0</v>
      </c>
      <c r="JK30" s="44"/>
      <c r="JL30" s="46">
        <v>40</v>
      </c>
      <c r="JM30" s="40">
        <v>40</v>
      </c>
      <c r="JN30" s="42">
        <v>0</v>
      </c>
      <c r="JO30" s="44"/>
      <c r="JT30" s="42">
        <v>0</v>
      </c>
      <c r="JU30" s="44"/>
      <c r="JZ30" s="42">
        <v>0</v>
      </c>
      <c r="KA30" s="47"/>
      <c r="KB30">
        <v>56</v>
      </c>
      <c r="KC30">
        <v>54</v>
      </c>
      <c r="KF30" s="42">
        <v>2</v>
      </c>
      <c r="KG30" s="44"/>
      <c r="KH30" s="41"/>
      <c r="KL30" s="42">
        <v>0</v>
      </c>
      <c r="KM30" s="47"/>
      <c r="KN30" s="46">
        <v>20</v>
      </c>
      <c r="KO30">
        <v>20</v>
      </c>
      <c r="KP30">
        <v>32</v>
      </c>
      <c r="KQ30">
        <v>30</v>
      </c>
      <c r="KR30">
        <v>78</v>
      </c>
      <c r="KS30">
        <v>20</v>
      </c>
      <c r="KT30" s="42">
        <v>60</v>
      </c>
      <c r="KU30" s="47"/>
      <c r="KV30" s="40">
        <v>0</v>
      </c>
      <c r="KW30" s="40">
        <v>0</v>
      </c>
      <c r="KX30" s="40">
        <v>19.957999999999998</v>
      </c>
      <c r="KY30" s="40">
        <v>17</v>
      </c>
      <c r="KZ30" s="42">
        <v>2.957999999999998</v>
      </c>
      <c r="LA30" s="47"/>
      <c r="LB30" s="40">
        <v>0</v>
      </c>
      <c r="LC30" s="40">
        <v>0</v>
      </c>
      <c r="LD30" s="40">
        <v>0</v>
      </c>
      <c r="LE30" s="40">
        <v>0</v>
      </c>
      <c r="LF30" s="42">
        <v>0</v>
      </c>
      <c r="LG30" s="47"/>
      <c r="LH30" s="45">
        <v>0</v>
      </c>
      <c r="LI30" s="40">
        <v>0</v>
      </c>
      <c r="LJ30" s="42">
        <v>0</v>
      </c>
      <c r="LK30" s="47"/>
      <c r="LL30" s="45">
        <v>70.631</v>
      </c>
      <c r="LM30" s="40">
        <v>70</v>
      </c>
      <c r="LN30" s="40">
        <v>0</v>
      </c>
      <c r="LO30" s="40">
        <v>0</v>
      </c>
      <c r="LP30" s="42">
        <v>0.63100000000000023</v>
      </c>
      <c r="LQ30" s="47"/>
      <c r="LR30" s="45">
        <v>31.902000000000001</v>
      </c>
      <c r="LS30" s="40">
        <v>30</v>
      </c>
      <c r="LT30" s="40">
        <v>0</v>
      </c>
      <c r="LU30" s="40">
        <v>0</v>
      </c>
      <c r="LV30" s="42">
        <v>1.902000000000001</v>
      </c>
      <c r="LW30" s="47"/>
      <c r="LX30" s="45">
        <v>0</v>
      </c>
      <c r="LY30" s="40">
        <v>0</v>
      </c>
      <c r="LZ30" s="42">
        <v>0</v>
      </c>
      <c r="MA30" s="47"/>
      <c r="MB30" s="45">
        <v>0</v>
      </c>
      <c r="MC30" s="40">
        <v>0</v>
      </c>
      <c r="MD30" s="40">
        <v>23.838999999999999</v>
      </c>
      <c r="ME30" s="40">
        <v>24</v>
      </c>
      <c r="MF30" s="42">
        <v>-0.16100000000000139</v>
      </c>
      <c r="MG30" s="47"/>
      <c r="MH30" s="45">
        <v>0</v>
      </c>
      <c r="MI30" s="40">
        <v>0</v>
      </c>
      <c r="MJ30" s="42">
        <v>0</v>
      </c>
      <c r="MK30" s="47"/>
      <c r="ML30" s="45">
        <v>0</v>
      </c>
      <c r="MM30" s="40">
        <v>0</v>
      </c>
      <c r="MN30" s="40">
        <v>52.222999999999999</v>
      </c>
      <c r="MO30" s="40">
        <v>50</v>
      </c>
      <c r="MP30" s="42">
        <v>2.222999999999999</v>
      </c>
      <c r="MQ30" s="47"/>
      <c r="MR30" s="40">
        <v>0</v>
      </c>
      <c r="MS30" s="40">
        <v>0</v>
      </c>
      <c r="MT30" s="40">
        <v>52.258000000000003</v>
      </c>
      <c r="MU30" s="40">
        <v>50</v>
      </c>
      <c r="MV30" s="42">
        <v>2.2580000000000031</v>
      </c>
      <c r="MW30" s="47"/>
      <c r="MX30" s="45">
        <v>0</v>
      </c>
      <c r="MY30" s="40">
        <v>0</v>
      </c>
      <c r="MZ30" s="40">
        <v>0</v>
      </c>
      <c r="NA30" s="40">
        <v>0</v>
      </c>
      <c r="NB30" s="42">
        <v>0</v>
      </c>
      <c r="NC30" s="47"/>
      <c r="ND30" s="25">
        <v>19.670000000000002</v>
      </c>
      <c r="NE30" s="40">
        <v>0</v>
      </c>
      <c r="NF30" s="40">
        <v>0</v>
      </c>
      <c r="NG30" s="40">
        <v>0</v>
      </c>
      <c r="NH30" s="42">
        <v>19.670000000000002</v>
      </c>
      <c r="NI30" s="47"/>
      <c r="NJ30" s="45">
        <v>39.921999999999997</v>
      </c>
      <c r="NK30" s="40">
        <v>40</v>
      </c>
      <c r="NL30" s="40">
        <v>60.851999999999997</v>
      </c>
      <c r="NM30" s="40">
        <v>60</v>
      </c>
      <c r="NN30" s="42">
        <v>0.77400000000000091</v>
      </c>
      <c r="NO30" s="47"/>
      <c r="NP30" s="45">
        <v>0</v>
      </c>
      <c r="NQ30" s="40">
        <v>0</v>
      </c>
      <c r="NR30" s="40">
        <v>20.062000000000001</v>
      </c>
      <c r="NS30" s="40">
        <v>20</v>
      </c>
      <c r="NT30" s="42">
        <v>6.2000000000001172E-2</v>
      </c>
      <c r="NU30" s="47"/>
      <c r="NV30" s="45">
        <v>0</v>
      </c>
      <c r="NW30" s="40">
        <v>0</v>
      </c>
      <c r="NX30" s="40">
        <v>3.9460000000000002</v>
      </c>
      <c r="NY30" s="40">
        <v>50</v>
      </c>
      <c r="NZ30" s="39">
        <v>-46.054000000000002</v>
      </c>
      <c r="OA30" s="47">
        <v>46.054000000000002</v>
      </c>
      <c r="OB30" s="45">
        <v>0</v>
      </c>
      <c r="OC30" s="40">
        <v>0</v>
      </c>
      <c r="OD30" s="42">
        <v>0</v>
      </c>
      <c r="OE30" s="47"/>
      <c r="OF30" s="45">
        <v>0</v>
      </c>
      <c r="OG30" s="40">
        <v>0</v>
      </c>
      <c r="OH30" s="40">
        <v>0</v>
      </c>
      <c r="OI30" s="40">
        <v>0</v>
      </c>
      <c r="OJ30" s="42">
        <v>0</v>
      </c>
      <c r="OK30" s="47"/>
      <c r="OL30" s="45">
        <v>0</v>
      </c>
      <c r="OM30" s="40">
        <v>0</v>
      </c>
      <c r="ON30" s="40">
        <v>20.239999999999998</v>
      </c>
      <c r="OO30" s="40">
        <v>20</v>
      </c>
      <c r="OP30" s="42">
        <v>0.23999999999999841</v>
      </c>
      <c r="OQ30" s="47"/>
      <c r="OR30" s="45">
        <v>0</v>
      </c>
      <c r="OS30" s="40">
        <v>0</v>
      </c>
      <c r="OT30" s="40">
        <v>52.177999999999997</v>
      </c>
      <c r="OU30" s="40">
        <v>50</v>
      </c>
      <c r="OV30" s="42">
        <v>2.1779999999999968</v>
      </c>
      <c r="OW30" s="47"/>
      <c r="OX30" s="40">
        <v>43.777999999999999</v>
      </c>
      <c r="OY30" s="40">
        <v>40</v>
      </c>
      <c r="OZ30" s="40">
        <v>40.603999999999999</v>
      </c>
      <c r="PA30" s="40">
        <v>40</v>
      </c>
      <c r="PB30" s="42">
        <v>4.382000000000005</v>
      </c>
      <c r="PC30" s="47"/>
      <c r="PD30" s="45">
        <v>0</v>
      </c>
      <c r="PE30" s="40">
        <v>0</v>
      </c>
      <c r="PF30" s="40">
        <v>0</v>
      </c>
      <c r="PG30" s="40">
        <v>0</v>
      </c>
      <c r="PH30" s="42">
        <v>0</v>
      </c>
      <c r="PI30" s="47"/>
      <c r="PJ30" s="45">
        <v>0</v>
      </c>
      <c r="PK30" s="40">
        <v>0</v>
      </c>
      <c r="PL30" s="40">
        <v>0</v>
      </c>
      <c r="PM30" s="40">
        <v>0</v>
      </c>
      <c r="PN30" s="42">
        <v>0</v>
      </c>
      <c r="PO30" s="47"/>
      <c r="PP30" s="43">
        <v>0</v>
      </c>
      <c r="PQ30" s="40">
        <v>0</v>
      </c>
      <c r="PR30" s="40">
        <v>0</v>
      </c>
      <c r="PS30" s="40">
        <v>0</v>
      </c>
      <c r="PT30" s="42">
        <v>0</v>
      </c>
      <c r="PU30" s="47"/>
      <c r="PV30" s="45">
        <v>52.427</v>
      </c>
      <c r="PW30" s="40">
        <v>50</v>
      </c>
      <c r="PX30" s="40">
        <v>0</v>
      </c>
      <c r="PY30" s="40">
        <v>0</v>
      </c>
      <c r="PZ30" s="42">
        <v>2.427</v>
      </c>
      <c r="QA30" s="47"/>
      <c r="QB30" s="45">
        <v>0</v>
      </c>
      <c r="QC30" s="40">
        <v>0</v>
      </c>
      <c r="QD30" s="42">
        <v>0</v>
      </c>
      <c r="QE30" s="47"/>
      <c r="QF30" s="45">
        <v>0</v>
      </c>
      <c r="QG30" s="40">
        <v>0</v>
      </c>
      <c r="QH30" s="40">
        <v>0</v>
      </c>
      <c r="QI30" s="40">
        <v>0</v>
      </c>
      <c r="QJ30" s="42">
        <v>0</v>
      </c>
      <c r="QK30" s="47"/>
      <c r="QL30" s="45">
        <v>0</v>
      </c>
      <c r="QM30" s="40">
        <v>0</v>
      </c>
      <c r="QN30" s="40">
        <v>0</v>
      </c>
      <c r="QO30" s="40">
        <v>0</v>
      </c>
      <c r="QP30" s="42">
        <v>0</v>
      </c>
      <c r="QQ30" s="47"/>
      <c r="QR30" s="45">
        <v>47.548999999999999</v>
      </c>
      <c r="QS30" s="40">
        <v>50</v>
      </c>
      <c r="QT30" s="40">
        <v>0</v>
      </c>
      <c r="QU30" s="40">
        <v>50</v>
      </c>
      <c r="QV30" s="39">
        <v>-52.451000000000001</v>
      </c>
      <c r="QW30" s="47">
        <v>52.451000000000001</v>
      </c>
      <c r="QX30" s="45">
        <v>133.232</v>
      </c>
      <c r="QY30" s="40">
        <v>130</v>
      </c>
      <c r="QZ30" s="40">
        <v>0</v>
      </c>
      <c r="RA30" s="40">
        <v>0</v>
      </c>
      <c r="RB30" s="42">
        <v>3.2319999999999989</v>
      </c>
      <c r="RC30" s="47"/>
      <c r="RD30" s="45">
        <v>40.817</v>
      </c>
      <c r="RE30" s="40">
        <v>40</v>
      </c>
      <c r="RF30" s="42">
        <v>0.81700000000000017</v>
      </c>
      <c r="RG30" s="47"/>
    </row>
    <row r="31" spans="1:475" x14ac:dyDescent="0.25">
      <c r="A31" s="40" t="s">
        <v>320</v>
      </c>
      <c r="B31" s="41">
        <v>0.4</v>
      </c>
      <c r="E31">
        <v>200</v>
      </c>
      <c r="F31">
        <v>200</v>
      </c>
      <c r="N31" s="46">
        <v>80</v>
      </c>
      <c r="O31" s="49">
        <v>80</v>
      </c>
      <c r="P31" s="49">
        <v>88</v>
      </c>
      <c r="Q31" s="49">
        <v>92</v>
      </c>
      <c r="R31" s="48">
        <f t="shared" si="8"/>
        <v>-4</v>
      </c>
      <c r="S31" s="44"/>
      <c r="T31" s="46">
        <v>168</v>
      </c>
      <c r="U31" s="49">
        <v>170</v>
      </c>
      <c r="V31" s="49">
        <v>176</v>
      </c>
      <c r="W31" s="49">
        <v>180</v>
      </c>
      <c r="X31" s="48">
        <f t="shared" si="9"/>
        <v>-6</v>
      </c>
      <c r="Y31" s="44"/>
      <c r="Z31" s="46">
        <v>8</v>
      </c>
      <c r="AA31" s="49">
        <v>8</v>
      </c>
      <c r="AB31" s="48"/>
      <c r="AC31" s="48"/>
      <c r="AD31" s="48">
        <f t="shared" si="10"/>
        <v>0</v>
      </c>
      <c r="AE31" s="44"/>
      <c r="AF31" s="46">
        <v>120</v>
      </c>
      <c r="AG31" s="49">
        <v>120</v>
      </c>
      <c r="AH31" s="49">
        <v>160</v>
      </c>
      <c r="AI31" s="49">
        <v>164</v>
      </c>
      <c r="AJ31" s="48">
        <f t="shared" si="11"/>
        <v>-4</v>
      </c>
      <c r="AK31" s="44"/>
      <c r="AL31" s="48"/>
      <c r="AM31">
        <v>140</v>
      </c>
      <c r="AN31">
        <v>160</v>
      </c>
      <c r="AO31">
        <v>160</v>
      </c>
      <c r="AP31" s="39">
        <v>-140</v>
      </c>
      <c r="AQ31" s="44">
        <v>56</v>
      </c>
      <c r="AR31" s="43"/>
      <c r="AV31" s="42">
        <v>0</v>
      </c>
      <c r="AW31" s="44"/>
      <c r="AX31">
        <v>176</v>
      </c>
      <c r="AZ31">
        <v>180</v>
      </c>
      <c r="BA31">
        <v>216</v>
      </c>
      <c r="BB31">
        <v>220</v>
      </c>
      <c r="BC31" s="42">
        <v>-8</v>
      </c>
      <c r="BD31" s="44"/>
      <c r="BE31" s="43"/>
      <c r="BI31" s="42">
        <v>0</v>
      </c>
      <c r="BJ31" s="44"/>
      <c r="BK31">
        <v>152</v>
      </c>
      <c r="BL31">
        <v>150</v>
      </c>
      <c r="BM31">
        <v>152</v>
      </c>
      <c r="BN31">
        <v>150</v>
      </c>
      <c r="BO31" s="42">
        <v>4</v>
      </c>
      <c r="BP31" s="44"/>
      <c r="BS31" s="42">
        <v>0</v>
      </c>
      <c r="BT31" s="44"/>
      <c r="BU31" s="46">
        <v>152</v>
      </c>
      <c r="BV31">
        <v>150</v>
      </c>
      <c r="BW31">
        <v>296</v>
      </c>
      <c r="BX31">
        <v>300</v>
      </c>
      <c r="BY31" s="42">
        <v>-2</v>
      </c>
      <c r="BZ31" s="44"/>
      <c r="CA31">
        <v>72</v>
      </c>
      <c r="CB31">
        <v>70</v>
      </c>
      <c r="CC31">
        <v>80</v>
      </c>
      <c r="CD31">
        <v>80</v>
      </c>
      <c r="CE31" s="42">
        <v>2</v>
      </c>
      <c r="CF31" s="44"/>
      <c r="CG31" s="43"/>
      <c r="CK31" s="42">
        <v>0</v>
      </c>
      <c r="CL31" s="44"/>
      <c r="CM31" s="46">
        <v>96</v>
      </c>
      <c r="CN31">
        <v>100</v>
      </c>
      <c r="CO31">
        <v>400</v>
      </c>
      <c r="CP31">
        <v>400</v>
      </c>
      <c r="CQ31" s="42">
        <v>-4</v>
      </c>
      <c r="CR31" s="44"/>
      <c r="CT31">
        <v>80</v>
      </c>
      <c r="CU31">
        <v>120</v>
      </c>
      <c r="CV31">
        <v>120</v>
      </c>
      <c r="CW31" s="39">
        <v>-80</v>
      </c>
      <c r="CX31" s="44">
        <v>32</v>
      </c>
      <c r="CY31" s="43"/>
      <c r="DA31">
        <v>56</v>
      </c>
      <c r="DB31">
        <v>60</v>
      </c>
      <c r="DC31" s="42">
        <v>-4</v>
      </c>
      <c r="DD31" s="44"/>
      <c r="DE31" s="43"/>
      <c r="DI31">
        <v>104</v>
      </c>
      <c r="DJ31">
        <v>109</v>
      </c>
      <c r="DK31" s="42">
        <v>-5</v>
      </c>
      <c r="DL31" s="44"/>
      <c r="DM31" s="46">
        <v>88</v>
      </c>
      <c r="DN31">
        <v>90</v>
      </c>
      <c r="DQ31" s="42">
        <v>-2</v>
      </c>
      <c r="DR31" s="44"/>
      <c r="DU31">
        <v>232</v>
      </c>
      <c r="DV31">
        <v>230</v>
      </c>
      <c r="DW31">
        <v>296</v>
      </c>
      <c r="DX31">
        <v>300</v>
      </c>
      <c r="DY31" s="42">
        <v>-2</v>
      </c>
      <c r="DZ31" s="44"/>
      <c r="EA31" s="43"/>
      <c r="EE31" s="42">
        <v>0</v>
      </c>
      <c r="EF31" s="44"/>
      <c r="EG31" s="43"/>
      <c r="EI31">
        <v>96</v>
      </c>
      <c r="EJ31">
        <v>100</v>
      </c>
      <c r="EK31" s="42">
        <v>-4</v>
      </c>
      <c r="EL31" s="44"/>
      <c r="EM31" s="46">
        <v>248</v>
      </c>
      <c r="EN31">
        <v>250</v>
      </c>
      <c r="EO31">
        <v>240</v>
      </c>
      <c r="EP31">
        <v>240</v>
      </c>
      <c r="EQ31" s="42">
        <v>-2</v>
      </c>
      <c r="ER31" s="44"/>
      <c r="EY31" s="42">
        <v>0</v>
      </c>
      <c r="EZ31" s="44"/>
      <c r="FA31">
        <v>40</v>
      </c>
      <c r="FB31">
        <v>40</v>
      </c>
      <c r="FC31">
        <v>184</v>
      </c>
      <c r="FD31">
        <v>187</v>
      </c>
      <c r="FE31" s="42">
        <v>-3</v>
      </c>
      <c r="FF31" s="44"/>
      <c r="FG31" s="43"/>
      <c r="FI31">
        <v>120</v>
      </c>
      <c r="FJ31">
        <v>120</v>
      </c>
      <c r="FK31" s="42">
        <v>0</v>
      </c>
      <c r="FL31" s="44"/>
      <c r="FM31" s="46">
        <v>32</v>
      </c>
      <c r="FN31">
        <v>32</v>
      </c>
      <c r="FO31" s="42">
        <v>0</v>
      </c>
      <c r="FP31" s="44"/>
      <c r="FS31">
        <v>88</v>
      </c>
      <c r="FT31">
        <v>90</v>
      </c>
      <c r="FU31" s="42">
        <v>-2</v>
      </c>
      <c r="FV31" s="44"/>
      <c r="FW31" s="43"/>
      <c r="FX31">
        <v>100</v>
      </c>
      <c r="FZ31">
        <v>100</v>
      </c>
      <c r="GA31">
        <v>96</v>
      </c>
      <c r="GB31">
        <v>100</v>
      </c>
      <c r="GC31" s="39">
        <v>-204</v>
      </c>
      <c r="GD31" s="44">
        <v>81.600000000000009</v>
      </c>
      <c r="GE31">
        <v>96</v>
      </c>
      <c r="GF31">
        <v>100</v>
      </c>
      <c r="GG31">
        <v>96</v>
      </c>
      <c r="GH31">
        <v>100</v>
      </c>
      <c r="GI31" s="42">
        <v>-8</v>
      </c>
      <c r="GJ31" s="44"/>
      <c r="GK31" s="46">
        <v>96</v>
      </c>
      <c r="GL31">
        <v>100</v>
      </c>
      <c r="GM31">
        <v>176</v>
      </c>
      <c r="GN31">
        <v>180</v>
      </c>
      <c r="GO31" s="42">
        <v>-8</v>
      </c>
      <c r="GP31" s="47"/>
      <c r="GU31" s="42">
        <v>0</v>
      </c>
      <c r="GV31" s="44"/>
      <c r="GY31" s="42">
        <v>0</v>
      </c>
      <c r="GZ31" s="47"/>
      <c r="HA31" s="43"/>
      <c r="HC31" s="42">
        <v>0</v>
      </c>
      <c r="HD31" s="44"/>
      <c r="HE31" s="43"/>
      <c r="HG31">
        <v>968</v>
      </c>
      <c r="HH31">
        <v>970</v>
      </c>
      <c r="HI31" s="42">
        <v>-2</v>
      </c>
      <c r="HJ31" s="47"/>
      <c r="HK31" s="43"/>
      <c r="HO31" s="42">
        <v>0</v>
      </c>
      <c r="HP31" s="44"/>
      <c r="HV31" s="42">
        <v>0</v>
      </c>
      <c r="HW31" s="44"/>
      <c r="HX31" s="46">
        <v>296</v>
      </c>
      <c r="HY31">
        <v>300</v>
      </c>
      <c r="HZ31">
        <v>320</v>
      </c>
      <c r="IA31">
        <v>320</v>
      </c>
      <c r="IB31" s="42">
        <v>-4</v>
      </c>
      <c r="IC31" s="44"/>
      <c r="IH31" s="42">
        <v>0</v>
      </c>
      <c r="II31" s="47"/>
      <c r="IJ31">
        <v>48</v>
      </c>
      <c r="IK31">
        <v>50</v>
      </c>
      <c r="IL31">
        <v>80</v>
      </c>
      <c r="IM31">
        <v>80</v>
      </c>
      <c r="IN31" s="42">
        <v>-2</v>
      </c>
      <c r="IO31" s="47"/>
      <c r="IP31">
        <v>168</v>
      </c>
      <c r="IQ31">
        <v>170</v>
      </c>
      <c r="IR31">
        <v>152</v>
      </c>
      <c r="IS31">
        <v>150</v>
      </c>
      <c r="IT31" s="42">
        <v>0</v>
      </c>
      <c r="IU31" s="47"/>
      <c r="IZ31" s="42">
        <v>0</v>
      </c>
      <c r="JA31" s="44"/>
      <c r="JB31">
        <v>200</v>
      </c>
      <c r="JC31">
        <v>200</v>
      </c>
      <c r="JD31" s="42">
        <v>0</v>
      </c>
      <c r="JE31" s="44"/>
      <c r="JF31">
        <v>120</v>
      </c>
      <c r="JG31">
        <v>120</v>
      </c>
      <c r="JH31">
        <v>104</v>
      </c>
      <c r="JI31">
        <v>105</v>
      </c>
      <c r="JJ31" s="42">
        <v>-1</v>
      </c>
      <c r="JK31" s="44"/>
      <c r="JL31" s="46">
        <v>40</v>
      </c>
      <c r="JM31" s="40">
        <v>110</v>
      </c>
      <c r="JN31" s="39">
        <v>-70</v>
      </c>
      <c r="JO31" s="44">
        <v>28</v>
      </c>
      <c r="JT31" s="42">
        <v>0</v>
      </c>
      <c r="JU31" s="44"/>
      <c r="JZ31" s="42">
        <v>0</v>
      </c>
      <c r="KA31" s="47"/>
      <c r="KB31">
        <v>152</v>
      </c>
      <c r="KC31">
        <v>150</v>
      </c>
      <c r="KD31">
        <v>368</v>
      </c>
      <c r="KE31">
        <v>370</v>
      </c>
      <c r="KF31" s="42">
        <v>0</v>
      </c>
      <c r="KG31" s="44"/>
      <c r="KH31">
        <v>48</v>
      </c>
      <c r="KI31">
        <v>50</v>
      </c>
      <c r="KJ31">
        <v>192</v>
      </c>
      <c r="KK31">
        <v>190</v>
      </c>
      <c r="KL31" s="42">
        <v>0</v>
      </c>
      <c r="KM31" s="47"/>
      <c r="KN31" s="45"/>
      <c r="KT31" s="42">
        <v>0</v>
      </c>
      <c r="KU31" s="47"/>
      <c r="KV31" s="40">
        <v>200</v>
      </c>
      <c r="KW31" s="40">
        <v>200</v>
      </c>
      <c r="KX31" s="40">
        <v>280</v>
      </c>
      <c r="KY31" s="40">
        <v>300</v>
      </c>
      <c r="KZ31" s="39">
        <v>-20</v>
      </c>
      <c r="LA31" s="47">
        <v>8</v>
      </c>
      <c r="LB31" s="40">
        <v>0</v>
      </c>
      <c r="LC31" s="40">
        <v>0</v>
      </c>
      <c r="LD31" s="40">
        <v>0</v>
      </c>
      <c r="LE31" s="40">
        <v>0</v>
      </c>
      <c r="LF31" s="42">
        <v>0</v>
      </c>
      <c r="LG31" s="47"/>
      <c r="LH31" s="45">
        <v>0</v>
      </c>
      <c r="LI31" s="40">
        <v>0</v>
      </c>
      <c r="LJ31" s="42">
        <v>0</v>
      </c>
      <c r="LK31" s="47"/>
      <c r="LL31" s="45">
        <v>0</v>
      </c>
      <c r="LM31" s="40">
        <v>0</v>
      </c>
      <c r="LN31" s="40">
        <v>0</v>
      </c>
      <c r="LO31" s="40">
        <v>0</v>
      </c>
      <c r="LP31" s="42">
        <v>0</v>
      </c>
      <c r="LQ31" s="47"/>
      <c r="LR31" s="45">
        <v>0</v>
      </c>
      <c r="LS31" s="40">
        <v>0</v>
      </c>
      <c r="LT31" s="40">
        <v>0</v>
      </c>
      <c r="LU31" s="40">
        <v>0</v>
      </c>
      <c r="LV31" s="42">
        <v>0</v>
      </c>
      <c r="LW31" s="47"/>
      <c r="LX31" s="45">
        <v>440</v>
      </c>
      <c r="LY31" s="40">
        <v>440</v>
      </c>
      <c r="LZ31" s="42">
        <v>0</v>
      </c>
      <c r="MA31" s="47"/>
      <c r="MB31" s="45">
        <v>0</v>
      </c>
      <c r="MC31" s="40">
        <v>0</v>
      </c>
      <c r="MD31" s="40">
        <v>0</v>
      </c>
      <c r="ME31" s="40">
        <v>0</v>
      </c>
      <c r="MF31" s="42">
        <v>0</v>
      </c>
      <c r="MG31" s="47"/>
      <c r="MH31" s="45">
        <v>536</v>
      </c>
      <c r="MI31" s="40">
        <v>540</v>
      </c>
      <c r="MJ31" s="42">
        <v>-4</v>
      </c>
      <c r="MK31" s="47"/>
      <c r="ML31" s="45">
        <v>0</v>
      </c>
      <c r="MM31" s="40">
        <v>0</v>
      </c>
      <c r="MN31" s="40">
        <v>48</v>
      </c>
      <c r="MO31" s="40">
        <v>50</v>
      </c>
      <c r="MP31" s="42">
        <v>-2</v>
      </c>
      <c r="MQ31" s="47"/>
      <c r="MR31" s="40">
        <v>0</v>
      </c>
      <c r="MS31" s="40">
        <v>0</v>
      </c>
      <c r="MT31" s="40">
        <v>352</v>
      </c>
      <c r="MU31" s="40">
        <v>350</v>
      </c>
      <c r="MV31" s="42">
        <v>2</v>
      </c>
      <c r="MW31" s="47"/>
      <c r="MX31" s="45">
        <v>0</v>
      </c>
      <c r="MY31" s="40">
        <v>0</v>
      </c>
      <c r="MZ31" s="40">
        <v>96</v>
      </c>
      <c r="NA31" s="40">
        <v>100</v>
      </c>
      <c r="NB31" s="42">
        <v>-4</v>
      </c>
      <c r="NC31" s="47"/>
      <c r="ND31" s="45">
        <v>32</v>
      </c>
      <c r="NE31" s="40">
        <v>100</v>
      </c>
      <c r="NF31" s="40">
        <v>176</v>
      </c>
      <c r="NG31" s="40">
        <v>180</v>
      </c>
      <c r="NH31" s="39">
        <v>-72</v>
      </c>
      <c r="NI31" s="47">
        <v>28.8</v>
      </c>
      <c r="NJ31" s="45">
        <v>152</v>
      </c>
      <c r="NK31" s="40">
        <v>150</v>
      </c>
      <c r="NL31" s="40">
        <v>152</v>
      </c>
      <c r="NM31" s="40">
        <v>150</v>
      </c>
      <c r="NN31" s="42">
        <v>4</v>
      </c>
      <c r="NO31" s="47"/>
      <c r="NP31" s="45">
        <v>0</v>
      </c>
      <c r="NQ31" s="30">
        <v>80</v>
      </c>
      <c r="NR31" s="40">
        <v>120</v>
      </c>
      <c r="NS31" s="40">
        <v>120</v>
      </c>
      <c r="NT31" s="39">
        <v>-80</v>
      </c>
      <c r="NU31" s="47">
        <v>32</v>
      </c>
      <c r="NV31" s="45">
        <v>248</v>
      </c>
      <c r="NW31" s="40">
        <v>250</v>
      </c>
      <c r="NX31" s="40">
        <v>248</v>
      </c>
      <c r="NY31" s="40">
        <v>250</v>
      </c>
      <c r="NZ31" s="42">
        <v>-4</v>
      </c>
      <c r="OA31" s="47"/>
      <c r="OB31" s="45">
        <v>168</v>
      </c>
      <c r="OC31" s="40">
        <v>170</v>
      </c>
      <c r="OD31" s="42">
        <v>-2</v>
      </c>
      <c r="OE31" s="47"/>
      <c r="OF31" s="45">
        <v>0</v>
      </c>
      <c r="OG31" s="40">
        <v>0</v>
      </c>
      <c r="OH31" s="40">
        <v>40</v>
      </c>
      <c r="OI31" s="40">
        <v>40</v>
      </c>
      <c r="OJ31" s="42">
        <v>0</v>
      </c>
      <c r="OK31" s="47"/>
      <c r="OL31" s="45">
        <v>496</v>
      </c>
      <c r="OM31" s="40">
        <v>500</v>
      </c>
      <c r="ON31" s="40">
        <v>296</v>
      </c>
      <c r="OO31" s="40">
        <v>300</v>
      </c>
      <c r="OP31" s="42">
        <v>-8</v>
      </c>
      <c r="OQ31" s="47"/>
      <c r="OR31" s="45">
        <v>152</v>
      </c>
      <c r="OS31" s="40">
        <v>150</v>
      </c>
      <c r="OT31" s="40">
        <v>152</v>
      </c>
      <c r="OU31" s="40">
        <v>150</v>
      </c>
      <c r="OV31" s="42">
        <v>4</v>
      </c>
      <c r="OW31" s="47"/>
      <c r="OX31" s="40">
        <v>56</v>
      </c>
      <c r="OY31" s="40">
        <v>60</v>
      </c>
      <c r="OZ31" s="40">
        <v>56</v>
      </c>
      <c r="PA31" s="40">
        <v>60</v>
      </c>
      <c r="PB31" s="42">
        <v>-8</v>
      </c>
      <c r="PC31" s="47"/>
      <c r="PD31" s="45">
        <v>296</v>
      </c>
      <c r="PE31" s="40">
        <v>300</v>
      </c>
      <c r="PF31" s="40">
        <v>248</v>
      </c>
      <c r="PG31" s="40">
        <v>250</v>
      </c>
      <c r="PH31" s="42">
        <v>-6</v>
      </c>
      <c r="PI31" s="47"/>
      <c r="PJ31" s="45">
        <v>0</v>
      </c>
      <c r="PK31" s="40">
        <v>0</v>
      </c>
      <c r="PL31" s="40">
        <v>32</v>
      </c>
      <c r="PM31" s="40">
        <v>30</v>
      </c>
      <c r="PN31" s="42">
        <v>2</v>
      </c>
      <c r="PO31" s="47"/>
      <c r="PP31" s="43">
        <v>96</v>
      </c>
      <c r="PQ31" s="40">
        <v>100</v>
      </c>
      <c r="PR31" s="40">
        <v>168</v>
      </c>
      <c r="PS31" s="40">
        <v>170</v>
      </c>
      <c r="PT31" s="42">
        <v>-6</v>
      </c>
      <c r="PU31" s="47"/>
      <c r="PV31" s="45">
        <v>0</v>
      </c>
      <c r="PW31" s="40">
        <v>0</v>
      </c>
      <c r="PX31" s="40">
        <v>80</v>
      </c>
      <c r="PY31" s="40">
        <v>80</v>
      </c>
      <c r="PZ31" s="42">
        <v>0</v>
      </c>
      <c r="QA31" s="47"/>
      <c r="QB31" s="45">
        <v>120</v>
      </c>
      <c r="QC31" s="40">
        <v>120</v>
      </c>
      <c r="QD31" s="42">
        <v>0</v>
      </c>
      <c r="QE31" s="47"/>
      <c r="QF31" s="45">
        <v>0</v>
      </c>
      <c r="QG31" s="40">
        <v>0</v>
      </c>
      <c r="QH31" s="40">
        <v>0</v>
      </c>
      <c r="QI31" s="40">
        <v>0</v>
      </c>
      <c r="QJ31" s="42">
        <v>0</v>
      </c>
      <c r="QK31" s="47"/>
      <c r="QL31" s="45">
        <v>0</v>
      </c>
      <c r="QM31" s="40">
        <v>0</v>
      </c>
      <c r="QN31" s="40">
        <v>0</v>
      </c>
      <c r="QO31" s="40">
        <v>0</v>
      </c>
      <c r="QP31" s="42">
        <v>0</v>
      </c>
      <c r="QQ31" s="47"/>
      <c r="QR31" s="45">
        <v>0</v>
      </c>
      <c r="QS31" s="40">
        <v>0</v>
      </c>
      <c r="QT31" s="40">
        <v>0</v>
      </c>
      <c r="QU31" s="40">
        <v>0</v>
      </c>
      <c r="QV31" s="42">
        <v>0</v>
      </c>
      <c r="QW31" s="47"/>
      <c r="QX31" s="45">
        <v>0</v>
      </c>
      <c r="QY31" s="40">
        <v>0</v>
      </c>
      <c r="QZ31" s="40">
        <v>0</v>
      </c>
      <c r="RA31" s="40">
        <v>0</v>
      </c>
      <c r="RB31" s="42">
        <v>0</v>
      </c>
      <c r="RC31" s="47"/>
      <c r="RD31" s="45">
        <v>0</v>
      </c>
      <c r="RE31" s="40">
        <v>0</v>
      </c>
      <c r="RF31" s="42">
        <v>0</v>
      </c>
      <c r="RG31" s="47"/>
    </row>
    <row r="32" spans="1:475" x14ac:dyDescent="0.25">
      <c r="A32" s="40" t="s">
        <v>321</v>
      </c>
      <c r="B32" s="41">
        <v>1</v>
      </c>
      <c r="N32" s="43"/>
      <c r="O32" s="48"/>
      <c r="P32" s="48"/>
      <c r="Q32" s="48"/>
      <c r="R32" s="48">
        <f t="shared" si="8"/>
        <v>0</v>
      </c>
      <c r="S32" s="44"/>
      <c r="T32" s="43"/>
      <c r="U32" s="48"/>
      <c r="V32" s="48"/>
      <c r="W32" s="48"/>
      <c r="X32" s="48">
        <f t="shared" si="9"/>
        <v>0</v>
      </c>
      <c r="Y32" s="44"/>
      <c r="Z32" s="43"/>
      <c r="AA32" s="48"/>
      <c r="AB32" s="48"/>
      <c r="AC32" s="48"/>
      <c r="AD32" s="48">
        <f t="shared" si="10"/>
        <v>0</v>
      </c>
      <c r="AE32" s="44"/>
      <c r="AF32" s="43"/>
      <c r="AG32" s="48"/>
      <c r="AH32" s="48"/>
      <c r="AI32" s="48"/>
      <c r="AJ32" s="48">
        <f t="shared" si="11"/>
        <v>0</v>
      </c>
      <c r="AK32" s="44"/>
      <c r="AL32" s="48"/>
      <c r="AP32" s="42">
        <v>0</v>
      </c>
      <c r="AQ32" s="44"/>
      <c r="AR32" s="43"/>
      <c r="AV32" s="42">
        <v>0</v>
      </c>
      <c r="AW32" s="44"/>
      <c r="BC32" s="42">
        <v>0</v>
      </c>
      <c r="BD32" s="44"/>
      <c r="BE32" s="43"/>
      <c r="BI32" s="42">
        <v>0</v>
      </c>
      <c r="BJ32" s="44"/>
      <c r="BO32" s="42">
        <v>0</v>
      </c>
      <c r="BP32" s="44"/>
      <c r="BS32" s="42">
        <v>0</v>
      </c>
      <c r="BT32" s="44"/>
      <c r="BU32" s="43"/>
      <c r="BY32" s="42">
        <v>0</v>
      </c>
      <c r="BZ32" s="44"/>
      <c r="CE32" s="42">
        <v>0</v>
      </c>
      <c r="CF32" s="44"/>
      <c r="CG32" s="43"/>
      <c r="CK32" s="42">
        <v>0</v>
      </c>
      <c r="CL32" s="44"/>
      <c r="CM32" s="43"/>
      <c r="CQ32" s="42">
        <v>0</v>
      </c>
      <c r="CR32" s="44"/>
      <c r="CW32" s="42">
        <v>0</v>
      </c>
      <c r="CX32" s="44"/>
      <c r="CY32" s="43"/>
      <c r="DC32" s="42">
        <v>0</v>
      </c>
      <c r="DD32" s="44"/>
      <c r="DE32" s="43"/>
      <c r="DK32" s="42">
        <v>0</v>
      </c>
      <c r="DL32" s="44"/>
      <c r="DM32" s="43"/>
      <c r="DQ32" s="42">
        <v>0</v>
      </c>
      <c r="DR32" s="44"/>
      <c r="DY32" s="42">
        <v>0</v>
      </c>
      <c r="DZ32" s="44"/>
      <c r="EA32" s="43"/>
      <c r="EE32" s="42">
        <v>0</v>
      </c>
      <c r="EF32" s="44"/>
      <c r="EG32" s="43"/>
      <c r="EK32" s="42">
        <v>0</v>
      </c>
      <c r="EL32" s="44"/>
      <c r="EM32" s="43"/>
      <c r="EQ32" s="42">
        <v>0</v>
      </c>
      <c r="ER32" s="44"/>
      <c r="EY32" s="42">
        <v>0</v>
      </c>
      <c r="EZ32" s="44"/>
      <c r="FE32" s="42">
        <v>0</v>
      </c>
      <c r="FF32" s="44"/>
      <c r="FG32" s="43"/>
      <c r="FK32" s="42">
        <v>0</v>
      </c>
      <c r="FL32" s="44"/>
      <c r="FM32" s="43"/>
      <c r="FO32" s="42">
        <v>0</v>
      </c>
      <c r="FP32" s="44"/>
      <c r="FU32" s="42">
        <v>0</v>
      </c>
      <c r="FV32" s="44"/>
      <c r="FW32" s="43"/>
      <c r="GC32" s="42">
        <v>0</v>
      </c>
      <c r="GD32" s="44"/>
      <c r="GI32" s="42">
        <v>0</v>
      </c>
      <c r="GJ32" s="44"/>
      <c r="GK32" s="43"/>
      <c r="GO32" s="42">
        <v>0</v>
      </c>
      <c r="GP32" s="47"/>
      <c r="GU32" s="42">
        <v>0</v>
      </c>
      <c r="GV32" s="44"/>
      <c r="GY32" s="42">
        <v>0</v>
      </c>
      <c r="GZ32" s="47"/>
      <c r="HA32" s="43"/>
      <c r="HC32" s="42">
        <v>0</v>
      </c>
      <c r="HD32" s="44"/>
      <c r="HE32" s="43"/>
      <c r="HI32" s="42">
        <v>0</v>
      </c>
      <c r="HJ32" s="47"/>
      <c r="HK32" s="43"/>
      <c r="HO32" s="42">
        <v>0</v>
      </c>
      <c r="HP32" s="44"/>
      <c r="HV32" s="42">
        <v>0</v>
      </c>
      <c r="HW32" s="44"/>
      <c r="HX32" s="45"/>
      <c r="IB32" s="42">
        <v>0</v>
      </c>
      <c r="IC32" s="44"/>
      <c r="IH32" s="42">
        <v>0</v>
      </c>
      <c r="II32" s="47"/>
      <c r="IN32" s="42">
        <v>0</v>
      </c>
      <c r="IO32" s="47"/>
      <c r="IT32" s="42">
        <v>0</v>
      </c>
      <c r="IU32" s="47"/>
      <c r="IZ32" s="42">
        <v>0</v>
      </c>
      <c r="JA32" s="44"/>
      <c r="JD32" s="42">
        <v>0</v>
      </c>
      <c r="JE32" s="44"/>
      <c r="JJ32" s="42">
        <v>0</v>
      </c>
      <c r="JK32" s="44"/>
      <c r="JL32" s="45"/>
      <c r="JN32" s="42">
        <v>0</v>
      </c>
      <c r="JO32" s="44"/>
      <c r="JT32" s="42">
        <v>0</v>
      </c>
      <c r="JU32" s="44"/>
      <c r="JZ32" s="42">
        <v>0</v>
      </c>
      <c r="KA32" s="47"/>
      <c r="KF32" s="42">
        <v>0</v>
      </c>
      <c r="KG32" s="44"/>
      <c r="KH32" s="41"/>
      <c r="KL32" s="42">
        <v>0</v>
      </c>
      <c r="KM32" s="47"/>
      <c r="KN32" s="45"/>
      <c r="KT32" s="42">
        <v>0</v>
      </c>
      <c r="KU32" s="47"/>
      <c r="KV32" s="40">
        <v>0</v>
      </c>
      <c r="KW32" s="30">
        <v>250</v>
      </c>
      <c r="KX32" s="40">
        <v>283.13</v>
      </c>
      <c r="KY32" s="40">
        <v>360</v>
      </c>
      <c r="KZ32" s="39">
        <v>-326.87</v>
      </c>
      <c r="LA32" s="47">
        <v>326.87</v>
      </c>
      <c r="LB32" s="40">
        <v>32.671999999999997</v>
      </c>
      <c r="LC32" s="40">
        <v>30</v>
      </c>
      <c r="LD32" s="40">
        <v>151.82</v>
      </c>
      <c r="LE32" s="40">
        <v>150</v>
      </c>
      <c r="LF32" s="42">
        <v>4.4919999999999902</v>
      </c>
      <c r="LG32" s="47"/>
      <c r="LH32" s="45">
        <v>160.405</v>
      </c>
      <c r="LI32" s="40">
        <v>157</v>
      </c>
      <c r="LJ32" s="42">
        <v>3.4050000000000011</v>
      </c>
      <c r="LK32" s="47"/>
      <c r="LL32" s="45">
        <v>245.41</v>
      </c>
      <c r="LM32" s="40">
        <v>240</v>
      </c>
      <c r="LN32" s="40">
        <v>216.59700000000001</v>
      </c>
      <c r="LO32" s="40">
        <v>220</v>
      </c>
      <c r="LP32" s="42">
        <v>2.007000000000005</v>
      </c>
      <c r="LQ32" s="47"/>
      <c r="LR32" s="45">
        <v>201.36199999999999</v>
      </c>
      <c r="LS32" s="40">
        <v>200</v>
      </c>
      <c r="LT32" s="40">
        <v>218.82900000000001</v>
      </c>
      <c r="LU32" s="40">
        <v>220</v>
      </c>
      <c r="LV32" s="42">
        <v>0.1910000000000309</v>
      </c>
      <c r="LW32" s="47"/>
      <c r="LX32" s="45">
        <v>190.2</v>
      </c>
      <c r="LY32" s="40">
        <v>190</v>
      </c>
      <c r="LZ32" s="42">
        <v>0.1999999999999886</v>
      </c>
      <c r="MA32" s="47"/>
      <c r="MB32" s="45">
        <v>200.99100000000001</v>
      </c>
      <c r="MC32" s="40">
        <v>200</v>
      </c>
      <c r="MD32" s="40">
        <v>262.2</v>
      </c>
      <c r="ME32" s="40">
        <v>260</v>
      </c>
      <c r="MF32" s="42">
        <v>3.1910000000000309</v>
      </c>
      <c r="MG32" s="47"/>
      <c r="MH32" s="45">
        <v>307.80200000000002</v>
      </c>
      <c r="MI32" s="40">
        <v>310</v>
      </c>
      <c r="MJ32" s="42">
        <v>-2.1979999999999791</v>
      </c>
      <c r="MK32" s="47"/>
      <c r="ML32" s="45">
        <v>0</v>
      </c>
      <c r="MM32" s="40">
        <v>0</v>
      </c>
      <c r="MN32" s="40">
        <v>101.45099999999999</v>
      </c>
      <c r="MO32" s="40">
        <v>100</v>
      </c>
      <c r="MP32" s="42">
        <v>1.450999999999993</v>
      </c>
      <c r="MQ32" s="47"/>
      <c r="MR32" s="40">
        <v>150.15199999999999</v>
      </c>
      <c r="MS32" s="40">
        <v>150</v>
      </c>
      <c r="MT32" s="40">
        <v>403.98700000000002</v>
      </c>
      <c r="MU32" s="40">
        <v>400</v>
      </c>
      <c r="MV32" s="42">
        <v>4.13900000000001</v>
      </c>
      <c r="MW32" s="47"/>
      <c r="MX32" s="45">
        <v>151.982</v>
      </c>
      <c r="MY32" s="40">
        <v>150</v>
      </c>
      <c r="MZ32" s="40">
        <v>353.92899999999997</v>
      </c>
      <c r="NA32" s="40">
        <v>350</v>
      </c>
      <c r="NB32" s="42">
        <v>5.9109999999999454</v>
      </c>
      <c r="NC32" s="47"/>
      <c r="ND32" s="45">
        <v>0</v>
      </c>
      <c r="NE32" s="30">
        <v>50</v>
      </c>
      <c r="NF32" s="40">
        <v>120.09</v>
      </c>
      <c r="NG32" s="40">
        <v>120</v>
      </c>
      <c r="NH32" s="39">
        <v>-49.91</v>
      </c>
      <c r="NI32" s="47">
        <v>49.91</v>
      </c>
      <c r="NJ32" s="45">
        <v>150.11500000000001</v>
      </c>
      <c r="NK32" s="40">
        <v>150</v>
      </c>
      <c r="NL32" s="40">
        <v>172.53100000000001</v>
      </c>
      <c r="NM32" s="40">
        <v>170</v>
      </c>
      <c r="NN32" s="42">
        <v>2.646000000000015</v>
      </c>
      <c r="NO32" s="47"/>
      <c r="NP32" s="45">
        <v>0</v>
      </c>
      <c r="NQ32" s="30">
        <v>300</v>
      </c>
      <c r="NR32" s="40">
        <v>357.25900000000001</v>
      </c>
      <c r="NS32" s="40">
        <v>350</v>
      </c>
      <c r="NT32" s="39">
        <v>-292.74099999999999</v>
      </c>
      <c r="NU32" s="47">
        <v>292.74099999999999</v>
      </c>
      <c r="NV32" s="45">
        <v>0</v>
      </c>
      <c r="NW32" s="40">
        <v>0</v>
      </c>
      <c r="NX32" s="40">
        <v>102.67400000000001</v>
      </c>
      <c r="NY32" s="40">
        <v>100</v>
      </c>
      <c r="NZ32" s="42">
        <v>2.674000000000007</v>
      </c>
      <c r="OA32" s="47"/>
      <c r="OB32" s="45">
        <v>376.38600000000002</v>
      </c>
      <c r="OC32" s="40">
        <v>371</v>
      </c>
      <c r="OD32" s="42">
        <v>5.3860000000000241</v>
      </c>
      <c r="OE32" s="47"/>
      <c r="OF32" s="45">
        <v>0</v>
      </c>
      <c r="OG32" s="40">
        <v>0</v>
      </c>
      <c r="OH32" s="40">
        <v>262.90499999999997</v>
      </c>
      <c r="OI32" s="40">
        <v>260</v>
      </c>
      <c r="OJ32" s="42">
        <v>2.9049999999999732</v>
      </c>
      <c r="OK32" s="47"/>
      <c r="OL32" s="45">
        <v>119.417</v>
      </c>
      <c r="OM32" s="40">
        <v>120</v>
      </c>
      <c r="ON32" s="40">
        <v>81.975999999999999</v>
      </c>
      <c r="OO32" s="40">
        <v>80</v>
      </c>
      <c r="OP32" s="42">
        <v>1.3930000000000009</v>
      </c>
      <c r="OQ32" s="47"/>
      <c r="OR32" s="45">
        <v>251.464</v>
      </c>
      <c r="OS32" s="40">
        <v>250</v>
      </c>
      <c r="OT32" s="40">
        <v>202.26400000000001</v>
      </c>
      <c r="OU32" s="40">
        <v>200</v>
      </c>
      <c r="OV32" s="42">
        <v>3.7280000000000091</v>
      </c>
      <c r="OW32" s="47"/>
      <c r="OX32" s="40">
        <v>0</v>
      </c>
      <c r="OY32" s="30">
        <v>120</v>
      </c>
      <c r="OZ32" s="40">
        <v>101.715</v>
      </c>
      <c r="PA32" s="40">
        <v>157</v>
      </c>
      <c r="PB32" s="39">
        <v>-175.285</v>
      </c>
      <c r="PC32" s="47">
        <v>175.285</v>
      </c>
      <c r="PD32" s="45">
        <v>40.636000000000003</v>
      </c>
      <c r="PE32" s="40">
        <v>200</v>
      </c>
      <c r="PF32" s="40">
        <v>40.475999999999999</v>
      </c>
      <c r="PG32" s="40">
        <v>192</v>
      </c>
      <c r="PH32" s="39">
        <v>-310.88799999999998</v>
      </c>
      <c r="PI32" s="47">
        <v>310.88799999999998</v>
      </c>
      <c r="PJ32" s="45">
        <v>0</v>
      </c>
      <c r="PK32" s="40">
        <v>0</v>
      </c>
      <c r="PL32" s="40">
        <v>103.431</v>
      </c>
      <c r="PM32" s="40">
        <v>100</v>
      </c>
      <c r="PN32" s="42">
        <v>3.4309999999999969</v>
      </c>
      <c r="PO32" s="47"/>
      <c r="PP32" s="43">
        <v>250.816</v>
      </c>
      <c r="PQ32" s="40">
        <v>250</v>
      </c>
      <c r="PR32" s="40">
        <v>315.392</v>
      </c>
      <c r="PS32" s="40">
        <v>317</v>
      </c>
      <c r="PT32" s="42">
        <v>-0.79200000000003001</v>
      </c>
      <c r="PU32" s="47"/>
      <c r="PV32" s="45">
        <v>201.10300000000001</v>
      </c>
      <c r="PW32" s="40">
        <v>200</v>
      </c>
      <c r="PX32" s="40">
        <v>201.05699999999999</v>
      </c>
      <c r="PY32" s="40">
        <v>200</v>
      </c>
      <c r="PZ32" s="42">
        <v>2.1599999999999682</v>
      </c>
      <c r="QA32" s="47"/>
      <c r="QB32" s="45">
        <v>333.71499999999997</v>
      </c>
      <c r="QC32" s="40">
        <v>330</v>
      </c>
      <c r="QD32" s="42">
        <v>3.714999999999975</v>
      </c>
      <c r="QE32" s="47"/>
      <c r="QF32" s="45">
        <v>150.113</v>
      </c>
      <c r="QG32" s="40">
        <v>150</v>
      </c>
      <c r="QH32" s="40">
        <v>200.67400000000001</v>
      </c>
      <c r="QI32" s="40">
        <v>200</v>
      </c>
      <c r="QJ32" s="42">
        <v>0.78700000000003456</v>
      </c>
      <c r="QK32" s="47"/>
      <c r="QL32" s="45">
        <v>221.303</v>
      </c>
      <c r="QM32" s="40">
        <v>220</v>
      </c>
      <c r="QN32" s="40">
        <v>295.87</v>
      </c>
      <c r="QO32" s="40">
        <v>300</v>
      </c>
      <c r="QP32" s="42">
        <v>-2.8269999999999982</v>
      </c>
      <c r="QQ32" s="47"/>
      <c r="QR32" s="45">
        <v>198.751</v>
      </c>
      <c r="QS32" s="40">
        <v>195</v>
      </c>
      <c r="QT32" s="40">
        <v>131.44900000000001</v>
      </c>
      <c r="QU32" s="40">
        <v>300</v>
      </c>
      <c r="QV32" s="39">
        <v>-164.8</v>
      </c>
      <c r="QW32" s="47">
        <v>164.8</v>
      </c>
      <c r="QX32" s="45">
        <v>150.983</v>
      </c>
      <c r="QY32" s="40">
        <v>150</v>
      </c>
      <c r="QZ32" s="40">
        <v>0</v>
      </c>
      <c r="RA32" s="40">
        <v>0</v>
      </c>
      <c r="RB32" s="42">
        <v>0.98300000000000409</v>
      </c>
      <c r="RC32" s="47"/>
      <c r="RD32" s="45">
        <v>300.09500000000003</v>
      </c>
      <c r="RE32" s="40">
        <v>300</v>
      </c>
      <c r="RF32" s="42">
        <v>9.5000000000027285E-2</v>
      </c>
      <c r="RG32" s="47"/>
    </row>
    <row r="33" spans="1:475" x14ac:dyDescent="0.25">
      <c r="A33" s="40" t="s">
        <v>322</v>
      </c>
      <c r="B33" s="41">
        <v>1</v>
      </c>
      <c r="E33">
        <v>120</v>
      </c>
      <c r="F33">
        <v>130</v>
      </c>
      <c r="I33">
        <v>80</v>
      </c>
      <c r="J33">
        <v>49</v>
      </c>
      <c r="K33">
        <v>46</v>
      </c>
      <c r="N33" s="46">
        <v>61</v>
      </c>
      <c r="O33" s="49">
        <v>60</v>
      </c>
      <c r="P33" s="48"/>
      <c r="Q33" s="48"/>
      <c r="R33" s="48">
        <f t="shared" si="8"/>
        <v>1</v>
      </c>
      <c r="S33" s="44"/>
      <c r="T33" s="46">
        <v>100</v>
      </c>
      <c r="U33" s="49">
        <v>100</v>
      </c>
      <c r="V33" s="48"/>
      <c r="W33" s="48"/>
      <c r="X33" s="48">
        <f t="shared" si="9"/>
        <v>0</v>
      </c>
      <c r="Y33" s="44"/>
      <c r="Z33" s="46">
        <v>150</v>
      </c>
      <c r="AA33" s="49">
        <v>150</v>
      </c>
      <c r="AB33" s="49">
        <v>206</v>
      </c>
      <c r="AC33" s="49">
        <v>200</v>
      </c>
      <c r="AD33" s="48">
        <f t="shared" si="10"/>
        <v>6</v>
      </c>
      <c r="AE33" s="44"/>
      <c r="AF33" s="43"/>
      <c r="AG33" s="48"/>
      <c r="AH33" s="48"/>
      <c r="AI33" s="48"/>
      <c r="AJ33" s="48">
        <f t="shared" si="11"/>
        <v>0</v>
      </c>
      <c r="AK33" s="44"/>
      <c r="AL33" s="49">
        <v>170</v>
      </c>
      <c r="AM33">
        <v>170</v>
      </c>
      <c r="AN33">
        <v>181</v>
      </c>
      <c r="AO33">
        <v>180</v>
      </c>
      <c r="AP33" s="42">
        <v>1</v>
      </c>
      <c r="AQ33" s="44"/>
      <c r="AR33" s="46">
        <v>101</v>
      </c>
      <c r="AS33">
        <v>100</v>
      </c>
      <c r="AT33">
        <v>102</v>
      </c>
      <c r="AU33">
        <v>100</v>
      </c>
      <c r="AV33" s="42">
        <v>3</v>
      </c>
      <c r="AW33" s="44"/>
      <c r="AX33">
        <v>41</v>
      </c>
      <c r="AZ33">
        <v>40</v>
      </c>
      <c r="BA33">
        <v>40</v>
      </c>
      <c r="BB33">
        <v>40</v>
      </c>
      <c r="BC33" s="42">
        <v>1</v>
      </c>
      <c r="BD33" s="44"/>
      <c r="BE33" s="43"/>
      <c r="BF33">
        <v>120</v>
      </c>
      <c r="BG33">
        <v>49</v>
      </c>
      <c r="BH33">
        <v>47</v>
      </c>
      <c r="BI33" s="39">
        <v>-118</v>
      </c>
      <c r="BJ33" s="44">
        <v>118</v>
      </c>
      <c r="BK33">
        <v>110</v>
      </c>
      <c r="BL33">
        <v>110</v>
      </c>
      <c r="BM33">
        <v>102</v>
      </c>
      <c r="BN33">
        <v>99</v>
      </c>
      <c r="BO33" s="42">
        <v>3</v>
      </c>
      <c r="BP33" s="44"/>
      <c r="BQ33">
        <v>48</v>
      </c>
      <c r="BR33">
        <v>50</v>
      </c>
      <c r="BS33" s="42">
        <v>-2</v>
      </c>
      <c r="BT33" s="44"/>
      <c r="BU33" s="46">
        <v>113</v>
      </c>
      <c r="BV33">
        <v>111</v>
      </c>
      <c r="BW33">
        <v>295</v>
      </c>
      <c r="BX33">
        <v>296</v>
      </c>
      <c r="BY33" s="42">
        <v>1</v>
      </c>
      <c r="BZ33" s="44"/>
      <c r="CE33" s="42">
        <v>0</v>
      </c>
      <c r="CF33" s="44"/>
      <c r="CG33" s="46">
        <v>69</v>
      </c>
      <c r="CH33">
        <v>70</v>
      </c>
      <c r="CI33">
        <v>129</v>
      </c>
      <c r="CJ33">
        <v>130</v>
      </c>
      <c r="CK33" s="42">
        <v>-2</v>
      </c>
      <c r="CL33" s="44"/>
      <c r="CM33" s="43"/>
      <c r="CO33">
        <v>354</v>
      </c>
      <c r="CP33">
        <v>350</v>
      </c>
      <c r="CQ33" s="42">
        <v>4</v>
      </c>
      <c r="CR33" s="44"/>
      <c r="CS33">
        <v>12</v>
      </c>
      <c r="CT33">
        <v>11</v>
      </c>
      <c r="CW33" s="42">
        <v>1</v>
      </c>
      <c r="CX33" s="44"/>
      <c r="CY33" s="46">
        <v>99</v>
      </c>
      <c r="CZ33">
        <v>100</v>
      </c>
      <c r="DA33">
        <v>61</v>
      </c>
      <c r="DB33">
        <v>62</v>
      </c>
      <c r="DC33" s="42">
        <v>-2</v>
      </c>
      <c r="DD33" s="44"/>
      <c r="DE33" s="43"/>
      <c r="DG33">
        <v>126</v>
      </c>
      <c r="DH33">
        <v>125</v>
      </c>
      <c r="DI33">
        <v>155</v>
      </c>
      <c r="DJ33">
        <v>155</v>
      </c>
      <c r="DK33" s="42">
        <v>1</v>
      </c>
      <c r="DL33" s="44"/>
      <c r="DM33" s="46">
        <v>32</v>
      </c>
      <c r="DN33">
        <v>30</v>
      </c>
      <c r="DQ33" s="42">
        <v>2</v>
      </c>
      <c r="DR33" s="44"/>
      <c r="DU33">
        <v>182</v>
      </c>
      <c r="DV33">
        <v>180</v>
      </c>
      <c r="DY33" s="42">
        <v>2</v>
      </c>
      <c r="DZ33" s="44"/>
      <c r="EA33" s="46">
        <v>101</v>
      </c>
      <c r="EB33">
        <v>100</v>
      </c>
      <c r="EC33">
        <v>202</v>
      </c>
      <c r="ED33">
        <v>200</v>
      </c>
      <c r="EE33" s="42">
        <v>3</v>
      </c>
      <c r="EF33" s="44"/>
      <c r="EG33" s="43"/>
      <c r="EK33" s="42">
        <v>0</v>
      </c>
      <c r="EL33" s="44"/>
      <c r="EM33" s="46">
        <v>80</v>
      </c>
      <c r="EN33">
        <v>80</v>
      </c>
      <c r="EO33">
        <v>48</v>
      </c>
      <c r="EP33">
        <v>50</v>
      </c>
      <c r="EQ33" s="42">
        <v>-2</v>
      </c>
      <c r="ER33" s="44"/>
      <c r="ES33">
        <v>122</v>
      </c>
      <c r="ET33">
        <v>120</v>
      </c>
      <c r="EU33">
        <v>122</v>
      </c>
      <c r="EV33">
        <v>120</v>
      </c>
      <c r="EW33">
        <v>123</v>
      </c>
      <c r="EX33">
        <v>120</v>
      </c>
      <c r="EY33" s="42">
        <v>7</v>
      </c>
      <c r="EZ33" s="44"/>
      <c r="FA33">
        <v>40</v>
      </c>
      <c r="FB33">
        <v>40</v>
      </c>
      <c r="FC33">
        <v>73</v>
      </c>
      <c r="FD33">
        <v>72</v>
      </c>
      <c r="FE33" s="42">
        <v>1</v>
      </c>
      <c r="FF33" s="44"/>
      <c r="FG33" s="46">
        <v>49</v>
      </c>
      <c r="FH33">
        <v>50</v>
      </c>
      <c r="FI33">
        <v>102</v>
      </c>
      <c r="FJ33">
        <v>100</v>
      </c>
      <c r="FK33" s="42">
        <v>1</v>
      </c>
      <c r="FL33" s="44"/>
      <c r="FM33" s="43"/>
      <c r="FO33" s="42">
        <v>0</v>
      </c>
      <c r="FP33" s="44"/>
      <c r="FS33">
        <v>334</v>
      </c>
      <c r="FT33">
        <v>330</v>
      </c>
      <c r="FU33" s="42">
        <v>4</v>
      </c>
      <c r="FV33" s="44"/>
      <c r="FW33" s="46">
        <v>102</v>
      </c>
      <c r="FX33">
        <v>100</v>
      </c>
      <c r="GA33">
        <v>102</v>
      </c>
      <c r="GB33">
        <v>100</v>
      </c>
      <c r="GC33" s="42">
        <v>4</v>
      </c>
      <c r="GD33" s="44"/>
      <c r="GE33">
        <v>109</v>
      </c>
      <c r="GF33">
        <v>110</v>
      </c>
      <c r="GG33">
        <v>122</v>
      </c>
      <c r="GH33">
        <v>120</v>
      </c>
      <c r="GI33" s="42">
        <v>1</v>
      </c>
      <c r="GJ33" s="44"/>
      <c r="GK33" s="43"/>
      <c r="GO33" s="42">
        <v>0</v>
      </c>
      <c r="GP33" s="47"/>
      <c r="GS33">
        <v>144</v>
      </c>
      <c r="GT33">
        <v>140</v>
      </c>
      <c r="GU33" s="42">
        <v>4</v>
      </c>
      <c r="GV33" s="44"/>
      <c r="GW33">
        <v>310</v>
      </c>
      <c r="GX33" s="40">
        <v>309.87380000000002</v>
      </c>
      <c r="GY33" s="42">
        <v>0.12619999999998299</v>
      </c>
      <c r="GZ33" s="47"/>
      <c r="HA33" s="43"/>
      <c r="HC33" s="42">
        <v>0</v>
      </c>
      <c r="HD33" s="44"/>
      <c r="HE33" s="43"/>
      <c r="HG33">
        <v>49</v>
      </c>
      <c r="HH33">
        <v>49</v>
      </c>
      <c r="HI33" s="42">
        <v>0</v>
      </c>
      <c r="HJ33" s="47"/>
      <c r="HK33" s="43"/>
      <c r="HM33">
        <v>130</v>
      </c>
      <c r="HN33">
        <v>130</v>
      </c>
      <c r="HO33" s="42">
        <v>0</v>
      </c>
      <c r="HP33" s="44"/>
      <c r="HT33">
        <v>260</v>
      </c>
      <c r="HU33">
        <v>258</v>
      </c>
      <c r="HV33" s="42">
        <v>2</v>
      </c>
      <c r="HW33" s="44"/>
      <c r="HX33" s="46">
        <v>101</v>
      </c>
      <c r="HY33">
        <v>100</v>
      </c>
      <c r="HZ33">
        <v>143</v>
      </c>
      <c r="IA33">
        <v>140</v>
      </c>
      <c r="IB33" s="42">
        <v>4</v>
      </c>
      <c r="IC33" s="44"/>
      <c r="IH33" s="42">
        <v>0</v>
      </c>
      <c r="II33" s="47"/>
      <c r="IJ33">
        <v>203</v>
      </c>
      <c r="IK33">
        <v>200</v>
      </c>
      <c r="IL33">
        <v>203</v>
      </c>
      <c r="IM33">
        <v>200</v>
      </c>
      <c r="IN33" s="42">
        <v>6</v>
      </c>
      <c r="IO33" s="47"/>
      <c r="IP33">
        <v>204</v>
      </c>
      <c r="IQ33">
        <v>200</v>
      </c>
      <c r="IR33">
        <v>170</v>
      </c>
      <c r="IS33">
        <v>170</v>
      </c>
      <c r="IT33" s="42">
        <v>4</v>
      </c>
      <c r="IU33" s="47"/>
      <c r="IV33">
        <v>8</v>
      </c>
      <c r="IW33">
        <v>100</v>
      </c>
      <c r="IX33">
        <v>143</v>
      </c>
      <c r="IY33">
        <v>140</v>
      </c>
      <c r="IZ33" s="39">
        <v>-89</v>
      </c>
      <c r="JA33" s="44">
        <v>89</v>
      </c>
      <c r="JB33">
        <v>98</v>
      </c>
      <c r="JC33">
        <v>100</v>
      </c>
      <c r="JD33" s="42">
        <v>-2</v>
      </c>
      <c r="JE33" s="44"/>
      <c r="JF33">
        <v>253</v>
      </c>
      <c r="JG33">
        <v>250</v>
      </c>
      <c r="JH33">
        <v>198</v>
      </c>
      <c r="JI33">
        <v>196</v>
      </c>
      <c r="JJ33" s="42">
        <v>5</v>
      </c>
      <c r="JK33" s="44"/>
      <c r="JL33" s="46">
        <v>69</v>
      </c>
      <c r="JM33" s="40">
        <v>70</v>
      </c>
      <c r="JN33" s="42">
        <v>-1</v>
      </c>
      <c r="JO33" s="44"/>
      <c r="JP33">
        <v>101</v>
      </c>
      <c r="JQ33">
        <v>100</v>
      </c>
      <c r="JR33">
        <v>110</v>
      </c>
      <c r="JS33">
        <v>110</v>
      </c>
      <c r="JT33" s="42">
        <v>1</v>
      </c>
      <c r="JU33" s="44"/>
      <c r="JV33">
        <v>164</v>
      </c>
      <c r="JW33">
        <v>162</v>
      </c>
      <c r="JZ33" s="42">
        <v>2</v>
      </c>
      <c r="KA33" s="47"/>
      <c r="KB33">
        <v>203</v>
      </c>
      <c r="KC33">
        <v>200</v>
      </c>
      <c r="KD33">
        <v>273</v>
      </c>
      <c r="KE33">
        <v>270</v>
      </c>
      <c r="KF33" s="42">
        <v>6</v>
      </c>
      <c r="KG33" s="44"/>
      <c r="KH33">
        <v>81</v>
      </c>
      <c r="KI33">
        <v>80</v>
      </c>
      <c r="KL33" s="42">
        <v>1</v>
      </c>
      <c r="KM33" s="47"/>
      <c r="KN33" s="46">
        <v>122</v>
      </c>
      <c r="KO33">
        <v>120</v>
      </c>
      <c r="KP33">
        <v>122</v>
      </c>
      <c r="KQ33">
        <v>120</v>
      </c>
      <c r="KR33">
        <v>175</v>
      </c>
      <c r="KS33">
        <v>100</v>
      </c>
      <c r="KT33" s="42">
        <v>79</v>
      </c>
      <c r="KU33" s="47"/>
      <c r="KV33" s="40">
        <v>48.018000000000001</v>
      </c>
      <c r="KW33" s="40">
        <v>50</v>
      </c>
      <c r="KX33" s="40">
        <v>61.735999999999997</v>
      </c>
      <c r="KY33" s="40">
        <v>60</v>
      </c>
      <c r="KZ33" s="42">
        <v>-0.24600000000000929</v>
      </c>
      <c r="LA33" s="47"/>
      <c r="LB33" s="40">
        <v>150.77600000000001</v>
      </c>
      <c r="LC33" s="40">
        <v>150</v>
      </c>
      <c r="LD33" s="40">
        <v>218.29400000000001</v>
      </c>
      <c r="LE33" s="40">
        <v>220</v>
      </c>
      <c r="LF33" s="42">
        <v>-0.92999999999994998</v>
      </c>
      <c r="LG33" s="47"/>
      <c r="LH33" s="45">
        <v>0</v>
      </c>
      <c r="LI33" s="40">
        <v>0</v>
      </c>
      <c r="LJ33" s="42">
        <v>0</v>
      </c>
      <c r="LK33" s="47"/>
      <c r="LL33" s="45">
        <v>248.81399999999999</v>
      </c>
      <c r="LM33" s="40">
        <v>250</v>
      </c>
      <c r="LN33" s="40">
        <v>228.23500000000001</v>
      </c>
      <c r="LO33" s="40">
        <v>230</v>
      </c>
      <c r="LP33" s="42">
        <v>-2.9510000000000218</v>
      </c>
      <c r="LQ33" s="47"/>
      <c r="LR33" s="45">
        <v>101.285</v>
      </c>
      <c r="LS33" s="40">
        <v>100</v>
      </c>
      <c r="LT33" s="40">
        <v>130.11099999999999</v>
      </c>
      <c r="LU33" s="40">
        <v>130</v>
      </c>
      <c r="LV33" s="42">
        <v>1.395999999999987</v>
      </c>
      <c r="LW33" s="47"/>
      <c r="LX33" s="45">
        <v>48.792000000000002</v>
      </c>
      <c r="LY33" s="40">
        <v>50</v>
      </c>
      <c r="LZ33" s="42">
        <v>-1.207999999999998</v>
      </c>
      <c r="MA33" s="47"/>
      <c r="MB33" s="45">
        <v>151.15</v>
      </c>
      <c r="MC33" s="40">
        <v>150</v>
      </c>
      <c r="MD33" s="40">
        <v>49.09</v>
      </c>
      <c r="ME33" s="40">
        <v>50</v>
      </c>
      <c r="MF33" s="42">
        <v>0.24000000000000909</v>
      </c>
      <c r="MG33" s="47"/>
      <c r="MH33" s="45">
        <v>101.914</v>
      </c>
      <c r="MI33" s="40">
        <v>100</v>
      </c>
      <c r="MJ33" s="42">
        <v>1.914000000000001</v>
      </c>
      <c r="MK33" s="47"/>
      <c r="ML33" s="45">
        <v>204.834</v>
      </c>
      <c r="MM33" s="40">
        <v>200</v>
      </c>
      <c r="MN33" s="40">
        <v>253.09200000000001</v>
      </c>
      <c r="MO33" s="40">
        <v>250</v>
      </c>
      <c r="MP33" s="42">
        <v>7.9260000000000446</v>
      </c>
      <c r="MQ33" s="47"/>
      <c r="MR33" s="40">
        <v>101.31699999999999</v>
      </c>
      <c r="MS33" s="40">
        <v>100</v>
      </c>
      <c r="MT33" s="40">
        <v>298.51100000000002</v>
      </c>
      <c r="MU33" s="40">
        <v>300</v>
      </c>
      <c r="MV33" s="42">
        <v>-0.17199999999996859</v>
      </c>
      <c r="MW33" s="47"/>
      <c r="MX33" s="45">
        <v>48.802</v>
      </c>
      <c r="MY33" s="40">
        <v>50</v>
      </c>
      <c r="MZ33" s="40">
        <v>149.65700000000001</v>
      </c>
      <c r="NA33" s="40">
        <v>150</v>
      </c>
      <c r="NB33" s="42">
        <v>-1.540999999999997</v>
      </c>
      <c r="NC33" s="47"/>
      <c r="ND33" s="45">
        <v>151.1</v>
      </c>
      <c r="NE33" s="40">
        <v>100</v>
      </c>
      <c r="NF33" s="40">
        <v>299.33100000000002</v>
      </c>
      <c r="NG33" s="40">
        <v>300</v>
      </c>
      <c r="NH33" s="42">
        <v>50.43100000000004</v>
      </c>
      <c r="NI33" s="47"/>
      <c r="NJ33" s="45">
        <v>0</v>
      </c>
      <c r="NK33" s="40">
        <v>0</v>
      </c>
      <c r="NL33" s="40">
        <v>48.737000000000002</v>
      </c>
      <c r="NM33" s="40">
        <v>50</v>
      </c>
      <c r="NN33" s="42">
        <v>-1.2629999999999979</v>
      </c>
      <c r="NO33" s="47"/>
      <c r="NP33" s="45">
        <v>0</v>
      </c>
      <c r="NQ33" s="30">
        <v>120</v>
      </c>
      <c r="NR33" s="40">
        <v>179.67099999999999</v>
      </c>
      <c r="NS33" s="40">
        <v>180</v>
      </c>
      <c r="NT33" s="39">
        <v>-120.32899999999999</v>
      </c>
      <c r="NU33" s="47">
        <v>120.32899999999999</v>
      </c>
      <c r="NV33" s="45">
        <v>149.83000000000001</v>
      </c>
      <c r="NW33" s="40">
        <v>150</v>
      </c>
      <c r="NX33" s="40">
        <v>148.994</v>
      </c>
      <c r="NY33" s="40">
        <v>150</v>
      </c>
      <c r="NZ33" s="42">
        <v>-1.1759999999999879</v>
      </c>
      <c r="OA33" s="47"/>
      <c r="OB33" s="45">
        <v>250.63300000000001</v>
      </c>
      <c r="OC33" s="40">
        <v>250</v>
      </c>
      <c r="OD33" s="42">
        <v>0.63300000000000978</v>
      </c>
      <c r="OE33" s="47"/>
      <c r="OF33" s="45">
        <v>0</v>
      </c>
      <c r="OG33" s="40">
        <v>0</v>
      </c>
      <c r="OH33" s="40">
        <v>100.541</v>
      </c>
      <c r="OI33" s="40">
        <v>100</v>
      </c>
      <c r="OJ33" s="42">
        <v>0.54099999999999682</v>
      </c>
      <c r="OK33" s="47"/>
      <c r="OL33" s="45">
        <v>220.803</v>
      </c>
      <c r="OM33" s="40">
        <v>220</v>
      </c>
      <c r="ON33" s="40">
        <v>161.459</v>
      </c>
      <c r="OO33" s="40">
        <v>160</v>
      </c>
      <c r="OP33" s="42">
        <v>2.262</v>
      </c>
      <c r="OQ33" s="47"/>
      <c r="OR33" s="45">
        <v>69.069999999999993</v>
      </c>
      <c r="OS33" s="40">
        <v>70</v>
      </c>
      <c r="OT33" s="40">
        <v>80.763999999999996</v>
      </c>
      <c r="OU33" s="40">
        <v>80</v>
      </c>
      <c r="OV33" s="42">
        <v>-0.16599999999999679</v>
      </c>
      <c r="OW33" s="47"/>
      <c r="OX33" s="40">
        <v>202.416</v>
      </c>
      <c r="OY33" s="40">
        <v>200</v>
      </c>
      <c r="OZ33" s="40">
        <v>203.84200000000001</v>
      </c>
      <c r="PA33" s="40">
        <v>200</v>
      </c>
      <c r="PB33" s="42">
        <v>6.2580000000000382</v>
      </c>
      <c r="PC33" s="47"/>
      <c r="PD33" s="45">
        <v>202.523</v>
      </c>
      <c r="PE33" s="40">
        <v>200</v>
      </c>
      <c r="PF33" s="40">
        <v>202.36</v>
      </c>
      <c r="PG33" s="40">
        <v>200</v>
      </c>
      <c r="PH33" s="42">
        <v>4.8830000000000382</v>
      </c>
      <c r="PI33" s="47"/>
      <c r="PJ33" s="45">
        <v>0</v>
      </c>
      <c r="PK33" s="40">
        <v>0</v>
      </c>
      <c r="PL33" s="40">
        <v>41.326999999999998</v>
      </c>
      <c r="PM33" s="40">
        <v>100</v>
      </c>
      <c r="PN33" s="39">
        <v>-58.673000000000002</v>
      </c>
      <c r="PO33" s="47">
        <v>58.673000000000002</v>
      </c>
      <c r="PP33" s="43">
        <v>217.261</v>
      </c>
      <c r="PQ33" s="40">
        <v>300</v>
      </c>
      <c r="PR33" s="40">
        <v>299.57400000000001</v>
      </c>
      <c r="PS33" s="40">
        <v>300</v>
      </c>
      <c r="PT33" s="39">
        <v>-83.164999999999964</v>
      </c>
      <c r="PU33" s="47">
        <v>83.164999999999964</v>
      </c>
      <c r="PV33" s="45">
        <v>201.98599999999999</v>
      </c>
      <c r="PW33" s="40">
        <v>200</v>
      </c>
      <c r="PX33" s="40">
        <v>150.15</v>
      </c>
      <c r="PY33" s="40">
        <v>150</v>
      </c>
      <c r="PZ33" s="42">
        <v>2.1359999999999668</v>
      </c>
      <c r="QA33" s="47"/>
      <c r="QB33" s="45">
        <v>238.952</v>
      </c>
      <c r="QC33" s="40">
        <v>240</v>
      </c>
      <c r="QD33" s="42">
        <v>-1.048000000000002</v>
      </c>
      <c r="QE33" s="47"/>
      <c r="QF33" s="45">
        <v>48.933</v>
      </c>
      <c r="QG33" s="40">
        <v>50</v>
      </c>
      <c r="QH33" s="40">
        <v>48.27</v>
      </c>
      <c r="QI33" s="40">
        <v>50</v>
      </c>
      <c r="QJ33" s="42">
        <v>-2.796999999999997</v>
      </c>
      <c r="QK33" s="47"/>
      <c r="QL33" s="45">
        <v>101.967</v>
      </c>
      <c r="QM33" s="40">
        <v>100</v>
      </c>
      <c r="QN33" s="40">
        <v>146.66800000000001</v>
      </c>
      <c r="QO33" s="40">
        <v>150</v>
      </c>
      <c r="QP33" s="42">
        <v>-1.3650000000000091</v>
      </c>
      <c r="QQ33" s="47"/>
      <c r="QR33" s="45">
        <v>68.254000000000005</v>
      </c>
      <c r="QS33" s="40">
        <v>70</v>
      </c>
      <c r="QT33" s="40">
        <v>250.99700000000001</v>
      </c>
      <c r="QU33" s="40">
        <v>80</v>
      </c>
      <c r="QV33" s="42">
        <v>169.251</v>
      </c>
      <c r="QW33" s="47"/>
      <c r="QX33" s="45">
        <v>101.782</v>
      </c>
      <c r="QY33" s="40">
        <v>100</v>
      </c>
      <c r="QZ33" s="40">
        <v>248.36500000000001</v>
      </c>
      <c r="RA33" s="40">
        <v>250</v>
      </c>
      <c r="RB33" s="42">
        <v>0.14699999999999139</v>
      </c>
      <c r="RC33" s="47"/>
      <c r="RD33" s="45">
        <v>402.66899999999998</v>
      </c>
      <c r="RE33" s="40">
        <v>400</v>
      </c>
      <c r="RF33" s="42">
        <v>2.6689999999999832</v>
      </c>
      <c r="RG33" s="47"/>
    </row>
    <row r="34" spans="1:475" x14ac:dyDescent="0.25">
      <c r="A34" s="40" t="s">
        <v>323</v>
      </c>
      <c r="B34" s="41">
        <v>0.22</v>
      </c>
      <c r="E34">
        <v>100</v>
      </c>
      <c r="F34">
        <v>100</v>
      </c>
      <c r="I34">
        <v>90</v>
      </c>
      <c r="J34">
        <v>56</v>
      </c>
      <c r="K34">
        <v>60</v>
      </c>
      <c r="N34" s="46">
        <v>48</v>
      </c>
      <c r="O34" s="49">
        <v>48</v>
      </c>
      <c r="P34" s="49">
        <v>80</v>
      </c>
      <c r="Q34" s="49">
        <v>81</v>
      </c>
      <c r="R34" s="48">
        <f t="shared" si="8"/>
        <v>-1</v>
      </c>
      <c r="S34" s="44"/>
      <c r="T34" s="46">
        <v>96</v>
      </c>
      <c r="U34" s="49">
        <v>100</v>
      </c>
      <c r="V34" s="49">
        <v>96</v>
      </c>
      <c r="W34" s="49">
        <v>100</v>
      </c>
      <c r="X34" s="48">
        <f t="shared" si="9"/>
        <v>-8</v>
      </c>
      <c r="Y34" s="44"/>
      <c r="Z34" s="46">
        <v>72</v>
      </c>
      <c r="AA34" s="49">
        <v>70</v>
      </c>
      <c r="AB34" s="49">
        <v>32</v>
      </c>
      <c r="AC34" s="49">
        <v>30</v>
      </c>
      <c r="AD34" s="48">
        <f t="shared" si="10"/>
        <v>4</v>
      </c>
      <c r="AE34" s="44"/>
      <c r="AF34" s="46">
        <v>80</v>
      </c>
      <c r="AG34" s="49">
        <v>80</v>
      </c>
      <c r="AH34" s="49">
        <v>120</v>
      </c>
      <c r="AI34" s="49">
        <v>120</v>
      </c>
      <c r="AJ34" s="48">
        <f t="shared" si="11"/>
        <v>0</v>
      </c>
      <c r="AK34" s="44"/>
      <c r="AL34" s="49">
        <v>48</v>
      </c>
      <c r="AM34">
        <v>48</v>
      </c>
      <c r="AN34">
        <v>48</v>
      </c>
      <c r="AO34">
        <v>52</v>
      </c>
      <c r="AP34" s="42">
        <v>-4</v>
      </c>
      <c r="AQ34" s="44"/>
      <c r="AR34" s="43"/>
      <c r="AV34" s="42">
        <v>0</v>
      </c>
      <c r="AW34" s="44"/>
      <c r="AX34">
        <v>96</v>
      </c>
      <c r="AZ34">
        <v>100</v>
      </c>
      <c r="BA34">
        <v>96</v>
      </c>
      <c r="BB34">
        <v>100</v>
      </c>
      <c r="BC34" s="42">
        <v>-8</v>
      </c>
      <c r="BD34" s="44"/>
      <c r="BE34" s="46">
        <v>72</v>
      </c>
      <c r="BF34">
        <v>75</v>
      </c>
      <c r="BI34" s="42">
        <v>-3</v>
      </c>
      <c r="BJ34" s="44"/>
      <c r="BK34">
        <v>72</v>
      </c>
      <c r="BL34">
        <v>76</v>
      </c>
      <c r="BM34">
        <v>24</v>
      </c>
      <c r="BN34">
        <v>24</v>
      </c>
      <c r="BO34" s="42">
        <v>-4</v>
      </c>
      <c r="BP34" s="44"/>
      <c r="BS34" s="42">
        <v>0</v>
      </c>
      <c r="BT34" s="44"/>
      <c r="BU34" s="46">
        <v>216</v>
      </c>
      <c r="BV34">
        <v>219</v>
      </c>
      <c r="BW34">
        <v>216</v>
      </c>
      <c r="BX34">
        <v>216</v>
      </c>
      <c r="BY34" s="42">
        <v>-3</v>
      </c>
      <c r="BZ34" s="44"/>
      <c r="CA34">
        <v>48</v>
      </c>
      <c r="CB34">
        <v>48</v>
      </c>
      <c r="CD34">
        <v>52</v>
      </c>
      <c r="CE34" s="39">
        <v>-52</v>
      </c>
      <c r="CF34" s="44">
        <v>11.44</v>
      </c>
      <c r="CG34" s="43"/>
      <c r="CJ34">
        <v>100</v>
      </c>
      <c r="CK34" s="39">
        <v>-100</v>
      </c>
      <c r="CL34" s="44">
        <v>22</v>
      </c>
      <c r="CM34" s="43"/>
      <c r="CO34">
        <v>296</v>
      </c>
      <c r="CP34">
        <v>300</v>
      </c>
      <c r="CQ34" s="42">
        <v>-4</v>
      </c>
      <c r="CR34" s="44"/>
      <c r="CS34">
        <v>48</v>
      </c>
      <c r="CT34">
        <v>50</v>
      </c>
      <c r="CU34">
        <v>96</v>
      </c>
      <c r="CV34">
        <v>100</v>
      </c>
      <c r="CW34" s="42">
        <v>-6</v>
      </c>
      <c r="CX34" s="44"/>
      <c r="CY34" s="43"/>
      <c r="DA34">
        <v>48</v>
      </c>
      <c r="DB34">
        <v>50</v>
      </c>
      <c r="DC34" s="42">
        <v>-2</v>
      </c>
      <c r="DD34" s="44"/>
      <c r="DE34" s="43"/>
      <c r="DI34">
        <v>96</v>
      </c>
      <c r="DJ34">
        <v>100</v>
      </c>
      <c r="DK34" s="42">
        <v>-4</v>
      </c>
      <c r="DL34" s="44"/>
      <c r="DM34" s="46">
        <v>48</v>
      </c>
      <c r="DN34">
        <v>50</v>
      </c>
      <c r="DQ34" s="42">
        <v>-2</v>
      </c>
      <c r="DR34" s="44"/>
      <c r="DU34">
        <v>256</v>
      </c>
      <c r="DV34">
        <v>260</v>
      </c>
      <c r="DW34">
        <v>96</v>
      </c>
      <c r="DX34">
        <v>100</v>
      </c>
      <c r="DY34" s="42">
        <v>-8</v>
      </c>
      <c r="DZ34" s="44"/>
      <c r="EA34" s="43"/>
      <c r="EC34">
        <v>216</v>
      </c>
      <c r="ED34">
        <v>220</v>
      </c>
      <c r="EE34" s="42">
        <v>-4</v>
      </c>
      <c r="EF34" s="44"/>
      <c r="EG34" s="43"/>
      <c r="EK34" s="42">
        <v>0</v>
      </c>
      <c r="EL34" s="44"/>
      <c r="EM34" s="46">
        <v>96</v>
      </c>
      <c r="EN34">
        <v>96</v>
      </c>
      <c r="EO34">
        <v>96</v>
      </c>
      <c r="EP34">
        <v>94</v>
      </c>
      <c r="EQ34" s="42">
        <v>2</v>
      </c>
      <c r="ER34" s="44"/>
      <c r="ES34">
        <v>64</v>
      </c>
      <c r="ET34">
        <v>64</v>
      </c>
      <c r="EU34">
        <v>64</v>
      </c>
      <c r="EV34">
        <v>64</v>
      </c>
      <c r="EW34">
        <v>80</v>
      </c>
      <c r="EX34">
        <v>82</v>
      </c>
      <c r="EY34" s="42">
        <v>-2</v>
      </c>
      <c r="EZ34" s="44"/>
      <c r="FE34" s="42">
        <v>0</v>
      </c>
      <c r="FF34" s="44"/>
      <c r="FG34" s="46">
        <v>96</v>
      </c>
      <c r="FH34">
        <v>100</v>
      </c>
      <c r="FI34">
        <v>152</v>
      </c>
      <c r="FJ34">
        <v>150</v>
      </c>
      <c r="FK34" s="42">
        <v>-2</v>
      </c>
      <c r="FL34" s="44"/>
      <c r="FM34" s="43"/>
      <c r="FO34" s="42">
        <v>0</v>
      </c>
      <c r="FP34" s="44"/>
      <c r="FU34" s="42">
        <v>0</v>
      </c>
      <c r="FV34" s="44"/>
      <c r="FW34" s="46">
        <v>96</v>
      </c>
      <c r="FX34">
        <v>100</v>
      </c>
      <c r="FZ34">
        <v>100</v>
      </c>
      <c r="GA34">
        <v>136</v>
      </c>
      <c r="GB34">
        <v>140</v>
      </c>
      <c r="GC34" s="39">
        <v>-108</v>
      </c>
      <c r="GD34" s="44">
        <v>23.76</v>
      </c>
      <c r="GG34">
        <v>120</v>
      </c>
      <c r="GH34">
        <v>123</v>
      </c>
      <c r="GI34" s="42">
        <v>-3</v>
      </c>
      <c r="GJ34" s="44"/>
      <c r="GK34" s="43"/>
      <c r="GM34">
        <v>56</v>
      </c>
      <c r="GN34">
        <v>54</v>
      </c>
      <c r="GO34" s="42">
        <v>2</v>
      </c>
      <c r="GP34" s="47"/>
      <c r="GQ34">
        <v>40</v>
      </c>
      <c r="GR34">
        <v>40</v>
      </c>
      <c r="GS34">
        <v>56</v>
      </c>
      <c r="GT34">
        <v>60</v>
      </c>
      <c r="GU34" s="42">
        <v>-4</v>
      </c>
      <c r="GV34" s="44"/>
      <c r="GY34" s="42">
        <v>0</v>
      </c>
      <c r="GZ34" s="47"/>
      <c r="HA34" s="43"/>
      <c r="HC34" s="42">
        <v>0</v>
      </c>
      <c r="HD34" s="44"/>
      <c r="HE34" s="46">
        <v>152</v>
      </c>
      <c r="HF34">
        <v>150</v>
      </c>
      <c r="HG34">
        <v>200</v>
      </c>
      <c r="HH34">
        <v>200</v>
      </c>
      <c r="HI34" s="42">
        <v>2</v>
      </c>
      <c r="HJ34" s="47"/>
      <c r="HK34" s="43"/>
      <c r="HO34" s="42">
        <v>0</v>
      </c>
      <c r="HP34" s="44"/>
      <c r="HV34" s="42">
        <v>0</v>
      </c>
      <c r="HW34" s="44"/>
      <c r="HX34" s="46">
        <v>152</v>
      </c>
      <c r="HY34">
        <v>150</v>
      </c>
      <c r="HZ34">
        <v>184</v>
      </c>
      <c r="IA34">
        <v>186</v>
      </c>
      <c r="IB34" s="42">
        <v>0</v>
      </c>
      <c r="IC34" s="44"/>
      <c r="IF34">
        <v>32</v>
      </c>
      <c r="IG34">
        <v>30</v>
      </c>
      <c r="IH34" s="42">
        <v>2</v>
      </c>
      <c r="II34" s="47"/>
      <c r="IJ34">
        <v>96</v>
      </c>
      <c r="IK34">
        <v>100</v>
      </c>
      <c r="IL34">
        <v>72</v>
      </c>
      <c r="IM34">
        <v>70</v>
      </c>
      <c r="IN34" s="42">
        <v>-2</v>
      </c>
      <c r="IO34" s="47"/>
      <c r="IP34">
        <v>80</v>
      </c>
      <c r="IQ34">
        <v>80</v>
      </c>
      <c r="IT34" s="42">
        <v>0</v>
      </c>
      <c r="IU34" s="47"/>
      <c r="IV34">
        <v>80</v>
      </c>
      <c r="IW34">
        <v>80</v>
      </c>
      <c r="IZ34" s="42">
        <v>0</v>
      </c>
      <c r="JA34" s="44"/>
      <c r="JB34">
        <v>24</v>
      </c>
      <c r="JC34">
        <v>30</v>
      </c>
      <c r="JD34" s="42">
        <v>-6</v>
      </c>
      <c r="JE34" s="44"/>
      <c r="JF34">
        <v>160</v>
      </c>
      <c r="JG34">
        <v>160</v>
      </c>
      <c r="JH34">
        <v>120</v>
      </c>
      <c r="JI34">
        <v>125</v>
      </c>
      <c r="JJ34" s="42">
        <v>-5</v>
      </c>
      <c r="JK34" s="44"/>
      <c r="JL34" s="46">
        <v>176</v>
      </c>
      <c r="JM34" s="40">
        <v>180</v>
      </c>
      <c r="JN34" s="42">
        <v>-4</v>
      </c>
      <c r="JO34" s="44"/>
      <c r="JT34" s="42">
        <v>0</v>
      </c>
      <c r="JU34" s="44"/>
      <c r="JZ34" s="42">
        <v>0</v>
      </c>
      <c r="KA34" s="47"/>
      <c r="KB34">
        <v>248</v>
      </c>
      <c r="KC34">
        <v>250</v>
      </c>
      <c r="KD34">
        <v>192</v>
      </c>
      <c r="KE34">
        <v>190</v>
      </c>
      <c r="KF34" s="42">
        <v>0</v>
      </c>
      <c r="KG34" s="44"/>
      <c r="KH34">
        <v>120</v>
      </c>
      <c r="KI34">
        <v>120</v>
      </c>
      <c r="KL34" s="42">
        <v>0</v>
      </c>
      <c r="KM34" s="47"/>
      <c r="KN34" s="45"/>
      <c r="KT34" s="42">
        <v>0</v>
      </c>
      <c r="KU34" s="47"/>
      <c r="KV34" s="40">
        <v>296</v>
      </c>
      <c r="KW34" s="40">
        <v>300</v>
      </c>
      <c r="KX34" s="40">
        <v>320</v>
      </c>
      <c r="KY34" s="40">
        <v>350</v>
      </c>
      <c r="KZ34" s="39">
        <v>-34</v>
      </c>
      <c r="LA34" s="47">
        <v>7.48</v>
      </c>
      <c r="LB34" s="40">
        <v>0</v>
      </c>
      <c r="LC34" s="40">
        <v>0</v>
      </c>
      <c r="LD34" s="40">
        <v>0</v>
      </c>
      <c r="LE34" s="40">
        <v>0</v>
      </c>
      <c r="LF34" s="42">
        <v>0</v>
      </c>
      <c r="LG34" s="47"/>
      <c r="LH34" s="45">
        <v>0</v>
      </c>
      <c r="LI34" s="40">
        <v>0</v>
      </c>
      <c r="LJ34" s="42">
        <v>0</v>
      </c>
      <c r="LK34" s="47"/>
      <c r="LL34" s="45">
        <v>0</v>
      </c>
      <c r="LM34" s="40">
        <v>0</v>
      </c>
      <c r="LN34" s="40">
        <v>0</v>
      </c>
      <c r="LO34" s="40">
        <v>0</v>
      </c>
      <c r="LP34" s="42">
        <v>0</v>
      </c>
      <c r="LQ34" s="47"/>
      <c r="LR34" s="45">
        <v>96</v>
      </c>
      <c r="LS34" s="40">
        <v>100</v>
      </c>
      <c r="LT34" s="40">
        <v>232</v>
      </c>
      <c r="LU34" s="40">
        <v>230</v>
      </c>
      <c r="LV34" s="42">
        <v>-2</v>
      </c>
      <c r="LW34" s="47"/>
      <c r="LX34" s="45">
        <v>248</v>
      </c>
      <c r="LY34" s="40">
        <v>250</v>
      </c>
      <c r="LZ34" s="42">
        <v>-2</v>
      </c>
      <c r="MA34" s="47"/>
      <c r="MB34" s="45">
        <v>0</v>
      </c>
      <c r="MC34" s="40">
        <v>0</v>
      </c>
      <c r="MD34" s="40">
        <v>80</v>
      </c>
      <c r="ME34" s="40">
        <v>80</v>
      </c>
      <c r="MF34" s="42">
        <v>0</v>
      </c>
      <c r="MG34" s="47"/>
      <c r="MH34" s="45">
        <v>152</v>
      </c>
      <c r="MI34" s="40">
        <v>150</v>
      </c>
      <c r="MJ34" s="42">
        <v>2</v>
      </c>
      <c r="MK34" s="47"/>
      <c r="ML34" s="45">
        <v>0</v>
      </c>
      <c r="MM34" s="40">
        <v>0</v>
      </c>
      <c r="MN34" s="40">
        <v>0</v>
      </c>
      <c r="MO34" s="40">
        <v>0</v>
      </c>
      <c r="MP34" s="42">
        <v>0</v>
      </c>
      <c r="MQ34" s="47"/>
      <c r="MR34" s="40">
        <v>0</v>
      </c>
      <c r="MS34" s="40">
        <v>0</v>
      </c>
      <c r="MT34" s="40">
        <v>248</v>
      </c>
      <c r="MU34" s="40">
        <v>250</v>
      </c>
      <c r="MV34" s="42">
        <v>-2</v>
      </c>
      <c r="MW34" s="47"/>
      <c r="MX34" s="45">
        <v>0</v>
      </c>
      <c r="MY34" s="40">
        <v>0</v>
      </c>
      <c r="MZ34" s="40">
        <v>80</v>
      </c>
      <c r="NA34" s="40">
        <v>80</v>
      </c>
      <c r="NB34" s="42">
        <v>0</v>
      </c>
      <c r="NC34" s="47"/>
      <c r="ND34" s="45">
        <v>0</v>
      </c>
      <c r="NE34" s="30">
        <v>50</v>
      </c>
      <c r="NF34" s="40">
        <v>160</v>
      </c>
      <c r="NG34" s="40">
        <v>160</v>
      </c>
      <c r="NH34" s="39">
        <v>-50</v>
      </c>
      <c r="NI34" s="47">
        <v>11</v>
      </c>
      <c r="NJ34" s="45">
        <v>40</v>
      </c>
      <c r="NK34" s="40">
        <v>40</v>
      </c>
      <c r="NL34" s="40">
        <v>56</v>
      </c>
      <c r="NM34" s="40">
        <v>60</v>
      </c>
      <c r="NN34" s="42">
        <v>-4</v>
      </c>
      <c r="NO34" s="47"/>
      <c r="NP34" s="45">
        <v>0</v>
      </c>
      <c r="NQ34" s="40">
        <v>0</v>
      </c>
      <c r="NR34" s="40">
        <v>120</v>
      </c>
      <c r="NS34" s="40">
        <v>120</v>
      </c>
      <c r="NT34" s="42">
        <v>0</v>
      </c>
      <c r="NU34" s="47"/>
      <c r="NV34" s="45">
        <v>0</v>
      </c>
      <c r="NW34" s="40">
        <v>0</v>
      </c>
      <c r="NX34" s="40">
        <v>0</v>
      </c>
      <c r="NY34" s="40">
        <v>0</v>
      </c>
      <c r="NZ34" s="42">
        <v>0</v>
      </c>
      <c r="OA34" s="47"/>
      <c r="OB34" s="45">
        <v>152</v>
      </c>
      <c r="OC34" s="40">
        <v>150</v>
      </c>
      <c r="OD34" s="42">
        <v>2</v>
      </c>
      <c r="OE34" s="47"/>
      <c r="OF34" s="45">
        <v>0</v>
      </c>
      <c r="OG34" s="40">
        <v>0</v>
      </c>
      <c r="OH34" s="40">
        <v>248</v>
      </c>
      <c r="OI34" s="40">
        <v>250</v>
      </c>
      <c r="OJ34" s="42">
        <v>-2</v>
      </c>
      <c r="OK34" s="47"/>
      <c r="OL34" s="45">
        <v>0</v>
      </c>
      <c r="OM34" s="40">
        <v>0</v>
      </c>
      <c r="ON34" s="40">
        <v>0</v>
      </c>
      <c r="OO34" s="40">
        <v>0</v>
      </c>
      <c r="OP34" s="42">
        <v>0</v>
      </c>
      <c r="OQ34" s="47"/>
      <c r="OR34" s="45">
        <v>0</v>
      </c>
      <c r="OS34" s="40">
        <v>0</v>
      </c>
      <c r="OT34" s="40">
        <v>0</v>
      </c>
      <c r="OU34" s="40">
        <v>0</v>
      </c>
      <c r="OV34" s="42">
        <v>0</v>
      </c>
      <c r="OW34" s="47"/>
      <c r="OX34" s="40">
        <v>40</v>
      </c>
      <c r="OY34" s="40">
        <v>40</v>
      </c>
      <c r="OZ34" s="40">
        <v>32</v>
      </c>
      <c r="PA34" s="40">
        <v>30</v>
      </c>
      <c r="PB34" s="42">
        <v>2</v>
      </c>
      <c r="PC34" s="47"/>
      <c r="PD34" s="45">
        <v>96</v>
      </c>
      <c r="PE34" s="40">
        <v>100</v>
      </c>
      <c r="PF34" s="40">
        <v>152</v>
      </c>
      <c r="PG34" s="40">
        <v>150</v>
      </c>
      <c r="PH34" s="42">
        <v>-2</v>
      </c>
      <c r="PI34" s="47"/>
      <c r="PJ34" s="45">
        <v>0</v>
      </c>
      <c r="PK34" s="40">
        <v>0</v>
      </c>
      <c r="PL34" s="40">
        <v>0</v>
      </c>
      <c r="PM34" s="40">
        <v>0</v>
      </c>
      <c r="PN34" s="42">
        <v>0</v>
      </c>
      <c r="PO34" s="47"/>
      <c r="PP34" s="43">
        <v>96</v>
      </c>
      <c r="PQ34" s="40">
        <v>100</v>
      </c>
      <c r="PR34" s="40">
        <v>152</v>
      </c>
      <c r="PS34" s="40">
        <v>150</v>
      </c>
      <c r="PT34" s="42">
        <v>-2</v>
      </c>
      <c r="PU34" s="47"/>
      <c r="PV34" s="45">
        <v>56</v>
      </c>
      <c r="PW34" s="40">
        <v>60</v>
      </c>
      <c r="PX34" s="40">
        <v>56</v>
      </c>
      <c r="PY34" s="40">
        <v>60</v>
      </c>
      <c r="PZ34" s="42">
        <v>-8</v>
      </c>
      <c r="QA34" s="47"/>
      <c r="QB34" s="45">
        <v>48</v>
      </c>
      <c r="QC34" s="40">
        <v>50</v>
      </c>
      <c r="QD34" s="42">
        <v>-2</v>
      </c>
      <c r="QE34" s="47"/>
      <c r="QF34" s="45">
        <v>48</v>
      </c>
      <c r="QG34" s="40">
        <v>50</v>
      </c>
      <c r="QH34" s="40">
        <v>0</v>
      </c>
      <c r="QI34" s="40">
        <v>0</v>
      </c>
      <c r="QJ34" s="42">
        <v>-2</v>
      </c>
      <c r="QK34" s="47"/>
      <c r="QL34" s="45">
        <v>72</v>
      </c>
      <c r="QM34" s="40">
        <v>70</v>
      </c>
      <c r="QN34" s="40">
        <v>80</v>
      </c>
      <c r="QO34" s="40">
        <v>80</v>
      </c>
      <c r="QP34" s="42">
        <v>2</v>
      </c>
      <c r="QQ34" s="47"/>
      <c r="QR34" s="45">
        <v>40</v>
      </c>
      <c r="QS34" s="40">
        <v>40</v>
      </c>
      <c r="QT34" s="40">
        <v>72</v>
      </c>
      <c r="QU34" s="40">
        <v>40</v>
      </c>
      <c r="QV34" s="42">
        <v>32</v>
      </c>
      <c r="QW34" s="47"/>
      <c r="QX34" s="45">
        <v>48</v>
      </c>
      <c r="QY34" s="40">
        <v>50</v>
      </c>
      <c r="QZ34" s="40">
        <v>0</v>
      </c>
      <c r="RA34" s="40">
        <v>0</v>
      </c>
      <c r="RB34" s="42">
        <v>-2</v>
      </c>
      <c r="RC34" s="47"/>
      <c r="RD34" s="45">
        <v>152</v>
      </c>
      <c r="RE34" s="40">
        <v>150</v>
      </c>
      <c r="RF34" s="42">
        <v>2</v>
      </c>
      <c r="RG34" s="47"/>
    </row>
    <row r="35" spans="1:475" x14ac:dyDescent="0.25">
      <c r="A35" s="40" t="s">
        <v>324</v>
      </c>
      <c r="B35" s="41">
        <v>1</v>
      </c>
      <c r="N35" s="43"/>
      <c r="O35" s="48"/>
      <c r="P35" s="48"/>
      <c r="Q35" s="48"/>
      <c r="R35" s="48">
        <f t="shared" si="8"/>
        <v>0</v>
      </c>
      <c r="S35" s="44"/>
      <c r="T35" s="43"/>
      <c r="U35" s="48"/>
      <c r="V35" s="48"/>
      <c r="W35" s="48"/>
      <c r="X35" s="48">
        <f t="shared" si="9"/>
        <v>0</v>
      </c>
      <c r="Y35" s="44"/>
      <c r="Z35" s="43"/>
      <c r="AA35" s="48"/>
      <c r="AB35" s="48"/>
      <c r="AC35" s="48"/>
      <c r="AD35" s="48">
        <f t="shared" si="10"/>
        <v>0</v>
      </c>
      <c r="AE35" s="44"/>
      <c r="AF35" s="43"/>
      <c r="AG35" s="48"/>
      <c r="AH35" s="48"/>
      <c r="AI35" s="48"/>
      <c r="AJ35" s="48">
        <f t="shared" si="11"/>
        <v>0</v>
      </c>
      <c r="AK35" s="44"/>
      <c r="AL35" s="48"/>
      <c r="AP35" s="42">
        <v>0</v>
      </c>
      <c r="AQ35" s="44"/>
      <c r="AR35" s="43"/>
      <c r="AV35" s="42">
        <v>0</v>
      </c>
      <c r="AW35" s="44"/>
      <c r="BC35" s="42">
        <v>0</v>
      </c>
      <c r="BD35" s="44"/>
      <c r="BE35" s="43"/>
      <c r="BI35" s="42">
        <v>0</v>
      </c>
      <c r="BJ35" s="44"/>
      <c r="BO35" s="42">
        <v>0</v>
      </c>
      <c r="BP35" s="44"/>
      <c r="BS35" s="42">
        <v>0</v>
      </c>
      <c r="BT35" s="44"/>
      <c r="BU35" s="43"/>
      <c r="BY35" s="42">
        <v>0</v>
      </c>
      <c r="BZ35" s="44"/>
      <c r="CE35" s="42">
        <v>0</v>
      </c>
      <c r="CF35" s="44"/>
      <c r="CG35" s="43"/>
      <c r="CK35" s="42">
        <v>0</v>
      </c>
      <c r="CL35" s="44"/>
      <c r="CM35" s="43"/>
      <c r="CQ35" s="42">
        <v>0</v>
      </c>
      <c r="CR35" s="44"/>
      <c r="CW35" s="42">
        <v>0</v>
      </c>
      <c r="CX35" s="44"/>
      <c r="CY35" s="43"/>
      <c r="DC35" s="42">
        <v>0</v>
      </c>
      <c r="DD35" s="44"/>
      <c r="DE35" s="43"/>
      <c r="DK35" s="42">
        <v>0</v>
      </c>
      <c r="DL35" s="44"/>
      <c r="DM35" s="43"/>
      <c r="DQ35" s="42">
        <v>0</v>
      </c>
      <c r="DR35" s="44"/>
      <c r="DY35" s="42">
        <v>0</v>
      </c>
      <c r="DZ35" s="44"/>
      <c r="EA35" s="43"/>
      <c r="EE35" s="42">
        <v>0</v>
      </c>
      <c r="EF35" s="44"/>
      <c r="EG35" s="43"/>
      <c r="EK35" s="42">
        <v>0</v>
      </c>
      <c r="EL35" s="44"/>
      <c r="EM35" s="43"/>
      <c r="EQ35" s="42">
        <v>0</v>
      </c>
      <c r="ER35" s="44"/>
      <c r="EY35" s="42">
        <v>0</v>
      </c>
      <c r="EZ35" s="44"/>
      <c r="FE35" s="42">
        <v>0</v>
      </c>
      <c r="FF35" s="44"/>
      <c r="FG35" s="43"/>
      <c r="FK35" s="42">
        <v>0</v>
      </c>
      <c r="FL35" s="44"/>
      <c r="FM35" s="43"/>
      <c r="FO35" s="42">
        <v>0</v>
      </c>
      <c r="FP35" s="44"/>
      <c r="FU35" s="42">
        <v>0</v>
      </c>
      <c r="FV35" s="44"/>
      <c r="FW35" s="43"/>
      <c r="GC35" s="42">
        <v>0</v>
      </c>
      <c r="GD35" s="44"/>
      <c r="GI35" s="42">
        <v>0</v>
      </c>
      <c r="GJ35" s="44"/>
      <c r="GK35" s="43"/>
      <c r="GO35" s="42">
        <v>0</v>
      </c>
      <c r="GP35" s="47"/>
      <c r="GU35" s="42">
        <v>0</v>
      </c>
      <c r="GV35" s="44"/>
      <c r="GY35" s="42">
        <v>0</v>
      </c>
      <c r="GZ35" s="47"/>
      <c r="HA35" s="43"/>
      <c r="HC35" s="42">
        <v>0</v>
      </c>
      <c r="HD35" s="44"/>
      <c r="HE35" s="43"/>
      <c r="HI35" s="42">
        <v>0</v>
      </c>
      <c r="HJ35" s="47"/>
      <c r="HK35" s="43"/>
      <c r="HO35" s="42">
        <v>0</v>
      </c>
      <c r="HP35" s="44"/>
      <c r="HV35" s="42">
        <v>0</v>
      </c>
      <c r="HW35" s="44"/>
      <c r="HX35" s="45"/>
      <c r="IB35" s="42">
        <v>0</v>
      </c>
      <c r="IC35" s="44"/>
      <c r="IH35" s="42">
        <v>0</v>
      </c>
      <c r="II35" s="47"/>
      <c r="IN35" s="42">
        <v>0</v>
      </c>
      <c r="IO35" s="47"/>
      <c r="IT35" s="42">
        <v>0</v>
      </c>
      <c r="IU35" s="47"/>
      <c r="IZ35" s="42">
        <v>0</v>
      </c>
      <c r="JA35" s="44"/>
      <c r="JD35" s="42">
        <v>0</v>
      </c>
      <c r="JE35" s="44"/>
      <c r="JJ35" s="42">
        <v>0</v>
      </c>
      <c r="JK35" s="44"/>
      <c r="JL35" s="45"/>
      <c r="JN35" s="42">
        <v>0</v>
      </c>
      <c r="JO35" s="44"/>
      <c r="JT35" s="42">
        <v>0</v>
      </c>
      <c r="JU35" s="44"/>
      <c r="JZ35" s="42">
        <v>0</v>
      </c>
      <c r="KA35" s="47"/>
      <c r="KF35" s="42">
        <v>0</v>
      </c>
      <c r="KG35" s="44"/>
      <c r="KH35" s="41"/>
      <c r="KL35" s="42">
        <v>0</v>
      </c>
      <c r="KM35" s="47"/>
      <c r="KN35" s="45"/>
      <c r="KT35" s="42">
        <v>0</v>
      </c>
      <c r="KU35" s="47"/>
      <c r="KV35" s="40">
        <v>0</v>
      </c>
      <c r="KW35" s="40">
        <v>0</v>
      </c>
      <c r="KX35" s="40">
        <v>0</v>
      </c>
      <c r="KY35" s="40">
        <v>0</v>
      </c>
      <c r="KZ35" s="42">
        <v>0</v>
      </c>
      <c r="LA35" s="47"/>
      <c r="LB35" s="40">
        <v>0</v>
      </c>
      <c r="LC35" s="40">
        <v>0</v>
      </c>
      <c r="LD35" s="40">
        <v>0</v>
      </c>
      <c r="LE35" s="40">
        <v>0</v>
      </c>
      <c r="LF35" s="42">
        <v>0</v>
      </c>
      <c r="LG35" s="47"/>
      <c r="LH35" s="45">
        <v>0</v>
      </c>
      <c r="LI35" s="40">
        <v>0</v>
      </c>
      <c r="LJ35" s="42">
        <v>0</v>
      </c>
      <c r="LK35" s="47"/>
      <c r="LL35" s="45">
        <v>0</v>
      </c>
      <c r="LM35" s="40">
        <v>0</v>
      </c>
      <c r="LN35" s="40">
        <v>0</v>
      </c>
      <c r="LO35" s="40">
        <v>0</v>
      </c>
      <c r="LP35" s="42">
        <v>0</v>
      </c>
      <c r="LQ35" s="47"/>
      <c r="LR35" s="45">
        <v>0</v>
      </c>
      <c r="LS35" s="40">
        <v>0</v>
      </c>
      <c r="LT35" s="40">
        <v>0</v>
      </c>
      <c r="LU35" s="40">
        <v>0</v>
      </c>
      <c r="LV35" s="42">
        <v>0</v>
      </c>
      <c r="LW35" s="47"/>
      <c r="LX35" s="45">
        <v>0</v>
      </c>
      <c r="LY35" s="40">
        <v>0</v>
      </c>
      <c r="LZ35" s="42">
        <v>0</v>
      </c>
      <c r="MA35" s="47"/>
      <c r="MB35" s="45">
        <v>0</v>
      </c>
      <c r="MC35" s="40">
        <v>0</v>
      </c>
      <c r="MD35" s="40">
        <v>0</v>
      </c>
      <c r="ME35" s="40">
        <v>0</v>
      </c>
      <c r="MF35" s="42">
        <v>0</v>
      </c>
      <c r="MG35" s="47"/>
      <c r="MH35" s="45">
        <v>0</v>
      </c>
      <c r="MI35" s="40">
        <v>0</v>
      </c>
      <c r="MJ35" s="42">
        <v>0</v>
      </c>
      <c r="MK35" s="47"/>
      <c r="ML35" s="45">
        <v>0</v>
      </c>
      <c r="MM35" s="40">
        <v>0</v>
      </c>
      <c r="MN35" s="40">
        <v>0</v>
      </c>
      <c r="MO35" s="40">
        <v>0</v>
      </c>
      <c r="MP35" s="42">
        <v>0</v>
      </c>
      <c r="MQ35" s="47"/>
      <c r="MR35" s="40">
        <v>0</v>
      </c>
      <c r="MS35" s="40">
        <v>0</v>
      </c>
      <c r="MT35" s="40">
        <v>0</v>
      </c>
      <c r="MU35" s="40">
        <v>0</v>
      </c>
      <c r="MV35" s="42">
        <v>0</v>
      </c>
      <c r="MW35" s="47"/>
      <c r="MX35" s="45">
        <v>0</v>
      </c>
      <c r="MY35" s="40">
        <v>0</v>
      </c>
      <c r="MZ35" s="40">
        <v>0</v>
      </c>
      <c r="NA35" s="40">
        <v>0</v>
      </c>
      <c r="NB35" s="42">
        <v>0</v>
      </c>
      <c r="NC35" s="47"/>
      <c r="ND35" s="45">
        <v>0</v>
      </c>
      <c r="NE35" s="40">
        <v>0</v>
      </c>
      <c r="NF35" s="40">
        <v>0</v>
      </c>
      <c r="NG35" s="40">
        <v>0</v>
      </c>
      <c r="NH35" s="42">
        <v>0</v>
      </c>
      <c r="NI35" s="47"/>
      <c r="NJ35" s="45">
        <v>0</v>
      </c>
      <c r="NK35" s="40">
        <v>0</v>
      </c>
      <c r="NL35" s="40">
        <v>0</v>
      </c>
      <c r="NM35" s="40">
        <v>0</v>
      </c>
      <c r="NN35" s="42">
        <v>0</v>
      </c>
      <c r="NO35" s="47"/>
      <c r="NP35" s="45">
        <v>0</v>
      </c>
      <c r="NQ35" s="40">
        <v>0</v>
      </c>
      <c r="NR35" s="40">
        <v>0</v>
      </c>
      <c r="NS35" s="40">
        <v>0</v>
      </c>
      <c r="NT35" s="42">
        <v>0</v>
      </c>
      <c r="NU35" s="47"/>
      <c r="NV35" s="45">
        <v>0</v>
      </c>
      <c r="NW35" s="40">
        <v>0</v>
      </c>
      <c r="NX35" s="40">
        <v>0</v>
      </c>
      <c r="NY35" s="40">
        <v>0</v>
      </c>
      <c r="NZ35" s="42">
        <v>0</v>
      </c>
      <c r="OA35" s="47"/>
      <c r="OB35" s="45">
        <v>0</v>
      </c>
      <c r="OC35" s="40">
        <v>0</v>
      </c>
      <c r="OD35" s="42">
        <v>0</v>
      </c>
      <c r="OE35" s="47"/>
      <c r="OF35" s="45">
        <v>0</v>
      </c>
      <c r="OG35" s="40">
        <v>0</v>
      </c>
      <c r="OH35" s="40">
        <v>0</v>
      </c>
      <c r="OI35" s="40">
        <v>0</v>
      </c>
      <c r="OJ35" s="42">
        <v>0</v>
      </c>
      <c r="OK35" s="47"/>
      <c r="OL35" s="45">
        <v>0</v>
      </c>
      <c r="OM35" s="40">
        <v>0</v>
      </c>
      <c r="ON35" s="40">
        <v>0</v>
      </c>
      <c r="OO35" s="40">
        <v>0</v>
      </c>
      <c r="OP35" s="42">
        <v>0</v>
      </c>
      <c r="OQ35" s="47"/>
      <c r="OR35" s="45">
        <v>0</v>
      </c>
      <c r="OS35" s="40">
        <v>0</v>
      </c>
      <c r="OT35" s="40">
        <v>0</v>
      </c>
      <c r="OU35" s="14">
        <v>50</v>
      </c>
      <c r="OV35" s="42">
        <v>-0.60199999999999676</v>
      </c>
      <c r="OW35" s="47"/>
      <c r="OX35" s="40">
        <v>0</v>
      </c>
      <c r="OY35" s="14">
        <v>160</v>
      </c>
      <c r="OZ35" s="40">
        <v>0</v>
      </c>
      <c r="PA35" s="30">
        <v>140</v>
      </c>
      <c r="PB35" s="39">
        <v>-141.22200000000001</v>
      </c>
      <c r="PC35" s="47">
        <v>141.22200000000001</v>
      </c>
      <c r="PD35" s="45">
        <v>101.566</v>
      </c>
      <c r="PE35" s="40">
        <v>100</v>
      </c>
      <c r="PF35" s="40">
        <v>149.482</v>
      </c>
      <c r="PG35" s="40">
        <v>150</v>
      </c>
      <c r="PH35" s="42">
        <v>1.048000000000002</v>
      </c>
      <c r="PI35" s="47"/>
      <c r="PJ35" s="45">
        <v>0</v>
      </c>
      <c r="PK35" s="40">
        <v>0</v>
      </c>
      <c r="PL35" s="40">
        <v>176.50200000000001</v>
      </c>
      <c r="PM35" s="40">
        <v>180</v>
      </c>
      <c r="PN35" s="42">
        <v>-3.49799999999999</v>
      </c>
      <c r="PO35" s="47"/>
      <c r="PP35" s="43">
        <v>0</v>
      </c>
      <c r="PQ35" s="40">
        <v>0</v>
      </c>
      <c r="PR35" s="40">
        <v>0</v>
      </c>
      <c r="PS35" s="30">
        <v>70</v>
      </c>
      <c r="PT35" s="39">
        <v>-70</v>
      </c>
      <c r="PU35" s="47">
        <v>70</v>
      </c>
      <c r="PV35" s="45">
        <v>52.146999999999998</v>
      </c>
      <c r="PW35" s="40">
        <v>50</v>
      </c>
      <c r="PX35" s="40">
        <v>49.491999999999997</v>
      </c>
      <c r="PY35" s="40">
        <v>50</v>
      </c>
      <c r="PZ35" s="42">
        <v>1.638999999999996</v>
      </c>
      <c r="QA35" s="47"/>
      <c r="QB35" s="45">
        <v>393.88600000000002</v>
      </c>
      <c r="QC35" s="40">
        <v>397</v>
      </c>
      <c r="QD35" s="42">
        <v>-3.1139999999999759</v>
      </c>
      <c r="QE35" s="47"/>
      <c r="QF35" s="45">
        <v>50.795999999999999</v>
      </c>
      <c r="QG35" s="40">
        <v>50</v>
      </c>
      <c r="QH35" s="40">
        <v>45.185000000000002</v>
      </c>
      <c r="QI35" s="40">
        <v>50</v>
      </c>
      <c r="QJ35" s="42">
        <v>-4.0190000000000046</v>
      </c>
      <c r="QK35" s="47"/>
      <c r="QL35" s="45">
        <v>124.068</v>
      </c>
      <c r="QM35" s="40">
        <v>130</v>
      </c>
      <c r="QN35" s="40">
        <v>148.73099999999999</v>
      </c>
      <c r="QO35" s="40">
        <v>150</v>
      </c>
      <c r="QP35" s="42">
        <v>-7.2010000000000218</v>
      </c>
      <c r="QQ35" s="47"/>
      <c r="QR35" s="45">
        <v>102.146</v>
      </c>
      <c r="QS35" s="40">
        <v>100</v>
      </c>
      <c r="QT35" s="40">
        <v>0</v>
      </c>
      <c r="QU35" s="40">
        <v>150</v>
      </c>
      <c r="QV35" s="39">
        <v>-147.85400000000001</v>
      </c>
      <c r="QW35" s="47">
        <v>147.85400000000001</v>
      </c>
      <c r="QX35" s="45">
        <v>143.714</v>
      </c>
      <c r="QY35" s="40">
        <v>150</v>
      </c>
      <c r="QZ35" s="40">
        <v>0</v>
      </c>
      <c r="RA35" s="40">
        <v>0</v>
      </c>
      <c r="RB35" s="42">
        <v>-6.2860000000000014</v>
      </c>
      <c r="RC35" s="47"/>
      <c r="RD35" s="45">
        <v>200.64500000000001</v>
      </c>
      <c r="RE35" s="40">
        <v>200</v>
      </c>
      <c r="RF35" s="42">
        <v>0.64500000000001023</v>
      </c>
      <c r="RG35" s="47"/>
    </row>
    <row r="36" spans="1:475" x14ac:dyDescent="0.25">
      <c r="A36" s="40" t="s">
        <v>325</v>
      </c>
      <c r="B36" s="41">
        <v>0.4</v>
      </c>
      <c r="N36" s="43"/>
      <c r="O36" s="49">
        <v>8</v>
      </c>
      <c r="P36" s="48"/>
      <c r="Q36" s="48"/>
      <c r="R36" s="48">
        <f>N199-O36-Q36</f>
        <v>0</v>
      </c>
      <c r="S36" s="44"/>
      <c r="T36" s="43"/>
      <c r="U36" s="48"/>
      <c r="V36" s="48"/>
      <c r="W36" s="49">
        <v>22</v>
      </c>
      <c r="X36" s="48">
        <f>V199-U36-W36</f>
        <v>2</v>
      </c>
      <c r="Y36" s="44"/>
      <c r="Z36" s="43"/>
      <c r="AA36" s="48"/>
      <c r="AB36" s="48"/>
      <c r="AC36" s="48"/>
      <c r="AD36" s="48">
        <f t="shared" si="10"/>
        <v>0</v>
      </c>
      <c r="AE36" s="44"/>
      <c r="AF36" s="43"/>
      <c r="AG36" s="49">
        <v>13</v>
      </c>
      <c r="AH36" s="48"/>
      <c r="AI36" s="48"/>
      <c r="AJ36" s="53">
        <f t="shared" si="11"/>
        <v>-13</v>
      </c>
      <c r="AK36" s="44">
        <f>-1*AJ36*B36</f>
        <v>5.2</v>
      </c>
      <c r="AL36" s="48"/>
      <c r="AP36" s="42">
        <v>0</v>
      </c>
      <c r="AQ36" s="44"/>
      <c r="AR36" s="43"/>
      <c r="AT36">
        <v>32</v>
      </c>
      <c r="AU36">
        <v>34</v>
      </c>
      <c r="AV36" s="42">
        <v>-2</v>
      </c>
      <c r="AW36" s="44"/>
      <c r="BC36" s="42">
        <v>0</v>
      </c>
      <c r="BD36" s="44"/>
      <c r="BE36" s="43"/>
      <c r="BI36" s="42">
        <v>0</v>
      </c>
      <c r="BJ36" s="44"/>
      <c r="BO36" s="42">
        <v>0</v>
      </c>
      <c r="BP36" s="44"/>
      <c r="BS36" s="42">
        <v>0</v>
      </c>
      <c r="BT36" s="44"/>
      <c r="BU36" s="43"/>
      <c r="BW36">
        <v>136</v>
      </c>
      <c r="BX36">
        <v>137</v>
      </c>
      <c r="BY36" s="42">
        <v>-1</v>
      </c>
      <c r="BZ36" s="44"/>
      <c r="CE36" s="42">
        <v>0</v>
      </c>
      <c r="CF36" s="44"/>
      <c r="CG36" s="43"/>
      <c r="CK36" s="42">
        <v>0</v>
      </c>
      <c r="CL36" s="44"/>
      <c r="CM36" s="46">
        <v>152</v>
      </c>
      <c r="CN36" s="42">
        <v>150</v>
      </c>
      <c r="CQ36" s="42">
        <v>2</v>
      </c>
      <c r="CR36" s="44"/>
      <c r="CW36" s="42">
        <v>0</v>
      </c>
      <c r="CX36" s="44"/>
      <c r="CY36" s="43"/>
      <c r="DC36" s="42">
        <v>0</v>
      </c>
      <c r="DD36" s="44"/>
      <c r="DE36" s="43"/>
      <c r="DK36" s="42">
        <v>0</v>
      </c>
      <c r="DL36" s="44"/>
      <c r="DM36" s="43"/>
      <c r="DQ36" s="42">
        <v>0</v>
      </c>
      <c r="DR36" s="44"/>
      <c r="DY36" s="42">
        <v>0</v>
      </c>
      <c r="DZ36" s="44"/>
      <c r="EA36" s="43"/>
      <c r="EE36" s="42">
        <v>0</v>
      </c>
      <c r="EF36" s="44"/>
      <c r="EG36" s="43"/>
      <c r="EK36" s="42">
        <v>0</v>
      </c>
      <c r="EL36" s="44"/>
      <c r="EM36" s="43"/>
      <c r="EQ36" s="42">
        <v>0</v>
      </c>
      <c r="ER36" s="44"/>
      <c r="EY36" s="42">
        <v>0</v>
      </c>
      <c r="EZ36" s="44"/>
      <c r="FE36" s="42">
        <v>0</v>
      </c>
      <c r="FF36" s="44"/>
      <c r="FG36" s="43"/>
      <c r="FK36" s="42">
        <v>0</v>
      </c>
      <c r="FL36" s="44"/>
      <c r="FM36" s="43"/>
      <c r="FO36" s="42">
        <v>0</v>
      </c>
      <c r="FP36" s="44"/>
      <c r="FU36" s="42">
        <v>0</v>
      </c>
      <c r="FV36" s="44"/>
      <c r="FW36" s="43"/>
      <c r="GC36" s="42">
        <v>0</v>
      </c>
      <c r="GD36" s="44"/>
      <c r="GI36" s="42">
        <v>0</v>
      </c>
      <c r="GJ36" s="44"/>
      <c r="GK36" s="43"/>
      <c r="GO36" s="42">
        <v>0</v>
      </c>
      <c r="GP36" s="47"/>
      <c r="GU36" s="42">
        <v>0</v>
      </c>
      <c r="GV36" s="44"/>
      <c r="GY36" s="42">
        <v>0</v>
      </c>
      <c r="GZ36" s="47"/>
      <c r="HA36" s="43"/>
      <c r="HC36" s="42">
        <v>0</v>
      </c>
      <c r="HD36" s="44"/>
      <c r="HE36" s="43"/>
      <c r="HI36" s="42">
        <v>0</v>
      </c>
      <c r="HJ36" s="47"/>
      <c r="HK36" s="43"/>
      <c r="HO36" s="42">
        <v>0</v>
      </c>
      <c r="HP36" s="44"/>
      <c r="HV36" s="42">
        <v>0</v>
      </c>
      <c r="HW36" s="44"/>
      <c r="HX36" s="45"/>
      <c r="IB36" s="42">
        <v>0</v>
      </c>
      <c r="IC36" s="44"/>
      <c r="IH36" s="42">
        <v>0</v>
      </c>
      <c r="II36" s="47"/>
      <c r="IN36" s="42">
        <v>0</v>
      </c>
      <c r="IO36" s="47"/>
      <c r="IT36" s="42">
        <v>0</v>
      </c>
      <c r="IU36" s="47"/>
      <c r="IZ36" s="42">
        <v>0</v>
      </c>
      <c r="JA36" s="44"/>
      <c r="JD36" s="42">
        <v>0</v>
      </c>
      <c r="JE36" s="44"/>
      <c r="JJ36" s="42">
        <v>0</v>
      </c>
      <c r="JK36" s="44"/>
      <c r="JL36" s="45"/>
      <c r="JN36" s="42">
        <v>0</v>
      </c>
      <c r="JO36" s="44"/>
      <c r="JT36" s="42">
        <v>0</v>
      </c>
      <c r="JU36" s="44"/>
      <c r="JZ36" s="42">
        <v>0</v>
      </c>
      <c r="KA36" s="47"/>
      <c r="KF36" s="42">
        <v>0</v>
      </c>
      <c r="KG36" s="44"/>
      <c r="KH36" s="41"/>
      <c r="KL36" s="42">
        <v>0</v>
      </c>
      <c r="KM36" s="47"/>
      <c r="KN36" s="45"/>
      <c r="KT36" s="42">
        <v>0</v>
      </c>
      <c r="KU36" s="47"/>
      <c r="KV36" s="40">
        <v>0</v>
      </c>
      <c r="KW36" s="40">
        <v>0</v>
      </c>
      <c r="KX36" s="40">
        <v>0</v>
      </c>
      <c r="KY36" s="40">
        <v>0</v>
      </c>
      <c r="KZ36" s="42">
        <v>0</v>
      </c>
      <c r="LA36" s="47"/>
      <c r="LB36" s="40">
        <v>0</v>
      </c>
      <c r="LC36" s="40">
        <v>0</v>
      </c>
      <c r="LD36" s="40">
        <v>0</v>
      </c>
      <c r="LE36" s="40">
        <v>0</v>
      </c>
      <c r="LF36" s="42">
        <v>0</v>
      </c>
      <c r="LG36" s="47"/>
      <c r="LH36" s="45">
        <v>0</v>
      </c>
      <c r="LI36" s="40">
        <v>0</v>
      </c>
      <c r="LJ36" s="42">
        <v>0</v>
      </c>
      <c r="LK36" s="47"/>
      <c r="LL36" s="45">
        <v>0</v>
      </c>
      <c r="LM36" s="40">
        <v>0</v>
      </c>
      <c r="LN36" s="40">
        <v>0</v>
      </c>
      <c r="LO36" s="40">
        <v>0</v>
      </c>
      <c r="LP36" s="42">
        <v>0</v>
      </c>
      <c r="LQ36" s="47"/>
      <c r="LR36" s="45">
        <v>0</v>
      </c>
      <c r="LS36" s="40">
        <v>0</v>
      </c>
      <c r="LT36" s="40">
        <v>0</v>
      </c>
      <c r="LU36" s="40">
        <v>0</v>
      </c>
      <c r="LV36" s="42">
        <v>0</v>
      </c>
      <c r="LW36" s="47"/>
      <c r="LX36" s="45">
        <v>0</v>
      </c>
      <c r="LY36" s="40">
        <v>0</v>
      </c>
      <c r="LZ36" s="42">
        <v>0</v>
      </c>
      <c r="MA36" s="47"/>
      <c r="MB36" s="45">
        <v>0</v>
      </c>
      <c r="MC36" s="40">
        <v>0</v>
      </c>
      <c r="MD36" s="40">
        <v>0</v>
      </c>
      <c r="ME36" s="40">
        <v>0</v>
      </c>
      <c r="MF36" s="42">
        <v>0</v>
      </c>
      <c r="MG36" s="47"/>
      <c r="MH36" s="45">
        <v>0</v>
      </c>
      <c r="MI36" s="40">
        <v>0</v>
      </c>
      <c r="MJ36" s="42">
        <v>0</v>
      </c>
      <c r="MK36" s="47"/>
      <c r="ML36" s="45">
        <v>0</v>
      </c>
      <c r="MM36" s="40">
        <v>0</v>
      </c>
      <c r="MN36" s="40">
        <v>0</v>
      </c>
      <c r="MO36" s="40">
        <v>0</v>
      </c>
      <c r="MP36" s="42">
        <v>0</v>
      </c>
      <c r="MQ36" s="47"/>
      <c r="MR36" s="40">
        <v>0</v>
      </c>
      <c r="MS36" s="40">
        <v>0</v>
      </c>
      <c r="MT36" s="40">
        <v>0</v>
      </c>
      <c r="MU36" s="40">
        <v>0</v>
      </c>
      <c r="MV36" s="42">
        <v>0</v>
      </c>
      <c r="MW36" s="47"/>
      <c r="MX36" s="45">
        <v>0</v>
      </c>
      <c r="MY36" s="40">
        <v>0</v>
      </c>
      <c r="MZ36" s="40">
        <v>0</v>
      </c>
      <c r="NA36" s="40">
        <v>0</v>
      </c>
      <c r="NB36" s="42">
        <v>0</v>
      </c>
      <c r="NC36" s="47"/>
      <c r="ND36" s="45">
        <v>0</v>
      </c>
      <c r="NE36" s="40">
        <v>0</v>
      </c>
      <c r="NF36" s="40">
        <v>0</v>
      </c>
      <c r="NG36" s="40">
        <v>0</v>
      </c>
      <c r="NH36" s="42">
        <v>0</v>
      </c>
      <c r="NI36" s="47"/>
      <c r="NJ36" s="45">
        <v>0</v>
      </c>
      <c r="NK36" s="40">
        <v>0</v>
      </c>
      <c r="NL36" s="40">
        <v>0</v>
      </c>
      <c r="NM36" s="40">
        <v>0</v>
      </c>
      <c r="NN36" s="42">
        <v>0</v>
      </c>
      <c r="NO36" s="47"/>
      <c r="NP36" s="45">
        <v>0</v>
      </c>
      <c r="NQ36" s="40">
        <v>0</v>
      </c>
      <c r="NR36" s="40">
        <v>0</v>
      </c>
      <c r="NS36" s="40">
        <v>0</v>
      </c>
      <c r="NT36" s="42">
        <v>0</v>
      </c>
      <c r="NU36" s="47"/>
      <c r="NV36" s="45">
        <v>0</v>
      </c>
      <c r="NW36" s="40">
        <v>0</v>
      </c>
      <c r="NX36" s="40">
        <v>0</v>
      </c>
      <c r="NY36" s="40">
        <v>0</v>
      </c>
      <c r="NZ36" s="42">
        <v>0</v>
      </c>
      <c r="OA36" s="47"/>
      <c r="OB36" s="45">
        <v>0</v>
      </c>
      <c r="OC36" s="40">
        <v>0</v>
      </c>
      <c r="OD36" s="42">
        <v>0</v>
      </c>
      <c r="OE36" s="47"/>
      <c r="OF36" s="45">
        <v>0</v>
      </c>
      <c r="OG36" s="40">
        <v>0</v>
      </c>
      <c r="OH36" s="40">
        <v>0</v>
      </c>
      <c r="OI36" s="40">
        <v>0</v>
      </c>
      <c r="OJ36" s="42">
        <v>0</v>
      </c>
      <c r="OK36" s="47"/>
      <c r="OL36" s="45">
        <v>0</v>
      </c>
      <c r="OM36" s="40">
        <v>0</v>
      </c>
      <c r="ON36" s="40">
        <v>0</v>
      </c>
      <c r="OO36" s="40">
        <v>0</v>
      </c>
      <c r="OP36" s="42">
        <v>0</v>
      </c>
      <c r="OQ36" s="47"/>
      <c r="OR36" s="45">
        <v>0</v>
      </c>
      <c r="OS36" s="40">
        <v>0</v>
      </c>
      <c r="OT36" s="40">
        <v>0</v>
      </c>
      <c r="OU36" s="40">
        <v>0</v>
      </c>
      <c r="OV36" s="42">
        <v>0</v>
      </c>
      <c r="OW36" s="47"/>
      <c r="OX36" s="40">
        <v>0</v>
      </c>
      <c r="OY36" s="30">
        <v>40</v>
      </c>
      <c r="OZ36" s="40">
        <v>32</v>
      </c>
      <c r="PA36" s="40">
        <v>30</v>
      </c>
      <c r="PB36" s="39">
        <v>-38</v>
      </c>
      <c r="PC36" s="47">
        <v>15.2</v>
      </c>
      <c r="PD36" s="45">
        <v>0</v>
      </c>
      <c r="PE36" s="40">
        <v>0</v>
      </c>
      <c r="PF36" s="40">
        <v>96</v>
      </c>
      <c r="PG36" s="40">
        <v>100</v>
      </c>
      <c r="PH36" s="42">
        <v>-4</v>
      </c>
      <c r="PI36" s="47"/>
      <c r="PJ36" s="45">
        <v>0</v>
      </c>
      <c r="PK36" s="40">
        <v>0</v>
      </c>
      <c r="PL36" s="40">
        <v>0</v>
      </c>
      <c r="PM36" s="40">
        <v>0</v>
      </c>
      <c r="PN36" s="42">
        <v>0</v>
      </c>
      <c r="PO36" s="47"/>
      <c r="PP36" s="43">
        <v>0</v>
      </c>
      <c r="PQ36" s="40">
        <v>0</v>
      </c>
      <c r="PR36" s="40">
        <v>0</v>
      </c>
      <c r="PS36" s="40">
        <v>0</v>
      </c>
      <c r="PT36" s="42">
        <v>0</v>
      </c>
      <c r="PU36" s="47"/>
      <c r="PV36" s="45">
        <v>80</v>
      </c>
      <c r="PW36" s="40">
        <v>80</v>
      </c>
      <c r="PX36" s="40">
        <v>80</v>
      </c>
      <c r="PY36" s="40">
        <v>80</v>
      </c>
      <c r="PZ36" s="42">
        <v>0</v>
      </c>
      <c r="QA36" s="47"/>
      <c r="QB36" s="45">
        <v>160</v>
      </c>
      <c r="QC36" s="40">
        <v>160</v>
      </c>
      <c r="QD36" s="42">
        <v>0</v>
      </c>
      <c r="QE36" s="47"/>
      <c r="QF36" s="45">
        <v>72</v>
      </c>
      <c r="QG36" s="40">
        <v>70</v>
      </c>
      <c r="QH36" s="40">
        <v>0</v>
      </c>
      <c r="QI36" s="40">
        <v>0</v>
      </c>
      <c r="QJ36" s="42">
        <v>2</v>
      </c>
      <c r="QK36" s="47"/>
      <c r="QL36" s="45">
        <v>40</v>
      </c>
      <c r="QM36" s="40">
        <v>40</v>
      </c>
      <c r="QN36" s="40">
        <v>0</v>
      </c>
      <c r="QO36" s="40">
        <v>0</v>
      </c>
      <c r="QP36" s="42">
        <v>0</v>
      </c>
      <c r="QQ36" s="47"/>
      <c r="QR36" s="45">
        <v>72</v>
      </c>
      <c r="QS36" s="40">
        <v>70</v>
      </c>
      <c r="QT36" s="40">
        <v>0</v>
      </c>
      <c r="QU36" s="40">
        <v>80</v>
      </c>
      <c r="QV36" s="39">
        <v>-78</v>
      </c>
      <c r="QW36" s="47">
        <v>31.2</v>
      </c>
      <c r="QX36" s="45">
        <v>152</v>
      </c>
      <c r="QY36" s="40">
        <v>150</v>
      </c>
      <c r="QZ36" s="40">
        <v>0</v>
      </c>
      <c r="RA36" s="40">
        <v>0</v>
      </c>
      <c r="RB36" s="42">
        <v>2</v>
      </c>
      <c r="RC36" s="47"/>
      <c r="RD36" s="45">
        <v>96</v>
      </c>
      <c r="RE36" s="40">
        <v>123.2</v>
      </c>
      <c r="RF36" s="39">
        <v>-27.200000000000021</v>
      </c>
      <c r="RG36" s="47">
        <v>10.88000000000001</v>
      </c>
    </row>
    <row r="37" spans="1:475" x14ac:dyDescent="0.25">
      <c r="A37" s="40" t="s">
        <v>326</v>
      </c>
      <c r="B37" s="41">
        <v>1</v>
      </c>
      <c r="N37" s="43"/>
      <c r="O37" s="48"/>
      <c r="P37" s="48"/>
      <c r="Q37" s="48"/>
      <c r="R37" s="48">
        <f t="shared" si="8"/>
        <v>0</v>
      </c>
      <c r="S37" s="44"/>
      <c r="T37" s="43"/>
      <c r="U37" s="48"/>
      <c r="V37" s="48"/>
      <c r="W37" s="48"/>
      <c r="X37" s="48">
        <f t="shared" si="9"/>
        <v>0</v>
      </c>
      <c r="Y37" s="44"/>
      <c r="Z37" s="43"/>
      <c r="AA37" s="48"/>
      <c r="AB37" s="48"/>
      <c r="AC37" s="48"/>
      <c r="AD37" s="48">
        <f t="shared" si="10"/>
        <v>0</v>
      </c>
      <c r="AE37" s="44"/>
      <c r="AF37" s="43"/>
      <c r="AG37" s="48"/>
      <c r="AH37" s="48"/>
      <c r="AI37" s="48"/>
      <c r="AJ37" s="48">
        <f t="shared" si="11"/>
        <v>0</v>
      </c>
      <c r="AK37" s="44"/>
      <c r="AL37" s="48"/>
      <c r="AP37" s="42">
        <v>0</v>
      </c>
      <c r="AQ37" s="44"/>
      <c r="AR37" s="43"/>
      <c r="AV37" s="42">
        <v>0</v>
      </c>
      <c r="AW37" s="44"/>
      <c r="BC37" s="42">
        <v>0</v>
      </c>
      <c r="BD37" s="44"/>
      <c r="BE37" s="43"/>
      <c r="BI37" s="42">
        <v>0</v>
      </c>
      <c r="BJ37" s="44"/>
      <c r="BO37" s="42">
        <v>0</v>
      </c>
      <c r="BP37" s="44"/>
      <c r="BS37" s="42">
        <v>0</v>
      </c>
      <c r="BT37" s="44"/>
      <c r="BU37" s="43"/>
      <c r="BY37" s="42">
        <v>0</v>
      </c>
      <c r="BZ37" s="44"/>
      <c r="CE37" s="42">
        <v>0</v>
      </c>
      <c r="CF37" s="44"/>
      <c r="CG37" s="43"/>
      <c r="CK37" s="42">
        <v>0</v>
      </c>
      <c r="CL37" s="44"/>
      <c r="CM37" s="43"/>
      <c r="CQ37" s="42">
        <v>0</v>
      </c>
      <c r="CR37" s="44"/>
      <c r="CW37" s="42">
        <v>0</v>
      </c>
      <c r="CX37" s="44"/>
      <c r="CY37" s="43"/>
      <c r="DC37" s="42">
        <v>0</v>
      </c>
      <c r="DD37" s="44"/>
      <c r="DE37" s="43"/>
      <c r="DK37" s="42">
        <v>0</v>
      </c>
      <c r="DL37" s="44"/>
      <c r="DM37" s="43"/>
      <c r="DQ37" s="42">
        <v>0</v>
      </c>
      <c r="DR37" s="44"/>
      <c r="DY37" s="42">
        <v>0</v>
      </c>
      <c r="DZ37" s="44"/>
      <c r="EA37" s="43"/>
      <c r="EE37" s="42">
        <v>0</v>
      </c>
      <c r="EF37" s="44"/>
      <c r="EG37" s="43"/>
      <c r="EK37" s="42">
        <v>0</v>
      </c>
      <c r="EL37" s="44"/>
      <c r="EM37" s="43"/>
      <c r="EQ37" s="42">
        <v>0</v>
      </c>
      <c r="ER37" s="44"/>
      <c r="EY37" s="42">
        <v>0</v>
      </c>
      <c r="EZ37" s="44"/>
      <c r="FE37" s="42">
        <v>0</v>
      </c>
      <c r="FF37" s="44"/>
      <c r="FG37" s="43"/>
      <c r="FK37" s="42">
        <v>0</v>
      </c>
      <c r="FL37" s="44"/>
      <c r="FM37" s="43"/>
      <c r="FO37" s="42">
        <v>0</v>
      </c>
      <c r="FP37" s="44"/>
      <c r="FU37" s="42">
        <v>0</v>
      </c>
      <c r="FV37" s="44"/>
      <c r="FW37" s="43"/>
      <c r="GC37" s="42">
        <v>0</v>
      </c>
      <c r="GD37" s="44"/>
      <c r="GI37" s="42">
        <v>0</v>
      </c>
      <c r="GJ37" s="44"/>
      <c r="GK37" s="43"/>
      <c r="GO37" s="42">
        <v>0</v>
      </c>
      <c r="GP37" s="47"/>
      <c r="GU37" s="42">
        <v>0</v>
      </c>
      <c r="GV37" s="44"/>
      <c r="GY37" s="42">
        <v>0</v>
      </c>
      <c r="GZ37" s="47"/>
      <c r="HA37" s="43"/>
      <c r="HC37" s="42">
        <v>0</v>
      </c>
      <c r="HD37" s="44"/>
      <c r="HE37" s="43"/>
      <c r="HI37" s="42">
        <v>0</v>
      </c>
      <c r="HJ37" s="47"/>
      <c r="HK37" s="43"/>
      <c r="HO37" s="42">
        <v>0</v>
      </c>
      <c r="HP37" s="44"/>
      <c r="HV37" s="42">
        <v>0</v>
      </c>
      <c r="HW37" s="44"/>
      <c r="HX37" s="45"/>
      <c r="IB37" s="42">
        <v>0</v>
      </c>
      <c r="IC37" s="44"/>
      <c r="IH37" s="42">
        <v>0</v>
      </c>
      <c r="II37" s="47"/>
      <c r="IN37" s="42">
        <v>0</v>
      </c>
      <c r="IO37" s="47"/>
      <c r="IT37" s="42">
        <v>0</v>
      </c>
      <c r="IU37" s="47"/>
      <c r="IZ37" s="42">
        <v>0</v>
      </c>
      <c r="JA37" s="44"/>
      <c r="JD37" s="42">
        <v>0</v>
      </c>
      <c r="JE37" s="44"/>
      <c r="JJ37" s="42">
        <v>0</v>
      </c>
      <c r="JK37" s="44"/>
      <c r="JL37" s="45"/>
      <c r="JN37" s="42">
        <v>0</v>
      </c>
      <c r="JO37" s="44"/>
      <c r="JT37" s="42">
        <v>0</v>
      </c>
      <c r="JU37" s="44"/>
      <c r="JZ37" s="42">
        <v>0</v>
      </c>
      <c r="KA37" s="47"/>
      <c r="KF37" s="42">
        <v>0</v>
      </c>
      <c r="KG37" s="44"/>
      <c r="KH37" s="41"/>
      <c r="KL37" s="42">
        <v>0</v>
      </c>
      <c r="KM37" s="47"/>
      <c r="KN37" s="45"/>
      <c r="KT37" s="42">
        <v>0</v>
      </c>
      <c r="KU37" s="47"/>
      <c r="KV37" s="40">
        <v>0</v>
      </c>
      <c r="KW37" s="40">
        <v>0</v>
      </c>
      <c r="KX37" s="40">
        <v>0</v>
      </c>
      <c r="KY37" s="40">
        <v>0</v>
      </c>
      <c r="KZ37" s="42">
        <v>0</v>
      </c>
      <c r="LA37" s="47"/>
      <c r="LB37" s="40">
        <v>0</v>
      </c>
      <c r="LC37" s="40">
        <v>0</v>
      </c>
      <c r="LD37" s="40">
        <v>0</v>
      </c>
      <c r="LE37" s="40">
        <v>0</v>
      </c>
      <c r="LF37" s="42">
        <v>0</v>
      </c>
      <c r="LG37" s="47"/>
      <c r="LH37" s="45">
        <v>0</v>
      </c>
      <c r="LI37" s="40">
        <v>0</v>
      </c>
      <c r="LJ37" s="42">
        <v>0</v>
      </c>
      <c r="LK37" s="47"/>
      <c r="LL37" s="45">
        <v>0</v>
      </c>
      <c r="LM37" s="40">
        <v>0</v>
      </c>
      <c r="LN37" s="40">
        <v>0</v>
      </c>
      <c r="LO37" s="40">
        <v>0</v>
      </c>
      <c r="LP37" s="42">
        <v>0</v>
      </c>
      <c r="LQ37" s="47"/>
      <c r="LR37" s="45">
        <v>0</v>
      </c>
      <c r="LS37" s="40">
        <v>0</v>
      </c>
      <c r="LT37" s="40">
        <v>0</v>
      </c>
      <c r="LU37" s="40">
        <v>0</v>
      </c>
      <c r="LV37" s="42">
        <v>0</v>
      </c>
      <c r="LW37" s="47"/>
      <c r="LX37" s="45">
        <v>0</v>
      </c>
      <c r="LY37" s="40">
        <v>0</v>
      </c>
      <c r="LZ37" s="42">
        <v>0</v>
      </c>
      <c r="MA37" s="47"/>
      <c r="MB37" s="45">
        <v>0</v>
      </c>
      <c r="MC37" s="40">
        <v>0</v>
      </c>
      <c r="MD37" s="40">
        <v>0</v>
      </c>
      <c r="ME37" s="40">
        <v>0</v>
      </c>
      <c r="MF37" s="42">
        <v>0</v>
      </c>
      <c r="MG37" s="47"/>
      <c r="MH37" s="45">
        <v>0</v>
      </c>
      <c r="MI37" s="40">
        <v>0</v>
      </c>
      <c r="MJ37" s="42">
        <v>0</v>
      </c>
      <c r="MK37" s="47"/>
      <c r="ML37" s="45">
        <v>0</v>
      </c>
      <c r="MM37" s="40">
        <v>0</v>
      </c>
      <c r="MN37" s="40">
        <v>0</v>
      </c>
      <c r="MO37" s="40">
        <v>0</v>
      </c>
      <c r="MP37" s="42">
        <v>0</v>
      </c>
      <c r="MQ37" s="47"/>
      <c r="MR37" s="40">
        <v>0</v>
      </c>
      <c r="MS37" s="40">
        <v>0</v>
      </c>
      <c r="MT37" s="40">
        <v>0</v>
      </c>
      <c r="MU37" s="40">
        <v>0</v>
      </c>
      <c r="MV37" s="42">
        <v>0</v>
      </c>
      <c r="MW37" s="47"/>
      <c r="MX37" s="45">
        <v>0</v>
      </c>
      <c r="MY37" s="40">
        <v>0</v>
      </c>
      <c r="MZ37" s="40">
        <v>86.531000000000006</v>
      </c>
      <c r="NA37" s="40">
        <v>84</v>
      </c>
      <c r="NB37" s="42">
        <v>2.5310000000000059</v>
      </c>
      <c r="NC37" s="47"/>
      <c r="ND37" s="25">
        <v>26.789000000000001</v>
      </c>
      <c r="NE37" s="40">
        <v>0</v>
      </c>
      <c r="NF37" s="40">
        <v>0</v>
      </c>
      <c r="NG37" s="40">
        <v>0</v>
      </c>
      <c r="NH37" s="42">
        <v>26.789000000000001</v>
      </c>
      <c r="NI37" s="47"/>
      <c r="NJ37" s="45">
        <v>0</v>
      </c>
      <c r="NK37" s="40">
        <v>0</v>
      </c>
      <c r="NL37" s="40">
        <v>0</v>
      </c>
      <c r="NM37" s="40">
        <v>0</v>
      </c>
      <c r="NN37" s="42">
        <v>0</v>
      </c>
      <c r="NO37" s="47"/>
      <c r="NP37" s="45">
        <v>0</v>
      </c>
      <c r="NQ37" s="40">
        <v>0</v>
      </c>
      <c r="NR37" s="40">
        <v>0</v>
      </c>
      <c r="NS37" s="40">
        <v>0</v>
      </c>
      <c r="NT37" s="42">
        <v>0</v>
      </c>
      <c r="NU37" s="47"/>
      <c r="NV37" s="45">
        <v>0</v>
      </c>
      <c r="NW37" s="40">
        <v>0</v>
      </c>
      <c r="NX37" s="40">
        <v>21.507999999999999</v>
      </c>
      <c r="NY37" s="40">
        <v>20</v>
      </c>
      <c r="NZ37" s="42">
        <v>1.5079999999999989</v>
      </c>
      <c r="OA37" s="47"/>
      <c r="OB37" s="45">
        <v>21.702999999999999</v>
      </c>
      <c r="OC37" s="40">
        <v>20</v>
      </c>
      <c r="OD37" s="42">
        <v>1.702999999999999</v>
      </c>
      <c r="OE37" s="47"/>
      <c r="OF37" s="45">
        <v>0</v>
      </c>
      <c r="OG37" s="40">
        <v>0</v>
      </c>
      <c r="OH37" s="40">
        <v>102.797</v>
      </c>
      <c r="OI37" s="40">
        <v>100</v>
      </c>
      <c r="OJ37" s="42">
        <v>2.796999999999997</v>
      </c>
      <c r="OK37" s="47"/>
      <c r="OL37" s="45">
        <v>70.216999999999999</v>
      </c>
      <c r="OM37" s="40">
        <v>70</v>
      </c>
      <c r="ON37" s="40">
        <v>54.345999999999997</v>
      </c>
      <c r="OO37" s="40">
        <v>55</v>
      </c>
      <c r="OP37" s="42">
        <v>-0.43700000000001182</v>
      </c>
      <c r="OQ37" s="47"/>
      <c r="OR37" s="45">
        <v>0</v>
      </c>
      <c r="OS37" s="40">
        <v>0</v>
      </c>
      <c r="OT37" s="40">
        <v>10.884</v>
      </c>
      <c r="OU37" s="40">
        <v>13</v>
      </c>
      <c r="OV37" s="42">
        <v>-2.1160000000000001</v>
      </c>
      <c r="OW37" s="47"/>
      <c r="OX37" s="40">
        <v>0</v>
      </c>
      <c r="OY37" s="40">
        <v>0</v>
      </c>
      <c r="OZ37" s="40">
        <v>0</v>
      </c>
      <c r="PA37" s="40">
        <v>0</v>
      </c>
      <c r="PB37" s="42">
        <v>0</v>
      </c>
      <c r="PC37" s="47"/>
      <c r="PD37" s="45">
        <v>0</v>
      </c>
      <c r="PE37" s="40">
        <v>0</v>
      </c>
      <c r="PF37" s="40">
        <v>113.431</v>
      </c>
      <c r="PG37" s="40">
        <v>115</v>
      </c>
      <c r="PH37" s="42">
        <v>-1.5690000000000031</v>
      </c>
      <c r="PI37" s="47"/>
      <c r="PJ37" s="45">
        <v>0</v>
      </c>
      <c r="PK37" s="40">
        <v>0</v>
      </c>
      <c r="PL37" s="40">
        <v>5.4189999999999996</v>
      </c>
      <c r="PM37" s="40">
        <v>50</v>
      </c>
      <c r="PN37" s="39">
        <v>-44.581000000000003</v>
      </c>
      <c r="PO37" s="47">
        <v>44.581000000000003</v>
      </c>
      <c r="PP37" s="43">
        <v>103.41800000000001</v>
      </c>
      <c r="PQ37" s="40">
        <v>100</v>
      </c>
      <c r="PR37" s="40">
        <v>108.684</v>
      </c>
      <c r="PS37" s="40">
        <v>107</v>
      </c>
      <c r="PT37" s="42">
        <v>5.1020000000000039</v>
      </c>
      <c r="PU37" s="47"/>
      <c r="PV37" s="45">
        <v>48.073999999999998</v>
      </c>
      <c r="PW37" s="40">
        <v>50</v>
      </c>
      <c r="PX37" s="40">
        <v>48.28</v>
      </c>
      <c r="PY37" s="40">
        <v>50</v>
      </c>
      <c r="PZ37" s="42">
        <v>-3.6460000000000008</v>
      </c>
      <c r="QA37" s="47"/>
      <c r="QB37" s="45">
        <v>0</v>
      </c>
      <c r="QC37" s="40">
        <v>0</v>
      </c>
      <c r="QD37" s="42">
        <v>0</v>
      </c>
      <c r="QE37" s="47"/>
      <c r="QF37" s="45">
        <v>0</v>
      </c>
      <c r="QG37" s="40">
        <v>0</v>
      </c>
      <c r="QH37" s="40">
        <v>0</v>
      </c>
      <c r="QI37" s="40">
        <v>0</v>
      </c>
      <c r="QJ37" s="42">
        <v>0</v>
      </c>
      <c r="QK37" s="47"/>
      <c r="QL37" s="45">
        <v>48.566000000000003</v>
      </c>
      <c r="QM37" s="40">
        <v>50</v>
      </c>
      <c r="QN37" s="40">
        <v>48.344999999999999</v>
      </c>
      <c r="QO37" s="40">
        <v>50</v>
      </c>
      <c r="QP37" s="42">
        <v>-3.0889999999999991</v>
      </c>
      <c r="QQ37" s="47"/>
      <c r="QR37" s="45">
        <v>48.222999999999999</v>
      </c>
      <c r="QS37" s="40">
        <v>50</v>
      </c>
      <c r="QT37" s="40">
        <v>0</v>
      </c>
      <c r="QU37" s="40">
        <v>0</v>
      </c>
      <c r="QV37" s="42">
        <v>-1.777000000000001</v>
      </c>
      <c r="QW37" s="47"/>
      <c r="QX37" s="45">
        <v>151.29</v>
      </c>
      <c r="QY37" s="40">
        <v>150</v>
      </c>
      <c r="QZ37" s="40">
        <v>0</v>
      </c>
      <c r="RA37" s="40">
        <v>0</v>
      </c>
      <c r="RB37" s="42">
        <v>1.289999999999992</v>
      </c>
      <c r="RC37" s="47"/>
      <c r="RD37" s="45">
        <v>327.67</v>
      </c>
      <c r="RE37" s="40">
        <v>330</v>
      </c>
      <c r="RF37" s="42">
        <v>-2.3299999999999841</v>
      </c>
      <c r="RG37" s="47"/>
    </row>
    <row r="38" spans="1:475" x14ac:dyDescent="0.25">
      <c r="A38" s="40" t="s">
        <v>327</v>
      </c>
      <c r="B38" s="41">
        <v>1</v>
      </c>
      <c r="N38" s="43"/>
      <c r="O38" s="48"/>
      <c r="P38" s="48"/>
      <c r="Q38" s="48"/>
      <c r="R38" s="48">
        <f t="shared" si="8"/>
        <v>0</v>
      </c>
      <c r="S38" s="44"/>
      <c r="T38" s="43"/>
      <c r="U38" s="48"/>
      <c r="V38" s="48"/>
      <c r="W38" s="48"/>
      <c r="X38" s="48">
        <f t="shared" si="9"/>
        <v>0</v>
      </c>
      <c r="Y38" s="44"/>
      <c r="Z38" s="43"/>
      <c r="AA38" s="48"/>
      <c r="AB38" s="48"/>
      <c r="AC38" s="48"/>
      <c r="AD38" s="48">
        <f t="shared" si="10"/>
        <v>0</v>
      </c>
      <c r="AE38" s="44"/>
      <c r="AF38" s="43"/>
      <c r="AG38" s="48"/>
      <c r="AH38" s="48"/>
      <c r="AI38" s="48"/>
      <c r="AJ38" s="48">
        <f t="shared" si="11"/>
        <v>0</v>
      </c>
      <c r="AK38" s="44"/>
      <c r="AL38" s="48"/>
      <c r="AP38" s="42">
        <v>0</v>
      </c>
      <c r="AQ38" s="44"/>
      <c r="AR38" s="43"/>
      <c r="AV38" s="42">
        <v>0</v>
      </c>
      <c r="AW38" s="44"/>
      <c r="BC38" s="42">
        <v>0</v>
      </c>
      <c r="BD38" s="44"/>
      <c r="BE38" s="43"/>
      <c r="BI38" s="42">
        <v>0</v>
      </c>
      <c r="BJ38" s="44"/>
      <c r="BO38" s="42">
        <v>0</v>
      </c>
      <c r="BP38" s="44"/>
      <c r="BS38" s="42">
        <v>0</v>
      </c>
      <c r="BT38" s="44"/>
      <c r="BU38" s="43"/>
      <c r="BY38" s="42">
        <v>0</v>
      </c>
      <c r="BZ38" s="44"/>
      <c r="CE38" s="42">
        <v>0</v>
      </c>
      <c r="CF38" s="44"/>
      <c r="CG38" s="43"/>
      <c r="CK38" s="42">
        <v>0</v>
      </c>
      <c r="CL38" s="44"/>
      <c r="CM38" s="43"/>
      <c r="CQ38" s="42">
        <v>0</v>
      </c>
      <c r="CR38" s="44"/>
      <c r="CW38" s="42">
        <v>0</v>
      </c>
      <c r="CX38" s="44"/>
      <c r="CY38" s="43"/>
      <c r="DC38" s="42">
        <v>0</v>
      </c>
      <c r="DD38" s="44"/>
      <c r="DE38" s="43"/>
      <c r="DK38" s="42">
        <v>0</v>
      </c>
      <c r="DL38" s="44"/>
      <c r="DM38" s="43"/>
      <c r="DQ38" s="42">
        <v>0</v>
      </c>
      <c r="DR38" s="44"/>
      <c r="DY38" s="42">
        <v>0</v>
      </c>
      <c r="DZ38" s="44"/>
      <c r="EA38" s="43"/>
      <c r="EE38" s="42">
        <v>0</v>
      </c>
      <c r="EF38" s="44"/>
      <c r="EG38" s="43"/>
      <c r="EK38" s="42">
        <v>0</v>
      </c>
      <c r="EL38" s="44"/>
      <c r="EM38" s="43"/>
      <c r="EQ38" s="42">
        <v>0</v>
      </c>
      <c r="ER38" s="44"/>
      <c r="EY38" s="42">
        <v>0</v>
      </c>
      <c r="EZ38" s="44"/>
      <c r="FE38" s="42">
        <v>0</v>
      </c>
      <c r="FF38" s="44"/>
      <c r="FG38" s="43"/>
      <c r="FK38" s="42">
        <v>0</v>
      </c>
      <c r="FL38" s="44"/>
      <c r="FM38" s="43"/>
      <c r="FO38" s="42">
        <v>0</v>
      </c>
      <c r="FP38" s="44"/>
      <c r="FU38" s="42">
        <v>0</v>
      </c>
      <c r="FV38" s="44"/>
      <c r="FW38" s="43"/>
      <c r="GC38" s="42">
        <v>0</v>
      </c>
      <c r="GD38" s="44"/>
      <c r="GI38" s="42">
        <v>0</v>
      </c>
      <c r="GJ38" s="44"/>
      <c r="GK38" s="43"/>
      <c r="GO38" s="42">
        <v>0</v>
      </c>
      <c r="GP38" s="47"/>
      <c r="GU38" s="42">
        <v>0</v>
      </c>
      <c r="GV38" s="44"/>
      <c r="GY38" s="42">
        <v>0</v>
      </c>
      <c r="GZ38" s="47"/>
      <c r="HA38" s="43"/>
      <c r="HC38" s="42">
        <v>0</v>
      </c>
      <c r="HD38" s="44"/>
      <c r="HE38" s="43"/>
      <c r="HI38" s="42">
        <v>0</v>
      </c>
      <c r="HJ38" s="47"/>
      <c r="HK38" s="43"/>
      <c r="HO38" s="42">
        <v>0</v>
      </c>
      <c r="HP38" s="44"/>
      <c r="HV38" s="42">
        <v>0</v>
      </c>
      <c r="HW38" s="44"/>
      <c r="HX38" s="45"/>
      <c r="IB38" s="42">
        <v>0</v>
      </c>
      <c r="IC38" s="44"/>
      <c r="IH38" s="42">
        <v>0</v>
      </c>
      <c r="II38" s="47"/>
      <c r="IN38" s="42">
        <v>0</v>
      </c>
      <c r="IO38" s="47"/>
      <c r="IT38" s="42">
        <v>0</v>
      </c>
      <c r="IU38" s="47"/>
      <c r="IZ38" s="42">
        <v>0</v>
      </c>
      <c r="JA38" s="44"/>
      <c r="JD38" s="42">
        <v>0</v>
      </c>
      <c r="JE38" s="44"/>
      <c r="JJ38" s="42">
        <v>0</v>
      </c>
      <c r="JK38" s="44"/>
      <c r="JL38" s="45"/>
      <c r="JN38" s="42">
        <v>0</v>
      </c>
      <c r="JO38" s="44"/>
      <c r="JT38" s="42">
        <v>0</v>
      </c>
      <c r="JU38" s="44"/>
      <c r="JZ38" s="42">
        <v>0</v>
      </c>
      <c r="KA38" s="47"/>
      <c r="KF38" s="42">
        <v>0</v>
      </c>
      <c r="KG38" s="44"/>
      <c r="KH38" s="41"/>
      <c r="KL38" s="42">
        <v>0</v>
      </c>
      <c r="KM38" s="47"/>
      <c r="KN38" s="45"/>
      <c r="KT38" s="42">
        <v>0</v>
      </c>
      <c r="KU38" s="47"/>
      <c r="KV38" s="40">
        <v>0</v>
      </c>
      <c r="KW38" s="40">
        <v>0</v>
      </c>
      <c r="KX38" s="40">
        <v>0</v>
      </c>
      <c r="KY38" s="40">
        <v>0</v>
      </c>
      <c r="KZ38" s="42">
        <v>0</v>
      </c>
      <c r="LA38" s="47"/>
      <c r="LB38" s="40">
        <v>0</v>
      </c>
      <c r="LC38" s="40">
        <v>0</v>
      </c>
      <c r="LD38" s="40">
        <v>0</v>
      </c>
      <c r="LE38" s="40">
        <v>0</v>
      </c>
      <c r="LF38" s="42">
        <v>0</v>
      </c>
      <c r="LG38" s="47"/>
      <c r="LH38" s="45">
        <v>0</v>
      </c>
      <c r="LI38" s="40">
        <v>0</v>
      </c>
      <c r="LJ38" s="42">
        <v>0</v>
      </c>
      <c r="LK38" s="47"/>
      <c r="LL38" s="45">
        <v>0</v>
      </c>
      <c r="LM38" s="40">
        <v>0</v>
      </c>
      <c r="LN38" s="40">
        <v>0</v>
      </c>
      <c r="LO38" s="40">
        <v>0</v>
      </c>
      <c r="LP38" s="42">
        <v>0</v>
      </c>
      <c r="LQ38" s="47"/>
      <c r="LR38" s="45">
        <v>0</v>
      </c>
      <c r="LS38" s="40">
        <v>0</v>
      </c>
      <c r="LT38" s="40">
        <v>0</v>
      </c>
      <c r="LU38" s="40">
        <v>0</v>
      </c>
      <c r="LV38" s="42">
        <v>0</v>
      </c>
      <c r="LW38" s="47"/>
      <c r="LX38" s="45">
        <v>0</v>
      </c>
      <c r="LY38" s="40">
        <v>0</v>
      </c>
      <c r="LZ38" s="42">
        <v>0</v>
      </c>
      <c r="MA38" s="47"/>
      <c r="MB38" s="45">
        <v>0</v>
      </c>
      <c r="MC38" s="40">
        <v>0</v>
      </c>
      <c r="MD38" s="40">
        <v>0</v>
      </c>
      <c r="ME38" s="40">
        <v>0</v>
      </c>
      <c r="MF38" s="42">
        <v>0</v>
      </c>
      <c r="MG38" s="47"/>
      <c r="MH38" s="45">
        <v>0</v>
      </c>
      <c r="MI38" s="40">
        <v>0</v>
      </c>
      <c r="MJ38" s="42">
        <v>0</v>
      </c>
      <c r="MK38" s="47"/>
      <c r="ML38" s="45">
        <v>0</v>
      </c>
      <c r="MM38" s="40">
        <v>0</v>
      </c>
      <c r="MN38" s="40">
        <v>0</v>
      </c>
      <c r="MO38" s="40">
        <v>0</v>
      </c>
      <c r="MP38" s="42">
        <v>0</v>
      </c>
      <c r="MQ38" s="47"/>
      <c r="MR38" s="40">
        <v>0</v>
      </c>
      <c r="MS38" s="40">
        <v>0</v>
      </c>
      <c r="MT38" s="40">
        <v>0</v>
      </c>
      <c r="MU38" s="40">
        <v>0</v>
      </c>
      <c r="MV38" s="42">
        <v>0</v>
      </c>
      <c r="MW38" s="47"/>
      <c r="MX38" s="45">
        <v>0</v>
      </c>
      <c r="MY38" s="40">
        <v>0</v>
      </c>
      <c r="MZ38" s="40">
        <v>0</v>
      </c>
      <c r="NA38" s="40">
        <v>0</v>
      </c>
      <c r="NB38" s="42">
        <v>0</v>
      </c>
      <c r="NC38" s="47"/>
      <c r="ND38" s="45">
        <v>0</v>
      </c>
      <c r="NE38" s="40">
        <v>0</v>
      </c>
      <c r="NF38" s="40">
        <v>0</v>
      </c>
      <c r="NG38" s="40">
        <v>0</v>
      </c>
      <c r="NH38" s="42">
        <v>0</v>
      </c>
      <c r="NI38" s="47"/>
      <c r="NJ38" s="45">
        <v>0</v>
      </c>
      <c r="NK38" s="40">
        <v>0</v>
      </c>
      <c r="NL38" s="40">
        <v>0</v>
      </c>
      <c r="NM38" s="40">
        <v>0</v>
      </c>
      <c r="NN38" s="42">
        <v>0</v>
      </c>
      <c r="NO38" s="47"/>
      <c r="NP38" s="45">
        <v>0</v>
      </c>
      <c r="NQ38" s="40">
        <v>0</v>
      </c>
      <c r="NR38" s="40">
        <v>0</v>
      </c>
      <c r="NS38" s="40">
        <v>0</v>
      </c>
      <c r="NT38" s="42">
        <v>0</v>
      </c>
      <c r="NU38" s="47"/>
      <c r="NV38" s="45">
        <v>0</v>
      </c>
      <c r="NW38" s="40">
        <v>0</v>
      </c>
      <c r="NX38" s="40">
        <v>0</v>
      </c>
      <c r="NY38" s="40">
        <v>0</v>
      </c>
      <c r="NZ38" s="42">
        <v>0</v>
      </c>
      <c r="OA38" s="47"/>
      <c r="OB38" s="45">
        <v>0</v>
      </c>
      <c r="OC38" s="40">
        <v>0</v>
      </c>
      <c r="OD38" s="42">
        <v>0</v>
      </c>
      <c r="OE38" s="47"/>
      <c r="OF38" s="45">
        <v>0</v>
      </c>
      <c r="OG38" s="40">
        <v>0</v>
      </c>
      <c r="OH38" s="40">
        <v>0</v>
      </c>
      <c r="OI38" s="40">
        <v>0</v>
      </c>
      <c r="OJ38" s="42">
        <v>0</v>
      </c>
      <c r="OK38" s="47"/>
      <c r="OL38" s="45">
        <v>0</v>
      </c>
      <c r="OM38" s="40">
        <v>0</v>
      </c>
      <c r="ON38" s="40">
        <v>0</v>
      </c>
      <c r="OO38" s="40">
        <v>0</v>
      </c>
      <c r="OP38" s="42">
        <v>0</v>
      </c>
      <c r="OQ38" s="47"/>
      <c r="OR38" s="45">
        <v>0</v>
      </c>
      <c r="OS38" s="40">
        <v>0</v>
      </c>
      <c r="OT38" s="40">
        <v>0</v>
      </c>
      <c r="OU38" s="40">
        <v>0</v>
      </c>
      <c r="OV38" s="42">
        <v>0</v>
      </c>
      <c r="OW38" s="47"/>
      <c r="OX38" s="40">
        <v>0</v>
      </c>
      <c r="OY38" s="40">
        <v>0</v>
      </c>
      <c r="OZ38" s="40">
        <v>0</v>
      </c>
      <c r="PA38" s="40">
        <v>0</v>
      </c>
      <c r="PB38" s="42">
        <v>0</v>
      </c>
      <c r="PC38" s="47"/>
      <c r="PD38" s="45">
        <v>0</v>
      </c>
      <c r="PE38" s="40">
        <v>0</v>
      </c>
      <c r="PF38" s="40">
        <v>0</v>
      </c>
      <c r="PG38" s="40">
        <v>0</v>
      </c>
      <c r="PH38" s="42">
        <v>0</v>
      </c>
      <c r="PI38" s="47"/>
      <c r="PJ38" s="45">
        <v>0</v>
      </c>
      <c r="PK38" s="40">
        <v>0</v>
      </c>
      <c r="PL38" s="40">
        <v>0</v>
      </c>
      <c r="PM38" s="40">
        <v>0</v>
      </c>
      <c r="PN38" s="42">
        <v>0</v>
      </c>
      <c r="PO38" s="47"/>
      <c r="PP38" s="43">
        <v>0</v>
      </c>
      <c r="PQ38" s="40">
        <v>0</v>
      </c>
      <c r="PR38" s="40">
        <v>0</v>
      </c>
      <c r="PS38" s="40">
        <v>0</v>
      </c>
      <c r="PT38" s="42">
        <v>0</v>
      </c>
      <c r="PU38" s="47"/>
      <c r="PV38" s="45">
        <v>0</v>
      </c>
      <c r="PW38" s="40">
        <v>0</v>
      </c>
      <c r="PX38" s="40">
        <v>0</v>
      </c>
      <c r="PY38" s="40">
        <v>0</v>
      </c>
      <c r="PZ38" s="42">
        <v>0</v>
      </c>
      <c r="QA38" s="47"/>
      <c r="QB38" s="45">
        <v>0</v>
      </c>
      <c r="QC38" s="40">
        <v>0</v>
      </c>
      <c r="QD38" s="42">
        <v>0</v>
      </c>
      <c r="QE38" s="47"/>
      <c r="QF38" s="45">
        <v>0</v>
      </c>
      <c r="QG38" s="40">
        <v>0</v>
      </c>
      <c r="QH38" s="40">
        <v>0</v>
      </c>
      <c r="QI38" s="40">
        <v>0</v>
      </c>
      <c r="QJ38" s="42">
        <v>0</v>
      </c>
      <c r="QK38" s="47"/>
      <c r="QL38" s="45">
        <v>0</v>
      </c>
      <c r="QM38" s="40">
        <v>0</v>
      </c>
      <c r="QN38" s="40">
        <v>0</v>
      </c>
      <c r="QO38" s="40">
        <v>0</v>
      </c>
      <c r="QP38" s="42">
        <v>0</v>
      </c>
      <c r="QQ38" s="47"/>
      <c r="QR38" s="45">
        <v>24.41</v>
      </c>
      <c r="QS38" s="40">
        <v>23</v>
      </c>
      <c r="QT38" s="40">
        <v>0</v>
      </c>
      <c r="QU38" s="40">
        <v>0</v>
      </c>
      <c r="QV38" s="42">
        <v>1.41</v>
      </c>
      <c r="QW38" s="47"/>
      <c r="QX38" s="45">
        <v>0</v>
      </c>
      <c r="QY38" s="40">
        <v>0</v>
      </c>
      <c r="QZ38" s="40">
        <v>0</v>
      </c>
      <c r="RA38" s="40">
        <v>0</v>
      </c>
      <c r="RB38" s="42">
        <v>0</v>
      </c>
      <c r="RC38" s="47"/>
      <c r="RD38" s="45">
        <v>32.118000000000002</v>
      </c>
      <c r="RE38" s="40">
        <v>30</v>
      </c>
      <c r="RF38" s="42">
        <v>2.1180000000000021</v>
      </c>
      <c r="RG38" s="47"/>
    </row>
    <row r="39" spans="1:475" x14ac:dyDescent="0.25">
      <c r="A39" s="40" t="s">
        <v>328</v>
      </c>
      <c r="B39" s="41">
        <v>0.4</v>
      </c>
      <c r="N39" s="43"/>
      <c r="O39" s="48"/>
      <c r="P39" s="48"/>
      <c r="Q39" s="48"/>
      <c r="R39" s="48">
        <f t="shared" si="8"/>
        <v>0</v>
      </c>
      <c r="S39" s="44"/>
      <c r="T39" s="43"/>
      <c r="U39" s="48"/>
      <c r="V39" s="48"/>
      <c r="W39" s="48"/>
      <c r="X39" s="48">
        <f t="shared" si="9"/>
        <v>0</v>
      </c>
      <c r="Y39" s="44"/>
      <c r="Z39" s="43"/>
      <c r="AA39" s="48"/>
      <c r="AB39" s="48"/>
      <c r="AC39" s="48"/>
      <c r="AD39" s="48">
        <f t="shared" si="10"/>
        <v>0</v>
      </c>
      <c r="AE39" s="44"/>
      <c r="AF39" s="43"/>
      <c r="AG39" s="48"/>
      <c r="AH39" s="48"/>
      <c r="AI39" s="48"/>
      <c r="AJ39" s="48">
        <f t="shared" si="11"/>
        <v>0</v>
      </c>
      <c r="AK39" s="44"/>
      <c r="AL39" s="48"/>
      <c r="AP39" s="42">
        <v>0</v>
      </c>
      <c r="AQ39" s="44"/>
      <c r="AR39" s="43"/>
      <c r="AV39" s="42">
        <v>0</v>
      </c>
      <c r="AW39" s="44"/>
      <c r="BC39" s="42">
        <v>0</v>
      </c>
      <c r="BD39" s="44"/>
      <c r="BE39" s="43"/>
      <c r="BI39" s="42">
        <v>0</v>
      </c>
      <c r="BJ39" s="44"/>
      <c r="BO39" s="42">
        <v>0</v>
      </c>
      <c r="BP39" s="44"/>
      <c r="BS39" s="42">
        <v>0</v>
      </c>
      <c r="BT39" s="44"/>
      <c r="BU39" s="43"/>
      <c r="BY39" s="42">
        <v>0</v>
      </c>
      <c r="BZ39" s="44"/>
      <c r="CE39" s="42">
        <v>0</v>
      </c>
      <c r="CF39" s="44"/>
      <c r="CG39" s="43"/>
      <c r="CK39" s="42">
        <v>0</v>
      </c>
      <c r="CL39" s="44"/>
      <c r="CM39" s="43"/>
      <c r="CQ39" s="42">
        <v>0</v>
      </c>
      <c r="CR39" s="44"/>
      <c r="CW39" s="42">
        <v>0</v>
      </c>
      <c r="CX39" s="44"/>
      <c r="CY39" s="43"/>
      <c r="DC39" s="42">
        <v>0</v>
      </c>
      <c r="DD39" s="44"/>
      <c r="DE39" s="43"/>
      <c r="DK39" s="42">
        <v>0</v>
      </c>
      <c r="DL39" s="44"/>
      <c r="DM39" s="43"/>
      <c r="DQ39" s="42">
        <v>0</v>
      </c>
      <c r="DR39" s="44"/>
      <c r="DY39" s="42">
        <v>0</v>
      </c>
      <c r="DZ39" s="44"/>
      <c r="EA39" s="43"/>
      <c r="EE39" s="42">
        <v>0</v>
      </c>
      <c r="EF39" s="44"/>
      <c r="EG39" s="43"/>
      <c r="EK39" s="42">
        <v>0</v>
      </c>
      <c r="EL39" s="44"/>
      <c r="EM39" s="43"/>
      <c r="EQ39" s="42">
        <v>0</v>
      </c>
      <c r="ER39" s="44"/>
      <c r="EY39" s="42">
        <v>0</v>
      </c>
      <c r="EZ39" s="44"/>
      <c r="FE39" s="42">
        <v>0</v>
      </c>
      <c r="FF39" s="44"/>
      <c r="FG39" s="43"/>
      <c r="FK39" s="42">
        <v>0</v>
      </c>
      <c r="FL39" s="44"/>
      <c r="FM39" s="43"/>
      <c r="FO39" s="42">
        <v>0</v>
      </c>
      <c r="FP39" s="44"/>
      <c r="FU39" s="42">
        <v>0</v>
      </c>
      <c r="FV39" s="44"/>
      <c r="FW39" s="43"/>
      <c r="GC39" s="42">
        <v>0</v>
      </c>
      <c r="GD39" s="44"/>
      <c r="GI39" s="42">
        <v>0</v>
      </c>
      <c r="GJ39" s="44"/>
      <c r="GK39" s="43"/>
      <c r="GO39" s="42">
        <v>0</v>
      </c>
      <c r="GP39" s="47"/>
      <c r="GU39" s="42">
        <v>0</v>
      </c>
      <c r="GV39" s="44"/>
      <c r="GY39" s="42">
        <v>0</v>
      </c>
      <c r="GZ39" s="47"/>
      <c r="HA39" s="43"/>
      <c r="HC39" s="42">
        <v>0</v>
      </c>
      <c r="HD39" s="44"/>
      <c r="HE39" s="43"/>
      <c r="HI39" s="42">
        <v>0</v>
      </c>
      <c r="HJ39" s="47"/>
      <c r="HK39" s="43"/>
      <c r="HO39" s="42">
        <v>0</v>
      </c>
      <c r="HP39" s="44"/>
      <c r="HV39" s="42">
        <v>0</v>
      </c>
      <c r="HW39" s="44"/>
      <c r="HX39" s="45"/>
      <c r="IB39" s="42">
        <v>0</v>
      </c>
      <c r="IC39" s="44"/>
      <c r="IH39" s="42">
        <v>0</v>
      </c>
      <c r="II39" s="47"/>
      <c r="IN39" s="42">
        <v>0</v>
      </c>
      <c r="IO39" s="47"/>
      <c r="IT39" s="42">
        <v>0</v>
      </c>
      <c r="IU39" s="47"/>
      <c r="IZ39" s="42">
        <v>0</v>
      </c>
      <c r="JA39" s="44"/>
      <c r="JD39" s="42">
        <v>0</v>
      </c>
      <c r="JE39" s="44"/>
      <c r="JJ39" s="42">
        <v>0</v>
      </c>
      <c r="JK39" s="44"/>
      <c r="JL39" s="45"/>
      <c r="JN39" s="42">
        <v>0</v>
      </c>
      <c r="JO39" s="44"/>
      <c r="JT39" s="42">
        <v>0</v>
      </c>
      <c r="JU39" s="44"/>
      <c r="JZ39" s="42">
        <v>0</v>
      </c>
      <c r="KA39" s="47"/>
      <c r="KF39" s="42">
        <v>0</v>
      </c>
      <c r="KG39" s="44"/>
      <c r="KH39" s="41"/>
      <c r="KL39" s="42">
        <v>0</v>
      </c>
      <c r="KM39" s="47"/>
      <c r="KN39" s="45"/>
      <c r="KT39" s="42">
        <v>0</v>
      </c>
      <c r="KU39" s="47"/>
      <c r="KV39" s="40">
        <v>0</v>
      </c>
      <c r="KW39" s="40">
        <v>0</v>
      </c>
      <c r="KX39" s="40">
        <v>0</v>
      </c>
      <c r="KY39" s="40">
        <v>0</v>
      </c>
      <c r="KZ39" s="42">
        <v>0</v>
      </c>
      <c r="LA39" s="47"/>
      <c r="LB39" s="40">
        <v>0</v>
      </c>
      <c r="LC39" s="40">
        <v>0</v>
      </c>
      <c r="LD39" s="40">
        <v>0</v>
      </c>
      <c r="LE39" s="40">
        <v>0</v>
      </c>
      <c r="LF39" s="42">
        <v>0</v>
      </c>
      <c r="LG39" s="47"/>
      <c r="LH39" s="45">
        <v>0</v>
      </c>
      <c r="LI39" s="40">
        <v>0</v>
      </c>
      <c r="LJ39" s="42">
        <v>0</v>
      </c>
      <c r="LK39" s="47"/>
      <c r="LL39" s="45">
        <v>0</v>
      </c>
      <c r="LM39" s="40">
        <v>0</v>
      </c>
      <c r="LN39" s="40">
        <v>0</v>
      </c>
      <c r="LO39" s="40">
        <v>0</v>
      </c>
      <c r="LP39" s="42">
        <v>0</v>
      </c>
      <c r="LQ39" s="47"/>
      <c r="LR39" s="45">
        <v>0</v>
      </c>
      <c r="LS39" s="40">
        <v>0</v>
      </c>
      <c r="LT39" s="40">
        <v>0</v>
      </c>
      <c r="LU39" s="40">
        <v>0</v>
      </c>
      <c r="LV39" s="42">
        <v>0</v>
      </c>
      <c r="LW39" s="47"/>
      <c r="LX39" s="45">
        <v>0</v>
      </c>
      <c r="LY39" s="40">
        <v>0</v>
      </c>
      <c r="LZ39" s="42">
        <v>0</v>
      </c>
      <c r="MA39" s="47"/>
      <c r="MB39" s="45">
        <v>0</v>
      </c>
      <c r="MC39" s="40">
        <v>0</v>
      </c>
      <c r="MD39" s="40">
        <v>0</v>
      </c>
      <c r="ME39" s="40">
        <v>0</v>
      </c>
      <c r="MF39" s="42">
        <v>0</v>
      </c>
      <c r="MG39" s="47"/>
      <c r="MH39" s="45">
        <v>0</v>
      </c>
      <c r="MI39" s="40">
        <v>0</v>
      </c>
      <c r="MJ39" s="42">
        <v>0</v>
      </c>
      <c r="MK39" s="47"/>
      <c r="ML39" s="45">
        <v>0</v>
      </c>
      <c r="MM39" s="40">
        <v>0</v>
      </c>
      <c r="MN39" s="40">
        <v>0</v>
      </c>
      <c r="MO39" s="40">
        <v>0</v>
      </c>
      <c r="MP39" s="42">
        <v>0</v>
      </c>
      <c r="MQ39" s="47"/>
      <c r="MR39" s="40">
        <v>0</v>
      </c>
      <c r="MS39" s="40">
        <v>0</v>
      </c>
      <c r="MT39" s="40">
        <v>0</v>
      </c>
      <c r="MU39" s="40">
        <v>0</v>
      </c>
      <c r="MV39" s="42">
        <v>0</v>
      </c>
      <c r="MW39" s="47"/>
      <c r="MX39" s="45">
        <v>0</v>
      </c>
      <c r="MY39" s="40">
        <v>0</v>
      </c>
      <c r="MZ39" s="40">
        <v>0</v>
      </c>
      <c r="NA39" s="40">
        <v>0</v>
      </c>
      <c r="NB39" s="42">
        <v>0</v>
      </c>
      <c r="NC39" s="47"/>
      <c r="ND39" s="45">
        <v>0</v>
      </c>
      <c r="NE39" s="40">
        <v>0</v>
      </c>
      <c r="NF39" s="40">
        <v>0</v>
      </c>
      <c r="NG39" s="40">
        <v>0</v>
      </c>
      <c r="NH39" s="42">
        <v>0</v>
      </c>
      <c r="NI39" s="47"/>
      <c r="NJ39" s="45">
        <v>0</v>
      </c>
      <c r="NK39" s="40">
        <v>0</v>
      </c>
      <c r="NL39" s="40">
        <v>0</v>
      </c>
      <c r="NM39" s="40">
        <v>0</v>
      </c>
      <c r="NN39" s="42">
        <v>0</v>
      </c>
      <c r="NO39" s="47"/>
      <c r="NP39" s="45">
        <v>0</v>
      </c>
      <c r="NQ39" s="40">
        <v>0</v>
      </c>
      <c r="NR39" s="40">
        <v>0</v>
      </c>
      <c r="NS39" s="40">
        <v>0</v>
      </c>
      <c r="NT39" s="42">
        <v>0</v>
      </c>
      <c r="NU39" s="47"/>
      <c r="NV39" s="45">
        <v>0</v>
      </c>
      <c r="NW39" s="40">
        <v>0</v>
      </c>
      <c r="NX39" s="40">
        <v>0</v>
      </c>
      <c r="NY39" s="40">
        <v>0</v>
      </c>
      <c r="NZ39" s="42">
        <v>0</v>
      </c>
      <c r="OA39" s="47"/>
      <c r="OB39" s="45">
        <v>0</v>
      </c>
      <c r="OC39" s="40">
        <v>0</v>
      </c>
      <c r="OD39" s="42">
        <v>0</v>
      </c>
      <c r="OE39" s="47"/>
      <c r="OF39" s="45">
        <v>0</v>
      </c>
      <c r="OG39" s="40">
        <v>0</v>
      </c>
      <c r="OH39" s="40">
        <v>0</v>
      </c>
      <c r="OI39" s="40">
        <v>0</v>
      </c>
      <c r="OJ39" s="42">
        <v>0</v>
      </c>
      <c r="OK39" s="47"/>
      <c r="OL39" s="45">
        <v>0</v>
      </c>
      <c r="OM39" s="40">
        <v>0</v>
      </c>
      <c r="ON39" s="40">
        <v>0</v>
      </c>
      <c r="OO39" s="40">
        <v>0</v>
      </c>
      <c r="OP39" s="42">
        <v>0</v>
      </c>
      <c r="OQ39" s="47"/>
      <c r="OR39" s="45">
        <v>0</v>
      </c>
      <c r="OS39" s="40">
        <v>0</v>
      </c>
      <c r="OT39" s="40">
        <v>0</v>
      </c>
      <c r="OU39" s="40">
        <v>0</v>
      </c>
      <c r="OV39" s="42">
        <v>0</v>
      </c>
      <c r="OW39" s="47"/>
      <c r="OX39" s="40">
        <v>0</v>
      </c>
      <c r="OY39" s="40">
        <v>0</v>
      </c>
      <c r="OZ39" s="40">
        <v>0</v>
      </c>
      <c r="PA39" s="40">
        <v>0</v>
      </c>
      <c r="PB39" s="42">
        <v>0</v>
      </c>
      <c r="PC39" s="47"/>
      <c r="PD39" s="45">
        <v>0</v>
      </c>
      <c r="PE39" s="40">
        <v>0</v>
      </c>
      <c r="PF39" s="40">
        <v>150</v>
      </c>
      <c r="PG39" s="40">
        <v>150</v>
      </c>
      <c r="PH39" s="42">
        <v>0</v>
      </c>
      <c r="PI39" s="47"/>
      <c r="PJ39" s="45">
        <v>0</v>
      </c>
      <c r="PK39" s="40">
        <v>0</v>
      </c>
      <c r="PL39" s="40">
        <v>0</v>
      </c>
      <c r="PM39" s="40">
        <v>0</v>
      </c>
      <c r="PN39" s="42">
        <v>0</v>
      </c>
      <c r="PO39" s="47"/>
      <c r="PP39" s="43">
        <v>48</v>
      </c>
      <c r="PQ39" s="40">
        <v>50</v>
      </c>
      <c r="PR39" s="40">
        <v>72</v>
      </c>
      <c r="PS39" s="40">
        <v>70</v>
      </c>
      <c r="PT39" s="42">
        <v>0</v>
      </c>
      <c r="PU39" s="47"/>
      <c r="PV39" s="45">
        <v>0</v>
      </c>
      <c r="PW39" s="40">
        <v>0</v>
      </c>
      <c r="PX39" s="40">
        <v>48</v>
      </c>
      <c r="PY39" s="40">
        <v>50</v>
      </c>
      <c r="PZ39" s="42">
        <v>-2</v>
      </c>
      <c r="QA39" s="47"/>
      <c r="QB39" s="45">
        <v>48</v>
      </c>
      <c r="QC39" s="40">
        <v>50</v>
      </c>
      <c r="QD39" s="42">
        <v>-2</v>
      </c>
      <c r="QE39" s="47"/>
      <c r="QF39" s="45">
        <v>0</v>
      </c>
      <c r="QG39" s="40">
        <v>0</v>
      </c>
      <c r="QH39" s="40">
        <v>0</v>
      </c>
      <c r="QI39" s="40">
        <v>0</v>
      </c>
      <c r="QJ39" s="42">
        <v>0</v>
      </c>
      <c r="QK39" s="47"/>
      <c r="QL39" s="45">
        <v>0</v>
      </c>
      <c r="QM39" s="40">
        <v>0</v>
      </c>
      <c r="QN39" s="40">
        <v>0</v>
      </c>
      <c r="QO39" s="40">
        <v>0</v>
      </c>
      <c r="QP39" s="42">
        <v>0</v>
      </c>
      <c r="QQ39" s="47"/>
      <c r="QR39" s="45">
        <v>0</v>
      </c>
      <c r="QS39" s="40">
        <v>0</v>
      </c>
      <c r="QT39" s="40">
        <v>0</v>
      </c>
      <c r="QU39" s="40">
        <v>0</v>
      </c>
      <c r="QV39" s="42">
        <v>0</v>
      </c>
      <c r="QW39" s="47"/>
      <c r="QX39" s="45">
        <v>0</v>
      </c>
      <c r="QY39" s="40">
        <v>0</v>
      </c>
      <c r="QZ39" s="40">
        <v>0</v>
      </c>
      <c r="RA39" s="40">
        <v>0</v>
      </c>
      <c r="RB39" s="42">
        <v>0</v>
      </c>
      <c r="RC39" s="47"/>
      <c r="RD39" s="45">
        <v>0</v>
      </c>
      <c r="RE39" s="40">
        <v>0</v>
      </c>
      <c r="RF39" s="42">
        <v>0</v>
      </c>
      <c r="RG39" s="47"/>
    </row>
    <row r="40" spans="1:475" x14ac:dyDescent="0.25">
      <c r="A40" s="40" t="s">
        <v>329</v>
      </c>
      <c r="B40" s="41">
        <v>0.33</v>
      </c>
      <c r="N40" s="43"/>
      <c r="O40" s="48"/>
      <c r="P40" s="48"/>
      <c r="Q40" s="48"/>
      <c r="R40" s="48">
        <f t="shared" si="8"/>
        <v>0</v>
      </c>
      <c r="S40" s="44"/>
      <c r="T40" s="43"/>
      <c r="U40" s="48"/>
      <c r="V40" s="48"/>
      <c r="W40" s="48"/>
      <c r="X40" s="48">
        <f t="shared" si="9"/>
        <v>0</v>
      </c>
      <c r="Y40" s="44"/>
      <c r="Z40" s="43"/>
      <c r="AA40" s="48"/>
      <c r="AB40" s="48"/>
      <c r="AC40" s="48"/>
      <c r="AD40" s="48">
        <f t="shared" si="10"/>
        <v>0</v>
      </c>
      <c r="AE40" s="44"/>
      <c r="AF40" s="43"/>
      <c r="AG40" s="48"/>
      <c r="AH40" s="48"/>
      <c r="AI40" s="48"/>
      <c r="AJ40" s="48">
        <f t="shared" si="11"/>
        <v>0</v>
      </c>
      <c r="AK40" s="44"/>
      <c r="AL40" s="48"/>
      <c r="AP40" s="42">
        <v>0</v>
      </c>
      <c r="AQ40" s="44"/>
      <c r="AR40" s="43"/>
      <c r="AV40" s="42">
        <v>0</v>
      </c>
      <c r="AW40" s="44"/>
      <c r="BC40" s="42">
        <v>0</v>
      </c>
      <c r="BD40" s="44"/>
      <c r="BE40" s="43"/>
      <c r="BI40" s="42">
        <v>0</v>
      </c>
      <c r="BJ40" s="44"/>
      <c r="BO40" s="42">
        <v>0</v>
      </c>
      <c r="BP40" s="44"/>
      <c r="BS40" s="42">
        <v>0</v>
      </c>
      <c r="BT40" s="44"/>
      <c r="BU40" s="43"/>
      <c r="BY40" s="42">
        <v>0</v>
      </c>
      <c r="BZ40" s="44"/>
      <c r="CE40" s="42">
        <v>0</v>
      </c>
      <c r="CF40" s="44"/>
      <c r="CG40" s="43"/>
      <c r="CK40" s="42">
        <v>0</v>
      </c>
      <c r="CL40" s="44"/>
      <c r="CM40" s="43"/>
      <c r="CQ40" s="42">
        <v>0</v>
      </c>
      <c r="CR40" s="44"/>
      <c r="CW40" s="42">
        <v>0</v>
      </c>
      <c r="CX40" s="44"/>
      <c r="CY40" s="43"/>
      <c r="DC40" s="42">
        <v>0</v>
      </c>
      <c r="DD40" s="44"/>
      <c r="DE40" s="43"/>
      <c r="DK40" s="42">
        <v>0</v>
      </c>
      <c r="DL40" s="44"/>
      <c r="DM40" s="43"/>
      <c r="DQ40" s="42">
        <v>0</v>
      </c>
      <c r="DR40" s="44"/>
      <c r="DY40" s="42">
        <v>0</v>
      </c>
      <c r="DZ40" s="44"/>
      <c r="EA40" s="43"/>
      <c r="EE40" s="42">
        <v>0</v>
      </c>
      <c r="EF40" s="44"/>
      <c r="EG40" s="43"/>
      <c r="EK40" s="42">
        <v>0</v>
      </c>
      <c r="EL40" s="44"/>
      <c r="EM40" s="43"/>
      <c r="EQ40" s="42">
        <v>0</v>
      </c>
      <c r="ER40" s="44"/>
      <c r="EY40" s="42">
        <v>0</v>
      </c>
      <c r="EZ40" s="44"/>
      <c r="FE40" s="42">
        <v>0</v>
      </c>
      <c r="FF40" s="44"/>
      <c r="FG40" s="43"/>
      <c r="FK40" s="42">
        <v>0</v>
      </c>
      <c r="FL40" s="44"/>
      <c r="FM40" s="43"/>
      <c r="FO40" s="42">
        <v>0</v>
      </c>
      <c r="FP40" s="44"/>
      <c r="FU40" s="42">
        <v>0</v>
      </c>
      <c r="FV40" s="44"/>
      <c r="FW40" s="43"/>
      <c r="GA40">
        <v>128</v>
      </c>
      <c r="GB40">
        <v>130</v>
      </c>
      <c r="GC40" s="42">
        <v>-2</v>
      </c>
      <c r="GD40" s="44"/>
      <c r="GI40" s="42">
        <v>0</v>
      </c>
      <c r="GJ40" s="44"/>
      <c r="GK40" s="43"/>
      <c r="GO40" s="42">
        <v>0</v>
      </c>
      <c r="GP40" s="47"/>
      <c r="GQ40">
        <v>96</v>
      </c>
      <c r="GR40">
        <v>100</v>
      </c>
      <c r="GS40">
        <v>112</v>
      </c>
      <c r="GT40">
        <v>120</v>
      </c>
      <c r="GU40" s="39">
        <v>-12</v>
      </c>
      <c r="GV40" s="44">
        <v>3.96</v>
      </c>
      <c r="GW40">
        <v>136</v>
      </c>
      <c r="GX40" s="40">
        <v>140</v>
      </c>
      <c r="GY40" s="42">
        <v>-4</v>
      </c>
      <c r="GZ40" s="47"/>
      <c r="HA40" s="43"/>
      <c r="HC40" s="42">
        <v>0</v>
      </c>
      <c r="HD40" s="44"/>
      <c r="HE40" s="43"/>
      <c r="HG40">
        <v>176</v>
      </c>
      <c r="HH40">
        <v>180</v>
      </c>
      <c r="HI40" s="42">
        <v>-4</v>
      </c>
      <c r="HJ40" s="47"/>
      <c r="HK40" s="43"/>
      <c r="HO40" s="42">
        <v>0</v>
      </c>
      <c r="HP40" s="44"/>
      <c r="HT40">
        <v>192</v>
      </c>
      <c r="HU40">
        <v>190</v>
      </c>
      <c r="HV40" s="42">
        <v>2</v>
      </c>
      <c r="HW40" s="44"/>
      <c r="HX40" s="45"/>
      <c r="HZ40">
        <v>48</v>
      </c>
      <c r="IA40">
        <v>50</v>
      </c>
      <c r="IB40" s="42">
        <v>-2</v>
      </c>
      <c r="IC40" s="44"/>
      <c r="IF40">
        <v>64</v>
      </c>
      <c r="IG40">
        <v>65</v>
      </c>
      <c r="IH40" s="42">
        <v>-1</v>
      </c>
      <c r="II40" s="47"/>
      <c r="IL40">
        <v>64</v>
      </c>
      <c r="IM40">
        <v>66</v>
      </c>
      <c r="IN40" s="42">
        <v>-2</v>
      </c>
      <c r="IO40" s="47"/>
      <c r="IR40">
        <v>48</v>
      </c>
      <c r="IS40">
        <v>50</v>
      </c>
      <c r="IT40" s="42">
        <v>-2</v>
      </c>
      <c r="IU40" s="47"/>
      <c r="IX40">
        <v>48</v>
      </c>
      <c r="IY40">
        <v>50</v>
      </c>
      <c r="IZ40" s="42">
        <v>-2</v>
      </c>
      <c r="JA40" s="44"/>
      <c r="JD40" s="42">
        <v>0</v>
      </c>
      <c r="JE40" s="44"/>
      <c r="JJ40" s="42">
        <v>0</v>
      </c>
      <c r="JK40" s="44"/>
      <c r="JL40" s="45"/>
      <c r="JN40" s="42">
        <v>0</v>
      </c>
      <c r="JO40" s="44"/>
      <c r="JT40" s="42">
        <v>0</v>
      </c>
      <c r="JU40" s="44"/>
      <c r="JZ40" s="42">
        <v>0</v>
      </c>
      <c r="KA40" s="47"/>
      <c r="KF40" s="42">
        <v>0</v>
      </c>
      <c r="KG40" s="44"/>
      <c r="KH40">
        <v>152</v>
      </c>
      <c r="KI40">
        <v>150</v>
      </c>
      <c r="KJ40">
        <v>408</v>
      </c>
      <c r="KK40">
        <v>410</v>
      </c>
      <c r="KL40" s="42">
        <v>0</v>
      </c>
      <c r="KM40" s="47"/>
      <c r="KN40" s="45"/>
      <c r="KR40">
        <v>168</v>
      </c>
      <c r="KT40" s="42">
        <v>168</v>
      </c>
      <c r="KU40" s="47"/>
      <c r="KV40" s="40">
        <v>104</v>
      </c>
      <c r="KW40" s="40">
        <v>100</v>
      </c>
      <c r="KX40" s="40">
        <v>128</v>
      </c>
      <c r="KY40" s="40">
        <v>130</v>
      </c>
      <c r="KZ40" s="42">
        <v>2</v>
      </c>
      <c r="LA40" s="47"/>
      <c r="LB40" s="40">
        <v>0</v>
      </c>
      <c r="LC40" s="40">
        <v>0</v>
      </c>
      <c r="LD40" s="40">
        <v>120</v>
      </c>
      <c r="LE40" s="40">
        <v>120</v>
      </c>
      <c r="LF40" s="42">
        <v>0</v>
      </c>
      <c r="LG40" s="47"/>
      <c r="LH40" s="45">
        <v>0</v>
      </c>
      <c r="LI40" s="40">
        <v>0</v>
      </c>
      <c r="LJ40" s="42">
        <v>0</v>
      </c>
      <c r="LK40" s="47"/>
      <c r="LL40" s="45">
        <v>96</v>
      </c>
      <c r="LM40" s="40">
        <v>100</v>
      </c>
      <c r="LN40" s="40">
        <v>88</v>
      </c>
      <c r="LO40" s="40">
        <v>90</v>
      </c>
      <c r="LP40" s="42">
        <v>-6</v>
      </c>
      <c r="LQ40" s="47"/>
      <c r="LR40" s="45">
        <v>0</v>
      </c>
      <c r="LS40" s="40">
        <v>0</v>
      </c>
      <c r="LT40" s="40">
        <v>0</v>
      </c>
      <c r="LU40" s="40">
        <v>0</v>
      </c>
      <c r="LV40" s="42">
        <v>0</v>
      </c>
      <c r="LW40" s="47"/>
      <c r="LX40" s="45">
        <v>136</v>
      </c>
      <c r="LY40" s="40">
        <v>140</v>
      </c>
      <c r="LZ40" s="42">
        <v>-4</v>
      </c>
      <c r="MA40" s="47"/>
      <c r="MB40" s="45">
        <v>0</v>
      </c>
      <c r="MC40" s="40">
        <v>0</v>
      </c>
      <c r="MD40" s="40">
        <v>0</v>
      </c>
      <c r="ME40" s="40">
        <v>0</v>
      </c>
      <c r="MF40" s="42">
        <v>0</v>
      </c>
      <c r="MG40" s="47"/>
      <c r="MH40" s="45">
        <v>248</v>
      </c>
      <c r="MI40" s="40">
        <v>250</v>
      </c>
      <c r="MJ40" s="42">
        <v>-2</v>
      </c>
      <c r="MK40" s="47"/>
      <c r="ML40" s="45">
        <v>0</v>
      </c>
      <c r="MM40" s="40">
        <v>0</v>
      </c>
      <c r="MN40" s="40">
        <v>0</v>
      </c>
      <c r="MO40" s="40">
        <v>0</v>
      </c>
      <c r="MP40" s="42">
        <v>0</v>
      </c>
      <c r="MQ40" s="47"/>
      <c r="MR40" s="40">
        <v>0</v>
      </c>
      <c r="MS40" s="40">
        <v>0</v>
      </c>
      <c r="MT40" s="40">
        <v>200</v>
      </c>
      <c r="MU40" s="40">
        <v>200</v>
      </c>
      <c r="MV40" s="42">
        <v>0</v>
      </c>
      <c r="MW40" s="47"/>
      <c r="MX40" s="45">
        <v>0</v>
      </c>
      <c r="MY40" s="40">
        <v>0</v>
      </c>
      <c r="MZ40" s="40">
        <v>32</v>
      </c>
      <c r="NA40" s="40">
        <v>30</v>
      </c>
      <c r="NB40" s="42">
        <v>2</v>
      </c>
      <c r="NC40" s="47"/>
      <c r="ND40" s="45">
        <v>0</v>
      </c>
      <c r="NE40" s="30">
        <v>60</v>
      </c>
      <c r="NF40" s="40">
        <v>288</v>
      </c>
      <c r="NG40" s="40">
        <v>292</v>
      </c>
      <c r="NH40" s="39">
        <v>-64</v>
      </c>
      <c r="NI40" s="47">
        <v>21.12</v>
      </c>
      <c r="NJ40" s="45">
        <v>0</v>
      </c>
      <c r="NK40" s="40">
        <v>0</v>
      </c>
      <c r="NL40" s="40">
        <v>32</v>
      </c>
      <c r="NM40" s="40">
        <v>30</v>
      </c>
      <c r="NN40" s="42">
        <v>2</v>
      </c>
      <c r="NO40" s="47"/>
      <c r="NP40" s="45">
        <v>0</v>
      </c>
      <c r="NQ40" s="30">
        <v>80</v>
      </c>
      <c r="NR40" s="40">
        <v>152</v>
      </c>
      <c r="NS40" s="40">
        <v>150</v>
      </c>
      <c r="NT40" s="39">
        <v>-78</v>
      </c>
      <c r="NU40" s="47">
        <v>25.74</v>
      </c>
      <c r="NV40" s="45">
        <v>0</v>
      </c>
      <c r="NW40" s="40">
        <v>0</v>
      </c>
      <c r="NX40" s="40">
        <v>48</v>
      </c>
      <c r="NY40" s="40">
        <v>50</v>
      </c>
      <c r="NZ40" s="42">
        <v>-2</v>
      </c>
      <c r="OA40" s="47"/>
      <c r="OB40" s="45">
        <v>96</v>
      </c>
      <c r="OC40" s="40">
        <v>100</v>
      </c>
      <c r="OD40" s="42">
        <v>-4</v>
      </c>
      <c r="OE40" s="47"/>
      <c r="OF40" s="45">
        <v>0</v>
      </c>
      <c r="OG40" s="40">
        <v>0</v>
      </c>
      <c r="OH40" s="14">
        <v>72</v>
      </c>
      <c r="OI40" s="40">
        <v>0</v>
      </c>
      <c r="OJ40" s="42">
        <v>0</v>
      </c>
      <c r="OK40" s="47"/>
      <c r="OL40" s="15">
        <v>264</v>
      </c>
      <c r="OM40" s="40">
        <v>0</v>
      </c>
      <c r="ON40" s="14">
        <v>200</v>
      </c>
      <c r="OO40" s="40">
        <v>0</v>
      </c>
      <c r="OP40" s="42">
        <v>0</v>
      </c>
      <c r="OQ40" s="47"/>
      <c r="OR40" s="45"/>
      <c r="OW40" s="47"/>
      <c r="PC40" s="47"/>
      <c r="PD40" s="45"/>
      <c r="PI40" s="47"/>
      <c r="PJ40" s="45"/>
      <c r="PO40" s="47"/>
      <c r="PP40" s="43"/>
      <c r="PU40" s="47"/>
      <c r="PV40" s="45"/>
      <c r="QA40" s="47"/>
      <c r="QB40" s="45"/>
      <c r="QE40" s="47"/>
      <c r="QF40" s="45"/>
      <c r="QK40" s="47"/>
      <c r="QL40" s="45"/>
      <c r="QQ40" s="47"/>
      <c r="QR40" s="45"/>
      <c r="QW40" s="47"/>
      <c r="QX40" s="45"/>
      <c r="RB40" s="42"/>
      <c r="RC40" s="47"/>
      <c r="RD40" s="45"/>
      <c r="RF40" s="42"/>
      <c r="RG40" s="47"/>
    </row>
    <row r="41" spans="1:475" x14ac:dyDescent="0.25">
      <c r="A41" s="40" t="s">
        <v>330</v>
      </c>
      <c r="B41" s="41">
        <v>1</v>
      </c>
      <c r="N41" s="43"/>
      <c r="O41" s="48"/>
      <c r="P41" s="48"/>
      <c r="Q41" s="48"/>
      <c r="R41" s="48">
        <f t="shared" si="8"/>
        <v>0</v>
      </c>
      <c r="S41" s="44"/>
      <c r="T41" s="43"/>
      <c r="U41" s="48"/>
      <c r="V41" s="48"/>
      <c r="W41" s="48"/>
      <c r="X41" s="48">
        <f t="shared" si="9"/>
        <v>0</v>
      </c>
      <c r="Y41" s="44"/>
      <c r="Z41" s="43"/>
      <c r="AA41" s="48"/>
      <c r="AB41" s="48"/>
      <c r="AC41" s="48"/>
      <c r="AD41" s="48">
        <f t="shared" si="10"/>
        <v>0</v>
      </c>
      <c r="AE41" s="44"/>
      <c r="AF41" s="43"/>
      <c r="AG41" s="48"/>
      <c r="AH41" s="48"/>
      <c r="AI41" s="48"/>
      <c r="AJ41" s="48">
        <f t="shared" si="11"/>
        <v>0</v>
      </c>
      <c r="AK41" s="44"/>
      <c r="AL41" s="48"/>
      <c r="AP41" s="42">
        <v>0</v>
      </c>
      <c r="AQ41" s="44"/>
      <c r="AR41" s="43"/>
      <c r="AV41" s="42">
        <v>0</v>
      </c>
      <c r="AW41" s="44"/>
      <c r="BC41" s="42">
        <v>0</v>
      </c>
      <c r="BD41" s="44"/>
      <c r="BE41" s="43"/>
      <c r="BI41" s="42">
        <v>0</v>
      </c>
      <c r="BJ41" s="44"/>
      <c r="BO41" s="42">
        <v>0</v>
      </c>
      <c r="BP41" s="44"/>
      <c r="BS41" s="42">
        <v>0</v>
      </c>
      <c r="BT41" s="44"/>
      <c r="BU41" s="43"/>
      <c r="BY41" s="42">
        <v>0</v>
      </c>
      <c r="BZ41" s="44"/>
      <c r="CE41" s="42">
        <v>0</v>
      </c>
      <c r="CF41" s="44"/>
      <c r="CG41" s="43"/>
      <c r="CK41" s="42">
        <v>0</v>
      </c>
      <c r="CL41" s="44"/>
      <c r="CM41" s="43"/>
      <c r="CQ41" s="42">
        <v>0</v>
      </c>
      <c r="CR41" s="44"/>
      <c r="CW41" s="42">
        <v>0</v>
      </c>
      <c r="CX41" s="44"/>
      <c r="CY41" s="43"/>
      <c r="DC41" s="42">
        <v>0</v>
      </c>
      <c r="DD41" s="44"/>
      <c r="DE41" s="43"/>
      <c r="DK41" s="42">
        <v>0</v>
      </c>
      <c r="DL41" s="44"/>
      <c r="DM41" s="43"/>
      <c r="DQ41" s="42">
        <v>0</v>
      </c>
      <c r="DR41" s="44"/>
      <c r="DY41" s="42">
        <v>0</v>
      </c>
      <c r="DZ41" s="44"/>
      <c r="EA41" s="43"/>
      <c r="EE41" s="42">
        <v>0</v>
      </c>
      <c r="EF41" s="44"/>
      <c r="EG41" s="43"/>
      <c r="EK41" s="42">
        <v>0</v>
      </c>
      <c r="EL41" s="44"/>
      <c r="EM41" s="43"/>
      <c r="EQ41" s="42">
        <v>0</v>
      </c>
      <c r="ER41" s="44"/>
      <c r="EY41" s="42">
        <v>0</v>
      </c>
      <c r="EZ41" s="44"/>
      <c r="FE41" s="42">
        <v>0</v>
      </c>
      <c r="FF41" s="44"/>
      <c r="FG41" s="43"/>
      <c r="FK41" s="42">
        <v>0</v>
      </c>
      <c r="FL41" s="44"/>
      <c r="FM41" s="43"/>
      <c r="FO41" s="42">
        <v>0</v>
      </c>
      <c r="FP41" s="44"/>
      <c r="FU41" s="42">
        <v>0</v>
      </c>
      <c r="FV41" s="44"/>
      <c r="FW41" s="43"/>
      <c r="GC41" s="42">
        <v>0</v>
      </c>
      <c r="GD41" s="44"/>
      <c r="GI41" s="42">
        <v>0</v>
      </c>
      <c r="GJ41" s="44"/>
      <c r="GK41" s="43"/>
      <c r="GO41" s="42">
        <v>0</v>
      </c>
      <c r="GP41" s="47"/>
      <c r="GU41" s="42">
        <v>0</v>
      </c>
      <c r="GV41" s="44"/>
      <c r="GY41" s="42">
        <v>0</v>
      </c>
      <c r="GZ41" s="47"/>
      <c r="HA41" s="43"/>
      <c r="HC41" s="42">
        <v>0</v>
      </c>
      <c r="HD41" s="44"/>
      <c r="HE41" s="43"/>
      <c r="HI41" s="42">
        <v>0</v>
      </c>
      <c r="HJ41" s="47"/>
      <c r="HK41" s="43"/>
      <c r="HO41" s="42">
        <v>0</v>
      </c>
      <c r="HP41" s="44"/>
      <c r="HV41" s="42">
        <v>0</v>
      </c>
      <c r="HW41" s="44"/>
      <c r="HX41" s="45"/>
      <c r="IB41" s="42">
        <v>0</v>
      </c>
      <c r="IC41" s="44"/>
      <c r="IH41" s="42">
        <v>0</v>
      </c>
      <c r="II41" s="47"/>
      <c r="IN41" s="42">
        <v>0</v>
      </c>
      <c r="IO41" s="47"/>
      <c r="IT41" s="42">
        <v>0</v>
      </c>
      <c r="IU41" s="47"/>
      <c r="IZ41" s="42">
        <v>0</v>
      </c>
      <c r="JA41" s="44"/>
      <c r="JD41" s="42">
        <v>0</v>
      </c>
      <c r="JE41" s="44"/>
      <c r="JJ41" s="42">
        <v>0</v>
      </c>
      <c r="JK41" s="44"/>
      <c r="JL41" s="45"/>
      <c r="JN41" s="42">
        <v>0</v>
      </c>
      <c r="JO41" s="44"/>
      <c r="JT41" s="42">
        <v>0</v>
      </c>
      <c r="JU41" s="44"/>
      <c r="JZ41" s="42">
        <v>0</v>
      </c>
      <c r="KA41" s="47"/>
      <c r="KF41" s="42">
        <v>0</v>
      </c>
      <c r="KG41" s="44"/>
      <c r="KH41" s="41"/>
      <c r="KL41" s="42">
        <v>0</v>
      </c>
      <c r="KM41" s="47"/>
      <c r="KN41" s="45"/>
      <c r="KO41">
        <v>60</v>
      </c>
      <c r="KQ41">
        <v>80</v>
      </c>
      <c r="KR41">
        <v>78</v>
      </c>
      <c r="KS41">
        <v>50</v>
      </c>
      <c r="KT41" s="39">
        <v>-112</v>
      </c>
      <c r="KU41" s="47">
        <v>112</v>
      </c>
      <c r="KV41" s="40">
        <v>0</v>
      </c>
      <c r="KW41" s="30">
        <v>50</v>
      </c>
      <c r="KX41" s="40">
        <v>0</v>
      </c>
      <c r="KY41" s="40">
        <v>0</v>
      </c>
      <c r="KZ41" s="39">
        <v>-50</v>
      </c>
      <c r="LA41" s="47">
        <v>50</v>
      </c>
      <c r="LB41" s="40">
        <v>0</v>
      </c>
      <c r="LC41" s="40">
        <v>0</v>
      </c>
      <c r="LD41" s="40">
        <v>172.16800000000001</v>
      </c>
      <c r="LE41" s="40">
        <v>160</v>
      </c>
      <c r="LF41" s="42">
        <v>12.16800000000001</v>
      </c>
      <c r="LG41" s="47"/>
      <c r="LH41" s="45">
        <v>201.40700000000001</v>
      </c>
      <c r="LI41" s="40">
        <v>190</v>
      </c>
      <c r="LJ41" s="42">
        <v>11.407000000000011</v>
      </c>
      <c r="LK41" s="47"/>
      <c r="LL41" s="45">
        <v>64.034000000000006</v>
      </c>
      <c r="LM41" s="40">
        <v>60</v>
      </c>
      <c r="LN41" s="40">
        <v>0</v>
      </c>
      <c r="LO41" s="40">
        <v>0</v>
      </c>
      <c r="LP41" s="42">
        <v>4.034000000000006</v>
      </c>
      <c r="LQ41" s="47"/>
      <c r="LR41" s="45">
        <v>83.625</v>
      </c>
      <c r="LS41" s="40">
        <v>80</v>
      </c>
      <c r="LT41" s="40">
        <v>60.896000000000001</v>
      </c>
      <c r="LU41" s="40">
        <v>60</v>
      </c>
      <c r="LV41" s="42">
        <v>4.521000000000015</v>
      </c>
      <c r="LW41" s="47"/>
      <c r="LX41" s="45">
        <v>0</v>
      </c>
      <c r="LY41" s="40">
        <v>0</v>
      </c>
      <c r="LZ41" s="42">
        <v>0</v>
      </c>
      <c r="MA41" s="47"/>
      <c r="MB41" s="45">
        <v>103.405</v>
      </c>
      <c r="MC41" s="40">
        <v>100</v>
      </c>
      <c r="MD41" s="40">
        <v>78.566999999999993</v>
      </c>
      <c r="ME41" s="40">
        <v>80</v>
      </c>
      <c r="MF41" s="42">
        <v>1.97199999999998</v>
      </c>
      <c r="MG41" s="47"/>
      <c r="MH41" s="45">
        <v>295.38400000000001</v>
      </c>
      <c r="MI41" s="40">
        <v>300</v>
      </c>
      <c r="MJ41" s="42">
        <v>-4.6159999999999846</v>
      </c>
      <c r="MK41" s="47"/>
      <c r="ML41" s="45">
        <v>0</v>
      </c>
      <c r="MM41" s="40">
        <v>0</v>
      </c>
      <c r="MN41" s="40">
        <v>0</v>
      </c>
      <c r="MO41" s="40">
        <v>0</v>
      </c>
      <c r="MP41" s="42">
        <v>0</v>
      </c>
      <c r="MQ41" s="47"/>
      <c r="MR41" s="40">
        <v>202.71100000000001</v>
      </c>
      <c r="MS41" s="40">
        <v>200</v>
      </c>
      <c r="MT41" s="40">
        <v>511.09300000000002</v>
      </c>
      <c r="MU41" s="40">
        <v>500</v>
      </c>
      <c r="MV41" s="42">
        <v>13.804000000000091</v>
      </c>
      <c r="MW41" s="47"/>
      <c r="MX41" s="45">
        <v>208.24799999999999</v>
      </c>
      <c r="MY41" s="40">
        <v>200</v>
      </c>
      <c r="MZ41" s="40">
        <v>203.761</v>
      </c>
      <c r="NA41" s="40">
        <v>200</v>
      </c>
      <c r="NB41" s="42">
        <v>12.009000000000009</v>
      </c>
      <c r="NC41" s="47"/>
      <c r="ND41" s="45">
        <v>150.232</v>
      </c>
      <c r="NE41" s="40">
        <v>250</v>
      </c>
      <c r="NF41" s="40">
        <v>255.42699999999999</v>
      </c>
      <c r="NG41" s="40">
        <v>250</v>
      </c>
      <c r="NH41" s="39">
        <v>-94.341000000000008</v>
      </c>
      <c r="NI41" s="47">
        <v>94.341000000000008</v>
      </c>
      <c r="NJ41" s="45">
        <v>57.128</v>
      </c>
      <c r="NK41" s="40">
        <v>60</v>
      </c>
      <c r="NL41" s="40">
        <v>99.227000000000004</v>
      </c>
      <c r="NM41" s="40">
        <v>100</v>
      </c>
      <c r="NN41" s="42">
        <v>-3.6449999999999818</v>
      </c>
      <c r="NO41" s="47"/>
      <c r="NP41" s="45">
        <v>0</v>
      </c>
      <c r="NQ41" s="30">
        <v>50</v>
      </c>
      <c r="NR41" s="40">
        <v>137.88800000000001</v>
      </c>
      <c r="NS41" s="40">
        <v>140</v>
      </c>
      <c r="NT41" s="39">
        <v>-52.111999999999988</v>
      </c>
      <c r="NU41" s="47">
        <v>52.111999999999988</v>
      </c>
      <c r="NV41" s="45">
        <v>121.627</v>
      </c>
      <c r="NW41" s="40">
        <v>120</v>
      </c>
      <c r="NX41" s="40">
        <v>128.9</v>
      </c>
      <c r="NY41" s="40">
        <v>130</v>
      </c>
      <c r="NZ41" s="42">
        <v>0.52699999999998681</v>
      </c>
      <c r="OA41" s="47"/>
      <c r="OB41" s="45">
        <v>439.31599999999997</v>
      </c>
      <c r="OC41" s="40">
        <v>450</v>
      </c>
      <c r="OD41" s="39">
        <v>-10.684000000000029</v>
      </c>
      <c r="OE41" s="47">
        <v>10.684000000000029</v>
      </c>
      <c r="OF41" s="45">
        <v>180.10499999999999</v>
      </c>
      <c r="OG41" s="40">
        <v>175</v>
      </c>
      <c r="OH41" s="40">
        <v>180.458</v>
      </c>
      <c r="OI41" s="40">
        <v>175</v>
      </c>
      <c r="OJ41" s="42">
        <v>10.56299999999999</v>
      </c>
      <c r="OK41" s="47"/>
      <c r="OL41" s="45">
        <v>57.286999999999999</v>
      </c>
      <c r="OM41" s="40">
        <v>60</v>
      </c>
      <c r="ON41" s="40">
        <v>38.520000000000003</v>
      </c>
      <c r="OO41" s="40">
        <v>40</v>
      </c>
      <c r="OP41" s="42">
        <v>-4.1929999999999978</v>
      </c>
      <c r="OQ41" s="47"/>
      <c r="OR41" s="45">
        <v>205.44399999999999</v>
      </c>
      <c r="OS41" s="40">
        <v>200</v>
      </c>
      <c r="OT41" s="40">
        <v>150.41</v>
      </c>
      <c r="OU41" s="40">
        <v>150</v>
      </c>
      <c r="OV41" s="42">
        <v>5.853999999999985</v>
      </c>
      <c r="OW41" s="47"/>
      <c r="OX41" s="40">
        <v>183.517</v>
      </c>
      <c r="OY41" s="40">
        <v>175</v>
      </c>
      <c r="OZ41" s="40">
        <v>181.38800000000001</v>
      </c>
      <c r="PA41" s="40">
        <v>175</v>
      </c>
      <c r="PB41" s="42">
        <v>14.904999999999969</v>
      </c>
      <c r="PC41" s="47"/>
      <c r="PD41" s="45">
        <v>156.578</v>
      </c>
      <c r="PE41" s="40">
        <v>400</v>
      </c>
      <c r="PF41" s="40">
        <v>155.89500000000001</v>
      </c>
      <c r="PG41" s="40">
        <v>450</v>
      </c>
      <c r="PH41" s="39">
        <v>-537.52700000000004</v>
      </c>
      <c r="PI41" s="47">
        <v>537.52700000000004</v>
      </c>
      <c r="PJ41" s="45">
        <v>0</v>
      </c>
      <c r="PK41" s="40">
        <v>0</v>
      </c>
      <c r="PL41" s="40">
        <v>0</v>
      </c>
      <c r="PM41" s="30">
        <v>164</v>
      </c>
      <c r="PN41" s="39">
        <v>-164</v>
      </c>
      <c r="PO41" s="47">
        <v>164</v>
      </c>
      <c r="PP41" s="43">
        <v>198.649</v>
      </c>
      <c r="PQ41" s="40">
        <v>200</v>
      </c>
      <c r="PR41" s="40">
        <v>309.77</v>
      </c>
      <c r="PS41" s="40">
        <v>300</v>
      </c>
      <c r="PT41" s="42">
        <v>8.4189999999999827</v>
      </c>
      <c r="PU41" s="47"/>
      <c r="PV41" s="45">
        <v>0</v>
      </c>
      <c r="PW41" s="30">
        <v>300</v>
      </c>
      <c r="PX41" s="40">
        <v>0</v>
      </c>
      <c r="PY41" s="30">
        <v>300</v>
      </c>
      <c r="PZ41" s="39">
        <v>-600</v>
      </c>
      <c r="QA41" s="47">
        <v>600</v>
      </c>
      <c r="QB41" s="45">
        <v>224.51300000000001</v>
      </c>
      <c r="QC41" s="40">
        <v>220</v>
      </c>
      <c r="QD41" s="42">
        <v>4.5130000000000052</v>
      </c>
      <c r="QE41" s="47"/>
      <c r="QF41" s="45">
        <v>198.92</v>
      </c>
      <c r="QG41" s="40">
        <v>200</v>
      </c>
      <c r="QH41" s="40">
        <v>195.113</v>
      </c>
      <c r="QI41" s="40">
        <v>200</v>
      </c>
      <c r="QJ41" s="42">
        <v>-5.9669999999999854</v>
      </c>
      <c r="QK41" s="47"/>
      <c r="QL41" s="45">
        <v>200.905</v>
      </c>
      <c r="QM41" s="40">
        <v>200</v>
      </c>
      <c r="QN41" s="40">
        <v>250.39500000000001</v>
      </c>
      <c r="QO41" s="40">
        <v>250</v>
      </c>
      <c r="QP41" s="42">
        <v>1.3000000000000109</v>
      </c>
      <c r="QQ41" s="47"/>
      <c r="QR41" s="45">
        <v>104.39400000000001</v>
      </c>
      <c r="QS41" s="40">
        <v>100</v>
      </c>
      <c r="QT41" s="40">
        <v>463.44099999999997</v>
      </c>
      <c r="QU41" s="40">
        <v>150</v>
      </c>
      <c r="QV41" s="42">
        <v>317.83499999999998</v>
      </c>
      <c r="QW41" s="47"/>
      <c r="QX41" s="45">
        <v>257.28899999999999</v>
      </c>
      <c r="QY41" s="40">
        <v>250</v>
      </c>
      <c r="QZ41" s="40">
        <v>0</v>
      </c>
      <c r="RA41" s="40">
        <v>0</v>
      </c>
      <c r="RB41" s="42">
        <v>7.2889999999999873</v>
      </c>
      <c r="RC41" s="47"/>
      <c r="RD41" s="45">
        <v>502.25900000000001</v>
      </c>
      <c r="RE41" s="40">
        <v>500</v>
      </c>
      <c r="RF41" s="42">
        <v>2.259000000000015</v>
      </c>
      <c r="RG41" s="47"/>
    </row>
    <row r="42" spans="1:475" x14ac:dyDescent="0.25">
      <c r="A42" s="40" t="s">
        <v>331</v>
      </c>
      <c r="B42" s="41">
        <v>1</v>
      </c>
      <c r="N42" s="43"/>
      <c r="O42" s="48"/>
      <c r="P42" s="48"/>
      <c r="Q42" s="48"/>
      <c r="R42" s="48">
        <f t="shared" si="8"/>
        <v>0</v>
      </c>
      <c r="S42" s="44"/>
      <c r="T42" s="43"/>
      <c r="U42" s="48"/>
      <c r="V42" s="48"/>
      <c r="W42" s="48"/>
      <c r="X42" s="48">
        <f t="shared" si="9"/>
        <v>0</v>
      </c>
      <c r="Y42" s="44"/>
      <c r="Z42" s="43"/>
      <c r="AA42" s="48"/>
      <c r="AB42" s="48"/>
      <c r="AC42" s="48"/>
      <c r="AD42" s="48">
        <f t="shared" si="10"/>
        <v>0</v>
      </c>
      <c r="AE42" s="44"/>
      <c r="AF42" s="43"/>
      <c r="AG42" s="48"/>
      <c r="AH42" s="48"/>
      <c r="AI42" s="48"/>
      <c r="AJ42" s="48">
        <f t="shared" si="11"/>
        <v>0</v>
      </c>
      <c r="AK42" s="44"/>
      <c r="AL42" s="48"/>
      <c r="AP42" s="42">
        <v>0</v>
      </c>
      <c r="AQ42" s="44"/>
      <c r="AR42" s="43"/>
      <c r="AV42" s="42">
        <v>0</v>
      </c>
      <c r="AW42" s="44"/>
      <c r="BC42" s="42">
        <v>0</v>
      </c>
      <c r="BD42" s="44"/>
      <c r="BE42" s="43"/>
      <c r="BI42" s="42">
        <v>0</v>
      </c>
      <c r="BJ42" s="44"/>
      <c r="BO42" s="42">
        <v>0</v>
      </c>
      <c r="BP42" s="44"/>
      <c r="BS42" s="42">
        <v>0</v>
      </c>
      <c r="BT42" s="44"/>
      <c r="BU42" s="43"/>
      <c r="BY42" s="42">
        <v>0</v>
      </c>
      <c r="BZ42" s="44"/>
      <c r="CE42" s="42">
        <v>0</v>
      </c>
      <c r="CF42" s="44"/>
      <c r="CG42" s="43"/>
      <c r="CK42" s="42">
        <v>0</v>
      </c>
      <c r="CL42" s="44"/>
      <c r="CM42" s="43"/>
      <c r="CQ42" s="42">
        <v>0</v>
      </c>
      <c r="CR42" s="44"/>
      <c r="CW42" s="42">
        <v>0</v>
      </c>
      <c r="CX42" s="44"/>
      <c r="CY42" s="43"/>
      <c r="DC42" s="42">
        <v>0</v>
      </c>
      <c r="DD42" s="44"/>
      <c r="DE42" s="43"/>
      <c r="DK42" s="42">
        <v>0</v>
      </c>
      <c r="DL42" s="44"/>
      <c r="DM42" s="43"/>
      <c r="DQ42" s="42">
        <v>0</v>
      </c>
      <c r="DR42" s="44"/>
      <c r="DY42" s="42">
        <v>0</v>
      </c>
      <c r="DZ42" s="44"/>
      <c r="EA42" s="43"/>
      <c r="EE42" s="42">
        <v>0</v>
      </c>
      <c r="EF42" s="44"/>
      <c r="EG42" s="43"/>
      <c r="EK42" s="42">
        <v>0</v>
      </c>
      <c r="EL42" s="44"/>
      <c r="EM42" s="43"/>
      <c r="EQ42" s="42">
        <v>0</v>
      </c>
      <c r="ER42" s="44"/>
      <c r="EY42" s="42">
        <v>0</v>
      </c>
      <c r="EZ42" s="44"/>
      <c r="FE42" s="42">
        <v>0</v>
      </c>
      <c r="FF42" s="44"/>
      <c r="FG42" s="43"/>
      <c r="FK42" s="42">
        <v>0</v>
      </c>
      <c r="FL42" s="44"/>
      <c r="FM42" s="43"/>
      <c r="FO42" s="42">
        <v>0</v>
      </c>
      <c r="FP42" s="44"/>
      <c r="FU42" s="42">
        <v>0</v>
      </c>
      <c r="FV42" s="44"/>
      <c r="FW42" s="43"/>
      <c r="GC42" s="42">
        <v>0</v>
      </c>
      <c r="GD42" s="44"/>
      <c r="GI42" s="42">
        <v>0</v>
      </c>
      <c r="GJ42" s="44"/>
      <c r="GK42" s="43"/>
      <c r="GO42" s="42">
        <v>0</v>
      </c>
      <c r="GP42" s="47"/>
      <c r="GU42" s="42">
        <v>0</v>
      </c>
      <c r="GV42" s="44"/>
      <c r="GY42" s="42">
        <v>0</v>
      </c>
      <c r="GZ42" s="47"/>
      <c r="HA42" s="43"/>
      <c r="HC42" s="42">
        <v>0</v>
      </c>
      <c r="HD42" s="44"/>
      <c r="HE42" s="43"/>
      <c r="HI42" s="42">
        <v>0</v>
      </c>
      <c r="HJ42" s="47"/>
      <c r="HK42" s="43"/>
      <c r="HO42" s="42">
        <v>0</v>
      </c>
      <c r="HP42" s="44"/>
      <c r="HV42" s="42">
        <v>0</v>
      </c>
      <c r="HW42" s="44"/>
      <c r="HX42" s="45"/>
      <c r="IB42" s="42">
        <v>0</v>
      </c>
      <c r="IC42" s="44"/>
      <c r="IH42" s="42">
        <v>0</v>
      </c>
      <c r="II42" s="47"/>
      <c r="IN42" s="42">
        <v>0</v>
      </c>
      <c r="IO42" s="47"/>
      <c r="IT42" s="42">
        <v>0</v>
      </c>
      <c r="IU42" s="47"/>
      <c r="IZ42" s="42">
        <v>0</v>
      </c>
      <c r="JA42" s="44"/>
      <c r="JD42" s="42">
        <v>0</v>
      </c>
      <c r="JE42" s="44"/>
      <c r="JJ42" s="42">
        <v>0</v>
      </c>
      <c r="JK42" s="44"/>
      <c r="JL42" s="45"/>
      <c r="JN42" s="42">
        <v>0</v>
      </c>
      <c r="JO42" s="44"/>
      <c r="JT42" s="42">
        <v>0</v>
      </c>
      <c r="JU42" s="44"/>
      <c r="JZ42" s="42">
        <v>0</v>
      </c>
      <c r="KA42" s="47"/>
      <c r="KF42" s="42">
        <v>0</v>
      </c>
      <c r="KG42" s="44"/>
      <c r="KH42" s="41"/>
      <c r="KL42" s="42">
        <v>0</v>
      </c>
      <c r="KM42" s="47"/>
      <c r="KN42" s="45"/>
      <c r="KT42" s="42">
        <v>0</v>
      </c>
      <c r="KU42" s="47"/>
      <c r="KV42" s="40">
        <v>0</v>
      </c>
      <c r="KW42" s="40">
        <v>0</v>
      </c>
      <c r="KX42" s="40">
        <v>0</v>
      </c>
      <c r="KY42" s="40">
        <v>0</v>
      </c>
      <c r="KZ42" s="42">
        <v>0</v>
      </c>
      <c r="LA42" s="47"/>
      <c r="LB42" s="40">
        <v>0</v>
      </c>
      <c r="LC42" s="40">
        <v>0</v>
      </c>
      <c r="LD42" s="40">
        <v>0</v>
      </c>
      <c r="LE42" s="40">
        <v>0</v>
      </c>
      <c r="LF42" s="42">
        <v>0</v>
      </c>
      <c r="LG42" s="47"/>
      <c r="LH42" s="45">
        <v>0</v>
      </c>
      <c r="LI42" s="40">
        <v>0</v>
      </c>
      <c r="LJ42" s="42">
        <v>0</v>
      </c>
      <c r="LK42" s="47"/>
      <c r="LL42" s="45">
        <v>0</v>
      </c>
      <c r="LM42" s="40">
        <v>0</v>
      </c>
      <c r="LN42" s="40">
        <v>0</v>
      </c>
      <c r="LO42" s="40">
        <v>0</v>
      </c>
      <c r="LP42" s="42">
        <v>0</v>
      </c>
      <c r="LQ42" s="47"/>
      <c r="LR42" s="45">
        <v>0</v>
      </c>
      <c r="LS42" s="40">
        <v>0</v>
      </c>
      <c r="LT42" s="40">
        <v>0</v>
      </c>
      <c r="LU42" s="40">
        <v>0</v>
      </c>
      <c r="LV42" s="42">
        <v>0</v>
      </c>
      <c r="LW42" s="47"/>
      <c r="LX42" s="45">
        <v>0</v>
      </c>
      <c r="LY42" s="40">
        <v>0</v>
      </c>
      <c r="LZ42" s="42">
        <v>0</v>
      </c>
      <c r="MA42" s="47"/>
      <c r="MB42" s="45">
        <v>0</v>
      </c>
      <c r="MC42" s="40">
        <v>0</v>
      </c>
      <c r="MD42" s="40">
        <v>0</v>
      </c>
      <c r="ME42" s="40">
        <v>0</v>
      </c>
      <c r="MF42" s="42">
        <v>0</v>
      </c>
      <c r="MG42" s="47"/>
      <c r="MH42" s="45">
        <v>0</v>
      </c>
      <c r="MI42" s="40">
        <v>0</v>
      </c>
      <c r="MJ42" s="42">
        <v>0</v>
      </c>
      <c r="MK42" s="47"/>
      <c r="ML42" s="45">
        <v>0</v>
      </c>
      <c r="MM42" s="40">
        <v>0</v>
      </c>
      <c r="MN42" s="40">
        <v>0</v>
      </c>
      <c r="MO42" s="40">
        <v>0</v>
      </c>
      <c r="MP42" s="42">
        <v>0</v>
      </c>
      <c r="MQ42" s="47"/>
      <c r="MR42" s="40">
        <v>0</v>
      </c>
      <c r="MS42" s="40">
        <v>0</v>
      </c>
      <c r="MT42" s="40">
        <v>0</v>
      </c>
      <c r="MU42" s="40">
        <v>0</v>
      </c>
      <c r="MV42" s="42">
        <v>0</v>
      </c>
      <c r="MW42" s="47"/>
      <c r="MX42" s="45">
        <v>0</v>
      </c>
      <c r="MY42" s="40">
        <v>0</v>
      </c>
      <c r="MZ42" s="40">
        <v>0</v>
      </c>
      <c r="NA42" s="40">
        <v>0</v>
      </c>
      <c r="NB42" s="42">
        <v>0</v>
      </c>
      <c r="NC42" s="47"/>
      <c r="ND42" s="45">
        <v>0</v>
      </c>
      <c r="NE42" s="40">
        <v>0</v>
      </c>
      <c r="NF42" s="40">
        <v>0</v>
      </c>
      <c r="NG42" s="40">
        <v>0</v>
      </c>
      <c r="NH42" s="42">
        <v>0</v>
      </c>
      <c r="NI42" s="47"/>
      <c r="NJ42" s="45">
        <v>0</v>
      </c>
      <c r="NK42" s="40">
        <v>0</v>
      </c>
      <c r="NL42" s="40">
        <v>0</v>
      </c>
      <c r="NM42" s="40">
        <v>0</v>
      </c>
      <c r="NN42" s="42">
        <v>0</v>
      </c>
      <c r="NO42" s="47"/>
      <c r="NP42" s="45">
        <v>0</v>
      </c>
      <c r="NQ42" s="40">
        <v>0</v>
      </c>
      <c r="NR42" s="40">
        <v>0</v>
      </c>
      <c r="NS42" s="40">
        <v>0</v>
      </c>
      <c r="NT42" s="42">
        <v>0</v>
      </c>
      <c r="NU42" s="47"/>
      <c r="NV42" s="45">
        <v>0</v>
      </c>
      <c r="NW42" s="40">
        <v>0</v>
      </c>
      <c r="NX42" s="40">
        <v>0</v>
      </c>
      <c r="NY42" s="40">
        <v>0</v>
      </c>
      <c r="NZ42" s="42">
        <v>0</v>
      </c>
      <c r="OA42" s="47"/>
      <c r="OB42" s="45">
        <v>0</v>
      </c>
      <c r="OC42" s="40">
        <v>0</v>
      </c>
      <c r="OD42" s="42">
        <v>0</v>
      </c>
      <c r="OE42" s="47"/>
      <c r="OF42" s="45">
        <v>0</v>
      </c>
      <c r="OG42" s="40">
        <v>0</v>
      </c>
      <c r="OH42" s="40">
        <v>0</v>
      </c>
      <c r="OI42" s="40">
        <v>0</v>
      </c>
      <c r="OJ42" s="42">
        <v>0</v>
      </c>
      <c r="OK42" s="47"/>
      <c r="OL42" s="45">
        <v>0</v>
      </c>
      <c r="OM42" s="40">
        <v>0</v>
      </c>
      <c r="ON42" s="40">
        <v>0</v>
      </c>
      <c r="OO42" s="40">
        <v>0</v>
      </c>
      <c r="OP42" s="42">
        <v>0</v>
      </c>
      <c r="OQ42" s="47"/>
      <c r="OR42" s="45">
        <v>0</v>
      </c>
      <c r="OS42" s="40">
        <v>0</v>
      </c>
      <c r="OT42" s="40">
        <v>0</v>
      </c>
      <c r="OU42" s="40">
        <v>0</v>
      </c>
      <c r="OV42" s="42">
        <v>0</v>
      </c>
      <c r="OW42" s="47"/>
      <c r="OX42" s="40">
        <v>0</v>
      </c>
      <c r="OY42" s="40">
        <v>0</v>
      </c>
      <c r="OZ42" s="40">
        <v>0</v>
      </c>
      <c r="PA42" s="40">
        <v>0</v>
      </c>
      <c r="PB42" s="42">
        <v>0</v>
      </c>
      <c r="PC42" s="47"/>
      <c r="PD42" s="45">
        <v>0</v>
      </c>
      <c r="PE42" s="40">
        <v>0</v>
      </c>
      <c r="PF42" s="40">
        <v>0</v>
      </c>
      <c r="PG42" s="40">
        <v>0</v>
      </c>
      <c r="PH42" s="42">
        <v>0</v>
      </c>
      <c r="PI42" s="47"/>
      <c r="PJ42" s="45">
        <v>0</v>
      </c>
      <c r="PK42" s="40">
        <v>0</v>
      </c>
      <c r="PL42" s="40">
        <v>0</v>
      </c>
      <c r="PM42" s="40">
        <v>0</v>
      </c>
      <c r="PN42" s="42">
        <v>0</v>
      </c>
      <c r="PO42" s="47"/>
      <c r="PP42" s="43">
        <v>0</v>
      </c>
      <c r="PQ42" s="40">
        <v>0</v>
      </c>
      <c r="PR42" s="40">
        <v>0</v>
      </c>
      <c r="PS42" s="40">
        <v>0</v>
      </c>
      <c r="PT42" s="42">
        <v>0</v>
      </c>
      <c r="PU42" s="47"/>
      <c r="PV42" s="45">
        <v>0</v>
      </c>
      <c r="PW42" s="14">
        <v>400</v>
      </c>
      <c r="PX42" s="40">
        <v>0</v>
      </c>
      <c r="PY42" s="14">
        <v>450</v>
      </c>
      <c r="PZ42" s="42">
        <v>-1.999999999998181E-2</v>
      </c>
      <c r="QA42" s="47"/>
      <c r="QB42" s="45">
        <v>0</v>
      </c>
      <c r="QC42" s="7">
        <v>550</v>
      </c>
      <c r="QD42" s="42">
        <v>-7.9519999999999982</v>
      </c>
      <c r="QE42" s="47"/>
      <c r="QF42" s="45">
        <v>0</v>
      </c>
      <c r="QG42" s="7">
        <v>527</v>
      </c>
      <c r="QH42" s="40">
        <v>0</v>
      </c>
      <c r="QI42" s="7">
        <v>800</v>
      </c>
      <c r="QJ42" s="42">
        <v>-3.878999999999905</v>
      </c>
      <c r="QK42" s="47"/>
      <c r="QL42" s="45">
        <v>402.73399999999998</v>
      </c>
      <c r="QM42" s="40">
        <v>400</v>
      </c>
      <c r="QN42" s="40">
        <v>405.93400000000003</v>
      </c>
      <c r="QO42" s="40">
        <v>400</v>
      </c>
      <c r="QP42" s="42">
        <v>8.6680000000000064</v>
      </c>
      <c r="QQ42" s="47"/>
      <c r="QR42" s="45">
        <v>317.90100000000001</v>
      </c>
      <c r="QS42" s="40">
        <v>317</v>
      </c>
      <c r="QT42" s="40">
        <v>0</v>
      </c>
      <c r="QU42" s="40">
        <v>450</v>
      </c>
      <c r="QV42" s="39">
        <v>-449.09899999999999</v>
      </c>
      <c r="QW42" s="47">
        <v>449.09899999999999</v>
      </c>
      <c r="QX42" s="45">
        <v>249.245</v>
      </c>
      <c r="QY42" s="40">
        <v>250</v>
      </c>
      <c r="QZ42" s="40">
        <v>493.31</v>
      </c>
      <c r="RA42" s="40">
        <v>500</v>
      </c>
      <c r="RB42" s="42">
        <v>-7.4449999999999363</v>
      </c>
      <c r="RC42" s="47"/>
      <c r="RD42" s="45">
        <v>1193.636</v>
      </c>
      <c r="RE42" s="40">
        <v>1200</v>
      </c>
      <c r="RF42" s="42">
        <v>-6.3640000000000327</v>
      </c>
      <c r="RG42" s="47"/>
    </row>
    <row r="43" spans="1:475" x14ac:dyDescent="0.25">
      <c r="A43" s="40" t="s">
        <v>332</v>
      </c>
      <c r="B43" s="41">
        <v>0.36</v>
      </c>
      <c r="N43" s="43"/>
      <c r="O43" s="48"/>
      <c r="P43" s="48"/>
      <c r="Q43" s="48"/>
      <c r="R43" s="48">
        <f t="shared" si="8"/>
        <v>0</v>
      </c>
      <c r="S43" s="44"/>
      <c r="T43" s="43"/>
      <c r="U43" s="48"/>
      <c r="V43" s="48"/>
      <c r="W43" s="48"/>
      <c r="X43" s="48">
        <f t="shared" si="9"/>
        <v>0</v>
      </c>
      <c r="Y43" s="44"/>
      <c r="Z43" s="43"/>
      <c r="AA43" s="48"/>
      <c r="AB43" s="48"/>
      <c r="AC43" s="48"/>
      <c r="AD43" s="48">
        <f t="shared" si="10"/>
        <v>0</v>
      </c>
      <c r="AE43" s="44"/>
      <c r="AF43" s="43"/>
      <c r="AG43" s="48"/>
      <c r="AH43" s="48"/>
      <c r="AI43" s="48"/>
      <c r="AJ43" s="48">
        <f t="shared" si="11"/>
        <v>0</v>
      </c>
      <c r="AK43" s="44"/>
      <c r="AL43" s="48"/>
      <c r="AP43" s="42">
        <v>0</v>
      </c>
      <c r="AQ43" s="44"/>
      <c r="AR43" s="43"/>
      <c r="AV43" s="42">
        <v>0</v>
      </c>
      <c r="AW43" s="44"/>
      <c r="BC43" s="42">
        <v>0</v>
      </c>
      <c r="BD43" s="44"/>
      <c r="BE43" s="43"/>
      <c r="BI43" s="42">
        <v>0</v>
      </c>
      <c r="BJ43" s="44"/>
      <c r="BO43" s="42">
        <v>0</v>
      </c>
      <c r="BP43" s="44"/>
      <c r="BS43" s="42">
        <v>0</v>
      </c>
      <c r="BT43" s="44"/>
      <c r="BU43" s="43"/>
      <c r="BY43" s="42">
        <v>0</v>
      </c>
      <c r="BZ43" s="44"/>
      <c r="CE43" s="42">
        <v>0</v>
      </c>
      <c r="CF43" s="44"/>
      <c r="CG43" s="43"/>
      <c r="CK43" s="42">
        <v>0</v>
      </c>
      <c r="CL43" s="44"/>
      <c r="CM43" s="43"/>
      <c r="CQ43" s="42">
        <v>0</v>
      </c>
      <c r="CR43" s="44"/>
      <c r="CW43" s="42">
        <v>0</v>
      </c>
      <c r="CX43" s="44"/>
      <c r="CY43" s="43"/>
      <c r="DC43" s="42">
        <v>0</v>
      </c>
      <c r="DD43" s="44"/>
      <c r="DE43" s="43"/>
      <c r="DK43" s="42">
        <v>0</v>
      </c>
      <c r="DL43" s="44"/>
      <c r="DM43" s="43"/>
      <c r="DQ43" s="42">
        <v>0</v>
      </c>
      <c r="DR43" s="44"/>
      <c r="DY43" s="42">
        <v>0</v>
      </c>
      <c r="DZ43" s="44"/>
      <c r="EA43" s="43"/>
      <c r="EE43" s="42">
        <v>0</v>
      </c>
      <c r="EF43" s="44"/>
      <c r="EG43" s="43"/>
      <c r="EK43" s="42">
        <v>0</v>
      </c>
      <c r="EL43" s="44"/>
      <c r="EM43" s="43"/>
      <c r="EQ43" s="42">
        <v>0</v>
      </c>
      <c r="ER43" s="44"/>
      <c r="EY43" s="42">
        <v>0</v>
      </c>
      <c r="EZ43" s="44"/>
      <c r="FE43" s="42">
        <v>0</v>
      </c>
      <c r="FF43" s="44"/>
      <c r="FG43" s="43"/>
      <c r="FK43" s="42">
        <v>0</v>
      </c>
      <c r="FL43" s="44"/>
      <c r="FM43" s="43"/>
      <c r="FO43" s="42">
        <v>0</v>
      </c>
      <c r="FP43" s="44"/>
      <c r="FU43" s="42">
        <v>0</v>
      </c>
      <c r="FV43" s="44"/>
      <c r="FW43" s="43"/>
      <c r="GC43" s="42">
        <v>0</v>
      </c>
      <c r="GD43" s="44"/>
      <c r="GI43" s="42">
        <v>0</v>
      </c>
      <c r="GJ43" s="44"/>
      <c r="GK43" s="43"/>
      <c r="GO43" s="42">
        <v>0</v>
      </c>
      <c r="GP43" s="47"/>
      <c r="GU43" s="42">
        <v>0</v>
      </c>
      <c r="GV43" s="44"/>
      <c r="GY43" s="42">
        <v>0</v>
      </c>
      <c r="GZ43" s="47"/>
      <c r="HA43" s="43"/>
      <c r="HC43" s="42">
        <v>0</v>
      </c>
      <c r="HD43" s="44"/>
      <c r="HE43" s="43"/>
      <c r="HI43" s="42">
        <v>0</v>
      </c>
      <c r="HJ43" s="47"/>
      <c r="HK43" s="43"/>
      <c r="HO43" s="42">
        <v>0</v>
      </c>
      <c r="HP43" s="44"/>
      <c r="HV43" s="42">
        <v>0</v>
      </c>
      <c r="HW43" s="44"/>
      <c r="HX43" s="45"/>
      <c r="IB43" s="42">
        <v>0</v>
      </c>
      <c r="IC43" s="44"/>
      <c r="IH43" s="42">
        <v>0</v>
      </c>
      <c r="II43" s="47"/>
      <c r="IN43" s="42">
        <v>0</v>
      </c>
      <c r="IO43" s="47"/>
      <c r="IT43" s="42">
        <v>0</v>
      </c>
      <c r="IU43" s="47"/>
      <c r="IZ43" s="42">
        <v>0</v>
      </c>
      <c r="JA43" s="44"/>
      <c r="JD43" s="42">
        <v>0</v>
      </c>
      <c r="JE43" s="44"/>
      <c r="JJ43" s="42">
        <v>0</v>
      </c>
      <c r="JK43" s="44"/>
      <c r="JL43" s="45"/>
      <c r="JN43" s="42">
        <v>0</v>
      </c>
      <c r="JO43" s="44"/>
      <c r="JT43" s="42">
        <v>0</v>
      </c>
      <c r="JU43" s="44"/>
      <c r="JZ43" s="42">
        <v>0</v>
      </c>
      <c r="KA43" s="47"/>
      <c r="KF43" s="42">
        <v>0</v>
      </c>
      <c r="KG43" s="44"/>
      <c r="KH43" s="41"/>
      <c r="KL43" s="42">
        <v>0</v>
      </c>
      <c r="KM43" s="47"/>
      <c r="KN43" s="45"/>
      <c r="KT43" s="42">
        <v>0</v>
      </c>
      <c r="KU43" s="47"/>
      <c r="KV43" s="40">
        <v>0</v>
      </c>
      <c r="KW43" s="40">
        <v>0</v>
      </c>
      <c r="KX43" s="40">
        <v>0</v>
      </c>
      <c r="KY43" s="40">
        <v>0</v>
      </c>
      <c r="KZ43" s="42">
        <v>0</v>
      </c>
      <c r="LA43" s="47"/>
      <c r="LB43" s="40">
        <v>0</v>
      </c>
      <c r="LC43" s="40">
        <v>0</v>
      </c>
      <c r="LD43" s="40">
        <v>0</v>
      </c>
      <c r="LE43" s="40">
        <v>0</v>
      </c>
      <c r="LF43" s="42">
        <v>0</v>
      </c>
      <c r="LG43" s="47"/>
      <c r="LH43" s="45">
        <v>0</v>
      </c>
      <c r="LI43" s="40">
        <v>0</v>
      </c>
      <c r="LJ43" s="42">
        <v>0</v>
      </c>
      <c r="LK43" s="47"/>
      <c r="LL43" s="45">
        <v>0</v>
      </c>
      <c r="LM43" s="40">
        <v>0</v>
      </c>
      <c r="LN43" s="40">
        <v>0</v>
      </c>
      <c r="LO43" s="40">
        <v>0</v>
      </c>
      <c r="LP43" s="42">
        <v>0</v>
      </c>
      <c r="LQ43" s="47"/>
      <c r="LR43" s="45">
        <v>0</v>
      </c>
      <c r="LS43" s="40">
        <v>0</v>
      </c>
      <c r="LT43" s="40">
        <v>0</v>
      </c>
      <c r="LU43" s="40">
        <v>0</v>
      </c>
      <c r="LV43" s="42">
        <v>0</v>
      </c>
      <c r="LW43" s="47"/>
      <c r="LX43" s="45">
        <v>0</v>
      </c>
      <c r="LY43" s="40">
        <v>0</v>
      </c>
      <c r="LZ43" s="42">
        <v>0</v>
      </c>
      <c r="MA43" s="47"/>
      <c r="MB43" s="45">
        <v>0</v>
      </c>
      <c r="MC43" s="40">
        <v>0</v>
      </c>
      <c r="MD43" s="40">
        <v>0</v>
      </c>
      <c r="ME43" s="40">
        <v>0</v>
      </c>
      <c r="MF43" s="42">
        <v>0</v>
      </c>
      <c r="MG43" s="47"/>
      <c r="MH43" s="45">
        <v>0</v>
      </c>
      <c r="MI43" s="40">
        <v>0</v>
      </c>
      <c r="MJ43" s="42">
        <v>0</v>
      </c>
      <c r="MK43" s="47"/>
      <c r="ML43" s="45">
        <v>0</v>
      </c>
      <c r="MM43" s="40">
        <v>0</v>
      </c>
      <c r="MN43" s="40">
        <v>0</v>
      </c>
      <c r="MO43" s="40">
        <v>0</v>
      </c>
      <c r="MP43" s="42">
        <v>0</v>
      </c>
      <c r="MQ43" s="47"/>
      <c r="MR43" s="40">
        <v>0</v>
      </c>
      <c r="MS43" s="40">
        <v>0</v>
      </c>
      <c r="MT43" s="40">
        <v>0</v>
      </c>
      <c r="MU43" s="40">
        <v>0</v>
      </c>
      <c r="MV43" s="42">
        <v>0</v>
      </c>
      <c r="MW43" s="47"/>
      <c r="MX43" s="45">
        <v>0</v>
      </c>
      <c r="MY43" s="40">
        <v>0</v>
      </c>
      <c r="MZ43" s="40">
        <v>0</v>
      </c>
      <c r="NA43" s="40">
        <v>0</v>
      </c>
      <c r="NB43" s="42">
        <v>0</v>
      </c>
      <c r="NC43" s="47"/>
      <c r="ND43" s="45">
        <v>0</v>
      </c>
      <c r="NE43" s="40">
        <v>0</v>
      </c>
      <c r="NF43" s="40">
        <v>0</v>
      </c>
      <c r="NG43" s="40">
        <v>0</v>
      </c>
      <c r="NH43" s="42">
        <v>0</v>
      </c>
      <c r="NI43" s="47"/>
      <c r="NJ43" s="45">
        <v>0</v>
      </c>
      <c r="NK43" s="40">
        <v>0</v>
      </c>
      <c r="NL43" s="40">
        <v>0</v>
      </c>
      <c r="NM43" s="40">
        <v>0</v>
      </c>
      <c r="NN43" s="42">
        <v>0</v>
      </c>
      <c r="NO43" s="47"/>
      <c r="NP43" s="45">
        <v>0</v>
      </c>
      <c r="NQ43" s="40">
        <v>0</v>
      </c>
      <c r="NR43" s="40">
        <v>0</v>
      </c>
      <c r="NS43" s="40">
        <v>0</v>
      </c>
      <c r="NT43" s="42">
        <v>0</v>
      </c>
      <c r="NU43" s="47"/>
      <c r="NV43" s="45">
        <v>0</v>
      </c>
      <c r="NW43" s="40">
        <v>0</v>
      </c>
      <c r="NX43" s="40">
        <v>0</v>
      </c>
      <c r="NY43" s="40">
        <v>0</v>
      </c>
      <c r="NZ43" s="42">
        <v>0</v>
      </c>
      <c r="OA43" s="47"/>
      <c r="OB43" s="45">
        <v>0</v>
      </c>
      <c r="OC43" s="40">
        <v>0</v>
      </c>
      <c r="OD43" s="42">
        <v>0</v>
      </c>
      <c r="OE43" s="47"/>
      <c r="OF43" s="45">
        <v>0</v>
      </c>
      <c r="OG43" s="40">
        <v>0</v>
      </c>
      <c r="OH43" s="40">
        <v>0</v>
      </c>
      <c r="OI43" s="40">
        <v>0</v>
      </c>
      <c r="OJ43" s="42">
        <v>0</v>
      </c>
      <c r="OK43" s="47"/>
      <c r="OL43" s="45">
        <v>0</v>
      </c>
      <c r="OM43" s="40">
        <v>0</v>
      </c>
      <c r="ON43" s="40">
        <v>0</v>
      </c>
      <c r="OO43" s="40">
        <v>0</v>
      </c>
      <c r="OP43" s="42">
        <v>0</v>
      </c>
      <c r="OQ43" s="47"/>
      <c r="OR43" s="45">
        <v>0</v>
      </c>
      <c r="OS43" s="40">
        <v>0</v>
      </c>
      <c r="OT43" s="40">
        <v>0</v>
      </c>
      <c r="OU43" s="40">
        <v>0</v>
      </c>
      <c r="OV43" s="42">
        <v>0</v>
      </c>
      <c r="OW43" s="47"/>
      <c r="OX43" s="40">
        <v>0</v>
      </c>
      <c r="OY43" s="40">
        <v>0</v>
      </c>
      <c r="OZ43" s="40">
        <v>0</v>
      </c>
      <c r="PA43" s="40">
        <v>0</v>
      </c>
      <c r="PB43" s="42">
        <v>0</v>
      </c>
      <c r="PC43" s="47"/>
      <c r="PD43" s="45">
        <v>0</v>
      </c>
      <c r="PE43" s="40">
        <v>0</v>
      </c>
      <c r="PF43" s="40">
        <v>0</v>
      </c>
      <c r="PG43" s="40">
        <v>0</v>
      </c>
      <c r="PH43" s="42">
        <v>0</v>
      </c>
      <c r="PI43" s="47"/>
      <c r="PJ43" s="45">
        <v>0</v>
      </c>
      <c r="PK43" s="40">
        <v>0</v>
      </c>
      <c r="PL43" s="40">
        <v>0</v>
      </c>
      <c r="PM43" s="30">
        <v>20</v>
      </c>
      <c r="PN43" s="39">
        <v>-20</v>
      </c>
      <c r="PO43" s="47">
        <v>7.1999999999999993</v>
      </c>
      <c r="PP43" s="43">
        <v>0</v>
      </c>
      <c r="PQ43" s="30">
        <v>70</v>
      </c>
      <c r="PR43" s="40">
        <v>0</v>
      </c>
      <c r="PS43" s="30">
        <v>100</v>
      </c>
      <c r="PT43" s="39">
        <v>-170</v>
      </c>
      <c r="PU43" s="47">
        <v>61.2</v>
      </c>
      <c r="PV43" s="45">
        <v>0</v>
      </c>
      <c r="PW43" s="40">
        <v>0</v>
      </c>
      <c r="PX43" s="40">
        <v>70</v>
      </c>
      <c r="PY43" s="40">
        <v>70</v>
      </c>
      <c r="PZ43" s="42">
        <v>0</v>
      </c>
      <c r="QA43" s="47"/>
      <c r="QB43" s="45">
        <v>150</v>
      </c>
      <c r="QC43" s="40">
        <v>150</v>
      </c>
      <c r="QD43" s="42">
        <v>0</v>
      </c>
      <c r="QE43" s="47"/>
      <c r="QF43" s="45">
        <v>0</v>
      </c>
      <c r="QG43" s="40">
        <v>0</v>
      </c>
      <c r="QH43" s="40">
        <v>0</v>
      </c>
      <c r="QI43" s="40">
        <v>0</v>
      </c>
      <c r="QJ43" s="42">
        <v>0</v>
      </c>
      <c r="QK43" s="47"/>
      <c r="QL43" s="45">
        <v>0</v>
      </c>
      <c r="QM43" s="40">
        <v>0</v>
      </c>
      <c r="QN43" s="40">
        <v>0</v>
      </c>
      <c r="QO43" s="40">
        <v>0</v>
      </c>
      <c r="QP43" s="42">
        <v>0</v>
      </c>
      <c r="QQ43" s="47"/>
      <c r="QR43" s="45">
        <v>0</v>
      </c>
      <c r="QS43" s="40">
        <v>0</v>
      </c>
      <c r="QT43" s="40">
        <v>50</v>
      </c>
      <c r="QU43" s="40">
        <v>0</v>
      </c>
      <c r="QV43" s="42">
        <v>50</v>
      </c>
      <c r="QW43" s="47"/>
      <c r="QX43" s="45">
        <v>0</v>
      </c>
      <c r="QY43" s="40">
        <v>0</v>
      </c>
      <c r="QZ43" s="40">
        <v>0</v>
      </c>
      <c r="RA43" s="40">
        <v>0</v>
      </c>
      <c r="RB43" s="42">
        <v>0</v>
      </c>
      <c r="RC43" s="47"/>
      <c r="RD43" s="45">
        <v>0</v>
      </c>
      <c r="RE43" s="40">
        <v>0</v>
      </c>
      <c r="RF43" s="42">
        <v>0</v>
      </c>
      <c r="RG43" s="47"/>
    </row>
    <row r="44" spans="1:475" x14ac:dyDescent="0.25">
      <c r="A44" s="40" t="s">
        <v>333</v>
      </c>
      <c r="B44" s="41">
        <v>0.3</v>
      </c>
      <c r="N44" s="43"/>
      <c r="O44" s="48"/>
      <c r="P44" s="48"/>
      <c r="Q44" s="48"/>
      <c r="R44" s="48">
        <f t="shared" si="8"/>
        <v>0</v>
      </c>
      <c r="S44" s="44"/>
      <c r="T44" s="43"/>
      <c r="U44" s="48"/>
      <c r="V44" s="48"/>
      <c r="W44" s="48"/>
      <c r="X44" s="48">
        <f t="shared" si="9"/>
        <v>0</v>
      </c>
      <c r="Y44" s="44"/>
      <c r="Z44" s="43"/>
      <c r="AA44" s="48"/>
      <c r="AB44" s="48"/>
      <c r="AC44" s="48"/>
      <c r="AD44" s="48">
        <f t="shared" si="10"/>
        <v>0</v>
      </c>
      <c r="AE44" s="44"/>
      <c r="AF44" s="43"/>
      <c r="AG44" s="48"/>
      <c r="AH44" s="48"/>
      <c r="AI44" s="48"/>
      <c r="AJ44" s="48">
        <f t="shared" si="11"/>
        <v>0</v>
      </c>
      <c r="AK44" s="44"/>
      <c r="AL44" s="48"/>
      <c r="AP44" s="42">
        <v>0</v>
      </c>
      <c r="AQ44" s="44"/>
      <c r="AR44" s="43"/>
      <c r="AV44" s="42">
        <v>0</v>
      </c>
      <c r="AW44" s="44"/>
      <c r="BC44" s="42">
        <v>0</v>
      </c>
      <c r="BD44" s="44"/>
      <c r="BE44" s="43"/>
      <c r="BI44" s="42">
        <v>0</v>
      </c>
      <c r="BJ44" s="44"/>
      <c r="BO44" s="42">
        <v>0</v>
      </c>
      <c r="BP44" s="44"/>
      <c r="BS44" s="42">
        <v>0</v>
      </c>
      <c r="BT44" s="44"/>
      <c r="BU44" s="43"/>
      <c r="BY44" s="42">
        <v>0</v>
      </c>
      <c r="BZ44" s="44"/>
      <c r="CE44" s="42">
        <v>0</v>
      </c>
      <c r="CF44" s="44"/>
      <c r="CG44" s="43"/>
      <c r="CK44" s="42">
        <v>0</v>
      </c>
      <c r="CL44" s="44"/>
      <c r="CM44" s="43"/>
      <c r="CQ44" s="42">
        <v>0</v>
      </c>
      <c r="CR44" s="44"/>
      <c r="CW44" s="42">
        <v>0</v>
      </c>
      <c r="CX44" s="44"/>
      <c r="CY44" s="43"/>
      <c r="DC44" s="42">
        <v>0</v>
      </c>
      <c r="DD44" s="44"/>
      <c r="DE44" s="43"/>
      <c r="DK44" s="42">
        <v>0</v>
      </c>
      <c r="DL44" s="44"/>
      <c r="DM44" s="43"/>
      <c r="DQ44" s="42">
        <v>0</v>
      </c>
      <c r="DR44" s="44"/>
      <c r="DY44" s="42">
        <v>0</v>
      </c>
      <c r="DZ44" s="44"/>
      <c r="EA44" s="43"/>
      <c r="EE44" s="42">
        <v>0</v>
      </c>
      <c r="EF44" s="44"/>
      <c r="EG44" s="43"/>
      <c r="EK44" s="42">
        <v>0</v>
      </c>
      <c r="EL44" s="44"/>
      <c r="EM44" s="43"/>
      <c r="EQ44" s="42">
        <v>0</v>
      </c>
      <c r="ER44" s="44"/>
      <c r="EY44" s="42">
        <v>0</v>
      </c>
      <c r="EZ44" s="44"/>
      <c r="FE44" s="42">
        <v>0</v>
      </c>
      <c r="FF44" s="44"/>
      <c r="FG44" s="43"/>
      <c r="FK44" s="42">
        <v>0</v>
      </c>
      <c r="FL44" s="44"/>
      <c r="FM44" s="43"/>
      <c r="FO44" s="42">
        <v>0</v>
      </c>
      <c r="FP44" s="44"/>
      <c r="FU44" s="42">
        <v>0</v>
      </c>
      <c r="FV44" s="44"/>
      <c r="FW44" s="43"/>
      <c r="GC44" s="42">
        <v>0</v>
      </c>
      <c r="GD44" s="44"/>
      <c r="GI44" s="42">
        <v>0</v>
      </c>
      <c r="GJ44" s="44"/>
      <c r="GK44" s="43"/>
      <c r="GO44" s="42">
        <v>0</v>
      </c>
      <c r="GP44" s="47"/>
      <c r="GU44" s="42">
        <v>0</v>
      </c>
      <c r="GV44" s="44"/>
      <c r="GY44" s="42">
        <v>0</v>
      </c>
      <c r="GZ44" s="47"/>
      <c r="HA44" s="43"/>
      <c r="HC44" s="42">
        <v>0</v>
      </c>
      <c r="HD44" s="44"/>
      <c r="HE44" s="43"/>
      <c r="HI44" s="42">
        <v>0</v>
      </c>
      <c r="HJ44" s="47"/>
      <c r="HK44" s="43"/>
      <c r="HO44" s="42">
        <v>0</v>
      </c>
      <c r="HP44" s="44"/>
      <c r="HV44" s="42">
        <v>0</v>
      </c>
      <c r="HW44" s="44"/>
      <c r="HX44" s="45"/>
      <c r="HZ44" s="37">
        <v>42</v>
      </c>
      <c r="IB44" s="42">
        <v>0</v>
      </c>
      <c r="IC44" s="44"/>
      <c r="IH44" s="42">
        <v>0</v>
      </c>
      <c r="II44" s="47"/>
      <c r="IN44" s="42">
        <v>0</v>
      </c>
      <c r="IO44" s="47"/>
      <c r="IP44">
        <v>78</v>
      </c>
      <c r="IQ44">
        <v>80</v>
      </c>
      <c r="IR44">
        <v>72</v>
      </c>
      <c r="IS44">
        <v>70</v>
      </c>
      <c r="IT44" s="42">
        <v>0</v>
      </c>
      <c r="IU44" s="47"/>
      <c r="IZ44" s="42">
        <v>0</v>
      </c>
      <c r="JA44" s="44"/>
      <c r="JB44">
        <v>48</v>
      </c>
      <c r="JC44">
        <v>50</v>
      </c>
      <c r="JD44" s="42">
        <v>-2</v>
      </c>
      <c r="JE44" s="44"/>
      <c r="JF44">
        <v>138</v>
      </c>
      <c r="JG44">
        <v>140</v>
      </c>
      <c r="JH44">
        <v>120</v>
      </c>
      <c r="JI44">
        <v>123</v>
      </c>
      <c r="JJ44" s="42">
        <v>-5</v>
      </c>
      <c r="JK44" s="44"/>
      <c r="JL44" s="45"/>
      <c r="JN44" s="42">
        <v>0</v>
      </c>
      <c r="JO44" s="44"/>
      <c r="JT44" s="42">
        <v>0</v>
      </c>
      <c r="JU44" s="44"/>
      <c r="JZ44" s="42">
        <v>0</v>
      </c>
      <c r="KA44" s="47"/>
      <c r="KB44">
        <v>102</v>
      </c>
      <c r="KC44">
        <v>100</v>
      </c>
      <c r="KD44">
        <v>348</v>
      </c>
      <c r="KE44">
        <v>350</v>
      </c>
      <c r="KF44" s="42">
        <v>0</v>
      </c>
      <c r="KG44" s="44"/>
      <c r="KH44" s="41"/>
      <c r="KJ44">
        <v>90</v>
      </c>
      <c r="KK44">
        <v>90</v>
      </c>
      <c r="KL44" s="42">
        <v>0</v>
      </c>
      <c r="KM44" s="47"/>
      <c r="KN44" s="45"/>
      <c r="KP44">
        <v>30</v>
      </c>
      <c r="KQ44">
        <v>30</v>
      </c>
      <c r="KT44" s="42">
        <v>0</v>
      </c>
      <c r="KU44" s="47"/>
      <c r="KV44" s="40">
        <v>0</v>
      </c>
      <c r="KW44" s="40">
        <v>0</v>
      </c>
      <c r="KX44" s="40">
        <v>0</v>
      </c>
      <c r="KY44" s="40">
        <v>0</v>
      </c>
      <c r="KZ44" s="42">
        <v>0</v>
      </c>
      <c r="LA44" s="47"/>
      <c r="LB44" s="40">
        <v>0</v>
      </c>
      <c r="LC44" s="40">
        <v>0</v>
      </c>
      <c r="LD44" s="40">
        <v>0</v>
      </c>
      <c r="LE44" s="40">
        <v>0</v>
      </c>
      <c r="LF44" s="42">
        <v>0</v>
      </c>
      <c r="LG44" s="47"/>
      <c r="LH44" s="45">
        <v>480</v>
      </c>
      <c r="LI44" s="40">
        <v>480</v>
      </c>
      <c r="LJ44" s="42">
        <v>0</v>
      </c>
      <c r="LK44" s="47"/>
      <c r="LL44" s="45">
        <v>48</v>
      </c>
      <c r="LM44" s="40">
        <v>50</v>
      </c>
      <c r="LN44" s="40">
        <v>0</v>
      </c>
      <c r="LO44" s="40">
        <v>0</v>
      </c>
      <c r="LP44" s="42">
        <v>-2</v>
      </c>
      <c r="LQ44" s="47"/>
      <c r="LR44" s="45">
        <v>48</v>
      </c>
      <c r="LS44" s="40">
        <v>50</v>
      </c>
      <c r="LT44" s="40">
        <v>0</v>
      </c>
      <c r="LU44" s="40">
        <v>0</v>
      </c>
      <c r="LV44" s="42">
        <v>-2</v>
      </c>
      <c r="LW44" s="47"/>
      <c r="LX44" s="45">
        <v>432</v>
      </c>
      <c r="LY44" s="40">
        <v>430</v>
      </c>
      <c r="LZ44" s="42">
        <v>2</v>
      </c>
      <c r="MA44" s="47"/>
      <c r="MB44" s="45">
        <v>0</v>
      </c>
      <c r="MC44" s="40">
        <v>0</v>
      </c>
      <c r="MD44" s="40">
        <v>18</v>
      </c>
      <c r="ME44" s="40">
        <v>20</v>
      </c>
      <c r="MF44" s="42">
        <v>-2</v>
      </c>
      <c r="MG44" s="47"/>
      <c r="MH44" s="45">
        <v>300</v>
      </c>
      <c r="MI44" s="40">
        <v>300</v>
      </c>
      <c r="MJ44" s="42">
        <v>0</v>
      </c>
      <c r="MK44" s="47"/>
      <c r="ML44" s="45">
        <v>48</v>
      </c>
      <c r="MM44" s="40">
        <v>50</v>
      </c>
      <c r="MN44" s="40">
        <v>96</v>
      </c>
      <c r="MO44" s="40">
        <v>300</v>
      </c>
      <c r="MP44" s="39">
        <v>-206</v>
      </c>
      <c r="MQ44" s="47">
        <v>61.8</v>
      </c>
      <c r="MR44" s="40">
        <v>0</v>
      </c>
      <c r="MS44" s="40">
        <v>0</v>
      </c>
      <c r="MT44" s="40">
        <v>72</v>
      </c>
      <c r="MU44" s="40">
        <v>100</v>
      </c>
      <c r="MV44" s="39">
        <v>-28</v>
      </c>
      <c r="MW44" s="47">
        <v>8.4</v>
      </c>
      <c r="MX44" s="45">
        <v>0</v>
      </c>
      <c r="MY44" s="40">
        <v>0</v>
      </c>
      <c r="MZ44" s="40">
        <v>48</v>
      </c>
      <c r="NA44" s="40">
        <v>50</v>
      </c>
      <c r="NB44" s="42">
        <v>-2</v>
      </c>
      <c r="NC44" s="47"/>
      <c r="ND44" s="45">
        <v>18</v>
      </c>
      <c r="NE44" s="40">
        <v>100</v>
      </c>
      <c r="NF44" s="40">
        <v>300</v>
      </c>
      <c r="NG44" s="40">
        <v>300</v>
      </c>
      <c r="NH44" s="39">
        <v>-82</v>
      </c>
      <c r="NI44" s="47">
        <v>24.6</v>
      </c>
      <c r="NJ44" s="45">
        <v>0</v>
      </c>
      <c r="NK44" s="40">
        <v>0</v>
      </c>
      <c r="NL44" s="40">
        <v>78</v>
      </c>
      <c r="NM44" s="40">
        <v>80</v>
      </c>
      <c r="NN44" s="42">
        <v>-2</v>
      </c>
      <c r="NO44" s="47"/>
      <c r="NP44" s="45">
        <v>0</v>
      </c>
      <c r="NQ44" s="30">
        <v>50</v>
      </c>
      <c r="NR44" s="40">
        <v>72</v>
      </c>
      <c r="NS44" s="40">
        <v>70</v>
      </c>
      <c r="NT44" s="39">
        <v>-48</v>
      </c>
      <c r="NU44" s="47">
        <v>14.4</v>
      </c>
      <c r="NV44" s="45">
        <v>0</v>
      </c>
      <c r="NW44" s="40">
        <v>0</v>
      </c>
      <c r="NX44" s="40">
        <v>150</v>
      </c>
      <c r="NY44" s="40">
        <v>150</v>
      </c>
      <c r="NZ44" s="42">
        <v>0</v>
      </c>
      <c r="OA44" s="47"/>
      <c r="OB44" s="45">
        <v>90</v>
      </c>
      <c r="OC44" s="40">
        <v>90</v>
      </c>
      <c r="OD44" s="42">
        <v>0</v>
      </c>
      <c r="OE44" s="47"/>
      <c r="OF44" s="45">
        <v>0</v>
      </c>
      <c r="OG44" s="40">
        <v>0</v>
      </c>
      <c r="OH44" s="40">
        <v>0</v>
      </c>
      <c r="OI44" s="40">
        <v>0</v>
      </c>
      <c r="OJ44" s="42">
        <v>0</v>
      </c>
      <c r="OK44" s="47"/>
      <c r="OL44" s="45">
        <v>0</v>
      </c>
      <c r="OM44" s="40">
        <v>0</v>
      </c>
      <c r="ON44" s="40">
        <v>0</v>
      </c>
      <c r="OO44" s="40">
        <v>0</v>
      </c>
      <c r="OP44" s="42">
        <v>0</v>
      </c>
      <c r="OQ44" s="47"/>
      <c r="OR44" s="45">
        <v>0</v>
      </c>
      <c r="OS44" s="40">
        <v>0</v>
      </c>
      <c r="OT44" s="40">
        <v>0</v>
      </c>
      <c r="OU44" s="40">
        <v>0</v>
      </c>
      <c r="OV44" s="42">
        <v>0</v>
      </c>
      <c r="OW44" s="47"/>
      <c r="OX44" s="40">
        <v>186</v>
      </c>
      <c r="OY44" s="40">
        <v>188</v>
      </c>
      <c r="OZ44" s="40">
        <v>186</v>
      </c>
      <c r="PA44" s="40">
        <v>187</v>
      </c>
      <c r="PB44" s="42">
        <v>-3</v>
      </c>
      <c r="PC44" s="47"/>
      <c r="PD44" s="45">
        <v>0</v>
      </c>
      <c r="PE44" s="40">
        <v>0</v>
      </c>
      <c r="PF44" s="40">
        <v>0</v>
      </c>
      <c r="PG44" s="40">
        <v>0</v>
      </c>
      <c r="PH44" s="42">
        <v>0</v>
      </c>
      <c r="PI44" s="47"/>
      <c r="PJ44" s="45">
        <v>0</v>
      </c>
      <c r="PK44" s="40">
        <v>0</v>
      </c>
      <c r="PL44" s="40">
        <v>0</v>
      </c>
      <c r="PM44" s="40">
        <v>0</v>
      </c>
      <c r="PN44" s="42">
        <v>0</v>
      </c>
      <c r="PO44" s="47"/>
      <c r="PP44" s="43">
        <v>0</v>
      </c>
      <c r="PQ44" s="40">
        <v>0</v>
      </c>
      <c r="PR44" s="40">
        <v>0</v>
      </c>
      <c r="PS44" s="40">
        <v>0</v>
      </c>
      <c r="PT44" s="42">
        <v>0</v>
      </c>
      <c r="PU44" s="47"/>
      <c r="PV44" s="45">
        <v>0</v>
      </c>
      <c r="PW44" s="40">
        <v>0</v>
      </c>
      <c r="PX44" s="40">
        <v>0</v>
      </c>
      <c r="PY44" s="40">
        <v>0</v>
      </c>
      <c r="PZ44" s="42">
        <v>0</v>
      </c>
      <c r="QA44" s="47"/>
      <c r="QB44" s="8">
        <v>762</v>
      </c>
      <c r="QC44" s="40">
        <v>0</v>
      </c>
      <c r="QD44" s="42">
        <v>0</v>
      </c>
      <c r="QE44" s="47"/>
      <c r="QF44" s="45">
        <v>0</v>
      </c>
      <c r="QG44" s="40">
        <v>0</v>
      </c>
      <c r="QH44" s="40">
        <v>0</v>
      </c>
      <c r="QI44" s="40">
        <v>0</v>
      </c>
      <c r="QJ44" s="42">
        <v>0</v>
      </c>
      <c r="QK44" s="47"/>
      <c r="QL44" s="45">
        <v>0</v>
      </c>
      <c r="QM44" s="40">
        <v>0</v>
      </c>
      <c r="QN44" s="40">
        <v>0</v>
      </c>
      <c r="QO44" s="40">
        <v>0</v>
      </c>
      <c r="QP44" s="42">
        <v>0</v>
      </c>
      <c r="QQ44" s="47"/>
      <c r="QR44" s="45">
        <v>0</v>
      </c>
      <c r="QS44" s="40">
        <v>0</v>
      </c>
      <c r="QT44" s="40">
        <v>0</v>
      </c>
      <c r="QU44" s="40">
        <v>0</v>
      </c>
      <c r="QV44" s="42">
        <v>0</v>
      </c>
      <c r="QW44" s="47"/>
      <c r="QX44" s="45">
        <v>0</v>
      </c>
      <c r="QY44" s="40">
        <v>0</v>
      </c>
      <c r="QZ44" s="40">
        <v>0</v>
      </c>
      <c r="RA44" s="40">
        <v>0</v>
      </c>
      <c r="RB44" s="42">
        <v>0</v>
      </c>
      <c r="RC44" s="47"/>
      <c r="RD44" s="45">
        <v>0</v>
      </c>
      <c r="RE44" s="40">
        <v>0</v>
      </c>
      <c r="RF44" s="42">
        <v>0</v>
      </c>
      <c r="RG44" s="47"/>
    </row>
    <row r="45" spans="1:475" x14ac:dyDescent="0.25">
      <c r="A45" s="40" t="s">
        <v>334</v>
      </c>
      <c r="B45" s="41">
        <v>0.15</v>
      </c>
      <c r="I45">
        <v>50</v>
      </c>
      <c r="J45">
        <v>50</v>
      </c>
      <c r="K45">
        <v>50</v>
      </c>
      <c r="N45" s="43"/>
      <c r="O45" s="48"/>
      <c r="P45" s="49">
        <v>50</v>
      </c>
      <c r="Q45" s="49">
        <v>50</v>
      </c>
      <c r="R45" s="48">
        <f t="shared" si="8"/>
        <v>0</v>
      </c>
      <c r="S45" s="44"/>
      <c r="T45" s="43"/>
      <c r="U45" s="48"/>
      <c r="V45" s="48"/>
      <c r="W45" s="48"/>
      <c r="X45" s="48">
        <f t="shared" si="9"/>
        <v>0</v>
      </c>
      <c r="Y45" s="44"/>
      <c r="Z45" s="43"/>
      <c r="AA45" s="48"/>
      <c r="AB45" s="48"/>
      <c r="AC45" s="48"/>
      <c r="AD45" s="48">
        <f t="shared" si="10"/>
        <v>0</v>
      </c>
      <c r="AE45" s="44"/>
      <c r="AF45" s="43">
        <v>20</v>
      </c>
      <c r="AG45" s="48">
        <v>20</v>
      </c>
      <c r="AH45" s="48"/>
      <c r="AI45" s="48"/>
      <c r="AJ45" s="48">
        <f t="shared" si="11"/>
        <v>0</v>
      </c>
      <c r="AK45" s="44"/>
      <c r="AL45" s="48"/>
      <c r="AP45" s="42">
        <v>0</v>
      </c>
      <c r="AQ45" s="44"/>
      <c r="AR45" s="43"/>
      <c r="AV45" s="42">
        <v>0</v>
      </c>
      <c r="AW45" s="44"/>
      <c r="BC45" s="42">
        <v>0</v>
      </c>
      <c r="BD45" s="44"/>
      <c r="BE45" s="43"/>
      <c r="BG45" s="40"/>
      <c r="BI45" s="42">
        <v>0</v>
      </c>
      <c r="BJ45" s="44"/>
      <c r="BP45" s="44"/>
      <c r="BT45" s="44"/>
      <c r="BU45" s="43"/>
      <c r="BZ45" s="44"/>
      <c r="CF45" s="44"/>
      <c r="CG45" s="43"/>
      <c r="CL45" s="44"/>
      <c r="CM45" s="43"/>
      <c r="CR45" s="44"/>
      <c r="CX45" s="44"/>
      <c r="CY45" s="43"/>
      <c r="DD45" s="44"/>
      <c r="DE45" s="43"/>
      <c r="DL45" s="44"/>
      <c r="DM45" s="43"/>
      <c r="DR45" s="44"/>
      <c r="DZ45" s="44"/>
      <c r="EA45" s="43"/>
      <c r="EF45" s="44"/>
      <c r="EG45" s="43"/>
      <c r="EL45" s="44"/>
      <c r="EM45" s="43"/>
      <c r="ER45" s="44"/>
      <c r="EZ45" s="44"/>
      <c r="FF45" s="44"/>
      <c r="FG45" s="43"/>
      <c r="FL45" s="44"/>
      <c r="FM45" s="43"/>
      <c r="FN45" s="42"/>
      <c r="FO45" s="42"/>
      <c r="FP45" s="44"/>
      <c r="FT45" s="42"/>
      <c r="FU45" s="42"/>
      <c r="FV45" s="44"/>
      <c r="FW45" s="43"/>
      <c r="FZ45" s="42"/>
      <c r="GD45" s="44"/>
      <c r="GJ45" s="44"/>
      <c r="GK45" s="43"/>
      <c r="GP45" s="47"/>
      <c r="GV45" s="44"/>
      <c r="GZ45" s="47"/>
      <c r="HA45" s="43"/>
      <c r="HD45" s="44"/>
      <c r="HE45" s="43"/>
      <c r="HH45" s="42"/>
      <c r="HI45" s="42"/>
      <c r="HJ45" s="47"/>
      <c r="HK45" s="43"/>
      <c r="HN45" s="42"/>
      <c r="HO45" s="42"/>
      <c r="HP45" s="44"/>
      <c r="HT45" s="42"/>
      <c r="HW45" s="44"/>
      <c r="HX45" s="45"/>
      <c r="IC45" s="44"/>
      <c r="II45" s="47"/>
      <c r="IO45" s="47"/>
      <c r="IT45" s="42"/>
      <c r="IU45" s="47"/>
      <c r="JA45" s="44"/>
      <c r="JE45" s="44"/>
      <c r="JK45" s="44"/>
      <c r="JL45" s="45"/>
      <c r="JO45" s="44"/>
      <c r="JU45" s="44"/>
      <c r="JZ45" s="42"/>
      <c r="KA45" s="47"/>
      <c r="KF45" s="42"/>
      <c r="KG45" s="44"/>
      <c r="KH45" s="41"/>
      <c r="KL45" s="42"/>
      <c r="KM45" s="47"/>
      <c r="KN45" s="45"/>
      <c r="KT45" s="42"/>
      <c r="KU45" s="47"/>
      <c r="KZ45" s="42"/>
      <c r="LA45" s="47"/>
      <c r="LF45" s="42"/>
      <c r="LG45" s="47"/>
      <c r="LH45" s="45"/>
      <c r="LJ45" s="42"/>
      <c r="LK45" s="47"/>
      <c r="LL45" s="45"/>
      <c r="LP45" s="42"/>
      <c r="LQ45" s="47"/>
      <c r="LR45" s="45"/>
      <c r="LV45" s="42"/>
      <c r="LW45" s="47"/>
      <c r="LX45" s="45"/>
      <c r="LZ45" s="42"/>
      <c r="MA45" s="47"/>
      <c r="MB45" s="45"/>
      <c r="MF45" s="42"/>
      <c r="MG45" s="47"/>
      <c r="MH45" s="45"/>
      <c r="MJ45" s="42"/>
      <c r="MK45" s="47"/>
      <c r="ML45" s="45"/>
      <c r="MP45" s="42"/>
      <c r="MQ45" s="47"/>
      <c r="MV45" s="42"/>
      <c r="MW45" s="47"/>
      <c r="MX45" s="45"/>
      <c r="NB45" s="42"/>
      <c r="NC45" s="47"/>
      <c r="ND45" s="45"/>
      <c r="NH45" s="42"/>
      <c r="NI45" s="47"/>
      <c r="NJ45" s="45"/>
      <c r="NN45" s="42"/>
      <c r="NO45" s="47"/>
      <c r="NP45" s="45"/>
      <c r="NT45" s="42"/>
      <c r="NU45" s="47"/>
      <c r="NV45" s="45"/>
      <c r="NZ45" s="42"/>
      <c r="OA45" s="47"/>
      <c r="OB45" s="45"/>
      <c r="OD45" s="42"/>
      <c r="OE45" s="47"/>
      <c r="OF45" s="45"/>
      <c r="OJ45" s="42"/>
      <c r="OK45" s="47"/>
      <c r="OL45" s="45"/>
      <c r="OP45" s="42"/>
      <c r="OQ45" s="47"/>
      <c r="OR45" s="45"/>
      <c r="OV45" s="42"/>
      <c r="OW45" s="47"/>
      <c r="PB45" s="42"/>
      <c r="PC45" s="47"/>
      <c r="PD45" s="45"/>
      <c r="PH45" s="42"/>
      <c r="PI45" s="47"/>
      <c r="PJ45" s="45"/>
      <c r="PN45" s="42"/>
      <c r="PO45" s="47"/>
      <c r="PP45" s="43"/>
      <c r="PT45" s="42"/>
      <c r="PU45" s="47"/>
      <c r="PV45" s="45"/>
      <c r="PZ45" s="42"/>
      <c r="QA45" s="47"/>
      <c r="QB45" s="45"/>
      <c r="QD45" s="42"/>
      <c r="QE45" s="47"/>
      <c r="QF45" s="45"/>
      <c r="QJ45" s="42"/>
      <c r="QK45" s="47"/>
      <c r="QL45" s="45"/>
      <c r="QP45" s="42"/>
      <c r="QQ45" s="47"/>
      <c r="QR45" s="45"/>
      <c r="QV45" s="42"/>
      <c r="QW45" s="47"/>
      <c r="QX45" s="45"/>
      <c r="RB45" s="42"/>
      <c r="RC45" s="47"/>
      <c r="RD45" s="45"/>
      <c r="RF45" s="42"/>
      <c r="RG45" s="47"/>
    </row>
    <row r="46" spans="1:475" x14ac:dyDescent="0.25">
      <c r="A46" s="40" t="s">
        <v>335</v>
      </c>
      <c r="B46" s="41">
        <v>1</v>
      </c>
      <c r="I46">
        <v>80</v>
      </c>
      <c r="J46">
        <v>70</v>
      </c>
      <c r="K46">
        <v>70</v>
      </c>
      <c r="N46" s="43"/>
      <c r="O46" s="49">
        <v>60</v>
      </c>
      <c r="P46" s="49">
        <v>80</v>
      </c>
      <c r="Q46" s="49">
        <v>80</v>
      </c>
      <c r="R46" s="53">
        <f t="shared" si="8"/>
        <v>-60</v>
      </c>
      <c r="S46" s="44">
        <f>-1*R46*B46</f>
        <v>60</v>
      </c>
      <c r="T46" s="43"/>
      <c r="U46" s="48"/>
      <c r="V46" s="48"/>
      <c r="W46" s="48">
        <v>50</v>
      </c>
      <c r="X46" s="53">
        <f t="shared" si="9"/>
        <v>-50</v>
      </c>
      <c r="Y46" s="44">
        <f>-1*X46*B46</f>
        <v>50</v>
      </c>
      <c r="Z46" s="43"/>
      <c r="AA46" s="48"/>
      <c r="AB46" s="48"/>
      <c r="AC46" s="48"/>
      <c r="AD46" s="48">
        <f t="shared" si="10"/>
        <v>0</v>
      </c>
      <c r="AE46" s="44"/>
      <c r="AF46" s="46">
        <v>48</v>
      </c>
      <c r="AG46" s="48">
        <v>50</v>
      </c>
      <c r="AH46" s="48"/>
      <c r="AI46" s="48"/>
      <c r="AJ46" s="48">
        <f t="shared" si="11"/>
        <v>-2</v>
      </c>
      <c r="AK46" s="44"/>
      <c r="AL46" s="48"/>
      <c r="AP46" s="42">
        <v>0</v>
      </c>
      <c r="AQ46" s="44"/>
      <c r="AR46" s="43"/>
      <c r="AV46" s="42">
        <v>0</v>
      </c>
      <c r="AW46" s="44"/>
      <c r="BC46" s="42">
        <v>0</v>
      </c>
      <c r="BD46" s="44"/>
      <c r="BE46" s="43"/>
      <c r="BI46" s="42">
        <v>0</v>
      </c>
      <c r="BJ46" s="44"/>
      <c r="BO46" s="42">
        <v>0</v>
      </c>
      <c r="BP46" s="44"/>
      <c r="BS46" s="42">
        <v>0</v>
      </c>
      <c r="BT46" s="44"/>
      <c r="BU46" s="43"/>
      <c r="BY46" s="42">
        <v>0</v>
      </c>
      <c r="BZ46" s="44"/>
      <c r="CE46" s="42">
        <v>0</v>
      </c>
      <c r="CF46" s="44"/>
      <c r="CG46" s="43"/>
      <c r="CK46" s="42">
        <v>0</v>
      </c>
      <c r="CL46" s="44"/>
      <c r="CM46" s="43"/>
      <c r="CQ46" s="42">
        <v>0</v>
      </c>
      <c r="CR46" s="44"/>
      <c r="CW46" s="42">
        <v>0</v>
      </c>
      <c r="CX46" s="44"/>
      <c r="CY46" s="43"/>
      <c r="DC46" s="42">
        <v>0</v>
      </c>
      <c r="DD46" s="44"/>
      <c r="DE46" s="43"/>
      <c r="DK46" s="42">
        <v>0</v>
      </c>
      <c r="DL46" s="44"/>
      <c r="DM46" s="43"/>
      <c r="DQ46" s="42">
        <v>0</v>
      </c>
      <c r="DR46" s="44"/>
      <c r="DY46" s="42">
        <v>0</v>
      </c>
      <c r="DZ46" s="44"/>
      <c r="EA46" s="43"/>
      <c r="EE46" s="42">
        <v>0</v>
      </c>
      <c r="EF46" s="44"/>
      <c r="EG46" s="43"/>
      <c r="EK46" s="42">
        <v>0</v>
      </c>
      <c r="EL46" s="44"/>
      <c r="EM46" s="43"/>
      <c r="EQ46" s="42">
        <v>0</v>
      </c>
      <c r="ER46" s="44"/>
      <c r="EY46" s="42">
        <v>0</v>
      </c>
      <c r="EZ46" s="44"/>
      <c r="FE46" s="42">
        <v>0</v>
      </c>
      <c r="FF46" s="44"/>
      <c r="FG46" s="43"/>
      <c r="FK46" s="42">
        <v>0</v>
      </c>
      <c r="FL46" s="44"/>
      <c r="FM46" s="43"/>
      <c r="FO46" s="42">
        <v>0</v>
      </c>
      <c r="FP46" s="44"/>
      <c r="FU46" s="42">
        <v>0</v>
      </c>
      <c r="FV46" s="44"/>
      <c r="FW46" s="43"/>
      <c r="GC46" s="42">
        <v>0</v>
      </c>
      <c r="GD46" s="44"/>
      <c r="GI46" s="42">
        <v>0</v>
      </c>
      <c r="GJ46" s="44"/>
      <c r="GK46" s="43"/>
      <c r="GO46" s="42">
        <v>0</v>
      </c>
      <c r="GP46" s="47"/>
      <c r="GU46" s="42">
        <v>0</v>
      </c>
      <c r="GV46" s="44"/>
      <c r="GY46" s="42">
        <v>0</v>
      </c>
      <c r="GZ46" s="47"/>
      <c r="HA46" s="43"/>
      <c r="HC46" s="42">
        <v>0</v>
      </c>
      <c r="HD46" s="44"/>
      <c r="HE46" s="43"/>
      <c r="HI46" s="42">
        <v>0</v>
      </c>
      <c r="HJ46" s="47"/>
      <c r="HK46" s="43"/>
      <c r="HO46" s="42">
        <v>0</v>
      </c>
      <c r="HP46" s="44"/>
      <c r="HV46" s="42">
        <v>0</v>
      </c>
      <c r="HW46" s="44"/>
      <c r="HX46" s="45"/>
      <c r="IB46" s="42">
        <v>0</v>
      </c>
      <c r="IC46" s="44"/>
      <c r="IH46" s="42">
        <v>0</v>
      </c>
      <c r="II46" s="47"/>
      <c r="IN46" s="42">
        <v>0</v>
      </c>
      <c r="IO46" s="47"/>
      <c r="IT46" s="42">
        <v>0</v>
      </c>
      <c r="IU46" s="47"/>
      <c r="IZ46" s="42">
        <v>0</v>
      </c>
      <c r="JA46" s="44"/>
      <c r="JD46" s="42">
        <v>0</v>
      </c>
      <c r="JE46" s="44"/>
      <c r="JJ46" s="42">
        <v>0</v>
      </c>
      <c r="JK46" s="44"/>
      <c r="JL46" s="45"/>
      <c r="JN46" s="42">
        <v>0</v>
      </c>
      <c r="JO46" s="44"/>
      <c r="JT46" s="42">
        <v>0</v>
      </c>
      <c r="JU46" s="44"/>
      <c r="JZ46" s="42">
        <v>0</v>
      </c>
      <c r="KA46" s="47"/>
      <c r="KF46" s="42">
        <v>0</v>
      </c>
      <c r="KG46" s="44"/>
      <c r="KH46" s="41"/>
      <c r="KL46" s="42">
        <v>0</v>
      </c>
      <c r="KM46" s="47"/>
      <c r="KN46" s="45"/>
      <c r="KT46" s="42">
        <v>0</v>
      </c>
      <c r="KU46" s="47"/>
      <c r="KV46" s="40">
        <v>0</v>
      </c>
      <c r="KW46" s="40">
        <v>0</v>
      </c>
      <c r="KX46" s="40">
        <v>0</v>
      </c>
      <c r="KY46" s="40">
        <v>0</v>
      </c>
      <c r="KZ46" s="42">
        <v>0</v>
      </c>
      <c r="LA46" s="47"/>
      <c r="LB46" s="40">
        <v>0</v>
      </c>
      <c r="LC46" s="40">
        <v>0</v>
      </c>
      <c r="LD46" s="40">
        <v>0</v>
      </c>
      <c r="LE46" s="40">
        <v>0</v>
      </c>
      <c r="LF46" s="42">
        <v>0</v>
      </c>
      <c r="LG46" s="47"/>
      <c r="LH46" s="45">
        <v>0</v>
      </c>
      <c r="LI46" s="40">
        <v>0</v>
      </c>
      <c r="LJ46" s="42">
        <v>0</v>
      </c>
      <c r="LK46" s="47"/>
      <c r="LL46" s="45">
        <v>0</v>
      </c>
      <c r="LM46" s="40">
        <v>0</v>
      </c>
      <c r="LN46" s="40">
        <v>0</v>
      </c>
      <c r="LO46" s="40">
        <v>0</v>
      </c>
      <c r="LP46" s="42">
        <v>0</v>
      </c>
      <c r="LQ46" s="47"/>
      <c r="LR46" s="45">
        <v>0</v>
      </c>
      <c r="LS46" s="40">
        <v>0</v>
      </c>
      <c r="LT46" s="40">
        <v>0</v>
      </c>
      <c r="LU46" s="40">
        <v>0</v>
      </c>
      <c r="LV46" s="42">
        <v>0</v>
      </c>
      <c r="LW46" s="47"/>
      <c r="LX46" s="45">
        <v>0</v>
      </c>
      <c r="LY46" s="40">
        <v>0</v>
      </c>
      <c r="LZ46" s="42">
        <v>0</v>
      </c>
      <c r="MA46" s="47"/>
      <c r="MB46" s="45">
        <v>0</v>
      </c>
      <c r="MC46" s="40">
        <v>0</v>
      </c>
      <c r="MD46" s="40">
        <v>0</v>
      </c>
      <c r="ME46" s="40">
        <v>0</v>
      </c>
      <c r="MF46" s="42">
        <v>0</v>
      </c>
      <c r="MG46" s="47"/>
      <c r="MH46" s="45">
        <v>0</v>
      </c>
      <c r="MI46" s="40">
        <v>0</v>
      </c>
      <c r="MJ46" s="42">
        <v>0</v>
      </c>
      <c r="MK46" s="47"/>
      <c r="ML46" s="45">
        <v>0</v>
      </c>
      <c r="MM46" s="40">
        <v>0</v>
      </c>
      <c r="MN46" s="40">
        <v>0</v>
      </c>
      <c r="MO46" s="40">
        <v>0</v>
      </c>
      <c r="MP46" s="42">
        <v>0</v>
      </c>
      <c r="MQ46" s="47"/>
      <c r="MR46" s="40">
        <v>0</v>
      </c>
      <c r="MS46" s="40">
        <v>0</v>
      </c>
      <c r="MT46" s="40">
        <v>0</v>
      </c>
      <c r="MU46" s="40">
        <v>0</v>
      </c>
      <c r="MV46" s="42">
        <v>0</v>
      </c>
      <c r="MW46" s="47"/>
      <c r="MX46" s="45">
        <v>0</v>
      </c>
      <c r="MY46" s="40">
        <v>0</v>
      </c>
      <c r="MZ46" s="40">
        <v>0</v>
      </c>
      <c r="NA46" s="40">
        <v>0</v>
      </c>
      <c r="NB46" s="42">
        <v>0</v>
      </c>
      <c r="NC46" s="47"/>
      <c r="ND46" s="45">
        <v>0</v>
      </c>
      <c r="NE46" s="40">
        <v>0</v>
      </c>
      <c r="NF46" s="40">
        <v>0</v>
      </c>
      <c r="NG46" s="40">
        <v>0</v>
      </c>
      <c r="NH46" s="42">
        <v>0</v>
      </c>
      <c r="NI46" s="47"/>
      <c r="NJ46" s="45">
        <v>0</v>
      </c>
      <c r="NK46" s="40">
        <v>0</v>
      </c>
      <c r="NL46" s="40">
        <v>0</v>
      </c>
      <c r="NM46" s="40">
        <v>0</v>
      </c>
      <c r="NN46" s="42">
        <v>0</v>
      </c>
      <c r="NO46" s="47"/>
      <c r="NP46" s="45">
        <v>0</v>
      </c>
      <c r="NQ46" s="40">
        <v>0</v>
      </c>
      <c r="NR46" s="40">
        <v>0</v>
      </c>
      <c r="NS46" s="40">
        <v>0</v>
      </c>
      <c r="NT46" s="42">
        <v>0</v>
      </c>
      <c r="NU46" s="47"/>
      <c r="NV46" s="45">
        <v>0</v>
      </c>
      <c r="NW46" s="40">
        <v>0</v>
      </c>
      <c r="NX46" s="40">
        <v>0</v>
      </c>
      <c r="NY46" s="40">
        <v>0</v>
      </c>
      <c r="NZ46" s="42">
        <v>0</v>
      </c>
      <c r="OA46" s="47"/>
      <c r="OB46" s="45">
        <v>0</v>
      </c>
      <c r="OC46" s="40">
        <v>0</v>
      </c>
      <c r="OD46" s="42">
        <v>0</v>
      </c>
      <c r="OE46" s="47"/>
      <c r="OF46" s="45">
        <v>0</v>
      </c>
      <c r="OG46" s="40">
        <v>0</v>
      </c>
      <c r="OH46" s="40">
        <v>0</v>
      </c>
      <c r="OI46" s="40">
        <v>0</v>
      </c>
      <c r="OJ46" s="42">
        <v>0</v>
      </c>
      <c r="OK46" s="47"/>
      <c r="OL46" s="45">
        <v>0</v>
      </c>
      <c r="OM46" s="40">
        <v>0</v>
      </c>
      <c r="ON46" s="40">
        <v>0</v>
      </c>
      <c r="OO46" s="40">
        <v>0</v>
      </c>
      <c r="OP46" s="42">
        <v>0</v>
      </c>
      <c r="OQ46" s="47"/>
      <c r="OR46" s="45">
        <v>0</v>
      </c>
      <c r="OS46" s="40">
        <v>0</v>
      </c>
      <c r="OT46" s="40">
        <v>0</v>
      </c>
      <c r="OU46" s="40">
        <v>0</v>
      </c>
      <c r="OV46" s="42">
        <v>0</v>
      </c>
      <c r="OW46" s="47"/>
      <c r="OX46" s="40">
        <v>0</v>
      </c>
      <c r="OY46" s="40">
        <v>0</v>
      </c>
      <c r="OZ46" s="40">
        <v>0</v>
      </c>
      <c r="PA46" s="40">
        <v>0</v>
      </c>
      <c r="PB46" s="42">
        <v>0</v>
      </c>
      <c r="PC46" s="47"/>
      <c r="PD46" s="45">
        <v>0</v>
      </c>
      <c r="PE46" s="40">
        <v>0</v>
      </c>
      <c r="PF46" s="40">
        <v>0</v>
      </c>
      <c r="PG46" s="40">
        <v>0</v>
      </c>
      <c r="PH46" s="42">
        <v>0</v>
      </c>
      <c r="PI46" s="47"/>
      <c r="PJ46" s="45">
        <v>0</v>
      </c>
      <c r="PK46" s="40">
        <v>0</v>
      </c>
      <c r="PL46" s="40">
        <v>109.76</v>
      </c>
      <c r="PM46" s="40">
        <v>212</v>
      </c>
      <c r="PN46" s="39">
        <v>-102.24</v>
      </c>
      <c r="PO46" s="47">
        <v>102.24</v>
      </c>
      <c r="PP46" s="43">
        <v>0</v>
      </c>
      <c r="PQ46" s="30">
        <v>70</v>
      </c>
      <c r="PR46" s="40">
        <v>100.557</v>
      </c>
      <c r="PS46" s="40">
        <v>100</v>
      </c>
      <c r="PT46" s="39">
        <v>-69.442999999999998</v>
      </c>
      <c r="PU46" s="47">
        <v>69.442999999999998</v>
      </c>
      <c r="PV46" s="45">
        <v>149.678</v>
      </c>
      <c r="PW46" s="40">
        <v>150</v>
      </c>
      <c r="PX46" s="40">
        <v>101.04</v>
      </c>
      <c r="PY46" s="40">
        <v>100</v>
      </c>
      <c r="PZ46" s="42">
        <v>0.71800000000001774</v>
      </c>
      <c r="QA46" s="47"/>
      <c r="QB46" s="45">
        <v>215.83500000000001</v>
      </c>
      <c r="QC46" s="40">
        <v>220</v>
      </c>
      <c r="QD46" s="42">
        <v>-4.164999999999992</v>
      </c>
      <c r="QE46" s="47"/>
      <c r="QF46" s="45">
        <v>59.807000000000002</v>
      </c>
      <c r="QG46" s="40">
        <v>80</v>
      </c>
      <c r="QH46" s="40">
        <v>113.09</v>
      </c>
      <c r="QI46" s="40">
        <v>150</v>
      </c>
      <c r="QJ46" s="39">
        <v>-57.103000000000009</v>
      </c>
      <c r="QK46" s="47">
        <v>57.103000000000009</v>
      </c>
      <c r="QL46" s="45">
        <v>48.225999999999999</v>
      </c>
      <c r="QM46" s="40">
        <v>50</v>
      </c>
      <c r="QN46" s="40">
        <v>69.331999999999994</v>
      </c>
      <c r="QO46" s="40">
        <v>70</v>
      </c>
      <c r="QP46" s="42">
        <v>-2.4420000000000068</v>
      </c>
      <c r="QQ46" s="47"/>
      <c r="QR46" s="45">
        <v>48.898000000000003</v>
      </c>
      <c r="QS46" s="40">
        <v>90</v>
      </c>
      <c r="QT46" s="40">
        <v>112.77500000000001</v>
      </c>
      <c r="QU46" s="40">
        <v>110</v>
      </c>
      <c r="QV46" s="39">
        <v>-38.326999999999998</v>
      </c>
      <c r="QW46" s="47">
        <v>38.326999999999998</v>
      </c>
      <c r="QX46" s="45">
        <v>203.202</v>
      </c>
      <c r="QY46" s="40">
        <v>200</v>
      </c>
      <c r="QZ46" s="40">
        <v>0</v>
      </c>
      <c r="RA46" s="40">
        <v>0</v>
      </c>
      <c r="RB46" s="42">
        <v>3.2019999999999982</v>
      </c>
      <c r="RC46" s="47"/>
      <c r="RD46" s="45">
        <v>203.07499999999999</v>
      </c>
      <c r="RE46" s="40">
        <v>450</v>
      </c>
      <c r="RF46" s="39">
        <v>-246.92500000000001</v>
      </c>
      <c r="RG46" s="47">
        <v>246.92500000000001</v>
      </c>
    </row>
    <row r="47" spans="1:475" x14ac:dyDescent="0.25">
      <c r="A47" s="40" t="s">
        <v>336</v>
      </c>
      <c r="B47" s="41">
        <v>0.09</v>
      </c>
      <c r="E47">
        <v>60</v>
      </c>
      <c r="I47">
        <v>80</v>
      </c>
      <c r="N47" s="46">
        <v>80</v>
      </c>
      <c r="O47" s="49">
        <v>80</v>
      </c>
      <c r="P47" s="48"/>
      <c r="Q47" s="48"/>
      <c r="R47" s="48">
        <f t="shared" si="8"/>
        <v>0</v>
      </c>
      <c r="S47" s="44"/>
      <c r="T47" s="46">
        <v>100</v>
      </c>
      <c r="U47" s="49">
        <v>100</v>
      </c>
      <c r="V47" s="49">
        <v>100</v>
      </c>
      <c r="W47" s="49">
        <v>100</v>
      </c>
      <c r="X47" s="48">
        <f t="shared" si="9"/>
        <v>0</v>
      </c>
      <c r="Y47" s="44"/>
      <c r="Z47" s="46">
        <v>50</v>
      </c>
      <c r="AA47" s="49">
        <v>50</v>
      </c>
      <c r="AB47" s="49">
        <v>30</v>
      </c>
      <c r="AC47" s="49">
        <v>30</v>
      </c>
      <c r="AD47" s="48">
        <f t="shared" si="10"/>
        <v>0</v>
      </c>
      <c r="AE47" s="44"/>
      <c r="AF47" s="43"/>
      <c r="AG47" s="48"/>
      <c r="AH47" s="48"/>
      <c r="AI47" s="48"/>
      <c r="AJ47" s="48">
        <f t="shared" si="11"/>
        <v>0</v>
      </c>
      <c r="AK47" s="44"/>
      <c r="AL47" s="49">
        <v>50</v>
      </c>
      <c r="AM47">
        <v>50</v>
      </c>
      <c r="AP47" s="42">
        <v>0</v>
      </c>
      <c r="AQ47" s="44"/>
      <c r="AR47" s="46">
        <v>120</v>
      </c>
      <c r="AS47">
        <v>120</v>
      </c>
      <c r="AT47">
        <v>130</v>
      </c>
      <c r="AU47">
        <v>130</v>
      </c>
      <c r="AV47" s="42">
        <v>0</v>
      </c>
      <c r="AW47" s="44"/>
      <c r="BC47" s="42">
        <v>0</v>
      </c>
      <c r="BD47" s="44"/>
      <c r="BE47" s="46">
        <v>10</v>
      </c>
      <c r="BF47">
        <v>100</v>
      </c>
      <c r="BI47" s="39">
        <v>-90</v>
      </c>
      <c r="BJ47" s="44">
        <v>8.1</v>
      </c>
      <c r="BK47">
        <v>50</v>
      </c>
      <c r="BL47">
        <v>50</v>
      </c>
      <c r="BM47">
        <v>40</v>
      </c>
      <c r="BN47">
        <v>50</v>
      </c>
      <c r="BO47" s="39">
        <v>-10</v>
      </c>
      <c r="BP47" s="44">
        <v>0.89999999999999991</v>
      </c>
      <c r="BS47" s="42">
        <v>0</v>
      </c>
      <c r="BT47" s="44"/>
      <c r="BU47" s="46">
        <v>140</v>
      </c>
      <c r="BV47">
        <v>140</v>
      </c>
      <c r="BX47">
        <v>30</v>
      </c>
      <c r="BY47" s="39">
        <v>-30</v>
      </c>
      <c r="BZ47" s="44">
        <v>2.7</v>
      </c>
      <c r="CA47">
        <v>50</v>
      </c>
      <c r="CB47" s="42">
        <v>50</v>
      </c>
      <c r="CE47" s="42">
        <v>0</v>
      </c>
      <c r="CF47" s="44"/>
      <c r="CG47" s="43"/>
      <c r="CI47">
        <v>80</v>
      </c>
      <c r="CJ47">
        <v>80</v>
      </c>
      <c r="CK47" s="42">
        <v>0</v>
      </c>
      <c r="CL47" s="44"/>
      <c r="CM47" s="46">
        <v>100</v>
      </c>
      <c r="CN47" s="42">
        <v>100</v>
      </c>
      <c r="CQ47" s="42">
        <v>0</v>
      </c>
      <c r="CR47" s="44"/>
      <c r="CW47" s="42">
        <v>0</v>
      </c>
      <c r="CX47" s="44"/>
      <c r="CY47" s="43"/>
      <c r="DC47" s="42">
        <v>0</v>
      </c>
      <c r="DD47" s="44"/>
      <c r="DE47" s="43"/>
      <c r="DK47" s="42">
        <v>0</v>
      </c>
      <c r="DL47" s="44"/>
      <c r="DM47" s="43"/>
      <c r="DQ47" s="42">
        <v>0</v>
      </c>
      <c r="DR47" s="44"/>
      <c r="DZ47" s="44"/>
      <c r="EA47" s="43"/>
      <c r="EF47" s="44"/>
      <c r="EG47" s="43"/>
      <c r="EL47" s="44"/>
      <c r="EM47" s="43"/>
      <c r="ER47" s="44"/>
      <c r="EZ47" s="44"/>
      <c r="FF47" s="44"/>
      <c r="FG47" s="43"/>
      <c r="FL47" s="44"/>
      <c r="FM47" s="43"/>
      <c r="FP47" s="44"/>
      <c r="FV47" s="44"/>
      <c r="FW47" s="43"/>
      <c r="GD47" s="44"/>
      <c r="GJ47" s="44"/>
      <c r="GK47" s="43"/>
      <c r="GP47" s="47"/>
      <c r="GV47" s="44"/>
      <c r="GZ47" s="47"/>
      <c r="HA47" s="43"/>
      <c r="HD47" s="44"/>
      <c r="HE47" s="43"/>
      <c r="HJ47" s="47"/>
      <c r="HK47" s="43"/>
      <c r="HP47" s="44"/>
      <c r="HW47" s="44"/>
      <c r="HX47" s="45"/>
      <c r="IC47" s="44"/>
      <c r="II47" s="47"/>
      <c r="IO47" s="47"/>
      <c r="IU47" s="47"/>
      <c r="JA47" s="44"/>
      <c r="JE47" s="44"/>
      <c r="JK47" s="44"/>
      <c r="JL47" s="45"/>
      <c r="JO47" s="44"/>
      <c r="JU47" s="44"/>
      <c r="KA47" s="47"/>
      <c r="KG47" s="44"/>
      <c r="KH47" s="41"/>
      <c r="KM47" s="47"/>
      <c r="KN47" s="45"/>
      <c r="KU47" s="47"/>
      <c r="LA47" s="47"/>
      <c r="LG47" s="47"/>
      <c r="LH47" s="45"/>
      <c r="LK47" s="47"/>
      <c r="LL47" s="45"/>
      <c r="LQ47" s="47"/>
      <c r="LR47" s="45"/>
      <c r="LV47" s="42"/>
      <c r="LW47" s="47"/>
      <c r="LX47" s="45"/>
      <c r="LZ47" s="42"/>
      <c r="MA47" s="47"/>
      <c r="MB47" s="45"/>
      <c r="MF47" s="42"/>
      <c r="MG47" s="47"/>
      <c r="MH47" s="45"/>
      <c r="MJ47" s="42"/>
      <c r="MK47" s="47"/>
      <c r="ML47" s="45"/>
      <c r="MP47" s="42"/>
      <c r="MQ47" s="47"/>
      <c r="MV47" s="42"/>
      <c r="MW47" s="47"/>
      <c r="MX47" s="45"/>
      <c r="NB47" s="42"/>
      <c r="NC47" s="47"/>
      <c r="ND47" s="45"/>
      <c r="NH47" s="42"/>
      <c r="NI47" s="47"/>
      <c r="NJ47" s="45"/>
      <c r="NN47" s="42"/>
      <c r="NO47" s="47"/>
      <c r="NP47" s="45"/>
      <c r="NT47" s="42"/>
      <c r="NU47" s="47"/>
      <c r="NV47" s="45"/>
      <c r="NZ47" s="42"/>
      <c r="OA47" s="47"/>
      <c r="OB47" s="45"/>
      <c r="OD47" s="42"/>
      <c r="OE47" s="47"/>
      <c r="OF47" s="45"/>
      <c r="OJ47" s="42"/>
      <c r="OK47" s="47"/>
      <c r="OL47" s="45"/>
      <c r="OP47" s="42"/>
      <c r="OQ47" s="47"/>
      <c r="OR47" s="45"/>
      <c r="OV47" s="42"/>
      <c r="OW47" s="47"/>
      <c r="PB47" s="42"/>
      <c r="PC47" s="47"/>
      <c r="PD47" s="45"/>
      <c r="PH47" s="42"/>
      <c r="PI47" s="47"/>
      <c r="PJ47" s="45"/>
      <c r="PN47" s="39"/>
      <c r="PO47" s="47"/>
      <c r="PP47" s="43"/>
      <c r="PQ47" s="30"/>
      <c r="PT47" s="39"/>
      <c r="PU47" s="47"/>
      <c r="PV47" s="45"/>
      <c r="PZ47" s="42"/>
      <c r="QA47" s="47"/>
      <c r="QB47" s="45"/>
      <c r="QD47" s="42"/>
      <c r="QE47" s="47"/>
      <c r="QF47" s="45"/>
      <c r="QJ47" s="39"/>
      <c r="QK47" s="47"/>
      <c r="QL47" s="45"/>
      <c r="QP47" s="42"/>
      <c r="QQ47" s="47"/>
      <c r="QR47" s="45"/>
      <c r="QV47" s="39"/>
      <c r="QW47" s="47"/>
      <c r="QX47" s="45"/>
      <c r="RB47" s="42"/>
      <c r="RC47" s="47"/>
      <c r="RD47" s="45"/>
      <c r="RF47" s="39"/>
      <c r="RG47" s="47"/>
    </row>
    <row r="48" spans="1:475" x14ac:dyDescent="0.25">
      <c r="A48" s="40" t="s">
        <v>337</v>
      </c>
      <c r="B48" s="41">
        <v>0.09</v>
      </c>
      <c r="E48">
        <v>40</v>
      </c>
      <c r="F48">
        <v>40</v>
      </c>
      <c r="I48">
        <v>30</v>
      </c>
      <c r="J48">
        <v>10</v>
      </c>
      <c r="K48">
        <v>20</v>
      </c>
      <c r="N48" s="43"/>
      <c r="O48" s="48"/>
      <c r="P48" s="49">
        <v>50</v>
      </c>
      <c r="Q48" s="49">
        <v>50</v>
      </c>
      <c r="R48" s="48">
        <f t="shared" si="8"/>
        <v>0</v>
      </c>
      <c r="S48" s="44"/>
      <c r="T48" s="46">
        <v>40</v>
      </c>
      <c r="U48" s="49">
        <v>40</v>
      </c>
      <c r="V48" s="49">
        <v>10</v>
      </c>
      <c r="W48" s="49">
        <v>10</v>
      </c>
      <c r="X48" s="48">
        <f t="shared" si="9"/>
        <v>0</v>
      </c>
      <c r="Y48" s="44"/>
      <c r="Z48" s="43"/>
      <c r="AA48" s="48"/>
      <c r="AB48" s="48"/>
      <c r="AC48" s="48"/>
      <c r="AD48" s="48">
        <f t="shared" si="10"/>
        <v>0</v>
      </c>
      <c r="AE48" s="44"/>
      <c r="AF48" s="46">
        <v>30</v>
      </c>
      <c r="AG48" s="49">
        <v>30</v>
      </c>
      <c r="AH48" s="49">
        <v>60</v>
      </c>
      <c r="AI48" s="49">
        <v>66</v>
      </c>
      <c r="AJ48" s="48">
        <f t="shared" si="11"/>
        <v>-6</v>
      </c>
      <c r="AK48" s="44"/>
      <c r="AL48" s="48"/>
      <c r="AP48" s="42">
        <v>0</v>
      </c>
      <c r="AQ48" s="44"/>
      <c r="AR48" s="46">
        <v>50</v>
      </c>
      <c r="AS48">
        <v>50</v>
      </c>
      <c r="AV48" s="42">
        <v>0</v>
      </c>
      <c r="AW48" s="44"/>
      <c r="AX48">
        <v>70</v>
      </c>
      <c r="AZ48">
        <v>70</v>
      </c>
      <c r="BA48">
        <v>80</v>
      </c>
      <c r="BB48">
        <v>80</v>
      </c>
      <c r="BC48" s="42">
        <v>0</v>
      </c>
      <c r="BD48" s="44"/>
      <c r="BE48" s="46">
        <v>50</v>
      </c>
      <c r="BF48">
        <v>50</v>
      </c>
      <c r="BI48" s="42">
        <v>0</v>
      </c>
      <c r="BJ48" s="44"/>
      <c r="BM48">
        <v>50</v>
      </c>
      <c r="BN48">
        <v>50</v>
      </c>
      <c r="BO48" s="42">
        <v>0</v>
      </c>
      <c r="BP48" s="44"/>
      <c r="BS48" s="42">
        <v>0</v>
      </c>
      <c r="BT48" s="44"/>
      <c r="BU48" s="46">
        <v>220</v>
      </c>
      <c r="BV48">
        <v>200</v>
      </c>
      <c r="BY48" s="42">
        <v>20</v>
      </c>
      <c r="BZ48" s="44"/>
      <c r="CA48">
        <v>30</v>
      </c>
      <c r="CB48">
        <v>30</v>
      </c>
      <c r="CC48">
        <v>30</v>
      </c>
      <c r="CD48">
        <v>30</v>
      </c>
      <c r="CE48" s="42">
        <v>0</v>
      </c>
      <c r="CF48" s="44"/>
      <c r="CG48" s="43"/>
      <c r="CI48">
        <v>100</v>
      </c>
      <c r="CJ48">
        <v>100</v>
      </c>
      <c r="CK48" s="42">
        <v>0</v>
      </c>
      <c r="CL48" s="44"/>
      <c r="CM48" s="43"/>
      <c r="CQ48" s="42">
        <v>0</v>
      </c>
      <c r="CR48" s="44"/>
      <c r="CS48">
        <v>20</v>
      </c>
      <c r="CT48">
        <v>20</v>
      </c>
      <c r="CU48">
        <v>40</v>
      </c>
      <c r="CV48">
        <v>40</v>
      </c>
      <c r="CW48" s="42">
        <v>0</v>
      </c>
      <c r="CX48" s="44"/>
      <c r="CY48" s="43"/>
      <c r="DA48">
        <v>60</v>
      </c>
      <c r="DB48">
        <v>60</v>
      </c>
      <c r="DC48" s="42">
        <v>0</v>
      </c>
      <c r="DD48" s="44"/>
      <c r="DE48" s="43"/>
      <c r="DI48">
        <v>10</v>
      </c>
      <c r="DJ48">
        <v>5</v>
      </c>
      <c r="DK48" s="42">
        <v>5</v>
      </c>
      <c r="DL48" s="44"/>
      <c r="DM48" s="43"/>
      <c r="DQ48" s="42">
        <v>0</v>
      </c>
      <c r="DR48" s="44"/>
      <c r="DU48">
        <v>140</v>
      </c>
      <c r="DV48">
        <v>146</v>
      </c>
      <c r="DY48" s="42">
        <v>-6</v>
      </c>
      <c r="DZ48" s="44"/>
      <c r="EA48" s="43"/>
      <c r="EC48">
        <v>20</v>
      </c>
      <c r="ED48">
        <v>20</v>
      </c>
      <c r="EE48" s="42">
        <v>0</v>
      </c>
      <c r="EF48" s="44"/>
      <c r="EG48" s="43"/>
      <c r="EK48" s="42">
        <v>0</v>
      </c>
      <c r="EL48" s="44"/>
      <c r="EM48" s="46">
        <v>50</v>
      </c>
      <c r="EN48">
        <v>50</v>
      </c>
      <c r="EQ48" s="42">
        <v>0</v>
      </c>
      <c r="ER48" s="44"/>
      <c r="EW48">
        <v>110</v>
      </c>
      <c r="EX48">
        <v>110</v>
      </c>
      <c r="EY48" s="42">
        <v>0</v>
      </c>
      <c r="EZ48" s="44"/>
      <c r="FE48" s="42">
        <v>0</v>
      </c>
      <c r="FF48" s="44"/>
      <c r="FG48" s="43"/>
      <c r="FI48">
        <v>80</v>
      </c>
      <c r="FJ48">
        <v>80</v>
      </c>
      <c r="FK48" s="42">
        <v>0</v>
      </c>
      <c r="FL48" s="44"/>
      <c r="FM48" s="43"/>
      <c r="FO48" s="42">
        <v>0</v>
      </c>
      <c r="FP48" s="44"/>
      <c r="FU48" s="42">
        <v>0</v>
      </c>
      <c r="FV48" s="44"/>
      <c r="FW48" s="46">
        <v>100</v>
      </c>
      <c r="FX48">
        <v>100</v>
      </c>
      <c r="GA48">
        <v>100</v>
      </c>
      <c r="GB48">
        <v>100</v>
      </c>
      <c r="GC48" s="42">
        <v>0</v>
      </c>
      <c r="GD48" s="44"/>
      <c r="GG48">
        <v>40</v>
      </c>
      <c r="GH48">
        <v>40</v>
      </c>
      <c r="GI48" s="42">
        <v>0</v>
      </c>
      <c r="GJ48" s="44"/>
      <c r="GK48" s="43"/>
      <c r="GM48">
        <v>80</v>
      </c>
      <c r="GN48">
        <v>80</v>
      </c>
      <c r="GO48" s="42">
        <v>0</v>
      </c>
      <c r="GP48" s="47"/>
      <c r="GS48">
        <v>10</v>
      </c>
      <c r="GT48">
        <v>10</v>
      </c>
      <c r="GU48" s="42">
        <v>0</v>
      </c>
      <c r="GV48" s="44"/>
      <c r="GW48">
        <v>120</v>
      </c>
      <c r="GX48" s="40">
        <v>120</v>
      </c>
      <c r="GY48" s="42">
        <v>0</v>
      </c>
      <c r="GZ48" s="47"/>
      <c r="HA48" s="43"/>
      <c r="HC48" s="42">
        <v>0</v>
      </c>
      <c r="HD48" s="44"/>
      <c r="HE48" s="43"/>
      <c r="HI48" s="42">
        <v>0</v>
      </c>
      <c r="HJ48" s="47"/>
      <c r="HK48" s="46">
        <v>100</v>
      </c>
      <c r="HL48">
        <v>100</v>
      </c>
      <c r="HM48">
        <v>100</v>
      </c>
      <c r="HN48">
        <v>100</v>
      </c>
      <c r="HO48" s="42">
        <v>0</v>
      </c>
      <c r="HP48" s="44"/>
      <c r="HT48">
        <v>50</v>
      </c>
      <c r="HU48">
        <v>50</v>
      </c>
      <c r="HV48" s="42">
        <v>0</v>
      </c>
      <c r="HW48" s="44"/>
      <c r="HX48" s="45"/>
      <c r="IB48" s="42">
        <v>0</v>
      </c>
      <c r="IC48" s="44"/>
      <c r="IH48" s="42">
        <v>0</v>
      </c>
      <c r="II48" s="47"/>
      <c r="IJ48">
        <v>100</v>
      </c>
      <c r="IK48">
        <v>100</v>
      </c>
      <c r="IL48">
        <v>90</v>
      </c>
      <c r="IM48">
        <v>90</v>
      </c>
      <c r="IN48" s="42">
        <v>0</v>
      </c>
      <c r="IO48" s="47"/>
      <c r="IP48">
        <v>10</v>
      </c>
      <c r="IQ48">
        <v>10</v>
      </c>
      <c r="IT48" s="42">
        <v>0</v>
      </c>
      <c r="IU48" s="47"/>
      <c r="IV48">
        <v>30</v>
      </c>
      <c r="IW48">
        <v>30</v>
      </c>
      <c r="IZ48" s="42">
        <v>0</v>
      </c>
      <c r="JA48" s="44"/>
      <c r="JC48">
        <v>70</v>
      </c>
      <c r="JD48" s="39">
        <v>-70</v>
      </c>
      <c r="JE48" s="47">
        <v>6.3</v>
      </c>
      <c r="JF48">
        <v>150</v>
      </c>
      <c r="JG48">
        <v>150</v>
      </c>
      <c r="JH48">
        <v>100</v>
      </c>
      <c r="JI48">
        <v>107</v>
      </c>
      <c r="JJ48" s="42">
        <v>-7</v>
      </c>
      <c r="JK48" s="44"/>
      <c r="JL48" s="46">
        <v>20</v>
      </c>
      <c r="JM48" s="40">
        <v>20</v>
      </c>
      <c r="JN48" s="42">
        <v>0</v>
      </c>
      <c r="JO48" s="44"/>
      <c r="JT48" s="42">
        <v>0</v>
      </c>
      <c r="JU48" s="44"/>
      <c r="JV48">
        <v>50</v>
      </c>
      <c r="JW48">
        <v>50</v>
      </c>
      <c r="JZ48" s="42">
        <v>0</v>
      </c>
      <c r="KA48" s="47"/>
      <c r="KB48">
        <v>100</v>
      </c>
      <c r="KC48">
        <v>100</v>
      </c>
      <c r="KD48">
        <v>100</v>
      </c>
      <c r="KE48">
        <v>100</v>
      </c>
      <c r="KF48" s="42">
        <v>0</v>
      </c>
      <c r="KG48" s="44"/>
      <c r="KH48">
        <v>50</v>
      </c>
      <c r="KI48">
        <v>50</v>
      </c>
      <c r="KJ48">
        <v>230</v>
      </c>
      <c r="KK48">
        <v>230</v>
      </c>
      <c r="KL48" s="42">
        <v>0</v>
      </c>
      <c r="KM48" s="47"/>
      <c r="KN48" s="46">
        <v>30</v>
      </c>
      <c r="KO48">
        <v>30</v>
      </c>
      <c r="KP48">
        <v>30</v>
      </c>
      <c r="KQ48">
        <v>30</v>
      </c>
      <c r="KR48">
        <v>80</v>
      </c>
      <c r="KS48">
        <v>30</v>
      </c>
      <c r="KT48" s="42">
        <v>50</v>
      </c>
      <c r="KU48" s="47"/>
      <c r="KV48" s="40">
        <v>100</v>
      </c>
      <c r="KW48" s="40">
        <v>100</v>
      </c>
      <c r="KX48" s="40">
        <v>140</v>
      </c>
      <c r="KY48" s="40">
        <v>140</v>
      </c>
      <c r="KZ48" s="42">
        <v>0</v>
      </c>
      <c r="LA48" s="47"/>
      <c r="LB48" s="40">
        <v>0</v>
      </c>
      <c r="LC48" s="40">
        <v>0</v>
      </c>
      <c r="LD48" s="40">
        <v>80</v>
      </c>
      <c r="LE48" s="40">
        <v>80</v>
      </c>
      <c r="LF48" s="42">
        <v>0</v>
      </c>
      <c r="LG48" s="47"/>
      <c r="LH48" s="45">
        <v>140</v>
      </c>
      <c r="LI48" s="40">
        <v>74</v>
      </c>
      <c r="LJ48" s="42">
        <v>66</v>
      </c>
      <c r="LK48" s="47"/>
      <c r="LL48" s="45">
        <v>0</v>
      </c>
      <c r="LM48" s="40">
        <v>0</v>
      </c>
      <c r="LN48" s="40">
        <v>0</v>
      </c>
      <c r="LO48" s="40">
        <v>0</v>
      </c>
      <c r="LP48" s="42">
        <v>0</v>
      </c>
      <c r="LQ48" s="47"/>
      <c r="LR48" s="45">
        <v>100</v>
      </c>
      <c r="LS48" s="40">
        <v>100</v>
      </c>
      <c r="LT48" s="40">
        <v>170</v>
      </c>
      <c r="LU48" s="40">
        <v>170</v>
      </c>
      <c r="LV48" s="42">
        <v>0</v>
      </c>
      <c r="LW48" s="47"/>
      <c r="LX48" s="45">
        <v>120</v>
      </c>
      <c r="LY48" s="40">
        <v>120</v>
      </c>
      <c r="LZ48" s="42">
        <v>0</v>
      </c>
      <c r="MA48" s="47"/>
      <c r="MB48" s="45">
        <v>50</v>
      </c>
      <c r="MC48" s="40">
        <v>50</v>
      </c>
      <c r="MD48" s="40">
        <v>110</v>
      </c>
      <c r="ME48" s="40">
        <v>117</v>
      </c>
      <c r="MF48" s="42">
        <v>-7</v>
      </c>
      <c r="MG48" s="47"/>
      <c r="MH48" s="45">
        <v>180</v>
      </c>
      <c r="MI48" s="40">
        <v>182</v>
      </c>
      <c r="MJ48" s="42">
        <v>-2</v>
      </c>
      <c r="MK48" s="47"/>
      <c r="ML48" s="45">
        <v>0</v>
      </c>
      <c r="MM48" s="40">
        <v>0</v>
      </c>
      <c r="MN48" s="40">
        <v>0</v>
      </c>
      <c r="MO48" s="40">
        <v>0</v>
      </c>
      <c r="MP48" s="42">
        <v>0</v>
      </c>
      <c r="MQ48" s="47"/>
      <c r="MR48" s="40">
        <v>0</v>
      </c>
      <c r="MS48" s="40">
        <v>0</v>
      </c>
      <c r="MT48" s="40">
        <v>240</v>
      </c>
      <c r="MU48" s="40">
        <v>240</v>
      </c>
      <c r="MV48" s="42">
        <v>0</v>
      </c>
      <c r="MW48" s="47"/>
      <c r="MX48" s="45">
        <v>0</v>
      </c>
      <c r="MY48" s="40">
        <v>0</v>
      </c>
      <c r="MZ48" s="40">
        <v>30</v>
      </c>
      <c r="NA48" s="40">
        <v>36</v>
      </c>
      <c r="NB48" s="42">
        <v>-6</v>
      </c>
      <c r="NC48" s="47"/>
      <c r="ND48" s="45">
        <v>0</v>
      </c>
      <c r="NE48" s="30">
        <v>50</v>
      </c>
      <c r="NF48" s="40">
        <v>140</v>
      </c>
      <c r="NG48" s="40">
        <v>147</v>
      </c>
      <c r="NH48" s="39">
        <v>-57</v>
      </c>
      <c r="NI48" s="47">
        <v>5.13</v>
      </c>
      <c r="NJ48" s="45">
        <v>40</v>
      </c>
      <c r="NK48" s="40">
        <v>40</v>
      </c>
      <c r="NL48" s="40">
        <v>60</v>
      </c>
      <c r="NM48" s="40">
        <v>60</v>
      </c>
      <c r="NN48" s="42">
        <v>0</v>
      </c>
      <c r="NO48" s="47"/>
      <c r="NP48" s="45">
        <v>0</v>
      </c>
      <c r="NQ48" s="40">
        <v>0</v>
      </c>
      <c r="NR48" s="40">
        <v>80</v>
      </c>
      <c r="NS48" s="40">
        <v>80</v>
      </c>
      <c r="NT48" s="42">
        <v>0</v>
      </c>
      <c r="NU48" s="47"/>
      <c r="NV48" s="45">
        <v>0</v>
      </c>
      <c r="NW48" s="40">
        <v>0</v>
      </c>
      <c r="NX48" s="40">
        <v>20</v>
      </c>
      <c r="NY48" s="40">
        <v>20</v>
      </c>
      <c r="NZ48" s="42">
        <v>0</v>
      </c>
      <c r="OA48" s="47"/>
      <c r="OB48" s="45">
        <v>260</v>
      </c>
      <c r="OC48" s="40">
        <v>264</v>
      </c>
      <c r="OD48" s="42">
        <v>-4</v>
      </c>
      <c r="OE48" s="47"/>
      <c r="OF48" s="45">
        <v>0</v>
      </c>
      <c r="OG48" s="40">
        <v>0</v>
      </c>
      <c r="OH48" s="40">
        <v>120</v>
      </c>
      <c r="OI48" s="40">
        <v>120</v>
      </c>
      <c r="OJ48" s="42">
        <v>0</v>
      </c>
      <c r="OK48" s="47"/>
      <c r="OL48" s="45">
        <v>0</v>
      </c>
      <c r="OM48" s="40">
        <v>0</v>
      </c>
      <c r="ON48" s="40">
        <v>0</v>
      </c>
      <c r="OO48" s="40">
        <v>0</v>
      </c>
      <c r="OP48" s="42">
        <v>0</v>
      </c>
      <c r="OQ48" s="47"/>
      <c r="OR48" s="45">
        <v>120</v>
      </c>
      <c r="OS48" s="40">
        <v>120</v>
      </c>
      <c r="OT48" s="40">
        <v>130</v>
      </c>
      <c r="OU48" s="40">
        <v>130</v>
      </c>
      <c r="OV48" s="42">
        <v>0</v>
      </c>
      <c r="OW48" s="47"/>
      <c r="OX48" s="40">
        <v>50</v>
      </c>
      <c r="OY48" s="40">
        <v>50</v>
      </c>
      <c r="OZ48" s="40">
        <v>50</v>
      </c>
      <c r="PA48" s="40">
        <v>50</v>
      </c>
      <c r="PB48" s="42">
        <v>0</v>
      </c>
      <c r="PC48" s="47"/>
      <c r="PD48" s="45">
        <v>0</v>
      </c>
      <c r="PE48" s="40">
        <v>0</v>
      </c>
      <c r="PF48" s="40">
        <v>150</v>
      </c>
      <c r="PG48" s="40">
        <v>165</v>
      </c>
      <c r="PH48" s="39">
        <v>-15</v>
      </c>
      <c r="PI48" s="47">
        <v>1.35</v>
      </c>
      <c r="PJ48" s="45">
        <v>0</v>
      </c>
      <c r="PK48" s="40">
        <v>0</v>
      </c>
      <c r="PL48" s="40">
        <v>100</v>
      </c>
      <c r="PM48" s="40">
        <v>100</v>
      </c>
      <c r="PN48" s="42">
        <v>0</v>
      </c>
      <c r="PO48" s="47"/>
      <c r="PP48" s="43">
        <v>0</v>
      </c>
      <c r="PQ48" s="40">
        <v>0</v>
      </c>
      <c r="PR48" s="40">
        <v>50</v>
      </c>
      <c r="PS48" s="40">
        <v>50</v>
      </c>
      <c r="PT48" s="42">
        <v>0</v>
      </c>
      <c r="PU48" s="47"/>
      <c r="PV48" s="45">
        <v>0</v>
      </c>
      <c r="PW48" s="40">
        <v>0</v>
      </c>
      <c r="PX48" s="40">
        <v>80</v>
      </c>
      <c r="PY48" s="40">
        <v>80</v>
      </c>
      <c r="PZ48" s="42">
        <v>0</v>
      </c>
      <c r="QA48" s="47"/>
      <c r="QB48" s="45">
        <v>150</v>
      </c>
      <c r="QC48" s="40">
        <v>150</v>
      </c>
      <c r="QD48" s="42">
        <v>0</v>
      </c>
      <c r="QE48" s="47"/>
      <c r="QF48" s="45">
        <v>0</v>
      </c>
      <c r="QG48" s="40">
        <v>0</v>
      </c>
      <c r="QH48" s="40">
        <v>0</v>
      </c>
      <c r="QI48" s="40">
        <v>0</v>
      </c>
      <c r="QJ48" s="42">
        <v>0</v>
      </c>
      <c r="QK48" s="47"/>
      <c r="QL48" s="45">
        <v>0</v>
      </c>
      <c r="QM48" s="40">
        <v>0</v>
      </c>
      <c r="QN48" s="40">
        <v>0</v>
      </c>
      <c r="QO48" s="40">
        <v>0</v>
      </c>
      <c r="QP48" s="42">
        <v>0</v>
      </c>
      <c r="QQ48" s="47"/>
      <c r="QR48" s="45">
        <v>90</v>
      </c>
      <c r="QS48" s="40">
        <v>90</v>
      </c>
      <c r="QT48" s="40">
        <v>0</v>
      </c>
      <c r="QU48" s="40">
        <v>110</v>
      </c>
      <c r="QV48" s="39">
        <v>-110</v>
      </c>
      <c r="QW48" s="47">
        <v>9.9</v>
      </c>
      <c r="QX48" s="45">
        <v>100</v>
      </c>
      <c r="QY48" s="40">
        <v>100</v>
      </c>
      <c r="QZ48" s="40">
        <v>0</v>
      </c>
      <c r="RA48" s="40">
        <v>0</v>
      </c>
      <c r="RB48" s="42">
        <v>0</v>
      </c>
      <c r="RC48" s="47"/>
      <c r="RD48" s="45">
        <v>240</v>
      </c>
      <c r="RE48" s="40">
        <v>247.6</v>
      </c>
      <c r="RF48" s="42">
        <v>-7.6000000000000227</v>
      </c>
      <c r="RG48" s="47"/>
    </row>
    <row r="49" spans="1:475" x14ac:dyDescent="0.25">
      <c r="A49" s="40" t="s">
        <v>338</v>
      </c>
      <c r="B49" s="41">
        <v>0.4</v>
      </c>
      <c r="E49">
        <v>50</v>
      </c>
      <c r="F49">
        <v>50</v>
      </c>
      <c r="I49">
        <v>100</v>
      </c>
      <c r="N49" s="46">
        <v>80</v>
      </c>
      <c r="O49" s="49">
        <v>80</v>
      </c>
      <c r="P49" s="48"/>
      <c r="Q49" s="48"/>
      <c r="R49" s="48">
        <f t="shared" si="8"/>
        <v>0</v>
      </c>
      <c r="S49" s="44"/>
      <c r="T49" s="46">
        <v>96</v>
      </c>
      <c r="U49" s="49">
        <v>100</v>
      </c>
      <c r="V49" s="49">
        <v>96</v>
      </c>
      <c r="W49" s="49">
        <v>100</v>
      </c>
      <c r="X49" s="48">
        <f t="shared" si="9"/>
        <v>-8</v>
      </c>
      <c r="Y49" s="44"/>
      <c r="Z49" s="46">
        <v>96</v>
      </c>
      <c r="AA49" s="49">
        <v>100</v>
      </c>
      <c r="AB49" s="49">
        <v>96</v>
      </c>
      <c r="AC49" s="49">
        <v>100</v>
      </c>
      <c r="AD49" s="48">
        <f t="shared" si="10"/>
        <v>-8</v>
      </c>
      <c r="AE49" s="44"/>
      <c r="AF49" s="46">
        <v>72</v>
      </c>
      <c r="AG49" s="49">
        <v>77</v>
      </c>
      <c r="AH49" s="49">
        <v>96</v>
      </c>
      <c r="AI49" s="49">
        <v>100</v>
      </c>
      <c r="AJ49" s="48">
        <f t="shared" si="11"/>
        <v>-9</v>
      </c>
      <c r="AK49" s="44"/>
      <c r="AL49" s="49">
        <v>56</v>
      </c>
      <c r="AM49">
        <v>60</v>
      </c>
      <c r="AN49">
        <v>40</v>
      </c>
      <c r="AO49">
        <v>40</v>
      </c>
      <c r="AP49" s="42">
        <v>-4</v>
      </c>
      <c r="AQ49" s="44"/>
      <c r="AR49" s="46">
        <v>72</v>
      </c>
      <c r="AS49">
        <v>70</v>
      </c>
      <c r="AT49">
        <v>80</v>
      </c>
      <c r="AU49">
        <v>80</v>
      </c>
      <c r="AV49" s="42">
        <v>2</v>
      </c>
      <c r="AW49" s="44"/>
      <c r="BC49" s="42">
        <v>0</v>
      </c>
      <c r="BD49" s="44"/>
      <c r="BE49" s="43"/>
      <c r="BI49" s="42">
        <v>0</v>
      </c>
      <c r="BJ49" s="44"/>
      <c r="BM49">
        <v>128</v>
      </c>
      <c r="BN49">
        <v>130</v>
      </c>
      <c r="BO49" s="42">
        <v>-2</v>
      </c>
      <c r="BP49" s="44"/>
      <c r="BS49" s="42">
        <v>0</v>
      </c>
      <c r="BT49" s="44"/>
      <c r="BU49" s="46">
        <v>248</v>
      </c>
      <c r="BV49">
        <v>250</v>
      </c>
      <c r="BW49">
        <v>160</v>
      </c>
      <c r="BX49">
        <v>160</v>
      </c>
      <c r="BY49" s="42">
        <v>-2</v>
      </c>
      <c r="BZ49" s="44"/>
      <c r="CA49">
        <v>152</v>
      </c>
      <c r="CB49">
        <v>150</v>
      </c>
      <c r="CC49">
        <v>48</v>
      </c>
      <c r="CD49">
        <v>50</v>
      </c>
      <c r="CE49" s="42">
        <v>0</v>
      </c>
      <c r="CF49" s="44"/>
      <c r="CG49" s="46">
        <v>128</v>
      </c>
      <c r="CH49">
        <v>130</v>
      </c>
      <c r="CI49">
        <v>272</v>
      </c>
      <c r="CJ49">
        <v>270</v>
      </c>
      <c r="CK49" s="42">
        <v>0</v>
      </c>
      <c r="CL49" s="44"/>
      <c r="CM49" s="43"/>
      <c r="CQ49" s="42">
        <v>0</v>
      </c>
      <c r="CR49" s="44"/>
      <c r="CS49">
        <v>48</v>
      </c>
      <c r="CT49" s="40">
        <v>50</v>
      </c>
      <c r="CU49">
        <v>96</v>
      </c>
      <c r="CV49" s="40">
        <v>100</v>
      </c>
      <c r="CW49" s="42">
        <v>-6</v>
      </c>
      <c r="CX49" s="44"/>
      <c r="CY49" s="46">
        <v>160</v>
      </c>
      <c r="CZ49" s="42">
        <v>160</v>
      </c>
      <c r="DA49">
        <v>200</v>
      </c>
      <c r="DB49">
        <v>200</v>
      </c>
      <c r="DC49" s="42">
        <v>0</v>
      </c>
      <c r="DD49" s="44"/>
      <c r="DE49" s="43"/>
      <c r="DK49" s="42">
        <v>0</v>
      </c>
      <c r="DL49" s="44"/>
      <c r="DM49" s="43"/>
      <c r="DQ49" s="42">
        <v>0</v>
      </c>
      <c r="DR49" s="44"/>
      <c r="DZ49" s="44"/>
      <c r="EA49" s="43"/>
      <c r="EF49" s="44"/>
      <c r="EG49" s="43"/>
      <c r="EL49" s="44"/>
      <c r="EM49" s="46"/>
      <c r="ER49" s="44"/>
      <c r="EZ49" s="44"/>
      <c r="FF49" s="44"/>
      <c r="FG49" s="43"/>
      <c r="FL49" s="44"/>
      <c r="FM49" s="43"/>
      <c r="FP49" s="44"/>
      <c r="FV49" s="44"/>
      <c r="FW49" s="46"/>
      <c r="GD49" s="44"/>
      <c r="GJ49" s="44"/>
      <c r="GK49" s="43"/>
      <c r="GP49" s="47"/>
      <c r="GV49" s="44"/>
      <c r="GZ49" s="47"/>
      <c r="HA49" s="43"/>
      <c r="HD49" s="44"/>
      <c r="HE49" s="43"/>
      <c r="HJ49" s="47"/>
      <c r="HK49" s="46"/>
      <c r="HP49" s="44"/>
      <c r="HW49" s="44"/>
      <c r="HX49" s="45"/>
      <c r="IC49" s="44"/>
      <c r="II49" s="47"/>
      <c r="IO49" s="47"/>
      <c r="IU49" s="47"/>
      <c r="JA49" s="44"/>
      <c r="JE49" s="47"/>
      <c r="JK49" s="44"/>
      <c r="JL49" s="46"/>
      <c r="JO49" s="44"/>
      <c r="JU49" s="44"/>
      <c r="KA49" s="47"/>
      <c r="KG49" s="44"/>
      <c r="KM49" s="47"/>
      <c r="KN49" s="46"/>
      <c r="KU49" s="47"/>
      <c r="LA49" s="47"/>
      <c r="LG49" s="47"/>
      <c r="LH49" s="45"/>
      <c r="LK49" s="47"/>
      <c r="LL49" s="45"/>
      <c r="LQ49" s="47"/>
      <c r="LR49" s="45"/>
      <c r="LV49" s="42"/>
      <c r="LW49" s="47"/>
      <c r="LX49" s="45"/>
      <c r="LZ49" s="42"/>
      <c r="MA49" s="47"/>
      <c r="MB49" s="45"/>
      <c r="MF49" s="42"/>
      <c r="MG49" s="47"/>
      <c r="MH49" s="45"/>
      <c r="MJ49" s="42"/>
      <c r="MK49" s="47"/>
      <c r="ML49" s="45"/>
      <c r="MP49" s="42"/>
      <c r="MQ49" s="47"/>
      <c r="MV49" s="42"/>
      <c r="MW49" s="47"/>
      <c r="MX49" s="45"/>
      <c r="NB49" s="42"/>
      <c r="NC49" s="47"/>
      <c r="ND49" s="45"/>
      <c r="NH49" s="42"/>
      <c r="NI49" s="47"/>
      <c r="NJ49" s="45"/>
      <c r="NN49" s="42"/>
      <c r="NO49" s="47"/>
      <c r="NP49" s="45"/>
      <c r="NT49" s="42"/>
      <c r="NU49" s="47"/>
      <c r="NV49" s="45"/>
      <c r="NZ49" s="42"/>
      <c r="OA49" s="47"/>
      <c r="OB49" s="45"/>
      <c r="OD49" s="42"/>
      <c r="OE49" s="47"/>
      <c r="OF49" s="45"/>
      <c r="OJ49" s="42"/>
      <c r="OK49" s="47"/>
      <c r="OL49" s="45"/>
      <c r="OP49" s="42"/>
      <c r="OQ49" s="47"/>
      <c r="OR49" s="45"/>
      <c r="OV49" s="42"/>
      <c r="OW49" s="47"/>
      <c r="PB49" s="42"/>
      <c r="PC49" s="47"/>
      <c r="PD49" s="45"/>
      <c r="PH49" s="42"/>
      <c r="PI49" s="47"/>
      <c r="PJ49" s="45"/>
      <c r="PN49" s="42"/>
      <c r="PO49" s="47"/>
      <c r="PP49" s="43"/>
      <c r="PT49" s="42"/>
      <c r="PU49" s="47"/>
      <c r="PV49" s="45"/>
      <c r="PZ49" s="42"/>
      <c r="QA49" s="47"/>
      <c r="QB49" s="45"/>
      <c r="QD49" s="42"/>
      <c r="QE49" s="47"/>
      <c r="QF49" s="45"/>
      <c r="QJ49" s="42"/>
      <c r="QK49" s="47"/>
      <c r="QL49" s="45"/>
      <c r="QP49" s="42"/>
      <c r="QQ49" s="47"/>
      <c r="QR49" s="45"/>
      <c r="QV49" s="42"/>
      <c r="QW49" s="47"/>
      <c r="QX49" s="45"/>
      <c r="RB49" s="42"/>
      <c r="RC49" s="47"/>
      <c r="RD49" s="45"/>
      <c r="RF49" s="42"/>
      <c r="RG49" s="47"/>
    </row>
    <row r="50" spans="1:475" x14ac:dyDescent="0.25">
      <c r="A50" s="40" t="s">
        <v>339</v>
      </c>
      <c r="B50" s="41">
        <v>0.15</v>
      </c>
      <c r="E50">
        <v>30</v>
      </c>
      <c r="N50" s="43"/>
      <c r="O50" s="48"/>
      <c r="P50" s="48"/>
      <c r="Q50" s="48"/>
      <c r="R50" s="48">
        <f t="shared" si="8"/>
        <v>0</v>
      </c>
      <c r="S50" s="44"/>
      <c r="T50" s="46">
        <v>96</v>
      </c>
      <c r="U50" s="49">
        <v>100</v>
      </c>
      <c r="V50" s="49">
        <v>96</v>
      </c>
      <c r="W50" s="49">
        <v>100</v>
      </c>
      <c r="X50" s="48">
        <f t="shared" si="9"/>
        <v>-8</v>
      </c>
      <c r="Y50" s="44"/>
      <c r="Z50" s="46">
        <v>32</v>
      </c>
      <c r="AA50" s="49">
        <v>30</v>
      </c>
      <c r="AB50" s="48"/>
      <c r="AC50" s="48"/>
      <c r="AD50" s="48">
        <f t="shared" si="10"/>
        <v>2</v>
      </c>
      <c r="AE50" s="44"/>
      <c r="AF50" s="46">
        <v>16</v>
      </c>
      <c r="AG50" s="49">
        <v>20</v>
      </c>
      <c r="AH50" s="48"/>
      <c r="AI50" s="48"/>
      <c r="AJ50" s="48">
        <f t="shared" si="11"/>
        <v>-4</v>
      </c>
      <c r="AK50" s="44"/>
      <c r="AL50" s="48"/>
      <c r="AN50">
        <v>48</v>
      </c>
      <c r="AO50">
        <v>50</v>
      </c>
      <c r="AP50" s="42">
        <v>-2</v>
      </c>
      <c r="AQ50" s="44"/>
      <c r="AR50" s="46">
        <v>32</v>
      </c>
      <c r="AS50">
        <v>30</v>
      </c>
      <c r="AT50">
        <v>32</v>
      </c>
      <c r="AU50">
        <v>30</v>
      </c>
      <c r="AV50" s="42">
        <v>4</v>
      </c>
      <c r="AW50" s="44"/>
      <c r="AX50">
        <v>40</v>
      </c>
      <c r="AZ50">
        <v>40</v>
      </c>
      <c r="BC50" s="42">
        <v>0</v>
      </c>
      <c r="BD50" s="44"/>
      <c r="BE50" s="46">
        <v>48</v>
      </c>
      <c r="BF50">
        <v>50</v>
      </c>
      <c r="BI50" s="42">
        <v>-2</v>
      </c>
      <c r="BJ50" s="44"/>
      <c r="BM50">
        <v>48</v>
      </c>
      <c r="BN50">
        <v>50</v>
      </c>
      <c r="BO50" s="42">
        <v>-2</v>
      </c>
      <c r="BP50" s="44"/>
      <c r="BS50" s="42">
        <v>0</v>
      </c>
      <c r="BT50" s="44"/>
      <c r="BU50" s="46">
        <v>136</v>
      </c>
      <c r="BV50">
        <v>140</v>
      </c>
      <c r="BW50">
        <v>48</v>
      </c>
      <c r="BX50" s="42">
        <v>50</v>
      </c>
      <c r="BY50" s="42">
        <v>-6</v>
      </c>
      <c r="BZ50" s="44"/>
      <c r="CE50" s="42">
        <v>0</v>
      </c>
      <c r="CF50" s="44"/>
      <c r="CG50" s="43"/>
      <c r="CI50">
        <v>80</v>
      </c>
      <c r="CJ50">
        <v>80</v>
      </c>
      <c r="CK50" s="42">
        <v>0</v>
      </c>
      <c r="CL50" s="44"/>
      <c r="CM50" s="46">
        <v>96</v>
      </c>
      <c r="CN50" s="42">
        <v>100</v>
      </c>
      <c r="CQ50" s="42">
        <v>-4</v>
      </c>
      <c r="CR50" s="44"/>
      <c r="CW50" s="42">
        <v>0</v>
      </c>
      <c r="CX50" s="44"/>
      <c r="CY50" s="43"/>
      <c r="DC50" s="42">
        <v>0</v>
      </c>
      <c r="DD50" s="44"/>
      <c r="DE50" s="45"/>
      <c r="DK50" s="42">
        <v>0</v>
      </c>
      <c r="DL50" s="44"/>
      <c r="DM50" s="45"/>
      <c r="DQ50" s="42">
        <v>0</v>
      </c>
      <c r="DR50" s="44"/>
      <c r="DZ50" s="44"/>
      <c r="EA50" s="43"/>
      <c r="EF50" s="44"/>
      <c r="EG50" s="43"/>
      <c r="EL50" s="44"/>
      <c r="EM50" s="46"/>
      <c r="ER50" s="44"/>
      <c r="EZ50" s="44"/>
      <c r="FF50" s="44"/>
      <c r="FG50" s="43"/>
      <c r="FL50" s="44"/>
      <c r="FM50" s="43"/>
      <c r="FP50" s="44"/>
      <c r="FV50" s="44"/>
      <c r="FW50" s="46"/>
      <c r="GD50" s="44"/>
      <c r="GJ50" s="44"/>
      <c r="GK50" s="43"/>
      <c r="GP50" s="47"/>
      <c r="GV50" s="44"/>
      <c r="GZ50" s="47"/>
      <c r="HA50" s="43"/>
      <c r="HD50" s="44"/>
      <c r="HE50" s="43"/>
      <c r="HJ50" s="47"/>
      <c r="HK50" s="46"/>
      <c r="HP50" s="44"/>
      <c r="HW50" s="44"/>
      <c r="HX50" s="45"/>
      <c r="IC50" s="44"/>
      <c r="II50" s="47"/>
      <c r="IO50" s="47"/>
      <c r="IU50" s="47"/>
      <c r="JA50" s="44"/>
      <c r="JE50" s="47"/>
      <c r="JK50" s="44"/>
      <c r="JL50" s="46"/>
      <c r="JO50" s="44"/>
      <c r="JU50" s="44"/>
      <c r="KA50" s="47"/>
      <c r="KG50" s="44"/>
      <c r="KM50" s="47"/>
      <c r="KN50" s="46"/>
      <c r="KU50" s="47"/>
      <c r="LA50" s="47"/>
      <c r="LG50" s="47"/>
      <c r="LH50" s="45"/>
      <c r="LK50" s="47"/>
      <c r="LL50" s="45"/>
      <c r="LM50" s="42"/>
      <c r="LQ50" s="47"/>
      <c r="LR50" s="45"/>
      <c r="LV50" s="42"/>
      <c r="LW50" s="47"/>
      <c r="LX50" s="45"/>
      <c r="LZ50" s="42"/>
      <c r="MA50" s="47"/>
      <c r="MB50" s="45"/>
      <c r="MF50" s="42"/>
      <c r="MG50" s="47"/>
      <c r="MH50" s="45"/>
      <c r="MJ50" s="42"/>
      <c r="MK50" s="47"/>
      <c r="ML50" s="45"/>
      <c r="MP50" s="42"/>
      <c r="MQ50" s="47"/>
      <c r="MV50" s="42"/>
      <c r="MW50" s="47"/>
      <c r="MX50" s="45"/>
      <c r="NB50" s="42"/>
      <c r="NC50" s="47"/>
      <c r="ND50" s="45"/>
      <c r="NH50" s="42"/>
      <c r="NI50" s="47"/>
      <c r="NJ50" s="45"/>
      <c r="NN50" s="42"/>
      <c r="NO50" s="47"/>
      <c r="NP50" s="45"/>
      <c r="NT50" s="42"/>
      <c r="NU50" s="47"/>
      <c r="NV50" s="45"/>
      <c r="NZ50" s="42"/>
      <c r="OA50" s="47"/>
      <c r="OB50" s="45"/>
      <c r="OD50" s="42"/>
      <c r="OE50" s="47"/>
      <c r="OF50" s="45"/>
      <c r="OJ50" s="42"/>
      <c r="OK50" s="47"/>
      <c r="OL50" s="45"/>
      <c r="OP50" s="42"/>
      <c r="OQ50" s="47"/>
      <c r="OR50" s="45"/>
      <c r="OV50" s="42"/>
      <c r="OW50" s="47"/>
      <c r="PB50" s="42"/>
      <c r="PC50" s="47"/>
      <c r="PD50" s="45"/>
      <c r="PH50" s="42"/>
      <c r="PI50" s="47"/>
      <c r="PJ50" s="45"/>
      <c r="PN50" s="42"/>
      <c r="PO50" s="47"/>
      <c r="PP50" s="43"/>
      <c r="PT50" s="42"/>
      <c r="PU50" s="47"/>
      <c r="PV50" s="45"/>
      <c r="PZ50" s="42"/>
      <c r="QA50" s="47"/>
      <c r="QB50" s="45"/>
      <c r="QD50" s="42"/>
      <c r="QE50" s="47"/>
      <c r="QF50" s="45"/>
      <c r="QJ50" s="42"/>
      <c r="QK50" s="47"/>
      <c r="QL50" s="45"/>
      <c r="QP50" s="42"/>
      <c r="QQ50" s="47"/>
      <c r="QR50" s="45"/>
      <c r="QV50" s="42"/>
      <c r="QW50" s="47"/>
      <c r="QX50" s="45"/>
      <c r="RB50" s="42"/>
      <c r="RC50" s="47"/>
      <c r="RD50" s="45"/>
      <c r="RF50" s="42"/>
      <c r="RG50" s="47"/>
    </row>
    <row r="51" spans="1:475" x14ac:dyDescent="0.25">
      <c r="A51" s="40" t="s">
        <v>340</v>
      </c>
      <c r="B51" s="41">
        <v>0.3</v>
      </c>
      <c r="N51" s="43"/>
      <c r="O51" s="48"/>
      <c r="P51" s="48"/>
      <c r="Q51" s="48"/>
      <c r="R51" s="48">
        <f t="shared" si="8"/>
        <v>0</v>
      </c>
      <c r="S51" s="44"/>
      <c r="T51" s="43"/>
      <c r="U51" s="48"/>
      <c r="V51" s="48"/>
      <c r="W51" s="48"/>
      <c r="X51" s="48">
        <f t="shared" si="9"/>
        <v>0</v>
      </c>
      <c r="Y51" s="44"/>
      <c r="Z51" s="43"/>
      <c r="AA51" s="48"/>
      <c r="AB51" s="48"/>
      <c r="AC51" s="48"/>
      <c r="AD51" s="48">
        <f t="shared" si="10"/>
        <v>0</v>
      </c>
      <c r="AE51" s="44"/>
      <c r="AF51" s="43"/>
      <c r="AG51" s="48"/>
      <c r="AH51" s="48"/>
      <c r="AI51" s="48"/>
      <c r="AJ51" s="48">
        <f t="shared" si="11"/>
        <v>0</v>
      </c>
      <c r="AK51" s="44"/>
      <c r="AL51" s="48"/>
      <c r="AP51" s="42">
        <v>0</v>
      </c>
      <c r="AQ51" s="44"/>
      <c r="AR51" s="43"/>
      <c r="AV51" s="42">
        <v>0</v>
      </c>
      <c r="AW51" s="44"/>
      <c r="BC51" s="42">
        <v>0</v>
      </c>
      <c r="BD51" s="44"/>
      <c r="BE51" s="43"/>
      <c r="BI51" s="42">
        <v>0</v>
      </c>
      <c r="BJ51" s="44"/>
      <c r="BO51" s="42">
        <v>0</v>
      </c>
      <c r="BP51" s="44"/>
      <c r="BS51" s="42">
        <v>0</v>
      </c>
      <c r="BT51" s="44"/>
      <c r="BU51" s="43"/>
      <c r="BY51" s="42">
        <v>0</v>
      </c>
      <c r="BZ51" s="44"/>
      <c r="CE51" s="42">
        <v>0</v>
      </c>
      <c r="CF51" s="44"/>
      <c r="CG51" s="43"/>
      <c r="CK51" s="42">
        <v>0</v>
      </c>
      <c r="CL51" s="44"/>
      <c r="CM51" s="43"/>
      <c r="CQ51" s="42">
        <v>0</v>
      </c>
      <c r="CR51" s="44"/>
      <c r="CW51" s="42">
        <v>0</v>
      </c>
      <c r="CX51" s="44"/>
      <c r="CY51" s="43"/>
      <c r="DC51" s="42">
        <v>0</v>
      </c>
      <c r="DD51" s="44"/>
      <c r="DE51" s="43"/>
      <c r="DK51" s="42">
        <v>0</v>
      </c>
      <c r="DL51" s="44"/>
      <c r="DM51" s="43"/>
      <c r="DQ51" s="42">
        <v>0</v>
      </c>
      <c r="DR51" s="44"/>
      <c r="DY51" s="42">
        <v>0</v>
      </c>
      <c r="DZ51" s="44"/>
      <c r="EA51" s="43"/>
      <c r="EE51" s="42">
        <v>0</v>
      </c>
      <c r="EF51" s="44"/>
      <c r="EG51" s="43"/>
      <c r="EK51" s="42">
        <v>0</v>
      </c>
      <c r="EL51" s="44"/>
      <c r="EM51" s="43"/>
      <c r="EQ51" s="42">
        <v>0</v>
      </c>
      <c r="ER51" s="44"/>
      <c r="EY51" s="42">
        <v>0</v>
      </c>
      <c r="EZ51" s="44"/>
      <c r="FE51" s="42">
        <v>0</v>
      </c>
      <c r="FF51" s="44"/>
      <c r="FG51" s="43"/>
      <c r="FK51" s="42">
        <v>0</v>
      </c>
      <c r="FL51" s="44"/>
      <c r="FM51" s="43"/>
      <c r="FO51" s="42">
        <v>0</v>
      </c>
      <c r="FP51" s="44"/>
      <c r="FU51" s="42">
        <v>0</v>
      </c>
      <c r="FV51" s="44"/>
      <c r="FW51" s="43"/>
      <c r="GC51" s="42">
        <v>0</v>
      </c>
      <c r="GD51" s="44"/>
      <c r="GI51" s="42">
        <v>0</v>
      </c>
      <c r="GJ51" s="44"/>
      <c r="GK51" s="43"/>
      <c r="GO51" s="42">
        <v>0</v>
      </c>
      <c r="GP51" s="47"/>
      <c r="GU51" s="42">
        <v>0</v>
      </c>
      <c r="GV51" s="44"/>
      <c r="GY51" s="42">
        <v>0</v>
      </c>
      <c r="GZ51" s="47"/>
      <c r="HA51" s="43"/>
      <c r="HC51" s="42">
        <v>0</v>
      </c>
      <c r="HD51" s="44"/>
      <c r="HE51" s="43"/>
      <c r="HI51" s="42">
        <v>0</v>
      </c>
      <c r="HJ51" s="47"/>
      <c r="HK51" s="43"/>
      <c r="HO51" s="42">
        <v>0</v>
      </c>
      <c r="HP51" s="44"/>
      <c r="HV51" s="42">
        <v>0</v>
      </c>
      <c r="HW51" s="44"/>
      <c r="HX51" s="45"/>
      <c r="IB51" s="42">
        <v>0</v>
      </c>
      <c r="IC51" s="44"/>
      <c r="IH51" s="42">
        <v>0</v>
      </c>
      <c r="II51" s="47"/>
      <c r="IN51" s="42">
        <v>0</v>
      </c>
      <c r="IO51" s="47"/>
      <c r="IT51" s="42">
        <v>0</v>
      </c>
      <c r="IU51" s="47"/>
      <c r="IZ51" s="42">
        <v>0</v>
      </c>
      <c r="JA51" s="44"/>
      <c r="JD51" s="42">
        <v>0</v>
      </c>
      <c r="JE51" s="44"/>
      <c r="JJ51" s="42">
        <v>0</v>
      </c>
      <c r="JK51" s="44"/>
      <c r="JL51" s="45"/>
      <c r="JN51" s="42">
        <v>0</v>
      </c>
      <c r="JO51" s="44"/>
      <c r="JT51" s="42">
        <v>0</v>
      </c>
      <c r="JU51" s="44"/>
      <c r="JZ51" s="42">
        <v>0</v>
      </c>
      <c r="KA51" s="47"/>
      <c r="KF51" s="42">
        <v>0</v>
      </c>
      <c r="KG51" s="44"/>
      <c r="KH51" s="41"/>
      <c r="KL51" s="42">
        <v>0</v>
      </c>
      <c r="KM51" s="47"/>
      <c r="KN51" s="45"/>
      <c r="KT51" s="42">
        <v>0</v>
      </c>
      <c r="KU51" s="47"/>
      <c r="KV51" s="40">
        <v>0</v>
      </c>
      <c r="KW51" s="40">
        <v>0</v>
      </c>
      <c r="KX51" s="40">
        <v>0</v>
      </c>
      <c r="KY51" s="40">
        <v>0</v>
      </c>
      <c r="KZ51" s="42">
        <v>0</v>
      </c>
      <c r="LA51" s="47"/>
      <c r="LB51" s="40">
        <v>0</v>
      </c>
      <c r="LC51" s="40">
        <v>0</v>
      </c>
      <c r="LD51" s="40">
        <v>0</v>
      </c>
      <c r="LE51" s="40">
        <v>0</v>
      </c>
      <c r="LF51" s="42">
        <v>0</v>
      </c>
      <c r="LG51" s="47"/>
      <c r="LH51" s="45">
        <v>0</v>
      </c>
      <c r="LI51" s="40">
        <v>0</v>
      </c>
      <c r="LJ51" s="42">
        <v>0</v>
      </c>
      <c r="LK51" s="47"/>
      <c r="LL51" s="45">
        <v>0</v>
      </c>
      <c r="LM51" s="40">
        <v>0</v>
      </c>
      <c r="LN51" s="40">
        <v>0</v>
      </c>
      <c r="LO51" s="40">
        <v>0</v>
      </c>
      <c r="LP51" s="42">
        <v>0</v>
      </c>
      <c r="LQ51" s="47"/>
      <c r="LR51" s="45">
        <v>0</v>
      </c>
      <c r="LS51" s="40">
        <v>0</v>
      </c>
      <c r="LT51" s="40">
        <v>0</v>
      </c>
      <c r="LU51" s="40">
        <v>0</v>
      </c>
      <c r="LV51" s="42">
        <v>0</v>
      </c>
      <c r="LW51" s="47"/>
      <c r="LX51" s="45">
        <v>0</v>
      </c>
      <c r="LY51" s="40">
        <v>0</v>
      </c>
      <c r="LZ51" s="42">
        <v>0</v>
      </c>
      <c r="MA51" s="47"/>
      <c r="MB51" s="45">
        <v>0</v>
      </c>
      <c r="MC51" s="40">
        <v>0</v>
      </c>
      <c r="MD51" s="40">
        <v>0</v>
      </c>
      <c r="ME51" s="40">
        <v>0</v>
      </c>
      <c r="MF51" s="42">
        <v>0</v>
      </c>
      <c r="MG51" s="47"/>
      <c r="MH51" s="45">
        <v>0</v>
      </c>
      <c r="MI51" s="40">
        <v>0</v>
      </c>
      <c r="MJ51" s="42">
        <v>0</v>
      </c>
      <c r="MK51" s="47"/>
      <c r="ML51" s="45">
        <v>0</v>
      </c>
      <c r="MM51" s="40">
        <v>0</v>
      </c>
      <c r="MN51" s="40">
        <v>0</v>
      </c>
      <c r="MO51" s="40">
        <v>0</v>
      </c>
      <c r="MP51" s="42">
        <v>0</v>
      </c>
      <c r="MQ51" s="47"/>
      <c r="MR51" s="40">
        <v>0</v>
      </c>
      <c r="MS51" s="40">
        <v>0</v>
      </c>
      <c r="MT51" s="40">
        <v>0</v>
      </c>
      <c r="MU51" s="40">
        <v>0</v>
      </c>
      <c r="MV51" s="42">
        <v>0</v>
      </c>
      <c r="MW51" s="47"/>
      <c r="MX51" s="45">
        <v>0</v>
      </c>
      <c r="MY51" s="40">
        <v>0</v>
      </c>
      <c r="MZ51" s="40">
        <v>0</v>
      </c>
      <c r="NA51" s="40">
        <v>0</v>
      </c>
      <c r="NB51" s="42">
        <v>0</v>
      </c>
      <c r="NC51" s="47"/>
      <c r="ND51" s="45">
        <v>0</v>
      </c>
      <c r="NE51" s="40">
        <v>0</v>
      </c>
      <c r="NF51" s="40">
        <v>0</v>
      </c>
      <c r="NG51" s="40">
        <v>0</v>
      </c>
      <c r="NH51" s="42">
        <v>0</v>
      </c>
      <c r="NI51" s="47"/>
      <c r="NJ51" s="45">
        <v>0</v>
      </c>
      <c r="NK51" s="40">
        <v>0</v>
      </c>
      <c r="NL51" s="40">
        <v>0</v>
      </c>
      <c r="NM51" s="40">
        <v>0</v>
      </c>
      <c r="NN51" s="42">
        <v>0</v>
      </c>
      <c r="NO51" s="47"/>
      <c r="NP51" s="45">
        <v>0</v>
      </c>
      <c r="NQ51" s="40">
        <v>0</v>
      </c>
      <c r="NR51" s="40">
        <v>0</v>
      </c>
      <c r="NS51" s="40">
        <v>0</v>
      </c>
      <c r="NT51" s="42">
        <v>0</v>
      </c>
      <c r="NU51" s="47"/>
      <c r="NV51" s="45">
        <v>0</v>
      </c>
      <c r="NW51" s="40">
        <v>0</v>
      </c>
      <c r="NX51" s="40">
        <v>0</v>
      </c>
      <c r="NY51" s="40">
        <v>0</v>
      </c>
      <c r="NZ51" s="42">
        <v>0</v>
      </c>
      <c r="OA51" s="47"/>
      <c r="OB51" s="45">
        <v>0</v>
      </c>
      <c r="OC51" s="40">
        <v>0</v>
      </c>
      <c r="OD51" s="42">
        <v>0</v>
      </c>
      <c r="OE51" s="47"/>
      <c r="OF51" s="45">
        <v>0</v>
      </c>
      <c r="OG51" s="40">
        <v>0</v>
      </c>
      <c r="OH51" s="40">
        <v>0</v>
      </c>
      <c r="OI51" s="40">
        <v>0</v>
      </c>
      <c r="OJ51" s="42">
        <v>0</v>
      </c>
      <c r="OK51" s="47"/>
      <c r="OL51" s="45">
        <v>0</v>
      </c>
      <c r="OM51" s="40">
        <v>0</v>
      </c>
      <c r="ON51" s="40">
        <v>0</v>
      </c>
      <c r="OO51" s="40">
        <v>0</v>
      </c>
      <c r="OP51" s="42">
        <v>0</v>
      </c>
      <c r="OQ51" s="47"/>
      <c r="OR51" s="45">
        <v>0</v>
      </c>
      <c r="OS51" s="40">
        <v>0</v>
      </c>
      <c r="OT51" s="40">
        <v>0</v>
      </c>
      <c r="OU51" s="40">
        <v>0</v>
      </c>
      <c r="OV51" s="42">
        <v>0</v>
      </c>
      <c r="OW51" s="47"/>
      <c r="OX51" s="40">
        <v>0</v>
      </c>
      <c r="OY51" s="40">
        <v>0</v>
      </c>
      <c r="OZ51" s="40">
        <v>0</v>
      </c>
      <c r="PA51" s="40">
        <v>0</v>
      </c>
      <c r="PB51" s="42">
        <v>0</v>
      </c>
      <c r="PC51" s="47"/>
      <c r="PD51" s="45">
        <v>0</v>
      </c>
      <c r="PE51" s="40">
        <v>0</v>
      </c>
      <c r="PF51" s="40">
        <v>0</v>
      </c>
      <c r="PG51" s="40">
        <v>0</v>
      </c>
      <c r="PH51" s="42">
        <v>0</v>
      </c>
      <c r="PI51" s="47"/>
      <c r="PJ51" s="45">
        <v>0</v>
      </c>
      <c r="PK51" s="40">
        <v>0</v>
      </c>
      <c r="PL51" s="40">
        <v>0</v>
      </c>
      <c r="PM51" s="40">
        <v>0</v>
      </c>
      <c r="PN51" s="42">
        <v>0</v>
      </c>
      <c r="PO51" s="47"/>
      <c r="PP51" s="43">
        <v>0</v>
      </c>
      <c r="PQ51" s="40">
        <v>0</v>
      </c>
      <c r="PR51" s="40">
        <v>0</v>
      </c>
      <c r="PS51" s="40">
        <v>0</v>
      </c>
      <c r="PT51" s="42">
        <v>0</v>
      </c>
      <c r="PU51" s="47"/>
      <c r="PV51" s="45">
        <v>306</v>
      </c>
      <c r="PW51" s="40">
        <v>310</v>
      </c>
      <c r="PX51" s="40">
        <v>252</v>
      </c>
      <c r="PY51" s="40">
        <v>250</v>
      </c>
      <c r="PZ51" s="42">
        <v>-2</v>
      </c>
      <c r="QA51" s="47"/>
      <c r="QB51" s="45">
        <v>0</v>
      </c>
      <c r="QC51" s="7">
        <v>760</v>
      </c>
      <c r="QD51" s="42">
        <v>2</v>
      </c>
      <c r="QE51" s="47"/>
      <c r="QF51" s="45">
        <v>132</v>
      </c>
      <c r="QG51" s="40">
        <v>132</v>
      </c>
      <c r="QH51" s="40">
        <v>150</v>
      </c>
      <c r="QI51" s="40">
        <v>150</v>
      </c>
      <c r="QJ51" s="42">
        <v>0</v>
      </c>
      <c r="QK51" s="47"/>
      <c r="QL51" s="45">
        <v>330</v>
      </c>
      <c r="QM51" s="40">
        <v>330</v>
      </c>
      <c r="QN51" s="40">
        <v>348</v>
      </c>
      <c r="QO51" s="40">
        <v>350</v>
      </c>
      <c r="QP51" s="42">
        <v>-2</v>
      </c>
      <c r="QQ51" s="47"/>
      <c r="QR51" s="45">
        <v>102</v>
      </c>
      <c r="QS51" s="40">
        <v>103</v>
      </c>
      <c r="QT51" s="40">
        <v>0</v>
      </c>
      <c r="QU51" s="40">
        <v>180</v>
      </c>
      <c r="QV51" s="39">
        <v>-181</v>
      </c>
      <c r="QW51" s="47">
        <v>54.3</v>
      </c>
      <c r="QX51" s="45">
        <v>240</v>
      </c>
      <c r="QY51" s="40">
        <v>240</v>
      </c>
      <c r="QZ51" s="40">
        <v>348</v>
      </c>
      <c r="RA51" s="40">
        <v>350</v>
      </c>
      <c r="RB51" s="42">
        <v>-2</v>
      </c>
      <c r="RC51" s="47"/>
      <c r="RD51" s="45">
        <v>714</v>
      </c>
      <c r="RE51" s="40">
        <v>716.2</v>
      </c>
      <c r="RF51" s="42">
        <v>-2.200000000000045</v>
      </c>
      <c r="RG51" s="47"/>
    </row>
    <row r="52" spans="1:475" x14ac:dyDescent="0.25">
      <c r="A52" s="40" t="s">
        <v>341</v>
      </c>
      <c r="B52" s="41">
        <v>0.27</v>
      </c>
      <c r="N52" s="43"/>
      <c r="O52" s="48"/>
      <c r="P52" s="48"/>
      <c r="Q52" s="48"/>
      <c r="R52" s="48">
        <f t="shared" si="8"/>
        <v>0</v>
      </c>
      <c r="S52" s="44"/>
      <c r="T52" s="43"/>
      <c r="U52" s="48"/>
      <c r="V52" s="48"/>
      <c r="W52" s="48"/>
      <c r="X52" s="48">
        <f t="shared" si="9"/>
        <v>0</v>
      </c>
      <c r="Y52" s="44"/>
      <c r="Z52" s="43"/>
      <c r="AA52" s="48"/>
      <c r="AB52" s="48"/>
      <c r="AC52" s="48"/>
      <c r="AD52" s="48">
        <f t="shared" si="10"/>
        <v>0</v>
      </c>
      <c r="AE52" s="44"/>
      <c r="AF52" s="43"/>
      <c r="AG52" s="48"/>
      <c r="AH52" s="48"/>
      <c r="AI52" s="48"/>
      <c r="AJ52" s="48">
        <f t="shared" si="11"/>
        <v>0</v>
      </c>
      <c r="AK52" s="44"/>
      <c r="AL52" s="48"/>
      <c r="AP52" s="42">
        <v>0</v>
      </c>
      <c r="AQ52" s="44"/>
      <c r="AR52" s="43"/>
      <c r="AV52" s="42">
        <v>0</v>
      </c>
      <c r="AW52" s="44"/>
      <c r="BC52" s="42">
        <v>0</v>
      </c>
      <c r="BD52" s="44"/>
      <c r="BE52" s="43"/>
      <c r="BI52" s="42">
        <v>0</v>
      </c>
      <c r="BJ52" s="44"/>
      <c r="BO52" s="42">
        <v>0</v>
      </c>
      <c r="BP52" s="44"/>
      <c r="BS52" s="42">
        <v>0</v>
      </c>
      <c r="BT52" s="44"/>
      <c r="BU52" s="43"/>
      <c r="BY52" s="42">
        <v>0</v>
      </c>
      <c r="BZ52" s="44"/>
      <c r="CE52" s="42">
        <v>0</v>
      </c>
      <c r="CF52" s="44"/>
      <c r="CG52" s="43"/>
      <c r="CK52" s="42">
        <v>0</v>
      </c>
      <c r="CL52" s="44"/>
      <c r="CM52" s="43"/>
      <c r="CQ52" s="42">
        <v>0</v>
      </c>
      <c r="CR52" s="44"/>
      <c r="CW52" s="42">
        <v>0</v>
      </c>
      <c r="CX52" s="44"/>
      <c r="CY52" s="43"/>
      <c r="DC52" s="42">
        <v>0</v>
      </c>
      <c r="DD52" s="44"/>
      <c r="DE52" s="43"/>
      <c r="DK52" s="42">
        <v>0</v>
      </c>
      <c r="DL52" s="44"/>
      <c r="DM52" s="43"/>
      <c r="DQ52" s="42">
        <v>0</v>
      </c>
      <c r="DR52" s="44"/>
      <c r="DY52" s="42">
        <v>0</v>
      </c>
      <c r="DZ52" s="44"/>
      <c r="EA52" s="43"/>
      <c r="EE52" s="42">
        <v>0</v>
      </c>
      <c r="EF52" s="44"/>
      <c r="EG52" s="43"/>
      <c r="EK52" s="42">
        <v>0</v>
      </c>
      <c r="EL52" s="44"/>
      <c r="EM52" s="43"/>
      <c r="EQ52" s="42">
        <v>0</v>
      </c>
      <c r="ER52" s="44"/>
      <c r="EY52" s="42">
        <v>0</v>
      </c>
      <c r="EZ52" s="44"/>
      <c r="FE52" s="42">
        <v>0</v>
      </c>
      <c r="FF52" s="44"/>
      <c r="FG52" s="43"/>
      <c r="FK52" s="42">
        <v>0</v>
      </c>
      <c r="FL52" s="44"/>
      <c r="FM52" s="43"/>
      <c r="FO52" s="42">
        <v>0</v>
      </c>
      <c r="FP52" s="44"/>
      <c r="FU52" s="42">
        <v>0</v>
      </c>
      <c r="FV52" s="44"/>
      <c r="FW52" s="43"/>
      <c r="GC52" s="42">
        <v>0</v>
      </c>
      <c r="GD52" s="44"/>
      <c r="GI52" s="42">
        <v>0</v>
      </c>
      <c r="GJ52" s="44"/>
      <c r="GK52" s="43"/>
      <c r="GO52" s="42">
        <v>0</v>
      </c>
      <c r="GP52" s="47"/>
      <c r="GU52" s="42">
        <v>0</v>
      </c>
      <c r="GV52" s="44"/>
      <c r="GY52" s="42">
        <v>0</v>
      </c>
      <c r="GZ52" s="47"/>
      <c r="HA52" s="43"/>
      <c r="HC52" s="42">
        <v>0</v>
      </c>
      <c r="HD52" s="44"/>
      <c r="HE52" s="43"/>
      <c r="HI52" s="42">
        <v>0</v>
      </c>
      <c r="HJ52" s="47"/>
      <c r="HK52" s="43"/>
      <c r="HO52" s="42">
        <v>0</v>
      </c>
      <c r="HP52" s="44"/>
      <c r="HV52" s="42">
        <v>0</v>
      </c>
      <c r="HW52" s="44"/>
      <c r="HX52" s="45"/>
      <c r="IB52" s="42">
        <v>0</v>
      </c>
      <c r="IC52" s="44"/>
      <c r="IH52" s="42">
        <v>0</v>
      </c>
      <c r="II52" s="47"/>
      <c r="IN52" s="42">
        <v>0</v>
      </c>
      <c r="IO52" s="47"/>
      <c r="IT52" s="42">
        <v>0</v>
      </c>
      <c r="IU52" s="47"/>
      <c r="IZ52" s="42">
        <v>0</v>
      </c>
      <c r="JA52" s="44"/>
      <c r="JD52" s="42">
        <v>0</v>
      </c>
      <c r="JE52" s="44"/>
      <c r="JJ52" s="42">
        <v>0</v>
      </c>
      <c r="JK52" s="44"/>
      <c r="JL52" s="45"/>
      <c r="JN52" s="42">
        <v>0</v>
      </c>
      <c r="JO52" s="44"/>
      <c r="JT52" s="42">
        <v>0</v>
      </c>
      <c r="JU52" s="44"/>
      <c r="JZ52" s="42">
        <v>0</v>
      </c>
      <c r="KA52" s="47"/>
      <c r="KF52" s="42">
        <v>0</v>
      </c>
      <c r="KG52" s="44"/>
      <c r="KH52" s="41"/>
      <c r="KL52" s="42">
        <v>0</v>
      </c>
      <c r="KM52" s="47"/>
      <c r="KN52" s="45"/>
      <c r="KT52" s="42">
        <v>0</v>
      </c>
      <c r="KU52" s="47"/>
      <c r="KV52" s="40">
        <v>0</v>
      </c>
      <c r="KW52" s="40">
        <v>0</v>
      </c>
      <c r="KX52" s="40">
        <v>0</v>
      </c>
      <c r="KY52" s="40">
        <v>0</v>
      </c>
      <c r="KZ52" s="42">
        <v>0</v>
      </c>
      <c r="LA52" s="47"/>
      <c r="LB52" s="40">
        <v>0</v>
      </c>
      <c r="LC52" s="40">
        <v>0</v>
      </c>
      <c r="LD52" s="40">
        <v>0</v>
      </c>
      <c r="LE52" s="40">
        <v>0</v>
      </c>
      <c r="LF52" s="42">
        <v>0</v>
      </c>
      <c r="LG52" s="47"/>
      <c r="LH52" s="45">
        <v>0</v>
      </c>
      <c r="LI52" s="40">
        <v>0</v>
      </c>
      <c r="LJ52" s="42">
        <v>0</v>
      </c>
      <c r="LK52" s="47"/>
      <c r="LL52" s="45">
        <v>0</v>
      </c>
      <c r="LM52" s="40">
        <v>0</v>
      </c>
      <c r="LN52" s="40">
        <v>0</v>
      </c>
      <c r="LO52" s="40">
        <v>0</v>
      </c>
      <c r="LP52" s="42">
        <v>0</v>
      </c>
      <c r="LQ52" s="47"/>
      <c r="LR52" s="45">
        <v>0</v>
      </c>
      <c r="LS52" s="40">
        <v>0</v>
      </c>
      <c r="LT52" s="40">
        <v>0</v>
      </c>
      <c r="LU52" s="40">
        <v>0</v>
      </c>
      <c r="LV52" s="42">
        <v>0</v>
      </c>
      <c r="LW52" s="47"/>
      <c r="LX52" s="45">
        <v>0</v>
      </c>
      <c r="LY52" s="40">
        <v>0</v>
      </c>
      <c r="LZ52" s="42">
        <v>0</v>
      </c>
      <c r="MA52" s="47"/>
      <c r="MB52" s="45">
        <v>0</v>
      </c>
      <c r="MC52" s="40">
        <v>0</v>
      </c>
      <c r="MD52" s="40">
        <v>0</v>
      </c>
      <c r="ME52" s="40">
        <v>0</v>
      </c>
      <c r="MF52" s="42">
        <v>0</v>
      </c>
      <c r="MG52" s="47"/>
      <c r="MH52" s="45">
        <v>0</v>
      </c>
      <c r="MI52" s="40">
        <v>0</v>
      </c>
      <c r="MJ52" s="42">
        <v>0</v>
      </c>
      <c r="MK52" s="47"/>
      <c r="ML52" s="45">
        <v>0</v>
      </c>
      <c r="MM52" s="40">
        <v>0</v>
      </c>
      <c r="MN52" s="40">
        <v>0</v>
      </c>
      <c r="MO52" s="40">
        <v>0</v>
      </c>
      <c r="MP52" s="42">
        <v>0</v>
      </c>
      <c r="MQ52" s="47"/>
      <c r="MR52" s="40">
        <v>0</v>
      </c>
      <c r="MS52" s="40">
        <v>0</v>
      </c>
      <c r="MT52" s="40">
        <v>0</v>
      </c>
      <c r="MU52" s="40">
        <v>0</v>
      </c>
      <c r="MV52" s="42">
        <v>0</v>
      </c>
      <c r="MW52" s="47"/>
      <c r="MX52" s="45">
        <v>0</v>
      </c>
      <c r="MY52" s="40">
        <v>0</v>
      </c>
      <c r="MZ52" s="40">
        <v>0</v>
      </c>
      <c r="NA52" s="40">
        <v>0</v>
      </c>
      <c r="NB52" s="42">
        <v>0</v>
      </c>
      <c r="NC52" s="47"/>
      <c r="ND52" s="45">
        <v>0</v>
      </c>
      <c r="NE52" s="40">
        <v>0</v>
      </c>
      <c r="NF52" s="40">
        <v>0</v>
      </c>
      <c r="NG52" s="40">
        <v>0</v>
      </c>
      <c r="NH52" s="42">
        <v>0</v>
      </c>
      <c r="NI52" s="47"/>
      <c r="NJ52" s="45">
        <v>0</v>
      </c>
      <c r="NK52" s="40">
        <v>0</v>
      </c>
      <c r="NL52" s="40">
        <v>0</v>
      </c>
      <c r="NM52" s="40">
        <v>0</v>
      </c>
      <c r="NN52" s="42">
        <v>0</v>
      </c>
      <c r="NO52" s="47"/>
      <c r="NP52" s="45">
        <v>0</v>
      </c>
      <c r="NQ52" s="40">
        <v>0</v>
      </c>
      <c r="NR52" s="40">
        <v>0</v>
      </c>
      <c r="NS52" s="40">
        <v>0</v>
      </c>
      <c r="NT52" s="42">
        <v>0</v>
      </c>
      <c r="NU52" s="47"/>
      <c r="NV52" s="45">
        <v>0</v>
      </c>
      <c r="NW52" s="40">
        <v>0</v>
      </c>
      <c r="NX52" s="40">
        <v>0</v>
      </c>
      <c r="NY52" s="40">
        <v>0</v>
      </c>
      <c r="NZ52" s="42">
        <v>0</v>
      </c>
      <c r="OA52" s="47"/>
      <c r="OB52" s="45">
        <v>0</v>
      </c>
      <c r="OC52" s="40">
        <v>0</v>
      </c>
      <c r="OD52" s="42">
        <v>0</v>
      </c>
      <c r="OE52" s="47"/>
      <c r="OF52" s="45">
        <v>0</v>
      </c>
      <c r="OG52" s="40">
        <v>0</v>
      </c>
      <c r="OH52" s="40">
        <v>0</v>
      </c>
      <c r="OI52" s="14">
        <v>70</v>
      </c>
      <c r="OJ52" s="42">
        <v>2</v>
      </c>
      <c r="OK52" s="47"/>
      <c r="OL52" s="45">
        <v>0</v>
      </c>
      <c r="OM52" s="14">
        <v>270</v>
      </c>
      <c r="ON52" s="40">
        <v>0</v>
      </c>
      <c r="OO52" s="14">
        <v>200</v>
      </c>
      <c r="OP52" s="42">
        <v>-6</v>
      </c>
      <c r="OQ52" s="47"/>
      <c r="OR52" s="45">
        <v>0</v>
      </c>
      <c r="OS52" s="40">
        <v>0</v>
      </c>
      <c r="OT52" s="40">
        <v>0</v>
      </c>
      <c r="OU52" s="40">
        <v>0</v>
      </c>
      <c r="OV52" s="42">
        <v>0</v>
      </c>
      <c r="OW52" s="47"/>
      <c r="OX52" s="40">
        <v>0</v>
      </c>
      <c r="OY52" s="30">
        <v>75</v>
      </c>
      <c r="OZ52" s="40">
        <v>0</v>
      </c>
      <c r="PA52" s="30">
        <v>75</v>
      </c>
      <c r="PB52" s="39">
        <v>-150</v>
      </c>
      <c r="PC52" s="47">
        <v>40.5</v>
      </c>
      <c r="PD52" s="45">
        <v>96</v>
      </c>
      <c r="PE52" s="40">
        <v>100</v>
      </c>
      <c r="PF52" s="40">
        <v>192</v>
      </c>
      <c r="PG52" s="40">
        <v>200</v>
      </c>
      <c r="PH52" s="42">
        <v>-12</v>
      </c>
      <c r="PI52" s="47"/>
      <c r="PJ52" s="45">
        <v>300</v>
      </c>
      <c r="PK52" s="40">
        <v>300</v>
      </c>
      <c r="PL52" s="40">
        <v>348</v>
      </c>
      <c r="PM52" s="40">
        <v>347</v>
      </c>
      <c r="PN52" s="42">
        <v>1</v>
      </c>
      <c r="PO52" s="47"/>
      <c r="PP52" s="43">
        <v>48</v>
      </c>
      <c r="PQ52" s="40">
        <v>50</v>
      </c>
      <c r="PR52" s="40">
        <v>48</v>
      </c>
      <c r="PS52" s="40">
        <v>50</v>
      </c>
      <c r="PT52" s="42">
        <v>-4</v>
      </c>
      <c r="PU52" s="47"/>
      <c r="PV52" s="45">
        <v>72</v>
      </c>
      <c r="PW52" s="40">
        <v>70</v>
      </c>
      <c r="PX52" s="40">
        <v>72</v>
      </c>
      <c r="PY52" s="40">
        <v>80</v>
      </c>
      <c r="PZ52" s="42">
        <v>-6</v>
      </c>
      <c r="QA52" s="47"/>
      <c r="QB52" s="45">
        <v>564</v>
      </c>
      <c r="QC52" s="40">
        <v>566</v>
      </c>
      <c r="QD52" s="42">
        <v>-2</v>
      </c>
      <c r="QE52" s="47"/>
      <c r="QF52" s="45">
        <v>0</v>
      </c>
      <c r="QG52" s="40">
        <v>0</v>
      </c>
      <c r="QH52" s="40">
        <v>0</v>
      </c>
      <c r="QI52" s="40">
        <v>0</v>
      </c>
      <c r="QJ52" s="42">
        <v>0</v>
      </c>
      <c r="QK52" s="47"/>
      <c r="QL52" s="45">
        <v>0</v>
      </c>
      <c r="QM52" s="40">
        <v>0</v>
      </c>
      <c r="QN52" s="40">
        <v>0</v>
      </c>
      <c r="QO52" s="40">
        <v>0</v>
      </c>
      <c r="QP52" s="42">
        <v>0</v>
      </c>
      <c r="QQ52" s="47"/>
      <c r="QR52" s="45">
        <v>84</v>
      </c>
      <c r="QS52" s="40">
        <v>90</v>
      </c>
      <c r="QT52" s="40">
        <v>0</v>
      </c>
      <c r="QU52" s="40">
        <v>110</v>
      </c>
      <c r="QV52" s="39">
        <v>-116</v>
      </c>
      <c r="QW52" s="47">
        <v>31.32</v>
      </c>
      <c r="QX52" s="45">
        <v>192</v>
      </c>
      <c r="QY52" s="40">
        <v>200</v>
      </c>
      <c r="QZ52" s="40">
        <v>192</v>
      </c>
      <c r="RA52" s="40">
        <v>200</v>
      </c>
      <c r="RB52" s="42">
        <v>-16</v>
      </c>
      <c r="RC52" s="47"/>
      <c r="RD52" s="45">
        <v>732</v>
      </c>
      <c r="RE52" s="40">
        <v>731</v>
      </c>
      <c r="RF52" s="42">
        <v>1</v>
      </c>
      <c r="RG52" s="47"/>
    </row>
    <row r="53" spans="1:475" x14ac:dyDescent="0.25">
      <c r="A53" s="40" t="s">
        <v>342</v>
      </c>
      <c r="B53" s="41">
        <v>1</v>
      </c>
      <c r="E53">
        <v>250</v>
      </c>
      <c r="F53">
        <v>250</v>
      </c>
      <c r="I53">
        <v>160</v>
      </c>
      <c r="J53">
        <v>43</v>
      </c>
      <c r="K53">
        <v>40</v>
      </c>
      <c r="N53" s="46">
        <v>127</v>
      </c>
      <c r="O53" s="49">
        <v>120</v>
      </c>
      <c r="P53" s="49">
        <v>185</v>
      </c>
      <c r="Q53" s="49">
        <v>169</v>
      </c>
      <c r="R53" s="48">
        <f t="shared" si="8"/>
        <v>23</v>
      </c>
      <c r="S53" s="44"/>
      <c r="T53" s="46">
        <v>126</v>
      </c>
      <c r="U53" s="49">
        <v>120</v>
      </c>
      <c r="V53" s="49">
        <v>83</v>
      </c>
      <c r="W53" s="49">
        <v>80</v>
      </c>
      <c r="X53" s="48">
        <f t="shared" si="9"/>
        <v>9</v>
      </c>
      <c r="Y53" s="44"/>
      <c r="Z53" s="46">
        <v>184</v>
      </c>
      <c r="AA53" s="49">
        <v>180</v>
      </c>
      <c r="AB53" s="49">
        <v>225</v>
      </c>
      <c r="AC53" s="49">
        <v>220</v>
      </c>
      <c r="AD53" s="48">
        <f t="shared" si="10"/>
        <v>9</v>
      </c>
      <c r="AE53" s="44"/>
      <c r="AF53" s="46">
        <v>184</v>
      </c>
      <c r="AG53" s="49">
        <v>179</v>
      </c>
      <c r="AH53" s="48"/>
      <c r="AI53" s="48"/>
      <c r="AJ53" s="48">
        <f t="shared" si="11"/>
        <v>5</v>
      </c>
      <c r="AK53" s="44"/>
      <c r="AL53" s="49">
        <v>78</v>
      </c>
      <c r="AM53">
        <v>70</v>
      </c>
      <c r="AN53">
        <v>86</v>
      </c>
      <c r="AO53">
        <v>80</v>
      </c>
      <c r="AP53" s="42">
        <v>14</v>
      </c>
      <c r="AQ53" s="44"/>
      <c r="AR53" s="46">
        <v>239</v>
      </c>
      <c r="AS53">
        <v>230</v>
      </c>
      <c r="AT53">
        <v>274</v>
      </c>
      <c r="AU53">
        <v>270</v>
      </c>
      <c r="AV53" s="42">
        <v>13</v>
      </c>
      <c r="AW53" s="44"/>
      <c r="BC53" s="42">
        <v>0</v>
      </c>
      <c r="BD53" s="44"/>
      <c r="BE53" s="43"/>
      <c r="BI53" s="42">
        <v>0</v>
      </c>
      <c r="BJ53" s="44"/>
      <c r="BK53">
        <v>265</v>
      </c>
      <c r="BL53">
        <v>250</v>
      </c>
      <c r="BM53">
        <v>259</v>
      </c>
      <c r="BN53">
        <v>250</v>
      </c>
      <c r="BO53" s="42">
        <v>24</v>
      </c>
      <c r="BP53" s="44"/>
      <c r="BQ53">
        <v>105</v>
      </c>
      <c r="BR53">
        <v>100</v>
      </c>
      <c r="BS53" s="42">
        <v>5</v>
      </c>
      <c r="BT53" s="44"/>
      <c r="BU53" s="46">
        <v>316</v>
      </c>
      <c r="BV53">
        <v>300</v>
      </c>
      <c r="BW53">
        <v>217</v>
      </c>
      <c r="BX53">
        <v>200</v>
      </c>
      <c r="BY53" s="42">
        <v>33</v>
      </c>
      <c r="BZ53" s="44"/>
      <c r="CA53">
        <v>151</v>
      </c>
      <c r="CB53">
        <v>150</v>
      </c>
      <c r="CC53">
        <v>159</v>
      </c>
      <c r="CD53">
        <v>150</v>
      </c>
      <c r="CE53" s="42">
        <v>10</v>
      </c>
      <c r="CF53" s="44"/>
      <c r="CG53" s="46">
        <v>77</v>
      </c>
      <c r="CH53">
        <v>70</v>
      </c>
      <c r="CI53">
        <v>185</v>
      </c>
      <c r="CJ53">
        <v>180</v>
      </c>
      <c r="CK53" s="42">
        <v>12</v>
      </c>
      <c r="CL53" s="44"/>
      <c r="CM53" s="43"/>
      <c r="CO53">
        <v>459</v>
      </c>
      <c r="CP53">
        <v>450</v>
      </c>
      <c r="CQ53" s="42">
        <v>9</v>
      </c>
      <c r="CR53" s="44"/>
      <c r="CW53" s="42">
        <v>0</v>
      </c>
      <c r="CX53" s="44"/>
      <c r="CY53" s="46">
        <v>53</v>
      </c>
      <c r="CZ53">
        <v>50</v>
      </c>
      <c r="DA53">
        <v>374</v>
      </c>
      <c r="DB53">
        <v>350</v>
      </c>
      <c r="DC53" s="42">
        <v>27</v>
      </c>
      <c r="DD53" s="44"/>
      <c r="DE53" s="43"/>
      <c r="DG53">
        <v>209</v>
      </c>
      <c r="DH53">
        <v>200</v>
      </c>
      <c r="DI53">
        <v>198</v>
      </c>
      <c r="DJ53">
        <v>186</v>
      </c>
      <c r="DK53" s="42">
        <v>21</v>
      </c>
      <c r="DL53" s="44"/>
      <c r="DM53" s="43"/>
      <c r="DQ53" s="42">
        <v>0</v>
      </c>
      <c r="DR53" s="44"/>
      <c r="DU53">
        <v>292</v>
      </c>
      <c r="DV53">
        <v>294</v>
      </c>
      <c r="DW53">
        <v>205</v>
      </c>
      <c r="DX53">
        <v>200</v>
      </c>
      <c r="DY53" s="42">
        <v>3</v>
      </c>
      <c r="DZ53" s="44"/>
      <c r="EA53" s="43"/>
      <c r="EC53">
        <v>292</v>
      </c>
      <c r="ED53">
        <v>280</v>
      </c>
      <c r="EE53" s="42">
        <v>12</v>
      </c>
      <c r="EF53" s="44"/>
      <c r="EG53" s="43"/>
      <c r="EK53" s="42">
        <v>0</v>
      </c>
      <c r="EL53" s="44"/>
      <c r="EM53" s="46">
        <v>208</v>
      </c>
      <c r="EN53">
        <v>200</v>
      </c>
      <c r="EO53">
        <v>99</v>
      </c>
      <c r="EP53">
        <v>100</v>
      </c>
      <c r="EQ53" s="42">
        <v>7</v>
      </c>
      <c r="ER53" s="44"/>
      <c r="ES53">
        <v>191</v>
      </c>
      <c r="ET53">
        <v>180</v>
      </c>
      <c r="EU53">
        <v>216</v>
      </c>
      <c r="EV53">
        <v>200</v>
      </c>
      <c r="EW53">
        <v>216</v>
      </c>
      <c r="EX53">
        <v>200</v>
      </c>
      <c r="EY53" s="42">
        <v>43</v>
      </c>
      <c r="EZ53" s="44"/>
      <c r="FA53">
        <v>53</v>
      </c>
      <c r="FB53">
        <v>50</v>
      </c>
      <c r="FC53">
        <v>82</v>
      </c>
      <c r="FD53">
        <v>75</v>
      </c>
      <c r="FE53" s="42">
        <v>10</v>
      </c>
      <c r="FF53" s="44"/>
      <c r="FG53" s="46">
        <v>106</v>
      </c>
      <c r="FH53">
        <v>100</v>
      </c>
      <c r="FI53">
        <v>159</v>
      </c>
      <c r="FJ53">
        <v>150</v>
      </c>
      <c r="FK53" s="42">
        <v>15</v>
      </c>
      <c r="FL53" s="44"/>
      <c r="FM53" s="43"/>
      <c r="FO53" s="42">
        <v>0</v>
      </c>
      <c r="FP53" s="44"/>
      <c r="FU53" s="42">
        <v>0</v>
      </c>
      <c r="FV53" s="44"/>
      <c r="FW53" s="46">
        <v>102</v>
      </c>
      <c r="FX53">
        <v>100</v>
      </c>
      <c r="FY53">
        <v>101</v>
      </c>
      <c r="FZ53">
        <v>100</v>
      </c>
      <c r="GA53">
        <v>206</v>
      </c>
      <c r="GB53">
        <v>200</v>
      </c>
      <c r="GC53" s="42">
        <v>9</v>
      </c>
      <c r="GD53" s="44"/>
      <c r="GE53">
        <v>175</v>
      </c>
      <c r="GF53">
        <v>170</v>
      </c>
      <c r="GG53">
        <v>200</v>
      </c>
      <c r="GH53">
        <v>190</v>
      </c>
      <c r="GI53" s="42">
        <v>15</v>
      </c>
      <c r="GJ53" s="44"/>
      <c r="GK53" s="46">
        <v>100</v>
      </c>
      <c r="GL53">
        <v>100</v>
      </c>
      <c r="GM53">
        <v>129</v>
      </c>
      <c r="GN53">
        <v>120</v>
      </c>
      <c r="GO53" s="42">
        <v>9</v>
      </c>
      <c r="GP53" s="47"/>
      <c r="GQ53">
        <v>87</v>
      </c>
      <c r="GR53">
        <v>80</v>
      </c>
      <c r="GS53">
        <v>86</v>
      </c>
      <c r="GT53">
        <v>80</v>
      </c>
      <c r="GU53" s="42">
        <v>13</v>
      </c>
      <c r="GV53" s="44"/>
      <c r="GW53">
        <v>524</v>
      </c>
      <c r="GX53" s="40">
        <v>497.62799999999999</v>
      </c>
      <c r="GY53" s="42">
        <v>26.372000000000011</v>
      </c>
      <c r="GZ53" s="47"/>
      <c r="HA53" s="43"/>
      <c r="HC53" s="42">
        <v>0</v>
      </c>
      <c r="HD53" s="44"/>
      <c r="HE53" s="43"/>
      <c r="HI53" s="42">
        <v>0</v>
      </c>
      <c r="HJ53" s="47"/>
      <c r="HK53" s="46">
        <v>150</v>
      </c>
      <c r="HL53">
        <v>150</v>
      </c>
      <c r="HM53">
        <v>173</v>
      </c>
      <c r="HN53">
        <v>180</v>
      </c>
      <c r="HO53" s="39">
        <v>-7</v>
      </c>
      <c r="HP53" s="44">
        <v>7</v>
      </c>
      <c r="HR53">
        <v>394</v>
      </c>
      <c r="HS53">
        <v>200</v>
      </c>
      <c r="HT53">
        <v>274</v>
      </c>
      <c r="HU53">
        <v>270</v>
      </c>
      <c r="HV53" s="42">
        <v>198</v>
      </c>
      <c r="HW53" s="44"/>
      <c r="HX53" s="46">
        <v>120</v>
      </c>
      <c r="HY53">
        <v>120</v>
      </c>
      <c r="HZ53">
        <v>194</v>
      </c>
      <c r="IA53">
        <v>190</v>
      </c>
      <c r="IB53" s="42">
        <v>4</v>
      </c>
      <c r="IC53" s="44"/>
      <c r="ID53">
        <v>81</v>
      </c>
      <c r="IE53">
        <v>80</v>
      </c>
      <c r="IF53">
        <v>129</v>
      </c>
      <c r="IG53">
        <v>130</v>
      </c>
      <c r="IH53" s="42">
        <v>0</v>
      </c>
      <c r="II53" s="47"/>
      <c r="IJ53">
        <v>101</v>
      </c>
      <c r="IK53">
        <v>100</v>
      </c>
      <c r="IL53">
        <v>121</v>
      </c>
      <c r="IM53">
        <v>120</v>
      </c>
      <c r="IN53" s="42">
        <v>2</v>
      </c>
      <c r="IO53" s="47"/>
      <c r="IP53">
        <v>397</v>
      </c>
      <c r="IQ53">
        <v>400</v>
      </c>
      <c r="IR53">
        <v>403</v>
      </c>
      <c r="IS53">
        <v>400</v>
      </c>
      <c r="IT53" s="42">
        <v>0</v>
      </c>
      <c r="IU53" s="47"/>
      <c r="IV53">
        <v>143</v>
      </c>
      <c r="IW53">
        <v>140</v>
      </c>
      <c r="IX53">
        <v>134</v>
      </c>
      <c r="IY53">
        <v>130</v>
      </c>
      <c r="IZ53" s="42">
        <v>7</v>
      </c>
      <c r="JA53" s="44"/>
      <c r="JD53" s="42">
        <v>0</v>
      </c>
      <c r="JE53" s="44"/>
      <c r="JF53">
        <v>397</v>
      </c>
      <c r="JG53">
        <v>400</v>
      </c>
      <c r="JH53">
        <v>274</v>
      </c>
      <c r="JI53">
        <v>271</v>
      </c>
      <c r="JJ53" s="42">
        <v>0</v>
      </c>
      <c r="JK53" s="44"/>
      <c r="JL53" s="46">
        <v>455</v>
      </c>
      <c r="JM53" s="40">
        <v>450</v>
      </c>
      <c r="JN53" s="42">
        <v>5</v>
      </c>
      <c r="JO53" s="44"/>
      <c r="JT53" s="42">
        <v>0</v>
      </c>
      <c r="JU53" s="44"/>
      <c r="JV53">
        <v>291</v>
      </c>
      <c r="JW53">
        <v>290</v>
      </c>
      <c r="JZ53" s="42">
        <v>1</v>
      </c>
      <c r="KA53" s="47"/>
      <c r="KB53">
        <v>302</v>
      </c>
      <c r="KC53">
        <v>300</v>
      </c>
      <c r="KD53">
        <v>557</v>
      </c>
      <c r="KE53">
        <v>550</v>
      </c>
      <c r="KF53" s="42">
        <v>9</v>
      </c>
      <c r="KG53" s="44"/>
      <c r="KH53">
        <v>81</v>
      </c>
      <c r="KI53">
        <v>80</v>
      </c>
      <c r="KL53" s="42">
        <v>1</v>
      </c>
      <c r="KM53" s="47"/>
      <c r="KN53" s="46">
        <v>154</v>
      </c>
      <c r="KO53">
        <v>150</v>
      </c>
      <c r="KP53">
        <v>303</v>
      </c>
      <c r="KQ53">
        <v>300</v>
      </c>
      <c r="KR53">
        <v>53</v>
      </c>
      <c r="KS53">
        <v>150</v>
      </c>
      <c r="KT53" s="39">
        <v>-90</v>
      </c>
      <c r="KU53" s="47">
        <v>90</v>
      </c>
      <c r="KV53" s="40">
        <v>200.27099999999999</v>
      </c>
      <c r="KW53" s="40">
        <v>200</v>
      </c>
      <c r="KX53" s="40">
        <v>317.39299999999997</v>
      </c>
      <c r="KY53" s="40">
        <v>320</v>
      </c>
      <c r="KZ53" s="42">
        <v>-2.3360000000000132</v>
      </c>
      <c r="LA53" s="47"/>
      <c r="LB53" s="40">
        <v>0</v>
      </c>
      <c r="LC53" s="40">
        <v>0</v>
      </c>
      <c r="LD53" s="40">
        <v>120.13</v>
      </c>
      <c r="LE53" s="40">
        <v>120</v>
      </c>
      <c r="LF53" s="42">
        <v>0.12999999999999551</v>
      </c>
      <c r="LG53" s="47"/>
      <c r="LH53" s="45">
        <v>416.02699999999999</v>
      </c>
      <c r="LI53" s="40">
        <v>416</v>
      </c>
      <c r="LJ53" s="42">
        <v>2.6999999999986809E-2</v>
      </c>
      <c r="LK53" s="47"/>
      <c r="LL53" s="45">
        <v>254.93299999999999</v>
      </c>
      <c r="LM53" s="40">
        <v>250</v>
      </c>
      <c r="LN53" s="40">
        <v>230.648</v>
      </c>
      <c r="LO53" s="40">
        <v>230</v>
      </c>
      <c r="LP53" s="42">
        <v>5.5810000000000173</v>
      </c>
      <c r="LQ53" s="47"/>
      <c r="LR53" s="45">
        <v>252.97499999999999</v>
      </c>
      <c r="LS53" s="40">
        <v>250</v>
      </c>
      <c r="LT53" s="40">
        <v>205.35499999999999</v>
      </c>
      <c r="LU53" s="40">
        <v>200</v>
      </c>
      <c r="LV53" s="42">
        <v>8.3299999999999841</v>
      </c>
      <c r="LW53" s="47"/>
      <c r="LX53" s="45">
        <v>245.79900000000001</v>
      </c>
      <c r="LY53" s="40">
        <v>240</v>
      </c>
      <c r="LZ53" s="42">
        <v>5.7990000000000066</v>
      </c>
      <c r="MA53" s="47"/>
      <c r="MB53" s="45">
        <v>155.636</v>
      </c>
      <c r="MC53" s="40">
        <v>150</v>
      </c>
      <c r="MD53" s="40">
        <v>192.53800000000001</v>
      </c>
      <c r="ME53" s="40">
        <v>200</v>
      </c>
      <c r="MF53" s="42">
        <v>-1.826000000000022</v>
      </c>
      <c r="MG53" s="47"/>
      <c r="MH53" s="45">
        <v>374.22</v>
      </c>
      <c r="MI53" s="40">
        <v>370</v>
      </c>
      <c r="MJ53" s="42">
        <v>4.2200000000000273</v>
      </c>
      <c r="MK53" s="47"/>
      <c r="ML53" s="45">
        <v>81.501000000000005</v>
      </c>
      <c r="MM53" s="40">
        <v>80</v>
      </c>
      <c r="MN53" s="40">
        <v>273.93900000000002</v>
      </c>
      <c r="MO53" s="40">
        <v>270</v>
      </c>
      <c r="MP53" s="42">
        <v>5.4400000000000546</v>
      </c>
      <c r="MQ53" s="47"/>
      <c r="MR53" s="40">
        <v>153.84700000000001</v>
      </c>
      <c r="MS53" s="40">
        <v>150</v>
      </c>
      <c r="MT53" s="40">
        <v>512.69100000000003</v>
      </c>
      <c r="MU53" s="40">
        <v>510</v>
      </c>
      <c r="MV53" s="42">
        <v>6.5380000000000109</v>
      </c>
      <c r="MW53" s="47"/>
      <c r="MX53" s="45">
        <v>154.221</v>
      </c>
      <c r="MY53" s="40">
        <v>150</v>
      </c>
      <c r="MZ53" s="40">
        <v>119.854</v>
      </c>
      <c r="NA53" s="40">
        <v>120</v>
      </c>
      <c r="NB53" s="42">
        <v>4.0749999999999886</v>
      </c>
      <c r="NC53" s="47"/>
      <c r="ND53" s="45">
        <v>151.614</v>
      </c>
      <c r="NE53" s="40">
        <v>150</v>
      </c>
      <c r="NF53" s="40">
        <v>263.97300000000001</v>
      </c>
      <c r="NG53" s="40">
        <v>263</v>
      </c>
      <c r="NH53" s="42">
        <v>2.5869999999999891</v>
      </c>
      <c r="NI53" s="47"/>
      <c r="NJ53" s="45">
        <v>152.84800000000001</v>
      </c>
      <c r="NK53" s="40">
        <v>150</v>
      </c>
      <c r="NL53" s="40">
        <v>182.72399999999999</v>
      </c>
      <c r="NM53" s="40">
        <v>180</v>
      </c>
      <c r="NN53" s="42">
        <v>5.5720000000000027</v>
      </c>
      <c r="NO53" s="47"/>
      <c r="NP53" s="45">
        <v>201.547</v>
      </c>
      <c r="NQ53" s="40">
        <v>100</v>
      </c>
      <c r="NR53" s="40">
        <v>154.01400000000001</v>
      </c>
      <c r="NS53" s="40">
        <v>150</v>
      </c>
      <c r="NT53" s="42">
        <v>105.56100000000001</v>
      </c>
      <c r="NU53" s="47"/>
      <c r="NV53" s="45">
        <v>151.39599999999999</v>
      </c>
      <c r="NW53" s="40">
        <v>150</v>
      </c>
      <c r="NX53" s="40">
        <v>154.107</v>
      </c>
      <c r="NY53" s="40">
        <v>150</v>
      </c>
      <c r="NZ53" s="42">
        <v>5.5029999999999859</v>
      </c>
      <c r="OA53" s="47"/>
      <c r="OB53" s="45">
        <v>452.07600000000002</v>
      </c>
      <c r="OC53" s="40">
        <v>450</v>
      </c>
      <c r="OD53" s="42">
        <v>2.0760000000000218</v>
      </c>
      <c r="OE53" s="47"/>
      <c r="OF53" s="45">
        <v>253.08600000000001</v>
      </c>
      <c r="OG53" s="40">
        <v>250</v>
      </c>
      <c r="OH53" s="40">
        <v>250.92599999999999</v>
      </c>
      <c r="OI53" s="40">
        <v>250</v>
      </c>
      <c r="OJ53" s="42">
        <v>4.0119999999999996</v>
      </c>
      <c r="OK53" s="47"/>
      <c r="OL53" s="45">
        <v>208.03800000000001</v>
      </c>
      <c r="OM53" s="40">
        <v>210</v>
      </c>
      <c r="ON53" s="40">
        <v>144.08199999999999</v>
      </c>
      <c r="OO53" s="40">
        <v>140</v>
      </c>
      <c r="OP53" s="42">
        <v>2.120000000000005</v>
      </c>
      <c r="OQ53" s="47"/>
      <c r="OR53" s="45">
        <v>272.09399999999999</v>
      </c>
      <c r="OS53" s="40">
        <v>270</v>
      </c>
      <c r="OT53" s="40">
        <v>236.64599999999999</v>
      </c>
      <c r="OU53" s="40">
        <v>237</v>
      </c>
      <c r="OV53" s="42">
        <v>1.7400000000000091</v>
      </c>
      <c r="OW53" s="47"/>
      <c r="OX53" s="40">
        <v>144.535</v>
      </c>
      <c r="OY53" s="40">
        <v>140</v>
      </c>
      <c r="OZ53" s="40">
        <v>108.551</v>
      </c>
      <c r="PA53" s="40">
        <v>110</v>
      </c>
      <c r="PB53" s="42">
        <v>3.0860000000000132</v>
      </c>
      <c r="PC53" s="47"/>
      <c r="PD53" s="45">
        <v>296.63499999999999</v>
      </c>
      <c r="PE53" s="40">
        <v>300</v>
      </c>
      <c r="PF53" s="40">
        <v>362.34399999999999</v>
      </c>
      <c r="PG53" s="40">
        <v>360</v>
      </c>
      <c r="PH53" s="42">
        <v>-1.0209999999999579</v>
      </c>
      <c r="PI53" s="47"/>
      <c r="PJ53" s="45">
        <v>0</v>
      </c>
      <c r="PK53" s="40">
        <v>0</v>
      </c>
      <c r="PL53" s="40">
        <v>167.55799999999999</v>
      </c>
      <c r="PM53" s="40">
        <v>166</v>
      </c>
      <c r="PN53" s="42">
        <v>1.5579999999999929</v>
      </c>
      <c r="PO53" s="47"/>
      <c r="PP53" s="43">
        <v>0</v>
      </c>
      <c r="PQ53" s="40">
        <v>0</v>
      </c>
      <c r="PR53" s="40">
        <v>0</v>
      </c>
      <c r="PS53" s="40">
        <v>0</v>
      </c>
      <c r="PT53" s="42">
        <v>0</v>
      </c>
      <c r="PU53" s="47"/>
      <c r="PV53" s="45">
        <v>299.56099999999998</v>
      </c>
      <c r="PW53" s="40">
        <v>300</v>
      </c>
      <c r="PX53" s="40">
        <v>298.31299999999999</v>
      </c>
      <c r="PY53" s="40">
        <v>300</v>
      </c>
      <c r="PZ53" s="42">
        <v>-2.1259999999999759</v>
      </c>
      <c r="QA53" s="47"/>
      <c r="QB53" s="45">
        <v>1207.4690000000001</v>
      </c>
      <c r="QC53" s="40">
        <v>1200</v>
      </c>
      <c r="QD53" s="42">
        <v>7.4690000000000509</v>
      </c>
      <c r="QE53" s="47"/>
      <c r="QF53" s="45">
        <v>118.764</v>
      </c>
      <c r="QG53" s="40">
        <v>120</v>
      </c>
      <c r="QH53" s="40">
        <v>199.06899999999999</v>
      </c>
      <c r="QI53" s="40">
        <v>200</v>
      </c>
      <c r="QJ53" s="42">
        <v>-2.16700000000003</v>
      </c>
      <c r="QK53" s="47"/>
      <c r="QL53" s="45">
        <v>99.578000000000003</v>
      </c>
      <c r="QM53" s="40">
        <v>100</v>
      </c>
      <c r="QN53" s="40">
        <v>99.753</v>
      </c>
      <c r="QO53" s="40">
        <v>100</v>
      </c>
      <c r="QP53" s="42">
        <v>-0.66899999999998272</v>
      </c>
      <c r="QQ53" s="47"/>
      <c r="QR53" s="45">
        <v>202.08</v>
      </c>
      <c r="QS53" s="40">
        <v>200</v>
      </c>
      <c r="QT53" s="40">
        <v>80.698999999999998</v>
      </c>
      <c r="QU53" s="40">
        <v>150</v>
      </c>
      <c r="QV53" s="39">
        <v>-67.221000000000004</v>
      </c>
      <c r="QW53" s="47">
        <v>67.221000000000004</v>
      </c>
      <c r="QX53" s="45">
        <v>52.408000000000001</v>
      </c>
      <c r="QY53" s="40">
        <v>50</v>
      </c>
      <c r="QZ53" s="40">
        <v>0</v>
      </c>
      <c r="RA53" s="40">
        <v>0</v>
      </c>
      <c r="RB53" s="42">
        <v>2.4080000000000008</v>
      </c>
      <c r="RC53" s="47"/>
      <c r="RD53" s="45">
        <v>300.19200000000001</v>
      </c>
      <c r="RE53" s="40">
        <v>300</v>
      </c>
      <c r="RF53" s="42">
        <v>0.1920000000000073</v>
      </c>
      <c r="RG53" s="47"/>
    </row>
    <row r="54" spans="1:475" x14ac:dyDescent="0.25">
      <c r="A54" s="40" t="s">
        <v>343</v>
      </c>
      <c r="B54" s="41">
        <v>1</v>
      </c>
      <c r="N54" s="43"/>
      <c r="O54" s="48"/>
      <c r="P54" s="48"/>
      <c r="Q54" s="48"/>
      <c r="R54" s="48">
        <f t="shared" si="8"/>
        <v>0</v>
      </c>
      <c r="S54" s="44"/>
      <c r="T54" s="43"/>
      <c r="U54" s="48"/>
      <c r="V54" s="48"/>
      <c r="W54" s="48"/>
      <c r="X54" s="48">
        <f t="shared" si="9"/>
        <v>0</v>
      </c>
      <c r="Y54" s="44"/>
      <c r="Z54" s="43"/>
      <c r="AA54" s="48"/>
      <c r="AB54" s="48"/>
      <c r="AC54" s="48"/>
      <c r="AD54" s="48">
        <f t="shared" si="10"/>
        <v>0</v>
      </c>
      <c r="AE54" s="44"/>
      <c r="AF54" s="43"/>
      <c r="AG54" s="48"/>
      <c r="AH54" s="48"/>
      <c r="AI54" s="48"/>
      <c r="AJ54" s="48">
        <f t="shared" si="11"/>
        <v>0</v>
      </c>
      <c r="AK54" s="44"/>
      <c r="AL54" s="48"/>
      <c r="AP54" s="42">
        <v>0</v>
      </c>
      <c r="AQ54" s="44"/>
      <c r="AR54" s="43"/>
      <c r="AV54" s="42">
        <v>0</v>
      </c>
      <c r="AW54" s="44"/>
      <c r="BC54" s="42">
        <v>0</v>
      </c>
      <c r="BD54" s="44"/>
      <c r="BE54" s="43"/>
      <c r="BI54" s="42">
        <v>0</v>
      </c>
      <c r="BJ54" s="44"/>
      <c r="BO54" s="42">
        <v>0</v>
      </c>
      <c r="BP54" s="44"/>
      <c r="BS54" s="42">
        <v>0</v>
      </c>
      <c r="BT54" s="44"/>
      <c r="BU54" s="43"/>
      <c r="BY54" s="42">
        <v>0</v>
      </c>
      <c r="BZ54" s="44"/>
      <c r="CE54" s="42">
        <v>0</v>
      </c>
      <c r="CF54" s="44"/>
      <c r="CG54" s="43"/>
      <c r="CK54" s="42">
        <v>0</v>
      </c>
      <c r="CL54" s="44"/>
      <c r="CM54" s="43"/>
      <c r="CQ54" s="42">
        <v>0</v>
      </c>
      <c r="CR54" s="44"/>
      <c r="CW54" s="42">
        <v>0</v>
      </c>
      <c r="CX54" s="44"/>
      <c r="CY54" s="43"/>
      <c r="DC54" s="42">
        <v>0</v>
      </c>
      <c r="DD54" s="44"/>
      <c r="DE54" s="43"/>
      <c r="DK54" s="42">
        <v>0</v>
      </c>
      <c r="DL54" s="44"/>
      <c r="DM54" s="43"/>
      <c r="DQ54" s="42">
        <v>0</v>
      </c>
      <c r="DR54" s="44"/>
      <c r="DY54" s="42">
        <v>0</v>
      </c>
      <c r="DZ54" s="44"/>
      <c r="EA54" s="43"/>
      <c r="EE54" s="42">
        <v>0</v>
      </c>
      <c r="EF54" s="44"/>
      <c r="EG54" s="43"/>
      <c r="EK54" s="42">
        <v>0</v>
      </c>
      <c r="EL54" s="44"/>
      <c r="EM54" s="43"/>
      <c r="EQ54" s="42">
        <v>0</v>
      </c>
      <c r="ER54" s="44"/>
      <c r="EY54" s="42">
        <v>0</v>
      </c>
      <c r="EZ54" s="44"/>
      <c r="FE54" s="42">
        <v>0</v>
      </c>
      <c r="FF54" s="44"/>
      <c r="FG54" s="43"/>
      <c r="FK54" s="42">
        <v>0</v>
      </c>
      <c r="FL54" s="44"/>
      <c r="FM54" s="43"/>
      <c r="FO54" s="42">
        <v>0</v>
      </c>
      <c r="FP54" s="44"/>
      <c r="FU54" s="42">
        <v>0</v>
      </c>
      <c r="FV54" s="44"/>
      <c r="FW54" s="43"/>
      <c r="GC54" s="42">
        <v>0</v>
      </c>
      <c r="GD54" s="44"/>
      <c r="GI54" s="42">
        <v>0</v>
      </c>
      <c r="GJ54" s="44"/>
      <c r="GK54" s="43"/>
      <c r="GO54" s="42">
        <v>0</v>
      </c>
      <c r="GP54" s="47"/>
      <c r="GU54" s="42">
        <v>0</v>
      </c>
      <c r="GV54" s="44"/>
      <c r="GY54" s="42">
        <v>0</v>
      </c>
      <c r="GZ54" s="47"/>
      <c r="HA54" s="43"/>
      <c r="HC54" s="42">
        <v>0</v>
      </c>
      <c r="HD54" s="44"/>
      <c r="HE54" s="43"/>
      <c r="HI54" s="42">
        <v>0</v>
      </c>
      <c r="HJ54" s="47"/>
      <c r="HK54" s="43"/>
      <c r="HO54" s="42">
        <v>0</v>
      </c>
      <c r="HP54" s="44"/>
      <c r="HV54" s="42">
        <v>0</v>
      </c>
      <c r="HW54" s="44"/>
      <c r="HX54" s="45"/>
      <c r="IB54" s="42">
        <v>0</v>
      </c>
      <c r="IC54" s="44"/>
      <c r="IH54" s="42">
        <v>0</v>
      </c>
      <c r="II54" s="47"/>
      <c r="IN54" s="42">
        <v>0</v>
      </c>
      <c r="IO54" s="47"/>
      <c r="IT54" s="42">
        <v>0</v>
      </c>
      <c r="IU54" s="47"/>
      <c r="IZ54" s="42">
        <v>0</v>
      </c>
      <c r="JA54" s="44"/>
      <c r="JD54" s="42">
        <v>0</v>
      </c>
      <c r="JE54" s="44"/>
      <c r="JJ54" s="42">
        <v>0</v>
      </c>
      <c r="JK54" s="44"/>
      <c r="JL54" s="45"/>
      <c r="JN54" s="42">
        <v>0</v>
      </c>
      <c r="JO54" s="44"/>
      <c r="JT54" s="42">
        <v>0</v>
      </c>
      <c r="JU54" s="44"/>
      <c r="JZ54" s="42">
        <v>0</v>
      </c>
      <c r="KA54" s="47"/>
      <c r="KF54" s="42">
        <v>0</v>
      </c>
      <c r="KG54" s="44"/>
      <c r="KH54" s="41"/>
      <c r="KL54" s="42">
        <v>0</v>
      </c>
      <c r="KM54" s="47"/>
      <c r="KN54" s="45"/>
      <c r="KT54" s="42">
        <v>0</v>
      </c>
      <c r="KU54" s="47"/>
      <c r="KV54" s="40">
        <v>0</v>
      </c>
      <c r="KW54" s="40">
        <v>0</v>
      </c>
      <c r="KX54" s="40">
        <v>0</v>
      </c>
      <c r="KY54" s="40">
        <v>0</v>
      </c>
      <c r="KZ54" s="42">
        <v>0</v>
      </c>
      <c r="LA54" s="47"/>
      <c r="LB54" s="40">
        <v>0</v>
      </c>
      <c r="LC54" s="40">
        <v>0</v>
      </c>
      <c r="LD54" s="40">
        <v>0</v>
      </c>
      <c r="LE54" s="40">
        <v>0</v>
      </c>
      <c r="LF54" s="42">
        <v>0</v>
      </c>
      <c r="LG54" s="47"/>
      <c r="LH54" s="45">
        <v>0</v>
      </c>
      <c r="LI54" s="40">
        <v>0</v>
      </c>
      <c r="LJ54" s="42">
        <v>0</v>
      </c>
      <c r="LK54" s="47"/>
      <c r="LL54" s="45">
        <v>0</v>
      </c>
      <c r="LM54" s="40">
        <v>0</v>
      </c>
      <c r="LN54" s="40">
        <v>0</v>
      </c>
      <c r="LO54" s="40">
        <v>0</v>
      </c>
      <c r="LP54" s="42">
        <v>0</v>
      </c>
      <c r="LQ54" s="47"/>
      <c r="LR54" s="45">
        <v>0</v>
      </c>
      <c r="LS54" s="40">
        <v>0</v>
      </c>
      <c r="LT54" s="40">
        <v>0</v>
      </c>
      <c r="LU54" s="40">
        <v>0</v>
      </c>
      <c r="LV54" s="42">
        <v>0</v>
      </c>
      <c r="LW54" s="47"/>
      <c r="LX54" s="45">
        <v>0</v>
      </c>
      <c r="LY54" s="40">
        <v>0</v>
      </c>
      <c r="LZ54" s="42">
        <v>0</v>
      </c>
      <c r="MA54" s="47"/>
      <c r="MB54" s="45">
        <v>0</v>
      </c>
      <c r="MC54" s="40">
        <v>0</v>
      </c>
      <c r="MD54" s="40">
        <v>0</v>
      </c>
      <c r="ME54" s="40">
        <v>0</v>
      </c>
      <c r="MF54" s="42">
        <v>0</v>
      </c>
      <c r="MG54" s="47"/>
      <c r="MH54" s="45">
        <v>0</v>
      </c>
      <c r="MI54" s="40">
        <v>0</v>
      </c>
      <c r="MJ54" s="42">
        <v>0</v>
      </c>
      <c r="MK54" s="47"/>
      <c r="ML54" s="45">
        <v>0</v>
      </c>
      <c r="MM54" s="40">
        <v>0</v>
      </c>
      <c r="MN54" s="40">
        <v>0</v>
      </c>
      <c r="MO54" s="40">
        <v>0</v>
      </c>
      <c r="MP54" s="42">
        <v>0</v>
      </c>
      <c r="MQ54" s="47"/>
      <c r="MR54" s="40">
        <v>0</v>
      </c>
      <c r="MS54" s="40">
        <v>0</v>
      </c>
      <c r="MT54" s="40">
        <v>0</v>
      </c>
      <c r="MU54" s="40">
        <v>0</v>
      </c>
      <c r="MV54" s="42">
        <v>0</v>
      </c>
      <c r="MW54" s="47"/>
      <c r="MX54" s="45">
        <v>0</v>
      </c>
      <c r="MY54" s="40">
        <v>0</v>
      </c>
      <c r="MZ54" s="40">
        <v>0</v>
      </c>
      <c r="NA54" s="40">
        <v>0</v>
      </c>
      <c r="NB54" s="42">
        <v>0</v>
      </c>
      <c r="NC54" s="47"/>
      <c r="ND54" s="45">
        <v>0</v>
      </c>
      <c r="NE54" s="40">
        <v>0</v>
      </c>
      <c r="NF54" s="40">
        <v>0</v>
      </c>
      <c r="NG54" s="40">
        <v>0</v>
      </c>
      <c r="NH54" s="42">
        <v>0</v>
      </c>
      <c r="NI54" s="47"/>
      <c r="NJ54" s="45">
        <v>0</v>
      </c>
      <c r="NK54" s="40">
        <v>0</v>
      </c>
      <c r="NL54" s="40">
        <v>0</v>
      </c>
      <c r="NM54" s="40">
        <v>0</v>
      </c>
      <c r="NN54" s="42">
        <v>0</v>
      </c>
      <c r="NO54" s="47"/>
      <c r="NP54" s="45">
        <v>0</v>
      </c>
      <c r="NQ54" s="40">
        <v>0</v>
      </c>
      <c r="NR54" s="40">
        <v>0</v>
      </c>
      <c r="NS54" s="40">
        <v>0</v>
      </c>
      <c r="NT54" s="42">
        <v>0</v>
      </c>
      <c r="NU54" s="47"/>
      <c r="NV54" s="45">
        <v>0</v>
      </c>
      <c r="NW54" s="40">
        <v>0</v>
      </c>
      <c r="NX54" s="40">
        <v>0</v>
      </c>
      <c r="NY54" s="40">
        <v>0</v>
      </c>
      <c r="NZ54" s="42">
        <v>0</v>
      </c>
      <c r="OA54" s="47"/>
      <c r="OB54" s="45">
        <v>0</v>
      </c>
      <c r="OC54" s="40">
        <v>0</v>
      </c>
      <c r="OD54" s="42">
        <v>0</v>
      </c>
      <c r="OE54" s="47"/>
      <c r="OF54" s="45">
        <v>0</v>
      </c>
      <c r="OG54" s="40">
        <v>0</v>
      </c>
      <c r="OH54" s="40">
        <v>0</v>
      </c>
      <c r="OI54" s="40">
        <v>0</v>
      </c>
      <c r="OJ54" s="42">
        <v>0</v>
      </c>
      <c r="OK54" s="47"/>
      <c r="OL54" s="45">
        <v>0</v>
      </c>
      <c r="OM54" s="40">
        <v>0</v>
      </c>
      <c r="ON54" s="40">
        <v>0</v>
      </c>
      <c r="OO54" s="40">
        <v>0</v>
      </c>
      <c r="OP54" s="42">
        <v>0</v>
      </c>
      <c r="OQ54" s="47"/>
      <c r="OR54" s="45">
        <v>0</v>
      </c>
      <c r="OS54" s="40">
        <v>0</v>
      </c>
      <c r="OT54" s="40">
        <v>0</v>
      </c>
      <c r="OU54" s="40">
        <v>0</v>
      </c>
      <c r="OV54" s="42">
        <v>0</v>
      </c>
      <c r="OW54" s="47"/>
      <c r="OX54" s="40">
        <v>0</v>
      </c>
      <c r="OY54" s="40">
        <v>0</v>
      </c>
      <c r="OZ54" s="40">
        <v>0</v>
      </c>
      <c r="PA54" s="40">
        <v>0</v>
      </c>
      <c r="PB54" s="42">
        <v>0</v>
      </c>
      <c r="PC54" s="47"/>
      <c r="PD54" s="45">
        <v>0</v>
      </c>
      <c r="PE54" s="40">
        <v>0</v>
      </c>
      <c r="PF54" s="40">
        <v>0</v>
      </c>
      <c r="PG54" s="40">
        <v>0</v>
      </c>
      <c r="PH54" s="42">
        <v>0</v>
      </c>
      <c r="PI54" s="47"/>
      <c r="PJ54" s="45">
        <v>0</v>
      </c>
      <c r="PK54" s="40">
        <v>0</v>
      </c>
      <c r="PL54" s="40">
        <v>0</v>
      </c>
      <c r="PM54" s="40">
        <v>0</v>
      </c>
      <c r="PN54" s="42">
        <v>0</v>
      </c>
      <c r="PO54" s="47"/>
      <c r="PP54" s="43">
        <v>0</v>
      </c>
      <c r="PQ54" s="40">
        <v>0</v>
      </c>
      <c r="PR54" s="40">
        <v>0</v>
      </c>
      <c r="PS54" s="40">
        <v>0</v>
      </c>
      <c r="PT54" s="42">
        <v>0</v>
      </c>
      <c r="PU54" s="47"/>
      <c r="PV54" s="45">
        <v>0</v>
      </c>
      <c r="PW54" s="30">
        <v>110</v>
      </c>
      <c r="PX54" s="40">
        <v>0</v>
      </c>
      <c r="PY54" s="30">
        <v>100</v>
      </c>
      <c r="PZ54" s="39">
        <v>-210</v>
      </c>
      <c r="QA54" s="47">
        <v>210</v>
      </c>
      <c r="QB54" s="45">
        <v>0</v>
      </c>
      <c r="QC54" s="40">
        <v>200</v>
      </c>
      <c r="QD54" s="39">
        <v>-200</v>
      </c>
      <c r="QE54" s="47">
        <v>200</v>
      </c>
      <c r="QF54" s="45">
        <v>70.995000000000005</v>
      </c>
      <c r="QG54" s="40">
        <v>70</v>
      </c>
      <c r="QH54" s="40">
        <v>0</v>
      </c>
      <c r="QI54" s="40">
        <v>0</v>
      </c>
      <c r="QJ54" s="42">
        <v>0.99500000000000455</v>
      </c>
      <c r="QK54" s="47"/>
      <c r="QL54" s="45">
        <v>118.783</v>
      </c>
      <c r="QM54" s="40">
        <v>120</v>
      </c>
      <c r="QN54" s="40">
        <v>129.98500000000001</v>
      </c>
      <c r="QO54" s="40">
        <v>130</v>
      </c>
      <c r="QP54" s="42">
        <v>-1.2319999999999709</v>
      </c>
      <c r="QQ54" s="47"/>
      <c r="QR54" s="45">
        <v>51.014000000000003</v>
      </c>
      <c r="QS54" s="40">
        <v>50</v>
      </c>
      <c r="QT54" s="40">
        <v>71.953000000000003</v>
      </c>
      <c r="QU54" s="40">
        <v>50</v>
      </c>
      <c r="QV54" s="42">
        <v>22.967000000000009</v>
      </c>
      <c r="QW54" s="47"/>
      <c r="QX54" s="45">
        <v>80.83</v>
      </c>
      <c r="QY54" s="40">
        <v>80</v>
      </c>
      <c r="QZ54" s="40">
        <v>0</v>
      </c>
      <c r="RA54" s="40">
        <v>0</v>
      </c>
      <c r="RB54" s="42">
        <v>0.82999999999999829</v>
      </c>
      <c r="RC54" s="47"/>
      <c r="RD54" s="45">
        <v>161.87700000000001</v>
      </c>
      <c r="RE54" s="40">
        <v>160</v>
      </c>
      <c r="RF54" s="42">
        <v>1.87700000000001</v>
      </c>
      <c r="RG54" s="47"/>
    </row>
    <row r="55" spans="1:475" x14ac:dyDescent="0.25">
      <c r="A55" s="40" t="s">
        <v>344</v>
      </c>
      <c r="B55" s="41">
        <v>0.4</v>
      </c>
      <c r="F55">
        <v>50</v>
      </c>
      <c r="N55" s="43"/>
      <c r="O55" s="48"/>
      <c r="P55" s="49">
        <v>32</v>
      </c>
      <c r="Q55" s="49">
        <v>30</v>
      </c>
      <c r="R55" s="48">
        <f t="shared" si="8"/>
        <v>2</v>
      </c>
      <c r="S55" s="44"/>
      <c r="T55" s="46">
        <v>32</v>
      </c>
      <c r="U55" s="49">
        <v>32</v>
      </c>
      <c r="V55" s="49">
        <v>8</v>
      </c>
      <c r="W55" s="49">
        <v>8</v>
      </c>
      <c r="X55" s="48">
        <f t="shared" si="9"/>
        <v>0</v>
      </c>
      <c r="Y55" s="44"/>
      <c r="Z55" s="43"/>
      <c r="AA55" s="48"/>
      <c r="AB55" s="49">
        <v>48</v>
      </c>
      <c r="AC55" s="49">
        <v>50</v>
      </c>
      <c r="AD55" s="48">
        <f t="shared" si="10"/>
        <v>-2</v>
      </c>
      <c r="AE55" s="44"/>
      <c r="AF55" s="43"/>
      <c r="AG55" s="48"/>
      <c r="AH55" s="48"/>
      <c r="AI55" s="48"/>
      <c r="AJ55" s="48">
        <f t="shared" si="11"/>
        <v>0</v>
      </c>
      <c r="AK55" s="44"/>
      <c r="AL55" s="48"/>
      <c r="AN55">
        <v>48</v>
      </c>
      <c r="AO55">
        <v>50</v>
      </c>
      <c r="AP55" s="42">
        <v>-2</v>
      </c>
      <c r="AQ55" s="44"/>
      <c r="AR55" s="46">
        <v>24</v>
      </c>
      <c r="AS55">
        <v>24</v>
      </c>
      <c r="AT55">
        <v>24</v>
      </c>
      <c r="AU55">
        <v>26</v>
      </c>
      <c r="AV55" s="42">
        <v>-2</v>
      </c>
      <c r="AW55" s="44"/>
      <c r="BB55">
        <v>50</v>
      </c>
      <c r="BC55" s="39">
        <v>-50</v>
      </c>
      <c r="BD55" s="44">
        <v>20</v>
      </c>
      <c r="BE55" s="43"/>
      <c r="BI55" s="42">
        <v>0</v>
      </c>
      <c r="BJ55" s="44"/>
      <c r="BM55">
        <v>40</v>
      </c>
      <c r="BN55">
        <v>43</v>
      </c>
      <c r="BO55" s="42">
        <v>-3</v>
      </c>
      <c r="BP55" s="44"/>
      <c r="BS55" s="42">
        <v>0</v>
      </c>
      <c r="BT55" s="44"/>
      <c r="BU55" s="46">
        <v>72</v>
      </c>
      <c r="BV55">
        <v>84</v>
      </c>
      <c r="BW55">
        <v>8</v>
      </c>
      <c r="BX55">
        <v>8</v>
      </c>
      <c r="BY55" s="42">
        <v>-12</v>
      </c>
      <c r="BZ55" s="44"/>
      <c r="CE55" s="42">
        <v>0</v>
      </c>
      <c r="CF55" s="44"/>
      <c r="CG55" s="43"/>
      <c r="CI55">
        <v>120</v>
      </c>
      <c r="CJ55">
        <v>122</v>
      </c>
      <c r="CK55" s="42">
        <v>-2</v>
      </c>
      <c r="CL55" s="44"/>
      <c r="CM55" s="43"/>
      <c r="CO55">
        <v>56</v>
      </c>
      <c r="CP55">
        <v>60</v>
      </c>
      <c r="CQ55" s="42">
        <v>-4</v>
      </c>
      <c r="CR55" s="44"/>
      <c r="CU55">
        <v>48</v>
      </c>
      <c r="CV55">
        <v>50</v>
      </c>
      <c r="CW55" s="42">
        <v>-2</v>
      </c>
      <c r="CX55" s="44"/>
      <c r="CY55" s="43"/>
      <c r="DA55">
        <v>96</v>
      </c>
      <c r="DB55">
        <v>100</v>
      </c>
      <c r="DC55" s="42">
        <v>-4</v>
      </c>
      <c r="DD55" s="44"/>
      <c r="DE55" s="43"/>
      <c r="DI55">
        <v>24</v>
      </c>
      <c r="DJ55">
        <v>25</v>
      </c>
      <c r="DK55" s="42">
        <v>-1</v>
      </c>
      <c r="DL55" s="44"/>
      <c r="DM55" s="46">
        <v>48</v>
      </c>
      <c r="DN55">
        <v>50</v>
      </c>
      <c r="DQ55" s="42">
        <v>-2</v>
      </c>
      <c r="DR55" s="44"/>
      <c r="DU55">
        <v>104</v>
      </c>
      <c r="DV55">
        <v>104</v>
      </c>
      <c r="DW55">
        <v>96</v>
      </c>
      <c r="DX55">
        <v>100</v>
      </c>
      <c r="DY55" s="42">
        <v>-4</v>
      </c>
      <c r="DZ55" s="44"/>
      <c r="EA55" s="43"/>
      <c r="EC55">
        <v>16</v>
      </c>
      <c r="ED55">
        <v>20</v>
      </c>
      <c r="EE55" s="42">
        <v>-4</v>
      </c>
      <c r="EF55" s="44"/>
      <c r="EG55" s="43"/>
      <c r="EI55">
        <v>24</v>
      </c>
      <c r="EJ55">
        <v>24</v>
      </c>
      <c r="EK55" s="42">
        <v>0</v>
      </c>
      <c r="EL55" s="44"/>
      <c r="EM55" s="46">
        <v>56</v>
      </c>
      <c r="EN55">
        <v>60</v>
      </c>
      <c r="EO55">
        <v>88</v>
      </c>
      <c r="EP55">
        <v>90</v>
      </c>
      <c r="EQ55" s="42">
        <v>-6</v>
      </c>
      <c r="ER55" s="44"/>
      <c r="EW55">
        <v>40</v>
      </c>
      <c r="EX55">
        <v>40</v>
      </c>
      <c r="EY55" s="42">
        <v>0</v>
      </c>
      <c r="EZ55" s="44"/>
      <c r="FC55">
        <v>48</v>
      </c>
      <c r="FD55">
        <v>50</v>
      </c>
      <c r="FE55" s="42">
        <v>-2</v>
      </c>
      <c r="FF55" s="44"/>
      <c r="FG55" s="43"/>
      <c r="FI55">
        <v>152</v>
      </c>
      <c r="FJ55">
        <v>150</v>
      </c>
      <c r="FK55" s="42">
        <v>2</v>
      </c>
      <c r="FL55" s="44"/>
      <c r="FM55" s="43"/>
      <c r="FO55" s="42">
        <v>0</v>
      </c>
      <c r="FP55" s="44"/>
      <c r="FS55">
        <v>56</v>
      </c>
      <c r="FT55">
        <v>60</v>
      </c>
      <c r="FU55" s="42">
        <v>-4</v>
      </c>
      <c r="FV55" s="44"/>
      <c r="FW55" s="43"/>
      <c r="GA55">
        <v>96</v>
      </c>
      <c r="GB55">
        <v>100</v>
      </c>
      <c r="GC55" s="42">
        <v>-4</v>
      </c>
      <c r="GD55" s="44"/>
      <c r="GG55">
        <v>152</v>
      </c>
      <c r="GH55">
        <v>152</v>
      </c>
      <c r="GI55" s="42">
        <v>0</v>
      </c>
      <c r="GJ55" s="44"/>
      <c r="GK55" s="43"/>
      <c r="GM55">
        <v>56</v>
      </c>
      <c r="GN55">
        <v>60</v>
      </c>
      <c r="GO55" s="42">
        <v>-4</v>
      </c>
      <c r="GP55" s="47"/>
      <c r="GU55" s="42">
        <v>0</v>
      </c>
      <c r="GV55" s="44"/>
      <c r="GW55">
        <v>32</v>
      </c>
      <c r="GX55" s="40">
        <v>32</v>
      </c>
      <c r="GY55" s="42">
        <v>0</v>
      </c>
      <c r="GZ55" s="47"/>
      <c r="HA55" s="46">
        <v>160</v>
      </c>
      <c r="HB55">
        <v>160</v>
      </c>
      <c r="HC55" s="42">
        <v>0</v>
      </c>
      <c r="HD55" s="44"/>
      <c r="HE55" s="43"/>
      <c r="HI55" s="42">
        <v>0</v>
      </c>
      <c r="HJ55" s="47"/>
      <c r="HK55" s="43"/>
      <c r="HO55" s="42">
        <v>0</v>
      </c>
      <c r="HP55" s="44"/>
      <c r="HT55">
        <v>256</v>
      </c>
      <c r="HU55">
        <v>260</v>
      </c>
      <c r="HV55" s="42">
        <v>-4</v>
      </c>
      <c r="HW55" s="44"/>
      <c r="HX55" s="45"/>
      <c r="HZ55">
        <v>48</v>
      </c>
      <c r="IA55">
        <v>50</v>
      </c>
      <c r="IB55" s="42">
        <v>-2</v>
      </c>
      <c r="IC55" s="44"/>
      <c r="IH55" s="42">
        <v>0</v>
      </c>
      <c r="II55" s="47"/>
      <c r="IJ55">
        <v>64</v>
      </c>
      <c r="IK55">
        <v>64</v>
      </c>
      <c r="IL55">
        <v>88</v>
      </c>
      <c r="IM55">
        <v>86</v>
      </c>
      <c r="IN55" s="42">
        <v>2</v>
      </c>
      <c r="IO55" s="47"/>
      <c r="IP55">
        <v>40</v>
      </c>
      <c r="IQ55">
        <v>40</v>
      </c>
      <c r="IR55">
        <v>40</v>
      </c>
      <c r="IS55">
        <v>40</v>
      </c>
      <c r="IT55" s="42">
        <v>0</v>
      </c>
      <c r="IU55" s="47"/>
      <c r="IV55">
        <v>48</v>
      </c>
      <c r="IW55">
        <v>48</v>
      </c>
      <c r="IX55">
        <v>88</v>
      </c>
      <c r="IY55">
        <v>92</v>
      </c>
      <c r="IZ55" s="42">
        <v>-4</v>
      </c>
      <c r="JA55" s="44"/>
      <c r="JB55">
        <v>64</v>
      </c>
      <c r="JC55">
        <v>71</v>
      </c>
      <c r="JD55" s="42">
        <v>-7</v>
      </c>
      <c r="JE55" s="44"/>
      <c r="JH55">
        <v>128</v>
      </c>
      <c r="JI55">
        <v>131</v>
      </c>
      <c r="JJ55" s="42">
        <v>-3</v>
      </c>
      <c r="JK55" s="44"/>
      <c r="JL55" s="46">
        <v>24</v>
      </c>
      <c r="JM55" s="40">
        <v>24</v>
      </c>
      <c r="JN55" s="42">
        <v>0</v>
      </c>
      <c r="JO55" s="44"/>
      <c r="JT55" s="42">
        <v>0</v>
      </c>
      <c r="JU55" s="44"/>
      <c r="JV55">
        <v>96</v>
      </c>
      <c r="JW55">
        <v>100</v>
      </c>
      <c r="JX55">
        <v>96</v>
      </c>
      <c r="JY55">
        <v>100</v>
      </c>
      <c r="JZ55" s="42">
        <v>-8</v>
      </c>
      <c r="KA55" s="47"/>
      <c r="KB55">
        <v>48</v>
      </c>
      <c r="KC55">
        <v>50</v>
      </c>
      <c r="KD55">
        <v>144</v>
      </c>
      <c r="KE55">
        <v>150</v>
      </c>
      <c r="KF55" s="42">
        <v>-8</v>
      </c>
      <c r="KG55" s="44"/>
      <c r="KH55">
        <v>24</v>
      </c>
      <c r="KI55">
        <v>24</v>
      </c>
      <c r="KK55">
        <v>24</v>
      </c>
      <c r="KL55" s="39">
        <v>-24</v>
      </c>
      <c r="KM55" s="47">
        <v>9.6000000000000014</v>
      </c>
      <c r="KN55" s="45"/>
      <c r="KP55">
        <v>48</v>
      </c>
      <c r="KQ55">
        <v>48</v>
      </c>
      <c r="KR55">
        <v>72</v>
      </c>
      <c r="KT55" s="42">
        <v>72</v>
      </c>
      <c r="KU55" s="47"/>
      <c r="KV55" s="40">
        <v>0</v>
      </c>
      <c r="KW55" s="40">
        <v>0</v>
      </c>
      <c r="KX55" s="40">
        <v>168</v>
      </c>
      <c r="KY55" s="40">
        <v>170</v>
      </c>
      <c r="KZ55" s="42">
        <v>-2</v>
      </c>
      <c r="LA55" s="47"/>
      <c r="LB55" s="40">
        <v>0</v>
      </c>
      <c r="LC55" s="40">
        <v>0</v>
      </c>
      <c r="LD55" s="40">
        <v>0</v>
      </c>
      <c r="LE55" s="40">
        <v>0</v>
      </c>
      <c r="LF55" s="42">
        <v>0</v>
      </c>
      <c r="LG55" s="47"/>
      <c r="LH55" s="45">
        <v>0</v>
      </c>
      <c r="LI55" s="40">
        <v>0</v>
      </c>
      <c r="LJ55" s="42">
        <v>0</v>
      </c>
      <c r="LK55" s="47"/>
      <c r="LL55" s="45">
        <v>0</v>
      </c>
      <c r="LM55" s="40">
        <v>0</v>
      </c>
      <c r="LN55" s="40">
        <v>0</v>
      </c>
      <c r="LO55" s="40">
        <v>0</v>
      </c>
      <c r="LP55" s="42">
        <v>0</v>
      </c>
      <c r="LQ55" s="47"/>
      <c r="LR55" s="45">
        <v>200</v>
      </c>
      <c r="LS55" s="40">
        <v>200</v>
      </c>
      <c r="LT55" s="40">
        <v>0</v>
      </c>
      <c r="LU55" s="40">
        <v>0</v>
      </c>
      <c r="LV55" s="42">
        <v>0</v>
      </c>
      <c r="LW55" s="47"/>
      <c r="LX55" s="45">
        <v>232</v>
      </c>
      <c r="LY55" s="40">
        <v>230</v>
      </c>
      <c r="LZ55" s="42">
        <v>2</v>
      </c>
      <c r="MA55" s="47"/>
      <c r="MB55" s="45">
        <v>0</v>
      </c>
      <c r="MC55" s="40">
        <v>0</v>
      </c>
      <c r="MD55" s="40">
        <v>48</v>
      </c>
      <c r="ME55" s="40">
        <v>50</v>
      </c>
      <c r="MF55" s="42">
        <v>-2</v>
      </c>
      <c r="MG55" s="47"/>
      <c r="MH55" s="45">
        <v>40</v>
      </c>
      <c r="MI55" s="40">
        <v>40</v>
      </c>
      <c r="MJ55" s="42">
        <v>0</v>
      </c>
      <c r="MK55" s="47"/>
      <c r="ML55" s="45">
        <v>80</v>
      </c>
      <c r="MM55" s="40">
        <v>80</v>
      </c>
      <c r="MN55" s="40">
        <v>0</v>
      </c>
      <c r="MO55" s="40">
        <v>0</v>
      </c>
      <c r="MP55" s="42">
        <v>0</v>
      </c>
      <c r="MQ55" s="47"/>
      <c r="MW55" s="47"/>
      <c r="MX55" s="45"/>
      <c r="NC55" s="47"/>
      <c r="ND55" s="45"/>
      <c r="NI55" s="47"/>
      <c r="NJ55" s="45"/>
      <c r="NO55" s="47"/>
      <c r="NP55" s="45"/>
      <c r="NU55" s="47"/>
      <c r="NV55" s="45"/>
      <c r="OA55" s="47"/>
      <c r="OB55" s="45"/>
      <c r="OE55" s="47"/>
      <c r="OF55" s="45"/>
      <c r="OK55" s="47"/>
      <c r="OL55" s="45"/>
      <c r="OQ55" s="47"/>
      <c r="OR55" s="45"/>
      <c r="OW55" s="47"/>
      <c r="PC55" s="47"/>
      <c r="PD55" s="45"/>
      <c r="PI55" s="47"/>
      <c r="PJ55" s="45"/>
      <c r="PO55" s="47"/>
      <c r="PP55" s="43"/>
      <c r="PU55" s="47"/>
      <c r="PV55" s="45"/>
      <c r="QA55" s="47"/>
      <c r="QB55" s="45"/>
      <c r="QE55" s="47"/>
      <c r="QF55" s="45"/>
      <c r="QK55" s="47"/>
      <c r="QL55" s="45"/>
      <c r="QQ55" s="47"/>
      <c r="QR55" s="45"/>
      <c r="QW55" s="47"/>
      <c r="QX55" s="45"/>
      <c r="RB55" s="42"/>
      <c r="RC55" s="47"/>
      <c r="RD55" s="45"/>
      <c r="RF55" s="42"/>
      <c r="RG55" s="47"/>
    </row>
    <row r="56" spans="1:475" x14ac:dyDescent="0.25">
      <c r="A56" s="40" t="s">
        <v>345</v>
      </c>
      <c r="B56" s="41">
        <v>0.4</v>
      </c>
      <c r="F56">
        <v>50</v>
      </c>
      <c r="J56">
        <v>32</v>
      </c>
      <c r="K56">
        <v>30</v>
      </c>
      <c r="N56" s="43"/>
      <c r="O56" s="48"/>
      <c r="P56" s="48"/>
      <c r="Q56" s="48"/>
      <c r="R56" s="48">
        <f t="shared" si="8"/>
        <v>0</v>
      </c>
      <c r="S56" s="44"/>
      <c r="T56" s="46">
        <v>40</v>
      </c>
      <c r="U56" s="49">
        <v>40</v>
      </c>
      <c r="V56" s="49">
        <v>40</v>
      </c>
      <c r="W56" s="49">
        <v>40</v>
      </c>
      <c r="X56" s="48">
        <f t="shared" si="9"/>
        <v>0</v>
      </c>
      <c r="Y56" s="44"/>
      <c r="Z56" s="43"/>
      <c r="AA56" s="48"/>
      <c r="AB56" s="48"/>
      <c r="AC56" s="48"/>
      <c r="AD56" s="48">
        <f t="shared" si="10"/>
        <v>0</v>
      </c>
      <c r="AE56" s="44"/>
      <c r="AF56" s="43"/>
      <c r="AG56" s="48"/>
      <c r="AH56" s="49">
        <v>72</v>
      </c>
      <c r="AI56" s="49">
        <v>77</v>
      </c>
      <c r="AJ56" s="48">
        <f t="shared" si="11"/>
        <v>-5</v>
      </c>
      <c r="AK56" s="44"/>
      <c r="AL56" s="48"/>
      <c r="AN56">
        <v>48</v>
      </c>
      <c r="AO56">
        <v>50</v>
      </c>
      <c r="AP56" s="42">
        <v>-2</v>
      </c>
      <c r="AQ56" s="44"/>
      <c r="AR56" s="43"/>
      <c r="AV56" s="42">
        <v>0</v>
      </c>
      <c r="AW56" s="44"/>
      <c r="AZ56">
        <v>24</v>
      </c>
      <c r="BA56">
        <v>72</v>
      </c>
      <c r="BB56">
        <v>76</v>
      </c>
      <c r="BC56" s="39">
        <v>-28</v>
      </c>
      <c r="BD56" s="44">
        <v>11.2</v>
      </c>
      <c r="BE56" s="43"/>
      <c r="BF56">
        <v>40</v>
      </c>
      <c r="BI56" s="39">
        <v>-40</v>
      </c>
      <c r="BJ56" s="44">
        <v>16</v>
      </c>
      <c r="BO56" s="42">
        <v>0</v>
      </c>
      <c r="BP56" s="44"/>
      <c r="BS56" s="42">
        <v>0</v>
      </c>
      <c r="BT56" s="44"/>
      <c r="BU56" s="46">
        <v>32</v>
      </c>
      <c r="BV56">
        <v>30</v>
      </c>
      <c r="BW56">
        <v>104</v>
      </c>
      <c r="BX56" s="42">
        <v>109</v>
      </c>
      <c r="BY56" s="42">
        <v>-3</v>
      </c>
      <c r="BZ56" s="44"/>
      <c r="CE56" s="42">
        <v>0</v>
      </c>
      <c r="CF56" s="44"/>
      <c r="CG56" s="43"/>
      <c r="CK56" s="42">
        <v>0</v>
      </c>
      <c r="CL56" s="44"/>
      <c r="CM56" s="46">
        <v>96</v>
      </c>
      <c r="CN56" s="42">
        <v>100</v>
      </c>
      <c r="CQ56" s="42">
        <v>-4</v>
      </c>
      <c r="CR56" s="44"/>
      <c r="CW56" s="42">
        <v>0</v>
      </c>
      <c r="CX56" s="44"/>
      <c r="CY56" s="43"/>
      <c r="DC56" s="42">
        <v>0</v>
      </c>
      <c r="DD56" s="44"/>
      <c r="DE56" s="45"/>
      <c r="DK56" s="42">
        <v>0</v>
      </c>
      <c r="DL56" s="44"/>
      <c r="DM56" s="45"/>
      <c r="DQ56" s="42">
        <v>0</v>
      </c>
      <c r="DR56" s="44"/>
      <c r="DZ56" s="44"/>
      <c r="EA56" s="43"/>
      <c r="EF56" s="44"/>
      <c r="EG56" s="43"/>
      <c r="EL56" s="44"/>
      <c r="EM56" s="46"/>
      <c r="ER56" s="44"/>
      <c r="EZ56" s="44"/>
      <c r="FF56" s="44"/>
      <c r="FG56" s="43"/>
      <c r="FL56" s="44"/>
      <c r="FM56" s="43"/>
      <c r="FP56" s="44"/>
      <c r="FV56" s="44"/>
      <c r="FW56" s="43"/>
      <c r="GD56" s="44"/>
      <c r="GJ56" s="44"/>
      <c r="GK56" s="43"/>
      <c r="GP56" s="47"/>
      <c r="GV56" s="44"/>
      <c r="GZ56" s="47"/>
      <c r="HA56" s="46"/>
      <c r="HD56" s="44"/>
      <c r="HE56" s="43"/>
      <c r="HJ56" s="47"/>
      <c r="HK56" s="43"/>
      <c r="HP56" s="44"/>
      <c r="HW56" s="44"/>
      <c r="HX56" s="45"/>
      <c r="IC56" s="44"/>
      <c r="II56" s="47"/>
      <c r="IO56" s="47"/>
      <c r="IU56" s="47"/>
      <c r="JA56" s="44"/>
      <c r="JE56" s="44"/>
      <c r="JK56" s="44"/>
      <c r="JL56" s="46"/>
      <c r="JO56" s="44"/>
      <c r="JU56" s="44"/>
      <c r="KA56" s="47"/>
      <c r="KG56" s="44"/>
      <c r="KM56" s="47"/>
      <c r="KN56" s="45"/>
      <c r="KU56" s="47"/>
      <c r="LA56" s="47"/>
      <c r="LG56" s="47"/>
      <c r="LH56" s="45"/>
      <c r="LK56" s="47"/>
      <c r="LL56" s="45"/>
      <c r="LQ56" s="47"/>
      <c r="LR56" s="45"/>
      <c r="LV56" s="42"/>
      <c r="LW56" s="47"/>
      <c r="LX56" s="45"/>
      <c r="LZ56" s="42"/>
      <c r="MA56" s="47"/>
      <c r="MB56" s="45"/>
      <c r="MF56" s="42"/>
      <c r="MG56" s="47"/>
      <c r="MH56" s="45"/>
      <c r="MJ56" s="42"/>
      <c r="MK56" s="47"/>
      <c r="ML56" s="45"/>
      <c r="MP56" s="42"/>
      <c r="MQ56" s="47"/>
      <c r="MW56" s="47"/>
      <c r="MX56" s="45"/>
      <c r="NC56" s="47"/>
      <c r="ND56" s="45"/>
      <c r="NI56" s="47"/>
      <c r="NJ56" s="45"/>
      <c r="NO56" s="47"/>
      <c r="NP56" s="45"/>
      <c r="NU56" s="47"/>
      <c r="NV56" s="45"/>
      <c r="OA56" s="47"/>
      <c r="OB56" s="45"/>
      <c r="OE56" s="47"/>
      <c r="OF56" s="45"/>
      <c r="OK56" s="47"/>
      <c r="OL56" s="45"/>
      <c r="OQ56" s="47"/>
      <c r="OR56" s="45"/>
      <c r="OW56" s="47"/>
      <c r="PC56" s="47"/>
      <c r="PD56" s="45"/>
      <c r="PI56" s="47"/>
      <c r="PJ56" s="45"/>
      <c r="PO56" s="47"/>
      <c r="PP56" s="43"/>
      <c r="PU56" s="47"/>
      <c r="PV56" s="45"/>
      <c r="QA56" s="47"/>
      <c r="QB56" s="45"/>
      <c r="QE56" s="47"/>
      <c r="QF56" s="45"/>
      <c r="QK56" s="47"/>
      <c r="QL56" s="45"/>
      <c r="QQ56" s="47"/>
      <c r="QR56" s="45"/>
      <c r="QW56" s="47"/>
      <c r="QX56" s="45"/>
      <c r="RB56" s="42"/>
      <c r="RC56" s="47"/>
      <c r="RD56" s="45"/>
      <c r="RF56" s="42"/>
      <c r="RG56" s="47"/>
    </row>
    <row r="57" spans="1:475" x14ac:dyDescent="0.25">
      <c r="A57" s="40" t="s">
        <v>346</v>
      </c>
      <c r="B57" s="41">
        <v>0.5</v>
      </c>
      <c r="N57" s="43"/>
      <c r="O57" s="48"/>
      <c r="P57" s="48"/>
      <c r="Q57" s="48"/>
      <c r="R57" s="48">
        <f t="shared" si="8"/>
        <v>0</v>
      </c>
      <c r="S57" s="44"/>
      <c r="T57" s="43"/>
      <c r="U57" s="48"/>
      <c r="V57" s="48"/>
      <c r="W57" s="48"/>
      <c r="X57" s="48">
        <f t="shared" si="9"/>
        <v>0</v>
      </c>
      <c r="Y57" s="44"/>
      <c r="Z57" s="43"/>
      <c r="AA57" s="48"/>
      <c r="AB57" s="48"/>
      <c r="AC57" s="48"/>
      <c r="AD57" s="48">
        <f t="shared" si="10"/>
        <v>0</v>
      </c>
      <c r="AE57" s="44"/>
      <c r="AF57" s="43"/>
      <c r="AG57" s="48"/>
      <c r="AH57" s="48"/>
      <c r="AI57" s="48"/>
      <c r="AJ57" s="48">
        <f t="shared" si="11"/>
        <v>0</v>
      </c>
      <c r="AK57" s="44"/>
      <c r="AL57" s="48"/>
      <c r="AP57" s="42">
        <v>0</v>
      </c>
      <c r="AQ57" s="44"/>
      <c r="AR57" s="43"/>
      <c r="AV57" s="42">
        <v>0</v>
      </c>
      <c r="AW57" s="44"/>
      <c r="BC57" s="42">
        <v>0</v>
      </c>
      <c r="BD57" s="44"/>
      <c r="BE57" s="43"/>
      <c r="BI57" s="42">
        <v>0</v>
      </c>
      <c r="BJ57" s="44"/>
      <c r="BO57" s="42">
        <v>0</v>
      </c>
      <c r="BP57" s="44"/>
      <c r="BS57" s="42">
        <v>0</v>
      </c>
      <c r="BT57" s="44"/>
      <c r="BU57" s="43"/>
      <c r="BY57" s="42">
        <v>0</v>
      </c>
      <c r="BZ57" s="44"/>
      <c r="CE57" s="42">
        <v>0</v>
      </c>
      <c r="CF57" s="44"/>
      <c r="CG57" s="43"/>
      <c r="CK57" s="42">
        <v>0</v>
      </c>
      <c r="CL57" s="44"/>
      <c r="CM57" s="43"/>
      <c r="CQ57" s="42">
        <v>0</v>
      </c>
      <c r="CR57" s="44"/>
      <c r="CW57" s="42">
        <v>0</v>
      </c>
      <c r="CX57" s="44"/>
      <c r="CY57" s="43"/>
      <c r="DC57" s="42">
        <v>0</v>
      </c>
      <c r="DD57" s="44"/>
      <c r="DE57" s="43"/>
      <c r="DK57" s="42">
        <v>0</v>
      </c>
      <c r="DL57" s="44"/>
      <c r="DM57" s="43"/>
      <c r="DQ57" s="42">
        <v>0</v>
      </c>
      <c r="DR57" s="44"/>
      <c r="DY57" s="42">
        <v>0</v>
      </c>
      <c r="DZ57" s="44"/>
      <c r="EA57" s="43"/>
      <c r="EE57" s="42">
        <v>0</v>
      </c>
      <c r="EF57" s="44"/>
      <c r="EG57" s="43"/>
      <c r="EK57" s="42">
        <v>0</v>
      </c>
      <c r="EL57" s="44"/>
      <c r="EM57" s="43"/>
      <c r="EQ57" s="42">
        <v>0</v>
      </c>
      <c r="ER57" s="44"/>
      <c r="EY57" s="42">
        <v>0</v>
      </c>
      <c r="EZ57" s="44"/>
      <c r="FE57" s="42">
        <v>0</v>
      </c>
      <c r="FF57" s="44"/>
      <c r="FG57" s="43"/>
      <c r="FK57" s="42">
        <v>0</v>
      </c>
      <c r="FL57" s="44"/>
      <c r="FM57" s="43"/>
      <c r="FO57" s="42">
        <v>0</v>
      </c>
      <c r="FP57" s="44"/>
      <c r="FU57" s="42">
        <v>0</v>
      </c>
      <c r="FV57" s="44"/>
      <c r="FW57" s="43"/>
      <c r="GC57" s="42">
        <v>0</v>
      </c>
      <c r="GD57" s="44"/>
      <c r="GI57" s="42">
        <v>0</v>
      </c>
      <c r="GJ57" s="44"/>
      <c r="GK57" s="43"/>
      <c r="GO57" s="42">
        <v>0</v>
      </c>
      <c r="GP57" s="47"/>
      <c r="GU57" s="42">
        <v>0</v>
      </c>
      <c r="GV57" s="44"/>
      <c r="GY57" s="42">
        <v>0</v>
      </c>
      <c r="GZ57" s="47"/>
      <c r="HA57" s="43"/>
      <c r="HC57" s="42">
        <v>0</v>
      </c>
      <c r="HD57" s="44"/>
      <c r="HE57" s="43"/>
      <c r="HI57" s="42">
        <v>0</v>
      </c>
      <c r="HJ57" s="47"/>
      <c r="HK57" s="43"/>
      <c r="HO57" s="42">
        <v>0</v>
      </c>
      <c r="HP57" s="44"/>
      <c r="HV57" s="42">
        <v>0</v>
      </c>
      <c r="HW57" s="44"/>
      <c r="HX57" s="45"/>
      <c r="IB57" s="42">
        <v>0</v>
      </c>
      <c r="IC57" s="44"/>
      <c r="IH57" s="42">
        <v>0</v>
      </c>
      <c r="II57" s="47"/>
      <c r="IN57" s="42">
        <v>0</v>
      </c>
      <c r="IO57" s="47"/>
      <c r="IT57" s="42">
        <v>0</v>
      </c>
      <c r="IU57" s="47"/>
      <c r="IZ57" s="42">
        <v>0</v>
      </c>
      <c r="JA57" s="44"/>
      <c r="JD57" s="42">
        <v>0</v>
      </c>
      <c r="JE57" s="44"/>
      <c r="JJ57" s="42">
        <v>0</v>
      </c>
      <c r="JK57" s="44"/>
      <c r="JL57" s="45"/>
      <c r="JN57" s="42">
        <v>0</v>
      </c>
      <c r="JO57" s="44"/>
      <c r="JT57" s="42">
        <v>0</v>
      </c>
      <c r="JU57" s="44"/>
      <c r="JZ57" s="42">
        <v>0</v>
      </c>
      <c r="KA57" s="47"/>
      <c r="KF57" s="42">
        <v>0</v>
      </c>
      <c r="KG57" s="44"/>
      <c r="KH57" s="41"/>
      <c r="KL57" s="42">
        <v>0</v>
      </c>
      <c r="KM57" s="47"/>
      <c r="KN57" s="45"/>
      <c r="KT57" s="42">
        <v>0</v>
      </c>
      <c r="KU57" s="47"/>
      <c r="KV57" s="40">
        <v>0</v>
      </c>
      <c r="KW57" s="40">
        <v>0</v>
      </c>
      <c r="KX57" s="40">
        <v>0</v>
      </c>
      <c r="KY57" s="40">
        <v>0</v>
      </c>
      <c r="KZ57" s="42">
        <v>0</v>
      </c>
      <c r="LA57" s="47"/>
      <c r="LB57" s="40">
        <v>0</v>
      </c>
      <c r="LC57" s="40">
        <v>0</v>
      </c>
      <c r="LD57" s="40">
        <v>0</v>
      </c>
      <c r="LE57" s="40">
        <v>0</v>
      </c>
      <c r="LF57" s="42">
        <v>0</v>
      </c>
      <c r="LG57" s="47"/>
      <c r="LH57" s="45">
        <v>0</v>
      </c>
      <c r="LI57" s="40">
        <v>0</v>
      </c>
      <c r="LJ57" s="42">
        <v>0</v>
      </c>
      <c r="LK57" s="47"/>
      <c r="LL57" s="45">
        <v>0</v>
      </c>
      <c r="LM57" s="40">
        <v>0</v>
      </c>
      <c r="LN57" s="40">
        <v>0</v>
      </c>
      <c r="LO57" s="40">
        <v>0</v>
      </c>
      <c r="LP57" s="42">
        <v>0</v>
      </c>
      <c r="LQ57" s="47"/>
      <c r="LR57" s="45">
        <v>0</v>
      </c>
      <c r="LS57" s="40">
        <v>0</v>
      </c>
      <c r="LT57" s="40">
        <v>0</v>
      </c>
      <c r="LU57" s="40">
        <v>0</v>
      </c>
      <c r="LV57" s="42">
        <v>0</v>
      </c>
      <c r="LW57" s="47"/>
      <c r="LX57" s="45">
        <v>0</v>
      </c>
      <c r="LY57" s="40">
        <v>0</v>
      </c>
      <c r="LZ57" s="42">
        <v>0</v>
      </c>
      <c r="MA57" s="47"/>
      <c r="MB57" s="45">
        <v>0</v>
      </c>
      <c r="MC57" s="40">
        <v>0</v>
      </c>
      <c r="MD57" s="40">
        <v>0</v>
      </c>
      <c r="ME57" s="40">
        <v>0</v>
      </c>
      <c r="MF57" s="42">
        <v>0</v>
      </c>
      <c r="MG57" s="47"/>
      <c r="MH57" s="45">
        <v>0</v>
      </c>
      <c r="MI57" s="40">
        <v>0</v>
      </c>
      <c r="MJ57" s="42">
        <v>0</v>
      </c>
      <c r="MK57" s="47"/>
      <c r="ML57" s="45">
        <v>0</v>
      </c>
      <c r="MM57" s="40">
        <v>0</v>
      </c>
      <c r="MN57" s="40">
        <v>0</v>
      </c>
      <c r="MO57" s="40">
        <v>0</v>
      </c>
      <c r="MP57" s="42">
        <v>0</v>
      </c>
      <c r="MQ57" s="47"/>
      <c r="MR57" s="40">
        <v>0</v>
      </c>
      <c r="MS57" s="40">
        <v>0</v>
      </c>
      <c r="MT57" s="40">
        <v>0</v>
      </c>
      <c r="MU57" s="40">
        <v>0</v>
      </c>
      <c r="MV57" s="42">
        <v>0</v>
      </c>
      <c r="MW57" s="47"/>
      <c r="MX57" s="45">
        <v>0</v>
      </c>
      <c r="MY57" s="40">
        <v>0</v>
      </c>
      <c r="MZ57" s="40">
        <v>0</v>
      </c>
      <c r="NA57" s="40">
        <v>0</v>
      </c>
      <c r="NB57" s="42">
        <v>0</v>
      </c>
      <c r="NC57" s="47"/>
      <c r="ND57" s="45">
        <v>0</v>
      </c>
      <c r="NE57" s="40">
        <v>0</v>
      </c>
      <c r="NF57" s="40">
        <v>0</v>
      </c>
      <c r="NG57" s="40">
        <v>0</v>
      </c>
      <c r="NH57" s="42">
        <v>0</v>
      </c>
      <c r="NI57" s="47"/>
      <c r="NJ57" s="45">
        <v>0</v>
      </c>
      <c r="NK57" s="40">
        <v>0</v>
      </c>
      <c r="NL57" s="40">
        <v>0</v>
      </c>
      <c r="NM57" s="40">
        <v>0</v>
      </c>
      <c r="NN57" s="42">
        <v>0</v>
      </c>
      <c r="NO57" s="47"/>
      <c r="NP57" s="45">
        <v>0</v>
      </c>
      <c r="NQ57" s="40">
        <v>0</v>
      </c>
      <c r="NR57" s="40">
        <v>0</v>
      </c>
      <c r="NS57" s="40">
        <v>0</v>
      </c>
      <c r="NT57" s="42">
        <v>0</v>
      </c>
      <c r="NU57" s="47"/>
      <c r="NV57" s="45">
        <v>0</v>
      </c>
      <c r="NW57" s="40">
        <v>0</v>
      </c>
      <c r="NX57" s="40">
        <v>0</v>
      </c>
      <c r="NY57" s="40">
        <v>0</v>
      </c>
      <c r="NZ57" s="42">
        <v>0</v>
      </c>
      <c r="OA57" s="47"/>
      <c r="OB57" s="45">
        <v>0</v>
      </c>
      <c r="OC57" s="40">
        <v>0</v>
      </c>
      <c r="OD57" s="42">
        <v>0</v>
      </c>
      <c r="OE57" s="47"/>
      <c r="OF57" s="45">
        <v>0</v>
      </c>
      <c r="OG57" s="40">
        <v>0</v>
      </c>
      <c r="OH57" s="40">
        <v>0</v>
      </c>
      <c r="OI57" s="40">
        <v>0</v>
      </c>
      <c r="OJ57" s="42">
        <v>0</v>
      </c>
      <c r="OK57" s="47"/>
      <c r="OL57" s="45">
        <v>0</v>
      </c>
      <c r="OM57" s="40">
        <v>0</v>
      </c>
      <c r="ON57" s="40">
        <v>0</v>
      </c>
      <c r="OO57" s="40">
        <v>0</v>
      </c>
      <c r="OP57" s="42">
        <v>0</v>
      </c>
      <c r="OQ57" s="47"/>
      <c r="OR57" s="45">
        <v>0</v>
      </c>
      <c r="OS57" s="40">
        <v>0</v>
      </c>
      <c r="OT57" s="40">
        <v>0</v>
      </c>
      <c r="OU57" s="40">
        <v>0</v>
      </c>
      <c r="OV57" s="42">
        <v>0</v>
      </c>
      <c r="OW57" s="47"/>
      <c r="OX57" s="40">
        <v>0</v>
      </c>
      <c r="OY57" s="40">
        <v>0</v>
      </c>
      <c r="OZ57" s="40">
        <v>0</v>
      </c>
      <c r="PA57" s="40">
        <v>0</v>
      </c>
      <c r="PB57" s="42">
        <v>0</v>
      </c>
      <c r="PC57" s="47"/>
      <c r="PD57" s="45">
        <v>0</v>
      </c>
      <c r="PE57" s="40">
        <v>0</v>
      </c>
      <c r="PF57" s="40">
        <v>0</v>
      </c>
      <c r="PG57" s="40">
        <v>0</v>
      </c>
      <c r="PH57" s="42">
        <v>0</v>
      </c>
      <c r="PI57" s="47"/>
      <c r="PJ57" s="45">
        <v>0</v>
      </c>
      <c r="PK57" s="40">
        <v>0</v>
      </c>
      <c r="PL57" s="40">
        <v>0</v>
      </c>
      <c r="PM57" s="40">
        <v>0</v>
      </c>
      <c r="PN57" s="42">
        <v>0</v>
      </c>
      <c r="PO57" s="47"/>
      <c r="PP57" s="43">
        <v>0</v>
      </c>
      <c r="PQ57" s="40">
        <v>0</v>
      </c>
      <c r="PR57" s="40">
        <v>0</v>
      </c>
      <c r="PS57" s="40">
        <v>0</v>
      </c>
      <c r="PT57" s="42">
        <v>0</v>
      </c>
      <c r="PU57" s="47"/>
      <c r="PV57" s="45">
        <v>0</v>
      </c>
      <c r="PW57" s="40">
        <v>0</v>
      </c>
      <c r="PX57" s="40">
        <v>0</v>
      </c>
      <c r="PY57" s="40">
        <v>0</v>
      </c>
      <c r="PZ57" s="42">
        <v>0</v>
      </c>
      <c r="QA57" s="47"/>
      <c r="QB57" s="45">
        <v>0</v>
      </c>
      <c r="QC57" s="40">
        <v>0</v>
      </c>
      <c r="QD57" s="42">
        <v>0</v>
      </c>
      <c r="QE57" s="47"/>
      <c r="QF57" s="45">
        <v>400</v>
      </c>
      <c r="QG57" s="40">
        <v>400</v>
      </c>
      <c r="QH57" s="40">
        <v>600</v>
      </c>
      <c r="QI57" s="40">
        <v>600</v>
      </c>
      <c r="QJ57" s="42">
        <v>0</v>
      </c>
      <c r="QK57" s="47"/>
      <c r="QL57" s="45">
        <v>0</v>
      </c>
      <c r="QM57" s="40">
        <v>0</v>
      </c>
      <c r="QN57" s="40">
        <v>0</v>
      </c>
      <c r="QO57" s="40">
        <v>0</v>
      </c>
      <c r="QP57" s="42">
        <v>0</v>
      </c>
      <c r="QQ57" s="47"/>
      <c r="QR57" s="45">
        <v>0</v>
      </c>
      <c r="QS57" s="40">
        <v>0</v>
      </c>
      <c r="QT57" s="40">
        <v>0</v>
      </c>
      <c r="QU57" s="40">
        <v>0</v>
      </c>
      <c r="QV57" s="42">
        <v>0</v>
      </c>
      <c r="QW57" s="47"/>
      <c r="QX57" s="45">
        <v>0</v>
      </c>
      <c r="QY57" s="40">
        <v>0</v>
      </c>
      <c r="QZ57" s="40">
        <v>0</v>
      </c>
      <c r="RA57" s="40">
        <v>0</v>
      </c>
      <c r="RB57" s="42">
        <v>0</v>
      </c>
      <c r="RC57" s="47"/>
      <c r="RD57" s="45">
        <v>0</v>
      </c>
      <c r="RE57" s="40">
        <v>0</v>
      </c>
      <c r="RF57" s="42">
        <v>0</v>
      </c>
      <c r="RG57" s="47"/>
    </row>
    <row r="58" spans="1:475" x14ac:dyDescent="0.25">
      <c r="A58" s="40" t="s">
        <v>347</v>
      </c>
      <c r="B58" s="41">
        <v>0.4</v>
      </c>
      <c r="E58">
        <v>150</v>
      </c>
      <c r="F58">
        <v>150</v>
      </c>
      <c r="I58">
        <v>280</v>
      </c>
      <c r="N58" s="46">
        <v>296</v>
      </c>
      <c r="O58" s="49">
        <v>300</v>
      </c>
      <c r="P58" s="49">
        <v>328</v>
      </c>
      <c r="Q58" s="49">
        <v>332</v>
      </c>
      <c r="R58" s="48">
        <f t="shared" si="8"/>
        <v>-8</v>
      </c>
      <c r="S58" s="44"/>
      <c r="T58" s="46">
        <v>320</v>
      </c>
      <c r="U58" s="49">
        <v>320</v>
      </c>
      <c r="V58" s="49">
        <v>328</v>
      </c>
      <c r="W58" s="49">
        <v>330</v>
      </c>
      <c r="X58" s="48">
        <f t="shared" si="9"/>
        <v>-2</v>
      </c>
      <c r="Y58" s="44"/>
      <c r="Z58" s="43"/>
      <c r="AA58" s="48"/>
      <c r="AB58" s="48"/>
      <c r="AC58" s="48"/>
      <c r="AD58" s="48">
        <f t="shared" si="10"/>
        <v>0</v>
      </c>
      <c r="AE58" s="44"/>
      <c r="AF58" s="46">
        <v>296</v>
      </c>
      <c r="AG58" s="49">
        <v>300</v>
      </c>
      <c r="AH58" s="49">
        <v>400</v>
      </c>
      <c r="AI58" s="49">
        <v>400</v>
      </c>
      <c r="AJ58" s="48">
        <f t="shared" si="11"/>
        <v>-4</v>
      </c>
      <c r="AK58" s="44"/>
      <c r="AL58" s="49">
        <v>240</v>
      </c>
      <c r="AM58">
        <v>240</v>
      </c>
      <c r="AN58">
        <v>184</v>
      </c>
      <c r="AO58">
        <v>186</v>
      </c>
      <c r="AP58" s="42">
        <v>-2</v>
      </c>
      <c r="AQ58" s="44"/>
      <c r="AR58" s="46">
        <v>200</v>
      </c>
      <c r="AS58">
        <v>200</v>
      </c>
      <c r="AV58" s="42">
        <v>0</v>
      </c>
      <c r="AW58" s="44"/>
      <c r="AX58">
        <v>96</v>
      </c>
      <c r="AZ58">
        <v>100</v>
      </c>
      <c r="BA58">
        <v>200</v>
      </c>
      <c r="BB58">
        <v>200</v>
      </c>
      <c r="BC58" s="42">
        <v>-4</v>
      </c>
      <c r="BD58" s="44"/>
      <c r="BE58" s="46">
        <v>248</v>
      </c>
      <c r="BF58">
        <v>250</v>
      </c>
      <c r="BG58">
        <v>184</v>
      </c>
      <c r="BH58">
        <v>187</v>
      </c>
      <c r="BI58" s="42">
        <v>-5</v>
      </c>
      <c r="BJ58" s="44"/>
      <c r="BK58">
        <v>200</v>
      </c>
      <c r="BL58">
        <v>200</v>
      </c>
      <c r="BM58">
        <v>96</v>
      </c>
      <c r="BN58">
        <v>100</v>
      </c>
      <c r="BO58" s="42">
        <v>-4</v>
      </c>
      <c r="BP58" s="44"/>
      <c r="BQ58">
        <v>144</v>
      </c>
      <c r="BR58">
        <v>150</v>
      </c>
      <c r="BS58" s="42">
        <v>-6</v>
      </c>
      <c r="BT58" s="44"/>
      <c r="BU58" s="46">
        <v>224</v>
      </c>
      <c r="BV58">
        <v>225</v>
      </c>
      <c r="BW58">
        <v>704</v>
      </c>
      <c r="BX58">
        <v>709</v>
      </c>
      <c r="BY58" s="42">
        <v>-6</v>
      </c>
      <c r="BZ58" s="44"/>
      <c r="CA58">
        <v>296</v>
      </c>
      <c r="CB58">
        <v>300</v>
      </c>
      <c r="CC58">
        <v>400</v>
      </c>
      <c r="CD58">
        <v>400</v>
      </c>
      <c r="CE58" s="42">
        <v>-4</v>
      </c>
      <c r="CF58" s="44"/>
      <c r="CG58" s="46">
        <v>200</v>
      </c>
      <c r="CH58">
        <v>200</v>
      </c>
      <c r="CI58">
        <v>136</v>
      </c>
      <c r="CJ58">
        <v>140</v>
      </c>
      <c r="CK58" s="42">
        <v>-4</v>
      </c>
      <c r="CL58" s="44"/>
      <c r="CM58" s="43"/>
      <c r="CO58">
        <v>624</v>
      </c>
      <c r="CP58">
        <v>622</v>
      </c>
      <c r="CQ58" s="42">
        <v>2</v>
      </c>
      <c r="CR58" s="44"/>
      <c r="CS58">
        <v>96</v>
      </c>
      <c r="CT58">
        <v>100</v>
      </c>
      <c r="CU58">
        <v>200</v>
      </c>
      <c r="CV58">
        <v>200</v>
      </c>
      <c r="CW58" s="42">
        <v>-4</v>
      </c>
      <c r="CX58" s="44"/>
      <c r="CY58" s="46">
        <v>152</v>
      </c>
      <c r="CZ58">
        <v>150</v>
      </c>
      <c r="DA58">
        <v>104</v>
      </c>
      <c r="DB58">
        <v>102</v>
      </c>
      <c r="DC58" s="42">
        <v>4</v>
      </c>
      <c r="DD58" s="44"/>
      <c r="DE58" s="46">
        <v>176</v>
      </c>
      <c r="DF58">
        <v>180</v>
      </c>
      <c r="DG58">
        <v>96</v>
      </c>
      <c r="DH58">
        <v>100</v>
      </c>
      <c r="DI58">
        <v>200</v>
      </c>
      <c r="DJ58">
        <v>202</v>
      </c>
      <c r="DK58" s="42">
        <v>-10</v>
      </c>
      <c r="DL58" s="44"/>
      <c r="DM58" s="46">
        <v>200</v>
      </c>
      <c r="DN58">
        <v>200</v>
      </c>
      <c r="DO58">
        <v>296</v>
      </c>
      <c r="DP58">
        <v>300</v>
      </c>
      <c r="DQ58" s="42">
        <v>-4</v>
      </c>
      <c r="DR58" s="44"/>
      <c r="DS58">
        <v>200</v>
      </c>
      <c r="DT58">
        <v>200</v>
      </c>
      <c r="DU58">
        <v>280</v>
      </c>
      <c r="DV58">
        <v>280</v>
      </c>
      <c r="DW58">
        <v>200</v>
      </c>
      <c r="DX58">
        <v>200</v>
      </c>
      <c r="DY58" s="42">
        <v>0</v>
      </c>
      <c r="DZ58" s="44"/>
      <c r="EA58" s="46">
        <v>96</v>
      </c>
      <c r="EB58">
        <v>100</v>
      </c>
      <c r="EC58">
        <v>264</v>
      </c>
      <c r="ED58">
        <v>265</v>
      </c>
      <c r="EE58" s="42">
        <v>-5</v>
      </c>
      <c r="EF58" s="44"/>
      <c r="EG58" s="46">
        <v>120</v>
      </c>
      <c r="EH58">
        <v>120</v>
      </c>
      <c r="EI58">
        <v>216</v>
      </c>
      <c r="EJ58">
        <v>220</v>
      </c>
      <c r="EK58" s="42">
        <v>-4</v>
      </c>
      <c r="EL58" s="44"/>
      <c r="EM58" s="46">
        <v>200</v>
      </c>
      <c r="EN58">
        <v>200</v>
      </c>
      <c r="EO58">
        <v>496</v>
      </c>
      <c r="EP58">
        <v>500</v>
      </c>
      <c r="EQ58" s="42">
        <v>-4</v>
      </c>
      <c r="ER58" s="44"/>
      <c r="ES58">
        <v>232</v>
      </c>
      <c r="ET58">
        <v>240</v>
      </c>
      <c r="EU58">
        <v>240</v>
      </c>
      <c r="EV58">
        <v>240</v>
      </c>
      <c r="EW58">
        <v>400</v>
      </c>
      <c r="EX58">
        <v>390</v>
      </c>
      <c r="EY58" s="42">
        <v>2</v>
      </c>
      <c r="EZ58" s="44"/>
      <c r="FC58">
        <v>200</v>
      </c>
      <c r="FD58">
        <v>200</v>
      </c>
      <c r="FE58" s="42">
        <v>0</v>
      </c>
      <c r="FF58" s="44"/>
      <c r="FG58" s="46">
        <v>248</v>
      </c>
      <c r="FH58">
        <v>250</v>
      </c>
      <c r="FI58">
        <v>552</v>
      </c>
      <c r="FJ58">
        <v>550</v>
      </c>
      <c r="FK58" s="42">
        <v>0</v>
      </c>
      <c r="FL58" s="44"/>
      <c r="FM58" s="46">
        <v>472</v>
      </c>
      <c r="FN58">
        <v>475</v>
      </c>
      <c r="FO58" s="42">
        <v>-3</v>
      </c>
      <c r="FP58" s="44"/>
      <c r="FS58">
        <v>160</v>
      </c>
      <c r="FT58">
        <v>160</v>
      </c>
      <c r="FU58" s="42">
        <v>0</v>
      </c>
      <c r="FV58" s="44"/>
      <c r="FW58" s="43"/>
      <c r="FX58">
        <v>200</v>
      </c>
      <c r="FZ58">
        <v>200</v>
      </c>
      <c r="GA58">
        <v>296</v>
      </c>
      <c r="GB58">
        <v>300</v>
      </c>
      <c r="GC58" s="39">
        <v>-404</v>
      </c>
      <c r="GD58" s="44">
        <v>161.6</v>
      </c>
      <c r="GE58">
        <v>400</v>
      </c>
      <c r="GF58">
        <v>400</v>
      </c>
      <c r="GG58">
        <v>400</v>
      </c>
      <c r="GH58">
        <v>400</v>
      </c>
      <c r="GI58" s="42">
        <v>0</v>
      </c>
      <c r="GJ58" s="44"/>
      <c r="GK58" s="43"/>
      <c r="GM58">
        <v>32</v>
      </c>
      <c r="GN58">
        <v>30</v>
      </c>
      <c r="GO58" s="42">
        <v>2</v>
      </c>
      <c r="GP58" s="47"/>
      <c r="GQ58">
        <v>352</v>
      </c>
      <c r="GR58">
        <v>350</v>
      </c>
      <c r="GS58">
        <v>368</v>
      </c>
      <c r="GT58">
        <v>370</v>
      </c>
      <c r="GU58" s="42">
        <v>0</v>
      </c>
      <c r="GV58" s="44"/>
      <c r="GW58">
        <v>96</v>
      </c>
      <c r="GX58" s="40">
        <v>100</v>
      </c>
      <c r="GY58" s="42">
        <v>-4</v>
      </c>
      <c r="GZ58" s="47"/>
      <c r="HA58" s="46">
        <v>168</v>
      </c>
      <c r="HB58">
        <v>173</v>
      </c>
      <c r="HC58" s="42">
        <v>-5</v>
      </c>
      <c r="HD58" s="44"/>
      <c r="HE58" s="46">
        <v>392</v>
      </c>
      <c r="HF58">
        <v>400</v>
      </c>
      <c r="HG58">
        <v>528</v>
      </c>
      <c r="HH58">
        <v>529</v>
      </c>
      <c r="HI58" s="42">
        <v>-9</v>
      </c>
      <c r="HJ58" s="47"/>
      <c r="HK58" s="43"/>
      <c r="HO58" s="42">
        <v>0</v>
      </c>
      <c r="HP58" s="44"/>
      <c r="HR58">
        <v>136</v>
      </c>
      <c r="HS58">
        <v>150</v>
      </c>
      <c r="HT58">
        <v>152</v>
      </c>
      <c r="HU58">
        <v>150</v>
      </c>
      <c r="HV58" s="39">
        <v>-12</v>
      </c>
      <c r="HW58" s="44">
        <v>4.8000000000000007</v>
      </c>
      <c r="HX58" s="46">
        <v>496</v>
      </c>
      <c r="HY58">
        <v>500</v>
      </c>
      <c r="HZ58">
        <v>600</v>
      </c>
      <c r="IA58">
        <v>600</v>
      </c>
      <c r="IB58" s="42">
        <v>-4</v>
      </c>
      <c r="IC58" s="44"/>
      <c r="IH58" s="42">
        <v>0</v>
      </c>
      <c r="II58" s="47"/>
      <c r="IJ58">
        <v>120</v>
      </c>
      <c r="IK58">
        <v>120</v>
      </c>
      <c r="IL58">
        <v>152</v>
      </c>
      <c r="IM58">
        <v>150</v>
      </c>
      <c r="IN58" s="42">
        <v>2</v>
      </c>
      <c r="IO58" s="47"/>
      <c r="IP58">
        <v>376</v>
      </c>
      <c r="IQ58">
        <v>380</v>
      </c>
      <c r="IR58">
        <v>368</v>
      </c>
      <c r="IS58">
        <v>370</v>
      </c>
      <c r="IT58" s="42">
        <v>-6</v>
      </c>
      <c r="IU58" s="47"/>
      <c r="IV58">
        <v>48</v>
      </c>
      <c r="IW58">
        <v>48</v>
      </c>
      <c r="IZ58" s="42">
        <v>0</v>
      </c>
      <c r="JA58" s="44"/>
      <c r="JB58">
        <v>416</v>
      </c>
      <c r="JC58">
        <v>420</v>
      </c>
      <c r="JD58" s="42">
        <v>-4</v>
      </c>
      <c r="JE58" s="44"/>
      <c r="JF58">
        <v>392</v>
      </c>
      <c r="JG58">
        <v>400</v>
      </c>
      <c r="JH58">
        <v>272</v>
      </c>
      <c r="JI58">
        <v>277</v>
      </c>
      <c r="JJ58" s="39">
        <v>-13</v>
      </c>
      <c r="JK58" s="44">
        <v>5.2</v>
      </c>
      <c r="JL58" s="45"/>
      <c r="JN58" s="42">
        <v>0</v>
      </c>
      <c r="JO58" s="44"/>
      <c r="JT58" s="42">
        <v>0</v>
      </c>
      <c r="JU58" s="44"/>
      <c r="JV58">
        <v>448</v>
      </c>
      <c r="JW58">
        <v>450</v>
      </c>
      <c r="JX58">
        <v>512</v>
      </c>
      <c r="JY58">
        <v>513</v>
      </c>
      <c r="JZ58" s="42">
        <v>-3</v>
      </c>
      <c r="KA58" s="47"/>
      <c r="KB58">
        <v>32</v>
      </c>
      <c r="KC58">
        <v>30</v>
      </c>
      <c r="KF58" s="42">
        <v>2</v>
      </c>
      <c r="KG58" s="44"/>
      <c r="KH58">
        <v>64</v>
      </c>
      <c r="KI58">
        <v>64</v>
      </c>
      <c r="KL58" s="42">
        <v>0</v>
      </c>
      <c r="KM58" s="47"/>
      <c r="KN58" s="46">
        <v>152</v>
      </c>
      <c r="KO58">
        <v>150</v>
      </c>
      <c r="KP58">
        <v>360</v>
      </c>
      <c r="KQ58">
        <v>360</v>
      </c>
      <c r="KR58">
        <v>248</v>
      </c>
      <c r="KS58">
        <v>195</v>
      </c>
      <c r="KT58" s="42">
        <v>55</v>
      </c>
      <c r="KU58" s="47"/>
      <c r="KV58" s="40">
        <v>96</v>
      </c>
      <c r="KW58" s="40">
        <v>100</v>
      </c>
      <c r="KX58" s="40">
        <v>216</v>
      </c>
      <c r="KY58" s="40">
        <v>220</v>
      </c>
      <c r="KZ58" s="42">
        <v>-8</v>
      </c>
      <c r="LA58" s="47"/>
      <c r="LB58" s="40">
        <v>96</v>
      </c>
      <c r="LC58" s="40">
        <v>100</v>
      </c>
      <c r="LD58" s="40">
        <v>96</v>
      </c>
      <c r="LE58" s="40">
        <v>100</v>
      </c>
      <c r="LF58" s="42">
        <v>-8</v>
      </c>
      <c r="LG58" s="47"/>
      <c r="LH58" s="45">
        <v>168</v>
      </c>
      <c r="LI58" s="40">
        <v>170</v>
      </c>
      <c r="LJ58" s="42">
        <v>-2</v>
      </c>
      <c r="LK58" s="47"/>
      <c r="LL58" s="45">
        <v>112</v>
      </c>
      <c r="LM58" s="40">
        <v>110</v>
      </c>
      <c r="LN58" s="40">
        <v>104</v>
      </c>
      <c r="LO58" s="40">
        <v>106</v>
      </c>
      <c r="LP58" s="42">
        <v>0</v>
      </c>
      <c r="LQ58" s="47"/>
      <c r="LR58" s="45">
        <v>96</v>
      </c>
      <c r="LS58" s="40">
        <v>96</v>
      </c>
      <c r="LT58" s="40">
        <v>64</v>
      </c>
      <c r="LU58" s="40">
        <v>64</v>
      </c>
      <c r="LV58" s="42">
        <v>0</v>
      </c>
      <c r="LW58" s="47"/>
      <c r="LX58" s="45">
        <v>368</v>
      </c>
      <c r="LY58" s="40">
        <v>370</v>
      </c>
      <c r="LZ58" s="42">
        <v>-2</v>
      </c>
      <c r="MA58" s="47"/>
      <c r="MB58" s="45">
        <v>152</v>
      </c>
      <c r="MC58" s="40">
        <v>150</v>
      </c>
      <c r="MD58" s="40">
        <v>176</v>
      </c>
      <c r="ME58" s="40">
        <v>180</v>
      </c>
      <c r="MF58" s="42">
        <v>-2</v>
      </c>
      <c r="MG58" s="47"/>
      <c r="MH58" s="45">
        <v>496</v>
      </c>
      <c r="MI58" s="40">
        <v>500</v>
      </c>
      <c r="MJ58" s="42">
        <v>-4</v>
      </c>
      <c r="MK58" s="47"/>
      <c r="ML58" s="45">
        <v>80</v>
      </c>
      <c r="MM58" s="40">
        <v>80</v>
      </c>
      <c r="MN58" s="40">
        <v>120</v>
      </c>
      <c r="MO58" s="40">
        <v>120</v>
      </c>
      <c r="MP58" s="42">
        <v>0</v>
      </c>
      <c r="MQ58" s="47"/>
      <c r="MR58" s="40">
        <v>0</v>
      </c>
      <c r="MS58" s="40">
        <v>0</v>
      </c>
      <c r="MT58" s="40">
        <v>584</v>
      </c>
      <c r="MU58" s="40">
        <v>590</v>
      </c>
      <c r="MV58" s="42">
        <v>-6</v>
      </c>
      <c r="MW58" s="47"/>
      <c r="MX58" s="45">
        <v>96</v>
      </c>
      <c r="MY58" s="40">
        <v>100</v>
      </c>
      <c r="MZ58" s="40">
        <v>248</v>
      </c>
      <c r="NA58" s="40">
        <v>250</v>
      </c>
      <c r="NB58" s="42">
        <v>-6</v>
      </c>
      <c r="NC58" s="47"/>
      <c r="ND58" s="45">
        <v>152</v>
      </c>
      <c r="NE58" s="40">
        <v>140</v>
      </c>
      <c r="NF58" s="40">
        <v>96</v>
      </c>
      <c r="NG58" s="40">
        <v>100</v>
      </c>
      <c r="NH58" s="42">
        <v>8</v>
      </c>
      <c r="NI58" s="47"/>
      <c r="NJ58" s="45">
        <v>248</v>
      </c>
      <c r="NK58" s="40">
        <v>250</v>
      </c>
      <c r="NL58" s="40">
        <v>336</v>
      </c>
      <c r="NM58" s="40">
        <v>334</v>
      </c>
      <c r="NN58" s="42">
        <v>0</v>
      </c>
      <c r="NO58" s="47"/>
      <c r="NP58" s="45">
        <v>152</v>
      </c>
      <c r="NQ58" s="40">
        <v>100</v>
      </c>
      <c r="NR58" s="40">
        <v>272</v>
      </c>
      <c r="NS58" s="40">
        <v>270</v>
      </c>
      <c r="NT58" s="42">
        <v>54</v>
      </c>
      <c r="NU58" s="47"/>
      <c r="NV58" s="45">
        <v>200</v>
      </c>
      <c r="NW58" s="40">
        <v>200</v>
      </c>
      <c r="NX58" s="40">
        <v>200</v>
      </c>
      <c r="NY58" s="40">
        <v>200</v>
      </c>
      <c r="NZ58" s="42">
        <v>0</v>
      </c>
      <c r="OA58" s="47"/>
      <c r="OB58" s="45">
        <v>216</v>
      </c>
      <c r="OC58" s="40">
        <v>220</v>
      </c>
      <c r="OD58" s="42">
        <v>-4</v>
      </c>
      <c r="OE58" s="47"/>
      <c r="OF58" s="45">
        <v>392</v>
      </c>
      <c r="OG58" s="40">
        <v>396</v>
      </c>
      <c r="OH58" s="40">
        <v>392</v>
      </c>
      <c r="OI58" s="40">
        <v>395</v>
      </c>
      <c r="OJ58" s="42">
        <v>-7</v>
      </c>
      <c r="OK58" s="47"/>
      <c r="OL58" s="45">
        <v>208</v>
      </c>
      <c r="OM58" s="40">
        <v>210</v>
      </c>
      <c r="ON58" s="40">
        <v>136</v>
      </c>
      <c r="OO58" s="40">
        <v>140</v>
      </c>
      <c r="OP58" s="42">
        <v>-6</v>
      </c>
      <c r="OQ58" s="47"/>
      <c r="OR58" s="45">
        <v>256</v>
      </c>
      <c r="OS58" s="40">
        <v>260</v>
      </c>
      <c r="OT58" s="40">
        <v>200</v>
      </c>
      <c r="OU58" s="40">
        <v>201</v>
      </c>
      <c r="OV58" s="42">
        <v>-5</v>
      </c>
      <c r="OW58" s="47"/>
      <c r="OX58" s="40">
        <v>200</v>
      </c>
      <c r="OY58" s="40">
        <v>200</v>
      </c>
      <c r="OZ58" s="40">
        <v>200</v>
      </c>
      <c r="PA58" s="40">
        <v>200</v>
      </c>
      <c r="PB58" s="42">
        <v>0</v>
      </c>
      <c r="PC58" s="47"/>
      <c r="PD58" s="45">
        <v>0</v>
      </c>
      <c r="PE58" s="40">
        <v>0</v>
      </c>
      <c r="PF58" s="40">
        <v>0</v>
      </c>
      <c r="PG58" s="40">
        <v>0</v>
      </c>
      <c r="PH58" s="42">
        <v>0</v>
      </c>
      <c r="PI58" s="47"/>
      <c r="PJ58" s="45">
        <v>0</v>
      </c>
      <c r="PK58" s="40">
        <v>0</v>
      </c>
      <c r="PL58" s="40">
        <v>280</v>
      </c>
      <c r="PM58" s="40">
        <v>284</v>
      </c>
      <c r="PN58" s="42">
        <v>-4</v>
      </c>
      <c r="PO58" s="47"/>
      <c r="PP58" s="43">
        <v>32</v>
      </c>
      <c r="PQ58" s="40">
        <v>200</v>
      </c>
      <c r="PR58" s="40">
        <v>352</v>
      </c>
      <c r="PS58" s="40">
        <v>357</v>
      </c>
      <c r="PT58" s="39">
        <v>-173</v>
      </c>
      <c r="PU58" s="47">
        <v>69.2</v>
      </c>
      <c r="PV58" s="45">
        <v>200</v>
      </c>
      <c r="PW58" s="40">
        <v>200</v>
      </c>
      <c r="PX58" s="40">
        <v>152</v>
      </c>
      <c r="PY58" s="40">
        <v>150</v>
      </c>
      <c r="PZ58" s="42">
        <v>2</v>
      </c>
      <c r="QA58" s="47"/>
      <c r="QB58" s="45">
        <v>496</v>
      </c>
      <c r="QC58" s="40">
        <v>500</v>
      </c>
      <c r="QD58" s="42">
        <v>-4</v>
      </c>
      <c r="QE58" s="47"/>
      <c r="QF58" s="45">
        <v>200</v>
      </c>
      <c r="QG58" s="40">
        <v>202</v>
      </c>
      <c r="QH58" s="40">
        <v>400</v>
      </c>
      <c r="QI58" s="40">
        <v>400</v>
      </c>
      <c r="QJ58" s="42">
        <v>-2</v>
      </c>
      <c r="QK58" s="47"/>
      <c r="QL58" s="45">
        <v>168</v>
      </c>
      <c r="QM58" s="40">
        <v>170</v>
      </c>
      <c r="QN58" s="40">
        <v>176</v>
      </c>
      <c r="QO58" s="40">
        <v>180</v>
      </c>
      <c r="QP58" s="42">
        <v>-6</v>
      </c>
      <c r="QQ58" s="47"/>
      <c r="QR58" s="45">
        <v>120</v>
      </c>
      <c r="QS58" s="40">
        <v>120</v>
      </c>
      <c r="QT58" s="40">
        <v>80</v>
      </c>
      <c r="QU58" s="40">
        <v>180</v>
      </c>
      <c r="QV58" s="39">
        <v>-100</v>
      </c>
      <c r="QW58" s="47">
        <v>40</v>
      </c>
      <c r="QX58" s="45">
        <v>96</v>
      </c>
      <c r="QY58" s="40">
        <v>200</v>
      </c>
      <c r="QZ58" s="40">
        <v>48</v>
      </c>
      <c r="RA58" s="40">
        <v>200</v>
      </c>
      <c r="RB58" s="39">
        <v>-256</v>
      </c>
      <c r="RC58" s="47">
        <v>102.4</v>
      </c>
      <c r="RD58" s="45">
        <v>912</v>
      </c>
      <c r="RE58" s="40">
        <v>916</v>
      </c>
      <c r="RF58" s="42">
        <v>-4</v>
      </c>
      <c r="RG58" s="47"/>
    </row>
    <row r="59" spans="1:475" x14ac:dyDescent="0.25">
      <c r="A59" s="40" t="s">
        <v>348</v>
      </c>
      <c r="B59" s="41">
        <v>0.5</v>
      </c>
      <c r="N59" s="43"/>
      <c r="O59" s="48"/>
      <c r="P59" s="48"/>
      <c r="Q59" s="48"/>
      <c r="R59" s="48">
        <f t="shared" si="8"/>
        <v>0</v>
      </c>
      <c r="S59" s="44"/>
      <c r="T59" s="43"/>
      <c r="U59" s="48"/>
      <c r="V59" s="48"/>
      <c r="W59" s="48"/>
      <c r="X59" s="48">
        <f t="shared" si="9"/>
        <v>0</v>
      </c>
      <c r="Y59" s="44"/>
      <c r="Z59" s="43"/>
      <c r="AA59" s="48"/>
      <c r="AB59" s="48"/>
      <c r="AC59" s="48"/>
      <c r="AD59" s="48">
        <f t="shared" si="10"/>
        <v>0</v>
      </c>
      <c r="AE59" s="44"/>
      <c r="AF59" s="43"/>
      <c r="AG59" s="48"/>
      <c r="AH59" s="48"/>
      <c r="AI59" s="48"/>
      <c r="AJ59" s="48">
        <f t="shared" si="11"/>
        <v>0</v>
      </c>
      <c r="AK59" s="44"/>
      <c r="AL59" s="48"/>
      <c r="AP59" s="42">
        <v>0</v>
      </c>
      <c r="AQ59" s="44"/>
      <c r="AR59" s="43"/>
      <c r="AV59" s="42">
        <v>0</v>
      </c>
      <c r="AW59" s="44"/>
      <c r="BC59" s="42">
        <v>0</v>
      </c>
      <c r="BD59" s="44"/>
      <c r="BE59" s="43"/>
      <c r="BI59" s="42">
        <v>0</v>
      </c>
      <c r="BJ59" s="44"/>
      <c r="BO59" s="42">
        <v>0</v>
      </c>
      <c r="BP59" s="44"/>
      <c r="BS59" s="42">
        <v>0</v>
      </c>
      <c r="BT59" s="44"/>
      <c r="BU59" s="43"/>
      <c r="BY59" s="42">
        <v>0</v>
      </c>
      <c r="BZ59" s="44"/>
      <c r="CE59" s="42">
        <v>0</v>
      </c>
      <c r="CF59" s="44"/>
      <c r="CG59" s="43"/>
      <c r="CK59" s="42">
        <v>0</v>
      </c>
      <c r="CL59" s="44"/>
      <c r="CM59" s="43"/>
      <c r="CQ59" s="42">
        <v>0</v>
      </c>
      <c r="CR59" s="44"/>
      <c r="CW59" s="42">
        <v>0</v>
      </c>
      <c r="CX59" s="44"/>
      <c r="CY59" s="43"/>
      <c r="DC59" s="42">
        <v>0</v>
      </c>
      <c r="DD59" s="44"/>
      <c r="DE59" s="43"/>
      <c r="DK59" s="42">
        <v>0</v>
      </c>
      <c r="DL59" s="44"/>
      <c r="DM59" s="43"/>
      <c r="DQ59" s="42">
        <v>0</v>
      </c>
      <c r="DR59" s="44"/>
      <c r="DY59" s="42">
        <v>0</v>
      </c>
      <c r="DZ59" s="44"/>
      <c r="EA59" s="43"/>
      <c r="EE59" s="42">
        <v>0</v>
      </c>
      <c r="EF59" s="44"/>
      <c r="EG59" s="43"/>
      <c r="EK59" s="42">
        <v>0</v>
      </c>
      <c r="EL59" s="44"/>
      <c r="EM59" s="43"/>
      <c r="EQ59" s="42">
        <v>0</v>
      </c>
      <c r="ER59" s="44"/>
      <c r="EY59" s="42">
        <v>0</v>
      </c>
      <c r="EZ59" s="44"/>
      <c r="FE59" s="42">
        <v>0</v>
      </c>
      <c r="FF59" s="44"/>
      <c r="FG59" s="43"/>
      <c r="FK59" s="42">
        <v>0</v>
      </c>
      <c r="FL59" s="44"/>
      <c r="FM59" s="43"/>
      <c r="FO59" s="42">
        <v>0</v>
      </c>
      <c r="FP59" s="44"/>
      <c r="FU59" s="42">
        <v>0</v>
      </c>
      <c r="FV59" s="44"/>
      <c r="FW59" s="43"/>
      <c r="GA59">
        <v>40</v>
      </c>
      <c r="GB59">
        <v>38</v>
      </c>
      <c r="GC59" s="42">
        <v>2</v>
      </c>
      <c r="GD59" s="44"/>
      <c r="GI59" s="42">
        <v>0</v>
      </c>
      <c r="GJ59" s="44"/>
      <c r="GK59" s="43"/>
      <c r="GM59">
        <v>32</v>
      </c>
      <c r="GN59">
        <v>35</v>
      </c>
      <c r="GO59" s="42">
        <v>-3</v>
      </c>
      <c r="GP59" s="47"/>
      <c r="GU59" s="42">
        <v>0</v>
      </c>
      <c r="GV59" s="44"/>
      <c r="GY59" s="42">
        <v>0</v>
      </c>
      <c r="GZ59" s="47"/>
      <c r="HA59" s="43"/>
      <c r="HC59" s="42">
        <v>0</v>
      </c>
      <c r="HD59" s="44"/>
      <c r="HE59" s="43"/>
      <c r="HI59" s="42">
        <v>0</v>
      </c>
      <c r="HJ59" s="47"/>
      <c r="HK59" s="43"/>
      <c r="HO59" s="42">
        <v>0</v>
      </c>
      <c r="HP59" s="44"/>
      <c r="HV59" s="42">
        <v>0</v>
      </c>
      <c r="HW59" s="44"/>
      <c r="HX59" s="45"/>
      <c r="HZ59">
        <v>96</v>
      </c>
      <c r="IA59">
        <v>100</v>
      </c>
      <c r="IB59" s="42">
        <v>-4</v>
      </c>
      <c r="IC59" s="44"/>
      <c r="IH59" s="42">
        <v>0</v>
      </c>
      <c r="II59" s="47"/>
      <c r="IN59" s="42">
        <v>0</v>
      </c>
      <c r="IO59" s="47"/>
      <c r="IP59">
        <v>24</v>
      </c>
      <c r="IQ59">
        <v>24</v>
      </c>
      <c r="IR59">
        <v>32</v>
      </c>
      <c r="IS59">
        <v>30</v>
      </c>
      <c r="IT59" s="42">
        <v>2</v>
      </c>
      <c r="IU59" s="47"/>
      <c r="IZ59" s="42">
        <v>0</v>
      </c>
      <c r="JA59" s="44"/>
      <c r="JB59">
        <v>16</v>
      </c>
      <c r="JC59">
        <v>17</v>
      </c>
      <c r="JD59" s="42">
        <v>-1</v>
      </c>
      <c r="JE59" s="44"/>
      <c r="JH59">
        <v>96</v>
      </c>
      <c r="JI59">
        <v>99</v>
      </c>
      <c r="JJ59" s="42">
        <v>-3</v>
      </c>
      <c r="JK59" s="44"/>
      <c r="JL59" s="45"/>
      <c r="JN59" s="42">
        <v>0</v>
      </c>
      <c r="JO59" s="44"/>
      <c r="JR59">
        <v>32</v>
      </c>
      <c r="JS59">
        <v>32</v>
      </c>
      <c r="JT59" s="42">
        <v>0</v>
      </c>
      <c r="JU59" s="44"/>
      <c r="JZ59" s="42">
        <v>0</v>
      </c>
      <c r="KA59" s="47"/>
      <c r="KF59" s="42">
        <v>0</v>
      </c>
      <c r="KG59" s="44"/>
      <c r="KH59" s="41"/>
      <c r="KJ59">
        <v>56</v>
      </c>
      <c r="KK59">
        <v>56</v>
      </c>
      <c r="KL59" s="42">
        <v>0</v>
      </c>
      <c r="KM59" s="47"/>
      <c r="KN59" s="46">
        <v>48</v>
      </c>
      <c r="KO59">
        <v>48</v>
      </c>
      <c r="KP59">
        <v>56</v>
      </c>
      <c r="KQ59">
        <v>56</v>
      </c>
      <c r="KR59">
        <v>104</v>
      </c>
      <c r="KS59">
        <v>49</v>
      </c>
      <c r="KT59" s="42">
        <v>55</v>
      </c>
      <c r="KU59" s="47"/>
      <c r="KV59" s="40">
        <v>0</v>
      </c>
      <c r="KW59" s="40">
        <v>0</v>
      </c>
      <c r="KX59" s="40">
        <v>96</v>
      </c>
      <c r="KY59" s="40">
        <v>99</v>
      </c>
      <c r="KZ59" s="42">
        <v>-3</v>
      </c>
      <c r="LA59" s="47"/>
      <c r="LB59" s="40">
        <v>0</v>
      </c>
      <c r="LC59" s="40">
        <v>0</v>
      </c>
      <c r="LD59" s="40">
        <v>0</v>
      </c>
      <c r="LE59" s="40">
        <v>0</v>
      </c>
      <c r="LF59" s="42">
        <v>0</v>
      </c>
      <c r="LG59" s="47"/>
      <c r="LH59" s="45">
        <v>0</v>
      </c>
      <c r="LI59" s="40">
        <v>0</v>
      </c>
      <c r="LJ59" s="42">
        <v>0</v>
      </c>
      <c r="LK59" s="47"/>
      <c r="LL59" s="45">
        <v>0</v>
      </c>
      <c r="LM59" s="40">
        <v>0</v>
      </c>
      <c r="LN59" s="40">
        <v>0</v>
      </c>
      <c r="LO59" s="40">
        <v>0</v>
      </c>
      <c r="LP59" s="42">
        <v>0</v>
      </c>
      <c r="LQ59" s="47"/>
      <c r="LR59" s="45">
        <v>48</v>
      </c>
      <c r="LS59" s="40">
        <v>50</v>
      </c>
      <c r="LT59" s="40">
        <v>176</v>
      </c>
      <c r="LU59" s="40">
        <v>180</v>
      </c>
      <c r="LV59" s="42">
        <v>-6</v>
      </c>
      <c r="LW59" s="47"/>
      <c r="LX59" s="45">
        <v>96</v>
      </c>
      <c r="LY59" s="40">
        <v>100</v>
      </c>
      <c r="LZ59" s="42">
        <v>-4</v>
      </c>
      <c r="MA59" s="47"/>
      <c r="MB59" s="45">
        <v>0</v>
      </c>
      <c r="MC59" s="40">
        <v>0</v>
      </c>
      <c r="MD59" s="40">
        <v>0</v>
      </c>
      <c r="ME59" s="40">
        <v>0</v>
      </c>
      <c r="MF59" s="42">
        <v>0</v>
      </c>
      <c r="MG59" s="47"/>
      <c r="MH59" s="45">
        <v>80</v>
      </c>
      <c r="MI59" s="40">
        <v>81</v>
      </c>
      <c r="MJ59" s="42">
        <v>-1</v>
      </c>
      <c r="MK59" s="47"/>
      <c r="ML59" s="45">
        <v>0</v>
      </c>
      <c r="MM59" s="40">
        <v>0</v>
      </c>
      <c r="MN59" s="40">
        <v>0</v>
      </c>
      <c r="MO59" s="40">
        <v>0</v>
      </c>
      <c r="MP59" s="42">
        <v>0</v>
      </c>
      <c r="MQ59" s="47"/>
      <c r="MR59" s="40">
        <v>0</v>
      </c>
      <c r="MS59" s="40">
        <v>0</v>
      </c>
      <c r="MT59" s="40">
        <v>152</v>
      </c>
      <c r="MU59" s="40">
        <v>150</v>
      </c>
      <c r="MV59" s="42">
        <v>2</v>
      </c>
      <c r="MW59" s="47"/>
      <c r="MX59" s="45">
        <v>0</v>
      </c>
      <c r="MY59" s="40">
        <v>0</v>
      </c>
      <c r="MZ59" s="40">
        <v>48</v>
      </c>
      <c r="NA59" s="40">
        <v>50</v>
      </c>
      <c r="NB59" s="42">
        <v>-2</v>
      </c>
      <c r="NC59" s="47"/>
      <c r="ND59" s="45">
        <v>0</v>
      </c>
      <c r="NE59" s="30">
        <v>70</v>
      </c>
      <c r="NF59" s="40">
        <v>120</v>
      </c>
      <c r="NG59" s="40">
        <v>130</v>
      </c>
      <c r="NH59" s="39">
        <v>-80</v>
      </c>
      <c r="NI59" s="47">
        <v>40</v>
      </c>
      <c r="NJ59" s="45">
        <v>0</v>
      </c>
      <c r="NK59" s="40">
        <v>0</v>
      </c>
      <c r="NL59" s="40">
        <v>16</v>
      </c>
      <c r="NM59" s="40">
        <v>20</v>
      </c>
      <c r="NN59" s="42">
        <v>-4</v>
      </c>
      <c r="NO59" s="47"/>
      <c r="NP59" s="45">
        <v>0</v>
      </c>
      <c r="NQ59" s="40">
        <v>0</v>
      </c>
      <c r="NR59" s="40">
        <v>48</v>
      </c>
      <c r="NS59" s="40">
        <v>50</v>
      </c>
      <c r="NT59" s="42">
        <v>-2</v>
      </c>
      <c r="NU59" s="47"/>
      <c r="NV59" s="45">
        <v>0</v>
      </c>
      <c r="NW59" s="40">
        <v>0</v>
      </c>
      <c r="NX59" s="40">
        <v>160</v>
      </c>
      <c r="NY59" s="40">
        <v>160</v>
      </c>
      <c r="NZ59" s="42">
        <v>0</v>
      </c>
      <c r="OA59" s="47"/>
      <c r="OB59" s="45">
        <v>56</v>
      </c>
      <c r="OC59" s="40">
        <v>60</v>
      </c>
      <c r="OD59" s="42">
        <v>-4</v>
      </c>
      <c r="OE59" s="47"/>
      <c r="OF59" s="45">
        <v>0</v>
      </c>
      <c r="OG59" s="40">
        <v>0</v>
      </c>
      <c r="OH59" s="40">
        <v>0</v>
      </c>
      <c r="OI59" s="40">
        <v>0</v>
      </c>
      <c r="OJ59" s="42">
        <v>0</v>
      </c>
      <c r="OK59" s="47"/>
      <c r="OL59" s="45">
        <v>0</v>
      </c>
      <c r="OM59" s="40">
        <v>0</v>
      </c>
      <c r="ON59" s="40">
        <v>40</v>
      </c>
      <c r="OO59" s="40">
        <v>40</v>
      </c>
      <c r="OP59" s="42">
        <v>0</v>
      </c>
      <c r="OQ59" s="47"/>
      <c r="OR59" s="15">
        <v>48</v>
      </c>
      <c r="OS59" s="40">
        <v>0</v>
      </c>
      <c r="OT59" s="14">
        <v>88</v>
      </c>
      <c r="OU59" s="40">
        <v>0</v>
      </c>
      <c r="OV59" s="42">
        <v>0</v>
      </c>
      <c r="OW59" s="47"/>
      <c r="OX59" s="40">
        <v>0</v>
      </c>
      <c r="OY59" s="40">
        <v>0</v>
      </c>
      <c r="OZ59" s="14">
        <v>32</v>
      </c>
      <c r="PA59" s="40">
        <v>0</v>
      </c>
      <c r="PB59" s="42">
        <v>0</v>
      </c>
      <c r="PC59" s="47"/>
      <c r="PD59" s="45"/>
      <c r="PI59" s="47"/>
      <c r="PJ59" s="45"/>
      <c r="PO59" s="47"/>
      <c r="PP59" s="43"/>
      <c r="PU59" s="47"/>
      <c r="PV59" s="45"/>
      <c r="QA59" s="47"/>
      <c r="QB59" s="45"/>
      <c r="QE59" s="47"/>
      <c r="QF59" s="45"/>
      <c r="QK59" s="47"/>
      <c r="QL59" s="45"/>
      <c r="QQ59" s="47"/>
      <c r="QR59" s="45"/>
      <c r="QW59" s="47"/>
      <c r="QX59" s="45"/>
      <c r="RB59" s="42"/>
      <c r="RC59" s="47"/>
      <c r="RD59" s="45"/>
      <c r="RF59" s="42"/>
      <c r="RG59" s="47"/>
    </row>
    <row r="60" spans="1:475" x14ac:dyDescent="0.25">
      <c r="A60" s="40" t="s">
        <v>349</v>
      </c>
      <c r="B60" s="41">
        <v>0.5</v>
      </c>
      <c r="N60" s="43"/>
      <c r="O60" s="48"/>
      <c r="P60" s="48"/>
      <c r="Q60" s="48"/>
      <c r="R60" s="48">
        <f t="shared" si="8"/>
        <v>0</v>
      </c>
      <c r="S60" s="44"/>
      <c r="T60" s="43"/>
      <c r="U60" s="48"/>
      <c r="V60" s="48"/>
      <c r="W60" s="48"/>
      <c r="X60" s="48">
        <f t="shared" si="9"/>
        <v>0</v>
      </c>
      <c r="Y60" s="44"/>
      <c r="Z60" s="43"/>
      <c r="AA60" s="48"/>
      <c r="AB60" s="48"/>
      <c r="AC60" s="48"/>
      <c r="AD60" s="48">
        <f t="shared" si="10"/>
        <v>0</v>
      </c>
      <c r="AE60" s="44"/>
      <c r="AF60" s="43"/>
      <c r="AG60" s="48"/>
      <c r="AH60" s="48"/>
      <c r="AI60" s="48"/>
      <c r="AJ60" s="48">
        <f t="shared" si="11"/>
        <v>0</v>
      </c>
      <c r="AK60" s="44"/>
      <c r="AL60" s="48"/>
      <c r="AP60" s="42">
        <v>0</v>
      </c>
      <c r="AQ60" s="44"/>
      <c r="AR60" s="43"/>
      <c r="AV60" s="42">
        <v>0</v>
      </c>
      <c r="AW60" s="44"/>
      <c r="BC60" s="42">
        <v>0</v>
      </c>
      <c r="BD60" s="44"/>
      <c r="BE60" s="43"/>
      <c r="BI60" s="42">
        <v>0</v>
      </c>
      <c r="BJ60" s="44"/>
      <c r="BO60" s="42">
        <v>0</v>
      </c>
      <c r="BP60" s="44"/>
      <c r="BS60" s="42">
        <v>0</v>
      </c>
      <c r="BT60" s="44"/>
      <c r="BU60" s="43"/>
      <c r="BY60" s="42">
        <v>0</v>
      </c>
      <c r="BZ60" s="44"/>
      <c r="CE60" s="42">
        <v>0</v>
      </c>
      <c r="CF60" s="44"/>
      <c r="CG60" s="43"/>
      <c r="CK60" s="42">
        <v>0</v>
      </c>
      <c r="CL60" s="44"/>
      <c r="CM60" s="43"/>
      <c r="CQ60" s="42">
        <v>0</v>
      </c>
      <c r="CR60" s="44"/>
      <c r="CW60" s="42">
        <v>0</v>
      </c>
      <c r="CX60" s="44"/>
      <c r="CY60" s="43"/>
      <c r="DC60" s="42">
        <v>0</v>
      </c>
      <c r="DD60" s="44"/>
      <c r="DE60" s="43"/>
      <c r="DK60" s="42">
        <v>0</v>
      </c>
      <c r="DL60" s="44"/>
      <c r="DM60" s="43"/>
      <c r="DQ60" s="42">
        <v>0</v>
      </c>
      <c r="DR60" s="44"/>
      <c r="DY60" s="42">
        <v>0</v>
      </c>
      <c r="DZ60" s="44"/>
      <c r="EA60" s="43"/>
      <c r="EE60" s="42">
        <v>0</v>
      </c>
      <c r="EF60" s="44"/>
      <c r="EG60" s="43"/>
      <c r="EK60" s="42">
        <v>0</v>
      </c>
      <c r="EL60" s="44"/>
      <c r="EM60" s="43"/>
      <c r="EQ60" s="42">
        <v>0</v>
      </c>
      <c r="ER60" s="44"/>
      <c r="EY60" s="42">
        <v>0</v>
      </c>
      <c r="EZ60" s="44"/>
      <c r="FE60" s="42">
        <v>0</v>
      </c>
      <c r="FF60" s="44"/>
      <c r="FG60" s="43"/>
      <c r="FI60">
        <v>8</v>
      </c>
      <c r="FJ60">
        <v>8</v>
      </c>
      <c r="FK60" s="42">
        <v>0</v>
      </c>
      <c r="FL60" s="44"/>
      <c r="FM60" s="43"/>
      <c r="FO60" s="42">
        <v>0</v>
      </c>
      <c r="FP60" s="44"/>
      <c r="FU60" s="42">
        <v>0</v>
      </c>
      <c r="FV60" s="44"/>
      <c r="FW60" s="43"/>
      <c r="GA60">
        <v>8</v>
      </c>
      <c r="GB60">
        <v>5</v>
      </c>
      <c r="GC60" s="42">
        <v>3</v>
      </c>
      <c r="GD60" s="44"/>
      <c r="GI60" s="42">
        <v>0</v>
      </c>
      <c r="GJ60" s="44"/>
      <c r="GK60" s="43"/>
      <c r="GO60" s="42">
        <v>0</v>
      </c>
      <c r="GP60" s="47"/>
      <c r="GU60" s="42">
        <v>0</v>
      </c>
      <c r="GV60" s="44"/>
      <c r="GY60" s="42">
        <v>0</v>
      </c>
      <c r="GZ60" s="47"/>
      <c r="HA60" s="43"/>
      <c r="HC60" s="42">
        <v>0</v>
      </c>
      <c r="HD60" s="44"/>
      <c r="HE60" s="43"/>
      <c r="HI60" s="42">
        <v>0</v>
      </c>
      <c r="HJ60" s="47"/>
      <c r="HK60" s="43"/>
      <c r="HO60" s="42">
        <v>0</v>
      </c>
      <c r="HP60" s="44"/>
      <c r="HV60" s="42">
        <v>0</v>
      </c>
      <c r="HW60" s="44"/>
      <c r="HX60" s="45"/>
      <c r="HZ60">
        <v>24</v>
      </c>
      <c r="IA60">
        <v>24</v>
      </c>
      <c r="IB60" s="42">
        <v>0</v>
      </c>
      <c r="IC60" s="44"/>
      <c r="IH60" s="42">
        <v>0</v>
      </c>
      <c r="II60" s="47"/>
      <c r="IN60" s="42">
        <v>0</v>
      </c>
      <c r="IO60" s="47"/>
      <c r="IT60" s="42">
        <v>0</v>
      </c>
      <c r="IU60" s="47"/>
      <c r="IZ60" s="42">
        <v>0</v>
      </c>
      <c r="JA60" s="44"/>
      <c r="JB60">
        <v>8</v>
      </c>
      <c r="JC60">
        <v>7</v>
      </c>
      <c r="JD60" s="42">
        <v>1</v>
      </c>
      <c r="JE60" s="44"/>
      <c r="JH60">
        <v>16</v>
      </c>
      <c r="JI60">
        <v>15</v>
      </c>
      <c r="JJ60" s="42">
        <v>1</v>
      </c>
      <c r="JK60" s="44"/>
      <c r="JL60" s="45"/>
      <c r="JN60" s="42">
        <v>0</v>
      </c>
      <c r="JO60" s="44"/>
      <c r="JT60" s="42">
        <v>0</v>
      </c>
      <c r="JU60" s="44"/>
      <c r="JX60">
        <v>16</v>
      </c>
      <c r="JY60">
        <v>19</v>
      </c>
      <c r="JZ60" s="42">
        <v>-3</v>
      </c>
      <c r="KA60" s="47"/>
      <c r="KF60" s="42">
        <v>0</v>
      </c>
      <c r="KG60" s="44"/>
      <c r="KH60" s="41"/>
      <c r="KL60" s="42">
        <v>0</v>
      </c>
      <c r="KM60" s="47"/>
      <c r="KN60" s="45"/>
      <c r="KR60">
        <v>32</v>
      </c>
      <c r="KT60" s="42">
        <v>32</v>
      </c>
      <c r="KU60" s="47"/>
      <c r="KV60" s="40">
        <v>0</v>
      </c>
      <c r="KW60" s="40">
        <v>0</v>
      </c>
      <c r="KX60" s="40">
        <v>0</v>
      </c>
      <c r="KY60" s="40">
        <v>0</v>
      </c>
      <c r="KZ60" s="42">
        <v>0</v>
      </c>
      <c r="LA60" s="47"/>
      <c r="LB60" s="40">
        <v>0</v>
      </c>
      <c r="LC60" s="40">
        <v>0</v>
      </c>
      <c r="LD60" s="40">
        <v>0</v>
      </c>
      <c r="LE60" s="40">
        <v>0</v>
      </c>
      <c r="LF60" s="42">
        <v>0</v>
      </c>
      <c r="LG60" s="47"/>
      <c r="LH60" s="45">
        <v>8</v>
      </c>
      <c r="LI60" s="40">
        <v>10</v>
      </c>
      <c r="LJ60" s="42">
        <v>-2</v>
      </c>
      <c r="LK60" s="47"/>
      <c r="LL60" s="45">
        <v>0</v>
      </c>
      <c r="LM60" s="40">
        <v>0</v>
      </c>
      <c r="LN60" s="40">
        <v>48</v>
      </c>
      <c r="LO60" s="40">
        <v>50</v>
      </c>
      <c r="LP60" s="42">
        <v>-2</v>
      </c>
      <c r="LQ60" s="47"/>
      <c r="LR60" s="45">
        <v>0</v>
      </c>
      <c r="LS60" s="40">
        <v>0</v>
      </c>
      <c r="LT60" s="40">
        <v>32</v>
      </c>
      <c r="LU60" s="40">
        <v>35</v>
      </c>
      <c r="LV60" s="42">
        <v>-3</v>
      </c>
      <c r="LW60" s="47"/>
      <c r="LX60" s="45">
        <v>0</v>
      </c>
      <c r="LY60" s="40">
        <v>0</v>
      </c>
      <c r="LZ60" s="42">
        <v>0</v>
      </c>
      <c r="MA60" s="47"/>
      <c r="MB60" s="45">
        <v>0</v>
      </c>
      <c r="MC60" s="40">
        <v>0</v>
      </c>
      <c r="MD60" s="40">
        <v>0</v>
      </c>
      <c r="ME60" s="40">
        <v>0</v>
      </c>
      <c r="MF60" s="42">
        <v>0</v>
      </c>
      <c r="MG60" s="47"/>
      <c r="MH60" s="45">
        <v>0</v>
      </c>
      <c r="MI60" s="40">
        <v>0</v>
      </c>
      <c r="MJ60" s="42">
        <v>0</v>
      </c>
      <c r="MK60" s="47"/>
      <c r="ML60" s="45">
        <v>0</v>
      </c>
      <c r="MM60" s="40">
        <v>0</v>
      </c>
      <c r="MN60" s="40">
        <v>0</v>
      </c>
      <c r="MO60" s="40">
        <v>0</v>
      </c>
      <c r="MP60" s="42">
        <v>0</v>
      </c>
      <c r="MQ60" s="47"/>
      <c r="MR60" s="40">
        <v>0</v>
      </c>
      <c r="MS60" s="40">
        <v>0</v>
      </c>
      <c r="MT60" s="40">
        <v>0</v>
      </c>
      <c r="MU60" s="40">
        <v>0</v>
      </c>
      <c r="MV60" s="42">
        <v>0</v>
      </c>
      <c r="MW60" s="47"/>
      <c r="MX60" s="45">
        <v>0</v>
      </c>
      <c r="MY60" s="40">
        <v>0</v>
      </c>
      <c r="MZ60" s="40">
        <v>0</v>
      </c>
      <c r="NA60" s="40">
        <v>0</v>
      </c>
      <c r="NB60" s="42">
        <v>0</v>
      </c>
      <c r="NC60" s="47"/>
      <c r="ND60" s="45">
        <v>0</v>
      </c>
      <c r="NE60" s="40">
        <v>0</v>
      </c>
      <c r="NF60" s="40">
        <v>64</v>
      </c>
      <c r="NG60" s="40">
        <v>63</v>
      </c>
      <c r="NH60" s="42">
        <v>1</v>
      </c>
      <c r="NI60" s="47"/>
      <c r="NJ60" s="45">
        <v>0</v>
      </c>
      <c r="NK60" s="40">
        <v>0</v>
      </c>
      <c r="NL60" s="40">
        <v>72</v>
      </c>
      <c r="NM60" s="40">
        <v>71</v>
      </c>
      <c r="NN60" s="42">
        <v>1</v>
      </c>
      <c r="NO60" s="47"/>
      <c r="NP60" s="45">
        <v>0</v>
      </c>
      <c r="NQ60" s="40">
        <v>0</v>
      </c>
      <c r="NR60" s="40">
        <v>0</v>
      </c>
      <c r="NS60" s="40">
        <v>0</v>
      </c>
      <c r="NT60" s="42">
        <v>0</v>
      </c>
      <c r="NU60" s="47"/>
      <c r="NV60" s="45">
        <v>0</v>
      </c>
      <c r="NW60" s="40">
        <v>0</v>
      </c>
      <c r="NX60" s="40">
        <v>0</v>
      </c>
      <c r="NY60" s="40">
        <v>0</v>
      </c>
      <c r="NZ60" s="42">
        <v>0</v>
      </c>
      <c r="OA60" s="47"/>
      <c r="OB60" s="45">
        <v>56</v>
      </c>
      <c r="OC60" s="40">
        <v>55</v>
      </c>
      <c r="OD60" s="42">
        <v>1</v>
      </c>
      <c r="OE60" s="47"/>
      <c r="OF60" s="45">
        <v>0</v>
      </c>
      <c r="OG60" s="40">
        <v>0</v>
      </c>
      <c r="OH60" s="40">
        <v>0</v>
      </c>
      <c r="OI60" s="40">
        <v>0</v>
      </c>
      <c r="OJ60" s="42">
        <v>0</v>
      </c>
      <c r="OK60" s="47"/>
      <c r="OL60" s="45">
        <v>0</v>
      </c>
      <c r="OM60" s="40">
        <v>0</v>
      </c>
      <c r="ON60" s="14">
        <v>32</v>
      </c>
      <c r="OO60" s="40">
        <v>0</v>
      </c>
      <c r="OP60" s="42">
        <v>0</v>
      </c>
      <c r="OQ60" s="47"/>
      <c r="OR60" s="15">
        <v>48</v>
      </c>
      <c r="OS60" s="40">
        <v>0</v>
      </c>
      <c r="OT60" s="14">
        <v>112</v>
      </c>
      <c r="OU60" s="40">
        <v>0</v>
      </c>
      <c r="OV60" s="42">
        <v>0</v>
      </c>
      <c r="OW60" s="47"/>
      <c r="OZ60" s="14"/>
      <c r="PC60" s="47"/>
      <c r="PD60" s="45"/>
      <c r="PI60" s="47"/>
      <c r="PJ60" s="45"/>
      <c r="PO60" s="47"/>
      <c r="PP60" s="43"/>
      <c r="PU60" s="47"/>
      <c r="PV60" s="45"/>
      <c r="QA60" s="47"/>
      <c r="QB60" s="45"/>
      <c r="QE60" s="47"/>
      <c r="QF60" s="45"/>
      <c r="QK60" s="47"/>
      <c r="QL60" s="45"/>
      <c r="QQ60" s="47"/>
      <c r="QR60" s="45"/>
      <c r="QW60" s="47"/>
      <c r="QX60" s="45"/>
      <c r="RB60" s="42"/>
      <c r="RC60" s="47"/>
      <c r="RD60" s="45"/>
      <c r="RF60" s="42"/>
      <c r="RG60" s="47"/>
    </row>
    <row r="61" spans="1:475" x14ac:dyDescent="0.25">
      <c r="A61" s="40" t="s">
        <v>350</v>
      </c>
      <c r="B61" s="41">
        <v>0.5</v>
      </c>
      <c r="N61" s="43"/>
      <c r="O61" s="48"/>
      <c r="P61" s="48"/>
      <c r="Q61" s="48"/>
      <c r="R61" s="48">
        <f t="shared" si="8"/>
        <v>0</v>
      </c>
      <c r="S61" s="44"/>
      <c r="T61" s="43"/>
      <c r="U61" s="48"/>
      <c r="V61" s="48"/>
      <c r="W61" s="48"/>
      <c r="X61" s="48">
        <f t="shared" si="9"/>
        <v>0</v>
      </c>
      <c r="Y61" s="44"/>
      <c r="Z61" s="43"/>
      <c r="AA61" s="48"/>
      <c r="AB61" s="48"/>
      <c r="AC61" s="48"/>
      <c r="AD61" s="48">
        <f t="shared" si="10"/>
        <v>0</v>
      </c>
      <c r="AE61" s="44"/>
      <c r="AF61" s="43"/>
      <c r="AG61" s="48"/>
      <c r="AH61" s="48"/>
      <c r="AI61" s="48"/>
      <c r="AJ61" s="48">
        <f t="shared" si="11"/>
        <v>0</v>
      </c>
      <c r="AK61" s="44"/>
      <c r="AL61" s="48"/>
      <c r="AP61" s="42">
        <v>0</v>
      </c>
      <c r="AQ61" s="44"/>
      <c r="AR61" s="43"/>
      <c r="AV61" s="42">
        <v>0</v>
      </c>
      <c r="AW61" s="44"/>
      <c r="BC61" s="42">
        <v>0</v>
      </c>
      <c r="BD61" s="44"/>
      <c r="BE61" s="43"/>
      <c r="BI61" s="42">
        <v>0</v>
      </c>
      <c r="BJ61" s="44"/>
      <c r="BO61" s="42">
        <v>0</v>
      </c>
      <c r="BP61" s="44"/>
      <c r="BS61" s="42">
        <v>0</v>
      </c>
      <c r="BT61" s="44"/>
      <c r="BU61" s="43"/>
      <c r="BY61" s="42">
        <v>0</v>
      </c>
      <c r="BZ61" s="44"/>
      <c r="CE61" s="42">
        <v>0</v>
      </c>
      <c r="CF61" s="44"/>
      <c r="CG61" s="43"/>
      <c r="CK61" s="42">
        <v>0</v>
      </c>
      <c r="CL61" s="44"/>
      <c r="CM61" s="43"/>
      <c r="CQ61" s="42">
        <v>0</v>
      </c>
      <c r="CR61" s="44"/>
      <c r="CW61" s="42">
        <v>0</v>
      </c>
      <c r="CX61" s="44"/>
      <c r="CY61" s="43"/>
      <c r="DC61" s="42">
        <v>0</v>
      </c>
      <c r="DD61" s="44"/>
      <c r="DE61" s="43"/>
      <c r="DK61" s="42">
        <v>0</v>
      </c>
      <c r="DL61" s="44"/>
      <c r="DM61" s="43"/>
      <c r="DQ61" s="42">
        <v>0</v>
      </c>
      <c r="DR61" s="44"/>
      <c r="DY61" s="42">
        <v>0</v>
      </c>
      <c r="DZ61" s="44"/>
      <c r="EA61" s="43"/>
      <c r="EE61" s="42">
        <v>0</v>
      </c>
      <c r="EF61" s="44"/>
      <c r="EG61" s="43"/>
      <c r="EK61" s="42">
        <v>0</v>
      </c>
      <c r="EL61" s="44"/>
      <c r="EM61" s="43"/>
      <c r="EQ61" s="42">
        <v>0</v>
      </c>
      <c r="ER61" s="44"/>
      <c r="EY61" s="42">
        <v>0</v>
      </c>
      <c r="EZ61" s="44"/>
      <c r="FE61" s="42">
        <v>0</v>
      </c>
      <c r="FF61" s="44"/>
      <c r="FG61" s="43"/>
      <c r="FK61" s="42">
        <v>0</v>
      </c>
      <c r="FL61" s="44"/>
      <c r="FM61" s="43"/>
      <c r="FO61" s="42">
        <v>0</v>
      </c>
      <c r="FP61" s="44"/>
      <c r="FU61" s="42">
        <v>0</v>
      </c>
      <c r="FV61" s="44"/>
      <c r="FW61" s="43"/>
      <c r="GC61" s="42">
        <v>0</v>
      </c>
      <c r="GD61" s="44"/>
      <c r="GI61" s="42">
        <v>0</v>
      </c>
      <c r="GJ61" s="44"/>
      <c r="GK61" s="43"/>
      <c r="GO61" s="42">
        <v>0</v>
      </c>
      <c r="GP61" s="47"/>
      <c r="GU61" s="42">
        <v>0</v>
      </c>
      <c r="GV61" s="44"/>
      <c r="GY61" s="42">
        <v>0</v>
      </c>
      <c r="GZ61" s="47"/>
      <c r="HA61" s="43"/>
      <c r="HC61" s="42">
        <v>0</v>
      </c>
      <c r="HD61" s="44"/>
      <c r="HE61" s="43"/>
      <c r="HI61" s="42">
        <v>0</v>
      </c>
      <c r="HJ61" s="47"/>
      <c r="HK61" s="43"/>
      <c r="HO61" s="42">
        <v>0</v>
      </c>
      <c r="HP61" s="44"/>
      <c r="HV61" s="42">
        <v>0</v>
      </c>
      <c r="HW61" s="44"/>
      <c r="HX61" s="45"/>
      <c r="IB61" s="42">
        <v>0</v>
      </c>
      <c r="IC61" s="44"/>
      <c r="IH61" s="42">
        <v>0</v>
      </c>
      <c r="II61" s="47"/>
      <c r="IN61" s="42">
        <v>0</v>
      </c>
      <c r="IO61" s="47"/>
      <c r="IT61" s="42">
        <v>0</v>
      </c>
      <c r="IU61" s="47"/>
      <c r="IZ61" s="42">
        <v>0</v>
      </c>
      <c r="JA61" s="44"/>
      <c r="JD61" s="42">
        <v>0</v>
      </c>
      <c r="JE61" s="44"/>
      <c r="JJ61" s="42">
        <v>0</v>
      </c>
      <c r="JK61" s="44"/>
      <c r="JL61" s="45"/>
      <c r="JN61" s="42">
        <v>0</v>
      </c>
      <c r="JO61" s="44"/>
      <c r="JT61" s="42">
        <v>0</v>
      </c>
      <c r="JU61" s="44"/>
      <c r="JZ61" s="42">
        <v>0</v>
      </c>
      <c r="KA61" s="47"/>
      <c r="KF61" s="42">
        <v>0</v>
      </c>
      <c r="KG61" s="44"/>
      <c r="KH61" s="41"/>
      <c r="KL61" s="42">
        <v>0</v>
      </c>
      <c r="KM61" s="47"/>
      <c r="KN61" s="45"/>
      <c r="KT61" s="42">
        <v>0</v>
      </c>
      <c r="KU61" s="47"/>
      <c r="KV61" s="40">
        <v>0</v>
      </c>
      <c r="KW61" s="40">
        <v>0</v>
      </c>
      <c r="KX61" s="40">
        <v>0</v>
      </c>
      <c r="KY61" s="40">
        <v>0</v>
      </c>
      <c r="KZ61" s="42">
        <v>0</v>
      </c>
      <c r="LA61" s="47"/>
      <c r="LB61" s="40">
        <v>0</v>
      </c>
      <c r="LC61" s="40">
        <v>0</v>
      </c>
      <c r="LD61" s="40">
        <v>0</v>
      </c>
      <c r="LE61" s="40">
        <v>0</v>
      </c>
      <c r="LF61" s="42">
        <v>0</v>
      </c>
      <c r="LG61" s="47"/>
      <c r="LH61" s="45">
        <v>0</v>
      </c>
      <c r="LI61" s="40">
        <v>0</v>
      </c>
      <c r="LJ61" s="42">
        <v>0</v>
      </c>
      <c r="LK61" s="47"/>
      <c r="LL61" s="45">
        <v>0</v>
      </c>
      <c r="LM61" s="40">
        <v>0</v>
      </c>
      <c r="LN61" s="40">
        <v>0</v>
      </c>
      <c r="LO61" s="40">
        <v>0</v>
      </c>
      <c r="LP61" s="42">
        <v>0</v>
      </c>
      <c r="LQ61" s="47"/>
      <c r="LR61" s="45">
        <v>0</v>
      </c>
      <c r="LS61" s="40">
        <v>0</v>
      </c>
      <c r="LT61" s="40">
        <v>0</v>
      </c>
      <c r="LU61" s="40">
        <v>0</v>
      </c>
      <c r="LV61" s="42">
        <v>0</v>
      </c>
      <c r="LW61" s="47"/>
      <c r="LX61" s="45">
        <v>0</v>
      </c>
      <c r="LY61" s="40">
        <v>0</v>
      </c>
      <c r="LZ61" s="42">
        <v>0</v>
      </c>
      <c r="MA61" s="47"/>
      <c r="MB61" s="45">
        <v>0</v>
      </c>
      <c r="MC61" s="40">
        <v>0</v>
      </c>
      <c r="MD61" s="40">
        <v>0</v>
      </c>
      <c r="ME61" s="40">
        <v>0</v>
      </c>
      <c r="MF61" s="42">
        <v>0</v>
      </c>
      <c r="MG61" s="47"/>
      <c r="MH61" s="45">
        <v>0</v>
      </c>
      <c r="MI61" s="40">
        <v>0</v>
      </c>
      <c r="MJ61" s="42">
        <v>0</v>
      </c>
      <c r="MK61" s="47"/>
      <c r="ML61" s="45">
        <v>0</v>
      </c>
      <c r="MM61" s="40">
        <v>0</v>
      </c>
      <c r="MN61" s="40">
        <v>0</v>
      </c>
      <c r="MO61" s="40">
        <v>0</v>
      </c>
      <c r="MP61" s="42">
        <v>0</v>
      </c>
      <c r="MQ61" s="47"/>
      <c r="MR61" s="40">
        <v>0</v>
      </c>
      <c r="MS61" s="40">
        <v>0</v>
      </c>
      <c r="MT61" s="40">
        <v>0</v>
      </c>
      <c r="MU61" s="40">
        <v>0</v>
      </c>
      <c r="MV61" s="42">
        <v>0</v>
      </c>
      <c r="MW61" s="47"/>
      <c r="MX61" s="45">
        <v>0</v>
      </c>
      <c r="MY61" s="40">
        <v>0</v>
      </c>
      <c r="MZ61" s="40">
        <v>0</v>
      </c>
      <c r="NA61" s="40">
        <v>0</v>
      </c>
      <c r="NB61" s="42">
        <v>0</v>
      </c>
      <c r="NC61" s="47"/>
      <c r="ND61" s="45">
        <v>0</v>
      </c>
      <c r="NE61" s="40">
        <v>0</v>
      </c>
      <c r="NF61" s="40">
        <v>0</v>
      </c>
      <c r="NG61" s="40">
        <v>0</v>
      </c>
      <c r="NH61" s="42">
        <v>0</v>
      </c>
      <c r="NI61" s="47"/>
      <c r="NJ61" s="45">
        <v>0</v>
      </c>
      <c r="NK61" s="40">
        <v>0</v>
      </c>
      <c r="NL61" s="40">
        <v>0</v>
      </c>
      <c r="NM61" s="40">
        <v>0</v>
      </c>
      <c r="NN61" s="42">
        <v>0</v>
      </c>
      <c r="NO61" s="47"/>
      <c r="NP61" s="45">
        <v>0</v>
      </c>
      <c r="NQ61" s="40">
        <v>0</v>
      </c>
      <c r="NR61" s="40">
        <v>0</v>
      </c>
      <c r="NS61" s="40">
        <v>0</v>
      </c>
      <c r="NT61" s="42">
        <v>0</v>
      </c>
      <c r="NU61" s="47"/>
      <c r="NV61" s="45">
        <v>0</v>
      </c>
      <c r="NW61" s="40">
        <v>0</v>
      </c>
      <c r="NX61" s="40">
        <v>0</v>
      </c>
      <c r="NY61" s="40">
        <v>0</v>
      </c>
      <c r="NZ61" s="42">
        <v>0</v>
      </c>
      <c r="OA61" s="47"/>
      <c r="OB61" s="45">
        <v>0</v>
      </c>
      <c r="OC61" s="40">
        <v>0</v>
      </c>
      <c r="OD61" s="42">
        <v>0</v>
      </c>
      <c r="OE61" s="47"/>
      <c r="OF61" s="45">
        <v>0</v>
      </c>
      <c r="OG61" s="40">
        <v>0</v>
      </c>
      <c r="OH61" s="40">
        <v>0</v>
      </c>
      <c r="OI61" s="40">
        <v>0</v>
      </c>
      <c r="OJ61" s="42">
        <v>0</v>
      </c>
      <c r="OK61" s="47"/>
      <c r="OL61" s="45">
        <v>0</v>
      </c>
      <c r="OM61" s="40">
        <v>0</v>
      </c>
      <c r="ON61" s="40">
        <v>0</v>
      </c>
      <c r="OO61" s="40">
        <v>0</v>
      </c>
      <c r="OP61" s="42">
        <v>0</v>
      </c>
      <c r="OQ61" s="47"/>
      <c r="OR61" s="45">
        <v>0</v>
      </c>
      <c r="OS61" s="40">
        <v>0</v>
      </c>
      <c r="OT61" s="40">
        <v>0</v>
      </c>
      <c r="OU61" s="40">
        <v>0</v>
      </c>
      <c r="OV61" s="42">
        <v>0</v>
      </c>
      <c r="OW61" s="47"/>
      <c r="OX61" s="40">
        <v>0</v>
      </c>
      <c r="OY61" s="40">
        <v>0</v>
      </c>
      <c r="OZ61" s="40">
        <v>0</v>
      </c>
      <c r="PA61" s="40">
        <v>0</v>
      </c>
      <c r="PB61" s="42">
        <v>0</v>
      </c>
      <c r="PC61" s="47"/>
      <c r="PD61" s="45">
        <v>0</v>
      </c>
      <c r="PE61" s="40">
        <v>0</v>
      </c>
      <c r="PF61" s="40">
        <v>0</v>
      </c>
      <c r="PG61" s="40">
        <v>0</v>
      </c>
      <c r="PH61" s="42">
        <v>0</v>
      </c>
      <c r="PI61" s="47"/>
      <c r="PJ61" s="45">
        <v>0</v>
      </c>
      <c r="PK61" s="40">
        <v>0</v>
      </c>
      <c r="PL61" s="40">
        <v>0</v>
      </c>
      <c r="PM61" s="40">
        <v>0</v>
      </c>
      <c r="PN61" s="42">
        <v>0</v>
      </c>
      <c r="PO61" s="47"/>
      <c r="PP61" s="43">
        <v>0</v>
      </c>
      <c r="PQ61" s="40">
        <v>0</v>
      </c>
      <c r="PR61" s="40">
        <v>0</v>
      </c>
      <c r="PS61" s="40">
        <v>0</v>
      </c>
      <c r="PT61" s="42">
        <v>0</v>
      </c>
      <c r="PU61" s="47"/>
      <c r="PV61" s="45">
        <v>0</v>
      </c>
      <c r="PW61" s="40">
        <v>0</v>
      </c>
      <c r="PX61" s="40">
        <v>0</v>
      </c>
      <c r="PY61" s="40">
        <v>0</v>
      </c>
      <c r="PZ61" s="42">
        <v>0</v>
      </c>
      <c r="QA61" s="47"/>
      <c r="QB61" s="45">
        <v>0</v>
      </c>
      <c r="QC61" s="40">
        <v>0</v>
      </c>
      <c r="QD61" s="42">
        <v>0</v>
      </c>
      <c r="QE61" s="47"/>
      <c r="QF61" s="45">
        <v>400</v>
      </c>
      <c r="QG61" s="40">
        <v>400</v>
      </c>
      <c r="QH61" s="40">
        <v>600</v>
      </c>
      <c r="QI61" s="40">
        <v>600</v>
      </c>
      <c r="QJ61" s="42">
        <v>0</v>
      </c>
      <c r="QK61" s="47"/>
      <c r="QL61" s="45">
        <v>0</v>
      </c>
      <c r="QM61" s="40">
        <v>0</v>
      </c>
      <c r="QN61" s="40">
        <v>0</v>
      </c>
      <c r="QO61" s="40">
        <v>0</v>
      </c>
      <c r="QP61" s="42">
        <v>0</v>
      </c>
      <c r="QQ61" s="47"/>
      <c r="QR61" s="45">
        <v>0</v>
      </c>
      <c r="QS61" s="40">
        <v>0</v>
      </c>
      <c r="QT61" s="40">
        <v>0</v>
      </c>
      <c r="QU61" s="40">
        <v>0</v>
      </c>
      <c r="QV61" s="42">
        <v>0</v>
      </c>
      <c r="QW61" s="47"/>
      <c r="QX61" s="45">
        <v>0</v>
      </c>
      <c r="QY61" s="40">
        <v>0</v>
      </c>
      <c r="QZ61" s="40">
        <v>0</v>
      </c>
      <c r="RA61" s="40">
        <v>0</v>
      </c>
      <c r="RB61" s="42">
        <v>0</v>
      </c>
      <c r="RC61" s="47"/>
      <c r="RD61" s="45">
        <v>0</v>
      </c>
      <c r="RE61" s="40">
        <v>0</v>
      </c>
      <c r="RF61" s="42">
        <v>0</v>
      </c>
      <c r="RG61" s="47"/>
    </row>
    <row r="62" spans="1:475" x14ac:dyDescent="0.25">
      <c r="A62" s="40" t="s">
        <v>351</v>
      </c>
      <c r="B62" s="41">
        <v>0.4</v>
      </c>
      <c r="E62">
        <v>250</v>
      </c>
      <c r="F62">
        <v>160</v>
      </c>
      <c r="N62" s="46">
        <v>256</v>
      </c>
      <c r="O62" s="49">
        <v>260</v>
      </c>
      <c r="P62" s="49">
        <v>296</v>
      </c>
      <c r="Q62" s="49">
        <v>297</v>
      </c>
      <c r="R62" s="48">
        <f t="shared" si="8"/>
        <v>-5</v>
      </c>
      <c r="S62" s="44"/>
      <c r="T62" s="46">
        <v>120</v>
      </c>
      <c r="U62" s="49">
        <v>120</v>
      </c>
      <c r="V62" s="49">
        <v>128</v>
      </c>
      <c r="W62" s="49">
        <v>130</v>
      </c>
      <c r="X62" s="48">
        <f t="shared" si="9"/>
        <v>-2</v>
      </c>
      <c r="Y62" s="44"/>
      <c r="Z62" s="46">
        <v>8</v>
      </c>
      <c r="AA62" s="49">
        <v>13</v>
      </c>
      <c r="AB62" s="48"/>
      <c r="AC62" s="48"/>
      <c r="AD62" s="48">
        <f t="shared" si="10"/>
        <v>-5</v>
      </c>
      <c r="AE62" s="44"/>
      <c r="AF62" s="46">
        <v>160</v>
      </c>
      <c r="AG62" s="49">
        <v>160</v>
      </c>
      <c r="AH62" s="49">
        <v>240</v>
      </c>
      <c r="AI62" s="49">
        <v>240</v>
      </c>
      <c r="AJ62" s="48">
        <f t="shared" si="11"/>
        <v>0</v>
      </c>
      <c r="AK62" s="44"/>
      <c r="AL62" s="49">
        <v>80</v>
      </c>
      <c r="AM62">
        <v>80</v>
      </c>
      <c r="AN62">
        <v>96</v>
      </c>
      <c r="AO62">
        <v>100</v>
      </c>
      <c r="AP62" s="42">
        <v>-4</v>
      </c>
      <c r="AQ62" s="44"/>
      <c r="AR62" s="46">
        <v>120</v>
      </c>
      <c r="AS62">
        <v>120</v>
      </c>
      <c r="AT62">
        <v>128</v>
      </c>
      <c r="AU62">
        <v>130</v>
      </c>
      <c r="AV62" s="42">
        <v>-2</v>
      </c>
      <c r="AW62" s="44"/>
      <c r="AX62">
        <v>48</v>
      </c>
      <c r="AZ62">
        <v>50</v>
      </c>
      <c r="BB62">
        <v>50</v>
      </c>
      <c r="BC62" s="39">
        <v>-52</v>
      </c>
      <c r="BD62" s="44">
        <v>20.8</v>
      </c>
      <c r="BE62" s="43"/>
      <c r="BF62">
        <v>150</v>
      </c>
      <c r="BG62">
        <v>152</v>
      </c>
      <c r="BH62">
        <v>150</v>
      </c>
      <c r="BI62" s="39">
        <v>-148</v>
      </c>
      <c r="BJ62" s="44">
        <v>59.2</v>
      </c>
      <c r="BK62">
        <v>152</v>
      </c>
      <c r="BL62">
        <v>150</v>
      </c>
      <c r="BN62">
        <v>150</v>
      </c>
      <c r="BO62" s="39">
        <v>-148</v>
      </c>
      <c r="BP62" s="44">
        <v>59.2</v>
      </c>
      <c r="BS62" s="42">
        <v>0</v>
      </c>
      <c r="BT62" s="44"/>
      <c r="BU62" s="43"/>
      <c r="BW62">
        <v>576</v>
      </c>
      <c r="BX62">
        <v>978</v>
      </c>
      <c r="BY62" s="39">
        <v>-402</v>
      </c>
      <c r="BZ62" s="44">
        <v>160.80000000000001</v>
      </c>
      <c r="CE62" s="42">
        <v>0</v>
      </c>
      <c r="CF62" s="44"/>
      <c r="CG62" s="46">
        <v>152</v>
      </c>
      <c r="CH62">
        <v>150</v>
      </c>
      <c r="CI62">
        <v>80</v>
      </c>
      <c r="CJ62">
        <v>83</v>
      </c>
      <c r="CK62" s="42">
        <v>-1</v>
      </c>
      <c r="CL62" s="44"/>
      <c r="CM62" s="46">
        <v>200</v>
      </c>
      <c r="CN62">
        <v>200</v>
      </c>
      <c r="CO62">
        <v>600</v>
      </c>
      <c r="CP62">
        <v>600</v>
      </c>
      <c r="CQ62" s="42">
        <v>0</v>
      </c>
      <c r="CR62" s="44"/>
      <c r="CW62" s="42">
        <v>0</v>
      </c>
      <c r="CX62" s="44"/>
      <c r="CY62" s="46">
        <v>96</v>
      </c>
      <c r="CZ62">
        <v>100</v>
      </c>
      <c r="DA62">
        <v>304</v>
      </c>
      <c r="DB62">
        <v>305</v>
      </c>
      <c r="DC62" s="42">
        <v>-5</v>
      </c>
      <c r="DD62" s="44"/>
      <c r="DE62" s="43"/>
      <c r="DK62" s="42">
        <v>0</v>
      </c>
      <c r="DL62" s="44"/>
      <c r="DM62" s="46">
        <v>152</v>
      </c>
      <c r="DN62">
        <v>200</v>
      </c>
      <c r="DO62">
        <v>176</v>
      </c>
      <c r="DP62">
        <v>180</v>
      </c>
      <c r="DQ62" s="39">
        <v>-52</v>
      </c>
      <c r="DR62" s="44">
        <v>20.8</v>
      </c>
      <c r="DS62">
        <v>200</v>
      </c>
      <c r="DT62">
        <v>200</v>
      </c>
      <c r="DU62">
        <v>264</v>
      </c>
      <c r="DV62">
        <v>265</v>
      </c>
      <c r="DW62">
        <v>200</v>
      </c>
      <c r="DX62">
        <v>200</v>
      </c>
      <c r="DY62" s="42">
        <v>-1</v>
      </c>
      <c r="DZ62" s="44"/>
      <c r="EA62" s="43"/>
      <c r="EE62" s="42">
        <v>0</v>
      </c>
      <c r="EF62" s="44"/>
      <c r="EG62" s="46">
        <v>96</v>
      </c>
      <c r="EH62">
        <v>100</v>
      </c>
      <c r="EI62">
        <v>200</v>
      </c>
      <c r="EJ62">
        <v>200</v>
      </c>
      <c r="EK62" s="42">
        <v>-4</v>
      </c>
      <c r="EL62" s="44"/>
      <c r="EM62" s="46">
        <v>360</v>
      </c>
      <c r="EN62">
        <v>360</v>
      </c>
      <c r="EO62">
        <v>352</v>
      </c>
      <c r="EP62">
        <v>360</v>
      </c>
      <c r="EQ62" s="42">
        <v>-8</v>
      </c>
      <c r="ER62" s="44"/>
      <c r="EY62" s="42">
        <v>0</v>
      </c>
      <c r="EZ62" s="44"/>
      <c r="FA62">
        <v>240</v>
      </c>
      <c r="FB62">
        <v>240</v>
      </c>
      <c r="FC62">
        <v>328</v>
      </c>
      <c r="FD62">
        <v>330</v>
      </c>
      <c r="FE62" s="42">
        <v>-2</v>
      </c>
      <c r="FF62" s="44"/>
      <c r="FG62" s="46">
        <v>152</v>
      </c>
      <c r="FH62">
        <v>150</v>
      </c>
      <c r="FI62">
        <v>352</v>
      </c>
      <c r="FJ62">
        <v>350</v>
      </c>
      <c r="FK62" s="42">
        <v>4</v>
      </c>
      <c r="FL62" s="44"/>
      <c r="FM62" s="43"/>
      <c r="FO62" s="42">
        <v>0</v>
      </c>
      <c r="FP62" s="44"/>
      <c r="FS62">
        <v>120</v>
      </c>
      <c r="FT62">
        <v>120</v>
      </c>
      <c r="FU62" s="42">
        <v>0</v>
      </c>
      <c r="FV62" s="44"/>
      <c r="FW62" s="46">
        <v>200</v>
      </c>
      <c r="FX62">
        <v>200</v>
      </c>
      <c r="FY62">
        <v>200</v>
      </c>
      <c r="FZ62">
        <v>200</v>
      </c>
      <c r="GA62">
        <v>200</v>
      </c>
      <c r="GB62">
        <v>200</v>
      </c>
      <c r="GC62" s="42">
        <v>0</v>
      </c>
      <c r="GD62" s="44"/>
      <c r="GE62">
        <v>176</v>
      </c>
      <c r="GF62">
        <v>180</v>
      </c>
      <c r="GG62">
        <v>200</v>
      </c>
      <c r="GH62">
        <v>200</v>
      </c>
      <c r="GI62" s="42">
        <v>-4</v>
      </c>
      <c r="GJ62" s="44"/>
      <c r="GK62" s="43"/>
      <c r="GO62" s="42">
        <v>0</v>
      </c>
      <c r="GP62" s="47"/>
      <c r="GQ62">
        <v>400</v>
      </c>
      <c r="GR62">
        <v>400</v>
      </c>
      <c r="GS62">
        <v>432</v>
      </c>
      <c r="GT62">
        <v>430</v>
      </c>
      <c r="GU62" s="42">
        <v>2</v>
      </c>
      <c r="GV62" s="44"/>
      <c r="GY62" s="42">
        <v>0</v>
      </c>
      <c r="GZ62" s="47"/>
      <c r="HA62" s="43"/>
      <c r="HC62" s="42">
        <v>0</v>
      </c>
      <c r="HD62" s="44"/>
      <c r="HE62" s="46">
        <v>496</v>
      </c>
      <c r="HF62">
        <v>500</v>
      </c>
      <c r="HG62">
        <v>600</v>
      </c>
      <c r="HH62">
        <v>600</v>
      </c>
      <c r="HI62" s="42">
        <v>-4</v>
      </c>
      <c r="HJ62" s="47"/>
      <c r="HK62" s="43"/>
      <c r="HO62" s="42">
        <v>0</v>
      </c>
      <c r="HP62" s="44"/>
      <c r="HV62" s="42">
        <v>0</v>
      </c>
      <c r="HW62" s="44"/>
      <c r="HX62" s="46">
        <v>552</v>
      </c>
      <c r="HY62">
        <v>550</v>
      </c>
      <c r="HZ62">
        <v>552</v>
      </c>
      <c r="IA62">
        <v>550</v>
      </c>
      <c r="IB62" s="42">
        <v>4</v>
      </c>
      <c r="IC62" s="44"/>
      <c r="IF62">
        <v>32</v>
      </c>
      <c r="IG62">
        <v>30</v>
      </c>
      <c r="IH62" s="42">
        <v>2</v>
      </c>
      <c r="II62" s="47"/>
      <c r="IL62">
        <v>56</v>
      </c>
      <c r="IM62">
        <v>60</v>
      </c>
      <c r="IN62" s="42">
        <v>-4</v>
      </c>
      <c r="IO62" s="47"/>
      <c r="IP62">
        <v>200</v>
      </c>
      <c r="IQ62">
        <v>200</v>
      </c>
      <c r="IR62">
        <v>192</v>
      </c>
      <c r="IS62">
        <v>190</v>
      </c>
      <c r="IT62" s="42">
        <v>2</v>
      </c>
      <c r="IU62" s="47"/>
      <c r="IV62">
        <v>136</v>
      </c>
      <c r="IW62">
        <v>140</v>
      </c>
      <c r="IX62">
        <v>120</v>
      </c>
      <c r="IY62">
        <v>120</v>
      </c>
      <c r="IZ62" s="42">
        <v>-4</v>
      </c>
      <c r="JA62" s="44"/>
      <c r="JB62">
        <v>152</v>
      </c>
      <c r="JC62">
        <v>200</v>
      </c>
      <c r="JD62" s="39">
        <v>-48</v>
      </c>
      <c r="JE62" s="47">
        <v>19.2</v>
      </c>
      <c r="JF62">
        <v>400</v>
      </c>
      <c r="JG62">
        <v>400</v>
      </c>
      <c r="JH62">
        <v>256</v>
      </c>
      <c r="JI62">
        <v>257</v>
      </c>
      <c r="JJ62" s="42">
        <v>-1</v>
      </c>
      <c r="JK62" s="44"/>
      <c r="JL62" s="46">
        <v>336</v>
      </c>
      <c r="JM62" s="40">
        <v>340</v>
      </c>
      <c r="JN62" s="42">
        <v>-4</v>
      </c>
      <c r="JO62" s="44"/>
      <c r="JT62" s="42">
        <v>0</v>
      </c>
      <c r="JU62" s="44"/>
      <c r="JZ62" s="42">
        <v>0</v>
      </c>
      <c r="KA62" s="47"/>
      <c r="KB62">
        <v>200</v>
      </c>
      <c r="KC62">
        <v>200</v>
      </c>
      <c r="KD62">
        <v>648</v>
      </c>
      <c r="KE62">
        <v>660</v>
      </c>
      <c r="KF62" s="39">
        <v>-12</v>
      </c>
      <c r="KG62" s="47">
        <v>4.8000000000000007</v>
      </c>
      <c r="KH62">
        <v>152</v>
      </c>
      <c r="KI62">
        <v>150</v>
      </c>
      <c r="KJ62">
        <v>352</v>
      </c>
      <c r="KK62">
        <v>350</v>
      </c>
      <c r="KL62" s="42">
        <v>4</v>
      </c>
      <c r="KM62" s="47"/>
      <c r="KN62" s="45"/>
      <c r="KR62">
        <v>80</v>
      </c>
      <c r="KT62" s="42">
        <v>80</v>
      </c>
      <c r="KU62" s="47"/>
      <c r="KV62" s="40">
        <v>288</v>
      </c>
      <c r="KW62" s="40">
        <v>300</v>
      </c>
      <c r="KX62" s="40">
        <v>448</v>
      </c>
      <c r="KY62" s="40">
        <v>450</v>
      </c>
      <c r="KZ62" s="39">
        <v>-14</v>
      </c>
      <c r="LA62" s="47">
        <v>5.6000000000000014</v>
      </c>
      <c r="LB62" s="40">
        <v>96</v>
      </c>
      <c r="LC62" s="40">
        <v>100</v>
      </c>
      <c r="LD62" s="40">
        <v>136</v>
      </c>
      <c r="LE62" s="40">
        <v>140</v>
      </c>
      <c r="LF62" s="42">
        <v>-8</v>
      </c>
      <c r="LG62" s="47"/>
      <c r="LH62" s="45">
        <v>32</v>
      </c>
      <c r="LI62" s="40">
        <v>39</v>
      </c>
      <c r="LJ62" s="42">
        <v>-7</v>
      </c>
      <c r="LK62" s="47"/>
      <c r="LL62" s="45">
        <v>0</v>
      </c>
      <c r="LM62" s="40">
        <v>0</v>
      </c>
      <c r="LN62" s="40">
        <v>0</v>
      </c>
      <c r="LO62" s="40">
        <v>0</v>
      </c>
      <c r="LP62" s="42">
        <v>0</v>
      </c>
      <c r="LQ62" s="47"/>
      <c r="LR62" s="45">
        <v>40</v>
      </c>
      <c r="LS62" s="40">
        <v>40</v>
      </c>
      <c r="LT62" s="40">
        <v>0</v>
      </c>
      <c r="LU62" s="40">
        <v>0</v>
      </c>
      <c r="LV62" s="42">
        <v>0</v>
      </c>
      <c r="LW62" s="47"/>
      <c r="LX62" s="45">
        <v>536</v>
      </c>
      <c r="LY62" s="40">
        <v>540</v>
      </c>
      <c r="LZ62" s="42">
        <v>-4</v>
      </c>
      <c r="MA62" s="47"/>
      <c r="MB62" s="45">
        <v>0</v>
      </c>
      <c r="MC62" s="40">
        <v>0</v>
      </c>
      <c r="MD62" s="40">
        <v>0</v>
      </c>
      <c r="ME62" s="40">
        <v>0</v>
      </c>
      <c r="MF62" s="42">
        <v>0</v>
      </c>
      <c r="MG62" s="47"/>
      <c r="MH62" s="45">
        <v>1024</v>
      </c>
      <c r="MI62" s="40">
        <v>1029</v>
      </c>
      <c r="MJ62" s="42">
        <v>-5</v>
      </c>
      <c r="MK62" s="47"/>
      <c r="ML62" s="45">
        <v>0</v>
      </c>
      <c r="MM62" s="40">
        <v>0</v>
      </c>
      <c r="MN62" s="40">
        <v>0</v>
      </c>
      <c r="MO62" s="40">
        <v>0</v>
      </c>
      <c r="MP62" s="42">
        <v>0</v>
      </c>
      <c r="MQ62" s="47"/>
      <c r="MR62" s="40">
        <v>0</v>
      </c>
      <c r="MS62" s="40">
        <v>0</v>
      </c>
      <c r="MT62" s="40">
        <v>1152</v>
      </c>
      <c r="MU62" s="40">
        <v>1150</v>
      </c>
      <c r="MV62" s="42">
        <v>2</v>
      </c>
      <c r="MW62" s="47"/>
      <c r="MX62" s="45">
        <v>96</v>
      </c>
      <c r="MY62" s="40">
        <v>100</v>
      </c>
      <c r="MZ62" s="40">
        <v>272</v>
      </c>
      <c r="NA62" s="40">
        <v>300</v>
      </c>
      <c r="NB62" s="39">
        <v>-32</v>
      </c>
      <c r="NC62" s="47">
        <v>12.8</v>
      </c>
      <c r="ND62" s="45">
        <v>48</v>
      </c>
      <c r="NE62" s="40">
        <v>150</v>
      </c>
      <c r="NF62" s="40">
        <v>200</v>
      </c>
      <c r="NG62" s="40">
        <v>200</v>
      </c>
      <c r="NH62" s="39">
        <v>-102</v>
      </c>
      <c r="NI62" s="47">
        <v>40.799999999999997</v>
      </c>
      <c r="NJ62" s="45">
        <v>248</v>
      </c>
      <c r="NK62" s="40">
        <v>250</v>
      </c>
      <c r="NL62" s="40">
        <v>248</v>
      </c>
      <c r="NM62" s="40">
        <v>250</v>
      </c>
      <c r="NN62" s="42">
        <v>-4</v>
      </c>
      <c r="NO62" s="47"/>
      <c r="NP62" s="45">
        <v>0</v>
      </c>
      <c r="NQ62" s="30">
        <v>150</v>
      </c>
      <c r="NR62" s="40">
        <v>296</v>
      </c>
      <c r="NS62" s="40">
        <v>300</v>
      </c>
      <c r="NT62" s="39">
        <v>-154</v>
      </c>
      <c r="NU62" s="47">
        <v>61.6</v>
      </c>
      <c r="NV62" s="45">
        <v>96</v>
      </c>
      <c r="NW62" s="40">
        <v>100</v>
      </c>
      <c r="NX62" s="40">
        <v>176</v>
      </c>
      <c r="NY62" s="40">
        <v>180</v>
      </c>
      <c r="NZ62" s="42">
        <v>-8</v>
      </c>
      <c r="OA62" s="47"/>
      <c r="OB62" s="45">
        <v>648</v>
      </c>
      <c r="OC62" s="40">
        <v>650</v>
      </c>
      <c r="OD62" s="42">
        <v>-2</v>
      </c>
      <c r="OE62" s="47"/>
      <c r="OF62" s="45">
        <v>0</v>
      </c>
      <c r="OG62" s="40">
        <v>0</v>
      </c>
      <c r="OH62" s="40">
        <v>312</v>
      </c>
      <c r="OI62" s="40">
        <v>316</v>
      </c>
      <c r="OJ62" s="42">
        <v>-4</v>
      </c>
      <c r="OK62" s="47"/>
      <c r="OL62" s="45">
        <v>208</v>
      </c>
      <c r="OM62" s="40">
        <v>210</v>
      </c>
      <c r="ON62" s="40">
        <v>160</v>
      </c>
      <c r="OO62" s="40">
        <v>160</v>
      </c>
      <c r="OP62" s="42">
        <v>-2</v>
      </c>
      <c r="OQ62" s="47"/>
      <c r="OR62" s="45">
        <v>216</v>
      </c>
      <c r="OS62" s="40">
        <v>460</v>
      </c>
      <c r="OT62" s="40">
        <v>360</v>
      </c>
      <c r="OU62" s="40">
        <v>363</v>
      </c>
      <c r="OV62" s="39">
        <v>-247</v>
      </c>
      <c r="OW62" s="47">
        <v>98.800000000000011</v>
      </c>
      <c r="OX62" s="40">
        <v>176</v>
      </c>
      <c r="OY62" s="40">
        <v>175</v>
      </c>
      <c r="OZ62" s="40">
        <v>40</v>
      </c>
      <c r="PA62" s="40">
        <v>175</v>
      </c>
      <c r="PB62" s="39">
        <v>-134</v>
      </c>
      <c r="PC62" s="47">
        <v>53.6</v>
      </c>
      <c r="PD62" s="45">
        <v>200</v>
      </c>
      <c r="PE62" s="40">
        <v>200</v>
      </c>
      <c r="PF62" s="40">
        <v>232</v>
      </c>
      <c r="PG62" s="40">
        <v>230</v>
      </c>
      <c r="PH62" s="42">
        <v>2</v>
      </c>
      <c r="PI62" s="47"/>
      <c r="PJ62" s="45">
        <v>0</v>
      </c>
      <c r="PK62" s="40">
        <v>0</v>
      </c>
      <c r="PL62" s="40">
        <v>144</v>
      </c>
      <c r="PM62" s="40">
        <v>201</v>
      </c>
      <c r="PN62" s="39">
        <v>-57</v>
      </c>
      <c r="PO62" s="47">
        <v>22.8</v>
      </c>
      <c r="PP62" s="43">
        <v>200</v>
      </c>
      <c r="PQ62" s="40">
        <v>200</v>
      </c>
      <c r="PR62" s="40">
        <v>248</v>
      </c>
      <c r="PS62" s="40">
        <v>250</v>
      </c>
      <c r="PT62" s="42">
        <v>-2</v>
      </c>
      <c r="PU62" s="47"/>
      <c r="PV62" s="45">
        <v>96</v>
      </c>
      <c r="PW62" s="40">
        <v>100</v>
      </c>
      <c r="PX62" s="40">
        <v>48</v>
      </c>
      <c r="PY62" s="40">
        <v>50</v>
      </c>
      <c r="PZ62" s="42">
        <v>-6</v>
      </c>
      <c r="QA62" s="47"/>
      <c r="QB62" s="45">
        <v>600</v>
      </c>
      <c r="QC62" s="40">
        <v>600</v>
      </c>
      <c r="QD62" s="42">
        <v>0</v>
      </c>
      <c r="QE62" s="47"/>
      <c r="QF62" s="45">
        <v>152</v>
      </c>
      <c r="QG62" s="40">
        <v>153</v>
      </c>
      <c r="QH62" s="40">
        <v>248</v>
      </c>
      <c r="QI62" s="40">
        <v>250</v>
      </c>
      <c r="QJ62" s="42">
        <v>-3</v>
      </c>
      <c r="QK62" s="47"/>
      <c r="QL62" s="45">
        <v>48</v>
      </c>
      <c r="QM62" s="40">
        <v>50</v>
      </c>
      <c r="QN62" s="40">
        <v>48</v>
      </c>
      <c r="QO62" s="40">
        <v>50</v>
      </c>
      <c r="QP62" s="42">
        <v>-4</v>
      </c>
      <c r="QQ62" s="47"/>
      <c r="QR62" s="45">
        <v>120</v>
      </c>
      <c r="QS62" s="40">
        <v>120</v>
      </c>
      <c r="QT62" s="40">
        <v>0</v>
      </c>
      <c r="QU62" s="40">
        <v>180</v>
      </c>
      <c r="QV62" s="39">
        <v>-180</v>
      </c>
      <c r="QW62" s="47">
        <v>72</v>
      </c>
      <c r="QX62" s="45">
        <v>152</v>
      </c>
      <c r="QY62" s="40">
        <v>150</v>
      </c>
      <c r="QZ62" s="40">
        <v>248</v>
      </c>
      <c r="RA62" s="40">
        <v>250</v>
      </c>
      <c r="RB62" s="42">
        <v>0</v>
      </c>
      <c r="RC62" s="47"/>
      <c r="RD62" s="45">
        <v>608</v>
      </c>
      <c r="RE62" s="40">
        <v>611</v>
      </c>
      <c r="RF62" s="42">
        <v>-3</v>
      </c>
      <c r="RG62" s="47"/>
    </row>
    <row r="63" spans="1:475" x14ac:dyDescent="0.25">
      <c r="A63" s="40" t="s">
        <v>352</v>
      </c>
      <c r="B63" s="41">
        <v>0.4</v>
      </c>
      <c r="E63">
        <v>50</v>
      </c>
      <c r="F63">
        <v>50</v>
      </c>
      <c r="I63">
        <v>240</v>
      </c>
      <c r="J63">
        <v>240</v>
      </c>
      <c r="K63">
        <v>240</v>
      </c>
      <c r="N63" s="46">
        <v>296</v>
      </c>
      <c r="O63" s="49">
        <v>300</v>
      </c>
      <c r="P63" s="49">
        <v>328</v>
      </c>
      <c r="Q63" s="49">
        <v>330</v>
      </c>
      <c r="R63" s="48">
        <f t="shared" si="8"/>
        <v>-6</v>
      </c>
      <c r="S63" s="44"/>
      <c r="T63" s="46">
        <v>320</v>
      </c>
      <c r="U63" s="49">
        <v>320</v>
      </c>
      <c r="V63" s="49">
        <v>328</v>
      </c>
      <c r="W63" s="49">
        <v>330</v>
      </c>
      <c r="X63" s="48">
        <f t="shared" si="9"/>
        <v>-2</v>
      </c>
      <c r="Y63" s="44"/>
      <c r="Z63" s="46">
        <v>152</v>
      </c>
      <c r="AA63" s="49">
        <v>150</v>
      </c>
      <c r="AB63" s="48"/>
      <c r="AC63" s="48"/>
      <c r="AD63" s="48">
        <f t="shared" si="10"/>
        <v>2</v>
      </c>
      <c r="AE63" s="44"/>
      <c r="AF63" s="46">
        <v>248</v>
      </c>
      <c r="AG63" s="49">
        <v>250</v>
      </c>
      <c r="AH63" s="49">
        <v>296</v>
      </c>
      <c r="AI63" s="49">
        <v>300</v>
      </c>
      <c r="AJ63" s="48">
        <f t="shared" si="11"/>
        <v>-6</v>
      </c>
      <c r="AK63" s="44"/>
      <c r="AL63" s="49">
        <v>152</v>
      </c>
      <c r="AM63">
        <v>150</v>
      </c>
      <c r="AN63">
        <v>112</v>
      </c>
      <c r="AO63">
        <v>117</v>
      </c>
      <c r="AP63" s="42">
        <v>-3</v>
      </c>
      <c r="AQ63" s="44"/>
      <c r="AR63" s="46">
        <v>200</v>
      </c>
      <c r="AS63">
        <v>200</v>
      </c>
      <c r="AV63" s="42">
        <v>0</v>
      </c>
      <c r="AW63" s="44"/>
      <c r="AX63">
        <v>200</v>
      </c>
      <c r="AZ63">
        <v>200</v>
      </c>
      <c r="BA63">
        <v>400</v>
      </c>
      <c r="BB63">
        <v>400</v>
      </c>
      <c r="BC63" s="42">
        <v>0</v>
      </c>
      <c r="BD63" s="44"/>
      <c r="BE63" s="46">
        <v>208</v>
      </c>
      <c r="BF63">
        <v>212</v>
      </c>
      <c r="BI63" s="42">
        <v>-4</v>
      </c>
      <c r="BJ63" s="44"/>
      <c r="BK63">
        <v>200</v>
      </c>
      <c r="BL63">
        <v>200</v>
      </c>
      <c r="BM63">
        <v>96</v>
      </c>
      <c r="BN63">
        <v>100</v>
      </c>
      <c r="BO63" s="42">
        <v>-4</v>
      </c>
      <c r="BP63" s="44"/>
      <c r="BS63" s="42">
        <v>0</v>
      </c>
      <c r="BT63" s="44"/>
      <c r="BU63" s="46">
        <v>224</v>
      </c>
      <c r="BV63">
        <v>226</v>
      </c>
      <c r="BW63">
        <v>648</v>
      </c>
      <c r="BX63">
        <v>647</v>
      </c>
      <c r="BY63" s="42">
        <v>-1</v>
      </c>
      <c r="BZ63" s="44"/>
      <c r="CA63">
        <v>248</v>
      </c>
      <c r="CB63">
        <v>250</v>
      </c>
      <c r="CC63">
        <v>296</v>
      </c>
      <c r="CD63">
        <v>300</v>
      </c>
      <c r="CE63" s="42">
        <v>-6</v>
      </c>
      <c r="CF63" s="44"/>
      <c r="CG63" s="46">
        <v>200</v>
      </c>
      <c r="CH63">
        <v>200</v>
      </c>
      <c r="CI63">
        <v>392</v>
      </c>
      <c r="CJ63">
        <v>395</v>
      </c>
      <c r="CK63" s="42">
        <v>-3</v>
      </c>
      <c r="CL63" s="44"/>
      <c r="CM63" s="43"/>
      <c r="CO63">
        <v>400</v>
      </c>
      <c r="CP63">
        <v>400</v>
      </c>
      <c r="CQ63" s="42">
        <v>0</v>
      </c>
      <c r="CR63" s="44"/>
      <c r="CS63">
        <v>80</v>
      </c>
      <c r="CT63">
        <v>80</v>
      </c>
      <c r="CU63">
        <v>120</v>
      </c>
      <c r="CV63">
        <v>120</v>
      </c>
      <c r="CW63" s="42">
        <v>0</v>
      </c>
      <c r="CX63" s="44"/>
      <c r="CY63" s="46">
        <v>152</v>
      </c>
      <c r="CZ63">
        <v>150</v>
      </c>
      <c r="DA63">
        <v>592</v>
      </c>
      <c r="DB63">
        <v>593</v>
      </c>
      <c r="DC63" s="42">
        <v>1</v>
      </c>
      <c r="DD63" s="44"/>
      <c r="DE63" s="43"/>
      <c r="DK63" s="42">
        <v>0</v>
      </c>
      <c r="DL63" s="44"/>
      <c r="DM63" s="46">
        <v>240</v>
      </c>
      <c r="DN63">
        <v>240</v>
      </c>
      <c r="DO63">
        <v>240</v>
      </c>
      <c r="DP63">
        <v>240</v>
      </c>
      <c r="DQ63" s="42">
        <v>0</v>
      </c>
      <c r="DR63" s="44"/>
      <c r="DS63">
        <v>304</v>
      </c>
      <c r="DT63">
        <v>300</v>
      </c>
      <c r="DU63">
        <v>272</v>
      </c>
      <c r="DV63">
        <v>270</v>
      </c>
      <c r="DW63">
        <v>296</v>
      </c>
      <c r="DX63">
        <v>300</v>
      </c>
      <c r="DY63" s="42">
        <v>2</v>
      </c>
      <c r="DZ63" s="44"/>
      <c r="EA63" s="43"/>
      <c r="EE63" s="42">
        <v>0</v>
      </c>
      <c r="EF63" s="44"/>
      <c r="EG63" s="43"/>
      <c r="EI63">
        <v>96</v>
      </c>
      <c r="EJ63">
        <v>100</v>
      </c>
      <c r="EK63" s="42">
        <v>-4</v>
      </c>
      <c r="EL63" s="44"/>
      <c r="EM63" s="46">
        <v>496</v>
      </c>
      <c r="EN63">
        <v>500</v>
      </c>
      <c r="EO63">
        <v>520</v>
      </c>
      <c r="EP63">
        <v>520</v>
      </c>
      <c r="EQ63" s="42">
        <v>-4</v>
      </c>
      <c r="ER63" s="44"/>
      <c r="EW63">
        <v>176</v>
      </c>
      <c r="EX63">
        <v>180</v>
      </c>
      <c r="EY63" s="42">
        <v>-4</v>
      </c>
      <c r="EZ63" s="44"/>
      <c r="FA63">
        <v>296</v>
      </c>
      <c r="FB63">
        <v>300</v>
      </c>
      <c r="FC63">
        <v>376</v>
      </c>
      <c r="FD63">
        <v>380</v>
      </c>
      <c r="FE63" s="42">
        <v>-8</v>
      </c>
      <c r="FF63" s="44"/>
      <c r="FG63" s="46">
        <v>152</v>
      </c>
      <c r="FH63">
        <v>150</v>
      </c>
      <c r="FI63">
        <v>280</v>
      </c>
      <c r="FJ63">
        <v>280</v>
      </c>
      <c r="FK63" s="42">
        <v>2</v>
      </c>
      <c r="FL63" s="44"/>
      <c r="FM63" s="46">
        <v>184</v>
      </c>
      <c r="FN63">
        <v>189</v>
      </c>
      <c r="FO63" s="42">
        <v>-5</v>
      </c>
      <c r="FP63" s="44"/>
      <c r="FS63">
        <v>120</v>
      </c>
      <c r="FT63">
        <v>120</v>
      </c>
      <c r="FU63" s="42">
        <v>0</v>
      </c>
      <c r="FV63" s="44"/>
      <c r="FW63" s="46">
        <v>200</v>
      </c>
      <c r="FX63">
        <v>200</v>
      </c>
      <c r="FY63">
        <v>200</v>
      </c>
      <c r="FZ63">
        <v>200</v>
      </c>
      <c r="GA63">
        <v>296</v>
      </c>
      <c r="GB63">
        <v>300</v>
      </c>
      <c r="GC63" s="42">
        <v>-4</v>
      </c>
      <c r="GD63" s="44"/>
      <c r="GE63">
        <v>256</v>
      </c>
      <c r="GF63">
        <v>260</v>
      </c>
      <c r="GG63">
        <v>272</v>
      </c>
      <c r="GH63">
        <v>270</v>
      </c>
      <c r="GI63" s="42">
        <v>-2</v>
      </c>
      <c r="GJ63" s="44"/>
      <c r="GK63" s="43"/>
      <c r="GM63">
        <v>32</v>
      </c>
      <c r="GN63">
        <v>30</v>
      </c>
      <c r="GO63" s="42">
        <v>2</v>
      </c>
      <c r="GP63" s="47"/>
      <c r="GQ63">
        <v>248</v>
      </c>
      <c r="GR63">
        <v>250</v>
      </c>
      <c r="GS63">
        <v>256</v>
      </c>
      <c r="GT63">
        <v>260</v>
      </c>
      <c r="GU63" s="42">
        <v>-6</v>
      </c>
      <c r="GV63" s="44"/>
      <c r="GY63" s="42">
        <v>0</v>
      </c>
      <c r="GZ63" s="47"/>
      <c r="HA63" s="43"/>
      <c r="HC63" s="42">
        <v>0</v>
      </c>
      <c r="HD63" s="44"/>
      <c r="HE63" s="46">
        <v>448</v>
      </c>
      <c r="HF63">
        <v>450</v>
      </c>
      <c r="HG63">
        <v>552</v>
      </c>
      <c r="HH63">
        <v>550</v>
      </c>
      <c r="HI63" s="42">
        <v>0</v>
      </c>
      <c r="HJ63" s="47"/>
      <c r="HK63" s="43"/>
      <c r="HO63" s="42">
        <v>0</v>
      </c>
      <c r="HP63" s="44"/>
      <c r="HR63">
        <v>96</v>
      </c>
      <c r="HS63">
        <v>100</v>
      </c>
      <c r="HT63">
        <v>96</v>
      </c>
      <c r="HU63">
        <v>100</v>
      </c>
      <c r="HV63" s="42">
        <v>-8</v>
      </c>
      <c r="HW63" s="44"/>
      <c r="HX63" s="46">
        <v>448</v>
      </c>
      <c r="HY63">
        <v>450</v>
      </c>
      <c r="HZ63">
        <v>448</v>
      </c>
      <c r="IA63">
        <v>450</v>
      </c>
      <c r="IB63" s="42">
        <v>-4</v>
      </c>
      <c r="IC63" s="44"/>
      <c r="IH63" s="42">
        <v>0</v>
      </c>
      <c r="II63" s="47"/>
      <c r="IL63">
        <v>40</v>
      </c>
      <c r="IM63">
        <v>40</v>
      </c>
      <c r="IN63" s="42">
        <v>0</v>
      </c>
      <c r="IO63" s="47"/>
      <c r="IP63">
        <v>272</v>
      </c>
      <c r="IQ63">
        <v>270</v>
      </c>
      <c r="IR63">
        <v>240</v>
      </c>
      <c r="IS63">
        <v>240</v>
      </c>
      <c r="IT63" s="42">
        <v>2</v>
      </c>
      <c r="IU63" s="47"/>
      <c r="IV63">
        <v>160</v>
      </c>
      <c r="IW63">
        <v>160</v>
      </c>
      <c r="IX63">
        <v>136</v>
      </c>
      <c r="IY63">
        <v>140</v>
      </c>
      <c r="IZ63" s="42">
        <v>-4</v>
      </c>
      <c r="JA63" s="44"/>
      <c r="JB63">
        <v>248</v>
      </c>
      <c r="JC63">
        <v>250</v>
      </c>
      <c r="JD63" s="42">
        <v>-2</v>
      </c>
      <c r="JE63" s="44"/>
      <c r="JF63">
        <v>256</v>
      </c>
      <c r="JG63">
        <v>260</v>
      </c>
      <c r="JH63">
        <v>224</v>
      </c>
      <c r="JI63">
        <v>227</v>
      </c>
      <c r="JJ63" s="42">
        <v>-7</v>
      </c>
      <c r="JK63" s="44"/>
      <c r="JL63" s="46">
        <v>280</v>
      </c>
      <c r="JM63" s="40">
        <v>280</v>
      </c>
      <c r="JN63" s="42">
        <v>0</v>
      </c>
      <c r="JO63" s="44"/>
      <c r="JT63" s="42">
        <v>0</v>
      </c>
      <c r="JU63" s="44"/>
      <c r="JV63">
        <v>288</v>
      </c>
      <c r="JW63">
        <v>300</v>
      </c>
      <c r="JX63">
        <v>320</v>
      </c>
      <c r="JY63">
        <v>324</v>
      </c>
      <c r="JZ63" s="39">
        <v>-16</v>
      </c>
      <c r="KA63" s="47">
        <v>6.4</v>
      </c>
      <c r="KF63" s="42">
        <v>0</v>
      </c>
      <c r="KG63" s="44"/>
      <c r="KH63">
        <v>96</v>
      </c>
      <c r="KI63">
        <v>100</v>
      </c>
      <c r="KJ63">
        <v>632</v>
      </c>
      <c r="KK63">
        <v>630</v>
      </c>
      <c r="KL63" s="42">
        <v>-2</v>
      </c>
      <c r="KM63" s="47"/>
      <c r="KN63" s="46">
        <v>96</v>
      </c>
      <c r="KO63">
        <v>100</v>
      </c>
      <c r="KP63">
        <v>152</v>
      </c>
      <c r="KQ63">
        <v>150</v>
      </c>
      <c r="KR63">
        <v>72</v>
      </c>
      <c r="KS63">
        <v>70</v>
      </c>
      <c r="KT63" s="42">
        <v>0</v>
      </c>
      <c r="KU63" s="47"/>
      <c r="KV63" s="40">
        <v>152</v>
      </c>
      <c r="KW63" s="40">
        <v>150</v>
      </c>
      <c r="KX63" s="40">
        <v>232</v>
      </c>
      <c r="KY63" s="40">
        <v>230</v>
      </c>
      <c r="KZ63" s="42">
        <v>4</v>
      </c>
      <c r="LA63" s="47"/>
      <c r="LB63" s="40">
        <v>96</v>
      </c>
      <c r="LC63" s="40">
        <v>100</v>
      </c>
      <c r="LD63" s="40">
        <v>152</v>
      </c>
      <c r="LE63" s="40">
        <v>150</v>
      </c>
      <c r="LF63" s="42">
        <v>-2</v>
      </c>
      <c r="LG63" s="47"/>
      <c r="LH63" s="45">
        <v>168</v>
      </c>
      <c r="LI63" s="40">
        <v>170</v>
      </c>
      <c r="LJ63" s="42">
        <v>-2</v>
      </c>
      <c r="LK63" s="47"/>
      <c r="LL63" s="45">
        <v>0</v>
      </c>
      <c r="LM63" s="40">
        <v>0</v>
      </c>
      <c r="LN63" s="40">
        <v>0</v>
      </c>
      <c r="LO63" s="40">
        <v>0</v>
      </c>
      <c r="LP63" s="42">
        <v>0</v>
      </c>
      <c r="LQ63" s="47"/>
      <c r="LR63" s="45">
        <v>120</v>
      </c>
      <c r="LS63" s="40">
        <v>120</v>
      </c>
      <c r="LT63" s="40">
        <v>0</v>
      </c>
      <c r="LU63" s="40">
        <v>0</v>
      </c>
      <c r="LV63" s="42">
        <v>0</v>
      </c>
      <c r="LW63" s="47"/>
      <c r="LX63" s="45">
        <v>0</v>
      </c>
      <c r="LY63" s="40">
        <v>0</v>
      </c>
      <c r="LZ63" s="42">
        <v>0</v>
      </c>
      <c r="MA63" s="47"/>
      <c r="MB63" s="45">
        <v>0</v>
      </c>
      <c r="MC63" s="40">
        <v>0</v>
      </c>
      <c r="MD63" s="40">
        <v>0</v>
      </c>
      <c r="ME63" s="40">
        <v>0</v>
      </c>
      <c r="MF63" s="42">
        <v>0</v>
      </c>
      <c r="MG63" s="47"/>
      <c r="MH63" s="45">
        <v>864</v>
      </c>
      <c r="MI63" s="40">
        <v>865</v>
      </c>
      <c r="MJ63" s="42">
        <v>-1</v>
      </c>
      <c r="MK63" s="47"/>
      <c r="ML63" s="45">
        <v>176</v>
      </c>
      <c r="MM63" s="40">
        <v>180</v>
      </c>
      <c r="MN63" s="40">
        <v>208</v>
      </c>
      <c r="MO63" s="40">
        <v>210</v>
      </c>
      <c r="MP63" s="42">
        <v>-6</v>
      </c>
      <c r="MQ63" s="47"/>
      <c r="MR63" s="40">
        <v>0</v>
      </c>
      <c r="MS63" s="40">
        <v>0</v>
      </c>
      <c r="MT63" s="40">
        <v>400</v>
      </c>
      <c r="MU63" s="40">
        <v>400</v>
      </c>
      <c r="MV63" s="42">
        <v>0</v>
      </c>
      <c r="MW63" s="47"/>
      <c r="MX63" s="45">
        <v>96</v>
      </c>
      <c r="MY63" s="40">
        <v>100</v>
      </c>
      <c r="MZ63" s="40">
        <v>232</v>
      </c>
      <c r="NA63" s="40">
        <v>230</v>
      </c>
      <c r="NB63" s="42">
        <v>-2</v>
      </c>
      <c r="NC63" s="47"/>
      <c r="ND63" s="45">
        <v>240</v>
      </c>
      <c r="NE63" s="40">
        <v>120</v>
      </c>
      <c r="NF63" s="40">
        <v>0</v>
      </c>
      <c r="NG63" s="30">
        <v>471</v>
      </c>
      <c r="NH63" s="39">
        <v>-351</v>
      </c>
      <c r="NI63" s="47">
        <v>140.4</v>
      </c>
      <c r="NJ63" s="45">
        <v>96</v>
      </c>
      <c r="NK63" s="40">
        <v>100</v>
      </c>
      <c r="NL63" s="40">
        <v>152</v>
      </c>
      <c r="NM63" s="40">
        <v>150</v>
      </c>
      <c r="NN63" s="42">
        <v>-2</v>
      </c>
      <c r="NO63" s="47"/>
      <c r="NP63" s="25">
        <v>96</v>
      </c>
      <c r="NQ63" s="40">
        <v>0</v>
      </c>
      <c r="NR63" s="40">
        <v>136</v>
      </c>
      <c r="NS63" s="40">
        <v>140</v>
      </c>
      <c r="NT63" s="42">
        <v>92</v>
      </c>
      <c r="NU63" s="47"/>
      <c r="NV63" s="45">
        <v>448</v>
      </c>
      <c r="NW63" s="40">
        <v>450</v>
      </c>
      <c r="NX63" s="40">
        <v>472</v>
      </c>
      <c r="NY63" s="40">
        <v>471</v>
      </c>
      <c r="NZ63" s="42">
        <v>-1</v>
      </c>
      <c r="OA63" s="47"/>
      <c r="OB63" s="45">
        <v>272</v>
      </c>
      <c r="OC63" s="40">
        <v>270</v>
      </c>
      <c r="OD63" s="42">
        <v>2</v>
      </c>
      <c r="OE63" s="47"/>
      <c r="OF63" s="45">
        <v>0</v>
      </c>
      <c r="OG63" s="40">
        <v>0</v>
      </c>
      <c r="OH63" s="40">
        <v>56</v>
      </c>
      <c r="OI63" s="40">
        <v>60</v>
      </c>
      <c r="OJ63" s="42">
        <v>-4</v>
      </c>
      <c r="OK63" s="47"/>
      <c r="OL63" s="45">
        <v>360</v>
      </c>
      <c r="OM63" s="40">
        <v>360</v>
      </c>
      <c r="ON63" s="40">
        <v>240</v>
      </c>
      <c r="OO63" s="40">
        <v>240</v>
      </c>
      <c r="OP63" s="42">
        <v>0</v>
      </c>
      <c r="OQ63" s="47"/>
      <c r="OR63" s="45">
        <v>96</v>
      </c>
      <c r="OS63" s="40">
        <v>100</v>
      </c>
      <c r="OT63" s="40">
        <v>0</v>
      </c>
      <c r="OU63" s="30">
        <v>100</v>
      </c>
      <c r="OV63" s="39">
        <v>-104</v>
      </c>
      <c r="OW63" s="47">
        <v>41.6</v>
      </c>
      <c r="OX63" s="40">
        <v>136</v>
      </c>
      <c r="OY63" s="40">
        <v>135</v>
      </c>
      <c r="OZ63" s="40">
        <v>136</v>
      </c>
      <c r="PA63" s="40">
        <v>135</v>
      </c>
      <c r="PB63" s="42">
        <v>2</v>
      </c>
      <c r="PC63" s="47"/>
      <c r="PD63" s="45">
        <v>0</v>
      </c>
      <c r="PE63" s="40">
        <v>0</v>
      </c>
      <c r="PF63" s="40">
        <v>0</v>
      </c>
      <c r="PG63" s="40">
        <v>0</v>
      </c>
      <c r="PH63" s="42">
        <v>0</v>
      </c>
      <c r="PI63" s="47"/>
      <c r="PJ63" s="45">
        <v>0</v>
      </c>
      <c r="PK63" s="40">
        <v>0</v>
      </c>
      <c r="PL63" s="40">
        <v>96</v>
      </c>
      <c r="PM63" s="40">
        <v>100</v>
      </c>
      <c r="PN63" s="42">
        <v>-4</v>
      </c>
      <c r="PO63" s="47"/>
      <c r="PP63" s="43">
        <v>200</v>
      </c>
      <c r="PQ63" s="40">
        <v>200</v>
      </c>
      <c r="PR63" s="40">
        <v>336</v>
      </c>
      <c r="PS63" s="40">
        <v>334</v>
      </c>
      <c r="PT63" s="42">
        <v>2</v>
      </c>
      <c r="PU63" s="47"/>
      <c r="PV63" s="45">
        <v>200</v>
      </c>
      <c r="PW63" s="40">
        <v>200</v>
      </c>
      <c r="PX63" s="40">
        <v>200</v>
      </c>
      <c r="PY63" s="40">
        <v>200</v>
      </c>
      <c r="PZ63" s="42">
        <v>0</v>
      </c>
      <c r="QA63" s="47"/>
      <c r="QB63" s="45">
        <v>200</v>
      </c>
      <c r="QC63" s="40">
        <v>200</v>
      </c>
      <c r="QD63" s="42">
        <v>0</v>
      </c>
      <c r="QE63" s="47"/>
      <c r="QF63" s="45">
        <v>264</v>
      </c>
      <c r="QG63" s="40">
        <v>266</v>
      </c>
      <c r="QH63" s="40">
        <v>448</v>
      </c>
      <c r="QI63" s="40">
        <v>450</v>
      </c>
      <c r="QJ63" s="42">
        <v>-4</v>
      </c>
      <c r="QK63" s="47"/>
      <c r="QL63" s="45">
        <v>96</v>
      </c>
      <c r="QM63" s="40">
        <v>100</v>
      </c>
      <c r="QN63" s="40">
        <v>96</v>
      </c>
      <c r="QO63" s="40">
        <v>100</v>
      </c>
      <c r="QP63" s="42">
        <v>-8</v>
      </c>
      <c r="QQ63" s="47"/>
      <c r="QR63" s="45">
        <v>200</v>
      </c>
      <c r="QS63" s="40">
        <v>200</v>
      </c>
      <c r="QT63" s="40">
        <v>40</v>
      </c>
      <c r="QU63" s="40">
        <v>300</v>
      </c>
      <c r="QV63" s="39">
        <v>-260</v>
      </c>
      <c r="QW63" s="47">
        <v>104</v>
      </c>
      <c r="QX63" s="45">
        <v>96</v>
      </c>
      <c r="QY63" s="40">
        <v>150</v>
      </c>
      <c r="QZ63" s="40">
        <v>80</v>
      </c>
      <c r="RA63" s="40">
        <v>200</v>
      </c>
      <c r="RB63" s="39">
        <v>-174</v>
      </c>
      <c r="RC63" s="47">
        <v>69.600000000000009</v>
      </c>
      <c r="RD63" s="45">
        <v>776</v>
      </c>
      <c r="RE63" s="40">
        <v>776.2</v>
      </c>
      <c r="RF63" s="42">
        <v>-0.2000000000000455</v>
      </c>
      <c r="RG63" s="47"/>
    </row>
    <row r="64" spans="1:475" x14ac:dyDescent="0.25">
      <c r="A64" s="40" t="s">
        <v>353</v>
      </c>
      <c r="B64" s="41">
        <v>0.84</v>
      </c>
      <c r="N64" s="43"/>
      <c r="O64" s="48"/>
      <c r="P64" s="48"/>
      <c r="Q64" s="48"/>
      <c r="R64" s="48">
        <f t="shared" si="8"/>
        <v>0</v>
      </c>
      <c r="S64" s="44"/>
      <c r="T64" s="43"/>
      <c r="U64" s="48"/>
      <c r="V64" s="48"/>
      <c r="W64" s="48"/>
      <c r="X64" s="48">
        <f t="shared" si="9"/>
        <v>0</v>
      </c>
      <c r="Y64" s="44"/>
      <c r="Z64" s="43"/>
      <c r="AA64" s="48"/>
      <c r="AB64" s="48"/>
      <c r="AC64" s="48"/>
      <c r="AD64" s="48">
        <f t="shared" si="10"/>
        <v>0</v>
      </c>
      <c r="AE64" s="44"/>
      <c r="AF64" s="43"/>
      <c r="AG64" s="48"/>
      <c r="AH64" s="48"/>
      <c r="AI64" s="48"/>
      <c r="AJ64" s="48">
        <f t="shared" si="11"/>
        <v>0</v>
      </c>
      <c r="AK64" s="44"/>
      <c r="AL64" s="48"/>
      <c r="AP64" s="42">
        <v>0</v>
      </c>
      <c r="AQ64" s="44"/>
      <c r="AR64" s="43"/>
      <c r="AV64" s="42">
        <v>0</v>
      </c>
      <c r="AW64" s="44"/>
      <c r="BC64" s="42">
        <v>0</v>
      </c>
      <c r="BD64" s="44"/>
      <c r="BE64" s="43"/>
      <c r="BI64" s="42">
        <v>0</v>
      </c>
      <c r="BJ64" s="44"/>
      <c r="BO64" s="42">
        <v>0</v>
      </c>
      <c r="BP64" s="44"/>
      <c r="BS64" s="42">
        <v>0</v>
      </c>
      <c r="BT64" s="44"/>
      <c r="BU64" s="43"/>
      <c r="BY64" s="42">
        <v>0</v>
      </c>
      <c r="BZ64" s="44"/>
      <c r="CE64" s="42">
        <v>0</v>
      </c>
      <c r="CF64" s="44"/>
      <c r="CG64" s="43"/>
      <c r="CK64" s="42">
        <v>0</v>
      </c>
      <c r="CL64" s="44"/>
      <c r="CM64" s="43"/>
      <c r="CQ64" s="42">
        <v>0</v>
      </c>
      <c r="CR64" s="44"/>
      <c r="CW64" s="42">
        <v>0</v>
      </c>
      <c r="CX64" s="44"/>
      <c r="CY64" s="43"/>
      <c r="DC64" s="42">
        <v>0</v>
      </c>
      <c r="DD64" s="44"/>
      <c r="DE64" s="43"/>
      <c r="DK64" s="42">
        <v>0</v>
      </c>
      <c r="DL64" s="44"/>
      <c r="DM64" s="43"/>
      <c r="DQ64" s="42">
        <v>0</v>
      </c>
      <c r="DR64" s="44"/>
      <c r="DY64" s="42">
        <v>0</v>
      </c>
      <c r="DZ64" s="44"/>
      <c r="EA64" s="43"/>
      <c r="EE64" s="42">
        <v>0</v>
      </c>
      <c r="EF64" s="44"/>
      <c r="EG64" s="43"/>
      <c r="EK64" s="42">
        <v>0</v>
      </c>
      <c r="EL64" s="44"/>
      <c r="EM64" s="43"/>
      <c r="EQ64" s="42">
        <v>0</v>
      </c>
      <c r="ER64" s="44"/>
      <c r="EY64" s="42">
        <v>0</v>
      </c>
      <c r="EZ64" s="44"/>
      <c r="FE64" s="42">
        <v>0</v>
      </c>
      <c r="FF64" s="44"/>
      <c r="FG64" s="43"/>
      <c r="FK64" s="42">
        <v>0</v>
      </c>
      <c r="FL64" s="44"/>
      <c r="FM64" s="43"/>
      <c r="FO64" s="42">
        <v>0</v>
      </c>
      <c r="FP64" s="44"/>
      <c r="FU64" s="42">
        <v>0</v>
      </c>
      <c r="FV64" s="44"/>
      <c r="FW64" s="43"/>
      <c r="GC64" s="42">
        <v>0</v>
      </c>
      <c r="GD64" s="44"/>
      <c r="GI64" s="42">
        <v>0</v>
      </c>
      <c r="GJ64" s="44"/>
      <c r="GK64" s="43"/>
      <c r="GO64" s="42">
        <v>0</v>
      </c>
      <c r="GP64" s="47"/>
      <c r="GU64" s="42">
        <v>0</v>
      </c>
      <c r="GV64" s="44"/>
      <c r="GY64" s="42">
        <v>0</v>
      </c>
      <c r="GZ64" s="47"/>
      <c r="HA64" s="43"/>
      <c r="HC64" s="42">
        <v>0</v>
      </c>
      <c r="HD64" s="44"/>
      <c r="HE64" s="43"/>
      <c r="HI64" s="42">
        <v>0</v>
      </c>
      <c r="HJ64" s="47"/>
      <c r="HK64" s="43"/>
      <c r="HO64" s="42">
        <v>0</v>
      </c>
      <c r="HP64" s="44"/>
      <c r="HV64" s="42">
        <v>0</v>
      </c>
      <c r="HW64" s="44"/>
      <c r="HX64" s="45"/>
      <c r="HZ64">
        <v>96</v>
      </c>
      <c r="IA64">
        <v>98</v>
      </c>
      <c r="IB64" s="42">
        <v>-2</v>
      </c>
      <c r="IC64" s="44"/>
      <c r="IF64">
        <v>42</v>
      </c>
      <c r="IG64">
        <v>40</v>
      </c>
      <c r="IH64" s="42">
        <v>2</v>
      </c>
      <c r="II64" s="47"/>
      <c r="IN64" s="42">
        <v>0</v>
      </c>
      <c r="IO64" s="47"/>
      <c r="IP64">
        <v>102</v>
      </c>
      <c r="IQ64">
        <v>100</v>
      </c>
      <c r="IR64">
        <v>102</v>
      </c>
      <c r="IS64">
        <v>100</v>
      </c>
      <c r="IT64" s="42">
        <v>4</v>
      </c>
      <c r="IU64" s="47"/>
      <c r="IZ64" s="42">
        <v>0</v>
      </c>
      <c r="JA64" s="44"/>
      <c r="JB64">
        <v>18</v>
      </c>
      <c r="JC64" s="40">
        <v>20</v>
      </c>
      <c r="JD64" s="42">
        <v>-2</v>
      </c>
      <c r="JE64" s="44"/>
      <c r="JF64">
        <v>78</v>
      </c>
      <c r="JG64" s="40">
        <v>80</v>
      </c>
      <c r="JJ64" s="42">
        <v>-2</v>
      </c>
      <c r="JK64" s="44"/>
      <c r="JL64" s="45"/>
      <c r="JO64" s="44"/>
      <c r="JU64" s="44"/>
      <c r="KA64" s="47"/>
      <c r="KG64" s="44"/>
      <c r="KM64" s="47"/>
      <c r="KN64" s="46"/>
      <c r="KU64" s="47"/>
      <c r="LA64" s="47"/>
      <c r="LG64" s="47"/>
      <c r="LH64" s="45"/>
      <c r="LK64" s="47"/>
      <c r="LL64" s="45"/>
      <c r="LQ64" s="47"/>
      <c r="LR64" s="45"/>
      <c r="LW64" s="47"/>
      <c r="LX64" s="45"/>
      <c r="MA64" s="47"/>
      <c r="MB64" s="45"/>
      <c r="MG64" s="47"/>
      <c r="MH64" s="45"/>
      <c r="MK64" s="47"/>
      <c r="ML64" s="45"/>
      <c r="MQ64" s="47"/>
      <c r="MW64" s="47"/>
      <c r="MX64" s="45"/>
      <c r="NC64" s="47"/>
      <c r="ND64" s="45"/>
      <c r="NI64" s="47"/>
      <c r="NJ64" s="45"/>
      <c r="NO64" s="47"/>
      <c r="NP64" s="45"/>
      <c r="NU64" s="47"/>
      <c r="NV64" s="45"/>
      <c r="OA64" s="47"/>
      <c r="OB64" s="45"/>
      <c r="OE64" s="47"/>
      <c r="OF64" s="45"/>
      <c r="OK64" s="47"/>
      <c r="OL64" s="45"/>
      <c r="OQ64" s="47"/>
      <c r="OR64" s="45"/>
      <c r="OW64" s="47"/>
      <c r="PC64" s="47"/>
      <c r="PD64" s="45"/>
      <c r="PI64" s="47"/>
      <c r="PJ64" s="45"/>
      <c r="PO64" s="47"/>
      <c r="PP64" s="43"/>
      <c r="PU64" s="47"/>
      <c r="PV64" s="45"/>
      <c r="QA64" s="47"/>
      <c r="QB64" s="45"/>
      <c r="QE64" s="47"/>
      <c r="QF64" s="45"/>
      <c r="QJ64" s="42"/>
      <c r="QK64" s="47"/>
      <c r="QL64" s="45"/>
      <c r="QP64" s="42"/>
      <c r="QQ64" s="47"/>
      <c r="QR64" s="45"/>
      <c r="QV64" s="42"/>
      <c r="QW64" s="47"/>
      <c r="QX64" s="45"/>
      <c r="RB64" s="42"/>
      <c r="RC64" s="47"/>
      <c r="RD64" s="45"/>
      <c r="RF64" s="42"/>
      <c r="RG64" s="47"/>
    </row>
    <row r="65" spans="1:475" x14ac:dyDescent="0.25">
      <c r="A65" s="40" t="s">
        <v>354</v>
      </c>
      <c r="B65" s="41">
        <v>0.1</v>
      </c>
      <c r="I65">
        <v>70</v>
      </c>
      <c r="J65">
        <v>80</v>
      </c>
      <c r="K65">
        <v>80</v>
      </c>
      <c r="N65" s="43"/>
      <c r="O65" s="48"/>
      <c r="P65" s="48"/>
      <c r="Q65" s="48"/>
      <c r="R65" s="48">
        <f t="shared" si="8"/>
        <v>0</v>
      </c>
      <c r="S65" s="44"/>
      <c r="T65" s="46">
        <v>20</v>
      </c>
      <c r="U65" s="49">
        <v>20</v>
      </c>
      <c r="V65" s="49">
        <v>30</v>
      </c>
      <c r="W65" s="49">
        <v>30</v>
      </c>
      <c r="X65" s="48">
        <f t="shared" si="9"/>
        <v>0</v>
      </c>
      <c r="Y65" s="44"/>
      <c r="Z65" s="43"/>
      <c r="AA65" s="48"/>
      <c r="AB65" s="49">
        <v>100</v>
      </c>
      <c r="AC65" s="49">
        <v>100</v>
      </c>
      <c r="AD65" s="48">
        <f t="shared" si="10"/>
        <v>0</v>
      </c>
      <c r="AE65" s="44"/>
      <c r="AF65" s="43"/>
      <c r="AG65" s="48"/>
      <c r="AH65" s="49">
        <v>20</v>
      </c>
      <c r="AI65" s="49">
        <v>86</v>
      </c>
      <c r="AJ65" s="53">
        <f t="shared" si="11"/>
        <v>-66</v>
      </c>
      <c r="AK65" s="44">
        <f>-1*AJ65*B65</f>
        <v>6.6000000000000005</v>
      </c>
      <c r="AL65" s="48"/>
      <c r="AP65" s="42">
        <v>0</v>
      </c>
      <c r="AQ65" s="44"/>
      <c r="AR65" s="43"/>
      <c r="AV65" s="42">
        <v>0</v>
      </c>
      <c r="AW65" s="44"/>
      <c r="AX65">
        <v>50</v>
      </c>
      <c r="AZ65">
        <v>50</v>
      </c>
      <c r="BA65">
        <v>100</v>
      </c>
      <c r="BB65">
        <v>100</v>
      </c>
      <c r="BC65" s="42">
        <v>0</v>
      </c>
      <c r="BD65" s="44"/>
      <c r="BE65" s="43"/>
      <c r="BI65" s="42">
        <v>0</v>
      </c>
      <c r="BJ65" s="44"/>
      <c r="BK65">
        <v>40</v>
      </c>
      <c r="BL65">
        <v>40</v>
      </c>
      <c r="BO65" s="42">
        <v>0</v>
      </c>
      <c r="BP65" s="44"/>
      <c r="BS65" s="42">
        <v>0</v>
      </c>
      <c r="BT65" s="44"/>
      <c r="BU65" s="46">
        <v>360</v>
      </c>
      <c r="BV65">
        <v>350</v>
      </c>
      <c r="BW65">
        <v>50</v>
      </c>
      <c r="BX65">
        <v>50</v>
      </c>
      <c r="BY65" s="42">
        <v>10</v>
      </c>
      <c r="BZ65" s="44"/>
      <c r="CA65">
        <v>50</v>
      </c>
      <c r="CB65">
        <v>50</v>
      </c>
      <c r="CC65">
        <v>70</v>
      </c>
      <c r="CD65">
        <v>70</v>
      </c>
      <c r="CE65" s="42">
        <v>0</v>
      </c>
      <c r="CF65" s="44"/>
      <c r="CG65" s="46">
        <v>50</v>
      </c>
      <c r="CH65">
        <v>50</v>
      </c>
      <c r="CI65">
        <v>100</v>
      </c>
      <c r="CJ65">
        <v>100</v>
      </c>
      <c r="CK65" s="42">
        <v>0</v>
      </c>
      <c r="CL65" s="44"/>
      <c r="CM65" s="43"/>
      <c r="CQ65" s="42">
        <v>0</v>
      </c>
      <c r="CR65" s="44"/>
      <c r="CS65">
        <v>40</v>
      </c>
      <c r="CT65">
        <v>40</v>
      </c>
      <c r="CU65">
        <v>60</v>
      </c>
      <c r="CV65">
        <v>60</v>
      </c>
      <c r="CW65" s="42">
        <v>0</v>
      </c>
      <c r="CX65" s="44"/>
      <c r="CY65" s="43"/>
      <c r="DA65">
        <v>150</v>
      </c>
      <c r="DB65">
        <v>150</v>
      </c>
      <c r="DC65" s="42">
        <v>0</v>
      </c>
      <c r="DD65" s="44"/>
      <c r="DE65" s="43"/>
      <c r="DI65">
        <v>20</v>
      </c>
      <c r="DJ65">
        <v>90</v>
      </c>
      <c r="DK65" s="39">
        <v>-70</v>
      </c>
      <c r="DL65" s="44">
        <v>7</v>
      </c>
      <c r="DM65" s="46">
        <v>50</v>
      </c>
      <c r="DN65">
        <v>50</v>
      </c>
      <c r="DQ65" s="42">
        <v>0</v>
      </c>
      <c r="DR65" s="44"/>
      <c r="DU65">
        <v>160</v>
      </c>
      <c r="DV65">
        <v>160</v>
      </c>
      <c r="DW65">
        <v>100</v>
      </c>
      <c r="DX65">
        <v>100</v>
      </c>
      <c r="DY65" s="42">
        <v>0</v>
      </c>
      <c r="DZ65" s="44"/>
      <c r="EA65" s="43"/>
      <c r="EE65" s="42">
        <v>0</v>
      </c>
      <c r="EF65" s="44"/>
      <c r="EG65" s="43"/>
      <c r="EI65">
        <v>40</v>
      </c>
      <c r="EJ65">
        <v>50</v>
      </c>
      <c r="EK65" s="42">
        <v>-10</v>
      </c>
      <c r="EL65" s="44"/>
      <c r="EM65" s="46">
        <v>120</v>
      </c>
      <c r="EN65">
        <v>120</v>
      </c>
      <c r="EO65">
        <v>130</v>
      </c>
      <c r="EP65">
        <v>130</v>
      </c>
      <c r="EQ65" s="42">
        <v>0</v>
      </c>
      <c r="ER65" s="44"/>
      <c r="EY65" s="42">
        <v>0</v>
      </c>
      <c r="EZ65" s="44"/>
      <c r="FA65">
        <v>50</v>
      </c>
      <c r="FB65">
        <v>50</v>
      </c>
      <c r="FE65" s="42">
        <v>0</v>
      </c>
      <c r="FF65" s="44"/>
      <c r="FG65" s="43"/>
      <c r="FI65">
        <v>230</v>
      </c>
      <c r="FJ65">
        <v>230</v>
      </c>
      <c r="FK65" s="42">
        <v>0</v>
      </c>
      <c r="FL65" s="44"/>
      <c r="FM65" s="46">
        <v>80</v>
      </c>
      <c r="FN65">
        <v>79</v>
      </c>
      <c r="FO65" s="42">
        <v>1</v>
      </c>
      <c r="FP65" s="44"/>
      <c r="FS65">
        <v>20</v>
      </c>
      <c r="FT65">
        <v>20</v>
      </c>
      <c r="FU65" s="42">
        <v>0</v>
      </c>
      <c r="FV65" s="44"/>
      <c r="FW65" s="46">
        <v>100</v>
      </c>
      <c r="FX65">
        <v>100</v>
      </c>
      <c r="GA65">
        <v>100</v>
      </c>
      <c r="GB65">
        <v>100</v>
      </c>
      <c r="GC65" s="42">
        <v>0</v>
      </c>
      <c r="GD65" s="44"/>
      <c r="GE65">
        <v>100</v>
      </c>
      <c r="GF65">
        <v>100</v>
      </c>
      <c r="GG65">
        <v>100</v>
      </c>
      <c r="GH65">
        <v>100</v>
      </c>
      <c r="GI65" s="42">
        <v>0</v>
      </c>
      <c r="GJ65" s="44"/>
      <c r="GK65" s="43"/>
      <c r="GO65" s="42">
        <v>0</v>
      </c>
      <c r="GP65" s="47"/>
      <c r="GQ65">
        <v>50</v>
      </c>
      <c r="GR65">
        <v>50</v>
      </c>
      <c r="GS65">
        <v>50</v>
      </c>
      <c r="GT65">
        <v>50</v>
      </c>
      <c r="GU65" s="42">
        <v>0</v>
      </c>
      <c r="GV65" s="44"/>
      <c r="GY65" s="42">
        <v>0</v>
      </c>
      <c r="GZ65" s="47"/>
      <c r="HA65" s="46">
        <v>140</v>
      </c>
      <c r="HB65">
        <v>140</v>
      </c>
      <c r="HC65" s="42">
        <v>0</v>
      </c>
      <c r="HD65" s="44"/>
      <c r="HE65" s="43"/>
      <c r="HG65">
        <v>100</v>
      </c>
      <c r="HH65">
        <v>100</v>
      </c>
      <c r="HI65" s="42">
        <v>0</v>
      </c>
      <c r="HJ65" s="47"/>
      <c r="HK65" s="46">
        <v>100</v>
      </c>
      <c r="HL65">
        <v>100</v>
      </c>
      <c r="HM65">
        <v>100</v>
      </c>
      <c r="HN65">
        <v>100</v>
      </c>
      <c r="HO65" s="42">
        <v>0</v>
      </c>
      <c r="HP65" s="44"/>
      <c r="HT65">
        <v>160</v>
      </c>
      <c r="HU65">
        <v>160</v>
      </c>
      <c r="HV65" s="42">
        <v>0</v>
      </c>
      <c r="HW65" s="44"/>
      <c r="HX65" s="45"/>
      <c r="HZ65">
        <v>60</v>
      </c>
      <c r="IA65">
        <v>60</v>
      </c>
      <c r="IB65" s="42">
        <v>0</v>
      </c>
      <c r="IC65" s="44"/>
      <c r="IH65" s="42">
        <v>0</v>
      </c>
      <c r="II65" s="47"/>
      <c r="IL65">
        <v>50</v>
      </c>
      <c r="IM65">
        <v>60</v>
      </c>
      <c r="IN65" s="39">
        <v>-10</v>
      </c>
      <c r="IO65" s="47">
        <v>1</v>
      </c>
      <c r="IT65" s="42">
        <v>0</v>
      </c>
      <c r="IU65" s="47"/>
      <c r="IV65">
        <v>240</v>
      </c>
      <c r="IW65">
        <v>240</v>
      </c>
      <c r="IX65">
        <v>210</v>
      </c>
      <c r="IY65">
        <v>210</v>
      </c>
      <c r="IZ65" s="42">
        <v>0</v>
      </c>
      <c r="JA65" s="44"/>
      <c r="JB65">
        <v>110</v>
      </c>
      <c r="JC65">
        <v>117</v>
      </c>
      <c r="JD65" s="42">
        <v>-7</v>
      </c>
      <c r="JE65" s="44"/>
      <c r="JF65">
        <v>120</v>
      </c>
      <c r="JG65">
        <v>120</v>
      </c>
      <c r="JH65">
        <v>100</v>
      </c>
      <c r="JI65">
        <v>98</v>
      </c>
      <c r="JJ65" s="42">
        <v>2</v>
      </c>
      <c r="JK65" s="44"/>
      <c r="JL65" s="46">
        <v>250</v>
      </c>
      <c r="JM65" s="40">
        <v>250</v>
      </c>
      <c r="JN65" s="42">
        <v>0</v>
      </c>
      <c r="JO65" s="44"/>
      <c r="JS65">
        <v>190</v>
      </c>
      <c r="JT65" s="39">
        <v>-190</v>
      </c>
      <c r="JU65" s="44">
        <v>19</v>
      </c>
      <c r="JV65">
        <v>10</v>
      </c>
      <c r="JW65">
        <v>130</v>
      </c>
      <c r="JZ65" s="39">
        <v>-120</v>
      </c>
      <c r="KA65" s="47">
        <v>12</v>
      </c>
      <c r="KF65" s="42">
        <v>0</v>
      </c>
      <c r="KG65" s="44"/>
      <c r="KH65">
        <v>100</v>
      </c>
      <c r="KI65">
        <v>100</v>
      </c>
      <c r="KJ65">
        <v>270</v>
      </c>
      <c r="KK65">
        <v>270</v>
      </c>
      <c r="KL65" s="42">
        <v>0</v>
      </c>
      <c r="KM65" s="47"/>
      <c r="KN65" s="46">
        <v>130</v>
      </c>
      <c r="KO65">
        <v>130</v>
      </c>
      <c r="KP65">
        <v>170</v>
      </c>
      <c r="KQ65">
        <v>170</v>
      </c>
      <c r="KR65">
        <v>220</v>
      </c>
      <c r="KS65">
        <v>100</v>
      </c>
      <c r="KT65" s="42">
        <v>120</v>
      </c>
      <c r="KU65" s="47"/>
      <c r="KV65" s="40">
        <v>50</v>
      </c>
      <c r="KW65" s="40">
        <v>50</v>
      </c>
      <c r="KX65" s="40">
        <v>0</v>
      </c>
      <c r="KY65" s="40">
        <v>0</v>
      </c>
      <c r="KZ65" s="42">
        <v>0</v>
      </c>
      <c r="LA65" s="47"/>
      <c r="LB65" s="40">
        <v>40</v>
      </c>
      <c r="LC65" s="40">
        <v>40</v>
      </c>
      <c r="LD65" s="40">
        <v>60</v>
      </c>
      <c r="LE65" s="40">
        <v>60</v>
      </c>
      <c r="LF65" s="42">
        <v>0</v>
      </c>
      <c r="LG65" s="47"/>
      <c r="LH65" s="45">
        <v>400</v>
      </c>
      <c r="LI65" s="40">
        <v>400</v>
      </c>
      <c r="LJ65" s="42">
        <v>0</v>
      </c>
      <c r="LK65" s="47"/>
      <c r="LL65" s="45">
        <v>120</v>
      </c>
      <c r="LM65" s="40">
        <v>120</v>
      </c>
      <c r="LN65" s="40">
        <v>120</v>
      </c>
      <c r="LO65" s="40">
        <v>120</v>
      </c>
      <c r="LP65" s="42">
        <v>0</v>
      </c>
      <c r="LQ65" s="47"/>
      <c r="LR65" s="45">
        <v>0</v>
      </c>
      <c r="LS65" s="40">
        <v>0</v>
      </c>
      <c r="LT65" s="40">
        <v>0</v>
      </c>
      <c r="LU65" s="40">
        <v>0</v>
      </c>
      <c r="LV65" s="42">
        <v>0</v>
      </c>
      <c r="LW65" s="47"/>
      <c r="LX65" s="45">
        <v>330</v>
      </c>
      <c r="LY65" s="40">
        <v>330</v>
      </c>
      <c r="LZ65" s="42">
        <v>0</v>
      </c>
      <c r="MA65" s="47"/>
      <c r="MB65" s="45">
        <v>50</v>
      </c>
      <c r="MC65" s="40">
        <v>50</v>
      </c>
      <c r="MD65" s="40">
        <v>520</v>
      </c>
      <c r="ME65" s="40">
        <v>520</v>
      </c>
      <c r="MF65" s="42">
        <v>0</v>
      </c>
      <c r="MG65" s="47"/>
      <c r="MH65" s="45">
        <v>200</v>
      </c>
      <c r="MI65" s="40">
        <v>200</v>
      </c>
      <c r="MJ65" s="42">
        <v>0</v>
      </c>
      <c r="MK65" s="47"/>
      <c r="ML65" s="45">
        <v>50</v>
      </c>
      <c r="MM65" s="40">
        <v>50</v>
      </c>
      <c r="MN65" s="40">
        <v>260</v>
      </c>
      <c r="MO65" s="40">
        <v>260</v>
      </c>
      <c r="MP65" s="42">
        <v>0</v>
      </c>
      <c r="MQ65" s="47"/>
      <c r="MR65" s="40">
        <v>0</v>
      </c>
      <c r="MS65" s="40">
        <v>0</v>
      </c>
      <c r="MT65" s="40">
        <v>400</v>
      </c>
      <c r="MU65" s="40">
        <v>400</v>
      </c>
      <c r="MV65" s="42">
        <v>0</v>
      </c>
      <c r="MW65" s="47"/>
      <c r="MX65" s="45">
        <v>0</v>
      </c>
      <c r="MY65" s="40">
        <v>0</v>
      </c>
      <c r="MZ65" s="40">
        <v>0</v>
      </c>
      <c r="NA65" s="40">
        <v>0</v>
      </c>
      <c r="NB65" s="42">
        <v>0</v>
      </c>
      <c r="NC65" s="47"/>
      <c r="ND65" s="45">
        <v>0</v>
      </c>
      <c r="NE65" s="30">
        <v>80</v>
      </c>
      <c r="NF65" s="40">
        <v>230</v>
      </c>
      <c r="NG65" s="40">
        <v>235</v>
      </c>
      <c r="NH65" s="39">
        <v>-85</v>
      </c>
      <c r="NI65" s="47">
        <v>8.5</v>
      </c>
      <c r="NJ65" s="45">
        <v>200</v>
      </c>
      <c r="NK65" s="40">
        <v>200</v>
      </c>
      <c r="NL65" s="40">
        <v>240</v>
      </c>
      <c r="NM65" s="40">
        <v>242</v>
      </c>
      <c r="NN65" s="42">
        <v>-2</v>
      </c>
      <c r="NO65" s="47"/>
      <c r="NP65" s="45">
        <v>90</v>
      </c>
      <c r="NQ65" s="40">
        <v>50</v>
      </c>
      <c r="NR65" s="40">
        <v>150</v>
      </c>
      <c r="NS65" s="40">
        <v>150</v>
      </c>
      <c r="NT65" s="42">
        <v>40</v>
      </c>
      <c r="NU65" s="47"/>
      <c r="NV65" s="45">
        <v>0</v>
      </c>
      <c r="NW65" s="40">
        <v>0</v>
      </c>
      <c r="NX65" s="40">
        <v>140</v>
      </c>
      <c r="NY65" s="40">
        <v>140</v>
      </c>
      <c r="NZ65" s="42">
        <v>0</v>
      </c>
      <c r="OA65" s="47"/>
      <c r="OB65" s="45">
        <v>50</v>
      </c>
      <c r="OC65" s="40">
        <v>50</v>
      </c>
      <c r="OD65" s="42">
        <v>0</v>
      </c>
      <c r="OE65" s="47"/>
      <c r="OF65" s="45">
        <v>0</v>
      </c>
      <c r="OG65" s="40">
        <v>0</v>
      </c>
      <c r="OH65" s="40">
        <v>200</v>
      </c>
      <c r="OI65" s="40">
        <v>200</v>
      </c>
      <c r="OJ65" s="42">
        <v>0</v>
      </c>
      <c r="OK65" s="47"/>
      <c r="OL65" s="45">
        <v>360</v>
      </c>
      <c r="OM65" s="40">
        <v>360</v>
      </c>
      <c r="ON65" s="40">
        <v>240</v>
      </c>
      <c r="OO65" s="40">
        <v>240</v>
      </c>
      <c r="OP65" s="42">
        <v>0</v>
      </c>
      <c r="OQ65" s="47"/>
      <c r="OR65" s="45">
        <v>0</v>
      </c>
      <c r="OS65" s="40">
        <v>0</v>
      </c>
      <c r="OT65" s="40">
        <v>0</v>
      </c>
      <c r="OU65" s="40">
        <v>0</v>
      </c>
      <c r="OV65" s="42">
        <v>0</v>
      </c>
      <c r="OW65" s="47"/>
      <c r="OX65" s="40">
        <v>90</v>
      </c>
      <c r="OY65" s="40">
        <v>90</v>
      </c>
      <c r="OZ65" s="40">
        <v>90</v>
      </c>
      <c r="PA65" s="40">
        <v>90</v>
      </c>
      <c r="PB65" s="42">
        <v>0</v>
      </c>
      <c r="PC65" s="47"/>
      <c r="PD65" s="45">
        <v>250</v>
      </c>
      <c r="PE65" s="40">
        <v>250</v>
      </c>
      <c r="PF65" s="40">
        <v>320</v>
      </c>
      <c r="PG65" s="40">
        <v>323</v>
      </c>
      <c r="PH65" s="42">
        <v>-3</v>
      </c>
      <c r="PI65" s="47"/>
      <c r="PJ65" s="45">
        <v>0</v>
      </c>
      <c r="PK65" s="40">
        <v>0</v>
      </c>
      <c r="PL65" s="40">
        <v>100</v>
      </c>
      <c r="PM65" s="40">
        <v>100</v>
      </c>
      <c r="PN65" s="42">
        <v>0</v>
      </c>
      <c r="PO65" s="47"/>
      <c r="PP65" s="43">
        <v>100</v>
      </c>
      <c r="PQ65" s="40">
        <v>100</v>
      </c>
      <c r="PR65" s="40">
        <v>210</v>
      </c>
      <c r="PS65" s="40">
        <v>214</v>
      </c>
      <c r="PT65" s="42">
        <v>-4</v>
      </c>
      <c r="PU65" s="47"/>
      <c r="PV65" s="45">
        <v>0</v>
      </c>
      <c r="PW65" s="40">
        <v>0</v>
      </c>
      <c r="PX65" s="40">
        <v>80</v>
      </c>
      <c r="PY65" s="40">
        <v>80</v>
      </c>
      <c r="PZ65" s="42">
        <v>0</v>
      </c>
      <c r="QA65" s="47"/>
      <c r="QB65" s="45">
        <v>180</v>
      </c>
      <c r="QC65" s="40">
        <v>180</v>
      </c>
      <c r="QD65" s="42">
        <v>0</v>
      </c>
      <c r="QE65" s="47"/>
      <c r="QF65" s="45">
        <v>0</v>
      </c>
      <c r="QG65" s="40">
        <v>0</v>
      </c>
      <c r="QH65" s="40">
        <v>0</v>
      </c>
      <c r="QI65" s="40">
        <v>0</v>
      </c>
      <c r="QJ65" s="42">
        <v>0</v>
      </c>
      <c r="QK65" s="47"/>
      <c r="QL65" s="45">
        <v>0</v>
      </c>
      <c r="QM65" s="40">
        <v>0</v>
      </c>
      <c r="QN65" s="40">
        <v>0</v>
      </c>
      <c r="QO65" s="40">
        <v>0</v>
      </c>
      <c r="QP65" s="42">
        <v>0</v>
      </c>
      <c r="QQ65" s="47"/>
      <c r="QR65" s="45">
        <v>0</v>
      </c>
      <c r="QS65" s="40">
        <v>0</v>
      </c>
      <c r="QT65" s="40">
        <v>60</v>
      </c>
      <c r="QU65" s="40">
        <v>0</v>
      </c>
      <c r="QV65" s="42">
        <v>60</v>
      </c>
      <c r="QW65" s="47"/>
      <c r="QX65" s="45">
        <v>0</v>
      </c>
      <c r="QY65" s="40">
        <v>0</v>
      </c>
      <c r="QZ65" s="40">
        <v>0</v>
      </c>
      <c r="RA65" s="40">
        <v>0</v>
      </c>
      <c r="RB65" s="42">
        <v>0</v>
      </c>
      <c r="RC65" s="47"/>
      <c r="RD65" s="45">
        <v>0</v>
      </c>
      <c r="RE65" s="40">
        <v>0</v>
      </c>
      <c r="RF65" s="42">
        <v>0</v>
      </c>
      <c r="RG65" s="47"/>
    </row>
    <row r="66" spans="1:475" x14ac:dyDescent="0.25">
      <c r="A66" s="40" t="s">
        <v>355</v>
      </c>
      <c r="B66" s="41">
        <v>0.1</v>
      </c>
      <c r="E66">
        <v>50</v>
      </c>
      <c r="I66">
        <v>180</v>
      </c>
      <c r="J66">
        <v>182</v>
      </c>
      <c r="K66">
        <v>207</v>
      </c>
      <c r="N66" s="43"/>
      <c r="O66" s="48"/>
      <c r="P66" s="48"/>
      <c r="Q66" s="48"/>
      <c r="R66" s="48">
        <f t="shared" si="8"/>
        <v>0</v>
      </c>
      <c r="S66" s="44"/>
      <c r="T66" s="43"/>
      <c r="U66" s="48"/>
      <c r="V66" s="48"/>
      <c r="W66" s="48"/>
      <c r="X66" s="48">
        <f t="shared" si="9"/>
        <v>0</v>
      </c>
      <c r="Y66" s="44"/>
      <c r="Z66" s="46">
        <v>196</v>
      </c>
      <c r="AA66" s="49">
        <v>200</v>
      </c>
      <c r="AB66" s="49">
        <v>252</v>
      </c>
      <c r="AC66" s="49">
        <v>250</v>
      </c>
      <c r="AD66" s="48">
        <f t="shared" si="10"/>
        <v>-2</v>
      </c>
      <c r="AE66" s="44"/>
      <c r="AF66" s="43"/>
      <c r="AG66" s="48"/>
      <c r="AH66" s="48"/>
      <c r="AI66" s="48"/>
      <c r="AJ66" s="48">
        <f t="shared" si="11"/>
        <v>0</v>
      </c>
      <c r="AK66" s="44"/>
      <c r="AL66" s="49">
        <v>14</v>
      </c>
      <c r="AM66">
        <v>70</v>
      </c>
      <c r="AN66">
        <v>84</v>
      </c>
      <c r="AO66">
        <v>84</v>
      </c>
      <c r="AP66" s="39">
        <v>-56</v>
      </c>
      <c r="AQ66" s="44">
        <v>5.6000000000000014</v>
      </c>
      <c r="AR66" s="46">
        <v>112</v>
      </c>
      <c r="AS66">
        <v>120</v>
      </c>
      <c r="AT66">
        <v>182</v>
      </c>
      <c r="AU66">
        <v>180</v>
      </c>
      <c r="AV66" s="42">
        <v>-6</v>
      </c>
      <c r="AW66" s="44"/>
      <c r="BC66" s="42">
        <v>0</v>
      </c>
      <c r="BD66" s="44"/>
      <c r="BE66" s="43"/>
      <c r="BI66" s="42">
        <v>0</v>
      </c>
      <c r="BJ66" s="44"/>
      <c r="BK66">
        <v>182</v>
      </c>
      <c r="BL66">
        <v>250</v>
      </c>
      <c r="BM66">
        <v>252</v>
      </c>
      <c r="BN66">
        <v>250</v>
      </c>
      <c r="BO66" s="39">
        <v>-66</v>
      </c>
      <c r="BP66" s="44">
        <v>6.6000000000000014</v>
      </c>
      <c r="BS66" s="42">
        <v>0</v>
      </c>
      <c r="BT66" s="44"/>
      <c r="BU66" s="43"/>
      <c r="BW66">
        <v>98</v>
      </c>
      <c r="BX66">
        <v>109</v>
      </c>
      <c r="BY66" s="42">
        <v>-11</v>
      </c>
      <c r="BZ66" s="44"/>
      <c r="CA66">
        <v>98</v>
      </c>
      <c r="CB66">
        <v>100</v>
      </c>
      <c r="CC66">
        <v>252</v>
      </c>
      <c r="CD66">
        <v>250</v>
      </c>
      <c r="CE66" s="42">
        <v>0</v>
      </c>
      <c r="CF66" s="44"/>
      <c r="CG66" s="43"/>
      <c r="CI66">
        <v>98</v>
      </c>
      <c r="CJ66">
        <v>100</v>
      </c>
      <c r="CK66" s="42">
        <v>-2</v>
      </c>
      <c r="CL66" s="44"/>
      <c r="CM66" s="43"/>
      <c r="CO66">
        <v>196</v>
      </c>
      <c r="CP66">
        <v>200</v>
      </c>
      <c r="CQ66" s="42">
        <v>-4</v>
      </c>
      <c r="CR66" s="44"/>
      <c r="CT66">
        <v>100</v>
      </c>
      <c r="CU66">
        <v>140</v>
      </c>
      <c r="CV66">
        <v>150</v>
      </c>
      <c r="CW66" s="39">
        <v>-110</v>
      </c>
      <c r="CX66" s="44">
        <v>11</v>
      </c>
      <c r="CY66" s="46">
        <v>56</v>
      </c>
      <c r="CZ66">
        <v>54</v>
      </c>
      <c r="DA66">
        <v>70</v>
      </c>
      <c r="DB66">
        <v>70</v>
      </c>
      <c r="DC66" s="42">
        <v>2</v>
      </c>
      <c r="DD66" s="44"/>
      <c r="DE66" s="43"/>
      <c r="DI66">
        <v>56</v>
      </c>
      <c r="DJ66">
        <v>61</v>
      </c>
      <c r="DK66" s="42">
        <v>-5</v>
      </c>
      <c r="DL66" s="44"/>
      <c r="DM66" s="46">
        <v>70</v>
      </c>
      <c r="DN66">
        <v>70</v>
      </c>
      <c r="DO66">
        <v>182</v>
      </c>
      <c r="DP66">
        <v>180</v>
      </c>
      <c r="DQ66" s="42">
        <v>2</v>
      </c>
      <c r="DR66" s="44"/>
      <c r="DS66">
        <v>98</v>
      </c>
      <c r="DT66">
        <v>100</v>
      </c>
      <c r="DU66">
        <v>196</v>
      </c>
      <c r="DV66">
        <v>200</v>
      </c>
      <c r="DW66">
        <v>98</v>
      </c>
      <c r="DX66">
        <v>100</v>
      </c>
      <c r="DY66" s="42">
        <v>-8</v>
      </c>
      <c r="DZ66" s="44"/>
      <c r="EA66" s="43"/>
      <c r="EE66" s="42">
        <v>0</v>
      </c>
      <c r="EF66" s="44"/>
      <c r="EG66" s="43"/>
      <c r="EI66">
        <v>140</v>
      </c>
      <c r="EJ66">
        <v>150</v>
      </c>
      <c r="EK66" s="42">
        <v>-10</v>
      </c>
      <c r="EL66" s="44"/>
      <c r="EM66" s="46">
        <v>70</v>
      </c>
      <c r="EN66">
        <v>80</v>
      </c>
      <c r="EO66">
        <v>140</v>
      </c>
      <c r="EP66">
        <v>140</v>
      </c>
      <c r="EQ66" s="42">
        <v>-10</v>
      </c>
      <c r="ER66" s="44"/>
      <c r="ES66">
        <v>98</v>
      </c>
      <c r="ET66">
        <v>100</v>
      </c>
      <c r="EU66">
        <v>98</v>
      </c>
      <c r="EV66">
        <v>100</v>
      </c>
      <c r="EW66">
        <v>126</v>
      </c>
      <c r="EX66">
        <v>130</v>
      </c>
      <c r="EY66" s="42">
        <v>-8</v>
      </c>
      <c r="EZ66" s="44"/>
      <c r="FA66">
        <v>28</v>
      </c>
      <c r="FB66">
        <v>28</v>
      </c>
      <c r="FC66">
        <v>98</v>
      </c>
      <c r="FD66">
        <v>108</v>
      </c>
      <c r="FE66" s="42">
        <v>-10</v>
      </c>
      <c r="FF66" s="44"/>
      <c r="FG66" s="43"/>
      <c r="FI66">
        <v>98</v>
      </c>
      <c r="FJ66">
        <v>130</v>
      </c>
      <c r="FK66" s="39">
        <v>-32</v>
      </c>
      <c r="FL66" s="44">
        <v>3.2</v>
      </c>
      <c r="FM66" s="46">
        <v>350</v>
      </c>
      <c r="FN66">
        <v>355</v>
      </c>
      <c r="FO66" s="42">
        <v>-5</v>
      </c>
      <c r="FP66" s="44"/>
      <c r="FS66">
        <v>84</v>
      </c>
      <c r="FT66">
        <v>90</v>
      </c>
      <c r="FU66" s="42">
        <v>-6</v>
      </c>
      <c r="FV66" s="44"/>
      <c r="FW66" s="43"/>
      <c r="GC66" s="42">
        <v>0</v>
      </c>
      <c r="GD66" s="44"/>
      <c r="GE66">
        <v>196</v>
      </c>
      <c r="GF66">
        <v>200</v>
      </c>
      <c r="GG66">
        <v>210</v>
      </c>
      <c r="GH66">
        <v>210</v>
      </c>
      <c r="GI66" s="42">
        <v>-4</v>
      </c>
      <c r="GJ66" s="44"/>
      <c r="GK66" s="43"/>
      <c r="GM66">
        <v>98</v>
      </c>
      <c r="GN66">
        <v>100</v>
      </c>
      <c r="GO66" s="42">
        <v>-2</v>
      </c>
      <c r="GP66" s="47"/>
      <c r="GQ66">
        <v>98</v>
      </c>
      <c r="GR66">
        <v>100</v>
      </c>
      <c r="GS66">
        <v>112</v>
      </c>
      <c r="GT66">
        <v>120</v>
      </c>
      <c r="GU66" s="42">
        <v>-10</v>
      </c>
      <c r="GV66" s="44"/>
      <c r="GW66">
        <v>210</v>
      </c>
      <c r="GX66" s="40">
        <v>220</v>
      </c>
      <c r="GY66" s="42">
        <v>-10</v>
      </c>
      <c r="GZ66" s="47"/>
      <c r="HA66" s="46">
        <v>42</v>
      </c>
      <c r="HB66">
        <v>40</v>
      </c>
      <c r="HC66" s="42">
        <v>2</v>
      </c>
      <c r="HD66" s="44"/>
      <c r="HE66" s="43"/>
      <c r="HG66">
        <v>154</v>
      </c>
      <c r="HH66">
        <v>160</v>
      </c>
      <c r="HI66" s="42">
        <v>-6</v>
      </c>
      <c r="HJ66" s="47"/>
      <c r="HK66" s="43"/>
      <c r="HM66">
        <v>98</v>
      </c>
      <c r="HN66">
        <v>100</v>
      </c>
      <c r="HO66" s="42">
        <v>-2</v>
      </c>
      <c r="HP66" s="44"/>
      <c r="HT66">
        <v>154</v>
      </c>
      <c r="HU66">
        <v>160</v>
      </c>
      <c r="HV66" s="42">
        <v>-6</v>
      </c>
      <c r="HW66" s="44"/>
      <c r="HX66" s="46">
        <v>112</v>
      </c>
      <c r="HY66">
        <v>110</v>
      </c>
      <c r="HZ66">
        <v>112</v>
      </c>
      <c r="IA66">
        <v>110</v>
      </c>
      <c r="IB66" s="42">
        <v>4</v>
      </c>
      <c r="IC66" s="44"/>
      <c r="IF66">
        <v>28</v>
      </c>
      <c r="IG66">
        <v>28</v>
      </c>
      <c r="IH66" s="42">
        <v>0</v>
      </c>
      <c r="II66" s="47"/>
      <c r="IN66" s="42">
        <v>0</v>
      </c>
      <c r="IO66" s="47"/>
      <c r="IP66">
        <v>224</v>
      </c>
      <c r="IQ66">
        <v>230</v>
      </c>
      <c r="IR66">
        <v>210</v>
      </c>
      <c r="IS66">
        <v>220</v>
      </c>
      <c r="IT66" s="42">
        <v>-16</v>
      </c>
      <c r="IU66" s="47"/>
      <c r="IZ66" s="42">
        <v>0</v>
      </c>
      <c r="JA66" s="44"/>
      <c r="JD66" s="42">
        <v>0</v>
      </c>
      <c r="JE66" s="44"/>
      <c r="JF66">
        <v>182</v>
      </c>
      <c r="JG66">
        <v>180</v>
      </c>
      <c r="JH66">
        <v>140</v>
      </c>
      <c r="JI66">
        <v>147</v>
      </c>
      <c r="JJ66" s="42">
        <v>-5</v>
      </c>
      <c r="JK66" s="44"/>
      <c r="JL66" s="46">
        <v>28</v>
      </c>
      <c r="JM66" s="40">
        <v>28</v>
      </c>
      <c r="JN66" s="42">
        <v>0</v>
      </c>
      <c r="JO66" s="44"/>
      <c r="JR66">
        <v>238</v>
      </c>
      <c r="JS66">
        <v>240</v>
      </c>
      <c r="JT66" s="42">
        <v>-2</v>
      </c>
      <c r="JU66" s="44"/>
      <c r="JZ66" s="42">
        <v>0</v>
      </c>
      <c r="KA66" s="47"/>
      <c r="KB66">
        <v>98</v>
      </c>
      <c r="KC66">
        <v>100</v>
      </c>
      <c r="KD66">
        <v>70</v>
      </c>
      <c r="KE66">
        <v>80</v>
      </c>
      <c r="KF66" s="42">
        <v>-12</v>
      </c>
      <c r="KG66" s="44"/>
      <c r="KH66" s="41"/>
      <c r="KJ66">
        <v>392</v>
      </c>
      <c r="KK66">
        <v>400</v>
      </c>
      <c r="KL66" s="42">
        <v>-8</v>
      </c>
      <c r="KM66" s="47"/>
      <c r="KN66" s="45"/>
      <c r="KR66">
        <v>14</v>
      </c>
      <c r="KT66" s="42">
        <v>14</v>
      </c>
      <c r="KU66" s="47"/>
      <c r="KV66" s="40">
        <v>98</v>
      </c>
      <c r="KW66" s="40">
        <v>100</v>
      </c>
      <c r="KX66" s="40">
        <v>126</v>
      </c>
      <c r="KY66" s="40">
        <v>130</v>
      </c>
      <c r="KZ66" s="42">
        <v>-6</v>
      </c>
      <c r="LA66" s="47"/>
      <c r="LB66" s="40">
        <v>140</v>
      </c>
      <c r="LC66" s="40">
        <v>150</v>
      </c>
      <c r="LD66" s="40">
        <v>140</v>
      </c>
      <c r="LE66" s="40">
        <v>150</v>
      </c>
      <c r="LF66" s="39">
        <v>-20</v>
      </c>
      <c r="LG66" s="47">
        <v>2</v>
      </c>
      <c r="LH66" s="45">
        <v>0</v>
      </c>
      <c r="LI66" s="40">
        <v>0</v>
      </c>
      <c r="LJ66" s="42">
        <v>0</v>
      </c>
      <c r="LK66" s="47"/>
      <c r="LL66" s="45">
        <v>0</v>
      </c>
      <c r="LM66" s="40">
        <v>0</v>
      </c>
      <c r="LN66" s="40">
        <v>0</v>
      </c>
      <c r="LO66" s="40">
        <v>0</v>
      </c>
      <c r="LP66" s="42">
        <v>0</v>
      </c>
      <c r="LQ66" s="47"/>
      <c r="LR66" s="45">
        <v>98</v>
      </c>
      <c r="LS66" s="40">
        <v>100</v>
      </c>
      <c r="LT66" s="40">
        <v>322</v>
      </c>
      <c r="LU66" s="40">
        <v>320</v>
      </c>
      <c r="LV66" s="42">
        <v>0</v>
      </c>
      <c r="LW66" s="47"/>
      <c r="LX66" s="45">
        <v>70</v>
      </c>
      <c r="LY66" s="40">
        <v>70</v>
      </c>
      <c r="LZ66" s="42">
        <v>0</v>
      </c>
      <c r="MA66" s="47"/>
      <c r="MB66" s="45">
        <v>0</v>
      </c>
      <c r="MC66" s="40">
        <v>0</v>
      </c>
      <c r="MD66" s="40">
        <v>0</v>
      </c>
      <c r="ME66" s="40">
        <v>0</v>
      </c>
      <c r="MF66" s="42">
        <v>0</v>
      </c>
      <c r="MG66" s="47"/>
      <c r="MH66" s="45">
        <v>210</v>
      </c>
      <c r="MI66" s="40">
        <v>215</v>
      </c>
      <c r="MJ66" s="42">
        <v>-5</v>
      </c>
      <c r="MK66" s="47"/>
      <c r="ML66" s="45">
        <v>0</v>
      </c>
      <c r="MM66" s="40">
        <v>0</v>
      </c>
      <c r="MN66" s="40">
        <v>154</v>
      </c>
      <c r="MO66" s="40">
        <v>158</v>
      </c>
      <c r="MP66" s="42">
        <v>-4</v>
      </c>
      <c r="MQ66" s="47"/>
      <c r="MR66" s="40">
        <v>0</v>
      </c>
      <c r="MS66" s="40">
        <v>0</v>
      </c>
      <c r="MT66" s="40">
        <v>140</v>
      </c>
      <c r="MU66" s="40">
        <v>150</v>
      </c>
      <c r="MV66" s="42">
        <v>-10</v>
      </c>
      <c r="MW66" s="47"/>
      <c r="MX66" s="45">
        <v>0</v>
      </c>
      <c r="MY66" s="40">
        <v>0</v>
      </c>
      <c r="MZ66" s="40">
        <v>42</v>
      </c>
      <c r="NA66" s="40">
        <v>40</v>
      </c>
      <c r="NB66" s="42">
        <v>2</v>
      </c>
      <c r="NC66" s="47"/>
      <c r="ND66" s="45">
        <v>0</v>
      </c>
      <c r="NE66" s="30">
        <v>90</v>
      </c>
      <c r="NF66" s="40">
        <v>112</v>
      </c>
      <c r="NG66" s="40">
        <v>110</v>
      </c>
      <c r="NH66" s="39">
        <v>-88</v>
      </c>
      <c r="NI66" s="47">
        <v>8.8000000000000007</v>
      </c>
      <c r="NJ66" s="45">
        <v>0</v>
      </c>
      <c r="NK66" s="40">
        <v>0</v>
      </c>
      <c r="NL66" s="40">
        <v>0</v>
      </c>
      <c r="NM66" s="40">
        <v>0</v>
      </c>
      <c r="NN66" s="42">
        <v>0</v>
      </c>
      <c r="NO66" s="47"/>
      <c r="NP66" s="45">
        <v>0</v>
      </c>
      <c r="NQ66" s="40">
        <v>0</v>
      </c>
      <c r="NR66" s="40">
        <v>0</v>
      </c>
      <c r="NS66" s="40">
        <v>0</v>
      </c>
      <c r="NT66" s="42">
        <v>0</v>
      </c>
      <c r="NU66" s="47"/>
      <c r="NV66" s="45">
        <v>0</v>
      </c>
      <c r="NW66" s="40">
        <v>0</v>
      </c>
      <c r="NX66" s="40">
        <v>42</v>
      </c>
      <c r="NY66" s="40">
        <v>50</v>
      </c>
      <c r="NZ66" s="42">
        <v>-8</v>
      </c>
      <c r="OA66" s="47"/>
      <c r="OB66" s="45">
        <v>448</v>
      </c>
      <c r="OC66" s="40">
        <v>455</v>
      </c>
      <c r="OD66" s="42">
        <v>-7</v>
      </c>
      <c r="OE66" s="47"/>
      <c r="OF66" s="45">
        <v>0</v>
      </c>
      <c r="OG66" s="40">
        <v>0</v>
      </c>
      <c r="OH66" s="40">
        <v>14</v>
      </c>
      <c r="OI66" s="40">
        <v>50</v>
      </c>
      <c r="OJ66" s="39">
        <v>-36</v>
      </c>
      <c r="OK66" s="47">
        <v>3.6</v>
      </c>
      <c r="OL66" s="45">
        <v>0</v>
      </c>
      <c r="OM66" s="40">
        <v>0</v>
      </c>
      <c r="ON66" s="40">
        <v>0</v>
      </c>
      <c r="OO66" s="40">
        <v>0</v>
      </c>
      <c r="OP66" s="42">
        <v>0</v>
      </c>
      <c r="OQ66" s="47"/>
      <c r="OR66" s="45">
        <v>0</v>
      </c>
      <c r="OS66" s="40">
        <v>0</v>
      </c>
      <c r="OT66" s="40">
        <v>210</v>
      </c>
      <c r="OU66" s="40">
        <v>220</v>
      </c>
      <c r="OV66" s="42">
        <v>-10</v>
      </c>
      <c r="OW66" s="47"/>
      <c r="OX66" s="40">
        <v>42</v>
      </c>
      <c r="OY66" s="40">
        <v>50</v>
      </c>
      <c r="OZ66" s="40">
        <v>42</v>
      </c>
      <c r="PA66" s="40">
        <v>40</v>
      </c>
      <c r="PB66" s="42">
        <v>-6</v>
      </c>
      <c r="PC66" s="47"/>
      <c r="PD66" s="45">
        <v>0</v>
      </c>
      <c r="PE66" s="40">
        <v>0</v>
      </c>
      <c r="PF66" s="40">
        <v>98</v>
      </c>
      <c r="PG66" s="40">
        <v>100</v>
      </c>
      <c r="PH66" s="42">
        <v>-2</v>
      </c>
      <c r="PI66" s="47"/>
      <c r="PJ66" s="45">
        <v>0</v>
      </c>
      <c r="PK66" s="40">
        <v>0</v>
      </c>
      <c r="PL66" s="40">
        <v>70</v>
      </c>
      <c r="PM66" s="40">
        <v>80</v>
      </c>
      <c r="PN66" s="42">
        <v>-10</v>
      </c>
      <c r="PO66" s="47"/>
      <c r="PP66" s="43">
        <v>42</v>
      </c>
      <c r="PQ66" s="40">
        <v>50</v>
      </c>
      <c r="PR66" s="40">
        <v>42</v>
      </c>
      <c r="PS66" s="40">
        <v>53</v>
      </c>
      <c r="PT66" s="42">
        <v>-19</v>
      </c>
      <c r="PU66" s="47"/>
      <c r="PV66" s="45">
        <v>0</v>
      </c>
      <c r="PW66" s="30">
        <v>60</v>
      </c>
      <c r="PX66" s="40">
        <v>0</v>
      </c>
      <c r="PY66" s="40">
        <v>0</v>
      </c>
      <c r="PZ66" s="39">
        <v>-60</v>
      </c>
      <c r="QA66" s="47">
        <v>6</v>
      </c>
      <c r="QB66" s="45">
        <v>70</v>
      </c>
      <c r="QC66" s="40">
        <v>70</v>
      </c>
      <c r="QD66" s="42">
        <v>0</v>
      </c>
      <c r="QE66" s="47"/>
      <c r="QF66" s="45">
        <v>42</v>
      </c>
      <c r="QG66" s="40">
        <v>52</v>
      </c>
      <c r="QH66" s="40">
        <v>56</v>
      </c>
      <c r="QI66" s="40">
        <v>60</v>
      </c>
      <c r="QJ66" s="42">
        <v>-14</v>
      </c>
      <c r="QK66" s="47"/>
      <c r="QL66" s="45">
        <v>42</v>
      </c>
      <c r="QM66" s="40">
        <v>50</v>
      </c>
      <c r="QN66" s="40">
        <v>0</v>
      </c>
      <c r="QO66" s="40">
        <v>0</v>
      </c>
      <c r="QP66" s="42">
        <v>-8</v>
      </c>
      <c r="QQ66" s="47"/>
      <c r="QR66" s="45">
        <v>84</v>
      </c>
      <c r="QS66" s="40">
        <v>95</v>
      </c>
      <c r="QT66" s="40">
        <v>0</v>
      </c>
      <c r="QU66" s="40">
        <v>110</v>
      </c>
      <c r="QV66" s="39">
        <v>-121</v>
      </c>
      <c r="QW66" s="47">
        <v>12.1</v>
      </c>
      <c r="QX66" s="45">
        <v>0</v>
      </c>
      <c r="QY66" s="40">
        <v>0</v>
      </c>
      <c r="QZ66" s="40">
        <v>0</v>
      </c>
      <c r="RA66" s="40">
        <v>0</v>
      </c>
      <c r="RB66" s="42">
        <v>0</v>
      </c>
      <c r="RC66" s="47"/>
      <c r="RD66" s="45">
        <v>126</v>
      </c>
      <c r="RE66" s="40">
        <v>137.19999999999999</v>
      </c>
      <c r="RF66" s="42">
        <v>-11.200000000000021</v>
      </c>
      <c r="RG66" s="47"/>
    </row>
    <row r="67" spans="1:475" x14ac:dyDescent="0.25">
      <c r="A67" s="40" t="s">
        <v>356</v>
      </c>
      <c r="B67" s="41">
        <v>0.1</v>
      </c>
      <c r="E67">
        <v>50</v>
      </c>
      <c r="I67">
        <v>210</v>
      </c>
      <c r="J67">
        <v>230</v>
      </c>
      <c r="K67">
        <v>229</v>
      </c>
      <c r="N67" s="43"/>
      <c r="O67" s="48"/>
      <c r="P67" s="48"/>
      <c r="Q67" s="48"/>
      <c r="R67" s="48">
        <f t="shared" si="8"/>
        <v>0</v>
      </c>
      <c r="S67" s="44"/>
      <c r="T67" s="43"/>
      <c r="U67" s="48"/>
      <c r="V67" s="48"/>
      <c r="W67" s="48"/>
      <c r="X67" s="48">
        <f t="shared" si="9"/>
        <v>0</v>
      </c>
      <c r="Y67" s="44"/>
      <c r="Z67" s="46">
        <v>200</v>
      </c>
      <c r="AA67" s="49">
        <v>200</v>
      </c>
      <c r="AB67" s="49">
        <v>250</v>
      </c>
      <c r="AC67" s="49">
        <v>250</v>
      </c>
      <c r="AD67" s="48">
        <f t="shared" si="10"/>
        <v>0</v>
      </c>
      <c r="AE67" s="44"/>
      <c r="AF67" s="43"/>
      <c r="AG67" s="48"/>
      <c r="AH67" s="48"/>
      <c r="AI67" s="48"/>
      <c r="AJ67" s="48">
        <f t="shared" si="11"/>
        <v>0</v>
      </c>
      <c r="AK67" s="44"/>
      <c r="AL67" s="48"/>
      <c r="AN67">
        <v>50</v>
      </c>
      <c r="AO67">
        <v>50</v>
      </c>
      <c r="AP67" s="42">
        <v>0</v>
      </c>
      <c r="AQ67" s="44"/>
      <c r="AR67" s="46">
        <v>120</v>
      </c>
      <c r="AS67">
        <v>120</v>
      </c>
      <c r="AT67">
        <v>180</v>
      </c>
      <c r="AU67">
        <v>180</v>
      </c>
      <c r="AV67" s="42">
        <v>0</v>
      </c>
      <c r="AW67" s="44"/>
      <c r="AX67">
        <v>30</v>
      </c>
      <c r="AZ67">
        <v>30</v>
      </c>
      <c r="BA67">
        <v>70</v>
      </c>
      <c r="BB67">
        <v>70</v>
      </c>
      <c r="BC67" s="42">
        <v>0</v>
      </c>
      <c r="BD67" s="44"/>
      <c r="BE67" s="43"/>
      <c r="BI67" s="42">
        <v>0</v>
      </c>
      <c r="BJ67" s="44"/>
      <c r="BK67">
        <v>250</v>
      </c>
      <c r="BL67">
        <v>250</v>
      </c>
      <c r="BN67">
        <v>250</v>
      </c>
      <c r="BO67" s="39">
        <v>-250</v>
      </c>
      <c r="BP67" s="44">
        <v>25</v>
      </c>
      <c r="BS67" s="42">
        <v>0</v>
      </c>
      <c r="BT67" s="44"/>
      <c r="BU67" s="43"/>
      <c r="BY67" s="42">
        <v>0</v>
      </c>
      <c r="BZ67" s="44"/>
      <c r="CA67">
        <v>160</v>
      </c>
      <c r="CB67">
        <v>150</v>
      </c>
      <c r="CC67">
        <v>350</v>
      </c>
      <c r="CD67">
        <v>350</v>
      </c>
      <c r="CE67" s="42">
        <v>10</v>
      </c>
      <c r="CF67" s="44"/>
      <c r="CG67" s="43"/>
      <c r="CK67" s="42">
        <v>0</v>
      </c>
      <c r="CL67" s="44"/>
      <c r="CM67" s="43"/>
      <c r="CO67">
        <v>200</v>
      </c>
      <c r="CP67">
        <v>200</v>
      </c>
      <c r="CQ67" s="42">
        <v>0</v>
      </c>
      <c r="CR67" s="44"/>
      <c r="CS67">
        <v>100</v>
      </c>
      <c r="CT67">
        <v>100</v>
      </c>
      <c r="CU67">
        <v>150</v>
      </c>
      <c r="CV67">
        <v>150</v>
      </c>
      <c r="CW67" s="42">
        <v>0</v>
      </c>
      <c r="CX67" s="44"/>
      <c r="CY67" s="43"/>
      <c r="DA67">
        <v>50</v>
      </c>
      <c r="DB67">
        <v>50</v>
      </c>
      <c r="DC67" s="42">
        <v>0</v>
      </c>
      <c r="DD67" s="44"/>
      <c r="DE67" s="43"/>
      <c r="DI67">
        <v>100</v>
      </c>
      <c r="DJ67">
        <v>100</v>
      </c>
      <c r="DK67" s="42">
        <v>0</v>
      </c>
      <c r="DL67" s="44"/>
      <c r="DM67" s="46">
        <v>80</v>
      </c>
      <c r="DN67">
        <v>80</v>
      </c>
      <c r="DO67">
        <v>120</v>
      </c>
      <c r="DP67">
        <v>120</v>
      </c>
      <c r="DQ67" s="42">
        <v>0</v>
      </c>
      <c r="DR67" s="44"/>
      <c r="DU67">
        <v>190</v>
      </c>
      <c r="DV67">
        <v>192</v>
      </c>
      <c r="DW67">
        <v>100</v>
      </c>
      <c r="DX67">
        <v>100</v>
      </c>
      <c r="DY67" s="42">
        <v>-2</v>
      </c>
      <c r="DZ67" s="44"/>
      <c r="EA67" s="43"/>
      <c r="EE67" s="42">
        <v>0</v>
      </c>
      <c r="EF67" s="44"/>
      <c r="EG67" s="46">
        <v>100</v>
      </c>
      <c r="EH67">
        <v>100</v>
      </c>
      <c r="EI67">
        <v>200</v>
      </c>
      <c r="EJ67">
        <v>200</v>
      </c>
      <c r="EK67" s="42">
        <v>0</v>
      </c>
      <c r="EL67" s="44"/>
      <c r="EM67" s="46">
        <v>70</v>
      </c>
      <c r="EN67">
        <v>80</v>
      </c>
      <c r="EO67">
        <v>120</v>
      </c>
      <c r="EP67">
        <v>120</v>
      </c>
      <c r="EQ67" s="39">
        <v>-10</v>
      </c>
      <c r="ER67" s="44">
        <v>1</v>
      </c>
      <c r="EY67" s="42">
        <v>0</v>
      </c>
      <c r="EZ67" s="44"/>
      <c r="FC67">
        <v>150</v>
      </c>
      <c r="FD67">
        <v>150</v>
      </c>
      <c r="FE67" s="42">
        <v>0</v>
      </c>
      <c r="FF67" s="44"/>
      <c r="FG67" s="46">
        <v>100</v>
      </c>
      <c r="FH67">
        <v>100</v>
      </c>
      <c r="FI67">
        <v>230</v>
      </c>
      <c r="FJ67">
        <v>230</v>
      </c>
      <c r="FK67" s="42">
        <v>0</v>
      </c>
      <c r="FL67" s="44"/>
      <c r="FM67" s="43"/>
      <c r="FO67" s="42">
        <v>0</v>
      </c>
      <c r="FP67" s="44"/>
      <c r="FU67" s="42">
        <v>0</v>
      </c>
      <c r="FV67" s="44"/>
      <c r="FW67" s="46">
        <v>170</v>
      </c>
      <c r="FX67">
        <v>170</v>
      </c>
      <c r="FY67">
        <v>100</v>
      </c>
      <c r="FZ67">
        <v>100</v>
      </c>
      <c r="GA67">
        <v>130</v>
      </c>
      <c r="GB67">
        <v>130</v>
      </c>
      <c r="GC67" s="42">
        <v>0</v>
      </c>
      <c r="GD67" s="44"/>
      <c r="GI67" s="42">
        <v>0</v>
      </c>
      <c r="GJ67" s="44"/>
      <c r="GK67" s="46">
        <v>100</v>
      </c>
      <c r="GL67">
        <v>100</v>
      </c>
      <c r="GM67">
        <v>100</v>
      </c>
      <c r="GN67">
        <v>100</v>
      </c>
      <c r="GO67" s="42">
        <v>0</v>
      </c>
      <c r="GP67" s="47"/>
      <c r="GQ67">
        <v>100</v>
      </c>
      <c r="GR67">
        <v>100</v>
      </c>
      <c r="GS67">
        <v>100</v>
      </c>
      <c r="GT67">
        <v>100</v>
      </c>
      <c r="GU67" s="42">
        <v>0</v>
      </c>
      <c r="GV67" s="44"/>
      <c r="GW67">
        <v>30</v>
      </c>
      <c r="GX67" s="40">
        <v>30</v>
      </c>
      <c r="GY67" s="42">
        <v>0</v>
      </c>
      <c r="GZ67" s="47"/>
      <c r="HA67" s="46">
        <v>120</v>
      </c>
      <c r="HB67">
        <v>120</v>
      </c>
      <c r="HC67" s="42">
        <v>0</v>
      </c>
      <c r="HD67" s="44"/>
      <c r="HE67" s="43"/>
      <c r="HI67" s="42">
        <v>0</v>
      </c>
      <c r="HJ67" s="47"/>
      <c r="HK67" s="43"/>
      <c r="HM67">
        <v>100</v>
      </c>
      <c r="HN67">
        <v>100</v>
      </c>
      <c r="HO67" s="42">
        <v>0</v>
      </c>
      <c r="HP67" s="44"/>
      <c r="HT67">
        <v>280</v>
      </c>
      <c r="HU67">
        <v>280</v>
      </c>
      <c r="HV67" s="42">
        <v>0</v>
      </c>
      <c r="HW67" s="44"/>
      <c r="HX67" s="45"/>
      <c r="IB67" s="42">
        <v>0</v>
      </c>
      <c r="IC67" s="44"/>
      <c r="IH67" s="42">
        <v>0</v>
      </c>
      <c r="II67" s="47"/>
      <c r="IL67">
        <v>130</v>
      </c>
      <c r="IM67">
        <v>130</v>
      </c>
      <c r="IN67" s="42">
        <v>0</v>
      </c>
      <c r="IO67" s="47"/>
      <c r="IP67">
        <v>180</v>
      </c>
      <c r="IQ67">
        <v>180</v>
      </c>
      <c r="IR67">
        <v>160</v>
      </c>
      <c r="IS67">
        <v>160</v>
      </c>
      <c r="IT67" s="42">
        <v>0</v>
      </c>
      <c r="IU67" s="47"/>
      <c r="IZ67" s="42">
        <v>0</v>
      </c>
      <c r="JA67" s="44"/>
      <c r="JB67">
        <v>80</v>
      </c>
      <c r="JC67">
        <v>85</v>
      </c>
      <c r="JD67" s="42">
        <v>-5</v>
      </c>
      <c r="JE67" s="44"/>
      <c r="JF67">
        <v>180</v>
      </c>
      <c r="JG67">
        <v>180</v>
      </c>
      <c r="JH67">
        <v>140</v>
      </c>
      <c r="JI67">
        <v>144</v>
      </c>
      <c r="JJ67" s="42">
        <v>-4</v>
      </c>
      <c r="JK67" s="44"/>
      <c r="JL67" s="46">
        <v>30</v>
      </c>
      <c r="JM67" s="40">
        <v>30</v>
      </c>
      <c r="JN67" s="42">
        <v>0</v>
      </c>
      <c r="JO67" s="44"/>
      <c r="JR67">
        <v>150</v>
      </c>
      <c r="JS67">
        <v>150</v>
      </c>
      <c r="JT67" s="42">
        <v>0</v>
      </c>
      <c r="JU67" s="44"/>
      <c r="JV67">
        <v>100</v>
      </c>
      <c r="JW67">
        <v>100</v>
      </c>
      <c r="JX67">
        <v>150</v>
      </c>
      <c r="JY67">
        <v>150</v>
      </c>
      <c r="JZ67" s="42">
        <v>0</v>
      </c>
      <c r="KA67" s="47"/>
      <c r="KF67" s="42">
        <v>0</v>
      </c>
      <c r="KG67" s="44"/>
      <c r="KH67" s="41"/>
      <c r="KJ67">
        <v>310</v>
      </c>
      <c r="KK67">
        <v>310</v>
      </c>
      <c r="KL67" s="42">
        <v>0</v>
      </c>
      <c r="KM67" s="47"/>
      <c r="KN67" s="46">
        <v>60</v>
      </c>
      <c r="KO67">
        <v>60</v>
      </c>
      <c r="KP67">
        <v>80</v>
      </c>
      <c r="KQ67">
        <v>80</v>
      </c>
      <c r="KR67">
        <v>70</v>
      </c>
      <c r="KS67">
        <v>50</v>
      </c>
      <c r="KT67" s="42">
        <v>20</v>
      </c>
      <c r="KU67" s="47"/>
      <c r="KV67" s="40">
        <v>0</v>
      </c>
      <c r="KW67" s="40">
        <v>0</v>
      </c>
      <c r="KX67" s="40">
        <v>0</v>
      </c>
      <c r="KY67" s="40">
        <v>0</v>
      </c>
      <c r="KZ67" s="42">
        <v>0</v>
      </c>
      <c r="LA67" s="47"/>
      <c r="LB67" s="40">
        <v>0</v>
      </c>
      <c r="LC67" s="40">
        <v>0</v>
      </c>
      <c r="LD67" s="40">
        <v>0</v>
      </c>
      <c r="LE67" s="40">
        <v>0</v>
      </c>
      <c r="LF67" s="42">
        <v>0</v>
      </c>
      <c r="LG67" s="47"/>
      <c r="LH67" s="45">
        <v>450</v>
      </c>
      <c r="LI67" s="40">
        <v>457</v>
      </c>
      <c r="LJ67" s="42">
        <v>-7</v>
      </c>
      <c r="LK67" s="47"/>
      <c r="LL67" s="45">
        <v>0</v>
      </c>
      <c r="LM67" s="40">
        <v>0</v>
      </c>
      <c r="LN67" s="40">
        <v>0</v>
      </c>
      <c r="LO67" s="40">
        <v>0</v>
      </c>
      <c r="LP67" s="42">
        <v>0</v>
      </c>
      <c r="LQ67" s="47"/>
      <c r="LR67" s="45">
        <v>60</v>
      </c>
      <c r="LS67" s="40">
        <v>60</v>
      </c>
      <c r="LT67" s="40">
        <v>30</v>
      </c>
      <c r="LU67" s="40">
        <v>30</v>
      </c>
      <c r="LV67" s="42">
        <v>0</v>
      </c>
      <c r="LW67" s="47"/>
      <c r="LX67" s="45">
        <v>320</v>
      </c>
      <c r="LY67" s="40">
        <v>320</v>
      </c>
      <c r="LZ67" s="42">
        <v>0</v>
      </c>
      <c r="MA67" s="47"/>
      <c r="MB67" s="45">
        <v>0</v>
      </c>
      <c r="MC67" s="40">
        <v>0</v>
      </c>
      <c r="MD67" s="40">
        <v>0</v>
      </c>
      <c r="ME67" s="40">
        <v>0</v>
      </c>
      <c r="MF67" s="42">
        <v>0</v>
      </c>
      <c r="MG67" s="47"/>
      <c r="MH67" s="45">
        <v>250</v>
      </c>
      <c r="MI67" s="40">
        <v>256</v>
      </c>
      <c r="MJ67" s="42">
        <v>-6</v>
      </c>
      <c r="MK67" s="47"/>
      <c r="ML67" s="45">
        <v>0</v>
      </c>
      <c r="MM67" s="40">
        <v>0</v>
      </c>
      <c r="MN67" s="40">
        <v>110</v>
      </c>
      <c r="MO67" s="40">
        <v>116</v>
      </c>
      <c r="MP67" s="42">
        <v>-6</v>
      </c>
      <c r="MQ67" s="47"/>
      <c r="MR67" s="40">
        <v>0</v>
      </c>
      <c r="MS67" s="40">
        <v>0</v>
      </c>
      <c r="MT67" s="40">
        <v>110</v>
      </c>
      <c r="MU67" s="40">
        <v>110</v>
      </c>
      <c r="MV67" s="42">
        <v>0</v>
      </c>
      <c r="MW67" s="47"/>
      <c r="MX67" s="45">
        <v>0</v>
      </c>
      <c r="MY67" s="40">
        <v>0</v>
      </c>
      <c r="MZ67" s="40">
        <v>70</v>
      </c>
      <c r="NA67" s="40">
        <v>70</v>
      </c>
      <c r="NB67" s="42">
        <v>0</v>
      </c>
      <c r="NC67" s="47"/>
      <c r="ND67" s="45">
        <v>0</v>
      </c>
      <c r="NE67" s="30">
        <v>120</v>
      </c>
      <c r="NF67" s="40">
        <v>130</v>
      </c>
      <c r="NG67" s="40">
        <v>130</v>
      </c>
      <c r="NH67" s="39">
        <v>-120</v>
      </c>
      <c r="NI67" s="47">
        <v>12</v>
      </c>
      <c r="NJ67" s="45">
        <v>0</v>
      </c>
      <c r="NK67" s="40">
        <v>0</v>
      </c>
      <c r="NL67" s="40">
        <v>0</v>
      </c>
      <c r="NM67" s="40">
        <v>0</v>
      </c>
      <c r="NN67" s="42">
        <v>0</v>
      </c>
      <c r="NO67" s="47"/>
      <c r="NP67" s="45">
        <v>0</v>
      </c>
      <c r="NQ67" s="30">
        <v>100</v>
      </c>
      <c r="NR67" s="40">
        <v>260</v>
      </c>
      <c r="NS67" s="40">
        <v>258</v>
      </c>
      <c r="NT67" s="39">
        <v>-98</v>
      </c>
      <c r="NU67" s="47">
        <v>9.8000000000000007</v>
      </c>
      <c r="NV67" s="45">
        <v>0</v>
      </c>
      <c r="NW67" s="40">
        <v>0</v>
      </c>
      <c r="NX67" s="40">
        <v>20</v>
      </c>
      <c r="NY67" s="40">
        <v>20</v>
      </c>
      <c r="NZ67" s="42">
        <v>0</v>
      </c>
      <c r="OA67" s="47"/>
      <c r="OB67" s="45">
        <v>0</v>
      </c>
      <c r="OC67" s="40">
        <v>50</v>
      </c>
      <c r="OD67" s="39">
        <v>-50</v>
      </c>
      <c r="OE67" s="47">
        <v>5</v>
      </c>
      <c r="OF67" s="45">
        <v>0</v>
      </c>
      <c r="OG67" s="40">
        <v>0</v>
      </c>
      <c r="OH67" s="40">
        <v>200</v>
      </c>
      <c r="OI67" s="40">
        <v>200</v>
      </c>
      <c r="OJ67" s="42">
        <v>0</v>
      </c>
      <c r="OK67" s="47"/>
      <c r="OL67" s="45">
        <v>0</v>
      </c>
      <c r="OM67" s="40">
        <v>0</v>
      </c>
      <c r="ON67" s="40">
        <v>0</v>
      </c>
      <c r="OO67" s="40">
        <v>0</v>
      </c>
      <c r="OP67" s="42">
        <v>0</v>
      </c>
      <c r="OQ67" s="47"/>
      <c r="OR67" s="45">
        <v>0</v>
      </c>
      <c r="OS67" s="40">
        <v>0</v>
      </c>
      <c r="OT67" s="40">
        <v>60</v>
      </c>
      <c r="OU67" s="40">
        <v>100</v>
      </c>
      <c r="OV67" s="39">
        <v>-40</v>
      </c>
      <c r="OW67" s="47">
        <v>4</v>
      </c>
      <c r="OX67" s="40">
        <v>50</v>
      </c>
      <c r="OY67" s="40">
        <v>50</v>
      </c>
      <c r="OZ67" s="40">
        <v>0</v>
      </c>
      <c r="PA67" s="30">
        <v>40</v>
      </c>
      <c r="PB67" s="39">
        <v>-40</v>
      </c>
      <c r="PC67" s="47">
        <v>4</v>
      </c>
      <c r="PD67" s="45">
        <v>0</v>
      </c>
      <c r="PE67" s="40">
        <v>0</v>
      </c>
      <c r="PF67" s="40">
        <v>0</v>
      </c>
      <c r="PG67" s="30">
        <v>100</v>
      </c>
      <c r="PH67" s="39">
        <v>-100</v>
      </c>
      <c r="PI67" s="47">
        <v>10</v>
      </c>
      <c r="PJ67" s="45">
        <v>0</v>
      </c>
      <c r="PK67" s="40">
        <v>0</v>
      </c>
      <c r="PL67" s="40">
        <v>0</v>
      </c>
      <c r="PM67" s="30">
        <v>20</v>
      </c>
      <c r="PN67" s="39">
        <v>-20</v>
      </c>
      <c r="PO67" s="47">
        <v>2</v>
      </c>
      <c r="PP67" s="43">
        <v>0</v>
      </c>
      <c r="PQ67" s="30">
        <v>50</v>
      </c>
      <c r="PR67" s="40">
        <v>10</v>
      </c>
      <c r="PS67" s="40">
        <v>60</v>
      </c>
      <c r="PT67" s="39">
        <v>-100</v>
      </c>
      <c r="PU67" s="47">
        <v>10</v>
      </c>
      <c r="PV67" s="45">
        <v>0</v>
      </c>
      <c r="PW67" s="40">
        <v>0</v>
      </c>
      <c r="PX67" s="40">
        <v>50</v>
      </c>
      <c r="PY67" s="40">
        <v>50</v>
      </c>
      <c r="PZ67" s="42">
        <v>0</v>
      </c>
      <c r="QA67" s="47"/>
      <c r="QB67" s="45">
        <v>50</v>
      </c>
      <c r="QC67" s="40">
        <v>50</v>
      </c>
      <c r="QD67" s="42">
        <v>0</v>
      </c>
      <c r="QE67" s="47"/>
      <c r="QF67" s="45">
        <v>0</v>
      </c>
      <c r="QG67" s="40">
        <v>0</v>
      </c>
      <c r="QH67" s="40">
        <v>0</v>
      </c>
      <c r="QI67" s="40">
        <v>0</v>
      </c>
      <c r="QJ67" s="42">
        <v>0</v>
      </c>
      <c r="QK67" s="47"/>
      <c r="QL67" s="45">
        <v>0</v>
      </c>
      <c r="QM67" s="40">
        <v>0</v>
      </c>
      <c r="QN67" s="40">
        <v>0</v>
      </c>
      <c r="QO67" s="40">
        <v>0</v>
      </c>
      <c r="QP67" s="42">
        <v>0</v>
      </c>
      <c r="QQ67" s="47"/>
      <c r="QR67" s="45">
        <v>0</v>
      </c>
      <c r="QS67" s="40">
        <v>0</v>
      </c>
      <c r="QT67" s="40">
        <v>0</v>
      </c>
      <c r="QU67" s="40">
        <v>0</v>
      </c>
      <c r="QV67" s="42">
        <v>0</v>
      </c>
      <c r="QW67" s="47"/>
      <c r="QX67" s="45">
        <v>0</v>
      </c>
      <c r="QY67" s="40">
        <v>0</v>
      </c>
      <c r="QZ67" s="40">
        <v>0</v>
      </c>
      <c r="RA67" s="40">
        <v>0</v>
      </c>
      <c r="RB67" s="42">
        <v>0</v>
      </c>
      <c r="RC67" s="47"/>
      <c r="RD67" s="45">
        <v>0</v>
      </c>
      <c r="RE67" s="40">
        <v>0</v>
      </c>
      <c r="RF67" s="42">
        <v>0</v>
      </c>
      <c r="RG67" s="47"/>
    </row>
    <row r="68" spans="1:475" x14ac:dyDescent="0.25">
      <c r="A68" s="40" t="s">
        <v>357</v>
      </c>
      <c r="B68" s="41">
        <v>0.1</v>
      </c>
      <c r="E68">
        <v>50</v>
      </c>
      <c r="J68">
        <v>40</v>
      </c>
      <c r="K68">
        <v>50</v>
      </c>
      <c r="N68" s="46">
        <v>40</v>
      </c>
      <c r="O68" s="49">
        <v>40</v>
      </c>
      <c r="P68" s="49">
        <v>40</v>
      </c>
      <c r="Q68" s="49">
        <v>40</v>
      </c>
      <c r="R68" s="48">
        <f t="shared" ref="R68:R131" si="13">N68+P68-O68-Q68</f>
        <v>0</v>
      </c>
      <c r="S68" s="44"/>
      <c r="T68" s="46">
        <v>20</v>
      </c>
      <c r="U68" s="49">
        <v>20</v>
      </c>
      <c r="V68" s="49">
        <v>30</v>
      </c>
      <c r="W68" s="49">
        <v>30</v>
      </c>
      <c r="X68" s="48">
        <f t="shared" ref="X68:X131" si="14">T68+V68-U68-W68</f>
        <v>0</v>
      </c>
      <c r="Y68" s="44"/>
      <c r="Z68" s="43"/>
      <c r="AA68" s="48"/>
      <c r="AB68" s="48"/>
      <c r="AC68" s="48"/>
      <c r="AD68" s="48">
        <f t="shared" ref="AD68:AD131" si="15">Z68+AB68-AA68-AC68</f>
        <v>0</v>
      </c>
      <c r="AE68" s="44"/>
      <c r="AF68" s="43"/>
      <c r="AG68" s="48"/>
      <c r="AH68" s="49">
        <v>170</v>
      </c>
      <c r="AI68" s="49">
        <v>177</v>
      </c>
      <c r="AJ68" s="48">
        <f t="shared" ref="AJ68:AJ131" si="16">AF68+AH68-AG68-AI68</f>
        <v>-7</v>
      </c>
      <c r="AK68" s="44"/>
      <c r="AL68" s="48"/>
      <c r="AP68" s="42">
        <v>0</v>
      </c>
      <c r="AQ68" s="44"/>
      <c r="AR68" s="46">
        <v>80</v>
      </c>
      <c r="AS68">
        <v>80</v>
      </c>
      <c r="AT68">
        <v>100</v>
      </c>
      <c r="AU68">
        <v>100</v>
      </c>
      <c r="AV68" s="42">
        <v>0</v>
      </c>
      <c r="AW68" s="44"/>
      <c r="AZ68">
        <v>30</v>
      </c>
      <c r="BA68">
        <v>40</v>
      </c>
      <c r="BB68">
        <v>40</v>
      </c>
      <c r="BC68" s="39">
        <v>-30</v>
      </c>
      <c r="BD68" s="44">
        <v>3</v>
      </c>
      <c r="BE68" s="43"/>
      <c r="BI68" s="42">
        <v>0</v>
      </c>
      <c r="BJ68" s="44"/>
      <c r="BO68" s="42">
        <v>0</v>
      </c>
      <c r="BP68" s="44"/>
      <c r="BS68" s="42">
        <v>0</v>
      </c>
      <c r="BT68" s="44"/>
      <c r="BU68" s="46">
        <v>300</v>
      </c>
      <c r="BV68">
        <v>300</v>
      </c>
      <c r="BY68" s="42">
        <v>0</v>
      </c>
      <c r="BZ68" s="44"/>
      <c r="CC68">
        <v>20</v>
      </c>
      <c r="CD68" s="42">
        <v>20</v>
      </c>
      <c r="CE68" s="42">
        <v>0</v>
      </c>
      <c r="CF68" s="44"/>
      <c r="CG68" s="43"/>
      <c r="CI68">
        <v>80</v>
      </c>
      <c r="CJ68">
        <v>80</v>
      </c>
      <c r="CK68" s="42">
        <v>0</v>
      </c>
      <c r="CL68" s="44"/>
      <c r="CM68" s="46">
        <v>100</v>
      </c>
      <c r="CN68" s="42">
        <v>100</v>
      </c>
      <c r="CQ68" s="42">
        <v>0</v>
      </c>
      <c r="CR68" s="44"/>
      <c r="CW68" s="42">
        <v>0</v>
      </c>
      <c r="CX68" s="44"/>
      <c r="CY68" s="43"/>
      <c r="DC68" s="42">
        <v>0</v>
      </c>
      <c r="DD68" s="44"/>
      <c r="DE68" s="45"/>
      <c r="DK68" s="42">
        <v>0</v>
      </c>
      <c r="DL68" s="44"/>
      <c r="DM68" s="45"/>
      <c r="DQ68" s="42">
        <v>0</v>
      </c>
      <c r="DR68" s="44"/>
      <c r="DZ68" s="44"/>
      <c r="EA68" s="43"/>
      <c r="EF68" s="44"/>
      <c r="EG68" s="46"/>
      <c r="EL68" s="44"/>
      <c r="EM68" s="46"/>
      <c r="ER68" s="44"/>
      <c r="EZ68" s="44"/>
      <c r="FF68" s="44"/>
      <c r="FG68" s="46"/>
      <c r="FL68" s="44"/>
      <c r="FM68" s="43"/>
      <c r="FP68" s="44"/>
      <c r="FV68" s="44"/>
      <c r="FW68" s="46"/>
      <c r="GD68" s="44"/>
      <c r="GJ68" s="44"/>
      <c r="GK68" s="46"/>
      <c r="GP68" s="47"/>
      <c r="GV68" s="44"/>
      <c r="GZ68" s="47"/>
      <c r="HA68" s="46"/>
      <c r="HD68" s="44"/>
      <c r="HE68" s="43"/>
      <c r="HJ68" s="47"/>
      <c r="HK68" s="43"/>
      <c r="HP68" s="44"/>
      <c r="HW68" s="44"/>
      <c r="HX68" s="45"/>
      <c r="IC68" s="44"/>
      <c r="II68" s="47"/>
      <c r="IO68" s="47"/>
      <c r="IU68" s="47"/>
      <c r="JA68" s="44"/>
      <c r="JE68" s="44"/>
      <c r="JK68" s="44"/>
      <c r="JL68" s="46"/>
      <c r="JO68" s="44"/>
      <c r="JU68" s="44"/>
      <c r="KA68" s="47"/>
      <c r="KG68" s="44"/>
      <c r="KH68" s="41"/>
      <c r="KM68" s="47"/>
      <c r="KN68" s="46"/>
      <c r="KU68" s="47"/>
      <c r="LA68" s="47"/>
      <c r="LG68" s="47"/>
      <c r="LH68" s="45"/>
      <c r="LK68" s="47"/>
      <c r="LL68" s="45"/>
      <c r="LQ68" s="47"/>
      <c r="LR68" s="45"/>
      <c r="LV68" s="42"/>
      <c r="LW68" s="47"/>
      <c r="LX68" s="45"/>
      <c r="LZ68" s="42"/>
      <c r="MA68" s="47"/>
      <c r="MB68" s="45"/>
      <c r="MF68" s="42"/>
      <c r="MG68" s="47"/>
      <c r="MH68" s="45"/>
      <c r="MJ68" s="42"/>
      <c r="MK68" s="47"/>
      <c r="ML68" s="45"/>
      <c r="MP68" s="42"/>
      <c r="MQ68" s="47"/>
      <c r="MV68" s="42"/>
      <c r="MW68" s="47"/>
      <c r="MX68" s="45"/>
      <c r="NB68" s="42"/>
      <c r="NC68" s="47"/>
      <c r="ND68" s="45"/>
      <c r="NH68" s="42"/>
      <c r="NI68" s="47"/>
      <c r="NJ68" s="45"/>
      <c r="NN68" s="42"/>
      <c r="NO68" s="47"/>
      <c r="NP68" s="45"/>
      <c r="NT68" s="42"/>
      <c r="NU68" s="47"/>
      <c r="NV68" s="45"/>
      <c r="NZ68" s="42"/>
      <c r="OA68" s="47"/>
      <c r="OB68" s="45"/>
      <c r="OD68" s="42"/>
      <c r="OE68" s="47"/>
      <c r="OF68" s="45"/>
      <c r="OJ68" s="42"/>
      <c r="OK68" s="47"/>
      <c r="OL68" s="45"/>
      <c r="OP68" s="42"/>
      <c r="OQ68" s="47"/>
      <c r="OR68" s="45"/>
      <c r="OV68" s="42"/>
      <c r="OW68" s="47"/>
      <c r="PB68" s="42"/>
      <c r="PC68" s="47"/>
      <c r="PD68" s="45"/>
      <c r="PH68" s="42"/>
      <c r="PI68" s="47"/>
      <c r="PJ68" s="45"/>
      <c r="PN68" s="42"/>
      <c r="PO68" s="47"/>
      <c r="PP68" s="43"/>
      <c r="PT68" s="42"/>
      <c r="PU68" s="47"/>
      <c r="PV68" s="45"/>
      <c r="PZ68" s="42"/>
      <c r="QA68" s="47"/>
      <c r="QB68" s="45"/>
      <c r="QD68" s="42"/>
      <c r="QE68" s="47"/>
      <c r="QF68" s="45"/>
      <c r="QJ68" s="42"/>
      <c r="QK68" s="47"/>
      <c r="QL68" s="45"/>
      <c r="QP68" s="42"/>
      <c r="QQ68" s="47"/>
      <c r="QR68" s="45"/>
      <c r="QV68" s="42"/>
      <c r="QW68" s="47"/>
      <c r="QX68" s="45"/>
      <c r="RB68" s="42"/>
      <c r="RC68" s="47"/>
      <c r="RD68" s="45"/>
      <c r="RF68" s="42"/>
      <c r="RG68" s="47"/>
    </row>
    <row r="69" spans="1:475" x14ac:dyDescent="0.25">
      <c r="A69" s="40" t="s">
        <v>358</v>
      </c>
      <c r="B69" s="41">
        <v>0.4</v>
      </c>
      <c r="E69">
        <v>200</v>
      </c>
      <c r="F69">
        <v>156</v>
      </c>
      <c r="I69">
        <v>100</v>
      </c>
      <c r="J69">
        <v>48</v>
      </c>
      <c r="K69">
        <v>50</v>
      </c>
      <c r="N69" s="46">
        <v>162</v>
      </c>
      <c r="O69" s="49">
        <v>160</v>
      </c>
      <c r="P69" s="49">
        <v>198</v>
      </c>
      <c r="Q69" s="49">
        <v>196</v>
      </c>
      <c r="R69" s="48">
        <f t="shared" si="13"/>
        <v>4</v>
      </c>
      <c r="S69" s="44"/>
      <c r="T69" s="46">
        <v>150</v>
      </c>
      <c r="U69" s="49">
        <v>150</v>
      </c>
      <c r="V69" s="49">
        <v>150</v>
      </c>
      <c r="W69" s="49">
        <v>150</v>
      </c>
      <c r="X69" s="48">
        <f t="shared" si="14"/>
        <v>0</v>
      </c>
      <c r="Y69" s="44"/>
      <c r="Z69" s="43"/>
      <c r="AA69" s="48"/>
      <c r="AB69" s="48"/>
      <c r="AC69" s="48"/>
      <c r="AD69" s="48">
        <f t="shared" si="15"/>
        <v>0</v>
      </c>
      <c r="AE69" s="44"/>
      <c r="AF69" s="46">
        <v>162</v>
      </c>
      <c r="AG69" s="49">
        <v>160</v>
      </c>
      <c r="AH69" s="49">
        <v>198</v>
      </c>
      <c r="AI69" s="49">
        <v>200</v>
      </c>
      <c r="AJ69" s="48">
        <f t="shared" si="16"/>
        <v>0</v>
      </c>
      <c r="AK69" s="44"/>
      <c r="AL69" s="49">
        <v>198</v>
      </c>
      <c r="AM69">
        <v>200</v>
      </c>
      <c r="AN69">
        <v>198</v>
      </c>
      <c r="AO69">
        <v>200</v>
      </c>
      <c r="AP69" s="42">
        <v>-4</v>
      </c>
      <c r="AQ69" s="44"/>
      <c r="AR69" s="43"/>
      <c r="AV69" s="42">
        <v>0</v>
      </c>
      <c r="AW69" s="44"/>
      <c r="AX69">
        <v>102</v>
      </c>
      <c r="AZ69">
        <v>100</v>
      </c>
      <c r="BA69">
        <v>48</v>
      </c>
      <c r="BB69">
        <v>50</v>
      </c>
      <c r="BC69" s="42">
        <v>0</v>
      </c>
      <c r="BD69" s="44"/>
      <c r="BE69" s="43"/>
      <c r="BI69" s="42">
        <v>0</v>
      </c>
      <c r="BJ69" s="44"/>
      <c r="BK69">
        <v>348</v>
      </c>
      <c r="BL69">
        <v>350</v>
      </c>
      <c r="BM69">
        <v>348</v>
      </c>
      <c r="BN69">
        <v>350</v>
      </c>
      <c r="BO69" s="42">
        <v>-4</v>
      </c>
      <c r="BP69" s="44"/>
      <c r="BS69" s="42">
        <v>0</v>
      </c>
      <c r="BT69" s="44"/>
      <c r="BU69" s="46">
        <v>402</v>
      </c>
      <c r="BV69">
        <v>400</v>
      </c>
      <c r="BY69" s="42">
        <v>2</v>
      </c>
      <c r="BZ69" s="44"/>
      <c r="CA69">
        <v>180</v>
      </c>
      <c r="CB69">
        <v>180</v>
      </c>
      <c r="CC69">
        <v>270</v>
      </c>
      <c r="CD69">
        <v>270</v>
      </c>
      <c r="CE69" s="42">
        <v>0</v>
      </c>
      <c r="CF69" s="44"/>
      <c r="CG69" s="46">
        <v>150</v>
      </c>
      <c r="CH69">
        <v>150</v>
      </c>
      <c r="CI69">
        <v>348</v>
      </c>
      <c r="CJ69">
        <v>350</v>
      </c>
      <c r="CK69" s="42">
        <v>-2</v>
      </c>
      <c r="CL69" s="44"/>
      <c r="CM69" s="43"/>
      <c r="CO69">
        <v>78</v>
      </c>
      <c r="CP69">
        <v>78</v>
      </c>
      <c r="CQ69" s="42">
        <v>0</v>
      </c>
      <c r="CR69" s="44"/>
      <c r="CS69">
        <v>150</v>
      </c>
      <c r="CT69">
        <v>150</v>
      </c>
      <c r="CU69">
        <v>258</v>
      </c>
      <c r="CV69">
        <v>260</v>
      </c>
      <c r="CW69" s="42">
        <v>-2</v>
      </c>
      <c r="CX69" s="44"/>
      <c r="CY69" s="43"/>
      <c r="DA69">
        <v>402</v>
      </c>
      <c r="DB69">
        <v>400</v>
      </c>
      <c r="DC69" s="42">
        <v>2</v>
      </c>
      <c r="DD69" s="44"/>
      <c r="DE69" s="43"/>
      <c r="DG69">
        <v>102</v>
      </c>
      <c r="DH69">
        <v>100</v>
      </c>
      <c r="DI69">
        <v>102</v>
      </c>
      <c r="DJ69">
        <v>100</v>
      </c>
      <c r="DK69" s="42">
        <v>4</v>
      </c>
      <c r="DL69" s="44"/>
      <c r="DM69" s="43"/>
      <c r="DQ69" s="42">
        <v>0</v>
      </c>
      <c r="DR69" s="44"/>
      <c r="DS69">
        <v>190</v>
      </c>
      <c r="DT69">
        <v>200</v>
      </c>
      <c r="DU69">
        <v>336</v>
      </c>
      <c r="DV69">
        <v>339</v>
      </c>
      <c r="DW69">
        <v>198</v>
      </c>
      <c r="DX69">
        <v>200</v>
      </c>
      <c r="DY69" s="42">
        <v>-15</v>
      </c>
      <c r="DZ69" s="44"/>
      <c r="EA69" s="43"/>
      <c r="EE69" s="42">
        <v>0</v>
      </c>
      <c r="EF69" s="44"/>
      <c r="EG69" s="43"/>
      <c r="EI69">
        <v>102</v>
      </c>
      <c r="EJ69">
        <v>100</v>
      </c>
      <c r="EK69" s="42">
        <v>2</v>
      </c>
      <c r="EL69" s="44"/>
      <c r="EM69" s="46">
        <v>300</v>
      </c>
      <c r="EN69">
        <v>300</v>
      </c>
      <c r="EO69">
        <v>330</v>
      </c>
      <c r="EP69">
        <v>330</v>
      </c>
      <c r="EQ69" s="42">
        <v>0</v>
      </c>
      <c r="ER69" s="44"/>
      <c r="EY69" s="42">
        <v>0</v>
      </c>
      <c r="EZ69" s="44"/>
      <c r="FA69">
        <v>90</v>
      </c>
      <c r="FB69">
        <v>90</v>
      </c>
      <c r="FC69">
        <v>102</v>
      </c>
      <c r="FD69">
        <v>101</v>
      </c>
      <c r="FE69" s="42">
        <v>1</v>
      </c>
      <c r="FF69" s="44"/>
      <c r="FG69" s="46">
        <v>102</v>
      </c>
      <c r="FH69">
        <v>100</v>
      </c>
      <c r="FI69">
        <v>264</v>
      </c>
      <c r="FJ69">
        <v>262</v>
      </c>
      <c r="FK69" s="42">
        <v>4</v>
      </c>
      <c r="FL69" s="44"/>
      <c r="FM69" s="46">
        <v>126</v>
      </c>
      <c r="FN69">
        <v>128</v>
      </c>
      <c r="FO69" s="42">
        <v>-2</v>
      </c>
      <c r="FP69" s="44"/>
      <c r="FS69">
        <v>72</v>
      </c>
      <c r="FT69">
        <v>70</v>
      </c>
      <c r="FU69" s="42">
        <v>2</v>
      </c>
      <c r="FV69" s="44"/>
      <c r="FW69" s="46">
        <v>150</v>
      </c>
      <c r="FX69">
        <v>150</v>
      </c>
      <c r="FY69">
        <v>102</v>
      </c>
      <c r="FZ69">
        <v>100</v>
      </c>
      <c r="GA69">
        <v>150</v>
      </c>
      <c r="GB69">
        <v>150</v>
      </c>
      <c r="GC69" s="42">
        <v>2</v>
      </c>
      <c r="GD69" s="44"/>
      <c r="GE69">
        <v>162</v>
      </c>
      <c r="GF69">
        <v>170</v>
      </c>
      <c r="GG69">
        <v>198</v>
      </c>
      <c r="GH69">
        <v>200</v>
      </c>
      <c r="GI69" s="42">
        <v>-10</v>
      </c>
      <c r="GJ69" s="44"/>
      <c r="GK69" s="46">
        <v>132</v>
      </c>
      <c r="GL69">
        <v>130</v>
      </c>
      <c r="GM69">
        <v>162</v>
      </c>
      <c r="GN69">
        <v>160</v>
      </c>
      <c r="GO69" s="42">
        <v>4</v>
      </c>
      <c r="GP69" s="47"/>
      <c r="GQ69">
        <v>60</v>
      </c>
      <c r="GR69">
        <v>60</v>
      </c>
      <c r="GS69">
        <v>90</v>
      </c>
      <c r="GT69">
        <v>90</v>
      </c>
      <c r="GU69" s="42">
        <v>0</v>
      </c>
      <c r="GV69" s="44"/>
      <c r="GW69">
        <v>18</v>
      </c>
      <c r="GX69" s="40">
        <v>20</v>
      </c>
      <c r="GY69" s="42">
        <v>-2</v>
      </c>
      <c r="GZ69" s="47"/>
      <c r="HA69" s="43"/>
      <c r="HC69" s="42">
        <v>0</v>
      </c>
      <c r="HD69" s="44"/>
      <c r="HE69" s="46">
        <v>408</v>
      </c>
      <c r="HF69">
        <v>410</v>
      </c>
      <c r="HG69">
        <v>438</v>
      </c>
      <c r="HH69">
        <v>440</v>
      </c>
      <c r="HI69" s="42">
        <v>-4</v>
      </c>
      <c r="HJ69" s="47"/>
      <c r="HK69" s="43"/>
      <c r="HO69" s="42">
        <v>0</v>
      </c>
      <c r="HP69" s="44"/>
      <c r="HR69">
        <v>102</v>
      </c>
      <c r="HS69">
        <v>100</v>
      </c>
      <c r="HT69">
        <v>150</v>
      </c>
      <c r="HU69">
        <v>150</v>
      </c>
      <c r="HV69" s="42">
        <v>2</v>
      </c>
      <c r="HW69" s="44"/>
      <c r="HX69" s="46">
        <v>318</v>
      </c>
      <c r="HY69">
        <v>320</v>
      </c>
      <c r="HZ69">
        <v>294</v>
      </c>
      <c r="IA69">
        <v>294</v>
      </c>
      <c r="IB69" s="42">
        <v>-2</v>
      </c>
      <c r="IC69" s="44"/>
      <c r="IH69" s="42">
        <v>0</v>
      </c>
      <c r="II69" s="47"/>
      <c r="IJ69">
        <v>300</v>
      </c>
      <c r="IK69">
        <v>300</v>
      </c>
      <c r="IL69">
        <v>318</v>
      </c>
      <c r="IM69">
        <v>320</v>
      </c>
      <c r="IN69" s="42">
        <v>-2</v>
      </c>
      <c r="IO69" s="47"/>
      <c r="IP69">
        <v>72</v>
      </c>
      <c r="IQ69">
        <v>70</v>
      </c>
      <c r="IR69">
        <v>60</v>
      </c>
      <c r="IS69">
        <v>60</v>
      </c>
      <c r="IT69" s="42">
        <v>2</v>
      </c>
      <c r="IU69" s="47"/>
      <c r="IV69">
        <v>162</v>
      </c>
      <c r="IW69">
        <v>160</v>
      </c>
      <c r="IX69">
        <v>120</v>
      </c>
      <c r="IY69">
        <v>120</v>
      </c>
      <c r="IZ69" s="42">
        <v>2</v>
      </c>
      <c r="JA69" s="44"/>
      <c r="JB69">
        <v>216</v>
      </c>
      <c r="JC69">
        <v>221</v>
      </c>
      <c r="JD69" s="42">
        <v>-5</v>
      </c>
      <c r="JE69" s="44"/>
      <c r="JF69">
        <v>72</v>
      </c>
      <c r="JG69">
        <v>70</v>
      </c>
      <c r="JH69">
        <v>66</v>
      </c>
      <c r="JI69">
        <v>65</v>
      </c>
      <c r="JJ69" s="42">
        <v>3</v>
      </c>
      <c r="JK69" s="44"/>
      <c r="JL69" s="46">
        <v>192</v>
      </c>
      <c r="JM69" s="40">
        <v>190</v>
      </c>
      <c r="JN69" s="42">
        <v>2</v>
      </c>
      <c r="JO69" s="44"/>
      <c r="JR69">
        <v>18</v>
      </c>
      <c r="JS69">
        <v>20</v>
      </c>
      <c r="JT69" s="42">
        <v>-2</v>
      </c>
      <c r="JU69" s="44"/>
      <c r="JV69">
        <v>90</v>
      </c>
      <c r="JW69">
        <v>90</v>
      </c>
      <c r="JX69">
        <v>102</v>
      </c>
      <c r="JY69">
        <v>100</v>
      </c>
      <c r="JZ69" s="42">
        <v>2</v>
      </c>
      <c r="KA69" s="47"/>
      <c r="KB69">
        <v>102</v>
      </c>
      <c r="KC69">
        <v>100</v>
      </c>
      <c r="KD69">
        <v>108</v>
      </c>
      <c r="KE69">
        <v>110</v>
      </c>
      <c r="KF69" s="42">
        <v>0</v>
      </c>
      <c r="KG69" s="44"/>
      <c r="KH69">
        <v>48</v>
      </c>
      <c r="KI69">
        <v>50</v>
      </c>
      <c r="KL69" s="42">
        <v>-2</v>
      </c>
      <c r="KM69" s="47"/>
      <c r="KN69" s="46">
        <v>138</v>
      </c>
      <c r="KO69">
        <v>140</v>
      </c>
      <c r="KP69">
        <v>168</v>
      </c>
      <c r="KQ69">
        <v>170</v>
      </c>
      <c r="KR69">
        <v>168</v>
      </c>
      <c r="KS69">
        <v>110</v>
      </c>
      <c r="KT69" s="42">
        <v>54</v>
      </c>
      <c r="KU69" s="47"/>
      <c r="KV69" s="40">
        <v>102</v>
      </c>
      <c r="KW69" s="40">
        <v>100</v>
      </c>
      <c r="KX69" s="40">
        <v>228</v>
      </c>
      <c r="KY69" s="40">
        <v>230</v>
      </c>
      <c r="KZ69" s="42">
        <v>0</v>
      </c>
      <c r="LA69" s="47"/>
      <c r="LB69" s="40">
        <v>0</v>
      </c>
      <c r="LC69" s="40">
        <v>0</v>
      </c>
      <c r="LD69" s="40">
        <v>0</v>
      </c>
      <c r="LE69" s="40">
        <v>0</v>
      </c>
      <c r="LF69" s="42">
        <v>0</v>
      </c>
      <c r="LG69" s="47"/>
      <c r="LH69" s="45">
        <v>306</v>
      </c>
      <c r="LI69" s="40">
        <v>310</v>
      </c>
      <c r="LJ69" s="42">
        <v>-4</v>
      </c>
      <c r="LK69" s="47"/>
      <c r="LL69" s="45">
        <v>138</v>
      </c>
      <c r="LM69" s="40">
        <v>150</v>
      </c>
      <c r="LN69" s="40">
        <v>96</v>
      </c>
      <c r="LO69" s="40">
        <v>100</v>
      </c>
      <c r="LP69" s="39">
        <v>-16</v>
      </c>
      <c r="LQ69" s="47">
        <v>6.4</v>
      </c>
      <c r="LR69" s="45">
        <v>120</v>
      </c>
      <c r="LS69" s="40">
        <v>120</v>
      </c>
      <c r="LT69" s="40">
        <v>138</v>
      </c>
      <c r="LU69" s="40">
        <v>136</v>
      </c>
      <c r="LV69" s="42">
        <v>2</v>
      </c>
      <c r="LW69" s="47"/>
      <c r="LX69" s="45">
        <v>48</v>
      </c>
      <c r="LY69" s="40">
        <v>50</v>
      </c>
      <c r="LZ69" s="42">
        <v>-2</v>
      </c>
      <c r="MA69" s="47"/>
      <c r="MB69" s="45">
        <v>0</v>
      </c>
      <c r="MC69" s="40">
        <v>0</v>
      </c>
      <c r="MD69" s="40">
        <v>0</v>
      </c>
      <c r="ME69" s="40">
        <v>0</v>
      </c>
      <c r="MF69" s="42">
        <v>0</v>
      </c>
      <c r="MG69" s="47"/>
      <c r="MH69" s="45">
        <v>936</v>
      </c>
      <c r="MI69" s="40">
        <v>935</v>
      </c>
      <c r="MJ69" s="42">
        <v>1</v>
      </c>
      <c r="MK69" s="47"/>
      <c r="ML69" s="45">
        <v>0</v>
      </c>
      <c r="MM69" s="40">
        <v>0</v>
      </c>
      <c r="MN69" s="40">
        <v>150</v>
      </c>
      <c r="MO69" s="40">
        <v>149</v>
      </c>
      <c r="MP69" s="42">
        <v>1</v>
      </c>
      <c r="MQ69" s="47"/>
      <c r="MR69" s="40">
        <v>0</v>
      </c>
      <c r="MS69" s="40">
        <v>0</v>
      </c>
      <c r="MT69" s="40">
        <v>462</v>
      </c>
      <c r="MU69" s="40">
        <v>460</v>
      </c>
      <c r="MV69" s="42">
        <v>2</v>
      </c>
      <c r="MW69" s="47"/>
      <c r="MX69" s="45">
        <v>48</v>
      </c>
      <c r="MY69" s="40">
        <v>50</v>
      </c>
      <c r="MZ69" s="40">
        <v>132</v>
      </c>
      <c r="NA69" s="40">
        <v>130</v>
      </c>
      <c r="NB69" s="42">
        <v>0</v>
      </c>
      <c r="NC69" s="47"/>
      <c r="ND69" s="45">
        <v>0</v>
      </c>
      <c r="NE69" s="30">
        <v>80</v>
      </c>
      <c r="NF69" s="40">
        <v>186</v>
      </c>
      <c r="NG69" s="40">
        <v>186</v>
      </c>
      <c r="NH69" s="39">
        <v>-80</v>
      </c>
      <c r="NI69" s="47">
        <v>32</v>
      </c>
      <c r="NJ69" s="45">
        <v>150</v>
      </c>
      <c r="NK69" s="40">
        <v>150</v>
      </c>
      <c r="NL69" s="40">
        <v>150</v>
      </c>
      <c r="NM69" s="40">
        <v>150</v>
      </c>
      <c r="NN69" s="42">
        <v>0</v>
      </c>
      <c r="NO69" s="47"/>
      <c r="NP69" s="45">
        <v>0</v>
      </c>
      <c r="NQ69" s="40">
        <v>0</v>
      </c>
      <c r="NR69" s="40">
        <v>198</v>
      </c>
      <c r="NS69" s="40">
        <v>200</v>
      </c>
      <c r="NT69" s="42">
        <v>-2</v>
      </c>
      <c r="NU69" s="47"/>
      <c r="NV69" s="45">
        <v>198</v>
      </c>
      <c r="NW69" s="40">
        <v>200</v>
      </c>
      <c r="NX69" s="40">
        <v>198</v>
      </c>
      <c r="NY69" s="40">
        <v>200</v>
      </c>
      <c r="NZ69" s="42">
        <v>-4</v>
      </c>
      <c r="OA69" s="47"/>
      <c r="OB69" s="45">
        <v>138</v>
      </c>
      <c r="OC69" s="40">
        <v>140</v>
      </c>
      <c r="OD69" s="42">
        <v>-2</v>
      </c>
      <c r="OE69" s="47"/>
      <c r="OF69" s="45">
        <v>0</v>
      </c>
      <c r="OG69" s="40">
        <v>0</v>
      </c>
      <c r="OH69" s="40">
        <v>60</v>
      </c>
      <c r="OI69" s="40">
        <v>60</v>
      </c>
      <c r="OJ69" s="42">
        <v>0</v>
      </c>
      <c r="OK69" s="47"/>
      <c r="OL69" s="45">
        <v>420</v>
      </c>
      <c r="OM69" s="40">
        <v>420</v>
      </c>
      <c r="ON69" s="40">
        <v>300</v>
      </c>
      <c r="OO69" s="40">
        <v>300</v>
      </c>
      <c r="OP69" s="42">
        <v>0</v>
      </c>
      <c r="OQ69" s="47"/>
      <c r="OR69" s="45">
        <v>0</v>
      </c>
      <c r="OS69" s="40">
        <v>0</v>
      </c>
      <c r="OT69" s="40">
        <v>120</v>
      </c>
      <c r="OU69" s="40">
        <v>120</v>
      </c>
      <c r="OV69" s="42">
        <v>0</v>
      </c>
      <c r="OW69" s="47"/>
      <c r="OX69" s="40">
        <v>90</v>
      </c>
      <c r="OY69" s="40">
        <v>90</v>
      </c>
      <c r="OZ69" s="40">
        <v>90</v>
      </c>
      <c r="PA69" s="40">
        <v>90</v>
      </c>
      <c r="PB69" s="42">
        <v>0</v>
      </c>
      <c r="PC69" s="47"/>
      <c r="PD69" s="45">
        <v>252</v>
      </c>
      <c r="PE69" s="40">
        <v>250</v>
      </c>
      <c r="PF69" s="40">
        <v>252</v>
      </c>
      <c r="PG69" s="40">
        <v>250</v>
      </c>
      <c r="PH69" s="42">
        <v>4</v>
      </c>
      <c r="PI69" s="47"/>
      <c r="PJ69" s="45">
        <v>0</v>
      </c>
      <c r="PK69" s="40">
        <v>0</v>
      </c>
      <c r="PL69" s="40">
        <v>0</v>
      </c>
      <c r="PM69" s="40">
        <v>0</v>
      </c>
      <c r="PN69" s="42">
        <v>0</v>
      </c>
      <c r="PO69" s="47"/>
      <c r="PP69" s="43">
        <v>102</v>
      </c>
      <c r="PQ69" s="40">
        <v>100</v>
      </c>
      <c r="PR69" s="40">
        <v>222</v>
      </c>
      <c r="PS69" s="40">
        <v>220</v>
      </c>
      <c r="PT69" s="42">
        <v>4</v>
      </c>
      <c r="PU69" s="47"/>
      <c r="PV69" s="45">
        <v>0</v>
      </c>
      <c r="PW69" s="40">
        <v>0</v>
      </c>
      <c r="PX69" s="40">
        <v>78</v>
      </c>
      <c r="PY69" s="40">
        <v>80</v>
      </c>
      <c r="PZ69" s="42">
        <v>-2</v>
      </c>
      <c r="QA69" s="47"/>
      <c r="QB69" s="45">
        <v>120</v>
      </c>
      <c r="QC69" s="40">
        <v>120</v>
      </c>
      <c r="QD69" s="42">
        <v>0</v>
      </c>
      <c r="QE69" s="47"/>
      <c r="QF69" s="45">
        <v>0</v>
      </c>
      <c r="QG69" s="40">
        <v>0</v>
      </c>
      <c r="QH69" s="40">
        <v>0</v>
      </c>
      <c r="QI69" s="40">
        <v>0</v>
      </c>
      <c r="QJ69" s="42">
        <v>0</v>
      </c>
      <c r="QK69" s="47"/>
      <c r="QL69" s="45">
        <v>0</v>
      </c>
      <c r="QM69" s="40">
        <v>0</v>
      </c>
      <c r="QN69" s="40">
        <v>0</v>
      </c>
      <c r="QO69" s="40">
        <v>0</v>
      </c>
      <c r="QP69" s="42">
        <v>0</v>
      </c>
      <c r="QQ69" s="47"/>
      <c r="QR69" s="45">
        <v>0</v>
      </c>
      <c r="QS69" s="40">
        <v>0</v>
      </c>
      <c r="QT69" s="40">
        <v>0</v>
      </c>
      <c r="QU69" s="40">
        <v>0</v>
      </c>
      <c r="QV69" s="42">
        <v>0</v>
      </c>
      <c r="QW69" s="47"/>
      <c r="QX69" s="45">
        <v>0</v>
      </c>
      <c r="QY69" s="40">
        <v>0</v>
      </c>
      <c r="QZ69" s="40">
        <v>0</v>
      </c>
      <c r="RA69" s="40">
        <v>0</v>
      </c>
      <c r="RB69" s="42">
        <v>0</v>
      </c>
      <c r="RC69" s="47"/>
      <c r="RD69" s="45">
        <v>0</v>
      </c>
      <c r="RE69" s="40">
        <v>0</v>
      </c>
      <c r="RF69" s="42">
        <v>0</v>
      </c>
      <c r="RG69" s="47"/>
    </row>
    <row r="70" spans="1:475" x14ac:dyDescent="0.25">
      <c r="A70" s="40" t="s">
        <v>359</v>
      </c>
      <c r="B70" s="41">
        <v>0.3</v>
      </c>
      <c r="N70" s="43"/>
      <c r="O70" s="48"/>
      <c r="P70" s="48"/>
      <c r="Q70" s="48"/>
      <c r="R70" s="48">
        <f t="shared" si="13"/>
        <v>0</v>
      </c>
      <c r="S70" s="44"/>
      <c r="T70" s="43"/>
      <c r="U70" s="48"/>
      <c r="V70" s="48"/>
      <c r="W70" s="48"/>
      <c r="X70" s="48">
        <f t="shared" si="14"/>
        <v>0</v>
      </c>
      <c r="Y70" s="44"/>
      <c r="Z70" s="43"/>
      <c r="AA70" s="48"/>
      <c r="AB70" s="48"/>
      <c r="AC70" s="48"/>
      <c r="AD70" s="48">
        <f t="shared" si="15"/>
        <v>0</v>
      </c>
      <c r="AE70" s="44"/>
      <c r="AF70" s="43"/>
      <c r="AG70" s="48"/>
      <c r="AH70" s="48"/>
      <c r="AI70" s="48"/>
      <c r="AJ70" s="48">
        <f t="shared" si="16"/>
        <v>0</v>
      </c>
      <c r="AK70" s="44"/>
      <c r="AL70" s="48"/>
      <c r="AP70" s="42">
        <v>0</v>
      </c>
      <c r="AQ70" s="44"/>
      <c r="AR70" s="43"/>
      <c r="AV70" s="42">
        <v>0</v>
      </c>
      <c r="AW70" s="44"/>
      <c r="BC70" s="42">
        <v>0</v>
      </c>
      <c r="BD70" s="44"/>
      <c r="BE70" s="43"/>
      <c r="BI70" s="42">
        <v>0</v>
      </c>
      <c r="BJ70" s="44"/>
      <c r="BO70" s="42">
        <v>0</v>
      </c>
      <c r="BP70" s="44"/>
      <c r="BS70" s="42">
        <v>0</v>
      </c>
      <c r="BT70" s="44"/>
      <c r="BU70" s="43"/>
      <c r="BY70" s="42">
        <v>0</v>
      </c>
      <c r="BZ70" s="44"/>
      <c r="CE70" s="42">
        <v>0</v>
      </c>
      <c r="CF70" s="44"/>
      <c r="CG70" s="43"/>
      <c r="CK70" s="42">
        <v>0</v>
      </c>
      <c r="CL70" s="44"/>
      <c r="CM70" s="43"/>
      <c r="CQ70" s="42">
        <v>0</v>
      </c>
      <c r="CR70" s="44"/>
      <c r="CW70" s="42">
        <v>0</v>
      </c>
      <c r="CX70" s="44"/>
      <c r="CY70" s="43"/>
      <c r="DC70" s="42">
        <v>0</v>
      </c>
      <c r="DD70" s="44"/>
      <c r="DE70" s="43"/>
      <c r="DK70" s="42">
        <v>0</v>
      </c>
      <c r="DL70" s="44"/>
      <c r="DM70" s="43"/>
      <c r="DQ70" s="42">
        <v>0</v>
      </c>
      <c r="DR70" s="44"/>
      <c r="DY70" s="42">
        <v>0</v>
      </c>
      <c r="DZ70" s="44"/>
      <c r="EA70" s="43"/>
      <c r="EE70" s="42">
        <v>0</v>
      </c>
      <c r="EF70" s="44"/>
      <c r="EG70" s="43"/>
      <c r="EK70" s="42">
        <v>0</v>
      </c>
      <c r="EL70" s="44"/>
      <c r="EM70" s="43"/>
      <c r="EQ70" s="42">
        <v>0</v>
      </c>
      <c r="ER70" s="44"/>
      <c r="EY70" s="42">
        <v>0</v>
      </c>
      <c r="EZ70" s="44"/>
      <c r="FE70" s="42">
        <v>0</v>
      </c>
      <c r="FF70" s="44"/>
      <c r="FG70" s="43"/>
      <c r="FI70">
        <v>42</v>
      </c>
      <c r="FJ70">
        <v>44</v>
      </c>
      <c r="FK70" s="42">
        <v>-2</v>
      </c>
      <c r="FL70" s="44"/>
      <c r="FM70" s="43"/>
      <c r="FO70" s="42">
        <v>0</v>
      </c>
      <c r="FP70" s="44"/>
      <c r="FS70">
        <v>24</v>
      </c>
      <c r="FT70">
        <v>24</v>
      </c>
      <c r="FU70" s="42">
        <v>0</v>
      </c>
      <c r="FV70" s="44"/>
      <c r="FW70" s="43"/>
      <c r="GA70">
        <v>30</v>
      </c>
      <c r="GB70">
        <v>30</v>
      </c>
      <c r="GC70" s="42">
        <v>0</v>
      </c>
      <c r="GD70" s="44"/>
      <c r="GG70">
        <v>30</v>
      </c>
      <c r="GH70">
        <v>36</v>
      </c>
      <c r="GI70" s="42">
        <v>-6</v>
      </c>
      <c r="GJ70" s="44"/>
      <c r="GK70" s="43"/>
      <c r="GO70" s="42">
        <v>0</v>
      </c>
      <c r="GP70" s="47"/>
      <c r="GU70" s="42">
        <v>0</v>
      </c>
      <c r="GV70" s="44"/>
      <c r="GY70" s="42">
        <v>0</v>
      </c>
      <c r="GZ70" s="47"/>
      <c r="HA70" s="43"/>
      <c r="HC70" s="42">
        <v>0</v>
      </c>
      <c r="HD70" s="44"/>
      <c r="HE70" s="43"/>
      <c r="HI70" s="42">
        <v>0</v>
      </c>
      <c r="HJ70" s="47"/>
      <c r="HK70" s="43"/>
      <c r="HO70" s="42">
        <v>0</v>
      </c>
      <c r="HP70" s="44"/>
      <c r="HQ70">
        <v>102</v>
      </c>
      <c r="HV70" s="42">
        <v>102</v>
      </c>
      <c r="HW70" s="44"/>
      <c r="HX70" s="46">
        <v>30</v>
      </c>
      <c r="HY70">
        <v>30</v>
      </c>
      <c r="IB70" s="42">
        <v>0</v>
      </c>
      <c r="IC70" s="44"/>
      <c r="IF70">
        <v>66</v>
      </c>
      <c r="IG70">
        <v>69</v>
      </c>
      <c r="IH70" s="42">
        <v>-3</v>
      </c>
      <c r="II70" s="47"/>
      <c r="IL70">
        <v>42</v>
      </c>
      <c r="IM70">
        <v>45</v>
      </c>
      <c r="IN70" s="42">
        <v>-3</v>
      </c>
      <c r="IO70" s="47"/>
      <c r="IP70">
        <v>18</v>
      </c>
      <c r="IQ70">
        <v>20</v>
      </c>
      <c r="IT70" s="42">
        <v>-2</v>
      </c>
      <c r="IU70" s="47"/>
      <c r="IX70">
        <v>90</v>
      </c>
      <c r="IY70">
        <v>90</v>
      </c>
      <c r="IZ70" s="42">
        <v>0</v>
      </c>
      <c r="JA70" s="44"/>
      <c r="JD70" s="42">
        <v>0</v>
      </c>
      <c r="JE70" s="44"/>
      <c r="JF70">
        <v>12</v>
      </c>
      <c r="JG70">
        <v>12</v>
      </c>
      <c r="JJ70" s="42">
        <v>0</v>
      </c>
      <c r="JK70" s="44"/>
      <c r="JL70" s="46">
        <v>60</v>
      </c>
      <c r="JM70" s="40">
        <v>60</v>
      </c>
      <c r="JN70" s="42">
        <v>0</v>
      </c>
      <c r="JO70" s="44"/>
      <c r="JT70" s="42">
        <v>0</v>
      </c>
      <c r="JU70" s="44"/>
      <c r="JZ70" s="42">
        <v>0</v>
      </c>
      <c r="KA70" s="47"/>
      <c r="KF70" s="42">
        <v>0</v>
      </c>
      <c r="KG70" s="44"/>
      <c r="KH70" s="41"/>
      <c r="KJ70">
        <v>318</v>
      </c>
      <c r="KK70">
        <v>320</v>
      </c>
      <c r="KL70" s="42">
        <v>-2</v>
      </c>
      <c r="KM70" s="47"/>
      <c r="KN70" s="45"/>
      <c r="KR70">
        <v>42</v>
      </c>
      <c r="KT70" s="42">
        <v>42</v>
      </c>
      <c r="KU70" s="47"/>
      <c r="KV70" s="40">
        <v>0</v>
      </c>
      <c r="KW70" s="40">
        <v>0</v>
      </c>
      <c r="KX70" s="40">
        <v>0</v>
      </c>
      <c r="KY70" s="40">
        <v>0</v>
      </c>
      <c r="KZ70" s="42">
        <v>0</v>
      </c>
      <c r="LA70" s="47"/>
      <c r="LB70" s="40">
        <v>0</v>
      </c>
      <c r="LC70" s="40">
        <v>0</v>
      </c>
      <c r="LD70" s="40">
        <v>0</v>
      </c>
      <c r="LE70" s="40">
        <v>0</v>
      </c>
      <c r="LF70" s="42">
        <v>0</v>
      </c>
      <c r="LG70" s="47"/>
      <c r="LH70" s="45">
        <v>0</v>
      </c>
      <c r="LI70" s="40">
        <v>0</v>
      </c>
      <c r="LJ70" s="42">
        <v>0</v>
      </c>
      <c r="LK70" s="47"/>
      <c r="LL70" s="45">
        <v>228</v>
      </c>
      <c r="LM70" s="40">
        <v>230</v>
      </c>
      <c r="LN70" s="40">
        <v>198</v>
      </c>
      <c r="LO70" s="40">
        <v>200</v>
      </c>
      <c r="LP70" s="42">
        <v>-4</v>
      </c>
      <c r="LQ70" s="47"/>
      <c r="LR70" s="45">
        <v>198</v>
      </c>
      <c r="LS70" s="40">
        <v>200</v>
      </c>
      <c r="LT70" s="40">
        <v>0</v>
      </c>
      <c r="LU70" s="40">
        <v>0</v>
      </c>
      <c r="LV70" s="42">
        <v>-2</v>
      </c>
      <c r="LW70" s="47"/>
      <c r="LX70" s="45">
        <v>252</v>
      </c>
      <c r="LY70" s="40">
        <v>250</v>
      </c>
      <c r="LZ70" s="42">
        <v>2</v>
      </c>
      <c r="MA70" s="47"/>
      <c r="MB70" s="45">
        <v>0</v>
      </c>
      <c r="MC70" s="40">
        <v>0</v>
      </c>
      <c r="MD70" s="40">
        <v>0</v>
      </c>
      <c r="ME70" s="40">
        <v>0</v>
      </c>
      <c r="MF70" s="42">
        <v>0</v>
      </c>
      <c r="MG70" s="47"/>
      <c r="MH70" s="45"/>
      <c r="MK70" s="47"/>
      <c r="ML70" s="45"/>
      <c r="MQ70" s="47"/>
      <c r="MW70" s="47"/>
      <c r="MX70" s="45"/>
      <c r="NC70" s="47"/>
      <c r="ND70" s="45"/>
      <c r="NE70" s="30"/>
      <c r="NH70" s="39"/>
      <c r="NI70" s="47"/>
      <c r="NJ70" s="45"/>
      <c r="NO70" s="47"/>
      <c r="NP70" s="45"/>
      <c r="NU70" s="47"/>
      <c r="NV70" s="45"/>
      <c r="OA70" s="47"/>
      <c r="OB70" s="45"/>
      <c r="OE70" s="47"/>
      <c r="OF70" s="45"/>
      <c r="OK70" s="47"/>
      <c r="OL70" s="45"/>
      <c r="OQ70" s="47"/>
      <c r="OR70" s="45"/>
      <c r="OW70" s="47"/>
      <c r="PC70" s="47"/>
      <c r="PD70" s="45"/>
      <c r="PI70" s="47"/>
      <c r="PJ70" s="45"/>
      <c r="PO70" s="47"/>
      <c r="PP70" s="43"/>
      <c r="PU70" s="47"/>
      <c r="PV70" s="45"/>
      <c r="QA70" s="47"/>
      <c r="QB70" s="45"/>
      <c r="QE70" s="47"/>
      <c r="QF70" s="45"/>
      <c r="QK70" s="47"/>
      <c r="QL70" s="45"/>
      <c r="QQ70" s="47"/>
      <c r="QR70" s="45"/>
      <c r="QW70" s="47"/>
      <c r="QX70" s="45"/>
      <c r="RB70" s="42"/>
      <c r="RC70" s="47"/>
      <c r="RD70" s="45"/>
      <c r="RF70" s="42"/>
      <c r="RG70" s="47"/>
    </row>
    <row r="71" spans="1:475" x14ac:dyDescent="0.25">
      <c r="A71" s="40" t="s">
        <v>360</v>
      </c>
      <c r="B71" s="41">
        <v>1</v>
      </c>
      <c r="E71">
        <v>50</v>
      </c>
      <c r="F71">
        <v>50</v>
      </c>
      <c r="I71">
        <v>30</v>
      </c>
      <c r="J71">
        <v>95</v>
      </c>
      <c r="K71">
        <v>96</v>
      </c>
      <c r="N71" s="46">
        <v>40</v>
      </c>
      <c r="O71" s="49">
        <v>40</v>
      </c>
      <c r="P71" s="49">
        <v>60</v>
      </c>
      <c r="Q71" s="49">
        <v>60</v>
      </c>
      <c r="R71" s="48">
        <f t="shared" si="13"/>
        <v>0</v>
      </c>
      <c r="S71" s="44"/>
      <c r="T71" s="46">
        <v>52</v>
      </c>
      <c r="U71" s="49">
        <v>50</v>
      </c>
      <c r="V71" s="48"/>
      <c r="W71" s="48"/>
      <c r="X71" s="48">
        <f t="shared" si="14"/>
        <v>2</v>
      </c>
      <c r="Y71" s="44"/>
      <c r="Z71" s="46">
        <v>119</v>
      </c>
      <c r="AA71" s="49">
        <v>120</v>
      </c>
      <c r="AB71" s="49">
        <v>179</v>
      </c>
      <c r="AC71" s="49">
        <v>180</v>
      </c>
      <c r="AD71" s="48">
        <f t="shared" si="15"/>
        <v>-2</v>
      </c>
      <c r="AE71" s="44"/>
      <c r="AF71" s="46">
        <v>33</v>
      </c>
      <c r="AG71" s="49">
        <v>33</v>
      </c>
      <c r="AH71" s="48"/>
      <c r="AI71" s="48"/>
      <c r="AJ71" s="48">
        <f t="shared" si="16"/>
        <v>0</v>
      </c>
      <c r="AK71" s="44"/>
      <c r="AL71" s="49">
        <v>100</v>
      </c>
      <c r="AM71">
        <v>100</v>
      </c>
      <c r="AN71">
        <v>100</v>
      </c>
      <c r="AO71">
        <v>100</v>
      </c>
      <c r="AP71" s="42">
        <v>0</v>
      </c>
      <c r="AQ71" s="44"/>
      <c r="AR71" s="46">
        <v>71</v>
      </c>
      <c r="AS71">
        <v>70</v>
      </c>
      <c r="AT71">
        <v>80</v>
      </c>
      <c r="AU71">
        <v>80</v>
      </c>
      <c r="AV71" s="42">
        <v>1</v>
      </c>
      <c r="AW71" s="44"/>
      <c r="AZ71">
        <v>80</v>
      </c>
      <c r="BA71">
        <v>120</v>
      </c>
      <c r="BB71">
        <v>120</v>
      </c>
      <c r="BC71" s="39">
        <v>-80</v>
      </c>
      <c r="BD71" s="44">
        <v>80</v>
      </c>
      <c r="BE71" s="43"/>
      <c r="BI71" s="42">
        <v>0</v>
      </c>
      <c r="BJ71" s="44"/>
      <c r="BK71">
        <v>132</v>
      </c>
      <c r="BL71">
        <v>130</v>
      </c>
      <c r="BN71">
        <v>107</v>
      </c>
      <c r="BO71" s="39">
        <v>-105</v>
      </c>
      <c r="BP71" s="44">
        <v>105</v>
      </c>
      <c r="BS71" s="42">
        <v>0</v>
      </c>
      <c r="BT71" s="44"/>
      <c r="BU71" s="46">
        <v>184</v>
      </c>
      <c r="BV71">
        <v>182</v>
      </c>
      <c r="BW71">
        <v>225</v>
      </c>
      <c r="BX71">
        <v>224</v>
      </c>
      <c r="BY71" s="42">
        <v>3</v>
      </c>
      <c r="BZ71" s="44"/>
      <c r="CA71">
        <v>81</v>
      </c>
      <c r="CB71">
        <v>80</v>
      </c>
      <c r="CC71">
        <v>121</v>
      </c>
      <c r="CD71">
        <v>120</v>
      </c>
      <c r="CE71" s="42">
        <v>2</v>
      </c>
      <c r="CF71" s="44"/>
      <c r="CG71" s="43"/>
      <c r="CK71" s="42">
        <v>0</v>
      </c>
      <c r="CL71" s="44"/>
      <c r="CM71" s="43"/>
      <c r="CO71">
        <v>346</v>
      </c>
      <c r="CP71">
        <v>340</v>
      </c>
      <c r="CQ71" s="42">
        <v>6</v>
      </c>
      <c r="CR71" s="44"/>
      <c r="CS71">
        <v>80</v>
      </c>
      <c r="CT71">
        <v>80</v>
      </c>
      <c r="CU71">
        <v>120</v>
      </c>
      <c r="CV71">
        <v>120</v>
      </c>
      <c r="CW71" s="42">
        <v>0</v>
      </c>
      <c r="CX71" s="44"/>
      <c r="CY71" s="43"/>
      <c r="DA71">
        <v>101</v>
      </c>
      <c r="DB71">
        <v>100</v>
      </c>
      <c r="DC71" s="42">
        <v>1</v>
      </c>
      <c r="DD71" s="44"/>
      <c r="DE71" s="43"/>
      <c r="DI71">
        <v>52</v>
      </c>
      <c r="DJ71">
        <v>50</v>
      </c>
      <c r="DK71" s="42">
        <v>2</v>
      </c>
      <c r="DL71" s="44"/>
      <c r="DM71" s="46">
        <v>122</v>
      </c>
      <c r="DN71">
        <v>120</v>
      </c>
      <c r="DO71">
        <v>101</v>
      </c>
      <c r="DP71">
        <v>100</v>
      </c>
      <c r="DQ71" s="42">
        <v>3</v>
      </c>
      <c r="DR71" s="44"/>
      <c r="DU71">
        <v>180</v>
      </c>
      <c r="DV71">
        <v>180</v>
      </c>
      <c r="DY71" s="42">
        <v>0</v>
      </c>
      <c r="DZ71" s="44"/>
      <c r="EA71" s="43"/>
      <c r="EC71">
        <v>32</v>
      </c>
      <c r="ED71">
        <v>30</v>
      </c>
      <c r="EE71" s="42">
        <v>2</v>
      </c>
      <c r="EF71" s="44"/>
      <c r="EG71" s="46">
        <v>174</v>
      </c>
      <c r="EH71">
        <v>170</v>
      </c>
      <c r="EI71">
        <v>200</v>
      </c>
      <c r="EJ71">
        <v>200</v>
      </c>
      <c r="EK71" s="42">
        <v>4</v>
      </c>
      <c r="EL71" s="44"/>
      <c r="EM71" s="46">
        <v>32</v>
      </c>
      <c r="EN71">
        <v>30</v>
      </c>
      <c r="EQ71" s="42">
        <v>2</v>
      </c>
      <c r="ER71" s="44"/>
      <c r="ES71">
        <v>40</v>
      </c>
      <c r="ET71">
        <v>40</v>
      </c>
      <c r="EU71">
        <v>53</v>
      </c>
      <c r="EV71">
        <v>50</v>
      </c>
      <c r="EW71">
        <v>52</v>
      </c>
      <c r="EX71">
        <v>50</v>
      </c>
      <c r="EY71" s="42">
        <v>5</v>
      </c>
      <c r="EZ71" s="44"/>
      <c r="FA71">
        <v>170</v>
      </c>
      <c r="FB71">
        <v>170</v>
      </c>
      <c r="FC71">
        <v>190</v>
      </c>
      <c r="FD71">
        <v>188</v>
      </c>
      <c r="FE71" s="42">
        <v>2</v>
      </c>
      <c r="FF71" s="44"/>
      <c r="FG71" s="43"/>
      <c r="FI71">
        <v>12</v>
      </c>
      <c r="FJ71">
        <v>11</v>
      </c>
      <c r="FK71" s="42">
        <v>1</v>
      </c>
      <c r="FL71" s="44"/>
      <c r="FM71" s="43"/>
      <c r="FO71" s="42">
        <v>0</v>
      </c>
      <c r="FP71" s="44"/>
      <c r="FQ71">
        <v>202</v>
      </c>
      <c r="FR71">
        <v>200</v>
      </c>
      <c r="FS71">
        <v>255</v>
      </c>
      <c r="FT71">
        <v>250</v>
      </c>
      <c r="FU71" s="42">
        <v>7</v>
      </c>
      <c r="FV71" s="44"/>
      <c r="FW71" s="43"/>
      <c r="GA71">
        <v>20</v>
      </c>
      <c r="GB71">
        <v>20</v>
      </c>
      <c r="GC71" s="42">
        <v>0</v>
      </c>
      <c r="GD71" s="44"/>
      <c r="GE71">
        <v>100</v>
      </c>
      <c r="GF71">
        <v>100</v>
      </c>
      <c r="GG71">
        <v>92</v>
      </c>
      <c r="GH71">
        <v>90</v>
      </c>
      <c r="GI71" s="42">
        <v>2</v>
      </c>
      <c r="GJ71" s="44"/>
      <c r="GK71" s="43"/>
      <c r="GM71">
        <v>193</v>
      </c>
      <c r="GN71">
        <v>190</v>
      </c>
      <c r="GO71" s="42">
        <v>3</v>
      </c>
      <c r="GP71" s="47"/>
      <c r="GS71">
        <v>140</v>
      </c>
      <c r="GT71">
        <v>140</v>
      </c>
      <c r="GU71" s="42">
        <v>0</v>
      </c>
      <c r="GV71" s="44"/>
      <c r="GW71">
        <v>305</v>
      </c>
      <c r="GX71" s="40">
        <v>302.08420000000001</v>
      </c>
      <c r="GY71" s="42">
        <v>2.9157999999999902</v>
      </c>
      <c r="GZ71" s="47"/>
      <c r="HA71" s="46">
        <v>60</v>
      </c>
      <c r="HB71">
        <v>58</v>
      </c>
      <c r="HC71" s="42">
        <v>2</v>
      </c>
      <c r="HD71" s="44"/>
      <c r="HE71" s="43"/>
      <c r="HG71">
        <v>37</v>
      </c>
      <c r="HH71">
        <v>35</v>
      </c>
      <c r="HI71" s="42">
        <v>2</v>
      </c>
      <c r="HJ71" s="47"/>
      <c r="HK71" s="43"/>
      <c r="HM71">
        <v>113</v>
      </c>
      <c r="HN71">
        <v>110</v>
      </c>
      <c r="HO71" s="42">
        <v>3</v>
      </c>
      <c r="HP71" s="44"/>
      <c r="HR71">
        <v>101</v>
      </c>
      <c r="HS71">
        <v>100</v>
      </c>
      <c r="HT71">
        <v>132</v>
      </c>
      <c r="HU71">
        <v>130</v>
      </c>
      <c r="HV71" s="42">
        <v>3</v>
      </c>
      <c r="HW71" s="44"/>
      <c r="HX71" s="46">
        <v>133</v>
      </c>
      <c r="HY71">
        <v>130</v>
      </c>
      <c r="HZ71">
        <v>100</v>
      </c>
      <c r="IA71">
        <v>100</v>
      </c>
      <c r="IB71" s="42">
        <v>3</v>
      </c>
      <c r="IC71" s="44"/>
      <c r="IH71" s="42">
        <v>0</v>
      </c>
      <c r="II71" s="47"/>
      <c r="IL71">
        <v>252</v>
      </c>
      <c r="IM71">
        <v>250</v>
      </c>
      <c r="IN71" s="42">
        <v>2</v>
      </c>
      <c r="IO71" s="47"/>
      <c r="IP71">
        <v>161</v>
      </c>
      <c r="IQ71">
        <v>160</v>
      </c>
      <c r="IR71">
        <v>140</v>
      </c>
      <c r="IS71">
        <v>140</v>
      </c>
      <c r="IT71" s="42">
        <v>1</v>
      </c>
      <c r="IU71" s="47"/>
      <c r="IV71">
        <v>219</v>
      </c>
      <c r="IW71">
        <v>220</v>
      </c>
      <c r="IX71">
        <v>179</v>
      </c>
      <c r="IY71">
        <v>180</v>
      </c>
      <c r="IZ71" s="42">
        <v>-2</v>
      </c>
      <c r="JA71" s="44"/>
      <c r="JB71">
        <v>40</v>
      </c>
      <c r="JC71">
        <v>40</v>
      </c>
      <c r="JD71" s="42">
        <v>0</v>
      </c>
      <c r="JE71" s="44"/>
      <c r="JF71">
        <v>253</v>
      </c>
      <c r="JG71">
        <v>250</v>
      </c>
      <c r="JH71">
        <v>196</v>
      </c>
      <c r="JI71">
        <v>197</v>
      </c>
      <c r="JJ71" s="42">
        <v>2</v>
      </c>
      <c r="JK71" s="44"/>
      <c r="JL71" s="46">
        <v>113</v>
      </c>
      <c r="JM71" s="40">
        <v>110</v>
      </c>
      <c r="JN71" s="42">
        <v>3</v>
      </c>
      <c r="JO71" s="44"/>
      <c r="JR71">
        <v>93</v>
      </c>
      <c r="JS71">
        <v>90</v>
      </c>
      <c r="JT71" s="42">
        <v>3</v>
      </c>
      <c r="JU71" s="44"/>
      <c r="JV71">
        <v>152</v>
      </c>
      <c r="JW71">
        <v>150</v>
      </c>
      <c r="JX71">
        <v>230</v>
      </c>
      <c r="JY71">
        <v>227</v>
      </c>
      <c r="JZ71" s="42">
        <v>5</v>
      </c>
      <c r="KA71" s="47"/>
      <c r="KB71">
        <v>101</v>
      </c>
      <c r="KC71">
        <v>100</v>
      </c>
      <c r="KD71">
        <v>281</v>
      </c>
      <c r="KE71">
        <v>280</v>
      </c>
      <c r="KF71" s="42">
        <v>2</v>
      </c>
      <c r="KG71" s="44"/>
      <c r="KH71">
        <v>100</v>
      </c>
      <c r="KI71">
        <v>100</v>
      </c>
      <c r="KJ71">
        <v>120</v>
      </c>
      <c r="KK71">
        <v>120</v>
      </c>
      <c r="KL71" s="42">
        <v>0</v>
      </c>
      <c r="KM71" s="47"/>
      <c r="KN71" s="46">
        <v>80</v>
      </c>
      <c r="KO71">
        <v>80</v>
      </c>
      <c r="KP71">
        <v>100</v>
      </c>
      <c r="KQ71">
        <v>100</v>
      </c>
      <c r="KR71">
        <v>69</v>
      </c>
      <c r="KS71">
        <v>70</v>
      </c>
      <c r="KT71" s="42">
        <v>-1</v>
      </c>
      <c r="KU71" s="47"/>
      <c r="KV71" s="40">
        <v>0</v>
      </c>
      <c r="KW71" s="40">
        <v>0</v>
      </c>
      <c r="KX71" s="40">
        <v>200.47300000000001</v>
      </c>
      <c r="KY71" s="40">
        <v>200</v>
      </c>
      <c r="KZ71" s="42">
        <v>0.47300000000001319</v>
      </c>
      <c r="LA71" s="47"/>
      <c r="LB71" s="40">
        <v>100.081</v>
      </c>
      <c r="LC71" s="40">
        <v>100</v>
      </c>
      <c r="LD71" s="40">
        <v>140.37100000000001</v>
      </c>
      <c r="LE71" s="40">
        <v>140</v>
      </c>
      <c r="LF71" s="42">
        <v>0.45199999999999818</v>
      </c>
      <c r="LG71" s="47"/>
      <c r="LH71" s="45">
        <v>0</v>
      </c>
      <c r="LI71" s="40">
        <v>0</v>
      </c>
      <c r="LJ71" s="42">
        <v>0</v>
      </c>
      <c r="LK71" s="47"/>
      <c r="LL71" s="45">
        <v>91.777000000000001</v>
      </c>
      <c r="LM71" s="40">
        <v>100</v>
      </c>
      <c r="LN71" s="40">
        <v>100.032</v>
      </c>
      <c r="LO71" s="40">
        <v>100</v>
      </c>
      <c r="LP71" s="39">
        <v>-8.1910000000000025</v>
      </c>
      <c r="LQ71" s="47">
        <v>8.1910000000000025</v>
      </c>
      <c r="LR71" s="45">
        <v>151.63499999999999</v>
      </c>
      <c r="LS71" s="40">
        <v>150</v>
      </c>
      <c r="LT71" s="40">
        <v>173.50700000000001</v>
      </c>
      <c r="LU71" s="40">
        <v>170</v>
      </c>
      <c r="LV71" s="42">
        <v>5.1419999999999959</v>
      </c>
      <c r="LW71" s="47"/>
      <c r="LX71" s="45">
        <v>0</v>
      </c>
      <c r="LY71" s="40">
        <v>0</v>
      </c>
      <c r="LZ71" s="42">
        <v>0</v>
      </c>
      <c r="MA71" s="47"/>
      <c r="MB71" s="45">
        <v>152.33799999999999</v>
      </c>
      <c r="MC71" s="40">
        <v>150</v>
      </c>
      <c r="MD71" s="40">
        <v>151.24700000000001</v>
      </c>
      <c r="ME71" s="40">
        <v>150</v>
      </c>
      <c r="MF71" s="42">
        <v>3.5850000000000359</v>
      </c>
      <c r="MG71" s="47"/>
      <c r="MH71" s="45">
        <v>399.221</v>
      </c>
      <c r="MI71" s="40">
        <v>400</v>
      </c>
      <c r="MJ71" s="42">
        <v>-0.77899999999999636</v>
      </c>
      <c r="MK71" s="47"/>
      <c r="ML71" s="45">
        <v>99.938999999999993</v>
      </c>
      <c r="MM71" s="40">
        <v>100</v>
      </c>
      <c r="MN71" s="40">
        <v>172.09200000000001</v>
      </c>
      <c r="MO71" s="40">
        <v>170</v>
      </c>
      <c r="MP71" s="42">
        <v>2.0310000000000059</v>
      </c>
      <c r="MQ71" s="47"/>
      <c r="MR71" s="40">
        <v>0</v>
      </c>
      <c r="MS71" s="40">
        <v>0</v>
      </c>
      <c r="MT71" s="40">
        <v>200.92699999999999</v>
      </c>
      <c r="MU71" s="40">
        <v>200</v>
      </c>
      <c r="MV71" s="42">
        <v>0.9269999999999925</v>
      </c>
      <c r="MW71" s="47"/>
      <c r="MX71" s="45">
        <v>52.381999999999998</v>
      </c>
      <c r="MY71" s="40">
        <v>50</v>
      </c>
      <c r="MZ71" s="40">
        <v>301.36500000000001</v>
      </c>
      <c r="NA71" s="40">
        <v>300</v>
      </c>
      <c r="NB71" s="42">
        <v>3.7470000000000141</v>
      </c>
      <c r="NC71" s="47"/>
      <c r="ND71" s="45">
        <v>0</v>
      </c>
      <c r="NE71" s="30">
        <v>40</v>
      </c>
      <c r="NF71" s="40">
        <v>80.278999999999996</v>
      </c>
      <c r="NG71" s="40">
        <v>80</v>
      </c>
      <c r="NH71" s="39">
        <v>-39.720999999999997</v>
      </c>
      <c r="NI71" s="47">
        <v>39.720999999999997</v>
      </c>
      <c r="NJ71" s="45">
        <v>100.473</v>
      </c>
      <c r="NK71" s="40">
        <v>100</v>
      </c>
      <c r="NL71" s="40">
        <v>118.959</v>
      </c>
      <c r="NM71" s="40">
        <v>120</v>
      </c>
      <c r="NN71" s="42">
        <v>-0.56799999999998363</v>
      </c>
      <c r="NO71" s="47"/>
      <c r="NP71" s="45">
        <v>0</v>
      </c>
      <c r="NQ71" s="40">
        <v>0</v>
      </c>
      <c r="NR71" s="40">
        <v>100.70399999999999</v>
      </c>
      <c r="NS71" s="40">
        <v>100</v>
      </c>
      <c r="NT71" s="42">
        <v>0.70399999999999352</v>
      </c>
      <c r="NU71" s="47"/>
      <c r="NV71" s="45">
        <v>200.23400000000001</v>
      </c>
      <c r="NW71" s="40">
        <v>200</v>
      </c>
      <c r="NX71" s="40">
        <v>201.22</v>
      </c>
      <c r="NY71" s="40">
        <v>200</v>
      </c>
      <c r="NZ71" s="42">
        <v>1.454000000000008</v>
      </c>
      <c r="OA71" s="47"/>
      <c r="OB71" s="45">
        <v>212.30799999999999</v>
      </c>
      <c r="OC71" s="40">
        <v>210</v>
      </c>
      <c r="OD71" s="42">
        <v>2.3079999999999932</v>
      </c>
      <c r="OE71" s="47"/>
      <c r="OF71" s="45">
        <v>0</v>
      </c>
      <c r="OG71" s="40">
        <v>0</v>
      </c>
      <c r="OH71" s="40">
        <v>0</v>
      </c>
      <c r="OI71" s="40">
        <v>0</v>
      </c>
      <c r="OJ71" s="42">
        <v>0</v>
      </c>
      <c r="OK71" s="47"/>
      <c r="OL71" s="45">
        <v>280.78500000000003</v>
      </c>
      <c r="OM71" s="40">
        <v>280</v>
      </c>
      <c r="ON71" s="40">
        <v>200.524</v>
      </c>
      <c r="OO71" s="40">
        <v>200</v>
      </c>
      <c r="OP71" s="42">
        <v>1.3090000000000259</v>
      </c>
      <c r="OQ71" s="47"/>
      <c r="OR71" s="45">
        <v>172.03</v>
      </c>
      <c r="OS71" s="40">
        <v>170</v>
      </c>
      <c r="OT71" s="40">
        <v>179.84700000000001</v>
      </c>
      <c r="OU71" s="40">
        <v>180</v>
      </c>
      <c r="OV71" s="42">
        <v>1.87700000000001</v>
      </c>
      <c r="OW71" s="47"/>
      <c r="OX71" s="40">
        <v>51.981999999999999</v>
      </c>
      <c r="OY71" s="40">
        <v>50</v>
      </c>
      <c r="OZ71" s="40">
        <v>40.454999999999998</v>
      </c>
      <c r="PA71" s="40">
        <v>40</v>
      </c>
      <c r="PB71" s="42">
        <v>2.4369999999999981</v>
      </c>
      <c r="PC71" s="47"/>
      <c r="PD71" s="45">
        <v>100.241</v>
      </c>
      <c r="PE71" s="40">
        <v>100</v>
      </c>
      <c r="PF71" s="40">
        <v>100.602</v>
      </c>
      <c r="PG71" s="40">
        <v>99</v>
      </c>
      <c r="PH71" s="42">
        <v>1.843000000000018</v>
      </c>
      <c r="PI71" s="47"/>
      <c r="PJ71" s="45">
        <v>0</v>
      </c>
      <c r="PK71" s="40">
        <v>0</v>
      </c>
      <c r="PL71" s="40">
        <v>241.85499999999999</v>
      </c>
      <c r="PM71" s="40">
        <v>240</v>
      </c>
      <c r="PN71" s="42">
        <v>1.85499999999999</v>
      </c>
      <c r="PO71" s="47"/>
      <c r="PP71" s="43">
        <v>153.261</v>
      </c>
      <c r="PQ71" s="40">
        <v>150</v>
      </c>
      <c r="PR71" s="40">
        <v>204.655</v>
      </c>
      <c r="PS71" s="40">
        <v>202</v>
      </c>
      <c r="PT71" s="42">
        <v>5.9159999999999968</v>
      </c>
      <c r="PU71" s="47"/>
      <c r="PV71" s="45">
        <v>151.10900000000001</v>
      </c>
      <c r="PW71" s="40">
        <v>150</v>
      </c>
      <c r="PX71" s="40">
        <v>99.99</v>
      </c>
      <c r="PY71" s="40">
        <v>100</v>
      </c>
      <c r="PZ71" s="42">
        <v>1.09899999999999</v>
      </c>
      <c r="QA71" s="47"/>
      <c r="QB71" s="45">
        <v>251.334</v>
      </c>
      <c r="QC71" s="40">
        <v>250</v>
      </c>
      <c r="QD71" s="42">
        <v>1.334000000000003</v>
      </c>
      <c r="QE71" s="47"/>
      <c r="QF71" s="45">
        <v>52.48</v>
      </c>
      <c r="QG71" s="40">
        <v>50</v>
      </c>
      <c r="QH71" s="40">
        <v>59.959000000000003</v>
      </c>
      <c r="QI71" s="40">
        <v>60</v>
      </c>
      <c r="QJ71" s="42">
        <v>2.438999999999993</v>
      </c>
      <c r="QK71" s="47"/>
      <c r="QL71" s="45">
        <v>152.66</v>
      </c>
      <c r="QM71" s="40">
        <v>150</v>
      </c>
      <c r="QN71" s="40">
        <v>152.745</v>
      </c>
      <c r="QO71" s="40">
        <v>150</v>
      </c>
      <c r="QP71" s="42">
        <v>5.4049999999999727</v>
      </c>
      <c r="QQ71" s="47"/>
      <c r="QR71" s="45">
        <v>56.503</v>
      </c>
      <c r="QS71" s="40">
        <v>70</v>
      </c>
      <c r="QT71" s="40">
        <v>80.186000000000007</v>
      </c>
      <c r="QU71" s="40">
        <v>80</v>
      </c>
      <c r="QV71" s="39">
        <v>-13.31099999999998</v>
      </c>
      <c r="QW71" s="47">
        <v>13.31099999999998</v>
      </c>
      <c r="QX71" s="45">
        <v>100.38500000000001</v>
      </c>
      <c r="QY71" s="40">
        <v>100</v>
      </c>
      <c r="QZ71" s="40">
        <v>148.357</v>
      </c>
      <c r="RA71" s="40">
        <v>150</v>
      </c>
      <c r="RB71" s="42">
        <v>-1.2579999999999809</v>
      </c>
      <c r="RC71" s="47"/>
      <c r="RD71" s="45">
        <v>431.63600000000002</v>
      </c>
      <c r="RE71" s="40">
        <v>433.42799999999988</v>
      </c>
      <c r="RF71" s="42">
        <v>-1.7919999999999161</v>
      </c>
      <c r="RG71" s="47"/>
    </row>
    <row r="72" spans="1:475" x14ac:dyDescent="0.25">
      <c r="A72" s="40" t="s">
        <v>361</v>
      </c>
      <c r="B72" s="41">
        <v>1</v>
      </c>
      <c r="E72">
        <v>30</v>
      </c>
      <c r="I72">
        <v>30</v>
      </c>
      <c r="J72">
        <v>75</v>
      </c>
      <c r="K72">
        <v>70</v>
      </c>
      <c r="N72" s="46">
        <v>31</v>
      </c>
      <c r="O72" s="49">
        <v>30</v>
      </c>
      <c r="P72" s="49">
        <v>53</v>
      </c>
      <c r="Q72" s="49">
        <v>49</v>
      </c>
      <c r="R72" s="48">
        <f t="shared" si="13"/>
        <v>5</v>
      </c>
      <c r="S72" s="44"/>
      <c r="T72" s="46">
        <v>62</v>
      </c>
      <c r="U72" s="49">
        <v>60</v>
      </c>
      <c r="V72" s="49">
        <v>44</v>
      </c>
      <c r="W72" s="49">
        <v>40</v>
      </c>
      <c r="X72" s="48">
        <f t="shared" si="14"/>
        <v>6</v>
      </c>
      <c r="Y72" s="44"/>
      <c r="Z72" s="46">
        <v>84</v>
      </c>
      <c r="AA72" s="49">
        <v>80</v>
      </c>
      <c r="AB72" s="49">
        <v>125</v>
      </c>
      <c r="AC72" s="49">
        <v>120</v>
      </c>
      <c r="AD72" s="48">
        <f t="shared" si="15"/>
        <v>9</v>
      </c>
      <c r="AE72" s="44"/>
      <c r="AF72" s="46">
        <v>107</v>
      </c>
      <c r="AG72" s="49">
        <v>100</v>
      </c>
      <c r="AH72" s="49">
        <v>139</v>
      </c>
      <c r="AI72" s="49">
        <v>133</v>
      </c>
      <c r="AJ72" s="48">
        <f t="shared" si="16"/>
        <v>13</v>
      </c>
      <c r="AK72" s="44"/>
      <c r="AL72" s="49">
        <v>53</v>
      </c>
      <c r="AM72">
        <v>50</v>
      </c>
      <c r="AN72">
        <v>53</v>
      </c>
      <c r="AO72">
        <v>50</v>
      </c>
      <c r="AP72" s="42">
        <v>6</v>
      </c>
      <c r="AQ72" s="44"/>
      <c r="AR72" s="46">
        <v>53</v>
      </c>
      <c r="AS72">
        <v>50</v>
      </c>
      <c r="AV72" s="42">
        <v>3</v>
      </c>
      <c r="AW72" s="44"/>
      <c r="AX72">
        <v>62</v>
      </c>
      <c r="AZ72">
        <v>60</v>
      </c>
      <c r="BA72">
        <v>146</v>
      </c>
      <c r="BB72">
        <v>140</v>
      </c>
      <c r="BC72" s="42">
        <v>8</v>
      </c>
      <c r="BD72" s="44"/>
      <c r="BE72" s="46">
        <v>52</v>
      </c>
      <c r="BF72">
        <v>50</v>
      </c>
      <c r="BI72" s="42">
        <v>2</v>
      </c>
      <c r="BJ72" s="44"/>
      <c r="BK72">
        <v>178</v>
      </c>
      <c r="BL72">
        <v>170</v>
      </c>
      <c r="BM72">
        <v>185</v>
      </c>
      <c r="BN72">
        <v>180</v>
      </c>
      <c r="BO72" s="42">
        <v>13</v>
      </c>
      <c r="BP72" s="44"/>
      <c r="BS72" s="42">
        <v>0</v>
      </c>
      <c r="BT72" s="44"/>
      <c r="BU72" s="46">
        <v>261</v>
      </c>
      <c r="BV72">
        <v>250</v>
      </c>
      <c r="BY72" s="42">
        <v>11</v>
      </c>
      <c r="BZ72" s="44"/>
      <c r="CA72">
        <v>106</v>
      </c>
      <c r="CB72">
        <v>100</v>
      </c>
      <c r="CC72">
        <v>318</v>
      </c>
      <c r="CD72">
        <v>300</v>
      </c>
      <c r="CE72" s="42">
        <v>24</v>
      </c>
      <c r="CF72" s="44"/>
      <c r="CG72" s="46">
        <v>53</v>
      </c>
      <c r="CH72">
        <v>50</v>
      </c>
      <c r="CI72">
        <v>106</v>
      </c>
      <c r="CJ72">
        <v>100</v>
      </c>
      <c r="CK72" s="42">
        <v>9</v>
      </c>
      <c r="CL72" s="44"/>
      <c r="CM72" s="43"/>
      <c r="CQ72" s="42">
        <v>0</v>
      </c>
      <c r="CR72" s="44"/>
      <c r="CS72">
        <v>75</v>
      </c>
      <c r="CT72">
        <v>70</v>
      </c>
      <c r="CU72">
        <v>106</v>
      </c>
      <c r="CV72">
        <v>100</v>
      </c>
      <c r="CW72" s="42">
        <v>11</v>
      </c>
      <c r="CX72" s="44"/>
      <c r="CY72" s="43"/>
      <c r="DA72">
        <v>367</v>
      </c>
      <c r="DB72">
        <v>350</v>
      </c>
      <c r="DC72" s="42">
        <v>17</v>
      </c>
      <c r="DD72" s="44"/>
      <c r="DE72" s="43"/>
      <c r="DG72">
        <v>75</v>
      </c>
      <c r="DH72">
        <v>70</v>
      </c>
      <c r="DI72">
        <v>53</v>
      </c>
      <c r="DJ72">
        <v>50</v>
      </c>
      <c r="DK72" s="42">
        <v>8</v>
      </c>
      <c r="DL72" s="44"/>
      <c r="DM72" s="46">
        <v>44</v>
      </c>
      <c r="DN72">
        <v>40</v>
      </c>
      <c r="DO72">
        <v>22</v>
      </c>
      <c r="DP72">
        <v>20</v>
      </c>
      <c r="DQ72" s="42">
        <v>6</v>
      </c>
      <c r="DR72" s="44"/>
      <c r="DS72">
        <v>100</v>
      </c>
      <c r="DT72">
        <v>100</v>
      </c>
      <c r="DU72">
        <v>228</v>
      </c>
      <c r="DV72">
        <v>218</v>
      </c>
      <c r="DW72">
        <v>106</v>
      </c>
      <c r="DX72">
        <v>100</v>
      </c>
      <c r="DY72" s="42">
        <v>16</v>
      </c>
      <c r="DZ72" s="44"/>
      <c r="EA72" s="43"/>
      <c r="EE72" s="42">
        <v>0</v>
      </c>
      <c r="EF72" s="44"/>
      <c r="EG72" s="43"/>
      <c r="EK72" s="42">
        <v>0</v>
      </c>
      <c r="EL72" s="44"/>
      <c r="EM72" s="46">
        <v>223</v>
      </c>
      <c r="EN72">
        <v>220</v>
      </c>
      <c r="EO72">
        <v>239</v>
      </c>
      <c r="EP72">
        <v>230</v>
      </c>
      <c r="EQ72" s="42">
        <v>12</v>
      </c>
      <c r="ER72" s="44"/>
      <c r="EW72">
        <v>52</v>
      </c>
      <c r="EX72">
        <v>50</v>
      </c>
      <c r="EY72" s="42">
        <v>2</v>
      </c>
      <c r="EZ72" s="44"/>
      <c r="FC72">
        <v>96</v>
      </c>
      <c r="FD72">
        <v>91</v>
      </c>
      <c r="FE72" s="42">
        <v>5</v>
      </c>
      <c r="FF72" s="44"/>
      <c r="FG72" s="46">
        <v>105</v>
      </c>
      <c r="FH72">
        <v>100</v>
      </c>
      <c r="FI72">
        <v>199</v>
      </c>
      <c r="FJ72">
        <v>190</v>
      </c>
      <c r="FK72" s="42">
        <v>14</v>
      </c>
      <c r="FL72" s="44"/>
      <c r="FM72" s="43"/>
      <c r="FO72" s="42">
        <v>0</v>
      </c>
      <c r="FP72" s="44"/>
      <c r="FS72">
        <v>53</v>
      </c>
      <c r="FT72">
        <v>50</v>
      </c>
      <c r="FU72" s="42">
        <v>3</v>
      </c>
      <c r="FV72" s="44"/>
      <c r="FW72" s="46">
        <v>53</v>
      </c>
      <c r="FX72">
        <v>50</v>
      </c>
      <c r="FY72">
        <v>52</v>
      </c>
      <c r="FZ72">
        <v>50</v>
      </c>
      <c r="GA72">
        <v>53</v>
      </c>
      <c r="GB72">
        <v>50</v>
      </c>
      <c r="GC72" s="42">
        <v>8</v>
      </c>
      <c r="GD72" s="44"/>
      <c r="GE72">
        <v>62</v>
      </c>
      <c r="GF72">
        <v>60</v>
      </c>
      <c r="GG72">
        <v>62</v>
      </c>
      <c r="GH72">
        <v>60</v>
      </c>
      <c r="GI72" s="42">
        <v>4</v>
      </c>
      <c r="GJ72" s="44"/>
      <c r="GK72" s="43"/>
      <c r="GM72">
        <v>188</v>
      </c>
      <c r="GN72">
        <v>180</v>
      </c>
      <c r="GO72" s="42">
        <v>8</v>
      </c>
      <c r="GP72" s="47"/>
      <c r="GQ72">
        <v>155</v>
      </c>
      <c r="GR72">
        <v>150</v>
      </c>
      <c r="GS72">
        <v>173</v>
      </c>
      <c r="GT72">
        <v>170</v>
      </c>
      <c r="GU72" s="42">
        <v>8</v>
      </c>
      <c r="GV72" s="44"/>
      <c r="GW72">
        <v>62</v>
      </c>
      <c r="GX72" s="40">
        <v>58.912000000000013</v>
      </c>
      <c r="GY72" s="42">
        <v>3.0879999999999872</v>
      </c>
      <c r="GZ72" s="47"/>
      <c r="HA72" s="43"/>
      <c r="HC72" s="42">
        <v>0</v>
      </c>
      <c r="HD72" s="44"/>
      <c r="HE72" s="43"/>
      <c r="HI72" s="42">
        <v>0</v>
      </c>
      <c r="HJ72" s="47"/>
      <c r="HK72" s="46">
        <v>208</v>
      </c>
      <c r="HL72">
        <v>200</v>
      </c>
      <c r="HM72">
        <v>291</v>
      </c>
      <c r="HN72">
        <v>280</v>
      </c>
      <c r="HO72" s="42">
        <v>19</v>
      </c>
      <c r="HP72" s="44"/>
      <c r="HR72">
        <v>111</v>
      </c>
      <c r="HS72">
        <v>100</v>
      </c>
      <c r="HT72">
        <v>280</v>
      </c>
      <c r="HU72">
        <v>280</v>
      </c>
      <c r="HV72" s="42">
        <v>11</v>
      </c>
      <c r="HW72" s="44"/>
      <c r="HX72" s="45"/>
      <c r="HZ72">
        <v>77</v>
      </c>
      <c r="IA72">
        <v>78</v>
      </c>
      <c r="IB72" s="42">
        <v>-1</v>
      </c>
      <c r="IC72" s="44"/>
      <c r="ID72">
        <v>101</v>
      </c>
      <c r="IE72">
        <v>100</v>
      </c>
      <c r="IF72">
        <v>129</v>
      </c>
      <c r="IG72">
        <v>130</v>
      </c>
      <c r="IH72" s="42">
        <v>0</v>
      </c>
      <c r="II72" s="47"/>
      <c r="IJ72">
        <v>146</v>
      </c>
      <c r="IK72">
        <v>150</v>
      </c>
      <c r="IL72">
        <v>129</v>
      </c>
      <c r="IM72">
        <v>130</v>
      </c>
      <c r="IN72" s="39">
        <v>-5</v>
      </c>
      <c r="IO72" s="47">
        <v>5</v>
      </c>
      <c r="IP72">
        <v>67</v>
      </c>
      <c r="IQ72">
        <v>80</v>
      </c>
      <c r="IR72">
        <v>70</v>
      </c>
      <c r="IS72">
        <v>70</v>
      </c>
      <c r="IT72" s="39">
        <v>-13</v>
      </c>
      <c r="IU72" s="47">
        <v>13</v>
      </c>
      <c r="IV72">
        <v>220</v>
      </c>
      <c r="IW72">
        <v>220</v>
      </c>
      <c r="IX72">
        <v>177</v>
      </c>
      <c r="IY72">
        <v>180</v>
      </c>
      <c r="IZ72" s="42">
        <v>-3</v>
      </c>
      <c r="JA72" s="44"/>
      <c r="JB72">
        <v>218</v>
      </c>
      <c r="JC72">
        <v>219</v>
      </c>
      <c r="JD72" s="42">
        <v>-1</v>
      </c>
      <c r="JE72" s="44"/>
      <c r="JF72">
        <v>82</v>
      </c>
      <c r="JG72">
        <v>80</v>
      </c>
      <c r="JH72">
        <v>77</v>
      </c>
      <c r="JI72">
        <v>76</v>
      </c>
      <c r="JJ72" s="42">
        <v>3</v>
      </c>
      <c r="JK72" s="44"/>
      <c r="JL72" s="46">
        <v>66</v>
      </c>
      <c r="JM72" s="40">
        <v>65</v>
      </c>
      <c r="JN72" s="42">
        <v>1</v>
      </c>
      <c r="JO72" s="44"/>
      <c r="JR72">
        <v>102</v>
      </c>
      <c r="JS72">
        <v>100</v>
      </c>
      <c r="JT72" s="42">
        <v>2</v>
      </c>
      <c r="JU72" s="44"/>
      <c r="JX72">
        <v>238</v>
      </c>
      <c r="JY72">
        <v>240</v>
      </c>
      <c r="JZ72" s="42">
        <v>-2</v>
      </c>
      <c r="KA72" s="47"/>
      <c r="KB72">
        <v>102</v>
      </c>
      <c r="KC72">
        <v>100</v>
      </c>
      <c r="KD72">
        <v>142</v>
      </c>
      <c r="KE72">
        <v>140</v>
      </c>
      <c r="KF72" s="42">
        <v>4</v>
      </c>
      <c r="KG72" s="44"/>
      <c r="KH72" s="41"/>
      <c r="KJ72">
        <v>41</v>
      </c>
      <c r="KK72">
        <v>40</v>
      </c>
      <c r="KL72" s="42">
        <v>1</v>
      </c>
      <c r="KM72" s="47"/>
      <c r="KN72" s="46">
        <v>110</v>
      </c>
      <c r="KO72">
        <v>110</v>
      </c>
      <c r="KP72">
        <v>149</v>
      </c>
      <c r="KQ72">
        <v>150</v>
      </c>
      <c r="KR72">
        <v>111</v>
      </c>
      <c r="KS72">
        <v>100</v>
      </c>
      <c r="KT72" s="42">
        <v>10</v>
      </c>
      <c r="KU72" s="47"/>
      <c r="KV72" s="40">
        <v>102.59099999999999</v>
      </c>
      <c r="KW72" s="40">
        <v>100</v>
      </c>
      <c r="KX72" s="40">
        <v>239.447</v>
      </c>
      <c r="KY72" s="40">
        <v>240</v>
      </c>
      <c r="KZ72" s="42">
        <v>2.0380000000000109</v>
      </c>
      <c r="LA72" s="47"/>
      <c r="LB72" s="40">
        <v>0</v>
      </c>
      <c r="LC72" s="40">
        <v>0</v>
      </c>
      <c r="LD72" s="40">
        <v>89.48</v>
      </c>
      <c r="LE72" s="40">
        <v>90</v>
      </c>
      <c r="LF72" s="42">
        <v>-0.51999999999999602</v>
      </c>
      <c r="LG72" s="47"/>
      <c r="LH72" s="45">
        <v>150.14500000000001</v>
      </c>
      <c r="LI72" s="40">
        <v>150</v>
      </c>
      <c r="LJ72" s="42">
        <v>0.1450000000000102</v>
      </c>
      <c r="LK72" s="47"/>
      <c r="LL72" s="45">
        <v>148.84899999999999</v>
      </c>
      <c r="LM72" s="40">
        <v>150</v>
      </c>
      <c r="LN72" s="40">
        <v>100.36199999999999</v>
      </c>
      <c r="LO72" s="40">
        <v>100</v>
      </c>
      <c r="LP72" s="42">
        <v>-0.78900000000001569</v>
      </c>
      <c r="LQ72" s="47"/>
      <c r="LR72" s="45">
        <v>149.22</v>
      </c>
      <c r="LS72" s="40">
        <v>150</v>
      </c>
      <c r="LT72" s="40">
        <v>201.45500000000001</v>
      </c>
      <c r="LU72" s="40">
        <v>200</v>
      </c>
      <c r="LV72" s="42">
        <v>0.67500000000001137</v>
      </c>
      <c r="LW72" s="47"/>
      <c r="LX72" s="45">
        <v>51.207000000000001</v>
      </c>
      <c r="LY72" s="40">
        <v>50</v>
      </c>
      <c r="LZ72" s="42">
        <v>1.207000000000001</v>
      </c>
      <c r="MA72" s="47"/>
      <c r="MB72" s="45">
        <v>102.01600000000001</v>
      </c>
      <c r="MC72" s="40">
        <v>100</v>
      </c>
      <c r="MD72" s="40">
        <v>271.49799999999999</v>
      </c>
      <c r="ME72" s="40">
        <v>270</v>
      </c>
      <c r="MF72" s="42">
        <v>3.51400000000001</v>
      </c>
      <c r="MG72" s="47"/>
      <c r="MH72" s="45">
        <v>273.54000000000002</v>
      </c>
      <c r="MI72" s="40">
        <v>270</v>
      </c>
      <c r="MJ72" s="42">
        <v>3.54000000000002</v>
      </c>
      <c r="MK72" s="47"/>
      <c r="ML72" s="45">
        <v>0</v>
      </c>
      <c r="MM72" s="40">
        <v>0</v>
      </c>
      <c r="MN72" s="40">
        <v>269.96199999999999</v>
      </c>
      <c r="MO72" s="40">
        <v>267</v>
      </c>
      <c r="MP72" s="42">
        <v>2.9619999999999891</v>
      </c>
      <c r="MQ72" s="47"/>
      <c r="MR72" s="40">
        <v>0</v>
      </c>
      <c r="MS72" s="40">
        <v>0</v>
      </c>
      <c r="MT72" s="40">
        <v>251.25299999999999</v>
      </c>
      <c r="MU72" s="40">
        <v>250</v>
      </c>
      <c r="MV72" s="42">
        <v>1.2529999999999859</v>
      </c>
      <c r="MW72" s="47"/>
      <c r="MX72" s="45">
        <v>51.281999999999996</v>
      </c>
      <c r="MY72" s="40">
        <v>50</v>
      </c>
      <c r="MZ72" s="40">
        <v>199.797</v>
      </c>
      <c r="NA72" s="40">
        <v>200</v>
      </c>
      <c r="NB72" s="42">
        <v>1.079000000000008</v>
      </c>
      <c r="NC72" s="47"/>
      <c r="ND72" s="45">
        <v>0</v>
      </c>
      <c r="NE72" s="30">
        <v>30</v>
      </c>
      <c r="NF72" s="40">
        <v>121.185</v>
      </c>
      <c r="NG72" s="40">
        <v>120</v>
      </c>
      <c r="NH72" s="39">
        <v>-28.815000000000001</v>
      </c>
      <c r="NI72" s="47">
        <v>28.815000000000001</v>
      </c>
      <c r="NJ72" s="45">
        <v>103.068</v>
      </c>
      <c r="NK72" s="40">
        <v>100</v>
      </c>
      <c r="NL72" s="40">
        <v>147.643</v>
      </c>
      <c r="NM72" s="40">
        <v>147</v>
      </c>
      <c r="NN72" s="42">
        <v>3.7110000000000132</v>
      </c>
      <c r="NO72" s="47"/>
      <c r="NP72" s="45">
        <v>0</v>
      </c>
      <c r="NQ72" s="40">
        <v>0</v>
      </c>
      <c r="NR72" s="40">
        <v>50.518999999999998</v>
      </c>
      <c r="NS72" s="40">
        <v>50</v>
      </c>
      <c r="NT72" s="42">
        <v>0.51899999999999835</v>
      </c>
      <c r="NU72" s="47"/>
      <c r="NV72" s="45">
        <v>0</v>
      </c>
      <c r="NW72" s="40">
        <v>0</v>
      </c>
      <c r="NX72" s="40">
        <v>101.024</v>
      </c>
      <c r="NY72" s="40">
        <v>100</v>
      </c>
      <c r="NZ72" s="42">
        <v>1.0240000000000009</v>
      </c>
      <c r="OA72" s="47"/>
      <c r="OB72" s="45">
        <v>686.00199999999995</v>
      </c>
      <c r="OC72" s="40">
        <v>680</v>
      </c>
      <c r="OD72" s="42">
        <v>6.0019999999999527</v>
      </c>
      <c r="OE72" s="47"/>
      <c r="OF72" s="45">
        <v>0</v>
      </c>
      <c r="OG72" s="40">
        <v>0</v>
      </c>
      <c r="OH72" s="40">
        <v>101.196</v>
      </c>
      <c r="OI72" s="40">
        <v>100</v>
      </c>
      <c r="OJ72" s="42">
        <v>1.195999999999998</v>
      </c>
      <c r="OK72" s="47"/>
      <c r="OL72" s="45">
        <v>81.251000000000005</v>
      </c>
      <c r="OM72" s="40">
        <v>80</v>
      </c>
      <c r="ON72" s="40">
        <v>60.28</v>
      </c>
      <c r="OO72" s="40">
        <v>60</v>
      </c>
      <c r="OP72" s="42">
        <v>1.5310000000000059</v>
      </c>
      <c r="OQ72" s="47"/>
      <c r="OR72" s="45">
        <v>101.706</v>
      </c>
      <c r="OS72" s="40">
        <v>100</v>
      </c>
      <c r="OT72" s="40">
        <v>107.434</v>
      </c>
      <c r="OU72" s="40">
        <v>100</v>
      </c>
      <c r="OV72" s="42">
        <v>9.1399999999999864</v>
      </c>
      <c r="OW72" s="47"/>
      <c r="OX72" s="40">
        <v>201.84299999999999</v>
      </c>
      <c r="OY72" s="40">
        <v>200</v>
      </c>
      <c r="OZ72" s="40">
        <v>230.22300000000001</v>
      </c>
      <c r="PA72" s="40">
        <v>230</v>
      </c>
      <c r="PB72" s="42">
        <v>2.0660000000000309</v>
      </c>
      <c r="PC72" s="47"/>
      <c r="PD72" s="45">
        <v>101.729</v>
      </c>
      <c r="PE72" s="40">
        <v>100</v>
      </c>
      <c r="PF72" s="40">
        <v>203.05799999999999</v>
      </c>
      <c r="PG72" s="40">
        <v>204</v>
      </c>
      <c r="PH72" s="42">
        <v>0.78699999999997772</v>
      </c>
      <c r="PI72" s="47"/>
      <c r="PJ72" s="45">
        <v>0</v>
      </c>
      <c r="PK72" s="40">
        <v>0</v>
      </c>
      <c r="PL72" s="40">
        <v>300.24900000000002</v>
      </c>
      <c r="PM72" s="40">
        <v>300</v>
      </c>
      <c r="PN72" s="42">
        <v>0.24900000000002359</v>
      </c>
      <c r="PO72" s="47"/>
      <c r="PP72" s="43">
        <v>101.97499999999999</v>
      </c>
      <c r="PQ72" s="40">
        <v>100</v>
      </c>
      <c r="PR72" s="40">
        <v>149.482</v>
      </c>
      <c r="PS72" s="40">
        <v>150</v>
      </c>
      <c r="PT72" s="42">
        <v>1.4569999999999941</v>
      </c>
      <c r="PU72" s="47"/>
      <c r="PV72" s="45">
        <v>210.32300000000001</v>
      </c>
      <c r="PW72" s="40">
        <v>210</v>
      </c>
      <c r="PX72" s="40">
        <v>102.58499999999999</v>
      </c>
      <c r="PY72" s="40">
        <v>100</v>
      </c>
      <c r="PZ72" s="42">
        <v>2.908000000000015</v>
      </c>
      <c r="QA72" s="47"/>
      <c r="QB72" s="45">
        <v>283.15600000000001</v>
      </c>
      <c r="QC72" s="40">
        <v>280</v>
      </c>
      <c r="QD72" s="42">
        <v>3.1560000000000059</v>
      </c>
      <c r="QE72" s="47"/>
      <c r="QF72" s="45">
        <v>107.663</v>
      </c>
      <c r="QG72" s="40">
        <v>108</v>
      </c>
      <c r="QH72" s="40">
        <v>148.209</v>
      </c>
      <c r="QI72" s="40">
        <v>150</v>
      </c>
      <c r="QJ72" s="42">
        <v>-2.1279999999999859</v>
      </c>
      <c r="QK72" s="47"/>
      <c r="QL72" s="45">
        <v>102.806</v>
      </c>
      <c r="QM72" s="40">
        <v>100</v>
      </c>
      <c r="QN72" s="40">
        <v>150.696</v>
      </c>
      <c r="QO72" s="40">
        <v>150</v>
      </c>
      <c r="QP72" s="42">
        <v>3.50200000000001</v>
      </c>
      <c r="QQ72" s="47"/>
      <c r="QR72" s="45">
        <v>103.333</v>
      </c>
      <c r="QS72" s="40">
        <v>100</v>
      </c>
      <c r="QT72" s="40">
        <v>0</v>
      </c>
      <c r="QU72" s="40">
        <v>100</v>
      </c>
      <c r="QV72" s="39">
        <v>-96.667000000000002</v>
      </c>
      <c r="QW72" s="47">
        <v>96.667000000000002</v>
      </c>
      <c r="QX72" s="45">
        <v>127.687</v>
      </c>
      <c r="QY72" s="40">
        <v>100</v>
      </c>
      <c r="QZ72" s="40">
        <v>149.91999999999999</v>
      </c>
      <c r="RA72" s="40">
        <v>150</v>
      </c>
      <c r="RB72" s="42">
        <v>27.606999999999971</v>
      </c>
      <c r="RC72" s="47"/>
      <c r="RD72" s="45">
        <v>285.24400000000003</v>
      </c>
      <c r="RE72" s="40">
        <v>285.88499999999999</v>
      </c>
      <c r="RF72" s="42">
        <v>-0.64099999999996271</v>
      </c>
      <c r="RG72" s="47"/>
    </row>
    <row r="73" spans="1:475" x14ac:dyDescent="0.25">
      <c r="A73" s="40" t="s">
        <v>362</v>
      </c>
      <c r="B73" s="41">
        <v>1</v>
      </c>
      <c r="E73">
        <v>40</v>
      </c>
      <c r="F73">
        <v>40</v>
      </c>
      <c r="I73">
        <v>30</v>
      </c>
      <c r="J73">
        <v>74</v>
      </c>
      <c r="K73">
        <v>70</v>
      </c>
      <c r="N73" s="46">
        <v>54</v>
      </c>
      <c r="O73" s="49">
        <v>50</v>
      </c>
      <c r="P73" s="49">
        <v>32</v>
      </c>
      <c r="Q73" s="49">
        <v>30</v>
      </c>
      <c r="R73" s="48">
        <f t="shared" si="13"/>
        <v>6</v>
      </c>
      <c r="S73" s="44"/>
      <c r="T73" s="46">
        <v>124</v>
      </c>
      <c r="U73" s="49">
        <v>120</v>
      </c>
      <c r="V73" s="49">
        <v>136</v>
      </c>
      <c r="W73" s="49">
        <v>130</v>
      </c>
      <c r="X73" s="48">
        <f t="shared" si="14"/>
        <v>10</v>
      </c>
      <c r="Y73" s="44"/>
      <c r="Z73" s="43"/>
      <c r="AA73" s="48"/>
      <c r="AB73" s="49">
        <v>157</v>
      </c>
      <c r="AC73" s="49">
        <v>150</v>
      </c>
      <c r="AD73" s="48">
        <f t="shared" si="15"/>
        <v>7</v>
      </c>
      <c r="AE73" s="44"/>
      <c r="AF73" s="43"/>
      <c r="AG73" s="48"/>
      <c r="AH73" s="49">
        <v>210</v>
      </c>
      <c r="AI73" s="49">
        <v>200</v>
      </c>
      <c r="AJ73" s="48">
        <f t="shared" si="16"/>
        <v>10</v>
      </c>
      <c r="AK73" s="44"/>
      <c r="AL73" s="49">
        <v>44</v>
      </c>
      <c r="AM73">
        <v>40</v>
      </c>
      <c r="AP73" s="42">
        <v>4</v>
      </c>
      <c r="AQ73" s="44"/>
      <c r="AR73" s="46">
        <v>63</v>
      </c>
      <c r="AS73">
        <v>60</v>
      </c>
      <c r="AT73">
        <v>43</v>
      </c>
      <c r="AU73">
        <v>40</v>
      </c>
      <c r="AV73" s="42">
        <v>6</v>
      </c>
      <c r="AW73" s="44"/>
      <c r="AX73">
        <v>104</v>
      </c>
      <c r="AY73">
        <v>62</v>
      </c>
      <c r="AZ73">
        <v>100</v>
      </c>
      <c r="BA73">
        <v>157</v>
      </c>
      <c r="BB73">
        <v>150</v>
      </c>
      <c r="BC73" s="42">
        <v>73</v>
      </c>
      <c r="BD73" s="44"/>
      <c r="BE73" s="46">
        <v>43</v>
      </c>
      <c r="BF73">
        <v>40</v>
      </c>
      <c r="BG73" s="42">
        <v>62</v>
      </c>
      <c r="BH73">
        <v>60</v>
      </c>
      <c r="BI73" s="42">
        <v>5</v>
      </c>
      <c r="BJ73" s="44"/>
      <c r="BK73">
        <v>136</v>
      </c>
      <c r="BL73">
        <v>130</v>
      </c>
      <c r="BM73">
        <v>125</v>
      </c>
      <c r="BN73">
        <v>120</v>
      </c>
      <c r="BO73" s="42">
        <v>11</v>
      </c>
      <c r="BP73" s="44"/>
      <c r="BS73" s="42">
        <v>0</v>
      </c>
      <c r="BT73" s="44"/>
      <c r="BU73" s="46">
        <v>261</v>
      </c>
      <c r="BV73">
        <v>250</v>
      </c>
      <c r="BW73">
        <v>28</v>
      </c>
      <c r="BX73">
        <v>26</v>
      </c>
      <c r="BY73" s="42">
        <v>13</v>
      </c>
      <c r="BZ73" s="44"/>
      <c r="CA73">
        <v>106</v>
      </c>
      <c r="CB73">
        <v>100</v>
      </c>
      <c r="CC73">
        <v>311</v>
      </c>
      <c r="CD73">
        <v>300</v>
      </c>
      <c r="CE73" s="42">
        <v>17</v>
      </c>
      <c r="CF73" s="44"/>
      <c r="CG73" s="43"/>
      <c r="CI73">
        <v>104</v>
      </c>
      <c r="CJ73">
        <v>100</v>
      </c>
      <c r="CK73" s="42">
        <v>4</v>
      </c>
      <c r="CL73" s="44"/>
      <c r="CM73" s="43"/>
      <c r="CO73">
        <v>309</v>
      </c>
      <c r="CP73">
        <v>300</v>
      </c>
      <c r="CQ73" s="42">
        <v>9</v>
      </c>
      <c r="CR73" s="44"/>
      <c r="CS73">
        <v>85</v>
      </c>
      <c r="CT73">
        <v>80</v>
      </c>
      <c r="CU73">
        <v>125</v>
      </c>
      <c r="CV73">
        <v>120</v>
      </c>
      <c r="CW73" s="42">
        <v>10</v>
      </c>
      <c r="CX73" s="44"/>
      <c r="CY73" s="43"/>
      <c r="DA73">
        <v>261</v>
      </c>
      <c r="DB73">
        <v>250</v>
      </c>
      <c r="DC73" s="42">
        <v>11</v>
      </c>
      <c r="DD73" s="44"/>
      <c r="DE73" s="43"/>
      <c r="DG73">
        <v>106</v>
      </c>
      <c r="DH73">
        <v>100</v>
      </c>
      <c r="DI73">
        <v>128</v>
      </c>
      <c r="DJ73">
        <v>122</v>
      </c>
      <c r="DK73" s="42">
        <v>12</v>
      </c>
      <c r="DL73" s="44"/>
      <c r="DM73" s="43"/>
      <c r="DQ73" s="42">
        <v>0</v>
      </c>
      <c r="DR73" s="44"/>
      <c r="DU73">
        <v>126</v>
      </c>
      <c r="DV73">
        <v>120</v>
      </c>
      <c r="DW73">
        <v>106</v>
      </c>
      <c r="DX73">
        <v>100</v>
      </c>
      <c r="DY73" s="42">
        <v>12</v>
      </c>
      <c r="DZ73" s="44"/>
      <c r="EA73" s="46">
        <v>199</v>
      </c>
      <c r="EB73">
        <v>190</v>
      </c>
      <c r="EC73">
        <v>325</v>
      </c>
      <c r="ED73">
        <v>310</v>
      </c>
      <c r="EE73" s="42">
        <v>24</v>
      </c>
      <c r="EF73" s="44"/>
      <c r="EG73" s="43"/>
      <c r="EI73">
        <v>53</v>
      </c>
      <c r="EJ73">
        <v>50</v>
      </c>
      <c r="EK73" s="42">
        <v>3</v>
      </c>
      <c r="EL73" s="44"/>
      <c r="EM73" s="46">
        <v>106</v>
      </c>
      <c r="EN73">
        <v>100</v>
      </c>
      <c r="EQ73" s="42">
        <v>6</v>
      </c>
      <c r="ER73" s="44"/>
      <c r="ES73">
        <v>156</v>
      </c>
      <c r="ET73">
        <v>150</v>
      </c>
      <c r="EU73">
        <v>156</v>
      </c>
      <c r="EV73">
        <v>150</v>
      </c>
      <c r="EW73">
        <v>177</v>
      </c>
      <c r="EX73">
        <v>170</v>
      </c>
      <c r="EY73" s="42">
        <v>19</v>
      </c>
      <c r="EZ73" s="44"/>
      <c r="FA73">
        <v>43</v>
      </c>
      <c r="FB73">
        <v>40</v>
      </c>
      <c r="FC73">
        <v>103</v>
      </c>
      <c r="FD73">
        <v>97</v>
      </c>
      <c r="FE73" s="42">
        <v>9</v>
      </c>
      <c r="FF73" s="44"/>
      <c r="FG73" s="46">
        <v>105</v>
      </c>
      <c r="FH73">
        <v>100</v>
      </c>
      <c r="FI73">
        <v>133</v>
      </c>
      <c r="FJ73">
        <v>127</v>
      </c>
      <c r="FK73" s="42">
        <v>11</v>
      </c>
      <c r="FL73" s="44"/>
      <c r="FM73" s="46">
        <v>71</v>
      </c>
      <c r="FN73">
        <v>67</v>
      </c>
      <c r="FO73" s="42">
        <v>4</v>
      </c>
      <c r="FP73" s="44"/>
      <c r="FS73">
        <v>264</v>
      </c>
      <c r="FT73">
        <v>250</v>
      </c>
      <c r="FU73" s="42">
        <v>14</v>
      </c>
      <c r="FV73" s="44"/>
      <c r="FW73" s="46">
        <v>53</v>
      </c>
      <c r="FX73">
        <v>50</v>
      </c>
      <c r="FY73">
        <v>53</v>
      </c>
      <c r="FZ73">
        <v>50</v>
      </c>
      <c r="GA73">
        <v>53</v>
      </c>
      <c r="GB73">
        <v>50</v>
      </c>
      <c r="GC73" s="42">
        <v>9</v>
      </c>
      <c r="GD73" s="44"/>
      <c r="GE73">
        <v>106</v>
      </c>
      <c r="GF73">
        <v>100</v>
      </c>
      <c r="GG73">
        <v>115</v>
      </c>
      <c r="GH73">
        <v>110</v>
      </c>
      <c r="GI73" s="42">
        <v>11</v>
      </c>
      <c r="GJ73" s="44"/>
      <c r="GK73" s="46">
        <v>105</v>
      </c>
      <c r="GL73">
        <v>100</v>
      </c>
      <c r="GM73">
        <v>168</v>
      </c>
      <c r="GN73">
        <v>160</v>
      </c>
      <c r="GO73" s="42">
        <v>13</v>
      </c>
      <c r="GP73" s="47"/>
      <c r="GQ73">
        <v>84</v>
      </c>
      <c r="GR73">
        <v>80</v>
      </c>
      <c r="GS73">
        <v>104</v>
      </c>
      <c r="GT73">
        <v>100</v>
      </c>
      <c r="GU73" s="42">
        <v>8</v>
      </c>
      <c r="GV73" s="44"/>
      <c r="GW73">
        <v>264</v>
      </c>
      <c r="GX73" s="40">
        <v>256.67939999999999</v>
      </c>
      <c r="GY73" s="42">
        <v>7.3206000000000131</v>
      </c>
      <c r="GZ73" s="47"/>
      <c r="HA73" s="46">
        <v>63</v>
      </c>
      <c r="HB73">
        <v>60</v>
      </c>
      <c r="HC73" s="42">
        <v>3</v>
      </c>
      <c r="HD73" s="44"/>
      <c r="HE73" s="43"/>
      <c r="HI73" s="42">
        <v>0</v>
      </c>
      <c r="HJ73" s="47"/>
      <c r="HK73" s="46">
        <v>105</v>
      </c>
      <c r="HL73">
        <v>100</v>
      </c>
      <c r="HM73">
        <v>198</v>
      </c>
      <c r="HN73">
        <v>190</v>
      </c>
      <c r="HO73" s="42">
        <v>13</v>
      </c>
      <c r="HP73" s="44"/>
      <c r="HR73">
        <v>205</v>
      </c>
      <c r="HS73">
        <v>200</v>
      </c>
      <c r="HT73">
        <v>205</v>
      </c>
      <c r="HU73">
        <v>210</v>
      </c>
      <c r="HV73" s="42">
        <v>0</v>
      </c>
      <c r="HW73" s="44"/>
      <c r="HX73" s="46">
        <v>148</v>
      </c>
      <c r="HY73">
        <v>150</v>
      </c>
      <c r="HZ73">
        <v>128</v>
      </c>
      <c r="IA73">
        <v>130</v>
      </c>
      <c r="IB73" s="42">
        <v>-4</v>
      </c>
      <c r="IC73" s="44"/>
      <c r="ID73">
        <v>80</v>
      </c>
      <c r="IE73">
        <v>80</v>
      </c>
      <c r="IF73">
        <v>118</v>
      </c>
      <c r="IG73">
        <v>120</v>
      </c>
      <c r="IH73" s="42">
        <v>-2</v>
      </c>
      <c r="II73" s="47"/>
      <c r="IJ73">
        <v>101</v>
      </c>
      <c r="IK73">
        <v>100</v>
      </c>
      <c r="IL73">
        <v>89</v>
      </c>
      <c r="IM73">
        <v>90</v>
      </c>
      <c r="IN73" s="42">
        <v>0</v>
      </c>
      <c r="IO73" s="47"/>
      <c r="IP73">
        <v>129</v>
      </c>
      <c r="IQ73">
        <v>130</v>
      </c>
      <c r="IR73">
        <v>119</v>
      </c>
      <c r="IS73">
        <v>120</v>
      </c>
      <c r="IT73" s="42">
        <v>-2</v>
      </c>
      <c r="IU73" s="47"/>
      <c r="IV73">
        <v>173</v>
      </c>
      <c r="IW73">
        <v>170</v>
      </c>
      <c r="IX73">
        <v>130</v>
      </c>
      <c r="IY73">
        <v>130</v>
      </c>
      <c r="IZ73" s="42">
        <v>3</v>
      </c>
      <c r="JA73" s="44"/>
      <c r="JB73">
        <v>124</v>
      </c>
      <c r="JC73">
        <v>126</v>
      </c>
      <c r="JD73" s="42">
        <v>-2</v>
      </c>
      <c r="JE73" s="44"/>
      <c r="JF73">
        <v>139</v>
      </c>
      <c r="JG73">
        <v>140</v>
      </c>
      <c r="JH73">
        <v>101</v>
      </c>
      <c r="JI73">
        <v>101</v>
      </c>
      <c r="JJ73" s="42">
        <v>-1</v>
      </c>
      <c r="JK73" s="44"/>
      <c r="JL73" s="46">
        <v>109</v>
      </c>
      <c r="JM73" s="40">
        <v>110</v>
      </c>
      <c r="JN73" s="42">
        <v>-1</v>
      </c>
      <c r="JO73" s="44"/>
      <c r="JR73">
        <v>110</v>
      </c>
      <c r="JS73">
        <v>110</v>
      </c>
      <c r="JT73" s="42">
        <v>0</v>
      </c>
      <c r="JU73" s="44"/>
      <c r="JV73">
        <v>90</v>
      </c>
      <c r="JW73">
        <v>90</v>
      </c>
      <c r="JZ73" s="42">
        <v>0</v>
      </c>
      <c r="KA73" s="47"/>
      <c r="KB73">
        <v>98</v>
      </c>
      <c r="KC73">
        <v>100</v>
      </c>
      <c r="KD73">
        <v>371</v>
      </c>
      <c r="KE73">
        <v>370</v>
      </c>
      <c r="KF73" s="42">
        <v>-1</v>
      </c>
      <c r="KG73" s="44"/>
      <c r="KH73">
        <v>50</v>
      </c>
      <c r="KI73">
        <v>50</v>
      </c>
      <c r="KJ73">
        <v>50</v>
      </c>
      <c r="KK73">
        <v>50</v>
      </c>
      <c r="KL73" s="42">
        <v>0</v>
      </c>
      <c r="KM73" s="47"/>
      <c r="KN73" s="46">
        <v>60</v>
      </c>
      <c r="KO73">
        <v>60</v>
      </c>
      <c r="KP73">
        <v>60</v>
      </c>
      <c r="KQ73">
        <v>60</v>
      </c>
      <c r="KT73" s="42">
        <v>0</v>
      </c>
      <c r="KU73" s="47"/>
      <c r="KV73" s="40">
        <v>198.691</v>
      </c>
      <c r="KW73" s="40">
        <v>200</v>
      </c>
      <c r="KX73" s="40">
        <v>271.637</v>
      </c>
      <c r="KY73" s="40">
        <v>270</v>
      </c>
      <c r="KZ73" s="42">
        <v>0.32799999999997448</v>
      </c>
      <c r="LA73" s="47"/>
      <c r="LB73" s="40">
        <v>0</v>
      </c>
      <c r="LC73" s="40">
        <v>0</v>
      </c>
      <c r="LD73" s="40">
        <v>0</v>
      </c>
      <c r="LE73" s="40">
        <v>0</v>
      </c>
      <c r="LF73" s="42">
        <v>0</v>
      </c>
      <c r="LG73" s="47"/>
      <c r="LH73" s="45">
        <v>18.056999999999999</v>
      </c>
      <c r="LI73" s="40">
        <v>20</v>
      </c>
      <c r="LJ73" s="42">
        <v>-1.9430000000000009</v>
      </c>
      <c r="LK73" s="47"/>
      <c r="LL73" s="45">
        <v>82.081000000000003</v>
      </c>
      <c r="LM73" s="40">
        <v>80</v>
      </c>
      <c r="LN73" s="40">
        <v>48.207999999999998</v>
      </c>
      <c r="LO73" s="40">
        <v>50</v>
      </c>
      <c r="LP73" s="42">
        <v>0.28899999999998732</v>
      </c>
      <c r="LQ73" s="47"/>
      <c r="LR73" s="45">
        <v>199.52699999999999</v>
      </c>
      <c r="LS73" s="40">
        <v>200</v>
      </c>
      <c r="LT73" s="40">
        <v>299.31400000000002</v>
      </c>
      <c r="LU73" s="40">
        <v>300</v>
      </c>
      <c r="LV73" s="42">
        <v>-1.158999999999992</v>
      </c>
      <c r="LW73" s="47"/>
      <c r="LX73" s="45">
        <v>0</v>
      </c>
      <c r="LY73" s="40">
        <v>0</v>
      </c>
      <c r="LZ73" s="42">
        <v>0</v>
      </c>
      <c r="MA73" s="47"/>
      <c r="MB73" s="45">
        <v>103.104</v>
      </c>
      <c r="MC73" s="40">
        <v>100</v>
      </c>
      <c r="MD73" s="40">
        <v>230.745</v>
      </c>
      <c r="ME73" s="40">
        <v>230</v>
      </c>
      <c r="MF73" s="42">
        <v>3.84899999999999</v>
      </c>
      <c r="MG73" s="47"/>
      <c r="MH73" s="45">
        <v>179.85</v>
      </c>
      <c r="MI73" s="40">
        <v>180</v>
      </c>
      <c r="MJ73" s="42">
        <v>-0.15000000000000571</v>
      </c>
      <c r="MK73" s="47"/>
      <c r="ML73" s="45">
        <v>51.554000000000002</v>
      </c>
      <c r="MM73" s="40">
        <v>50</v>
      </c>
      <c r="MN73" s="40">
        <v>252.44900000000001</v>
      </c>
      <c r="MO73" s="40">
        <v>250</v>
      </c>
      <c r="MP73" s="42">
        <v>4.0030000000000427</v>
      </c>
      <c r="MQ73" s="47"/>
      <c r="MR73" s="40">
        <v>0</v>
      </c>
      <c r="MS73" s="40">
        <v>0</v>
      </c>
      <c r="MT73" s="40">
        <v>203.839</v>
      </c>
      <c r="MU73" s="40">
        <v>200</v>
      </c>
      <c r="MV73" s="42">
        <v>3.8389999999999991</v>
      </c>
      <c r="MW73" s="47"/>
      <c r="MX73" s="45">
        <v>50.365000000000002</v>
      </c>
      <c r="MY73" s="40">
        <v>50</v>
      </c>
      <c r="MZ73" s="40">
        <v>200.05600000000001</v>
      </c>
      <c r="NA73" s="40">
        <v>200</v>
      </c>
      <c r="NB73" s="42">
        <v>0.42100000000002069</v>
      </c>
      <c r="NC73" s="47"/>
      <c r="ND73" s="45">
        <v>30.209</v>
      </c>
      <c r="NE73" s="40">
        <v>60</v>
      </c>
      <c r="NF73" s="40">
        <v>170.72200000000001</v>
      </c>
      <c r="NG73" s="40">
        <v>170</v>
      </c>
      <c r="NH73" s="39">
        <v>-29.068999999999988</v>
      </c>
      <c r="NI73" s="47">
        <v>29.068999999999988</v>
      </c>
      <c r="NJ73" s="45">
        <v>0</v>
      </c>
      <c r="NK73" s="40">
        <v>0</v>
      </c>
      <c r="NL73" s="40">
        <v>81.415999999999997</v>
      </c>
      <c r="NM73" s="40">
        <v>80</v>
      </c>
      <c r="NN73" s="42">
        <v>1.415999999999997</v>
      </c>
      <c r="NO73" s="47"/>
      <c r="NP73" s="45">
        <v>0</v>
      </c>
      <c r="NQ73" s="40">
        <v>0</v>
      </c>
      <c r="NR73" s="40">
        <v>0</v>
      </c>
      <c r="NS73" s="40">
        <v>0</v>
      </c>
      <c r="NT73" s="42">
        <v>0</v>
      </c>
      <c r="NU73" s="47"/>
      <c r="NV73" s="45">
        <v>201.56899999999999</v>
      </c>
      <c r="NW73" s="40">
        <v>200</v>
      </c>
      <c r="NX73" s="40">
        <v>203.41</v>
      </c>
      <c r="NY73" s="40">
        <v>200</v>
      </c>
      <c r="NZ73" s="42">
        <v>4.978999999999985</v>
      </c>
      <c r="OA73" s="47"/>
      <c r="OB73" s="45">
        <v>300.19200000000001</v>
      </c>
      <c r="OC73" s="40">
        <v>300</v>
      </c>
      <c r="OD73" s="42">
        <v>0.1920000000000073</v>
      </c>
      <c r="OE73" s="47"/>
      <c r="OF73" s="45">
        <v>0</v>
      </c>
      <c r="OG73" s="40">
        <v>0</v>
      </c>
      <c r="OH73" s="40">
        <v>60.564999999999998</v>
      </c>
      <c r="OI73" s="40">
        <v>60</v>
      </c>
      <c r="OJ73" s="42">
        <v>0.56499999999999773</v>
      </c>
      <c r="OK73" s="47"/>
      <c r="OL73" s="45">
        <v>90.096999999999994</v>
      </c>
      <c r="OM73" s="40">
        <v>90</v>
      </c>
      <c r="ON73" s="40">
        <v>75.8</v>
      </c>
      <c r="OO73" s="40">
        <v>75</v>
      </c>
      <c r="OP73" s="42">
        <v>0.89699999999999136</v>
      </c>
      <c r="OQ73" s="47"/>
      <c r="OR73" s="45">
        <v>149.702</v>
      </c>
      <c r="OS73" s="40">
        <v>150</v>
      </c>
      <c r="OT73" s="40">
        <v>149.923</v>
      </c>
      <c r="OU73" s="40">
        <v>150</v>
      </c>
      <c r="OV73" s="42">
        <v>-0.375</v>
      </c>
      <c r="OW73" s="47"/>
      <c r="OX73" s="40">
        <v>59.695</v>
      </c>
      <c r="OY73" s="40">
        <v>60</v>
      </c>
      <c r="OZ73" s="40">
        <v>60.058</v>
      </c>
      <c r="PA73" s="40">
        <v>60</v>
      </c>
      <c r="PB73" s="42">
        <v>-0.24699999999999989</v>
      </c>
      <c r="PC73" s="47"/>
      <c r="PD73" s="45">
        <v>0</v>
      </c>
      <c r="PE73" s="40">
        <v>0</v>
      </c>
      <c r="PF73" s="40">
        <v>119.947</v>
      </c>
      <c r="PG73" s="40">
        <v>120</v>
      </c>
      <c r="PH73" s="42">
        <v>-5.2999999999997272E-2</v>
      </c>
      <c r="PI73" s="47"/>
      <c r="PJ73" s="45">
        <v>0</v>
      </c>
      <c r="PK73" s="40">
        <v>0</v>
      </c>
      <c r="PL73" s="40">
        <v>265.786</v>
      </c>
      <c r="PM73" s="40">
        <v>263</v>
      </c>
      <c r="PN73" s="42">
        <v>2.7860000000000009</v>
      </c>
      <c r="PO73" s="47"/>
      <c r="PP73" s="43">
        <v>0</v>
      </c>
      <c r="PQ73" s="40">
        <v>0</v>
      </c>
      <c r="PR73" s="40">
        <v>51.185000000000002</v>
      </c>
      <c r="PS73" s="40">
        <v>50</v>
      </c>
      <c r="PT73" s="42">
        <v>1.1850000000000021</v>
      </c>
      <c r="PU73" s="47"/>
      <c r="PV73" s="45">
        <v>0</v>
      </c>
      <c r="PW73" s="40">
        <v>0</v>
      </c>
      <c r="PX73" s="40">
        <v>80.754999999999995</v>
      </c>
      <c r="PY73" s="40">
        <v>80</v>
      </c>
      <c r="PZ73" s="42">
        <v>0.75499999999999545</v>
      </c>
      <c r="QA73" s="47"/>
      <c r="QB73" s="45">
        <v>150.09899999999999</v>
      </c>
      <c r="QC73" s="40">
        <v>150</v>
      </c>
      <c r="QD73" s="42">
        <v>9.8999999999989541E-2</v>
      </c>
      <c r="QE73" s="47"/>
      <c r="QF73" s="45">
        <v>0</v>
      </c>
      <c r="QG73" s="40">
        <v>0</v>
      </c>
      <c r="QH73" s="40">
        <v>0</v>
      </c>
      <c r="QI73" s="40">
        <v>0</v>
      </c>
      <c r="QJ73" s="42">
        <v>0</v>
      </c>
      <c r="QK73" s="47"/>
      <c r="QL73" s="45">
        <v>0</v>
      </c>
      <c r="QM73" s="40">
        <v>0</v>
      </c>
      <c r="QN73" s="40">
        <v>0</v>
      </c>
      <c r="QO73" s="40">
        <v>0</v>
      </c>
      <c r="QP73" s="42">
        <v>0</v>
      </c>
      <c r="QQ73" s="47"/>
      <c r="QR73" s="45">
        <v>0</v>
      </c>
      <c r="QS73" s="40">
        <v>0</v>
      </c>
      <c r="QT73" s="40">
        <v>51.244</v>
      </c>
      <c r="QU73" s="40">
        <v>0</v>
      </c>
      <c r="QV73" s="42">
        <v>51.244</v>
      </c>
      <c r="QW73" s="47"/>
      <c r="QX73" s="45">
        <v>0</v>
      </c>
      <c r="QY73" s="40">
        <v>0</v>
      </c>
      <c r="QZ73" s="40">
        <v>0</v>
      </c>
      <c r="RA73" s="40">
        <v>0</v>
      </c>
      <c r="RB73" s="42">
        <v>0</v>
      </c>
      <c r="RC73" s="47"/>
      <c r="RD73" s="45">
        <v>0</v>
      </c>
      <c r="RE73" s="40">
        <v>0</v>
      </c>
      <c r="RF73" s="42">
        <v>0</v>
      </c>
      <c r="RG73" s="47"/>
    </row>
    <row r="74" spans="1:475" x14ac:dyDescent="0.25">
      <c r="A74" s="40" t="s">
        <v>363</v>
      </c>
      <c r="B74" s="41">
        <v>0.1</v>
      </c>
      <c r="N74" s="43"/>
      <c r="O74" s="48"/>
      <c r="P74" s="48"/>
      <c r="Q74" s="48"/>
      <c r="R74" s="48">
        <f t="shared" si="13"/>
        <v>0</v>
      </c>
      <c r="S74" s="44"/>
      <c r="T74" s="43"/>
      <c r="U74" s="48"/>
      <c r="V74" s="48"/>
      <c r="W74" s="48"/>
      <c r="X74" s="48">
        <f t="shared" si="14"/>
        <v>0</v>
      </c>
      <c r="Y74" s="44"/>
      <c r="Z74" s="43"/>
      <c r="AA74" s="48"/>
      <c r="AB74" s="48"/>
      <c r="AC74" s="48"/>
      <c r="AD74" s="48">
        <f t="shared" si="15"/>
        <v>0</v>
      </c>
      <c r="AE74" s="44"/>
      <c r="AF74" s="43"/>
      <c r="AG74" s="48"/>
      <c r="AH74" s="48"/>
      <c r="AI74" s="48"/>
      <c r="AJ74" s="48">
        <f t="shared" si="16"/>
        <v>0</v>
      </c>
      <c r="AK74" s="44"/>
      <c r="AL74" s="48"/>
      <c r="AP74" s="42">
        <v>0</v>
      </c>
      <c r="AQ74" s="44"/>
      <c r="AR74" s="43"/>
      <c r="AV74" s="42">
        <v>0</v>
      </c>
      <c r="AW74" s="44"/>
      <c r="BC74" s="42">
        <v>0</v>
      </c>
      <c r="BD74" s="44"/>
      <c r="BE74" s="43"/>
      <c r="BI74" s="42">
        <v>0</v>
      </c>
      <c r="BJ74" s="44"/>
      <c r="BO74" s="42">
        <v>0</v>
      </c>
      <c r="BP74" s="44"/>
      <c r="BS74" s="42">
        <v>0</v>
      </c>
      <c r="BT74" s="44"/>
      <c r="BU74" s="43"/>
      <c r="BY74" s="42">
        <v>0</v>
      </c>
      <c r="BZ74" s="44"/>
      <c r="CE74" s="42">
        <v>0</v>
      </c>
      <c r="CF74" s="44"/>
      <c r="CG74" s="43"/>
      <c r="CK74" s="42">
        <v>0</v>
      </c>
      <c r="CL74" s="44"/>
      <c r="CM74" s="43"/>
      <c r="CQ74" s="42">
        <v>0</v>
      </c>
      <c r="CR74" s="44"/>
      <c r="CW74" s="42">
        <v>0</v>
      </c>
      <c r="CX74" s="44"/>
      <c r="CY74" s="43"/>
      <c r="DC74" s="42">
        <v>0</v>
      </c>
      <c r="DD74" s="44"/>
      <c r="DE74" s="43"/>
      <c r="DK74" s="42">
        <v>0</v>
      </c>
      <c r="DL74" s="44"/>
      <c r="DM74" s="43"/>
      <c r="DQ74" s="42">
        <v>0</v>
      </c>
      <c r="DR74" s="44"/>
      <c r="DY74" s="42">
        <v>0</v>
      </c>
      <c r="DZ74" s="44"/>
      <c r="EA74" s="43"/>
      <c r="EE74" s="42">
        <v>0</v>
      </c>
      <c r="EF74" s="44"/>
      <c r="EG74" s="43"/>
      <c r="EK74" s="42">
        <v>0</v>
      </c>
      <c r="EL74" s="44"/>
      <c r="EM74" s="43"/>
      <c r="EQ74" s="42">
        <v>0</v>
      </c>
      <c r="ER74" s="44"/>
      <c r="EY74" s="42">
        <v>0</v>
      </c>
      <c r="EZ74" s="44"/>
      <c r="FE74" s="42">
        <v>0</v>
      </c>
      <c r="FF74" s="44"/>
      <c r="FG74" s="43"/>
      <c r="FK74" s="42">
        <v>0</v>
      </c>
      <c r="FL74" s="44"/>
      <c r="FM74" s="43"/>
      <c r="FO74" s="42">
        <v>0</v>
      </c>
      <c r="FP74" s="44"/>
      <c r="FU74" s="42">
        <v>0</v>
      </c>
      <c r="FV74" s="44"/>
      <c r="FW74" s="43"/>
      <c r="GC74" s="42">
        <v>0</v>
      </c>
      <c r="GD74" s="44"/>
      <c r="GI74" s="42">
        <v>0</v>
      </c>
      <c r="GJ74" s="44"/>
      <c r="GK74" s="43"/>
      <c r="GO74" s="42">
        <v>0</v>
      </c>
      <c r="GP74" s="47"/>
      <c r="GU74" s="42">
        <v>0</v>
      </c>
      <c r="GV74" s="44"/>
      <c r="GY74" s="42">
        <v>0</v>
      </c>
      <c r="GZ74" s="47"/>
      <c r="HA74" s="43"/>
      <c r="HC74" s="42">
        <v>0</v>
      </c>
      <c r="HD74" s="44"/>
      <c r="HE74" s="43"/>
      <c r="HI74" s="42">
        <v>0</v>
      </c>
      <c r="HJ74" s="47"/>
      <c r="HK74" s="43"/>
      <c r="HO74" s="42">
        <v>0</v>
      </c>
      <c r="HP74" s="44"/>
      <c r="HV74" s="42">
        <v>0</v>
      </c>
      <c r="HW74" s="44"/>
      <c r="HX74" s="45"/>
      <c r="IB74" s="42">
        <v>0</v>
      </c>
      <c r="IC74" s="44"/>
      <c r="IH74" s="42">
        <v>0</v>
      </c>
      <c r="II74" s="47"/>
      <c r="IN74" s="42">
        <v>0</v>
      </c>
      <c r="IO74" s="47"/>
      <c r="IT74" s="42">
        <v>0</v>
      </c>
      <c r="IU74" s="47"/>
      <c r="IZ74" s="42">
        <v>0</v>
      </c>
      <c r="JA74" s="44"/>
      <c r="JD74" s="42">
        <v>0</v>
      </c>
      <c r="JE74" s="44"/>
      <c r="JJ74" s="42">
        <v>0</v>
      </c>
      <c r="JK74" s="44"/>
      <c r="JL74" s="45"/>
      <c r="JN74" s="42">
        <v>0</v>
      </c>
      <c r="JO74" s="44"/>
      <c r="JT74" s="42">
        <v>0</v>
      </c>
      <c r="JU74" s="44"/>
      <c r="JZ74" s="42">
        <v>0</v>
      </c>
      <c r="KA74" s="47"/>
      <c r="KF74" s="42">
        <v>0</v>
      </c>
      <c r="KG74" s="44"/>
      <c r="KH74" s="41"/>
      <c r="KL74" s="42">
        <v>0</v>
      </c>
      <c r="KM74" s="47"/>
      <c r="KN74" s="45"/>
      <c r="KT74" s="42">
        <v>0</v>
      </c>
      <c r="KU74" s="47"/>
      <c r="KV74" s="40">
        <v>0</v>
      </c>
      <c r="KW74" s="40">
        <v>0</v>
      </c>
      <c r="KX74" s="40">
        <v>0</v>
      </c>
      <c r="KY74" s="40">
        <v>0</v>
      </c>
      <c r="KZ74" s="42">
        <v>0</v>
      </c>
      <c r="LA74" s="47"/>
      <c r="LB74" s="40">
        <v>0</v>
      </c>
      <c r="LC74" s="40">
        <v>0</v>
      </c>
      <c r="LD74" s="40">
        <v>0</v>
      </c>
      <c r="LE74" s="40">
        <v>0</v>
      </c>
      <c r="LF74" s="42">
        <v>0</v>
      </c>
      <c r="LG74" s="47"/>
      <c r="LH74" s="45">
        <v>0</v>
      </c>
      <c r="LI74" s="40">
        <v>0</v>
      </c>
      <c r="LJ74" s="42">
        <v>0</v>
      </c>
      <c r="LK74" s="47"/>
      <c r="LL74" s="45">
        <v>0</v>
      </c>
      <c r="LM74" s="40">
        <v>0</v>
      </c>
      <c r="LN74" s="40">
        <v>0</v>
      </c>
      <c r="LO74" s="40">
        <v>0</v>
      </c>
      <c r="LP74" s="42">
        <v>0</v>
      </c>
      <c r="LQ74" s="47"/>
      <c r="LR74" s="45">
        <v>0</v>
      </c>
      <c r="LS74" s="40">
        <v>0</v>
      </c>
      <c r="LT74" s="40">
        <v>0</v>
      </c>
      <c r="LU74" s="40">
        <v>0</v>
      </c>
      <c r="LV74" s="42">
        <v>0</v>
      </c>
      <c r="LW74" s="47"/>
      <c r="LX74" s="45">
        <v>0</v>
      </c>
      <c r="LY74" s="40">
        <v>0</v>
      </c>
      <c r="LZ74" s="42">
        <v>0</v>
      </c>
      <c r="MA74" s="47"/>
      <c r="MB74" s="45">
        <v>0</v>
      </c>
      <c r="MC74" s="40">
        <v>0</v>
      </c>
      <c r="MD74" s="40">
        <v>0</v>
      </c>
      <c r="ME74" s="40">
        <v>0</v>
      </c>
      <c r="MF74" s="42">
        <v>0</v>
      </c>
      <c r="MG74" s="47"/>
      <c r="MH74" s="45">
        <v>0</v>
      </c>
      <c r="MI74" s="40">
        <v>0</v>
      </c>
      <c r="MJ74" s="42">
        <v>0</v>
      </c>
      <c r="MK74" s="47"/>
      <c r="ML74" s="45">
        <v>0</v>
      </c>
      <c r="MM74" s="40">
        <v>0</v>
      </c>
      <c r="MN74" s="40">
        <v>0</v>
      </c>
      <c r="MO74" s="40">
        <v>0</v>
      </c>
      <c r="MP74" s="42">
        <v>0</v>
      </c>
      <c r="MQ74" s="47"/>
      <c r="MR74" s="40">
        <v>0</v>
      </c>
      <c r="MS74" s="40">
        <v>0</v>
      </c>
      <c r="MT74" s="40">
        <v>0</v>
      </c>
      <c r="MU74" s="40">
        <v>0</v>
      </c>
      <c r="MV74" s="42">
        <v>0</v>
      </c>
      <c r="MW74" s="47"/>
      <c r="MX74" s="45">
        <v>0</v>
      </c>
      <c r="MY74" s="40">
        <v>0</v>
      </c>
      <c r="MZ74" s="40">
        <v>0</v>
      </c>
      <c r="NA74" s="40">
        <v>0</v>
      </c>
      <c r="NB74" s="42">
        <v>0</v>
      </c>
      <c r="NC74" s="47"/>
      <c r="ND74" s="45">
        <v>0</v>
      </c>
      <c r="NE74" s="40">
        <v>0</v>
      </c>
      <c r="NF74" s="40">
        <v>0</v>
      </c>
      <c r="NG74" s="40">
        <v>0</v>
      </c>
      <c r="NH74" s="42">
        <v>0</v>
      </c>
      <c r="NI74" s="47"/>
      <c r="NJ74" s="45">
        <v>0</v>
      </c>
      <c r="NK74" s="40">
        <v>0</v>
      </c>
      <c r="NL74" s="40">
        <v>0</v>
      </c>
      <c r="NM74" s="40">
        <v>0</v>
      </c>
      <c r="NN74" s="42">
        <v>0</v>
      </c>
      <c r="NO74" s="47"/>
      <c r="NP74" s="45">
        <v>0</v>
      </c>
      <c r="NQ74" s="40">
        <v>0</v>
      </c>
      <c r="NR74" s="40">
        <v>0</v>
      </c>
      <c r="NS74" s="40">
        <v>0</v>
      </c>
      <c r="NT74" s="42">
        <v>0</v>
      </c>
      <c r="NU74" s="47"/>
      <c r="NV74" s="45">
        <v>0</v>
      </c>
      <c r="NW74" s="40">
        <v>0</v>
      </c>
      <c r="NX74" s="40">
        <v>0</v>
      </c>
      <c r="NY74" s="40">
        <v>0</v>
      </c>
      <c r="NZ74" s="42">
        <v>0</v>
      </c>
      <c r="OA74" s="47"/>
      <c r="OB74" s="45">
        <v>0</v>
      </c>
      <c r="OC74" s="40">
        <v>0</v>
      </c>
      <c r="OD74" s="42">
        <v>0</v>
      </c>
      <c r="OE74" s="47"/>
      <c r="OF74" s="45">
        <v>0</v>
      </c>
      <c r="OG74" s="40">
        <v>0</v>
      </c>
      <c r="OH74" s="40">
        <v>0</v>
      </c>
      <c r="OI74" s="40">
        <v>0</v>
      </c>
      <c r="OJ74" s="42">
        <v>0</v>
      </c>
      <c r="OK74" s="47"/>
      <c r="OL74" s="45">
        <v>0</v>
      </c>
      <c r="OM74" s="40">
        <v>0</v>
      </c>
      <c r="ON74" s="40">
        <v>0</v>
      </c>
      <c r="OO74" s="40">
        <v>0</v>
      </c>
      <c r="OP74" s="42">
        <v>0</v>
      </c>
      <c r="OQ74" s="47"/>
      <c r="OR74" s="45">
        <v>0</v>
      </c>
      <c r="OS74" s="40">
        <v>0</v>
      </c>
      <c r="OT74" s="40">
        <v>0</v>
      </c>
      <c r="OU74" s="40">
        <v>0</v>
      </c>
      <c r="OV74" s="42">
        <v>0</v>
      </c>
      <c r="OW74" s="47"/>
      <c r="OX74" s="40">
        <v>0</v>
      </c>
      <c r="OY74" s="40">
        <v>0</v>
      </c>
      <c r="OZ74" s="40">
        <v>0</v>
      </c>
      <c r="PA74" s="40">
        <v>0</v>
      </c>
      <c r="PB74" s="42">
        <v>0</v>
      </c>
      <c r="PC74" s="47"/>
      <c r="PD74" s="45">
        <v>0</v>
      </c>
      <c r="PE74" s="40">
        <v>0</v>
      </c>
      <c r="PF74" s="40">
        <v>0</v>
      </c>
      <c r="PG74" s="14">
        <v>150</v>
      </c>
      <c r="PH74" s="42">
        <v>0</v>
      </c>
      <c r="PI74" s="47"/>
      <c r="PJ74" s="45">
        <v>0</v>
      </c>
      <c r="PK74" s="40">
        <v>0</v>
      </c>
      <c r="PL74" s="40">
        <v>10</v>
      </c>
      <c r="PM74" s="40">
        <v>12</v>
      </c>
      <c r="PN74" s="42">
        <v>-2</v>
      </c>
      <c r="PO74" s="47"/>
      <c r="PP74" s="43">
        <v>50</v>
      </c>
      <c r="PQ74" s="40">
        <v>50</v>
      </c>
      <c r="PR74" s="40">
        <v>50</v>
      </c>
      <c r="PS74" s="40">
        <v>50</v>
      </c>
      <c r="PT74" s="42">
        <v>0</v>
      </c>
      <c r="PU74" s="47"/>
      <c r="PV74" s="45">
        <v>0</v>
      </c>
      <c r="PW74" s="40">
        <v>0</v>
      </c>
      <c r="PX74" s="40">
        <v>0</v>
      </c>
      <c r="PY74" s="40">
        <v>0</v>
      </c>
      <c r="PZ74" s="42">
        <v>0</v>
      </c>
      <c r="QA74" s="47"/>
      <c r="QB74" s="45">
        <v>40</v>
      </c>
      <c r="QC74" s="40">
        <v>40</v>
      </c>
      <c r="QD74" s="42">
        <v>0</v>
      </c>
      <c r="QE74" s="47"/>
      <c r="QF74" s="45">
        <v>50</v>
      </c>
      <c r="QG74" s="40">
        <v>50</v>
      </c>
      <c r="QH74" s="40">
        <v>40</v>
      </c>
      <c r="QI74" s="40">
        <v>50</v>
      </c>
      <c r="QJ74" s="39">
        <v>-10</v>
      </c>
      <c r="QK74" s="47">
        <v>1</v>
      </c>
      <c r="QL74" s="45">
        <v>70</v>
      </c>
      <c r="QM74" s="40">
        <v>70</v>
      </c>
      <c r="QN74" s="40">
        <v>0</v>
      </c>
      <c r="QO74" s="40">
        <v>0</v>
      </c>
      <c r="QP74" s="42">
        <v>0</v>
      </c>
      <c r="QQ74" s="47"/>
      <c r="QR74" s="45">
        <v>40</v>
      </c>
      <c r="QS74" s="40">
        <v>40</v>
      </c>
      <c r="QT74" s="40">
        <v>0</v>
      </c>
      <c r="QU74" s="40">
        <v>60</v>
      </c>
      <c r="QV74" s="39">
        <v>-60</v>
      </c>
      <c r="QW74" s="47">
        <v>6</v>
      </c>
      <c r="QX74" s="45">
        <v>80</v>
      </c>
      <c r="QY74" s="40">
        <v>80</v>
      </c>
      <c r="QZ74" s="40">
        <v>0</v>
      </c>
      <c r="RA74" s="40">
        <v>0</v>
      </c>
      <c r="RB74" s="42">
        <v>0</v>
      </c>
      <c r="RC74" s="47"/>
      <c r="RD74" s="45">
        <v>200</v>
      </c>
      <c r="RE74" s="40">
        <v>200</v>
      </c>
      <c r="RF74" s="42">
        <v>0</v>
      </c>
      <c r="RG74" s="47"/>
    </row>
    <row r="75" spans="1:475" x14ac:dyDescent="0.25">
      <c r="A75" s="40" t="s">
        <v>364</v>
      </c>
      <c r="B75" s="41">
        <v>1</v>
      </c>
      <c r="N75" s="43"/>
      <c r="O75" s="48"/>
      <c r="P75" s="48"/>
      <c r="Q75" s="48"/>
      <c r="R75" s="48">
        <f t="shared" si="13"/>
        <v>0</v>
      </c>
      <c r="S75" s="44"/>
      <c r="T75" s="43"/>
      <c r="U75" s="48"/>
      <c r="V75" s="48"/>
      <c r="W75" s="48"/>
      <c r="X75" s="48">
        <f t="shared" si="14"/>
        <v>0</v>
      </c>
      <c r="Y75" s="44"/>
      <c r="Z75" s="43"/>
      <c r="AA75" s="48"/>
      <c r="AB75" s="48"/>
      <c r="AC75" s="48"/>
      <c r="AD75" s="48">
        <f t="shared" si="15"/>
        <v>0</v>
      </c>
      <c r="AE75" s="44"/>
      <c r="AF75" s="43"/>
      <c r="AG75" s="48"/>
      <c r="AH75" s="48"/>
      <c r="AI75" s="48"/>
      <c r="AJ75" s="48">
        <f t="shared" si="16"/>
        <v>0</v>
      </c>
      <c r="AK75" s="44"/>
      <c r="AL75" s="48"/>
      <c r="AP75" s="42">
        <v>0</v>
      </c>
      <c r="AQ75" s="44"/>
      <c r="AR75" s="43"/>
      <c r="AV75" s="42">
        <v>0</v>
      </c>
      <c r="AW75" s="44"/>
      <c r="BC75" s="42">
        <v>0</v>
      </c>
      <c r="BD75" s="44"/>
      <c r="BE75" s="43"/>
      <c r="BI75" s="42">
        <v>0</v>
      </c>
      <c r="BJ75" s="44"/>
      <c r="BO75" s="42">
        <v>0</v>
      </c>
      <c r="BP75" s="44"/>
      <c r="BS75" s="42">
        <v>0</v>
      </c>
      <c r="BT75" s="44"/>
      <c r="BU75" s="43"/>
      <c r="BY75" s="42">
        <v>0</v>
      </c>
      <c r="BZ75" s="44"/>
      <c r="CE75" s="42">
        <v>0</v>
      </c>
      <c r="CF75" s="44"/>
      <c r="CG75" s="43"/>
      <c r="CK75" s="42">
        <v>0</v>
      </c>
      <c r="CL75" s="44"/>
      <c r="CM75" s="43"/>
      <c r="CQ75" s="42">
        <v>0</v>
      </c>
      <c r="CR75" s="44"/>
      <c r="CW75" s="42">
        <v>0</v>
      </c>
      <c r="CX75" s="44"/>
      <c r="CY75" s="43"/>
      <c r="DC75" s="42">
        <v>0</v>
      </c>
      <c r="DD75" s="44"/>
      <c r="DE75" s="43"/>
      <c r="DK75" s="42">
        <v>0</v>
      </c>
      <c r="DL75" s="44"/>
      <c r="DM75" s="43"/>
      <c r="DQ75" s="42">
        <v>0</v>
      </c>
      <c r="DR75" s="44"/>
      <c r="DY75" s="42">
        <v>0</v>
      </c>
      <c r="DZ75" s="44"/>
      <c r="EA75" s="43"/>
      <c r="EE75" s="42">
        <v>0</v>
      </c>
      <c r="EF75" s="44"/>
      <c r="EG75" s="43"/>
      <c r="EK75" s="42">
        <v>0</v>
      </c>
      <c r="EL75" s="44"/>
      <c r="EM75" s="43"/>
      <c r="EQ75" s="42">
        <v>0</v>
      </c>
      <c r="ER75" s="44"/>
      <c r="EY75" s="42">
        <v>0</v>
      </c>
      <c r="EZ75" s="44"/>
      <c r="FE75" s="42">
        <v>0</v>
      </c>
      <c r="FF75" s="44"/>
      <c r="FG75" s="43"/>
      <c r="FK75" s="42">
        <v>0</v>
      </c>
      <c r="FL75" s="44"/>
      <c r="FM75" s="43"/>
      <c r="FO75" s="42">
        <v>0</v>
      </c>
      <c r="FP75" s="44"/>
      <c r="FU75" s="42">
        <v>0</v>
      </c>
      <c r="FV75" s="44"/>
      <c r="FW75" s="43"/>
      <c r="GC75" s="42">
        <v>0</v>
      </c>
      <c r="GD75" s="44"/>
      <c r="GI75" s="42">
        <v>0</v>
      </c>
      <c r="GJ75" s="44"/>
      <c r="GK75" s="43"/>
      <c r="GO75" s="42">
        <v>0</v>
      </c>
      <c r="GP75" s="47"/>
      <c r="GU75" s="42">
        <v>0</v>
      </c>
      <c r="GV75" s="44"/>
      <c r="GY75" s="42">
        <v>0</v>
      </c>
      <c r="GZ75" s="47"/>
      <c r="HA75" s="43"/>
      <c r="HC75" s="42">
        <v>0</v>
      </c>
      <c r="HD75" s="44"/>
      <c r="HE75" s="43"/>
      <c r="HI75" s="42">
        <v>0</v>
      </c>
      <c r="HJ75" s="47"/>
      <c r="HK75" s="43"/>
      <c r="HO75" s="42">
        <v>0</v>
      </c>
      <c r="HP75" s="44"/>
      <c r="HV75" s="42">
        <v>0</v>
      </c>
      <c r="HW75" s="44"/>
      <c r="HX75" s="45"/>
      <c r="IB75" s="42">
        <v>0</v>
      </c>
      <c r="IC75" s="44"/>
      <c r="IH75" s="42">
        <v>0</v>
      </c>
      <c r="II75" s="47"/>
      <c r="IN75" s="42">
        <v>0</v>
      </c>
      <c r="IO75" s="47"/>
      <c r="IT75" s="42">
        <v>0</v>
      </c>
      <c r="IU75" s="47"/>
      <c r="IZ75" s="42">
        <v>0</v>
      </c>
      <c r="JA75" s="44"/>
      <c r="JD75" s="42">
        <v>0</v>
      </c>
      <c r="JE75" s="44"/>
      <c r="JJ75" s="42">
        <v>0</v>
      </c>
      <c r="JK75" s="44"/>
      <c r="JL75" s="45"/>
      <c r="JN75" s="42">
        <v>0</v>
      </c>
      <c r="JO75" s="44"/>
      <c r="JT75" s="42">
        <v>0</v>
      </c>
      <c r="JU75" s="44"/>
      <c r="JZ75" s="42">
        <v>0</v>
      </c>
      <c r="KA75" s="47"/>
      <c r="KF75" s="42">
        <v>0</v>
      </c>
      <c r="KG75" s="44"/>
      <c r="KH75" s="41"/>
      <c r="KL75" s="42">
        <v>0</v>
      </c>
      <c r="KM75" s="47"/>
      <c r="KN75" s="45"/>
      <c r="KT75" s="42">
        <v>0</v>
      </c>
      <c r="KU75" s="47"/>
      <c r="KV75" s="40">
        <v>0</v>
      </c>
      <c r="KW75" s="40">
        <v>0</v>
      </c>
      <c r="KX75" s="40">
        <v>0</v>
      </c>
      <c r="KY75" s="40">
        <v>0</v>
      </c>
      <c r="KZ75" s="42">
        <v>0</v>
      </c>
      <c r="LA75" s="47"/>
      <c r="LB75" s="40">
        <v>0</v>
      </c>
      <c r="LC75" s="40">
        <v>0</v>
      </c>
      <c r="LD75" s="40">
        <v>0</v>
      </c>
      <c r="LE75" s="40">
        <v>0</v>
      </c>
      <c r="LF75" s="42">
        <v>0</v>
      </c>
      <c r="LG75" s="47"/>
      <c r="LH75" s="45">
        <v>0</v>
      </c>
      <c r="LI75" s="40">
        <v>0</v>
      </c>
      <c r="LJ75" s="42">
        <v>0</v>
      </c>
      <c r="LK75" s="47"/>
      <c r="LL75" s="45">
        <v>0</v>
      </c>
      <c r="LM75" s="40">
        <v>0</v>
      </c>
      <c r="LN75" s="40">
        <v>0</v>
      </c>
      <c r="LO75" s="40">
        <v>0</v>
      </c>
      <c r="LP75" s="42">
        <v>0</v>
      </c>
      <c r="LQ75" s="47"/>
      <c r="LR75" s="45">
        <v>0</v>
      </c>
      <c r="LS75" s="40">
        <v>0</v>
      </c>
      <c r="LT75" s="40">
        <v>0</v>
      </c>
      <c r="LU75" s="40">
        <v>0</v>
      </c>
      <c r="LV75" s="42">
        <v>0</v>
      </c>
      <c r="LW75" s="47"/>
      <c r="LX75" s="45">
        <v>0</v>
      </c>
      <c r="LY75" s="40">
        <v>0</v>
      </c>
      <c r="LZ75" s="42">
        <v>0</v>
      </c>
      <c r="MA75" s="47"/>
      <c r="MB75" s="45">
        <v>0</v>
      </c>
      <c r="MC75" s="40">
        <v>0</v>
      </c>
      <c r="MD75" s="40">
        <v>0</v>
      </c>
      <c r="ME75" s="40">
        <v>0</v>
      </c>
      <c r="MF75" s="42">
        <v>0</v>
      </c>
      <c r="MG75" s="47"/>
      <c r="MH75" s="45">
        <v>0</v>
      </c>
      <c r="MI75" s="40">
        <v>0</v>
      </c>
      <c r="MJ75" s="42">
        <v>0</v>
      </c>
      <c r="MK75" s="47"/>
      <c r="ML75" s="45">
        <v>0</v>
      </c>
      <c r="MM75" s="40">
        <v>0</v>
      </c>
      <c r="MN75" s="40">
        <v>0</v>
      </c>
      <c r="MO75" s="40">
        <v>0</v>
      </c>
      <c r="MP75" s="42">
        <v>0</v>
      </c>
      <c r="MQ75" s="47"/>
      <c r="MR75" s="40">
        <v>0</v>
      </c>
      <c r="MS75" s="40">
        <v>0</v>
      </c>
      <c r="MT75" s="40">
        <v>0</v>
      </c>
      <c r="MU75" s="40">
        <v>0</v>
      </c>
      <c r="MV75" s="42">
        <v>0</v>
      </c>
      <c r="MW75" s="47"/>
      <c r="MX75" s="45">
        <v>0</v>
      </c>
      <c r="MY75" s="40">
        <v>0</v>
      </c>
      <c r="MZ75" s="40">
        <v>0</v>
      </c>
      <c r="NA75" s="40">
        <v>0</v>
      </c>
      <c r="NB75" s="42">
        <v>0</v>
      </c>
      <c r="NC75" s="47"/>
      <c r="ND75" s="45">
        <v>0</v>
      </c>
      <c r="NE75" s="40">
        <v>0</v>
      </c>
      <c r="NF75" s="40">
        <v>0</v>
      </c>
      <c r="NG75" s="40">
        <v>0</v>
      </c>
      <c r="NH75" s="42">
        <v>0</v>
      </c>
      <c r="NI75" s="47"/>
      <c r="NJ75" s="45">
        <v>0</v>
      </c>
      <c r="NK75" s="40">
        <v>0</v>
      </c>
      <c r="NL75" s="40">
        <v>0</v>
      </c>
      <c r="NM75" s="40">
        <v>0</v>
      </c>
      <c r="NN75" s="42">
        <v>0</v>
      </c>
      <c r="NO75" s="47"/>
      <c r="NP75" s="45">
        <v>0</v>
      </c>
      <c r="NQ75" s="40">
        <v>0</v>
      </c>
      <c r="NR75" s="40">
        <v>0</v>
      </c>
      <c r="NS75" s="40">
        <v>0</v>
      </c>
      <c r="NT75" s="42">
        <v>0</v>
      </c>
      <c r="NU75" s="47"/>
      <c r="NV75" s="45">
        <v>0</v>
      </c>
      <c r="NW75" s="40">
        <v>0</v>
      </c>
      <c r="NX75" s="40">
        <v>0</v>
      </c>
      <c r="NY75" s="40">
        <v>0</v>
      </c>
      <c r="NZ75" s="42">
        <v>0</v>
      </c>
      <c r="OA75" s="47"/>
      <c r="OB75" s="45">
        <v>0</v>
      </c>
      <c r="OC75" s="40">
        <v>0</v>
      </c>
      <c r="OD75" s="42">
        <v>0</v>
      </c>
      <c r="OE75" s="47"/>
      <c r="OF75" s="45">
        <v>0</v>
      </c>
      <c r="OG75" s="40">
        <v>0</v>
      </c>
      <c r="OH75" s="40">
        <v>0</v>
      </c>
      <c r="OI75" s="40">
        <v>0</v>
      </c>
      <c r="OJ75" s="42">
        <v>0</v>
      </c>
      <c r="OK75" s="47"/>
      <c r="OL75" s="45">
        <v>0</v>
      </c>
      <c r="OM75" s="40">
        <v>0</v>
      </c>
      <c r="ON75" s="40">
        <v>0</v>
      </c>
      <c r="OO75" s="40">
        <v>0</v>
      </c>
      <c r="OP75" s="42">
        <v>0</v>
      </c>
      <c r="OQ75" s="47"/>
      <c r="OR75" s="45">
        <v>0</v>
      </c>
      <c r="OS75" s="40">
        <v>0</v>
      </c>
      <c r="OT75" s="40">
        <v>0</v>
      </c>
      <c r="OU75" s="40">
        <v>0</v>
      </c>
      <c r="OV75" s="42">
        <v>0</v>
      </c>
      <c r="OW75" s="47"/>
      <c r="OX75" s="40">
        <v>0</v>
      </c>
      <c r="OY75" s="40">
        <v>0</v>
      </c>
      <c r="OZ75" s="40">
        <v>0</v>
      </c>
      <c r="PA75" s="40">
        <v>0</v>
      </c>
      <c r="PB75" s="42">
        <v>0</v>
      </c>
      <c r="PC75" s="47"/>
      <c r="PD75" s="45">
        <v>0</v>
      </c>
      <c r="PE75" s="40">
        <v>0</v>
      </c>
      <c r="PF75" s="40">
        <v>0</v>
      </c>
      <c r="PG75" s="40">
        <v>0</v>
      </c>
      <c r="PH75" s="42">
        <v>0</v>
      </c>
      <c r="PI75" s="47"/>
      <c r="PJ75" s="45">
        <v>0</v>
      </c>
      <c r="PK75" s="40">
        <v>0</v>
      </c>
      <c r="PL75" s="40">
        <v>0</v>
      </c>
      <c r="PM75" s="40">
        <v>0</v>
      </c>
      <c r="PN75" s="42">
        <v>0</v>
      </c>
      <c r="PO75" s="47"/>
      <c r="PP75" s="43">
        <v>0</v>
      </c>
      <c r="PQ75" s="40">
        <v>0</v>
      </c>
      <c r="PR75" s="40">
        <v>0</v>
      </c>
      <c r="PS75" s="40">
        <v>0</v>
      </c>
      <c r="PT75" s="42">
        <v>0</v>
      </c>
      <c r="PU75" s="47"/>
      <c r="PV75" s="45">
        <v>0</v>
      </c>
      <c r="PW75" s="40">
        <v>0</v>
      </c>
      <c r="PX75" s="40">
        <v>0</v>
      </c>
      <c r="PY75" s="40">
        <v>0</v>
      </c>
      <c r="PZ75" s="42">
        <v>0</v>
      </c>
      <c r="QA75" s="47"/>
      <c r="QB75" s="45">
        <v>0</v>
      </c>
      <c r="QC75" s="40">
        <v>0</v>
      </c>
      <c r="QD75" s="42">
        <v>0</v>
      </c>
      <c r="QE75" s="47"/>
      <c r="QF75" s="45">
        <v>0</v>
      </c>
      <c r="QG75" s="40">
        <v>0</v>
      </c>
      <c r="QH75" s="40">
        <v>0</v>
      </c>
      <c r="QI75" s="40">
        <v>0</v>
      </c>
      <c r="QJ75" s="42">
        <v>0</v>
      </c>
      <c r="QK75" s="47"/>
      <c r="QL75" s="45">
        <v>0</v>
      </c>
      <c r="QM75" s="40">
        <v>0</v>
      </c>
      <c r="QN75" s="40">
        <v>0</v>
      </c>
      <c r="QO75" s="40">
        <v>0</v>
      </c>
      <c r="QP75" s="42">
        <v>0</v>
      </c>
      <c r="QQ75" s="47"/>
      <c r="QR75" s="45">
        <v>0</v>
      </c>
      <c r="QS75" s="40">
        <v>0</v>
      </c>
      <c r="QT75" s="40">
        <v>0</v>
      </c>
      <c r="QU75" s="40">
        <v>0</v>
      </c>
      <c r="QV75" s="42">
        <v>0</v>
      </c>
      <c r="QW75" s="47"/>
      <c r="QX75" s="45">
        <v>0</v>
      </c>
      <c r="QY75" s="40">
        <v>0</v>
      </c>
      <c r="QZ75" s="40">
        <v>0</v>
      </c>
      <c r="RA75" s="40">
        <v>0</v>
      </c>
      <c r="RB75" s="42">
        <v>0</v>
      </c>
      <c r="RC75" s="47"/>
      <c r="RD75" s="45">
        <v>143.226</v>
      </c>
      <c r="RE75" s="40">
        <v>142.4496</v>
      </c>
      <c r="RF75" s="42">
        <v>0.77639999999999532</v>
      </c>
      <c r="RG75" s="47"/>
    </row>
    <row r="76" spans="1:475" x14ac:dyDescent="0.25">
      <c r="A76" s="40" t="s">
        <v>365</v>
      </c>
      <c r="B76" s="41">
        <v>0.09</v>
      </c>
      <c r="N76" s="43"/>
      <c r="O76" s="48"/>
      <c r="P76" s="48"/>
      <c r="Q76" s="48"/>
      <c r="R76" s="48">
        <f t="shared" si="13"/>
        <v>0</v>
      </c>
      <c r="S76" s="44"/>
      <c r="T76" s="43"/>
      <c r="U76" s="48"/>
      <c r="V76" s="48"/>
      <c r="W76" s="48"/>
      <c r="X76" s="48">
        <f t="shared" si="14"/>
        <v>0</v>
      </c>
      <c r="Y76" s="44"/>
      <c r="Z76" s="43"/>
      <c r="AA76" s="48"/>
      <c r="AB76" s="48"/>
      <c r="AC76" s="48"/>
      <c r="AD76" s="48">
        <f t="shared" si="15"/>
        <v>0</v>
      </c>
      <c r="AE76" s="44"/>
      <c r="AF76" s="43"/>
      <c r="AG76" s="48"/>
      <c r="AH76" s="48"/>
      <c r="AI76" s="48"/>
      <c r="AJ76" s="48">
        <f t="shared" si="16"/>
        <v>0</v>
      </c>
      <c r="AK76" s="44"/>
      <c r="AL76" s="48"/>
      <c r="AO76">
        <v>10</v>
      </c>
      <c r="AP76" s="39">
        <v>-10</v>
      </c>
      <c r="AQ76" s="44">
        <v>0.89999999999999991</v>
      </c>
      <c r="AR76" s="43"/>
      <c r="AU76">
        <v>10</v>
      </c>
      <c r="AV76" s="39">
        <v>-10</v>
      </c>
      <c r="AW76" s="44">
        <v>0.89999999999999991</v>
      </c>
      <c r="AZ76">
        <v>10</v>
      </c>
      <c r="BC76" s="39">
        <v>-10</v>
      </c>
      <c r="BD76" s="44">
        <v>0.89999999999999991</v>
      </c>
      <c r="BE76" s="43"/>
      <c r="BF76">
        <v>10</v>
      </c>
      <c r="BI76" s="39">
        <v>-10</v>
      </c>
      <c r="BJ76" s="44">
        <v>0.89999999999999991</v>
      </c>
      <c r="BN76">
        <v>20</v>
      </c>
      <c r="BO76" s="39">
        <v>-20</v>
      </c>
      <c r="BP76" s="44">
        <v>1.8</v>
      </c>
      <c r="BS76" s="42">
        <v>0</v>
      </c>
      <c r="BT76" s="44"/>
      <c r="BU76" s="43"/>
      <c r="BY76" s="42">
        <v>0</v>
      </c>
      <c r="BZ76" s="44"/>
      <c r="CB76">
        <v>40</v>
      </c>
      <c r="CD76">
        <v>40</v>
      </c>
      <c r="CE76" s="39">
        <v>-80</v>
      </c>
      <c r="CF76" s="44">
        <v>7.1999999999999993</v>
      </c>
      <c r="CG76" s="43"/>
      <c r="CK76" s="42">
        <v>0</v>
      </c>
      <c r="CL76" s="44"/>
      <c r="CM76" s="43"/>
      <c r="CQ76" s="42">
        <v>0</v>
      </c>
      <c r="CR76" s="44"/>
      <c r="CU76">
        <v>30</v>
      </c>
      <c r="CV76">
        <v>30</v>
      </c>
      <c r="CW76" s="42">
        <v>0</v>
      </c>
      <c r="CX76" s="44"/>
      <c r="CY76" s="43"/>
      <c r="DA76">
        <v>10</v>
      </c>
      <c r="DB76">
        <v>9</v>
      </c>
      <c r="DC76" s="42">
        <v>1</v>
      </c>
      <c r="DD76" s="44"/>
      <c r="DE76" s="43"/>
      <c r="DI76">
        <v>10</v>
      </c>
      <c r="DJ76">
        <v>10</v>
      </c>
      <c r="DK76" s="42">
        <v>0</v>
      </c>
      <c r="DL76" s="44"/>
      <c r="DM76" s="43"/>
      <c r="DO76">
        <v>20</v>
      </c>
      <c r="DP76">
        <v>19</v>
      </c>
      <c r="DQ76" s="42">
        <v>1</v>
      </c>
      <c r="DR76" s="44"/>
      <c r="DY76" s="42">
        <v>0</v>
      </c>
      <c r="DZ76" s="44"/>
      <c r="EA76" s="43"/>
      <c r="EE76" s="42">
        <v>0</v>
      </c>
      <c r="EF76" s="44"/>
      <c r="EG76" s="43"/>
      <c r="EK76" s="42">
        <v>0</v>
      </c>
      <c r="EL76" s="44"/>
      <c r="EM76" s="43"/>
      <c r="EQ76" s="42">
        <v>0</v>
      </c>
      <c r="ER76" s="44"/>
      <c r="EW76">
        <v>20</v>
      </c>
      <c r="EX76">
        <v>20</v>
      </c>
      <c r="EY76" s="42">
        <v>0</v>
      </c>
      <c r="EZ76" s="44"/>
      <c r="FE76" s="42">
        <v>0</v>
      </c>
      <c r="FF76" s="44"/>
      <c r="FG76" s="43"/>
      <c r="FK76" s="42">
        <v>0</v>
      </c>
      <c r="FL76" s="44"/>
      <c r="FM76" s="46">
        <v>20</v>
      </c>
      <c r="FN76">
        <v>23</v>
      </c>
      <c r="FO76" s="42">
        <v>-3</v>
      </c>
      <c r="FP76" s="44"/>
      <c r="FS76">
        <v>50</v>
      </c>
      <c r="FT76">
        <v>49</v>
      </c>
      <c r="FU76" s="42">
        <v>1</v>
      </c>
      <c r="FV76" s="44"/>
      <c r="FW76" s="43"/>
      <c r="GA76">
        <v>10</v>
      </c>
      <c r="GB76">
        <v>10</v>
      </c>
      <c r="GC76" s="42">
        <v>0</v>
      </c>
      <c r="GD76" s="44"/>
      <c r="GG76">
        <v>50</v>
      </c>
      <c r="GH76">
        <v>50</v>
      </c>
      <c r="GI76" s="42">
        <v>0</v>
      </c>
      <c r="GJ76" s="44"/>
      <c r="GK76" s="43"/>
      <c r="GO76" s="42">
        <v>0</v>
      </c>
      <c r="GP76" s="47"/>
      <c r="GS76">
        <v>30</v>
      </c>
      <c r="GT76">
        <v>30</v>
      </c>
      <c r="GU76" s="42">
        <v>0</v>
      </c>
      <c r="GV76" s="44"/>
      <c r="GY76" s="42">
        <v>0</v>
      </c>
      <c r="GZ76" s="47"/>
      <c r="HA76" s="43"/>
      <c r="HB76">
        <v>30</v>
      </c>
      <c r="HC76" s="39">
        <v>-30</v>
      </c>
      <c r="HD76" s="44">
        <v>2.7</v>
      </c>
      <c r="HE76" s="43"/>
      <c r="HI76" s="42">
        <v>0</v>
      </c>
      <c r="HJ76" s="47"/>
      <c r="HK76" s="43"/>
      <c r="HM76">
        <v>30</v>
      </c>
      <c r="HN76">
        <v>30</v>
      </c>
      <c r="HO76" s="42">
        <v>0</v>
      </c>
      <c r="HP76" s="44"/>
      <c r="HV76" s="42">
        <v>0</v>
      </c>
      <c r="HW76" s="44"/>
      <c r="HX76" s="45"/>
      <c r="IB76" s="42">
        <v>0</v>
      </c>
      <c r="IC76" s="44"/>
      <c r="IF76">
        <v>10</v>
      </c>
      <c r="IG76">
        <v>10</v>
      </c>
      <c r="IH76" s="42">
        <v>0</v>
      </c>
      <c r="II76" s="47"/>
      <c r="IL76">
        <v>20</v>
      </c>
      <c r="IM76">
        <v>20</v>
      </c>
      <c r="IN76" s="42">
        <v>0</v>
      </c>
      <c r="IO76" s="47"/>
      <c r="IT76" s="42">
        <v>0</v>
      </c>
      <c r="IU76" s="47"/>
      <c r="IX76">
        <v>30</v>
      </c>
      <c r="IY76">
        <v>30</v>
      </c>
      <c r="IZ76" s="42">
        <v>0</v>
      </c>
      <c r="JA76" s="44"/>
      <c r="JD76" s="42">
        <v>0</v>
      </c>
      <c r="JE76" s="44"/>
      <c r="JH76">
        <v>20</v>
      </c>
      <c r="JI76">
        <v>24</v>
      </c>
      <c r="JJ76" s="42">
        <v>-4</v>
      </c>
      <c r="JK76" s="44"/>
      <c r="JL76" s="46">
        <v>10</v>
      </c>
      <c r="JM76" s="40">
        <v>10</v>
      </c>
      <c r="JN76" s="42">
        <v>0</v>
      </c>
      <c r="JO76" s="44"/>
      <c r="JT76" s="42">
        <v>0</v>
      </c>
      <c r="JU76" s="44"/>
      <c r="JX76">
        <v>30</v>
      </c>
      <c r="JY76">
        <v>32</v>
      </c>
      <c r="JZ76" s="42">
        <v>-2</v>
      </c>
      <c r="KA76" s="47"/>
      <c r="KF76" s="42">
        <v>0</v>
      </c>
      <c r="KG76" s="44"/>
      <c r="KH76" s="41"/>
      <c r="KL76" s="42">
        <v>0</v>
      </c>
      <c r="KM76" s="47"/>
      <c r="KN76" s="45"/>
      <c r="KP76">
        <v>10</v>
      </c>
      <c r="KQ76">
        <v>10</v>
      </c>
      <c r="KR76">
        <v>20</v>
      </c>
      <c r="KS76">
        <v>19</v>
      </c>
      <c r="KT76" s="42">
        <v>1</v>
      </c>
      <c r="KU76" s="47"/>
      <c r="KV76" s="40">
        <v>0</v>
      </c>
      <c r="KW76" s="40">
        <v>0</v>
      </c>
      <c r="KX76" s="40">
        <v>0</v>
      </c>
      <c r="KY76" s="30">
        <v>29</v>
      </c>
      <c r="KZ76" s="39">
        <v>-29</v>
      </c>
      <c r="LA76" s="47">
        <v>2.61</v>
      </c>
      <c r="LB76" s="40">
        <v>0</v>
      </c>
      <c r="LC76" s="40">
        <v>0</v>
      </c>
      <c r="LD76" s="40">
        <v>0</v>
      </c>
      <c r="LE76" s="40">
        <v>0</v>
      </c>
      <c r="LF76" s="42">
        <v>0</v>
      </c>
      <c r="LG76" s="47"/>
      <c r="LH76" s="45">
        <v>20</v>
      </c>
      <c r="LI76" s="40">
        <v>22</v>
      </c>
      <c r="LJ76" s="42">
        <v>-2</v>
      </c>
      <c r="LK76" s="47"/>
      <c r="LL76" s="45">
        <v>0</v>
      </c>
      <c r="LM76" s="40">
        <v>0</v>
      </c>
      <c r="LN76" s="40">
        <v>30</v>
      </c>
      <c r="LO76" s="40">
        <v>35</v>
      </c>
      <c r="LP76" s="42">
        <v>-5</v>
      </c>
      <c r="LQ76" s="47"/>
      <c r="LR76" s="45">
        <v>0</v>
      </c>
      <c r="LS76" s="40">
        <v>0</v>
      </c>
      <c r="LT76" s="40">
        <v>0</v>
      </c>
      <c r="LU76" s="40">
        <v>0</v>
      </c>
      <c r="LV76" s="42">
        <v>0</v>
      </c>
      <c r="LW76" s="47"/>
      <c r="LX76" s="45">
        <v>0</v>
      </c>
      <c r="LY76" s="40">
        <v>0</v>
      </c>
      <c r="LZ76" s="42">
        <v>0</v>
      </c>
      <c r="MA76" s="47"/>
      <c r="MB76" s="45">
        <v>0</v>
      </c>
      <c r="MC76" s="40">
        <v>0</v>
      </c>
      <c r="MD76" s="40">
        <v>0</v>
      </c>
      <c r="ME76" s="40">
        <v>0</v>
      </c>
      <c r="MF76" s="42">
        <v>0</v>
      </c>
      <c r="MG76" s="47"/>
      <c r="MH76" s="45">
        <v>0</v>
      </c>
      <c r="MI76" s="40">
        <v>0</v>
      </c>
      <c r="MJ76" s="42">
        <v>0</v>
      </c>
      <c r="MK76" s="47"/>
      <c r="ML76" s="45">
        <v>0</v>
      </c>
      <c r="MM76" s="40">
        <v>0</v>
      </c>
      <c r="MN76" s="40">
        <v>120</v>
      </c>
      <c r="MO76" s="40">
        <v>123</v>
      </c>
      <c r="MP76" s="42">
        <v>-3</v>
      </c>
      <c r="MQ76" s="47"/>
      <c r="MR76" s="40">
        <v>0</v>
      </c>
      <c r="MS76" s="40">
        <v>0</v>
      </c>
      <c r="MT76" s="40">
        <v>20</v>
      </c>
      <c r="MU76" s="40">
        <v>25</v>
      </c>
      <c r="MV76" s="42">
        <v>-5</v>
      </c>
      <c r="MW76" s="47"/>
      <c r="MX76" s="45">
        <v>0</v>
      </c>
      <c r="MY76" s="40">
        <v>0</v>
      </c>
      <c r="MZ76" s="40">
        <v>10</v>
      </c>
      <c r="NA76" s="40">
        <v>10</v>
      </c>
      <c r="NB76" s="42">
        <v>0</v>
      </c>
      <c r="NC76" s="47"/>
      <c r="ND76" s="45">
        <v>0</v>
      </c>
      <c r="NE76" s="40">
        <v>0</v>
      </c>
      <c r="NF76" s="40">
        <v>50</v>
      </c>
      <c r="NG76" s="40">
        <v>51</v>
      </c>
      <c r="NH76" s="42">
        <v>-1</v>
      </c>
      <c r="NI76" s="47"/>
      <c r="NJ76" s="45">
        <v>0</v>
      </c>
      <c r="NK76" s="40">
        <v>0</v>
      </c>
      <c r="NL76" s="40">
        <v>80</v>
      </c>
      <c r="NM76" s="40">
        <v>81</v>
      </c>
      <c r="NN76" s="42">
        <v>-1</v>
      </c>
      <c r="NO76" s="47"/>
      <c r="NP76" s="45">
        <v>0</v>
      </c>
      <c r="NQ76" s="40">
        <v>0</v>
      </c>
      <c r="NR76" s="40">
        <v>70</v>
      </c>
      <c r="NS76" s="40">
        <v>70</v>
      </c>
      <c r="NT76" s="42">
        <v>0</v>
      </c>
      <c r="NU76" s="47"/>
      <c r="NV76" s="45">
        <v>0</v>
      </c>
      <c r="NW76" s="40">
        <v>0</v>
      </c>
      <c r="NX76" s="40">
        <v>70</v>
      </c>
      <c r="NY76" s="40">
        <v>70</v>
      </c>
      <c r="NZ76" s="42">
        <v>0</v>
      </c>
      <c r="OA76" s="47"/>
      <c r="OB76" s="45">
        <v>80</v>
      </c>
      <c r="OC76" s="40">
        <v>80</v>
      </c>
      <c r="OD76" s="42">
        <v>0</v>
      </c>
      <c r="OE76" s="47"/>
      <c r="OF76" s="45">
        <v>0</v>
      </c>
      <c r="OG76" s="40">
        <v>0</v>
      </c>
      <c r="OH76" s="40">
        <v>0</v>
      </c>
      <c r="OI76" s="40">
        <v>0</v>
      </c>
      <c r="OJ76" s="42">
        <v>0</v>
      </c>
      <c r="OK76" s="47"/>
      <c r="OL76" s="45">
        <v>0</v>
      </c>
      <c r="OM76" s="40">
        <v>0</v>
      </c>
      <c r="ON76" s="40">
        <v>0</v>
      </c>
      <c r="OO76" s="40">
        <v>0</v>
      </c>
      <c r="OP76" s="42">
        <v>0</v>
      </c>
      <c r="OQ76" s="47"/>
      <c r="OR76" s="45">
        <v>0</v>
      </c>
      <c r="OS76" s="40">
        <v>0</v>
      </c>
      <c r="OT76" s="40">
        <v>0</v>
      </c>
      <c r="OU76" s="40">
        <v>0</v>
      </c>
      <c r="OV76" s="42">
        <v>0</v>
      </c>
      <c r="OW76" s="47"/>
      <c r="OX76" s="40">
        <v>0</v>
      </c>
      <c r="OY76" s="40">
        <v>0</v>
      </c>
      <c r="OZ76" s="40">
        <v>0</v>
      </c>
      <c r="PA76" s="40">
        <v>0</v>
      </c>
      <c r="PB76" s="42">
        <v>0</v>
      </c>
      <c r="PC76" s="47"/>
      <c r="PD76" s="45">
        <v>0</v>
      </c>
      <c r="PE76" s="40">
        <v>0</v>
      </c>
      <c r="PF76" s="40">
        <v>0</v>
      </c>
      <c r="PG76" s="40">
        <v>0</v>
      </c>
      <c r="PH76" s="42">
        <v>0</v>
      </c>
      <c r="PI76" s="47"/>
      <c r="PJ76" s="45">
        <v>0</v>
      </c>
      <c r="PK76" s="40">
        <v>0</v>
      </c>
      <c r="PL76" s="40">
        <v>0</v>
      </c>
      <c r="PM76" s="40">
        <v>0</v>
      </c>
      <c r="PN76" s="42">
        <v>0</v>
      </c>
      <c r="PO76" s="47"/>
      <c r="PP76" s="43">
        <v>0</v>
      </c>
      <c r="PQ76" s="40">
        <v>0</v>
      </c>
      <c r="PR76" s="40">
        <v>0</v>
      </c>
      <c r="PS76" s="40">
        <v>0</v>
      </c>
      <c r="PT76" s="42">
        <v>0</v>
      </c>
      <c r="PU76" s="47"/>
      <c r="PV76" s="45">
        <v>0</v>
      </c>
      <c r="PW76" s="40">
        <v>0</v>
      </c>
      <c r="PX76" s="40">
        <v>0</v>
      </c>
      <c r="PY76" s="40">
        <v>0</v>
      </c>
      <c r="PZ76" s="42">
        <v>0</v>
      </c>
      <c r="QA76" s="47"/>
      <c r="QB76" s="45">
        <v>0</v>
      </c>
      <c r="QC76" s="40">
        <v>0</v>
      </c>
      <c r="QD76" s="42">
        <v>0</v>
      </c>
      <c r="QE76" s="47"/>
      <c r="QF76" s="45">
        <v>0</v>
      </c>
      <c r="QG76" s="40">
        <v>0</v>
      </c>
      <c r="QH76" s="40">
        <v>0</v>
      </c>
      <c r="QI76" s="40">
        <v>0</v>
      </c>
      <c r="QJ76" s="42">
        <v>0</v>
      </c>
      <c r="QK76" s="47"/>
      <c r="QL76" s="45">
        <v>0</v>
      </c>
      <c r="QM76" s="40">
        <v>0</v>
      </c>
      <c r="QN76" s="40">
        <v>0</v>
      </c>
      <c r="QO76" s="40">
        <v>0</v>
      </c>
      <c r="QP76" s="42">
        <v>0</v>
      </c>
      <c r="QQ76" s="47"/>
      <c r="QR76" s="45">
        <v>100</v>
      </c>
      <c r="QS76" s="40">
        <v>100</v>
      </c>
      <c r="QT76" s="40">
        <v>0</v>
      </c>
      <c r="QU76" s="40">
        <v>150</v>
      </c>
      <c r="QV76" s="39">
        <v>-150</v>
      </c>
      <c r="QW76" s="47">
        <v>13.5</v>
      </c>
      <c r="QX76" s="45">
        <v>110</v>
      </c>
      <c r="QY76" s="40">
        <v>110</v>
      </c>
      <c r="QZ76" s="40">
        <v>0</v>
      </c>
      <c r="RA76" s="40">
        <v>0</v>
      </c>
      <c r="RB76" s="42">
        <v>0</v>
      </c>
      <c r="RC76" s="47"/>
      <c r="RD76" s="45">
        <v>160</v>
      </c>
      <c r="RE76" s="40">
        <v>158.19999999999999</v>
      </c>
      <c r="RF76" s="42">
        <v>1.7999999999999829</v>
      </c>
      <c r="RG76" s="47"/>
    </row>
    <row r="77" spans="1:475" x14ac:dyDescent="0.25">
      <c r="A77" s="40" t="s">
        <v>366</v>
      </c>
      <c r="B77" s="41">
        <v>0.35</v>
      </c>
      <c r="E77">
        <v>30</v>
      </c>
      <c r="J77">
        <v>96</v>
      </c>
      <c r="K77">
        <v>100</v>
      </c>
      <c r="N77" s="43"/>
      <c r="O77" s="48"/>
      <c r="P77" s="48"/>
      <c r="Q77" s="48"/>
      <c r="R77" s="48">
        <f t="shared" si="13"/>
        <v>0</v>
      </c>
      <c r="S77" s="44"/>
      <c r="T77" s="46">
        <v>48</v>
      </c>
      <c r="U77" s="49">
        <v>48</v>
      </c>
      <c r="V77" s="49">
        <v>48</v>
      </c>
      <c r="W77" s="49">
        <v>52</v>
      </c>
      <c r="X77" s="48">
        <f t="shared" si="14"/>
        <v>-4</v>
      </c>
      <c r="Y77" s="44"/>
      <c r="Z77" s="46">
        <v>32</v>
      </c>
      <c r="AA77" s="49">
        <v>30</v>
      </c>
      <c r="AB77" s="48"/>
      <c r="AC77" s="48"/>
      <c r="AD77" s="48">
        <f t="shared" si="15"/>
        <v>2</v>
      </c>
      <c r="AE77" s="44"/>
      <c r="AF77" s="46">
        <v>24</v>
      </c>
      <c r="AG77" s="49">
        <v>22</v>
      </c>
      <c r="AH77" s="48"/>
      <c r="AI77" s="48"/>
      <c r="AJ77" s="48">
        <f t="shared" si="16"/>
        <v>2</v>
      </c>
      <c r="AK77" s="44"/>
      <c r="AL77" s="48"/>
      <c r="AN77">
        <v>40</v>
      </c>
      <c r="AO77">
        <v>40</v>
      </c>
      <c r="AP77" s="42">
        <v>0</v>
      </c>
      <c r="AQ77" s="44"/>
      <c r="AR77" s="43"/>
      <c r="AT77">
        <v>48</v>
      </c>
      <c r="AU77">
        <v>50</v>
      </c>
      <c r="AV77" s="42">
        <v>-2</v>
      </c>
      <c r="AW77" s="44"/>
      <c r="AX77">
        <v>40</v>
      </c>
      <c r="AZ77">
        <v>40</v>
      </c>
      <c r="BA77">
        <v>40</v>
      </c>
      <c r="BB77">
        <v>40</v>
      </c>
      <c r="BC77" s="42">
        <v>0</v>
      </c>
      <c r="BD77" s="44"/>
      <c r="BE77" s="43"/>
      <c r="BI77" s="42">
        <v>0</v>
      </c>
      <c r="BJ77" s="44"/>
      <c r="BK77">
        <v>80</v>
      </c>
      <c r="BL77">
        <v>80</v>
      </c>
      <c r="BM77">
        <v>88</v>
      </c>
      <c r="BN77">
        <v>90</v>
      </c>
      <c r="BO77" s="42">
        <v>-2</v>
      </c>
      <c r="BP77" s="44"/>
      <c r="BS77" s="42">
        <v>0</v>
      </c>
      <c r="BT77" s="44"/>
      <c r="BU77" s="46">
        <v>96</v>
      </c>
      <c r="BV77">
        <v>100</v>
      </c>
      <c r="BW77">
        <v>96</v>
      </c>
      <c r="BX77">
        <v>100</v>
      </c>
      <c r="BY77" s="42">
        <v>-8</v>
      </c>
      <c r="BZ77" s="44"/>
      <c r="CE77" s="42">
        <v>0</v>
      </c>
      <c r="CF77" s="44"/>
      <c r="CG77" s="46">
        <v>48</v>
      </c>
      <c r="CH77">
        <v>50</v>
      </c>
      <c r="CI77">
        <v>96</v>
      </c>
      <c r="CJ77">
        <v>100</v>
      </c>
      <c r="CK77" s="42">
        <v>-6</v>
      </c>
      <c r="CL77" s="44"/>
      <c r="CM77" s="43"/>
      <c r="CO77">
        <v>24</v>
      </c>
      <c r="CP77">
        <v>26</v>
      </c>
      <c r="CQ77" s="42">
        <v>-2</v>
      </c>
      <c r="CR77" s="44"/>
      <c r="CS77">
        <v>32</v>
      </c>
      <c r="CT77">
        <v>32</v>
      </c>
      <c r="CU77">
        <v>64</v>
      </c>
      <c r="CV77">
        <v>68</v>
      </c>
      <c r="CW77" s="42">
        <v>-4</v>
      </c>
      <c r="CX77" s="44"/>
      <c r="CY77" s="43"/>
      <c r="DC77" s="42">
        <v>0</v>
      </c>
      <c r="DD77" s="44"/>
      <c r="DE77" s="43"/>
      <c r="DI77">
        <v>48</v>
      </c>
      <c r="DJ77">
        <v>50</v>
      </c>
      <c r="DK77" s="42">
        <v>-2</v>
      </c>
      <c r="DL77" s="44"/>
      <c r="DM77" s="46">
        <v>96</v>
      </c>
      <c r="DN77">
        <v>96</v>
      </c>
      <c r="DQ77" s="42">
        <v>0</v>
      </c>
      <c r="DR77" s="44"/>
      <c r="DY77" s="42">
        <v>0</v>
      </c>
      <c r="DZ77" s="44"/>
      <c r="EA77" s="43"/>
      <c r="EE77" s="42">
        <v>0</v>
      </c>
      <c r="EF77" s="44"/>
      <c r="EG77" s="43"/>
      <c r="EK77" s="42">
        <v>0</v>
      </c>
      <c r="EL77" s="44"/>
      <c r="EM77" s="43"/>
      <c r="EQ77" s="42">
        <v>0</v>
      </c>
      <c r="ER77" s="44"/>
      <c r="EY77" s="42">
        <v>0</v>
      </c>
      <c r="EZ77" s="44"/>
      <c r="FE77" s="42">
        <v>0</v>
      </c>
      <c r="FF77" s="44"/>
      <c r="FG77" s="43"/>
      <c r="FK77" s="42">
        <v>0</v>
      </c>
      <c r="FL77" s="44"/>
      <c r="FM77" s="43"/>
      <c r="FO77" s="42">
        <v>0</v>
      </c>
      <c r="FP77" s="44"/>
      <c r="FU77" s="42">
        <v>0</v>
      </c>
      <c r="FV77" s="44"/>
      <c r="FW77" s="43"/>
      <c r="GC77" s="42">
        <v>0</v>
      </c>
      <c r="GD77" s="44"/>
      <c r="GI77" s="42">
        <v>0</v>
      </c>
      <c r="GJ77" s="44"/>
      <c r="GK77" s="43"/>
      <c r="GO77" s="42">
        <v>0</v>
      </c>
      <c r="GP77" s="47"/>
      <c r="GU77" s="42">
        <v>0</v>
      </c>
      <c r="GV77" s="44"/>
      <c r="GY77" s="42">
        <v>0</v>
      </c>
      <c r="GZ77" s="47"/>
      <c r="HA77" s="43"/>
      <c r="HC77" s="42">
        <v>0</v>
      </c>
      <c r="HD77" s="44"/>
      <c r="HE77" s="43"/>
      <c r="HI77" s="42">
        <v>0</v>
      </c>
      <c r="HJ77" s="47"/>
      <c r="HK77" s="43"/>
      <c r="HO77" s="42">
        <v>0</v>
      </c>
      <c r="HP77" s="44"/>
      <c r="HV77" s="42">
        <v>0</v>
      </c>
      <c r="HW77" s="44"/>
      <c r="HX77" s="45"/>
      <c r="IB77" s="42">
        <v>0</v>
      </c>
      <c r="IC77" s="44"/>
      <c r="IH77" s="42">
        <v>0</v>
      </c>
      <c r="II77" s="47"/>
      <c r="IN77" s="42">
        <v>0</v>
      </c>
      <c r="IO77" s="47"/>
      <c r="IT77" s="42">
        <v>0</v>
      </c>
      <c r="IU77" s="47"/>
      <c r="IZ77" s="42">
        <v>0</v>
      </c>
      <c r="JA77" s="44"/>
      <c r="JD77" s="42">
        <v>0</v>
      </c>
      <c r="JE77" s="44"/>
      <c r="JJ77" s="42">
        <v>0</v>
      </c>
      <c r="JK77" s="44"/>
      <c r="JL77" s="45"/>
      <c r="JN77" s="42">
        <v>0</v>
      </c>
      <c r="JO77" s="44"/>
      <c r="JT77" s="42">
        <v>0</v>
      </c>
      <c r="JU77" s="44"/>
      <c r="JZ77" s="42">
        <v>0</v>
      </c>
      <c r="KA77" s="47"/>
      <c r="KF77" s="42">
        <v>0</v>
      </c>
      <c r="KG77" s="44"/>
      <c r="KH77" s="41"/>
      <c r="KL77" s="42">
        <v>0</v>
      </c>
      <c r="KM77" s="47"/>
      <c r="KN77" s="45"/>
      <c r="KR77">
        <v>16</v>
      </c>
      <c r="KT77" s="42">
        <v>16</v>
      </c>
      <c r="KU77" s="47"/>
      <c r="KV77" s="40">
        <v>0</v>
      </c>
      <c r="KW77" s="40">
        <v>0</v>
      </c>
      <c r="KX77" s="40">
        <v>0</v>
      </c>
      <c r="KY77" s="40">
        <v>0</v>
      </c>
      <c r="KZ77" s="42">
        <v>0</v>
      </c>
      <c r="LA77" s="47"/>
      <c r="LB77" s="40">
        <v>0</v>
      </c>
      <c r="LC77" s="40">
        <v>0</v>
      </c>
      <c r="LD77" s="40">
        <v>0</v>
      </c>
      <c r="LE77" s="40">
        <v>0</v>
      </c>
      <c r="LF77" s="42">
        <v>0</v>
      </c>
      <c r="LG77" s="47"/>
      <c r="LH77" s="45">
        <v>0</v>
      </c>
      <c r="LI77" s="40">
        <v>0</v>
      </c>
      <c r="LJ77" s="42">
        <v>0</v>
      </c>
      <c r="LK77" s="47"/>
      <c r="LL77" s="45">
        <v>0</v>
      </c>
      <c r="LM77" s="40">
        <v>0</v>
      </c>
      <c r="LN77" s="40">
        <v>0</v>
      </c>
      <c r="LO77" s="40">
        <v>0</v>
      </c>
      <c r="LP77" s="42">
        <v>0</v>
      </c>
      <c r="LQ77" s="47"/>
      <c r="LR77" s="45">
        <v>0</v>
      </c>
      <c r="LS77" s="40">
        <v>0</v>
      </c>
      <c r="LT77" s="40">
        <v>0</v>
      </c>
      <c r="LU77" s="40">
        <v>0</v>
      </c>
      <c r="LV77" s="42">
        <v>0</v>
      </c>
      <c r="LW77" s="47"/>
      <c r="LX77" s="45">
        <v>0</v>
      </c>
      <c r="LY77" s="40">
        <v>0</v>
      </c>
      <c r="LZ77" s="42">
        <v>0</v>
      </c>
      <c r="MA77" s="47"/>
      <c r="MB77" s="45">
        <v>0</v>
      </c>
      <c r="MC77" s="40">
        <v>0</v>
      </c>
      <c r="MD77" s="40">
        <v>0</v>
      </c>
      <c r="ME77" s="40">
        <v>0</v>
      </c>
      <c r="MF77" s="42">
        <v>0</v>
      </c>
      <c r="MG77" s="47"/>
      <c r="MH77" s="45">
        <v>0</v>
      </c>
      <c r="MI77" s="40">
        <v>0</v>
      </c>
      <c r="MJ77" s="42">
        <v>0</v>
      </c>
      <c r="MK77" s="47"/>
      <c r="ML77" s="45">
        <v>0</v>
      </c>
      <c r="MM77" s="40">
        <v>0</v>
      </c>
      <c r="MN77" s="40">
        <v>0</v>
      </c>
      <c r="MO77" s="40">
        <v>0</v>
      </c>
      <c r="MP77" s="42">
        <v>0</v>
      </c>
      <c r="MQ77" s="47"/>
      <c r="MR77" s="40">
        <v>0</v>
      </c>
      <c r="MS77" s="40">
        <v>0</v>
      </c>
      <c r="MT77" s="40">
        <v>200</v>
      </c>
      <c r="MU77" s="40">
        <v>200</v>
      </c>
      <c r="MV77" s="42">
        <v>0</v>
      </c>
      <c r="MW77" s="47"/>
      <c r="MX77" s="45">
        <v>0</v>
      </c>
      <c r="MY77" s="40">
        <v>0</v>
      </c>
      <c r="MZ77" s="40">
        <v>152</v>
      </c>
      <c r="NA77" s="40">
        <v>153</v>
      </c>
      <c r="NB77" s="42">
        <v>-1</v>
      </c>
      <c r="NC77" s="47"/>
      <c r="ND77" s="45">
        <v>0</v>
      </c>
      <c r="NE77" s="40">
        <v>0</v>
      </c>
      <c r="NF77" s="40">
        <v>0</v>
      </c>
      <c r="NG77" s="40">
        <v>0</v>
      </c>
      <c r="NH77" s="42">
        <v>0</v>
      </c>
      <c r="NI77" s="47"/>
      <c r="NJ77" s="45">
        <v>96</v>
      </c>
      <c r="NK77" s="40">
        <v>100</v>
      </c>
      <c r="NL77" s="40">
        <v>120</v>
      </c>
      <c r="NM77" s="40">
        <v>125</v>
      </c>
      <c r="NN77" s="42">
        <v>-9</v>
      </c>
      <c r="NO77" s="47"/>
      <c r="NP77" s="25">
        <v>80</v>
      </c>
      <c r="NQ77" s="40">
        <v>0</v>
      </c>
      <c r="NR77" s="40">
        <v>0</v>
      </c>
      <c r="NS77" s="40">
        <v>0</v>
      </c>
      <c r="NT77" s="42">
        <v>80</v>
      </c>
      <c r="NU77" s="47"/>
      <c r="NV77" s="45">
        <v>0</v>
      </c>
      <c r="NW77" s="40">
        <v>0</v>
      </c>
      <c r="NX77" s="40">
        <v>88</v>
      </c>
      <c r="NY77" s="40">
        <v>90</v>
      </c>
      <c r="NZ77" s="42">
        <v>-2</v>
      </c>
      <c r="OA77" s="47"/>
      <c r="OB77" s="45">
        <v>408</v>
      </c>
      <c r="OC77" s="40">
        <v>410</v>
      </c>
      <c r="OD77" s="42">
        <v>-2</v>
      </c>
      <c r="OE77" s="47"/>
      <c r="OF77" s="45">
        <v>0</v>
      </c>
      <c r="OG77" s="40">
        <v>0</v>
      </c>
      <c r="OH77" s="40">
        <v>16</v>
      </c>
      <c r="OI77" s="40">
        <v>20</v>
      </c>
      <c r="OJ77" s="42">
        <v>-4</v>
      </c>
      <c r="OK77" s="47"/>
      <c r="OL77" s="45">
        <v>80</v>
      </c>
      <c r="OM77" s="40">
        <v>80</v>
      </c>
      <c r="ON77" s="40">
        <v>72</v>
      </c>
      <c r="OO77" s="40">
        <v>70</v>
      </c>
      <c r="OP77" s="42">
        <v>2</v>
      </c>
      <c r="OQ77" s="47"/>
      <c r="OR77" s="45">
        <v>0</v>
      </c>
      <c r="OS77" s="40">
        <v>0</v>
      </c>
      <c r="OT77" s="40">
        <v>80</v>
      </c>
      <c r="OU77" s="40">
        <v>80</v>
      </c>
      <c r="OV77" s="42">
        <v>0</v>
      </c>
      <c r="OW77" s="47"/>
      <c r="OX77" s="40">
        <v>48</v>
      </c>
      <c r="OY77" s="40">
        <v>50</v>
      </c>
      <c r="OZ77" s="40">
        <v>40</v>
      </c>
      <c r="PA77" s="40">
        <v>40</v>
      </c>
      <c r="PB77" s="42">
        <v>-2</v>
      </c>
      <c r="PC77" s="47"/>
      <c r="PD77" s="45">
        <v>0</v>
      </c>
      <c r="PE77" s="40">
        <v>0</v>
      </c>
      <c r="PF77" s="40">
        <v>152</v>
      </c>
      <c r="PG77" s="40">
        <v>150</v>
      </c>
      <c r="PH77" s="42">
        <v>2</v>
      </c>
      <c r="PI77" s="47"/>
      <c r="PJ77" s="45">
        <v>0</v>
      </c>
      <c r="PK77" s="40">
        <v>0</v>
      </c>
      <c r="PL77" s="40">
        <v>240</v>
      </c>
      <c r="PM77" s="40">
        <v>240</v>
      </c>
      <c r="PN77" s="42">
        <v>0</v>
      </c>
      <c r="PO77" s="47"/>
      <c r="PP77" s="43">
        <v>0</v>
      </c>
      <c r="PQ77" s="40">
        <v>0</v>
      </c>
      <c r="PR77" s="40">
        <v>72</v>
      </c>
      <c r="PS77" s="40">
        <v>75</v>
      </c>
      <c r="PT77" s="42">
        <v>-3</v>
      </c>
      <c r="PU77" s="47"/>
      <c r="PV77" s="45">
        <v>0</v>
      </c>
      <c r="PW77" s="40">
        <v>0</v>
      </c>
      <c r="PX77" s="40">
        <v>152</v>
      </c>
      <c r="PY77" s="40">
        <v>150</v>
      </c>
      <c r="PZ77" s="42">
        <v>2</v>
      </c>
      <c r="QA77" s="47"/>
      <c r="QB77" s="45">
        <v>248</v>
      </c>
      <c r="QC77" s="40">
        <v>250</v>
      </c>
      <c r="QD77" s="42">
        <v>-2</v>
      </c>
      <c r="QE77" s="47"/>
      <c r="QF77" s="45">
        <v>0</v>
      </c>
      <c r="QG77" s="40">
        <v>0</v>
      </c>
      <c r="QH77" s="40">
        <v>0</v>
      </c>
      <c r="QI77" s="40">
        <v>0</v>
      </c>
      <c r="QJ77" s="42">
        <v>0</v>
      </c>
      <c r="QK77" s="47"/>
      <c r="QL77" s="45">
        <v>0</v>
      </c>
      <c r="QM77" s="40">
        <v>0</v>
      </c>
      <c r="QN77" s="40">
        <v>0</v>
      </c>
      <c r="QO77" s="40">
        <v>0</v>
      </c>
      <c r="QP77" s="42">
        <v>0</v>
      </c>
      <c r="QQ77" s="47"/>
      <c r="QR77" s="45">
        <v>0</v>
      </c>
      <c r="QS77" s="40">
        <v>0</v>
      </c>
      <c r="QT77" s="40">
        <v>96</v>
      </c>
      <c r="QU77" s="40">
        <v>0</v>
      </c>
      <c r="QV77" s="42">
        <v>96</v>
      </c>
      <c r="QW77" s="47"/>
      <c r="QX77" s="45">
        <v>0</v>
      </c>
      <c r="QY77" s="40">
        <v>0</v>
      </c>
      <c r="QZ77" s="40">
        <v>0</v>
      </c>
      <c r="RA77" s="40">
        <v>0</v>
      </c>
      <c r="RB77" s="42">
        <v>0</v>
      </c>
      <c r="RC77" s="47"/>
      <c r="RD77" s="45">
        <v>0</v>
      </c>
      <c r="RE77" s="40">
        <v>0</v>
      </c>
      <c r="RF77" s="42">
        <v>0</v>
      </c>
      <c r="RG77" s="47"/>
    </row>
    <row r="78" spans="1:475" x14ac:dyDescent="0.25">
      <c r="A78" s="40" t="s">
        <v>367</v>
      </c>
      <c r="B78" s="41">
        <v>1</v>
      </c>
      <c r="N78" s="43"/>
      <c r="O78" s="48"/>
      <c r="P78" s="48"/>
      <c r="Q78" s="48"/>
      <c r="R78" s="48">
        <f t="shared" si="13"/>
        <v>0</v>
      </c>
      <c r="S78" s="44"/>
      <c r="T78" s="43"/>
      <c r="U78" s="48"/>
      <c r="V78" s="48"/>
      <c r="W78" s="48"/>
      <c r="X78" s="48">
        <f t="shared" si="14"/>
        <v>0</v>
      </c>
      <c r="Y78" s="44"/>
      <c r="Z78" s="43"/>
      <c r="AA78" s="48"/>
      <c r="AB78" s="48"/>
      <c r="AC78" s="48"/>
      <c r="AD78" s="48">
        <f t="shared" si="15"/>
        <v>0</v>
      </c>
      <c r="AE78" s="44"/>
      <c r="AF78" s="43"/>
      <c r="AG78" s="48"/>
      <c r="AH78" s="48"/>
      <c r="AI78" s="48"/>
      <c r="AJ78" s="48">
        <f t="shared" si="16"/>
        <v>0</v>
      </c>
      <c r="AK78" s="44"/>
      <c r="AL78" s="48"/>
      <c r="AP78" s="42">
        <v>0</v>
      </c>
      <c r="AQ78" s="44"/>
      <c r="AR78" s="43"/>
      <c r="AV78" s="42">
        <v>0</v>
      </c>
      <c r="AW78" s="44"/>
      <c r="BC78" s="42">
        <v>0</v>
      </c>
      <c r="BD78" s="44"/>
      <c r="BE78" s="43"/>
      <c r="BI78" s="42">
        <v>0</v>
      </c>
      <c r="BJ78" s="44"/>
      <c r="BO78" s="42">
        <v>0</v>
      </c>
      <c r="BP78" s="44"/>
      <c r="BS78" s="42">
        <v>0</v>
      </c>
      <c r="BT78" s="44"/>
      <c r="BU78" s="43"/>
      <c r="BY78" s="42">
        <v>0</v>
      </c>
      <c r="BZ78" s="44"/>
      <c r="CE78" s="42">
        <v>0</v>
      </c>
      <c r="CF78" s="44"/>
      <c r="CG78" s="43"/>
      <c r="CK78" s="42">
        <v>0</v>
      </c>
      <c r="CL78" s="44"/>
      <c r="CM78" s="43"/>
      <c r="CQ78" s="42">
        <v>0</v>
      </c>
      <c r="CR78" s="44"/>
      <c r="CW78" s="42">
        <v>0</v>
      </c>
      <c r="CX78" s="44"/>
      <c r="CY78" s="43"/>
      <c r="DC78" s="42">
        <v>0</v>
      </c>
      <c r="DD78" s="44"/>
      <c r="DE78" s="43"/>
      <c r="DK78" s="42">
        <v>0</v>
      </c>
      <c r="DL78" s="44"/>
      <c r="DM78" s="43"/>
      <c r="DQ78" s="42">
        <v>0</v>
      </c>
      <c r="DR78" s="44"/>
      <c r="DY78" s="42">
        <v>0</v>
      </c>
      <c r="DZ78" s="44"/>
      <c r="EA78" s="43"/>
      <c r="EE78" s="42">
        <v>0</v>
      </c>
      <c r="EF78" s="44"/>
      <c r="EG78" s="43"/>
      <c r="EK78" s="42">
        <v>0</v>
      </c>
      <c r="EL78" s="44"/>
      <c r="EM78" s="43"/>
      <c r="EQ78" s="42">
        <v>0</v>
      </c>
      <c r="ER78" s="44"/>
      <c r="EY78" s="42">
        <v>0</v>
      </c>
      <c r="EZ78" s="44"/>
      <c r="FE78" s="42">
        <v>0</v>
      </c>
      <c r="FF78" s="44"/>
      <c r="FG78" s="43"/>
      <c r="FK78" s="42">
        <v>0</v>
      </c>
      <c r="FL78" s="44"/>
      <c r="FM78" s="43"/>
      <c r="FO78" s="42">
        <v>0</v>
      </c>
      <c r="FP78" s="44"/>
      <c r="FU78" s="42">
        <v>0</v>
      </c>
      <c r="FV78" s="44"/>
      <c r="FW78" s="43"/>
      <c r="GC78" s="42">
        <v>0</v>
      </c>
      <c r="GD78" s="44"/>
      <c r="GI78" s="42">
        <v>0</v>
      </c>
      <c r="GJ78" s="44"/>
      <c r="GK78" s="43"/>
      <c r="GO78" s="42">
        <v>0</v>
      </c>
      <c r="GP78" s="47"/>
      <c r="GU78" s="42">
        <v>0</v>
      </c>
      <c r="GV78" s="44"/>
      <c r="GY78" s="42">
        <v>0</v>
      </c>
      <c r="GZ78" s="47"/>
      <c r="HA78" s="43"/>
      <c r="HC78" s="42">
        <v>0</v>
      </c>
      <c r="HD78" s="44"/>
      <c r="HE78" s="43"/>
      <c r="HI78" s="42">
        <v>0</v>
      </c>
      <c r="HJ78" s="47"/>
      <c r="HK78" s="43"/>
      <c r="HO78" s="42">
        <v>0</v>
      </c>
      <c r="HP78" s="44"/>
      <c r="HV78" s="42">
        <v>0</v>
      </c>
      <c r="HW78" s="44"/>
      <c r="HX78" s="45"/>
      <c r="IB78" s="42">
        <v>0</v>
      </c>
      <c r="IC78" s="44"/>
      <c r="IH78" s="42">
        <v>0</v>
      </c>
      <c r="II78" s="47"/>
      <c r="IN78" s="42">
        <v>0</v>
      </c>
      <c r="IO78" s="47"/>
      <c r="IT78" s="42">
        <v>0</v>
      </c>
      <c r="IU78" s="47"/>
      <c r="IZ78" s="42">
        <v>0</v>
      </c>
      <c r="JA78" s="44"/>
      <c r="JD78" s="42">
        <v>0</v>
      </c>
      <c r="JE78" s="44"/>
      <c r="JJ78" s="42">
        <v>0</v>
      </c>
      <c r="JK78" s="44"/>
      <c r="JL78" s="45"/>
      <c r="JN78" s="42">
        <v>0</v>
      </c>
      <c r="JO78" s="44"/>
      <c r="JT78" s="42">
        <v>0</v>
      </c>
      <c r="JU78" s="44"/>
      <c r="JZ78" s="42">
        <v>0</v>
      </c>
      <c r="KA78" s="47"/>
      <c r="KF78" s="42">
        <v>0</v>
      </c>
      <c r="KG78" s="44"/>
      <c r="KH78" s="41"/>
      <c r="KL78" s="42">
        <v>0</v>
      </c>
      <c r="KM78" s="47"/>
      <c r="KN78" s="45"/>
      <c r="KT78" s="42">
        <v>0</v>
      </c>
      <c r="KU78" s="47"/>
      <c r="KV78" s="40">
        <v>0</v>
      </c>
      <c r="KW78" s="40">
        <v>0</v>
      </c>
      <c r="KX78" s="40">
        <v>0</v>
      </c>
      <c r="KY78" s="40">
        <v>0</v>
      </c>
      <c r="KZ78" s="42">
        <v>0</v>
      </c>
      <c r="LA78" s="47"/>
      <c r="LB78" s="40">
        <v>0</v>
      </c>
      <c r="LC78" s="40">
        <v>0</v>
      </c>
      <c r="LD78" s="40">
        <v>21.103999999999999</v>
      </c>
      <c r="LE78" s="40">
        <v>20</v>
      </c>
      <c r="LF78" s="42">
        <v>1.103999999999999</v>
      </c>
      <c r="LG78" s="47"/>
      <c r="LH78" s="45">
        <v>75.947999999999993</v>
      </c>
      <c r="LI78" s="40">
        <v>75</v>
      </c>
      <c r="LJ78" s="42">
        <v>0.94799999999999329</v>
      </c>
      <c r="LK78" s="47"/>
      <c r="LL78" s="45">
        <v>102.251</v>
      </c>
      <c r="LM78" s="40">
        <v>100</v>
      </c>
      <c r="LN78" s="40">
        <v>91.197000000000003</v>
      </c>
      <c r="LO78" s="40">
        <v>90</v>
      </c>
      <c r="LP78" s="42">
        <v>3.4480000000000079</v>
      </c>
      <c r="LQ78" s="47"/>
      <c r="LR78" s="45">
        <v>121.283</v>
      </c>
      <c r="LS78" s="40">
        <v>120</v>
      </c>
      <c r="LT78" s="40">
        <v>200.328</v>
      </c>
      <c r="LU78" s="40">
        <v>200</v>
      </c>
      <c r="LV78" s="42">
        <v>1.61099999999999</v>
      </c>
      <c r="LW78" s="47"/>
      <c r="LX78" s="45">
        <v>42.494999999999997</v>
      </c>
      <c r="LY78" s="40">
        <v>40</v>
      </c>
      <c r="LZ78" s="42">
        <v>2.494999999999997</v>
      </c>
      <c r="MA78" s="47"/>
      <c r="MB78" s="45">
        <v>102.053</v>
      </c>
      <c r="MC78" s="40">
        <v>100</v>
      </c>
      <c r="MD78" s="40">
        <v>211.69200000000001</v>
      </c>
      <c r="ME78" s="40">
        <v>210</v>
      </c>
      <c r="MF78" s="42">
        <v>3.745000000000005</v>
      </c>
      <c r="MG78" s="47"/>
      <c r="MH78" s="45">
        <v>131.72300000000001</v>
      </c>
      <c r="MI78" s="40">
        <v>130</v>
      </c>
      <c r="MJ78" s="42">
        <v>1.723000000000013</v>
      </c>
      <c r="MK78" s="47"/>
      <c r="ML78" s="45">
        <v>0</v>
      </c>
      <c r="MM78" s="40">
        <v>0</v>
      </c>
      <c r="MN78" s="40">
        <v>313.839</v>
      </c>
      <c r="MO78" s="40">
        <v>315</v>
      </c>
      <c r="MP78" s="42">
        <v>-1.1610000000000009</v>
      </c>
      <c r="MQ78" s="47"/>
      <c r="MR78" s="40">
        <v>0</v>
      </c>
      <c r="MS78" s="40">
        <v>0</v>
      </c>
      <c r="MT78" s="40">
        <v>120.063</v>
      </c>
      <c r="MU78" s="40">
        <v>120</v>
      </c>
      <c r="MV78" s="42">
        <v>6.3000000000002387E-2</v>
      </c>
      <c r="MW78" s="47"/>
      <c r="MX78" s="45">
        <v>50.759</v>
      </c>
      <c r="MY78" s="40">
        <v>50</v>
      </c>
      <c r="MZ78" s="40">
        <v>112.363</v>
      </c>
      <c r="NA78" s="40">
        <v>110</v>
      </c>
      <c r="NB78" s="42">
        <v>3.1220000000000141</v>
      </c>
      <c r="NC78" s="47"/>
      <c r="ND78" s="45">
        <v>102.879</v>
      </c>
      <c r="NE78" s="40">
        <v>30</v>
      </c>
      <c r="NF78" s="40">
        <v>30.117000000000001</v>
      </c>
      <c r="NG78" s="40">
        <v>30</v>
      </c>
      <c r="NH78" s="42">
        <v>72.996000000000009</v>
      </c>
      <c r="NI78" s="47"/>
      <c r="NJ78" s="45">
        <v>101.858</v>
      </c>
      <c r="NK78" s="40">
        <v>100</v>
      </c>
      <c r="NL78" s="40">
        <v>119.52500000000001</v>
      </c>
      <c r="NM78" s="40">
        <v>120</v>
      </c>
      <c r="NN78" s="42">
        <v>1.38300000000001</v>
      </c>
      <c r="NO78" s="47"/>
      <c r="NP78" s="25">
        <v>80.307000000000002</v>
      </c>
      <c r="NQ78" s="40">
        <v>0</v>
      </c>
      <c r="NR78" s="40">
        <v>230.33199999999999</v>
      </c>
      <c r="NS78" s="40">
        <v>230</v>
      </c>
      <c r="NT78" s="42">
        <v>80.63900000000001</v>
      </c>
      <c r="NU78" s="47"/>
      <c r="NV78" s="45">
        <v>0</v>
      </c>
      <c r="NW78" s="40">
        <v>0</v>
      </c>
      <c r="NX78" s="40">
        <v>72.018000000000001</v>
      </c>
      <c r="NY78" s="40">
        <v>70</v>
      </c>
      <c r="NZ78" s="42">
        <v>2.0180000000000011</v>
      </c>
      <c r="OA78" s="47"/>
      <c r="OB78" s="45">
        <v>301.709</v>
      </c>
      <c r="OC78" s="40">
        <v>300</v>
      </c>
      <c r="OD78" s="42">
        <v>1.709000000000003</v>
      </c>
      <c r="OE78" s="47"/>
      <c r="OF78" s="45">
        <v>0</v>
      </c>
      <c r="OG78" s="40">
        <v>0</v>
      </c>
      <c r="OH78" s="40">
        <v>162.50700000000001</v>
      </c>
      <c r="OI78" s="40">
        <v>160</v>
      </c>
      <c r="OJ78" s="42">
        <v>2.507000000000005</v>
      </c>
      <c r="OK78" s="47"/>
      <c r="OL78" s="45">
        <v>121.31</v>
      </c>
      <c r="OM78" s="40">
        <v>120</v>
      </c>
      <c r="ON78" s="40">
        <v>81.855999999999995</v>
      </c>
      <c r="OO78" s="40">
        <v>80</v>
      </c>
      <c r="OP78" s="42">
        <v>3.1659999999999968</v>
      </c>
      <c r="OQ78" s="47"/>
      <c r="OR78" s="45">
        <v>0</v>
      </c>
      <c r="OS78" s="40">
        <v>0</v>
      </c>
      <c r="OT78" s="40">
        <v>168.15199999999999</v>
      </c>
      <c r="OU78" s="40">
        <v>170</v>
      </c>
      <c r="OV78" s="42">
        <v>-1.848000000000013</v>
      </c>
      <c r="OW78" s="47"/>
      <c r="OX78" s="40">
        <v>87.236000000000004</v>
      </c>
      <c r="OY78" s="40">
        <v>85</v>
      </c>
      <c r="OZ78" s="40">
        <v>87.637</v>
      </c>
      <c r="PA78" s="40">
        <v>85</v>
      </c>
      <c r="PB78" s="42">
        <v>4.8729999999999896</v>
      </c>
      <c r="PC78" s="47"/>
      <c r="PD78" s="45">
        <v>0</v>
      </c>
      <c r="PE78" s="40">
        <v>0</v>
      </c>
      <c r="PF78" s="40">
        <v>149.328</v>
      </c>
      <c r="PG78" s="40">
        <v>150</v>
      </c>
      <c r="PH78" s="42">
        <v>-0.67199999999999704</v>
      </c>
      <c r="PI78" s="47"/>
      <c r="PJ78" s="45">
        <v>0</v>
      </c>
      <c r="PK78" s="40">
        <v>0</v>
      </c>
      <c r="PL78" s="40">
        <v>268.24099999999999</v>
      </c>
      <c r="PM78" s="40">
        <v>267</v>
      </c>
      <c r="PN78" s="42">
        <v>1.240999999999985</v>
      </c>
      <c r="PO78" s="47"/>
      <c r="PP78" s="43">
        <v>0</v>
      </c>
      <c r="PQ78" s="40">
        <v>0</v>
      </c>
      <c r="PR78" s="40">
        <v>60.341999999999999</v>
      </c>
      <c r="PS78" s="40">
        <v>60</v>
      </c>
      <c r="PT78" s="42">
        <v>0.34199999999999869</v>
      </c>
      <c r="PU78" s="47"/>
      <c r="PV78" s="45">
        <v>51.177</v>
      </c>
      <c r="PW78" s="40">
        <v>50</v>
      </c>
      <c r="PX78" s="40">
        <v>51.619</v>
      </c>
      <c r="PY78" s="40">
        <v>50</v>
      </c>
      <c r="PZ78" s="42">
        <v>2.7959999999999918</v>
      </c>
      <c r="QA78" s="47"/>
      <c r="QB78" s="45">
        <v>161.501</v>
      </c>
      <c r="QC78" s="40">
        <v>160</v>
      </c>
      <c r="QD78" s="42">
        <v>1.501000000000005</v>
      </c>
      <c r="QE78" s="47"/>
      <c r="QF78" s="45">
        <v>0</v>
      </c>
      <c r="QG78" s="40">
        <v>0</v>
      </c>
      <c r="QH78" s="40">
        <v>0</v>
      </c>
      <c r="QI78" s="40">
        <v>0</v>
      </c>
      <c r="QJ78" s="42">
        <v>0</v>
      </c>
      <c r="QK78" s="47"/>
      <c r="QL78" s="45">
        <v>0</v>
      </c>
      <c r="QM78" s="40">
        <v>0</v>
      </c>
      <c r="QN78" s="40">
        <v>0</v>
      </c>
      <c r="QO78" s="40">
        <v>0</v>
      </c>
      <c r="QP78" s="42">
        <v>0</v>
      </c>
      <c r="QQ78" s="47"/>
      <c r="QR78" s="45">
        <v>0</v>
      </c>
      <c r="QS78" s="40">
        <v>0</v>
      </c>
      <c r="QT78" s="40">
        <v>103.015</v>
      </c>
      <c r="QU78" s="40">
        <v>0</v>
      </c>
      <c r="QV78" s="42">
        <v>103.015</v>
      </c>
      <c r="QW78" s="47"/>
      <c r="QX78" s="45">
        <v>0</v>
      </c>
      <c r="QY78" s="40">
        <v>0</v>
      </c>
      <c r="QZ78" s="40">
        <v>0</v>
      </c>
      <c r="RA78" s="40">
        <v>0</v>
      </c>
      <c r="RB78" s="42">
        <v>0</v>
      </c>
      <c r="RC78" s="47"/>
      <c r="RD78" s="45">
        <v>0</v>
      </c>
      <c r="RE78" s="40">
        <v>0</v>
      </c>
      <c r="RF78" s="42">
        <v>0</v>
      </c>
      <c r="RG78" s="47"/>
    </row>
    <row r="79" spans="1:475" x14ac:dyDescent="0.25">
      <c r="A79" s="40" t="s">
        <v>368</v>
      </c>
      <c r="B79" s="41">
        <v>1</v>
      </c>
      <c r="E79">
        <v>40</v>
      </c>
      <c r="F79">
        <v>40</v>
      </c>
      <c r="I79">
        <v>40</v>
      </c>
      <c r="J79">
        <v>63</v>
      </c>
      <c r="K79">
        <v>60</v>
      </c>
      <c r="N79" s="43"/>
      <c r="O79" s="48"/>
      <c r="P79" s="48"/>
      <c r="Q79" s="48"/>
      <c r="R79" s="48">
        <f t="shared" si="13"/>
        <v>0</v>
      </c>
      <c r="S79" s="44"/>
      <c r="T79" s="46">
        <v>137</v>
      </c>
      <c r="U79" s="49">
        <v>130</v>
      </c>
      <c r="V79" s="49">
        <v>75</v>
      </c>
      <c r="W79" s="49">
        <v>70</v>
      </c>
      <c r="X79" s="48">
        <f t="shared" si="14"/>
        <v>12</v>
      </c>
      <c r="Y79" s="44"/>
      <c r="Z79" s="46">
        <v>53</v>
      </c>
      <c r="AA79" s="49">
        <v>50</v>
      </c>
      <c r="AB79" s="48"/>
      <c r="AC79" s="48"/>
      <c r="AD79" s="48">
        <f t="shared" si="15"/>
        <v>3</v>
      </c>
      <c r="AE79" s="44"/>
      <c r="AF79" s="46">
        <v>105</v>
      </c>
      <c r="AG79" s="49">
        <v>100</v>
      </c>
      <c r="AH79" s="49">
        <v>25</v>
      </c>
      <c r="AI79" s="49">
        <v>23</v>
      </c>
      <c r="AJ79" s="48">
        <f t="shared" si="16"/>
        <v>7</v>
      </c>
      <c r="AK79" s="44"/>
      <c r="AL79" s="49">
        <v>53</v>
      </c>
      <c r="AM79">
        <v>50</v>
      </c>
      <c r="AP79" s="42">
        <v>3</v>
      </c>
      <c r="AQ79" s="44"/>
      <c r="AR79" s="46">
        <v>62</v>
      </c>
      <c r="AS79">
        <v>60</v>
      </c>
      <c r="AV79" s="42">
        <v>2</v>
      </c>
      <c r="AW79" s="44"/>
      <c r="AX79">
        <v>55</v>
      </c>
      <c r="AZ79">
        <v>60</v>
      </c>
      <c r="BA79">
        <v>62</v>
      </c>
      <c r="BB79">
        <v>60</v>
      </c>
      <c r="BC79" s="42">
        <v>-3</v>
      </c>
      <c r="BD79" s="44"/>
      <c r="BE79" s="46">
        <v>92</v>
      </c>
      <c r="BF79">
        <v>90</v>
      </c>
      <c r="BI79" s="42">
        <v>2</v>
      </c>
      <c r="BJ79" s="44"/>
      <c r="BK79">
        <v>125</v>
      </c>
      <c r="BL79">
        <v>120</v>
      </c>
      <c r="BM79">
        <v>53</v>
      </c>
      <c r="BN79">
        <v>50</v>
      </c>
      <c r="BO79" s="42">
        <v>8</v>
      </c>
      <c r="BP79" s="44"/>
      <c r="BS79" s="42">
        <v>0</v>
      </c>
      <c r="BT79" s="44"/>
      <c r="BU79" s="46">
        <v>261</v>
      </c>
      <c r="BV79">
        <v>250</v>
      </c>
      <c r="BW79">
        <v>185</v>
      </c>
      <c r="BX79">
        <v>180</v>
      </c>
      <c r="BY79" s="42">
        <v>16</v>
      </c>
      <c r="BZ79" s="44"/>
      <c r="CA79">
        <v>84</v>
      </c>
      <c r="CB79">
        <v>80</v>
      </c>
      <c r="CC79">
        <v>125</v>
      </c>
      <c r="CD79">
        <v>120</v>
      </c>
      <c r="CE79" s="42">
        <v>9</v>
      </c>
      <c r="CF79" s="44"/>
      <c r="CG79" s="43"/>
      <c r="CK79" s="42">
        <v>0</v>
      </c>
      <c r="CL79" s="44"/>
      <c r="CM79" s="43"/>
      <c r="CO79">
        <v>334</v>
      </c>
      <c r="CP79">
        <v>320</v>
      </c>
      <c r="CQ79" s="42">
        <v>14</v>
      </c>
      <c r="CR79" s="44"/>
      <c r="CS79">
        <v>44</v>
      </c>
      <c r="CT79">
        <v>40</v>
      </c>
      <c r="CU79">
        <v>62</v>
      </c>
      <c r="CV79">
        <v>60</v>
      </c>
      <c r="CW79" s="42">
        <v>6</v>
      </c>
      <c r="CX79" s="44"/>
      <c r="CY79" s="43"/>
      <c r="DA79">
        <v>31</v>
      </c>
      <c r="DB79">
        <v>30</v>
      </c>
      <c r="DC79" s="42">
        <v>1</v>
      </c>
      <c r="DD79" s="44"/>
      <c r="DE79" s="43"/>
      <c r="DG79">
        <v>106</v>
      </c>
      <c r="DH79">
        <v>100</v>
      </c>
      <c r="DI79">
        <v>106</v>
      </c>
      <c r="DJ79">
        <v>100</v>
      </c>
      <c r="DK79" s="42">
        <v>12</v>
      </c>
      <c r="DL79" s="44"/>
      <c r="DM79" s="46">
        <v>157</v>
      </c>
      <c r="DN79">
        <v>150</v>
      </c>
      <c r="DO79">
        <v>212</v>
      </c>
      <c r="DP79">
        <v>200</v>
      </c>
      <c r="DQ79" s="42">
        <v>19</v>
      </c>
      <c r="DR79" s="44"/>
      <c r="DY79" s="42">
        <v>0</v>
      </c>
      <c r="DZ79" s="44"/>
      <c r="EA79" s="43"/>
      <c r="EC79">
        <v>282</v>
      </c>
      <c r="ED79">
        <v>270</v>
      </c>
      <c r="EE79" s="42">
        <v>12</v>
      </c>
      <c r="EF79" s="44"/>
      <c r="EG79" s="46">
        <v>145</v>
      </c>
      <c r="EH79">
        <v>140</v>
      </c>
      <c r="EI79">
        <v>156</v>
      </c>
      <c r="EJ79">
        <v>150</v>
      </c>
      <c r="EK79" s="42">
        <v>11</v>
      </c>
      <c r="EL79" s="44"/>
      <c r="EM79" s="43"/>
      <c r="EQ79" s="42">
        <v>0</v>
      </c>
      <c r="ER79" s="44"/>
      <c r="ES79">
        <v>106</v>
      </c>
      <c r="ET79">
        <v>100</v>
      </c>
      <c r="EU79">
        <v>106</v>
      </c>
      <c r="EV79">
        <v>100</v>
      </c>
      <c r="EW79">
        <v>115</v>
      </c>
      <c r="EX79">
        <v>110</v>
      </c>
      <c r="EY79" s="42">
        <v>17</v>
      </c>
      <c r="EZ79" s="44"/>
      <c r="FA79">
        <v>84</v>
      </c>
      <c r="FB79">
        <v>80</v>
      </c>
      <c r="FC79">
        <v>103</v>
      </c>
      <c r="FD79">
        <v>97</v>
      </c>
      <c r="FE79" s="42">
        <v>10</v>
      </c>
      <c r="FF79" s="44"/>
      <c r="FG79" s="43"/>
      <c r="FI79">
        <v>53</v>
      </c>
      <c r="FJ79">
        <v>51</v>
      </c>
      <c r="FK79" s="42">
        <v>2</v>
      </c>
      <c r="FL79" s="44"/>
      <c r="FM79" s="46">
        <v>44</v>
      </c>
      <c r="FN79">
        <v>41</v>
      </c>
      <c r="FO79" s="42">
        <v>3</v>
      </c>
      <c r="FP79" s="44"/>
      <c r="FS79">
        <v>136</v>
      </c>
      <c r="FT79">
        <v>130</v>
      </c>
      <c r="FU79" s="42">
        <v>6</v>
      </c>
      <c r="FV79" s="44"/>
      <c r="FW79" s="43"/>
      <c r="GA79">
        <v>83</v>
      </c>
      <c r="GB79">
        <v>80</v>
      </c>
      <c r="GC79" s="42">
        <v>3</v>
      </c>
      <c r="GD79" s="44"/>
      <c r="GE79">
        <v>85</v>
      </c>
      <c r="GF79">
        <v>80</v>
      </c>
      <c r="GG79">
        <v>136</v>
      </c>
      <c r="GH79">
        <v>130</v>
      </c>
      <c r="GI79" s="42">
        <v>11</v>
      </c>
      <c r="GJ79" s="44"/>
      <c r="GK79" s="43"/>
      <c r="GM79">
        <v>53</v>
      </c>
      <c r="GN79">
        <v>50</v>
      </c>
      <c r="GO79" s="42">
        <v>3</v>
      </c>
      <c r="GP79" s="47"/>
      <c r="GQ79">
        <v>123</v>
      </c>
      <c r="GR79">
        <v>120</v>
      </c>
      <c r="GS79">
        <v>154</v>
      </c>
      <c r="GT79">
        <v>150</v>
      </c>
      <c r="GU79" s="42">
        <v>7</v>
      </c>
      <c r="GV79" s="44"/>
      <c r="GW79">
        <v>171</v>
      </c>
      <c r="GX79" s="40">
        <v>165.143</v>
      </c>
      <c r="GY79" s="42">
        <v>5.8569999999999993</v>
      </c>
      <c r="GZ79" s="47"/>
      <c r="HA79" s="43"/>
      <c r="HC79" s="42">
        <v>0</v>
      </c>
      <c r="HD79" s="44"/>
      <c r="HE79" s="43"/>
      <c r="HI79" s="42">
        <v>0</v>
      </c>
      <c r="HJ79" s="47"/>
      <c r="HK79" s="46">
        <v>161</v>
      </c>
      <c r="HL79">
        <v>155</v>
      </c>
      <c r="HM79">
        <v>169</v>
      </c>
      <c r="HN79">
        <v>165</v>
      </c>
      <c r="HO79" s="42">
        <v>10</v>
      </c>
      <c r="HP79" s="44"/>
      <c r="HT79">
        <v>247</v>
      </c>
      <c r="HU79">
        <v>250</v>
      </c>
      <c r="HV79" s="42">
        <v>-3</v>
      </c>
      <c r="HW79" s="44"/>
      <c r="HX79" s="46">
        <v>101</v>
      </c>
      <c r="HY79">
        <v>100</v>
      </c>
      <c r="HZ79">
        <v>70</v>
      </c>
      <c r="IA79">
        <v>70</v>
      </c>
      <c r="IB79" s="42">
        <v>1</v>
      </c>
      <c r="IC79" s="44"/>
      <c r="IF79">
        <v>12</v>
      </c>
      <c r="IG79">
        <v>10</v>
      </c>
      <c r="IH79" s="42">
        <v>2</v>
      </c>
      <c r="II79" s="47"/>
      <c r="IJ79">
        <v>81</v>
      </c>
      <c r="IK79">
        <v>80</v>
      </c>
      <c r="IL79">
        <v>99</v>
      </c>
      <c r="IM79">
        <v>100</v>
      </c>
      <c r="IN79" s="42">
        <v>0</v>
      </c>
      <c r="IO79" s="47"/>
      <c r="IP79">
        <v>158</v>
      </c>
      <c r="IQ79">
        <v>160</v>
      </c>
      <c r="IR79">
        <v>146</v>
      </c>
      <c r="IS79">
        <v>150</v>
      </c>
      <c r="IT79" s="39">
        <v>-6</v>
      </c>
      <c r="IU79" s="47">
        <v>6</v>
      </c>
      <c r="IV79">
        <v>119</v>
      </c>
      <c r="IW79">
        <v>120</v>
      </c>
      <c r="IX79">
        <v>102</v>
      </c>
      <c r="IY79">
        <v>100</v>
      </c>
      <c r="IZ79" s="42">
        <v>1</v>
      </c>
      <c r="JA79" s="44"/>
      <c r="JB79">
        <v>164</v>
      </c>
      <c r="JC79">
        <v>167</v>
      </c>
      <c r="JD79" s="42">
        <v>-3</v>
      </c>
      <c r="JE79" s="44"/>
      <c r="JF79">
        <v>74</v>
      </c>
      <c r="JG79">
        <v>74</v>
      </c>
      <c r="JH79">
        <v>60</v>
      </c>
      <c r="JI79">
        <v>60</v>
      </c>
      <c r="JJ79" s="42">
        <v>0</v>
      </c>
      <c r="JK79" s="44"/>
      <c r="JL79" s="46">
        <v>89</v>
      </c>
      <c r="JM79" s="40">
        <v>90</v>
      </c>
      <c r="JN79" s="42">
        <v>-1</v>
      </c>
      <c r="JO79" s="44"/>
      <c r="JR79">
        <v>30</v>
      </c>
      <c r="JS79">
        <v>30</v>
      </c>
      <c r="JT79" s="42">
        <v>0</v>
      </c>
      <c r="JU79" s="44"/>
      <c r="JX79">
        <v>161</v>
      </c>
      <c r="JY79">
        <v>160</v>
      </c>
      <c r="JZ79" s="42">
        <v>1</v>
      </c>
      <c r="KA79" s="47"/>
      <c r="KB79">
        <v>81</v>
      </c>
      <c r="KC79">
        <v>80</v>
      </c>
      <c r="KD79">
        <v>167</v>
      </c>
      <c r="KE79">
        <v>170</v>
      </c>
      <c r="KF79" s="42">
        <v>-2</v>
      </c>
      <c r="KG79" s="44"/>
      <c r="KH79" s="41"/>
      <c r="KJ79">
        <v>131</v>
      </c>
      <c r="KK79">
        <v>130</v>
      </c>
      <c r="KL79" s="42">
        <v>1</v>
      </c>
      <c r="KM79" s="47"/>
      <c r="KN79" s="46">
        <v>42</v>
      </c>
      <c r="KO79">
        <v>40</v>
      </c>
      <c r="KP79">
        <v>72</v>
      </c>
      <c r="KQ79">
        <v>70</v>
      </c>
      <c r="KR79">
        <v>57</v>
      </c>
      <c r="KS79">
        <v>55</v>
      </c>
      <c r="KT79" s="42">
        <v>6</v>
      </c>
      <c r="KU79" s="47"/>
      <c r="KV79" s="40">
        <v>146.41800000000001</v>
      </c>
      <c r="KW79" s="40">
        <v>150</v>
      </c>
      <c r="KX79" s="40">
        <v>192.69200000000001</v>
      </c>
      <c r="KY79" s="40">
        <v>190</v>
      </c>
      <c r="KZ79" s="42">
        <v>-0.88999999999998636</v>
      </c>
      <c r="LA79" s="47"/>
      <c r="LG79" s="47"/>
      <c r="LH79" s="45"/>
      <c r="LK79" s="47"/>
      <c r="LL79" s="45"/>
      <c r="LQ79" s="47"/>
      <c r="LR79" s="45"/>
      <c r="LW79" s="47"/>
      <c r="LX79" s="45"/>
      <c r="MA79" s="47"/>
      <c r="MB79" s="45"/>
      <c r="MG79" s="47"/>
      <c r="MH79" s="45"/>
      <c r="MK79" s="47"/>
      <c r="ML79" s="45"/>
      <c r="MQ79" s="47"/>
      <c r="MW79" s="47"/>
      <c r="MX79" s="45"/>
      <c r="NC79" s="47"/>
      <c r="ND79" s="45"/>
      <c r="NI79" s="47"/>
      <c r="NJ79" s="45"/>
      <c r="NO79" s="47"/>
      <c r="NP79" s="25"/>
      <c r="NU79" s="47"/>
      <c r="NV79" s="45"/>
      <c r="OA79" s="47"/>
      <c r="OB79" s="45"/>
      <c r="OE79" s="47"/>
      <c r="OF79" s="45"/>
      <c r="OK79" s="47"/>
      <c r="OL79" s="45"/>
      <c r="OQ79" s="47"/>
      <c r="OR79" s="45"/>
      <c r="OW79" s="47"/>
      <c r="PC79" s="47"/>
      <c r="PD79" s="45"/>
      <c r="PI79" s="47"/>
      <c r="PJ79" s="45"/>
      <c r="PO79" s="47"/>
      <c r="PP79" s="43"/>
      <c r="PU79" s="47"/>
      <c r="PV79" s="45"/>
      <c r="QA79" s="47"/>
      <c r="QB79" s="45"/>
      <c r="QE79" s="47"/>
      <c r="QF79" s="45"/>
      <c r="QK79" s="47"/>
      <c r="QL79" s="45"/>
      <c r="QQ79" s="47"/>
      <c r="QR79" s="45"/>
      <c r="QW79" s="47"/>
      <c r="QX79" s="45"/>
      <c r="RB79" s="42"/>
      <c r="RC79" s="47"/>
      <c r="RD79" s="45"/>
      <c r="RF79" s="42"/>
      <c r="RG79" s="47"/>
    </row>
    <row r="80" spans="1:475" x14ac:dyDescent="0.25">
      <c r="A80" s="40" t="s">
        <v>369</v>
      </c>
      <c r="B80" s="41">
        <v>0.4</v>
      </c>
      <c r="J80">
        <v>60</v>
      </c>
      <c r="K80">
        <v>60</v>
      </c>
      <c r="N80" s="46">
        <v>30</v>
      </c>
      <c r="O80" s="49">
        <v>32</v>
      </c>
      <c r="P80" s="49">
        <v>66</v>
      </c>
      <c r="Q80" s="49">
        <v>68</v>
      </c>
      <c r="R80" s="48">
        <f t="shared" si="13"/>
        <v>-4</v>
      </c>
      <c r="S80" s="44"/>
      <c r="T80" s="43"/>
      <c r="U80" s="48"/>
      <c r="V80" s="48"/>
      <c r="W80" s="48"/>
      <c r="X80" s="48">
        <f t="shared" si="14"/>
        <v>0</v>
      </c>
      <c r="Y80" s="44"/>
      <c r="Z80" s="43"/>
      <c r="AA80" s="48"/>
      <c r="AB80" s="49">
        <v>48</v>
      </c>
      <c r="AC80" s="49">
        <v>50</v>
      </c>
      <c r="AD80" s="48">
        <f t="shared" si="15"/>
        <v>-2</v>
      </c>
      <c r="AE80" s="44"/>
      <c r="AF80" s="43"/>
      <c r="AG80" s="48"/>
      <c r="AH80" s="49">
        <v>144</v>
      </c>
      <c r="AI80" s="49">
        <v>143</v>
      </c>
      <c r="AJ80" s="48">
        <f t="shared" si="16"/>
        <v>1</v>
      </c>
      <c r="AK80" s="44"/>
      <c r="AL80" s="49">
        <v>18</v>
      </c>
      <c r="AM80">
        <v>21</v>
      </c>
      <c r="AP80" s="42">
        <v>-3</v>
      </c>
      <c r="AQ80" s="44"/>
      <c r="AR80" s="46">
        <v>42</v>
      </c>
      <c r="AS80">
        <v>40</v>
      </c>
      <c r="AV80" s="42">
        <v>2</v>
      </c>
      <c r="AW80" s="44"/>
      <c r="BC80" s="42">
        <v>0</v>
      </c>
      <c r="BD80" s="44"/>
      <c r="BE80" s="43"/>
      <c r="BI80" s="42">
        <v>0</v>
      </c>
      <c r="BJ80" s="44"/>
      <c r="BO80" s="42">
        <v>0</v>
      </c>
      <c r="BP80" s="44"/>
      <c r="BQ80">
        <v>150</v>
      </c>
      <c r="BR80">
        <v>150</v>
      </c>
      <c r="BS80" s="42">
        <v>0</v>
      </c>
      <c r="BT80" s="44"/>
      <c r="BU80" s="46">
        <v>348</v>
      </c>
      <c r="BV80">
        <v>350</v>
      </c>
      <c r="BW80">
        <v>78</v>
      </c>
      <c r="BX80">
        <v>80</v>
      </c>
      <c r="BY80" s="42">
        <v>-4</v>
      </c>
      <c r="BZ80" s="44"/>
      <c r="CA80">
        <v>48</v>
      </c>
      <c r="CB80" s="42">
        <v>50</v>
      </c>
      <c r="CC80">
        <v>48</v>
      </c>
      <c r="CD80" s="42">
        <v>50</v>
      </c>
      <c r="CE80" s="42">
        <v>-4</v>
      </c>
      <c r="CF80" s="44"/>
      <c r="CG80" s="46">
        <v>72</v>
      </c>
      <c r="CH80">
        <v>70</v>
      </c>
      <c r="CI80">
        <v>132</v>
      </c>
      <c r="CJ80">
        <v>130</v>
      </c>
      <c r="CK80" s="42">
        <v>4</v>
      </c>
      <c r="CL80" s="44"/>
      <c r="CM80" s="46">
        <v>102</v>
      </c>
      <c r="CN80" s="42">
        <v>100</v>
      </c>
      <c r="CQ80" s="42">
        <v>2</v>
      </c>
      <c r="CR80" s="44"/>
      <c r="CW80" s="42">
        <v>0</v>
      </c>
      <c r="CX80" s="44"/>
      <c r="CY80" s="43"/>
      <c r="DC80" s="42">
        <v>0</v>
      </c>
      <c r="DD80" s="44"/>
      <c r="DE80" s="43"/>
      <c r="DK80" s="42">
        <v>0</v>
      </c>
      <c r="DL80" s="44"/>
      <c r="DM80" s="43"/>
      <c r="DQ80" s="42">
        <v>0</v>
      </c>
      <c r="DR80" s="44"/>
      <c r="DZ80" s="44"/>
      <c r="EA80" s="43"/>
      <c r="EF80" s="44"/>
      <c r="EG80" s="46"/>
      <c r="EL80" s="44"/>
      <c r="EM80" s="43"/>
      <c r="ER80" s="44"/>
      <c r="EZ80" s="44"/>
      <c r="FF80" s="44"/>
      <c r="FG80" s="43"/>
      <c r="FL80" s="44"/>
      <c r="FM80" s="46"/>
      <c r="FP80" s="44"/>
      <c r="FV80" s="44"/>
      <c r="FW80" s="43"/>
      <c r="GD80" s="44"/>
      <c r="GJ80" s="44"/>
      <c r="GK80" s="43"/>
      <c r="GP80" s="47"/>
      <c r="GV80" s="44"/>
      <c r="GZ80" s="47"/>
      <c r="HA80" s="43"/>
      <c r="HD80" s="44"/>
      <c r="HE80" s="43"/>
      <c r="HJ80" s="47"/>
      <c r="HK80" s="46"/>
      <c r="HP80" s="44"/>
      <c r="HW80" s="44"/>
      <c r="HX80" s="46"/>
      <c r="IC80" s="44"/>
      <c r="II80" s="47"/>
      <c r="IO80" s="47"/>
      <c r="IT80" s="39"/>
      <c r="IU80" s="47"/>
      <c r="JA80" s="44"/>
      <c r="JE80" s="44"/>
      <c r="JK80" s="44"/>
      <c r="JL80" s="46"/>
      <c r="JO80" s="44"/>
      <c r="JU80" s="44"/>
      <c r="KA80" s="47"/>
      <c r="KG80" s="44"/>
      <c r="KH80" s="41"/>
      <c r="KM80" s="47"/>
      <c r="KN80" s="46"/>
      <c r="KU80" s="47"/>
      <c r="LA80" s="47"/>
      <c r="LG80" s="47"/>
      <c r="LH80" s="45"/>
      <c r="LK80" s="47"/>
      <c r="LL80" s="45"/>
      <c r="LQ80" s="47"/>
      <c r="LR80" s="45"/>
      <c r="LW80" s="47"/>
      <c r="LX80" s="45"/>
      <c r="MA80" s="47"/>
      <c r="MB80" s="45"/>
      <c r="MG80" s="47"/>
      <c r="MH80" s="45"/>
      <c r="MK80" s="47"/>
      <c r="ML80" s="45"/>
      <c r="MQ80" s="47"/>
      <c r="MW80" s="47"/>
      <c r="MX80" s="45"/>
      <c r="NC80" s="47"/>
      <c r="ND80" s="45"/>
      <c r="NI80" s="47"/>
      <c r="NJ80" s="45"/>
      <c r="NO80" s="47"/>
      <c r="NP80" s="25"/>
      <c r="NU80" s="47"/>
      <c r="NV80" s="45"/>
      <c r="OA80" s="47"/>
      <c r="OB80" s="45"/>
      <c r="OE80" s="47"/>
      <c r="OF80" s="45"/>
      <c r="OK80" s="47"/>
      <c r="OL80" s="45"/>
      <c r="OQ80" s="47"/>
      <c r="OR80" s="45"/>
      <c r="OW80" s="47"/>
      <c r="PC80" s="47"/>
      <c r="PD80" s="45"/>
      <c r="PI80" s="47"/>
      <c r="PJ80" s="45"/>
      <c r="PO80" s="47"/>
      <c r="PP80" s="43"/>
      <c r="PU80" s="47"/>
      <c r="PV80" s="45"/>
      <c r="QA80" s="47"/>
      <c r="QB80" s="45"/>
      <c r="QE80" s="47"/>
      <c r="QF80" s="45"/>
      <c r="QK80" s="47"/>
      <c r="QL80" s="45"/>
      <c r="QQ80" s="47"/>
      <c r="QR80" s="45"/>
      <c r="QW80" s="47"/>
      <c r="QX80" s="45"/>
      <c r="RB80" s="42"/>
      <c r="RC80" s="47"/>
      <c r="RD80" s="45"/>
      <c r="RF80" s="42"/>
      <c r="RG80" s="47"/>
    </row>
    <row r="81" spans="1:475" x14ac:dyDescent="0.25">
      <c r="A81" s="40" t="s">
        <v>370</v>
      </c>
      <c r="B81" s="41">
        <v>0.3</v>
      </c>
      <c r="E81">
        <v>50</v>
      </c>
      <c r="F81">
        <v>50</v>
      </c>
      <c r="J81">
        <v>400</v>
      </c>
      <c r="K81">
        <v>400</v>
      </c>
      <c r="N81" s="46">
        <v>72</v>
      </c>
      <c r="O81" s="49">
        <v>70</v>
      </c>
      <c r="P81" s="49">
        <v>96</v>
      </c>
      <c r="Q81" s="49">
        <v>98</v>
      </c>
      <c r="R81" s="48">
        <f t="shared" si="13"/>
        <v>0</v>
      </c>
      <c r="S81" s="44"/>
      <c r="T81" s="46">
        <v>120</v>
      </c>
      <c r="U81" s="49">
        <v>120</v>
      </c>
      <c r="V81" s="49">
        <v>128</v>
      </c>
      <c r="W81" s="49">
        <v>130</v>
      </c>
      <c r="X81" s="48">
        <f t="shared" si="14"/>
        <v>-2</v>
      </c>
      <c r="Y81" s="44"/>
      <c r="Z81" s="46">
        <v>120</v>
      </c>
      <c r="AA81" s="49">
        <v>120</v>
      </c>
      <c r="AB81" s="49">
        <v>280</v>
      </c>
      <c r="AC81" s="49">
        <v>280</v>
      </c>
      <c r="AD81" s="48">
        <f t="shared" si="15"/>
        <v>0</v>
      </c>
      <c r="AE81" s="44"/>
      <c r="AF81" s="46">
        <v>152</v>
      </c>
      <c r="AG81" s="49">
        <v>150</v>
      </c>
      <c r="AH81" s="48"/>
      <c r="AI81" s="48"/>
      <c r="AJ81" s="48">
        <f t="shared" si="16"/>
        <v>2</v>
      </c>
      <c r="AK81" s="44"/>
      <c r="AL81" s="49">
        <v>120</v>
      </c>
      <c r="AM81">
        <v>120</v>
      </c>
      <c r="AN81">
        <v>128</v>
      </c>
      <c r="AO81">
        <v>130</v>
      </c>
      <c r="AP81" s="42">
        <v>-2</v>
      </c>
      <c r="AQ81" s="44"/>
      <c r="AR81" s="43"/>
      <c r="AV81" s="42">
        <v>0</v>
      </c>
      <c r="AW81" s="44"/>
      <c r="AX81">
        <v>200</v>
      </c>
      <c r="AZ81">
        <v>200</v>
      </c>
      <c r="BA81">
        <v>248</v>
      </c>
      <c r="BB81">
        <v>250</v>
      </c>
      <c r="BC81" s="42">
        <v>-2</v>
      </c>
      <c r="BD81" s="44"/>
      <c r="BE81" s="46">
        <v>152</v>
      </c>
      <c r="BF81">
        <v>150</v>
      </c>
      <c r="BI81" s="42">
        <v>2</v>
      </c>
      <c r="BJ81" s="44"/>
      <c r="BK81">
        <v>248</v>
      </c>
      <c r="BL81">
        <v>250</v>
      </c>
      <c r="BM81">
        <v>200</v>
      </c>
      <c r="BN81">
        <v>200</v>
      </c>
      <c r="BO81" s="42">
        <v>-2</v>
      </c>
      <c r="BP81" s="44"/>
      <c r="BS81" s="42">
        <v>0</v>
      </c>
      <c r="BT81" s="44"/>
      <c r="BU81" s="46">
        <v>400</v>
      </c>
      <c r="BV81">
        <v>400</v>
      </c>
      <c r="BW81">
        <v>288</v>
      </c>
      <c r="BX81">
        <v>300</v>
      </c>
      <c r="BY81" s="39">
        <v>-12</v>
      </c>
      <c r="BZ81" s="44">
        <v>3.6</v>
      </c>
      <c r="CA81">
        <v>200</v>
      </c>
      <c r="CB81">
        <v>200</v>
      </c>
      <c r="CC81">
        <v>296</v>
      </c>
      <c r="CD81">
        <v>300</v>
      </c>
      <c r="CE81" s="42">
        <v>-4</v>
      </c>
      <c r="CF81" s="44"/>
      <c r="CG81" s="43"/>
      <c r="CK81" s="42">
        <v>0</v>
      </c>
      <c r="CL81" s="44"/>
      <c r="CM81" s="46">
        <v>96</v>
      </c>
      <c r="CN81">
        <v>100</v>
      </c>
      <c r="CO81">
        <v>416</v>
      </c>
      <c r="CP81">
        <v>420</v>
      </c>
      <c r="CQ81" s="42">
        <v>-8</v>
      </c>
      <c r="CR81" s="44"/>
      <c r="CS81">
        <v>200</v>
      </c>
      <c r="CT81">
        <v>200</v>
      </c>
      <c r="CU81">
        <v>232</v>
      </c>
      <c r="CV81">
        <v>235</v>
      </c>
      <c r="CW81" s="42">
        <v>-3</v>
      </c>
      <c r="CX81" s="44"/>
      <c r="CY81" s="43"/>
      <c r="DA81">
        <v>192</v>
      </c>
      <c r="DB81">
        <v>197</v>
      </c>
      <c r="DC81" s="42">
        <v>-5</v>
      </c>
      <c r="DD81" s="44"/>
      <c r="DE81" s="43"/>
      <c r="DK81" s="42">
        <v>0</v>
      </c>
      <c r="DL81" s="44"/>
      <c r="DM81" s="46">
        <v>200</v>
      </c>
      <c r="DN81">
        <v>200</v>
      </c>
      <c r="DO81">
        <v>248</v>
      </c>
      <c r="DP81">
        <v>250</v>
      </c>
      <c r="DQ81" s="42">
        <v>-2</v>
      </c>
      <c r="DR81" s="44"/>
      <c r="DS81">
        <v>96</v>
      </c>
      <c r="DT81">
        <v>100</v>
      </c>
      <c r="DU81">
        <v>256</v>
      </c>
      <c r="DV81">
        <v>260</v>
      </c>
      <c r="DW81">
        <v>200</v>
      </c>
      <c r="DX81">
        <v>200</v>
      </c>
      <c r="DY81" s="42">
        <v>-8</v>
      </c>
      <c r="DZ81" s="44"/>
      <c r="EA81" s="43"/>
      <c r="EE81" s="42">
        <v>0</v>
      </c>
      <c r="EF81" s="44"/>
      <c r="EG81" s="43"/>
      <c r="EK81" s="42">
        <v>0</v>
      </c>
      <c r="EL81" s="44"/>
      <c r="EM81" s="46">
        <v>200</v>
      </c>
      <c r="EN81">
        <v>200</v>
      </c>
      <c r="EO81">
        <v>496</v>
      </c>
      <c r="EP81">
        <v>500</v>
      </c>
      <c r="EQ81" s="42">
        <v>-4</v>
      </c>
      <c r="ER81" s="44"/>
      <c r="ES81">
        <v>80</v>
      </c>
      <c r="ET81">
        <v>80</v>
      </c>
      <c r="EU81">
        <v>80</v>
      </c>
      <c r="EV81">
        <v>80</v>
      </c>
      <c r="EW81">
        <v>80</v>
      </c>
      <c r="EX81">
        <v>80</v>
      </c>
      <c r="EY81" s="42">
        <v>0</v>
      </c>
      <c r="EZ81" s="44"/>
      <c r="FA81">
        <v>152</v>
      </c>
      <c r="FB81">
        <v>150</v>
      </c>
      <c r="FC81">
        <v>176</v>
      </c>
      <c r="FD81">
        <v>178</v>
      </c>
      <c r="FE81" s="42">
        <v>0</v>
      </c>
      <c r="FF81" s="44"/>
      <c r="FG81" s="43"/>
      <c r="FK81" s="42">
        <v>0</v>
      </c>
      <c r="FL81" s="44"/>
      <c r="FM81" s="46">
        <v>248</v>
      </c>
      <c r="FN81">
        <v>250</v>
      </c>
      <c r="FO81" s="42">
        <v>-2</v>
      </c>
      <c r="FP81" s="44"/>
      <c r="FS81">
        <v>96</v>
      </c>
      <c r="FT81">
        <v>150</v>
      </c>
      <c r="FU81" s="39">
        <v>-54</v>
      </c>
      <c r="FV81" s="44">
        <v>16.2</v>
      </c>
      <c r="FW81" s="46">
        <v>96</v>
      </c>
      <c r="FX81" s="42">
        <v>100</v>
      </c>
      <c r="FZ81" s="42">
        <v>50</v>
      </c>
      <c r="GA81">
        <v>96</v>
      </c>
      <c r="GB81" s="42">
        <v>100</v>
      </c>
      <c r="GC81" s="39">
        <v>-58</v>
      </c>
      <c r="GD81" s="44">
        <v>17.399999999999999</v>
      </c>
      <c r="GI81" s="42">
        <v>0</v>
      </c>
      <c r="GJ81" s="44"/>
      <c r="GK81" s="43"/>
      <c r="GO81" s="42">
        <v>0</v>
      </c>
      <c r="GP81" s="47"/>
      <c r="GS81" s="42">
        <v>96</v>
      </c>
      <c r="GT81">
        <v>100</v>
      </c>
      <c r="GU81" s="42">
        <v>-4</v>
      </c>
      <c r="GV81" s="44"/>
      <c r="GY81" s="42">
        <v>0</v>
      </c>
      <c r="GZ81" s="47"/>
      <c r="HA81" s="43"/>
      <c r="HC81" s="42">
        <v>0</v>
      </c>
      <c r="HD81" s="44"/>
      <c r="HE81" s="43"/>
      <c r="HI81" s="42">
        <v>0</v>
      </c>
      <c r="HJ81" s="47"/>
      <c r="HK81" s="43"/>
      <c r="HO81" s="42">
        <v>0</v>
      </c>
      <c r="HP81" s="44"/>
      <c r="HW81" s="44"/>
      <c r="HX81" s="46"/>
      <c r="IC81" s="44"/>
      <c r="II81" s="47"/>
      <c r="IO81" s="47"/>
      <c r="IT81" s="39"/>
      <c r="IU81" s="47"/>
      <c r="JA81" s="44"/>
      <c r="JE81" s="44"/>
      <c r="JK81" s="44"/>
      <c r="JL81" s="46"/>
      <c r="JO81" s="44"/>
      <c r="JU81" s="44"/>
      <c r="KA81" s="47"/>
      <c r="KG81" s="44"/>
      <c r="KH81" s="41"/>
      <c r="KM81" s="47"/>
      <c r="KN81" s="46"/>
      <c r="KU81" s="47"/>
      <c r="LA81" s="47"/>
      <c r="LG81" s="47"/>
      <c r="LH81" s="45"/>
      <c r="LK81" s="47"/>
      <c r="LL81" s="45"/>
      <c r="LQ81" s="47"/>
      <c r="LR81" s="45"/>
      <c r="LW81" s="47"/>
      <c r="LX81" s="45"/>
      <c r="MA81" s="47"/>
      <c r="MB81" s="45"/>
      <c r="MG81" s="47"/>
      <c r="MH81" s="45"/>
      <c r="MK81" s="47"/>
      <c r="ML81" s="45"/>
      <c r="MQ81" s="47"/>
      <c r="MW81" s="47"/>
      <c r="MX81" s="45"/>
      <c r="NC81" s="47"/>
      <c r="ND81" s="45"/>
      <c r="NI81" s="47"/>
      <c r="NJ81" s="45"/>
      <c r="NO81" s="47"/>
      <c r="NP81" s="25"/>
      <c r="NU81" s="47"/>
      <c r="NV81" s="45"/>
      <c r="OA81" s="47"/>
      <c r="OB81" s="45"/>
      <c r="OE81" s="47"/>
      <c r="OF81" s="45"/>
      <c r="OK81" s="47"/>
      <c r="OL81" s="45"/>
      <c r="OQ81" s="47"/>
      <c r="OR81" s="45"/>
      <c r="OW81" s="47"/>
      <c r="PC81" s="47"/>
      <c r="PD81" s="45"/>
      <c r="PI81" s="47"/>
      <c r="PJ81" s="45"/>
      <c r="PO81" s="47"/>
      <c r="PP81" s="43"/>
      <c r="PU81" s="47"/>
      <c r="PV81" s="45"/>
      <c r="QA81" s="47"/>
      <c r="QB81" s="45"/>
      <c r="QE81" s="47"/>
      <c r="QF81" s="45"/>
      <c r="QK81" s="47"/>
      <c r="QL81" s="45"/>
      <c r="QQ81" s="47"/>
      <c r="QR81" s="45"/>
      <c r="QW81" s="47"/>
      <c r="QX81" s="45"/>
      <c r="RB81" s="42"/>
      <c r="RC81" s="47"/>
      <c r="RD81" s="45"/>
      <c r="RF81" s="42"/>
      <c r="RG81" s="47"/>
    </row>
    <row r="82" spans="1:475" x14ac:dyDescent="0.25">
      <c r="A82" s="40" t="s">
        <v>371</v>
      </c>
      <c r="B82" s="41">
        <v>1</v>
      </c>
      <c r="N82" s="43"/>
      <c r="O82" s="48"/>
      <c r="P82" s="48"/>
      <c r="Q82" s="48"/>
      <c r="R82" s="48">
        <f t="shared" si="13"/>
        <v>0</v>
      </c>
      <c r="S82" s="44"/>
      <c r="T82" s="43"/>
      <c r="U82" s="48"/>
      <c r="V82" s="48"/>
      <c r="W82" s="48"/>
      <c r="X82" s="48">
        <f t="shared" si="14"/>
        <v>0</v>
      </c>
      <c r="Y82" s="44"/>
      <c r="Z82" s="43"/>
      <c r="AA82" s="48"/>
      <c r="AB82" s="48"/>
      <c r="AC82" s="48"/>
      <c r="AD82" s="48">
        <f t="shared" si="15"/>
        <v>0</v>
      </c>
      <c r="AE82" s="44"/>
      <c r="AF82" s="43"/>
      <c r="AG82" s="48"/>
      <c r="AH82" s="48"/>
      <c r="AI82" s="48"/>
      <c r="AJ82" s="48">
        <f t="shared" si="16"/>
        <v>0</v>
      </c>
      <c r="AK82" s="44"/>
      <c r="AL82" s="48"/>
      <c r="AP82" s="42">
        <v>0</v>
      </c>
      <c r="AQ82" s="44"/>
      <c r="AR82" s="43"/>
      <c r="AV82" s="42">
        <v>0</v>
      </c>
      <c r="AW82" s="44"/>
      <c r="BC82" s="42">
        <v>0</v>
      </c>
      <c r="BD82" s="44"/>
      <c r="BE82" s="43"/>
      <c r="BI82" s="42">
        <v>0</v>
      </c>
      <c r="BJ82" s="44"/>
      <c r="BO82" s="42">
        <v>0</v>
      </c>
      <c r="BP82" s="44"/>
      <c r="BS82" s="42">
        <v>0</v>
      </c>
      <c r="BT82" s="44"/>
      <c r="BU82" s="43"/>
      <c r="BY82" s="42">
        <v>0</v>
      </c>
      <c r="BZ82" s="44"/>
      <c r="CE82" s="42">
        <v>0</v>
      </c>
      <c r="CF82" s="44"/>
      <c r="CG82" s="43"/>
      <c r="CK82" s="42">
        <v>0</v>
      </c>
      <c r="CL82" s="44"/>
      <c r="CM82" s="43"/>
      <c r="CQ82" s="42">
        <v>0</v>
      </c>
      <c r="CR82" s="44"/>
      <c r="CS82">
        <v>24</v>
      </c>
      <c r="CT82">
        <v>20</v>
      </c>
      <c r="CU82">
        <v>39</v>
      </c>
      <c r="CV82">
        <v>35</v>
      </c>
      <c r="CW82" s="42">
        <v>8</v>
      </c>
      <c r="CX82" s="44"/>
      <c r="CY82" s="43"/>
      <c r="DC82" s="42">
        <v>0</v>
      </c>
      <c r="DD82" s="44"/>
      <c r="DE82" s="43"/>
      <c r="DG82">
        <v>55</v>
      </c>
      <c r="DH82">
        <v>50</v>
      </c>
      <c r="DI82">
        <v>57</v>
      </c>
      <c r="DJ82">
        <v>49</v>
      </c>
      <c r="DK82" s="42">
        <v>13</v>
      </c>
      <c r="DL82" s="44"/>
      <c r="DM82" s="43"/>
      <c r="DQ82" s="42">
        <v>0</v>
      </c>
      <c r="DR82" s="44"/>
      <c r="DY82" s="42">
        <v>0</v>
      </c>
      <c r="DZ82" s="44"/>
      <c r="EA82" s="43"/>
      <c r="EC82">
        <v>123</v>
      </c>
      <c r="ED82">
        <v>110</v>
      </c>
      <c r="EE82" s="42">
        <v>13</v>
      </c>
      <c r="EF82" s="44"/>
      <c r="EG82" s="43"/>
      <c r="EK82" s="42">
        <v>0</v>
      </c>
      <c r="EL82" s="44"/>
      <c r="EM82" s="46">
        <v>11</v>
      </c>
      <c r="EN82">
        <v>10</v>
      </c>
      <c r="EQ82" s="42">
        <v>1</v>
      </c>
      <c r="ER82" s="44"/>
      <c r="EW82">
        <v>82</v>
      </c>
      <c r="EX82">
        <v>70</v>
      </c>
      <c r="EY82" s="42">
        <v>12</v>
      </c>
      <c r="EZ82" s="44"/>
      <c r="FE82" s="42">
        <v>0</v>
      </c>
      <c r="FF82" s="44"/>
      <c r="FG82" s="43"/>
      <c r="FI82">
        <v>46</v>
      </c>
      <c r="FJ82">
        <v>40</v>
      </c>
      <c r="FK82" s="42">
        <v>6</v>
      </c>
      <c r="FL82" s="44"/>
      <c r="FM82" s="43"/>
      <c r="FO82" s="42">
        <v>0</v>
      </c>
      <c r="FP82" s="44"/>
      <c r="FU82" s="42">
        <v>0</v>
      </c>
      <c r="FV82" s="44"/>
      <c r="FW82" s="43">
        <v>35</v>
      </c>
      <c r="FX82" s="42">
        <v>30</v>
      </c>
      <c r="GC82" s="42">
        <v>5</v>
      </c>
      <c r="GD82" s="44"/>
      <c r="GI82" s="42">
        <v>0</v>
      </c>
      <c r="GJ82" s="44"/>
      <c r="GK82" s="43"/>
      <c r="GP82" s="47"/>
      <c r="GV82" s="44"/>
      <c r="GZ82" s="47"/>
      <c r="HA82" s="43"/>
      <c r="HD82" s="44"/>
      <c r="HE82" s="43"/>
      <c r="HJ82" s="47"/>
      <c r="HK82" s="43"/>
      <c r="HP82" s="44"/>
      <c r="HW82" s="44"/>
      <c r="HX82" s="46"/>
      <c r="IC82" s="44"/>
      <c r="II82" s="47"/>
      <c r="IO82" s="47"/>
      <c r="IU82" s="47"/>
      <c r="JA82" s="44"/>
      <c r="JE82" s="44"/>
      <c r="JK82" s="44"/>
      <c r="JL82" s="46"/>
      <c r="JO82" s="44"/>
      <c r="JU82" s="44"/>
      <c r="KA82" s="47"/>
      <c r="KG82" s="44"/>
      <c r="KH82" s="41"/>
      <c r="KM82" s="47"/>
      <c r="KN82" s="46"/>
      <c r="KU82" s="47"/>
      <c r="LA82" s="47"/>
      <c r="LG82" s="47"/>
      <c r="LH82" s="45"/>
      <c r="LK82" s="47"/>
      <c r="LL82" s="45"/>
      <c r="LQ82" s="47"/>
      <c r="LR82" s="45"/>
      <c r="LW82" s="47"/>
      <c r="LX82" s="45"/>
      <c r="MA82" s="47"/>
      <c r="MB82" s="45"/>
      <c r="MG82" s="47"/>
      <c r="MH82" s="45"/>
      <c r="MK82" s="47"/>
      <c r="ML82" s="45"/>
      <c r="MQ82" s="47"/>
      <c r="MW82" s="47"/>
      <c r="MX82" s="45"/>
      <c r="NC82" s="47"/>
      <c r="ND82" s="45"/>
      <c r="NI82" s="47"/>
      <c r="NJ82" s="45"/>
      <c r="NO82" s="47"/>
      <c r="NP82" s="45"/>
      <c r="NU82" s="47"/>
      <c r="NV82" s="45"/>
      <c r="NZ82" s="42"/>
      <c r="OA82" s="47"/>
      <c r="OB82" s="45"/>
      <c r="OE82" s="47"/>
      <c r="OF82" s="45"/>
      <c r="OK82" s="47"/>
      <c r="OL82" s="45"/>
      <c r="OQ82" s="47"/>
      <c r="OR82" s="45"/>
      <c r="OW82" s="47"/>
      <c r="PC82" s="47"/>
      <c r="PD82" s="45"/>
      <c r="PI82" s="47"/>
      <c r="PJ82" s="45"/>
      <c r="PO82" s="47"/>
      <c r="PP82" s="43"/>
      <c r="PU82" s="47"/>
      <c r="PV82" s="45"/>
      <c r="QA82" s="47"/>
      <c r="QB82" s="45"/>
      <c r="QE82" s="47"/>
      <c r="QF82" s="45"/>
      <c r="QK82" s="47"/>
      <c r="QL82" s="45"/>
      <c r="QQ82" s="47"/>
      <c r="QR82" s="45"/>
      <c r="QW82" s="47"/>
      <c r="QX82" s="45"/>
      <c r="RB82" s="42"/>
      <c r="RC82" s="47"/>
      <c r="RD82" s="45"/>
      <c r="RF82" s="42"/>
      <c r="RG82" s="47"/>
    </row>
    <row r="83" spans="1:475" x14ac:dyDescent="0.25">
      <c r="A83" s="40" t="s">
        <v>372</v>
      </c>
      <c r="B83" s="41">
        <v>1</v>
      </c>
      <c r="J83">
        <v>154</v>
      </c>
      <c r="K83">
        <v>150</v>
      </c>
      <c r="N83" s="43"/>
      <c r="O83" s="48"/>
      <c r="P83" s="49">
        <v>188</v>
      </c>
      <c r="Q83" s="49">
        <v>179</v>
      </c>
      <c r="R83" s="48">
        <f t="shared" si="13"/>
        <v>9</v>
      </c>
      <c r="S83" s="44"/>
      <c r="T83" s="43"/>
      <c r="U83" s="48"/>
      <c r="V83" s="48"/>
      <c r="W83" s="48"/>
      <c r="X83" s="48">
        <f t="shared" si="14"/>
        <v>0</v>
      </c>
      <c r="Y83" s="44"/>
      <c r="Z83" s="43"/>
      <c r="AA83" s="48"/>
      <c r="AB83" s="48"/>
      <c r="AC83" s="48"/>
      <c r="AD83" s="48">
        <f t="shared" si="15"/>
        <v>0</v>
      </c>
      <c r="AE83" s="44"/>
      <c r="AF83" s="46">
        <v>204</v>
      </c>
      <c r="AG83" s="49">
        <v>200</v>
      </c>
      <c r="AH83" s="49">
        <v>235</v>
      </c>
      <c r="AI83" s="49">
        <v>228</v>
      </c>
      <c r="AJ83" s="48">
        <f t="shared" si="16"/>
        <v>11</v>
      </c>
      <c r="AK83" s="44"/>
      <c r="AL83" s="48"/>
      <c r="AP83" s="42">
        <v>0</v>
      </c>
      <c r="AQ83" s="44"/>
      <c r="AR83" s="46">
        <v>91</v>
      </c>
      <c r="AS83">
        <v>90</v>
      </c>
      <c r="AT83">
        <v>109</v>
      </c>
      <c r="AU83">
        <v>110</v>
      </c>
      <c r="AV83" s="42">
        <v>0</v>
      </c>
      <c r="AW83" s="44"/>
      <c r="AX83">
        <v>50</v>
      </c>
      <c r="AZ83">
        <v>50</v>
      </c>
      <c r="BA83">
        <v>99</v>
      </c>
      <c r="BB83">
        <v>100</v>
      </c>
      <c r="BC83" s="42">
        <v>-1</v>
      </c>
      <c r="BD83" s="44"/>
      <c r="BE83" s="43"/>
      <c r="BI83" s="42">
        <v>0</v>
      </c>
      <c r="BJ83" s="44"/>
      <c r="BO83" s="42">
        <v>0</v>
      </c>
      <c r="BP83" s="44"/>
      <c r="BQ83">
        <v>104</v>
      </c>
      <c r="BR83">
        <v>100</v>
      </c>
      <c r="BS83" s="42">
        <v>4</v>
      </c>
      <c r="BT83" s="44"/>
      <c r="BU83" s="46">
        <v>311</v>
      </c>
      <c r="BV83">
        <v>300</v>
      </c>
      <c r="BW83">
        <v>155</v>
      </c>
      <c r="BX83">
        <v>150</v>
      </c>
      <c r="BY83" s="42">
        <v>16</v>
      </c>
      <c r="BZ83" s="44"/>
      <c r="CA83">
        <v>19</v>
      </c>
      <c r="CB83">
        <v>20</v>
      </c>
      <c r="CC83">
        <v>19</v>
      </c>
      <c r="CD83">
        <v>30</v>
      </c>
      <c r="CE83" s="39">
        <v>-12</v>
      </c>
      <c r="CF83" s="44">
        <v>12</v>
      </c>
      <c r="CG83" s="46">
        <v>74</v>
      </c>
      <c r="CH83">
        <v>70</v>
      </c>
      <c r="CI83">
        <v>187</v>
      </c>
      <c r="CJ83">
        <v>180</v>
      </c>
      <c r="CK83" s="42">
        <v>11</v>
      </c>
      <c r="CL83" s="44"/>
      <c r="CM83" s="43"/>
      <c r="CQ83" s="42">
        <v>0</v>
      </c>
      <c r="CR83" s="44"/>
      <c r="CS83">
        <v>97</v>
      </c>
      <c r="CT83">
        <v>100</v>
      </c>
      <c r="CU83">
        <v>157</v>
      </c>
      <c r="CV83">
        <v>150</v>
      </c>
      <c r="CW83" s="42">
        <v>4</v>
      </c>
      <c r="CX83" s="44"/>
      <c r="CY83" s="43"/>
      <c r="DA83">
        <v>207</v>
      </c>
      <c r="DB83">
        <v>200</v>
      </c>
      <c r="DC83" s="42">
        <v>7</v>
      </c>
      <c r="DD83" s="44"/>
      <c r="DE83" s="43"/>
      <c r="DK83" s="42">
        <v>0</v>
      </c>
      <c r="DL83" s="44"/>
      <c r="DM83" s="43"/>
      <c r="DQ83" s="42">
        <v>0</v>
      </c>
      <c r="DR83" s="44"/>
      <c r="DS83">
        <v>104</v>
      </c>
      <c r="DT83">
        <v>100</v>
      </c>
      <c r="DU83">
        <v>186</v>
      </c>
      <c r="DV83">
        <v>180</v>
      </c>
      <c r="DW83">
        <v>104</v>
      </c>
      <c r="DX83">
        <v>100</v>
      </c>
      <c r="DY83" s="42">
        <v>14</v>
      </c>
      <c r="DZ83" s="44"/>
      <c r="EA83" s="43"/>
      <c r="EE83" s="42">
        <v>0</v>
      </c>
      <c r="EF83" s="44"/>
      <c r="EG83" s="43"/>
      <c r="EK83" s="42">
        <v>0</v>
      </c>
      <c r="EL83" s="44"/>
      <c r="EM83" s="46">
        <v>82</v>
      </c>
      <c r="EN83">
        <v>80</v>
      </c>
      <c r="EO83">
        <v>76</v>
      </c>
      <c r="EP83">
        <v>70</v>
      </c>
      <c r="EQ83" s="42">
        <v>8</v>
      </c>
      <c r="ER83" s="44"/>
      <c r="ES83">
        <v>104</v>
      </c>
      <c r="ET83">
        <v>100</v>
      </c>
      <c r="EU83">
        <v>103</v>
      </c>
      <c r="EV83">
        <v>100</v>
      </c>
      <c r="EW83">
        <v>142</v>
      </c>
      <c r="EX83">
        <v>140</v>
      </c>
      <c r="EY83" s="42">
        <v>9</v>
      </c>
      <c r="EZ83" s="44"/>
      <c r="FA83">
        <v>50</v>
      </c>
      <c r="FB83">
        <v>50</v>
      </c>
      <c r="FC83">
        <v>49</v>
      </c>
      <c r="FD83">
        <v>50</v>
      </c>
      <c r="FE83" s="42">
        <v>-1</v>
      </c>
      <c r="FF83" s="44"/>
      <c r="FG83" s="46">
        <v>51</v>
      </c>
      <c r="FH83">
        <v>50</v>
      </c>
      <c r="FI83">
        <v>81</v>
      </c>
      <c r="FJ83">
        <v>80</v>
      </c>
      <c r="FK83" s="42">
        <v>2</v>
      </c>
      <c r="FL83" s="44"/>
      <c r="FM83" s="46">
        <v>12</v>
      </c>
      <c r="FN83">
        <v>25</v>
      </c>
      <c r="FO83" s="39">
        <v>-13</v>
      </c>
      <c r="FP83" s="44">
        <v>13</v>
      </c>
      <c r="FS83">
        <v>217</v>
      </c>
      <c r="FT83">
        <v>210</v>
      </c>
      <c r="FU83" s="42">
        <v>7</v>
      </c>
      <c r="FV83" s="44"/>
      <c r="FW83" s="46">
        <v>107</v>
      </c>
      <c r="FX83">
        <v>100</v>
      </c>
      <c r="GA83">
        <v>98</v>
      </c>
      <c r="GB83">
        <v>100</v>
      </c>
      <c r="GC83" s="42">
        <v>5</v>
      </c>
      <c r="GD83" s="44"/>
      <c r="GG83">
        <v>112</v>
      </c>
      <c r="GH83">
        <v>110</v>
      </c>
      <c r="GI83" s="42">
        <v>2</v>
      </c>
      <c r="GJ83" s="44"/>
      <c r="GK83" s="43"/>
      <c r="GO83" s="42">
        <v>0</v>
      </c>
      <c r="GP83" s="47"/>
      <c r="GQ83">
        <v>125</v>
      </c>
      <c r="GR83">
        <v>120</v>
      </c>
      <c r="GS83">
        <v>144</v>
      </c>
      <c r="GT83">
        <v>140</v>
      </c>
      <c r="GU83" s="42">
        <v>9</v>
      </c>
      <c r="GV83" s="44"/>
      <c r="GW83">
        <v>161</v>
      </c>
      <c r="GX83" s="40">
        <v>157.16640000000001</v>
      </c>
      <c r="GY83" s="42">
        <v>3.8335999999999899</v>
      </c>
      <c r="GZ83" s="47"/>
      <c r="HA83" s="43"/>
      <c r="HC83" s="42">
        <v>0</v>
      </c>
      <c r="HD83" s="44"/>
      <c r="HE83" s="43"/>
      <c r="HG83">
        <v>37</v>
      </c>
      <c r="HH83">
        <v>40</v>
      </c>
      <c r="HI83" s="42">
        <v>-3</v>
      </c>
      <c r="HJ83" s="47"/>
      <c r="HK83" s="43"/>
      <c r="HM83">
        <v>12</v>
      </c>
      <c r="HN83">
        <v>10</v>
      </c>
      <c r="HO83" s="42">
        <v>2</v>
      </c>
      <c r="HP83" s="44"/>
      <c r="HT83">
        <v>348</v>
      </c>
      <c r="HU83">
        <v>350</v>
      </c>
      <c r="HV83" s="42">
        <v>-2</v>
      </c>
      <c r="HW83" s="44"/>
      <c r="HX83" s="46">
        <v>88</v>
      </c>
      <c r="HY83">
        <v>90</v>
      </c>
      <c r="HZ83">
        <v>67</v>
      </c>
      <c r="IA83">
        <v>70</v>
      </c>
      <c r="IB83" s="42">
        <v>-5</v>
      </c>
      <c r="IC83" s="44"/>
      <c r="IF83">
        <v>37</v>
      </c>
      <c r="IG83">
        <v>40</v>
      </c>
      <c r="IH83" s="42">
        <v>-3</v>
      </c>
      <c r="II83" s="47"/>
      <c r="IJ83">
        <v>80</v>
      </c>
      <c r="IK83">
        <v>80</v>
      </c>
      <c r="IL83">
        <v>100</v>
      </c>
      <c r="IM83">
        <v>100</v>
      </c>
      <c r="IN83" s="42">
        <v>0</v>
      </c>
      <c r="IO83" s="47"/>
      <c r="IP83">
        <v>162</v>
      </c>
      <c r="IQ83">
        <v>160</v>
      </c>
      <c r="IR83">
        <v>141</v>
      </c>
      <c r="IS83">
        <v>140</v>
      </c>
      <c r="IT83" s="42">
        <v>3</v>
      </c>
      <c r="IU83" s="47"/>
      <c r="IV83">
        <v>147</v>
      </c>
      <c r="IW83">
        <v>150</v>
      </c>
      <c r="IX83">
        <v>117</v>
      </c>
      <c r="IY83">
        <v>120</v>
      </c>
      <c r="IZ83" s="42">
        <v>-6</v>
      </c>
      <c r="JA83" s="44"/>
      <c r="JD83" s="42">
        <v>0</v>
      </c>
      <c r="JE83" s="44"/>
      <c r="JF83">
        <v>79</v>
      </c>
      <c r="JG83">
        <v>79</v>
      </c>
      <c r="JJ83" s="42">
        <v>0</v>
      </c>
      <c r="JK83" s="44"/>
      <c r="JL83" s="46">
        <v>380</v>
      </c>
      <c r="JM83" s="40">
        <v>380</v>
      </c>
      <c r="JN83" s="42">
        <v>0</v>
      </c>
      <c r="JO83" s="44"/>
      <c r="JR83">
        <v>19</v>
      </c>
      <c r="JS83">
        <v>20</v>
      </c>
      <c r="JT83" s="42">
        <v>-1</v>
      </c>
      <c r="JU83" s="44"/>
      <c r="JV83">
        <v>129</v>
      </c>
      <c r="JW83">
        <v>130</v>
      </c>
      <c r="JZ83" s="42">
        <v>-1</v>
      </c>
      <c r="KA83" s="47"/>
      <c r="KB83">
        <v>99</v>
      </c>
      <c r="KC83">
        <v>100</v>
      </c>
      <c r="KD83">
        <v>278</v>
      </c>
      <c r="KE83">
        <v>280</v>
      </c>
      <c r="KF83" s="42">
        <v>-3</v>
      </c>
      <c r="KG83" s="44"/>
      <c r="KH83" s="41"/>
      <c r="KL83" s="42">
        <v>0</v>
      </c>
      <c r="KM83" s="47"/>
      <c r="KN83" s="46">
        <v>99</v>
      </c>
      <c r="KO83">
        <v>100</v>
      </c>
      <c r="KP83">
        <v>112</v>
      </c>
      <c r="KQ83">
        <v>110</v>
      </c>
      <c r="KR83">
        <v>74</v>
      </c>
      <c r="KS83">
        <v>80</v>
      </c>
      <c r="KT83" s="42">
        <v>-5</v>
      </c>
      <c r="KU83" s="47"/>
      <c r="KV83" s="40">
        <v>0</v>
      </c>
      <c r="KW83" s="40">
        <v>0</v>
      </c>
      <c r="KX83" s="40">
        <v>0</v>
      </c>
      <c r="KY83" s="40">
        <v>0</v>
      </c>
      <c r="KZ83" s="42">
        <v>0</v>
      </c>
      <c r="LA83" s="47"/>
      <c r="LB83" s="40">
        <v>0</v>
      </c>
      <c r="LC83" s="40">
        <v>0</v>
      </c>
      <c r="LD83" s="40">
        <v>31.048999999999999</v>
      </c>
      <c r="LE83" s="40">
        <v>30</v>
      </c>
      <c r="LF83" s="42">
        <v>1.048999999999999</v>
      </c>
      <c r="LG83" s="47"/>
      <c r="LH83" s="45">
        <v>300.53899999999999</v>
      </c>
      <c r="LI83" s="40">
        <v>304</v>
      </c>
      <c r="LJ83" s="42">
        <v>-3.4610000000000132</v>
      </c>
      <c r="LK83" s="47"/>
      <c r="LL83" s="45">
        <v>12.497</v>
      </c>
      <c r="LM83" s="40">
        <v>10</v>
      </c>
      <c r="LN83" s="40">
        <v>0</v>
      </c>
      <c r="LO83" s="40">
        <v>0</v>
      </c>
      <c r="LP83" s="42">
        <v>2.4969999999999999</v>
      </c>
      <c r="LQ83" s="47"/>
      <c r="LR83" s="45">
        <v>49.530999999999999</v>
      </c>
      <c r="LS83" s="40">
        <v>50</v>
      </c>
      <c r="LT83" s="40">
        <v>0</v>
      </c>
      <c r="LU83" s="40">
        <v>0</v>
      </c>
      <c r="LV83" s="42">
        <v>-0.46900000000000119</v>
      </c>
      <c r="LW83" s="47"/>
      <c r="LX83" s="45">
        <v>319.58100000000002</v>
      </c>
      <c r="LY83" s="40">
        <v>320</v>
      </c>
      <c r="LZ83" s="42">
        <v>-0.41899999999998272</v>
      </c>
      <c r="MA83" s="47"/>
      <c r="MB83" s="45">
        <v>49.927</v>
      </c>
      <c r="MC83" s="40">
        <v>50</v>
      </c>
      <c r="MD83" s="40">
        <v>124.46899999999999</v>
      </c>
      <c r="ME83" s="40">
        <v>125</v>
      </c>
      <c r="MF83" s="42">
        <v>-0.60400000000001342</v>
      </c>
      <c r="MG83" s="47"/>
      <c r="MH83" s="45">
        <v>148.57599999999999</v>
      </c>
      <c r="MI83" s="40">
        <v>150</v>
      </c>
      <c r="MJ83" s="42">
        <v>-1.424000000000007</v>
      </c>
      <c r="MK83" s="47"/>
      <c r="ML83" s="45">
        <v>0</v>
      </c>
      <c r="MM83" s="40">
        <v>0</v>
      </c>
      <c r="MN83" s="40">
        <v>162.00299999999999</v>
      </c>
      <c r="MO83" s="40">
        <v>162</v>
      </c>
      <c r="MP83" s="42">
        <v>2.9999999999859028E-3</v>
      </c>
      <c r="MQ83" s="47"/>
      <c r="MR83" s="40">
        <v>0</v>
      </c>
      <c r="MS83" s="40">
        <v>0</v>
      </c>
      <c r="MT83" s="40">
        <v>140.38300000000001</v>
      </c>
      <c r="MU83" s="40">
        <v>140</v>
      </c>
      <c r="MV83" s="42">
        <v>0.38300000000000978</v>
      </c>
      <c r="MW83" s="47"/>
      <c r="MX83" s="45">
        <v>50.262</v>
      </c>
      <c r="MY83" s="40">
        <v>50</v>
      </c>
      <c r="MZ83" s="40">
        <v>147.14699999999999</v>
      </c>
      <c r="NA83" s="40">
        <v>150</v>
      </c>
      <c r="NB83" s="42">
        <v>-2.5910000000000082</v>
      </c>
      <c r="NC83" s="47"/>
      <c r="ND83" s="45">
        <v>0</v>
      </c>
      <c r="NE83" s="30">
        <v>50</v>
      </c>
      <c r="NF83" s="40">
        <v>93.620999999999995</v>
      </c>
      <c r="NG83" s="40">
        <v>100</v>
      </c>
      <c r="NH83" s="39">
        <v>-56.378999999999998</v>
      </c>
      <c r="NI83" s="47">
        <v>56.378999999999998</v>
      </c>
      <c r="NJ83" s="45">
        <v>48.787999999999997</v>
      </c>
      <c r="NK83" s="40">
        <v>50</v>
      </c>
      <c r="NL83" s="40">
        <v>111.142</v>
      </c>
      <c r="NM83" s="40">
        <v>110</v>
      </c>
      <c r="NN83" s="42">
        <v>-6.9999999999993179E-2</v>
      </c>
      <c r="NO83" s="47"/>
      <c r="NP83" s="45">
        <v>0</v>
      </c>
      <c r="NQ83" s="40">
        <v>0</v>
      </c>
      <c r="NR83" s="40">
        <v>98.881</v>
      </c>
      <c r="NS83" s="40">
        <v>100</v>
      </c>
      <c r="NT83" s="42">
        <v>-1.119</v>
      </c>
      <c r="NU83" s="47"/>
      <c r="NV83" s="45">
        <v>0</v>
      </c>
      <c r="NW83" s="40">
        <v>0</v>
      </c>
      <c r="NX83" s="40">
        <v>49.223999999999997</v>
      </c>
      <c r="NY83" s="40">
        <v>50</v>
      </c>
      <c r="NZ83" s="42">
        <v>-0.77600000000000335</v>
      </c>
      <c r="OA83" s="47"/>
      <c r="OB83" s="45">
        <v>230.96100000000001</v>
      </c>
      <c r="OC83" s="40">
        <v>230</v>
      </c>
      <c r="OD83" s="42">
        <v>0.96100000000001273</v>
      </c>
      <c r="OE83" s="47"/>
      <c r="OF83" s="45">
        <v>0</v>
      </c>
      <c r="OG83" s="40">
        <v>0</v>
      </c>
      <c r="OH83" s="40">
        <v>197.34100000000001</v>
      </c>
      <c r="OI83" s="40">
        <v>199</v>
      </c>
      <c r="OJ83" s="42">
        <v>-1.658999999999992</v>
      </c>
      <c r="OK83" s="47"/>
      <c r="OL83" s="45">
        <v>0</v>
      </c>
      <c r="OM83" s="40">
        <v>0</v>
      </c>
      <c r="ON83" s="40">
        <v>80.311000000000007</v>
      </c>
      <c r="OO83" s="40">
        <v>80</v>
      </c>
      <c r="OP83" s="42">
        <v>0.31100000000000699</v>
      </c>
      <c r="OQ83" s="47"/>
      <c r="OR83" s="45">
        <v>0</v>
      </c>
      <c r="OS83" s="40">
        <v>0</v>
      </c>
      <c r="OT83" s="40">
        <v>61.551000000000002</v>
      </c>
      <c r="OU83" s="40">
        <v>60</v>
      </c>
      <c r="OV83" s="42">
        <v>1.5510000000000019</v>
      </c>
      <c r="OW83" s="47"/>
      <c r="OX83" s="40">
        <v>0</v>
      </c>
      <c r="OY83" s="30">
        <v>50</v>
      </c>
      <c r="OZ83" s="40">
        <v>37.201000000000001</v>
      </c>
      <c r="PA83" s="40">
        <v>40</v>
      </c>
      <c r="PB83" s="39">
        <v>-52.798999999999999</v>
      </c>
      <c r="PC83" s="47">
        <v>52.798999999999999</v>
      </c>
      <c r="PD83" s="45">
        <v>0</v>
      </c>
      <c r="PE83" s="40">
        <v>0</v>
      </c>
      <c r="PF83" s="40">
        <v>148.41300000000001</v>
      </c>
      <c r="PG83" s="40">
        <v>150</v>
      </c>
      <c r="PH83" s="42">
        <v>-1.5869999999999891</v>
      </c>
      <c r="PI83" s="47"/>
      <c r="PJ83" s="45">
        <v>247.214</v>
      </c>
      <c r="PK83" s="40">
        <v>250</v>
      </c>
      <c r="PL83" s="40">
        <v>295.71800000000002</v>
      </c>
      <c r="PM83" s="40">
        <v>300</v>
      </c>
      <c r="PN83" s="42">
        <v>-7.0679999999999836</v>
      </c>
      <c r="PO83" s="47"/>
      <c r="PP83" s="43">
        <v>0</v>
      </c>
      <c r="PQ83" s="40">
        <v>0</v>
      </c>
      <c r="PR83" s="40">
        <v>73.591999999999999</v>
      </c>
      <c r="PS83" s="40">
        <v>75</v>
      </c>
      <c r="PT83" s="42">
        <v>-1.408000000000001</v>
      </c>
      <c r="PU83" s="47"/>
      <c r="PV83" s="45">
        <v>49.719000000000001</v>
      </c>
      <c r="PW83" s="40">
        <v>50</v>
      </c>
      <c r="PX83" s="40">
        <v>49.427999999999997</v>
      </c>
      <c r="PY83" s="40">
        <v>50</v>
      </c>
      <c r="PZ83" s="42">
        <v>-0.85300000000000864</v>
      </c>
      <c r="QA83" s="47"/>
      <c r="QB83" s="45">
        <v>345.52800000000002</v>
      </c>
      <c r="QC83" s="40">
        <v>350</v>
      </c>
      <c r="QD83" s="42">
        <v>-4.47199999999998</v>
      </c>
      <c r="QE83" s="47"/>
      <c r="QF83" s="45">
        <v>49.914999999999999</v>
      </c>
      <c r="QG83" s="40">
        <v>49</v>
      </c>
      <c r="QH83" s="40">
        <v>61.884999999999998</v>
      </c>
      <c r="QI83" s="40">
        <v>60</v>
      </c>
      <c r="QJ83" s="42">
        <v>2.7999999999999972</v>
      </c>
      <c r="QK83" s="47"/>
      <c r="QL83" s="45">
        <v>99.254999999999995</v>
      </c>
      <c r="QM83" s="40">
        <v>100</v>
      </c>
      <c r="QN83" s="40">
        <v>148.28100000000001</v>
      </c>
      <c r="QO83" s="40">
        <v>150</v>
      </c>
      <c r="QP83" s="42">
        <v>-2.4639999999999991</v>
      </c>
      <c r="QQ83" s="47"/>
      <c r="QR83" s="45">
        <v>68.67</v>
      </c>
      <c r="QS83" s="40">
        <v>70</v>
      </c>
      <c r="QT83" s="40">
        <v>0</v>
      </c>
      <c r="QU83" s="40">
        <v>80</v>
      </c>
      <c r="QV83" s="39">
        <v>-81.33</v>
      </c>
      <c r="QW83" s="47">
        <v>81.33</v>
      </c>
      <c r="QX83" s="45">
        <v>49.332000000000001</v>
      </c>
      <c r="QY83" s="40">
        <v>50</v>
      </c>
      <c r="QZ83" s="40">
        <v>0</v>
      </c>
      <c r="RA83" s="40">
        <v>0</v>
      </c>
      <c r="RB83" s="42">
        <v>-0.66799999999999926</v>
      </c>
      <c r="RC83" s="47"/>
      <c r="RD83" s="45">
        <v>311.21699999999998</v>
      </c>
      <c r="RE83" s="40">
        <v>311.37779999999998</v>
      </c>
      <c r="RF83" s="42">
        <v>-0.1607999999999947</v>
      </c>
      <c r="RG83" s="47"/>
    </row>
    <row r="84" spans="1:475" x14ac:dyDescent="0.25">
      <c r="A84" s="40" t="s">
        <v>373</v>
      </c>
      <c r="B84" s="41">
        <v>0.28000000000000003</v>
      </c>
      <c r="N84" s="43"/>
      <c r="O84" s="48"/>
      <c r="P84" s="48"/>
      <c r="Q84" s="48"/>
      <c r="R84" s="48">
        <f t="shared" si="13"/>
        <v>0</v>
      </c>
      <c r="S84" s="44"/>
      <c r="T84" s="43"/>
      <c r="U84" s="48"/>
      <c r="V84" s="48"/>
      <c r="W84" s="48"/>
      <c r="X84" s="48">
        <f t="shared" si="14"/>
        <v>0</v>
      </c>
      <c r="Y84" s="44"/>
      <c r="Z84" s="43"/>
      <c r="AA84" s="48"/>
      <c r="AB84" s="48"/>
      <c r="AC84" s="48"/>
      <c r="AD84" s="48">
        <f t="shared" si="15"/>
        <v>0</v>
      </c>
      <c r="AE84" s="44"/>
      <c r="AF84" s="43"/>
      <c r="AG84" s="48"/>
      <c r="AH84" s="48"/>
      <c r="AI84" s="48"/>
      <c r="AJ84" s="48">
        <f t="shared" si="16"/>
        <v>0</v>
      </c>
      <c r="AK84" s="44"/>
      <c r="AL84" s="48"/>
      <c r="AP84" s="42">
        <v>0</v>
      </c>
      <c r="AQ84" s="44"/>
      <c r="AR84" s="43"/>
      <c r="AV84" s="42">
        <v>0</v>
      </c>
      <c r="AW84" s="44"/>
      <c r="BC84" s="42">
        <v>0</v>
      </c>
      <c r="BD84" s="44"/>
      <c r="BE84" s="43"/>
      <c r="BI84" s="42">
        <v>0</v>
      </c>
      <c r="BJ84" s="44"/>
      <c r="BO84" s="42">
        <v>0</v>
      </c>
      <c r="BP84" s="44"/>
      <c r="BS84" s="42">
        <v>0</v>
      </c>
      <c r="BT84" s="44"/>
      <c r="BU84" s="43"/>
      <c r="BY84" s="42">
        <v>0</v>
      </c>
      <c r="BZ84" s="44"/>
      <c r="CE84" s="42">
        <v>0</v>
      </c>
      <c r="CF84" s="44"/>
      <c r="CG84" s="43"/>
      <c r="CK84" s="42">
        <v>0</v>
      </c>
      <c r="CL84" s="44"/>
      <c r="CM84" s="43"/>
      <c r="CQ84" s="42">
        <v>0</v>
      </c>
      <c r="CR84" s="44"/>
      <c r="CW84" s="42">
        <v>0</v>
      </c>
      <c r="CX84" s="44"/>
      <c r="CY84" s="43"/>
      <c r="DC84" s="42">
        <v>0</v>
      </c>
      <c r="DD84" s="44"/>
      <c r="DE84" s="43"/>
      <c r="DK84" s="42">
        <v>0</v>
      </c>
      <c r="DL84" s="44"/>
      <c r="DM84" s="43"/>
      <c r="DQ84" s="42">
        <v>0</v>
      </c>
      <c r="DR84" s="44"/>
      <c r="DY84" s="42">
        <v>0</v>
      </c>
      <c r="DZ84" s="44"/>
      <c r="EA84" s="43"/>
      <c r="EE84" s="42">
        <v>0</v>
      </c>
      <c r="EF84" s="44"/>
      <c r="EG84" s="43"/>
      <c r="EK84" s="42">
        <v>0</v>
      </c>
      <c r="EL84" s="44"/>
      <c r="EM84" s="43"/>
      <c r="EQ84" s="42">
        <v>0</v>
      </c>
      <c r="ER84" s="44"/>
      <c r="EY84" s="42">
        <v>0</v>
      </c>
      <c r="EZ84" s="44"/>
      <c r="FE84" s="42">
        <v>0</v>
      </c>
      <c r="FF84" s="44"/>
      <c r="FG84" s="43"/>
      <c r="FK84" s="42">
        <v>0</v>
      </c>
      <c r="FL84" s="44"/>
      <c r="FM84" s="43"/>
      <c r="FO84" s="42">
        <v>0</v>
      </c>
      <c r="FP84" s="44"/>
      <c r="FU84" s="42">
        <v>0</v>
      </c>
      <c r="FV84" s="44"/>
      <c r="FW84" s="43"/>
      <c r="GC84" s="42">
        <v>0</v>
      </c>
      <c r="GD84" s="44"/>
      <c r="GI84" s="42">
        <v>0</v>
      </c>
      <c r="GJ84" s="44"/>
      <c r="GK84" s="43"/>
      <c r="GO84" s="42">
        <v>0</v>
      </c>
      <c r="GP84" s="47"/>
      <c r="GU84" s="42">
        <v>0</v>
      </c>
      <c r="GV84" s="44"/>
      <c r="GY84" s="42">
        <v>0</v>
      </c>
      <c r="GZ84" s="47"/>
      <c r="HA84" s="43"/>
      <c r="HC84" s="42">
        <v>0</v>
      </c>
      <c r="HD84" s="44"/>
      <c r="HE84" s="43"/>
      <c r="HI84" s="42">
        <v>0</v>
      </c>
      <c r="HJ84" s="47"/>
      <c r="HK84" s="43"/>
      <c r="HO84" s="42">
        <v>0</v>
      </c>
      <c r="HP84" s="44"/>
      <c r="HT84">
        <v>232</v>
      </c>
      <c r="HU84">
        <v>230</v>
      </c>
      <c r="HV84" s="42">
        <v>2</v>
      </c>
      <c r="HW84" s="44"/>
      <c r="HX84" s="46">
        <v>496</v>
      </c>
      <c r="HY84">
        <v>500</v>
      </c>
      <c r="HZ84">
        <v>448</v>
      </c>
      <c r="IA84">
        <v>450</v>
      </c>
      <c r="IB84" s="42">
        <v>-6</v>
      </c>
      <c r="IC84" s="44"/>
      <c r="IF84">
        <v>136</v>
      </c>
      <c r="IG84">
        <v>140</v>
      </c>
      <c r="IH84" s="42">
        <v>-4</v>
      </c>
      <c r="II84" s="47"/>
      <c r="IL84">
        <v>32</v>
      </c>
      <c r="IM84">
        <v>30</v>
      </c>
      <c r="IN84" s="42">
        <v>2</v>
      </c>
      <c r="IO84" s="47"/>
      <c r="IP84">
        <v>480</v>
      </c>
      <c r="IQ84">
        <v>480</v>
      </c>
      <c r="IR84">
        <v>440</v>
      </c>
      <c r="IS84">
        <v>440</v>
      </c>
      <c r="IT84" s="42">
        <v>0</v>
      </c>
      <c r="IU84" s="47"/>
      <c r="IV84">
        <v>240</v>
      </c>
      <c r="IW84">
        <v>230</v>
      </c>
      <c r="IX84">
        <v>200</v>
      </c>
      <c r="IY84">
        <v>200</v>
      </c>
      <c r="IZ84" s="42">
        <v>10</v>
      </c>
      <c r="JA84" s="44"/>
      <c r="JB84">
        <v>464</v>
      </c>
      <c r="JC84">
        <v>470</v>
      </c>
      <c r="JD84" s="42">
        <v>-6</v>
      </c>
      <c r="JE84" s="44"/>
      <c r="JF84">
        <v>416</v>
      </c>
      <c r="JG84">
        <v>450</v>
      </c>
      <c r="JH84">
        <v>352</v>
      </c>
      <c r="JI84">
        <v>353</v>
      </c>
      <c r="JJ84" s="39">
        <v>-35</v>
      </c>
      <c r="JK84" s="44">
        <v>9.8000000000000007</v>
      </c>
      <c r="JL84" s="46">
        <v>248</v>
      </c>
      <c r="JM84" s="40">
        <v>250</v>
      </c>
      <c r="JN84" s="42">
        <v>-2</v>
      </c>
      <c r="JO84" s="44"/>
      <c r="JR84">
        <v>16</v>
      </c>
      <c r="JS84">
        <v>20</v>
      </c>
      <c r="JT84" s="42">
        <v>-4</v>
      </c>
      <c r="JU84" s="44"/>
      <c r="JV84">
        <v>200</v>
      </c>
      <c r="JW84">
        <v>200</v>
      </c>
      <c r="JX84">
        <v>560</v>
      </c>
      <c r="JY84">
        <v>560</v>
      </c>
      <c r="JZ84" s="42">
        <v>0</v>
      </c>
      <c r="KA84" s="47"/>
      <c r="KB84">
        <v>296</v>
      </c>
      <c r="KC84">
        <v>300</v>
      </c>
      <c r="KD84">
        <v>632</v>
      </c>
      <c r="KE84">
        <v>630</v>
      </c>
      <c r="KF84" s="42">
        <v>-2</v>
      </c>
      <c r="KG84" s="44"/>
      <c r="KH84">
        <v>96</v>
      </c>
      <c r="KI84">
        <v>100</v>
      </c>
      <c r="KL84" s="42">
        <v>-4</v>
      </c>
      <c r="KM84" s="47"/>
      <c r="KN84" s="46">
        <v>152</v>
      </c>
      <c r="KO84">
        <v>150</v>
      </c>
      <c r="KP84">
        <v>248</v>
      </c>
      <c r="KQ84">
        <v>250</v>
      </c>
      <c r="KR84">
        <v>96</v>
      </c>
      <c r="KS84">
        <v>100</v>
      </c>
      <c r="KT84" s="42">
        <v>-4</v>
      </c>
      <c r="KU84" s="47"/>
      <c r="KV84" s="40">
        <v>400</v>
      </c>
      <c r="KW84" s="40">
        <v>400</v>
      </c>
      <c r="KX84" s="40">
        <v>640</v>
      </c>
      <c r="KY84" s="40">
        <v>642</v>
      </c>
      <c r="KZ84" s="42">
        <v>-2</v>
      </c>
      <c r="LA84" s="47"/>
      <c r="LB84" s="40">
        <v>96</v>
      </c>
      <c r="LC84" s="40">
        <v>100</v>
      </c>
      <c r="LD84" s="40">
        <v>112</v>
      </c>
      <c r="LE84" s="40">
        <v>110</v>
      </c>
      <c r="LF84" s="42">
        <v>-2</v>
      </c>
      <c r="LG84" s="47"/>
      <c r="LH84" s="45">
        <v>272</v>
      </c>
      <c r="LI84" s="40">
        <v>273</v>
      </c>
      <c r="LJ84" s="42">
        <v>-1</v>
      </c>
      <c r="LK84" s="47"/>
      <c r="LL84" s="45">
        <v>0</v>
      </c>
      <c r="LM84" s="40">
        <v>0</v>
      </c>
      <c r="LN84" s="40">
        <v>0</v>
      </c>
      <c r="LO84" s="40">
        <v>0</v>
      </c>
      <c r="LP84" s="42">
        <v>0</v>
      </c>
      <c r="LQ84" s="47"/>
      <c r="LR84" s="45">
        <v>400</v>
      </c>
      <c r="LS84" s="40">
        <v>400</v>
      </c>
      <c r="LT84" s="40">
        <v>520</v>
      </c>
      <c r="LU84" s="40">
        <v>520</v>
      </c>
      <c r="LV84" s="42">
        <v>0</v>
      </c>
      <c r="LW84" s="47"/>
      <c r="LX84" s="45">
        <v>952</v>
      </c>
      <c r="LY84" s="40">
        <v>950</v>
      </c>
      <c r="LZ84" s="42">
        <v>2</v>
      </c>
      <c r="MA84" s="47"/>
      <c r="MB84" s="45">
        <v>96</v>
      </c>
      <c r="MC84" s="40">
        <v>100</v>
      </c>
      <c r="MD84" s="40">
        <v>24</v>
      </c>
      <c r="ME84" s="40">
        <v>25</v>
      </c>
      <c r="MF84" s="42">
        <v>-5</v>
      </c>
      <c r="MG84" s="47"/>
      <c r="MH84" s="45">
        <v>1120</v>
      </c>
      <c r="MI84" s="40">
        <v>1123</v>
      </c>
      <c r="MJ84" s="42">
        <v>-3</v>
      </c>
      <c r="MK84" s="47"/>
      <c r="ML84" s="45">
        <v>0</v>
      </c>
      <c r="MM84" s="40">
        <v>0</v>
      </c>
      <c r="MN84" s="40">
        <v>216</v>
      </c>
      <c r="MO84" s="40">
        <v>214</v>
      </c>
      <c r="MP84" s="42">
        <v>2</v>
      </c>
      <c r="MQ84" s="47"/>
      <c r="MR84" s="40">
        <v>0</v>
      </c>
      <c r="MS84" s="40">
        <v>0</v>
      </c>
      <c r="MT84" s="40">
        <v>800</v>
      </c>
      <c r="MU84" s="40">
        <v>800</v>
      </c>
      <c r="MV84" s="42">
        <v>0</v>
      </c>
      <c r="MW84" s="47"/>
      <c r="MX84" s="45">
        <v>200</v>
      </c>
      <c r="MY84" s="40">
        <v>200</v>
      </c>
      <c r="MZ84" s="40">
        <v>600</v>
      </c>
      <c r="NA84" s="40">
        <v>600</v>
      </c>
      <c r="NB84" s="42">
        <v>0</v>
      </c>
      <c r="NC84" s="47"/>
      <c r="ND84" s="45">
        <v>0</v>
      </c>
      <c r="NE84" s="30">
        <v>150</v>
      </c>
      <c r="NF84" s="40">
        <v>592</v>
      </c>
      <c r="NG84" s="40">
        <v>597</v>
      </c>
      <c r="NH84" s="39">
        <v>-155</v>
      </c>
      <c r="NI84" s="47">
        <v>43.400000000000013</v>
      </c>
      <c r="NJ84" s="45">
        <v>296</v>
      </c>
      <c r="NK84" s="40">
        <v>300</v>
      </c>
      <c r="NL84" s="40">
        <v>352</v>
      </c>
      <c r="NM84" s="40">
        <v>350</v>
      </c>
      <c r="NN84" s="42">
        <v>-2</v>
      </c>
      <c r="NO84" s="47"/>
      <c r="NP84" s="45">
        <v>0</v>
      </c>
      <c r="NQ84" s="40">
        <v>0</v>
      </c>
      <c r="NR84" s="40">
        <v>648</v>
      </c>
      <c r="NS84" s="40">
        <v>650</v>
      </c>
      <c r="NT84" s="42">
        <v>-2</v>
      </c>
      <c r="NU84" s="47"/>
      <c r="NV84" s="45">
        <v>80</v>
      </c>
      <c r="NW84" s="40">
        <v>100</v>
      </c>
      <c r="NX84" s="40">
        <v>152</v>
      </c>
      <c r="NY84" s="40">
        <v>150</v>
      </c>
      <c r="NZ84" s="39">
        <v>-18</v>
      </c>
      <c r="OA84" s="47">
        <v>5.0400000000000009</v>
      </c>
      <c r="OB84" s="45">
        <v>1000</v>
      </c>
      <c r="OC84" s="40">
        <v>1000</v>
      </c>
      <c r="OD84" s="42">
        <v>0</v>
      </c>
      <c r="OE84" s="47"/>
      <c r="OF84" s="45">
        <v>0</v>
      </c>
      <c r="OG84" s="40">
        <v>0</v>
      </c>
      <c r="OH84" s="40">
        <v>200</v>
      </c>
      <c r="OI84" s="40">
        <v>200</v>
      </c>
      <c r="OJ84" s="42">
        <v>0</v>
      </c>
      <c r="OK84" s="47"/>
      <c r="OL84" s="45">
        <v>456</v>
      </c>
      <c r="OM84" s="40">
        <v>460</v>
      </c>
      <c r="ON84" s="40">
        <v>336</v>
      </c>
      <c r="OO84" s="40">
        <v>340</v>
      </c>
      <c r="OP84" s="42">
        <v>-8</v>
      </c>
      <c r="OQ84" s="47"/>
      <c r="OR84" s="45">
        <v>128</v>
      </c>
      <c r="OS84" s="40">
        <v>140</v>
      </c>
      <c r="OT84" s="40">
        <v>136</v>
      </c>
      <c r="OU84" s="40">
        <v>140</v>
      </c>
      <c r="OV84" s="39">
        <v>-16</v>
      </c>
      <c r="OW84" s="47">
        <v>4.4800000000000004</v>
      </c>
      <c r="OX84" s="40">
        <v>296</v>
      </c>
      <c r="OY84" s="40">
        <v>300</v>
      </c>
      <c r="OZ84" s="40">
        <v>296</v>
      </c>
      <c r="PA84" s="40">
        <v>300</v>
      </c>
      <c r="PB84" s="42">
        <v>-8</v>
      </c>
      <c r="PC84" s="47"/>
      <c r="PD84" s="45">
        <v>600</v>
      </c>
      <c r="PE84" s="40">
        <v>600</v>
      </c>
      <c r="PF84" s="40">
        <v>600</v>
      </c>
      <c r="PG84" s="40">
        <v>600</v>
      </c>
      <c r="PH84" s="42">
        <v>0</v>
      </c>
      <c r="PI84" s="47"/>
      <c r="PJ84" s="45">
        <v>0</v>
      </c>
      <c r="PK84" s="40">
        <v>0</v>
      </c>
      <c r="PL84" s="40">
        <v>96</v>
      </c>
      <c r="PM84" s="40">
        <v>100</v>
      </c>
      <c r="PN84" s="42">
        <v>-4</v>
      </c>
      <c r="PO84" s="47"/>
      <c r="PP84" s="43">
        <v>152</v>
      </c>
      <c r="PQ84" s="40">
        <v>150</v>
      </c>
      <c r="PR84" s="40">
        <v>240</v>
      </c>
      <c r="PS84" s="40">
        <v>245</v>
      </c>
      <c r="PT84" s="42">
        <v>-3</v>
      </c>
      <c r="PU84" s="47"/>
      <c r="PV84" s="45">
        <v>496</v>
      </c>
      <c r="PW84" s="40">
        <v>500</v>
      </c>
      <c r="PX84" s="40">
        <v>552</v>
      </c>
      <c r="PY84" s="40">
        <v>550</v>
      </c>
      <c r="PZ84" s="42">
        <v>-2</v>
      </c>
      <c r="QA84" s="47"/>
      <c r="QB84" s="45">
        <v>160</v>
      </c>
      <c r="QC84" s="40">
        <v>160</v>
      </c>
      <c r="QD84" s="42">
        <v>0</v>
      </c>
      <c r="QE84" s="47"/>
      <c r="QF84" s="45">
        <v>288</v>
      </c>
      <c r="QG84" s="40">
        <v>287</v>
      </c>
      <c r="QH84" s="40">
        <v>352</v>
      </c>
      <c r="QI84" s="40">
        <v>350</v>
      </c>
      <c r="QJ84" s="42">
        <v>3</v>
      </c>
      <c r="QK84" s="47"/>
      <c r="QL84" s="45">
        <v>400</v>
      </c>
      <c r="QM84" s="40">
        <v>400</v>
      </c>
      <c r="QN84" s="40">
        <v>448</v>
      </c>
      <c r="QO84" s="40">
        <v>450</v>
      </c>
      <c r="QP84" s="42">
        <v>-2</v>
      </c>
      <c r="QQ84" s="47"/>
      <c r="QR84" s="45">
        <v>312</v>
      </c>
      <c r="QS84" s="40">
        <v>312</v>
      </c>
      <c r="QT84" s="40">
        <v>0</v>
      </c>
      <c r="QU84" s="40">
        <v>500</v>
      </c>
      <c r="QV84" s="39">
        <v>-500</v>
      </c>
      <c r="QW84" s="47">
        <v>140</v>
      </c>
      <c r="QX84" s="45">
        <v>296</v>
      </c>
      <c r="QY84" s="40">
        <v>300</v>
      </c>
      <c r="QZ84" s="40">
        <v>296</v>
      </c>
      <c r="RA84" s="40">
        <v>300</v>
      </c>
      <c r="RB84" s="42">
        <v>-8</v>
      </c>
      <c r="RC84" s="47"/>
      <c r="RD84" s="45">
        <v>800</v>
      </c>
      <c r="RE84" s="40">
        <v>700</v>
      </c>
      <c r="RF84" s="42">
        <v>100</v>
      </c>
      <c r="RG84" s="47"/>
    </row>
    <row r="85" spans="1:475" x14ac:dyDescent="0.25">
      <c r="A85" s="40" t="s">
        <v>374</v>
      </c>
      <c r="B85" s="41">
        <v>0.28000000000000003</v>
      </c>
      <c r="N85" s="43"/>
      <c r="O85" s="48"/>
      <c r="P85" s="48"/>
      <c r="Q85" s="48"/>
      <c r="R85" s="48">
        <f t="shared" si="13"/>
        <v>0</v>
      </c>
      <c r="S85" s="44"/>
      <c r="T85" s="43"/>
      <c r="U85" s="48"/>
      <c r="V85" s="48"/>
      <c r="W85" s="48"/>
      <c r="X85" s="48">
        <f t="shared" si="14"/>
        <v>0</v>
      </c>
      <c r="Y85" s="44"/>
      <c r="Z85" s="43"/>
      <c r="AA85" s="48"/>
      <c r="AB85" s="48"/>
      <c r="AC85" s="48"/>
      <c r="AD85" s="48">
        <f t="shared" si="15"/>
        <v>0</v>
      </c>
      <c r="AE85" s="44"/>
      <c r="AF85" s="43"/>
      <c r="AG85" s="48"/>
      <c r="AH85" s="48"/>
      <c r="AI85" s="48"/>
      <c r="AJ85" s="48">
        <f t="shared" si="16"/>
        <v>0</v>
      </c>
      <c r="AK85" s="44"/>
      <c r="AL85" s="48"/>
      <c r="AP85" s="42">
        <v>0</v>
      </c>
      <c r="AQ85" s="44"/>
      <c r="AR85" s="43"/>
      <c r="AV85" s="42">
        <v>0</v>
      </c>
      <c r="AW85" s="44"/>
      <c r="BC85" s="42">
        <v>0</v>
      </c>
      <c r="BD85" s="44"/>
      <c r="BE85" s="43"/>
      <c r="BI85" s="42">
        <v>0</v>
      </c>
      <c r="BJ85" s="44"/>
      <c r="BO85" s="42">
        <v>0</v>
      </c>
      <c r="BP85" s="44"/>
      <c r="BS85" s="42">
        <v>0</v>
      </c>
      <c r="BT85" s="44"/>
      <c r="BU85" s="43"/>
      <c r="BY85" s="42">
        <v>0</v>
      </c>
      <c r="BZ85" s="44"/>
      <c r="CE85" s="42">
        <v>0</v>
      </c>
      <c r="CF85" s="44"/>
      <c r="CG85" s="43"/>
      <c r="CK85" s="42">
        <v>0</v>
      </c>
      <c r="CL85" s="44"/>
      <c r="CM85" s="43"/>
      <c r="CQ85" s="42">
        <v>0</v>
      </c>
      <c r="CR85" s="44"/>
      <c r="CW85" s="42">
        <v>0</v>
      </c>
      <c r="CX85" s="44"/>
      <c r="CY85" s="43"/>
      <c r="DC85" s="42">
        <v>0</v>
      </c>
      <c r="DD85" s="44"/>
      <c r="DE85" s="43"/>
      <c r="DK85" s="42">
        <v>0</v>
      </c>
      <c r="DL85" s="44"/>
      <c r="DM85" s="43"/>
      <c r="DQ85" s="42">
        <v>0</v>
      </c>
      <c r="DR85" s="44"/>
      <c r="DY85" s="42">
        <v>0</v>
      </c>
      <c r="DZ85" s="44"/>
      <c r="EA85" s="43"/>
      <c r="EE85" s="42">
        <v>0</v>
      </c>
      <c r="EF85" s="44"/>
      <c r="EG85" s="43"/>
      <c r="EK85" s="42">
        <v>0</v>
      </c>
      <c r="EL85" s="44"/>
      <c r="EM85" s="43"/>
      <c r="EQ85" s="42">
        <v>0</v>
      </c>
      <c r="ER85" s="44"/>
      <c r="EY85" s="42">
        <v>0</v>
      </c>
      <c r="EZ85" s="44"/>
      <c r="FE85" s="42">
        <v>0</v>
      </c>
      <c r="FF85" s="44"/>
      <c r="FG85" s="43"/>
      <c r="FK85" s="42">
        <v>0</v>
      </c>
      <c r="FL85" s="44"/>
      <c r="FM85" s="43"/>
      <c r="FO85" s="42">
        <v>0</v>
      </c>
      <c r="FP85" s="44"/>
      <c r="FU85" s="42">
        <v>0</v>
      </c>
      <c r="FV85" s="44"/>
      <c r="FW85" s="43"/>
      <c r="GC85" s="42">
        <v>0</v>
      </c>
      <c r="GD85" s="44"/>
      <c r="GI85" s="42">
        <v>0</v>
      </c>
      <c r="GJ85" s="44"/>
      <c r="GK85" s="43"/>
      <c r="GO85" s="42">
        <v>0</v>
      </c>
      <c r="GP85" s="47"/>
      <c r="GU85" s="42">
        <v>0</v>
      </c>
      <c r="GV85" s="44"/>
      <c r="GY85" s="42">
        <v>0</v>
      </c>
      <c r="GZ85" s="47"/>
      <c r="HA85" s="43"/>
      <c r="HC85" s="42">
        <v>0</v>
      </c>
      <c r="HD85" s="44"/>
      <c r="HE85" s="43"/>
      <c r="HI85" s="42">
        <v>0</v>
      </c>
      <c r="HJ85" s="47"/>
      <c r="HK85" s="43"/>
      <c r="HO85" s="42">
        <v>0</v>
      </c>
      <c r="HP85" s="44"/>
      <c r="HV85" s="42">
        <v>0</v>
      </c>
      <c r="HW85" s="44"/>
      <c r="HX85" s="45"/>
      <c r="IB85" s="42">
        <v>0</v>
      </c>
      <c r="IC85" s="44"/>
      <c r="IH85" s="42">
        <v>0</v>
      </c>
      <c r="II85" s="47"/>
      <c r="IN85" s="42">
        <v>0</v>
      </c>
      <c r="IO85" s="47"/>
      <c r="IT85" s="42">
        <v>0</v>
      </c>
      <c r="IU85" s="47"/>
      <c r="IZ85" s="42">
        <v>0</v>
      </c>
      <c r="JA85" s="44"/>
      <c r="JD85" s="42">
        <v>0</v>
      </c>
      <c r="JE85" s="44"/>
      <c r="JJ85" s="42">
        <v>0</v>
      </c>
      <c r="JK85" s="44"/>
      <c r="JL85" s="45"/>
      <c r="JN85" s="42">
        <v>0</v>
      </c>
      <c r="JO85" s="44"/>
      <c r="JT85" s="42">
        <v>0</v>
      </c>
      <c r="JU85" s="44"/>
      <c r="JZ85" s="42">
        <v>0</v>
      </c>
      <c r="KA85" s="47"/>
      <c r="KF85" s="42">
        <v>0</v>
      </c>
      <c r="KG85" s="44"/>
      <c r="KH85" s="41"/>
      <c r="KL85" s="42">
        <v>0</v>
      </c>
      <c r="KM85" s="47"/>
      <c r="KN85" s="45"/>
      <c r="KT85" s="42">
        <v>0</v>
      </c>
      <c r="KU85" s="47"/>
      <c r="KV85" s="40">
        <v>0</v>
      </c>
      <c r="KW85" s="40">
        <v>0</v>
      </c>
      <c r="KX85" s="40">
        <v>0</v>
      </c>
      <c r="KY85" s="40">
        <v>0</v>
      </c>
      <c r="KZ85" s="42">
        <v>0</v>
      </c>
      <c r="LA85" s="47"/>
      <c r="LB85" s="40">
        <v>0</v>
      </c>
      <c r="LC85" s="40">
        <v>0</v>
      </c>
      <c r="LD85" s="40">
        <v>0</v>
      </c>
      <c r="LE85" s="40">
        <v>0</v>
      </c>
      <c r="LF85" s="42">
        <v>0</v>
      </c>
      <c r="LG85" s="47"/>
      <c r="LH85" s="45">
        <v>0</v>
      </c>
      <c r="LI85" s="40">
        <v>0</v>
      </c>
      <c r="LJ85" s="42">
        <v>0</v>
      </c>
      <c r="LK85" s="47"/>
      <c r="LL85" s="45">
        <v>0</v>
      </c>
      <c r="LM85" s="40">
        <v>0</v>
      </c>
      <c r="LN85" s="40">
        <v>0</v>
      </c>
      <c r="LO85" s="40">
        <v>0</v>
      </c>
      <c r="LP85" s="42">
        <v>0</v>
      </c>
      <c r="LQ85" s="47"/>
      <c r="LR85" s="45">
        <v>0</v>
      </c>
      <c r="LS85" s="40">
        <v>0</v>
      </c>
      <c r="LT85" s="40">
        <v>0</v>
      </c>
      <c r="LU85" s="40">
        <v>0</v>
      </c>
      <c r="LV85" s="42">
        <v>0</v>
      </c>
      <c r="LW85" s="47"/>
      <c r="LX85" s="45">
        <v>0</v>
      </c>
      <c r="LY85" s="40">
        <v>0</v>
      </c>
      <c r="LZ85" s="42">
        <v>0</v>
      </c>
      <c r="MA85" s="47"/>
      <c r="MB85" s="45">
        <v>0</v>
      </c>
      <c r="MC85" s="40">
        <v>0</v>
      </c>
      <c r="MD85" s="40">
        <v>0</v>
      </c>
      <c r="ME85" s="40">
        <v>0</v>
      </c>
      <c r="MF85" s="42">
        <v>0</v>
      </c>
      <c r="MG85" s="47"/>
      <c r="MH85" s="45">
        <v>0</v>
      </c>
      <c r="MI85" s="40">
        <v>0</v>
      </c>
      <c r="MJ85" s="42">
        <v>0</v>
      </c>
      <c r="MK85" s="47"/>
      <c r="ML85" s="45">
        <v>0</v>
      </c>
      <c r="MM85" s="40">
        <v>0</v>
      </c>
      <c r="MN85" s="40">
        <v>0</v>
      </c>
      <c r="MO85" s="40">
        <v>0</v>
      </c>
      <c r="MP85" s="42">
        <v>0</v>
      </c>
      <c r="MQ85" s="47"/>
      <c r="MR85" s="40">
        <v>0</v>
      </c>
      <c r="MS85" s="40">
        <v>0</v>
      </c>
      <c r="MT85" s="40">
        <v>0</v>
      </c>
      <c r="MU85" s="40">
        <v>0</v>
      </c>
      <c r="MV85" s="42">
        <v>0</v>
      </c>
      <c r="MW85" s="47"/>
      <c r="MX85" s="45">
        <v>0</v>
      </c>
      <c r="MY85" s="40">
        <v>0</v>
      </c>
      <c r="MZ85" s="40">
        <v>0</v>
      </c>
      <c r="NA85" s="40">
        <v>0</v>
      </c>
      <c r="NB85" s="42">
        <v>0</v>
      </c>
      <c r="NC85" s="47"/>
      <c r="ND85" s="45">
        <v>0</v>
      </c>
      <c r="NE85" s="40">
        <v>0</v>
      </c>
      <c r="NF85" s="40">
        <v>0</v>
      </c>
      <c r="NG85" s="40">
        <v>0</v>
      </c>
      <c r="NH85" s="42">
        <v>0</v>
      </c>
      <c r="NI85" s="47"/>
      <c r="NJ85" s="45">
        <v>0</v>
      </c>
      <c r="NK85" s="40">
        <v>0</v>
      </c>
      <c r="NL85" s="40">
        <v>0</v>
      </c>
      <c r="NM85" s="40">
        <v>0</v>
      </c>
      <c r="NN85" s="42">
        <v>0</v>
      </c>
      <c r="NO85" s="47"/>
      <c r="NP85" s="45">
        <v>0</v>
      </c>
      <c r="NQ85" s="40">
        <v>0</v>
      </c>
      <c r="NR85" s="40">
        <v>0</v>
      </c>
      <c r="NS85" s="40">
        <v>0</v>
      </c>
      <c r="NT85" s="42">
        <v>0</v>
      </c>
      <c r="NU85" s="47"/>
      <c r="NV85" s="45">
        <v>0</v>
      </c>
      <c r="NW85" s="40">
        <v>0</v>
      </c>
      <c r="NX85" s="40">
        <v>0</v>
      </c>
      <c r="NY85" s="40">
        <v>0</v>
      </c>
      <c r="NZ85" s="42">
        <v>0</v>
      </c>
      <c r="OA85" s="47"/>
      <c r="OB85" s="45">
        <v>0</v>
      </c>
      <c r="OC85" s="40">
        <v>0</v>
      </c>
      <c r="OD85" s="42">
        <v>0</v>
      </c>
      <c r="OE85" s="47"/>
      <c r="OF85" s="45">
        <v>0</v>
      </c>
      <c r="OG85" s="40">
        <v>0</v>
      </c>
      <c r="OH85" s="40">
        <v>0</v>
      </c>
      <c r="OI85" s="40">
        <v>0</v>
      </c>
      <c r="OJ85" s="42">
        <v>0</v>
      </c>
      <c r="OK85" s="47"/>
      <c r="OL85" s="45">
        <v>0</v>
      </c>
      <c r="OM85" s="40">
        <v>0</v>
      </c>
      <c r="ON85" s="40">
        <v>0</v>
      </c>
      <c r="OO85" s="40">
        <v>0</v>
      </c>
      <c r="OP85" s="42">
        <v>0</v>
      </c>
      <c r="OQ85" s="47"/>
      <c r="OR85" s="45">
        <v>0</v>
      </c>
      <c r="OS85" s="40">
        <v>0</v>
      </c>
      <c r="OT85" s="40">
        <v>0</v>
      </c>
      <c r="OU85" s="40">
        <v>0</v>
      </c>
      <c r="OV85" s="42">
        <v>0</v>
      </c>
      <c r="OW85" s="47"/>
      <c r="OX85" s="40">
        <v>0</v>
      </c>
      <c r="OY85" s="40">
        <v>0</v>
      </c>
      <c r="OZ85" s="40">
        <v>0</v>
      </c>
      <c r="PA85" s="40">
        <v>0</v>
      </c>
      <c r="PB85" s="42">
        <v>0</v>
      </c>
      <c r="PC85" s="47"/>
      <c r="PD85" s="45">
        <v>0</v>
      </c>
      <c r="PE85" s="40">
        <v>0</v>
      </c>
      <c r="PF85" s="40">
        <v>0</v>
      </c>
      <c r="PG85" s="40">
        <v>0</v>
      </c>
      <c r="PH85" s="42">
        <v>0</v>
      </c>
      <c r="PI85" s="47"/>
      <c r="PJ85" s="45">
        <v>0</v>
      </c>
      <c r="PK85" s="40">
        <v>0</v>
      </c>
      <c r="PL85" s="40">
        <v>0</v>
      </c>
      <c r="PM85" s="40">
        <v>0</v>
      </c>
      <c r="PN85" s="42">
        <v>0</v>
      </c>
      <c r="PO85" s="47"/>
      <c r="PP85" s="43">
        <v>0</v>
      </c>
      <c r="PQ85" s="40">
        <v>0</v>
      </c>
      <c r="PR85" s="40">
        <v>0</v>
      </c>
      <c r="PS85" s="40">
        <v>0</v>
      </c>
      <c r="PT85" s="42">
        <v>0</v>
      </c>
      <c r="PU85" s="47"/>
      <c r="PV85" s="45">
        <v>0</v>
      </c>
      <c r="PW85" s="40">
        <v>0</v>
      </c>
      <c r="PX85" s="40">
        <v>0</v>
      </c>
      <c r="PY85" s="40">
        <v>0</v>
      </c>
      <c r="PZ85" s="42">
        <v>0</v>
      </c>
      <c r="QA85" s="47"/>
      <c r="QB85" s="45">
        <v>0</v>
      </c>
      <c r="QC85" s="40">
        <v>0</v>
      </c>
      <c r="QD85" s="42">
        <v>0</v>
      </c>
      <c r="QE85" s="47"/>
      <c r="QF85" s="45">
        <v>0</v>
      </c>
      <c r="QG85" s="40">
        <v>0</v>
      </c>
      <c r="QH85" s="40">
        <v>0</v>
      </c>
      <c r="QI85" s="40">
        <v>0</v>
      </c>
      <c r="QJ85" s="42">
        <v>0</v>
      </c>
      <c r="QK85" s="47"/>
      <c r="QL85" s="45">
        <v>0</v>
      </c>
      <c r="QM85" s="40">
        <v>0</v>
      </c>
      <c r="QN85" s="40">
        <v>0</v>
      </c>
      <c r="QO85" s="40">
        <v>0</v>
      </c>
      <c r="QP85" s="42">
        <v>0</v>
      </c>
      <c r="QQ85" s="47"/>
      <c r="QR85" s="45">
        <v>0</v>
      </c>
      <c r="QS85" s="40">
        <v>276</v>
      </c>
      <c r="QT85" s="40">
        <v>0</v>
      </c>
      <c r="QU85" s="40">
        <v>400</v>
      </c>
      <c r="QV85" s="39">
        <v>-676</v>
      </c>
      <c r="QW85" s="47">
        <v>189.28</v>
      </c>
      <c r="QX85" s="45">
        <v>0</v>
      </c>
      <c r="QY85" s="40">
        <v>0</v>
      </c>
      <c r="QZ85" s="40">
        <v>0</v>
      </c>
      <c r="RA85" s="40">
        <v>0</v>
      </c>
      <c r="RB85" s="42">
        <v>0</v>
      </c>
      <c r="RC85" s="47"/>
      <c r="RD85" s="45">
        <v>480</v>
      </c>
      <c r="RE85" s="40">
        <v>479.40000000000009</v>
      </c>
      <c r="RF85" s="42">
        <v>0.59999999999990905</v>
      </c>
      <c r="RG85" s="47"/>
    </row>
    <row r="86" spans="1:475" x14ac:dyDescent="0.25">
      <c r="A86" s="40" t="s">
        <v>375</v>
      </c>
      <c r="B86" s="41">
        <v>0.35</v>
      </c>
      <c r="N86" s="43"/>
      <c r="O86" s="48"/>
      <c r="P86" s="48"/>
      <c r="Q86" s="48"/>
      <c r="R86" s="48">
        <f t="shared" si="13"/>
        <v>0</v>
      </c>
      <c r="S86" s="44"/>
      <c r="T86" s="43"/>
      <c r="U86" s="48"/>
      <c r="V86" s="48"/>
      <c r="W86" s="48"/>
      <c r="X86" s="48">
        <f t="shared" si="14"/>
        <v>0</v>
      </c>
      <c r="Y86" s="44"/>
      <c r="Z86" s="43"/>
      <c r="AA86" s="48"/>
      <c r="AB86" s="48"/>
      <c r="AC86" s="48"/>
      <c r="AD86" s="48">
        <f t="shared" si="15"/>
        <v>0</v>
      </c>
      <c r="AE86" s="44"/>
      <c r="AF86" s="43"/>
      <c r="AG86" s="48"/>
      <c r="AH86" s="48"/>
      <c r="AI86" s="48"/>
      <c r="AJ86" s="48">
        <f t="shared" si="16"/>
        <v>0</v>
      </c>
      <c r="AK86" s="44"/>
      <c r="AL86" s="48"/>
      <c r="AP86" s="42">
        <v>0</v>
      </c>
      <c r="AQ86" s="44"/>
      <c r="AR86" s="43"/>
      <c r="AV86" s="42">
        <v>0</v>
      </c>
      <c r="AW86" s="44"/>
      <c r="BC86" s="42">
        <v>0</v>
      </c>
      <c r="BD86" s="44"/>
      <c r="BE86" s="43"/>
      <c r="BI86" s="42">
        <v>0</v>
      </c>
      <c r="BJ86" s="44"/>
      <c r="BO86" s="42">
        <v>0</v>
      </c>
      <c r="BP86" s="44"/>
      <c r="BS86" s="42">
        <v>0</v>
      </c>
      <c r="BT86" s="44"/>
      <c r="BU86" s="43"/>
      <c r="BY86" s="42">
        <v>0</v>
      </c>
      <c r="BZ86" s="44"/>
      <c r="CE86" s="42">
        <v>0</v>
      </c>
      <c r="CF86" s="44"/>
      <c r="CG86" s="43"/>
      <c r="CK86" s="42">
        <v>0</v>
      </c>
      <c r="CL86" s="44"/>
      <c r="CM86" s="43"/>
      <c r="CQ86" s="42">
        <v>0</v>
      </c>
      <c r="CR86" s="44"/>
      <c r="CW86" s="42">
        <v>0</v>
      </c>
      <c r="CX86" s="44"/>
      <c r="CY86" s="43"/>
      <c r="DC86" s="42">
        <v>0</v>
      </c>
      <c r="DD86" s="44"/>
      <c r="DE86" s="43"/>
      <c r="DK86" s="42">
        <v>0</v>
      </c>
      <c r="DL86" s="44"/>
      <c r="DM86" s="43"/>
      <c r="DQ86" s="42">
        <v>0</v>
      </c>
      <c r="DR86" s="44"/>
      <c r="DY86" s="42">
        <v>0</v>
      </c>
      <c r="DZ86" s="44"/>
      <c r="EA86" s="43"/>
      <c r="EE86" s="42">
        <v>0</v>
      </c>
      <c r="EF86" s="44"/>
      <c r="EG86" s="43"/>
      <c r="EK86" s="42">
        <v>0</v>
      </c>
      <c r="EL86" s="44"/>
      <c r="EM86" s="43"/>
      <c r="EQ86" s="42">
        <v>0</v>
      </c>
      <c r="ER86" s="44"/>
      <c r="EY86" s="42">
        <v>0</v>
      </c>
      <c r="EZ86" s="44"/>
      <c r="FE86" s="42">
        <v>0</v>
      </c>
      <c r="FF86" s="44"/>
      <c r="FG86" s="43"/>
      <c r="FK86" s="42">
        <v>0</v>
      </c>
      <c r="FL86" s="44"/>
      <c r="FM86" s="43"/>
      <c r="FO86" s="42">
        <v>0</v>
      </c>
      <c r="FP86" s="44"/>
      <c r="FU86" s="42">
        <v>0</v>
      </c>
      <c r="FV86" s="44"/>
      <c r="FW86" s="43"/>
      <c r="GC86" s="42">
        <v>0</v>
      </c>
      <c r="GD86" s="44"/>
      <c r="GI86" s="42">
        <v>0</v>
      </c>
      <c r="GJ86" s="44"/>
      <c r="GK86" s="43"/>
      <c r="GO86" s="42">
        <v>0</v>
      </c>
      <c r="GP86" s="47"/>
      <c r="GU86" s="42">
        <v>0</v>
      </c>
      <c r="GV86" s="44"/>
      <c r="GY86" s="42">
        <v>0</v>
      </c>
      <c r="GZ86" s="47"/>
      <c r="HA86" s="43"/>
      <c r="HC86" s="42">
        <v>0</v>
      </c>
      <c r="HD86" s="44"/>
      <c r="HE86" s="43"/>
      <c r="HI86" s="42">
        <v>0</v>
      </c>
      <c r="HJ86" s="47"/>
      <c r="HK86" s="43"/>
      <c r="HO86" s="42">
        <v>0</v>
      </c>
      <c r="HP86" s="44"/>
      <c r="HT86">
        <v>152</v>
      </c>
      <c r="HU86">
        <v>150</v>
      </c>
      <c r="HV86" s="42">
        <v>2</v>
      </c>
      <c r="HW86" s="44"/>
      <c r="HX86" s="46">
        <v>592</v>
      </c>
      <c r="HY86">
        <v>600</v>
      </c>
      <c r="HZ86">
        <v>496</v>
      </c>
      <c r="IA86">
        <v>500</v>
      </c>
      <c r="IB86" s="39">
        <v>-12</v>
      </c>
      <c r="IC86" s="44">
        <v>4.1999999999999993</v>
      </c>
      <c r="IF86">
        <v>136</v>
      </c>
      <c r="IG86">
        <v>140</v>
      </c>
      <c r="IH86" s="42">
        <v>-4</v>
      </c>
      <c r="II86" s="47"/>
      <c r="IJ86">
        <v>200</v>
      </c>
      <c r="IK86">
        <v>200</v>
      </c>
      <c r="IL86">
        <v>256</v>
      </c>
      <c r="IM86">
        <v>260</v>
      </c>
      <c r="IN86" s="42">
        <v>-4</v>
      </c>
      <c r="IO86" s="47"/>
      <c r="IP86">
        <v>248</v>
      </c>
      <c r="IQ86">
        <v>250</v>
      </c>
      <c r="IR86">
        <v>232</v>
      </c>
      <c r="IS86">
        <v>230</v>
      </c>
      <c r="IT86" s="42">
        <v>0</v>
      </c>
      <c r="IU86" s="47"/>
      <c r="IV86">
        <v>72</v>
      </c>
      <c r="IW86">
        <v>70</v>
      </c>
      <c r="IZ86" s="42">
        <v>2</v>
      </c>
      <c r="JA86" s="44"/>
      <c r="JB86">
        <v>456</v>
      </c>
      <c r="JC86">
        <v>460</v>
      </c>
      <c r="JD86" s="42">
        <v>-4</v>
      </c>
      <c r="JE86" s="44"/>
      <c r="JF86">
        <v>96</v>
      </c>
      <c r="JG86">
        <v>97</v>
      </c>
      <c r="JJ86" s="42">
        <v>-1</v>
      </c>
      <c r="JK86" s="44"/>
      <c r="JL86" s="46">
        <v>176</v>
      </c>
      <c r="JM86" s="40">
        <v>180</v>
      </c>
      <c r="JN86" s="42">
        <v>-4</v>
      </c>
      <c r="JO86" s="44"/>
      <c r="JR86">
        <v>696</v>
      </c>
      <c r="JS86">
        <v>700</v>
      </c>
      <c r="JT86" s="42">
        <v>-4</v>
      </c>
      <c r="JU86" s="44"/>
      <c r="JZ86" s="42">
        <v>0</v>
      </c>
      <c r="KA86" s="47"/>
      <c r="KB86">
        <v>200</v>
      </c>
      <c r="KC86">
        <v>200</v>
      </c>
      <c r="KD86">
        <v>408</v>
      </c>
      <c r="KE86">
        <v>410</v>
      </c>
      <c r="KF86" s="42">
        <v>-2</v>
      </c>
      <c r="KG86" s="44"/>
      <c r="KH86">
        <v>96</v>
      </c>
      <c r="KI86">
        <v>100</v>
      </c>
      <c r="KJ86">
        <v>568</v>
      </c>
      <c r="KK86">
        <v>570</v>
      </c>
      <c r="KL86" s="42">
        <v>-6</v>
      </c>
      <c r="KM86" s="47"/>
      <c r="KN86" s="46">
        <v>80</v>
      </c>
      <c r="KO86">
        <v>80</v>
      </c>
      <c r="KP86">
        <v>88</v>
      </c>
      <c r="KQ86">
        <v>90</v>
      </c>
      <c r="KR86">
        <v>56</v>
      </c>
      <c r="KS86">
        <v>60</v>
      </c>
      <c r="KT86" s="42">
        <v>-6</v>
      </c>
      <c r="KU86" s="47"/>
      <c r="KV86" s="40">
        <v>352</v>
      </c>
      <c r="KW86" s="40">
        <v>350</v>
      </c>
      <c r="KX86" s="40">
        <v>456</v>
      </c>
      <c r="KY86" s="40">
        <v>456</v>
      </c>
      <c r="KZ86" s="42">
        <v>2</v>
      </c>
      <c r="LA86" s="47"/>
      <c r="LB86" s="40">
        <v>48</v>
      </c>
      <c r="LC86" s="40">
        <v>48</v>
      </c>
      <c r="LD86" s="40">
        <v>64</v>
      </c>
      <c r="LE86" s="40">
        <v>62</v>
      </c>
      <c r="LF86" s="42">
        <v>2</v>
      </c>
      <c r="LG86" s="47"/>
      <c r="LH86" s="45">
        <v>288</v>
      </c>
      <c r="LI86" s="40">
        <v>292</v>
      </c>
      <c r="LJ86" s="42">
        <v>-4</v>
      </c>
      <c r="LK86" s="47"/>
      <c r="LL86" s="45">
        <v>0</v>
      </c>
      <c r="LM86" s="40">
        <v>0</v>
      </c>
      <c r="LN86" s="40">
        <v>0</v>
      </c>
      <c r="LO86" s="40">
        <v>0</v>
      </c>
      <c r="LP86" s="42">
        <v>0</v>
      </c>
      <c r="LQ86" s="47"/>
      <c r="LR86" s="45">
        <v>248</v>
      </c>
      <c r="LS86" s="40">
        <v>250</v>
      </c>
      <c r="LT86" s="40">
        <v>248</v>
      </c>
      <c r="LU86" s="40">
        <v>250</v>
      </c>
      <c r="LV86" s="42">
        <v>-4</v>
      </c>
      <c r="LW86" s="47"/>
      <c r="LX86" s="45">
        <v>848</v>
      </c>
      <c r="LY86" s="40">
        <v>850</v>
      </c>
      <c r="LZ86" s="42">
        <v>-2</v>
      </c>
      <c r="MA86" s="47"/>
      <c r="MB86" s="45">
        <v>0</v>
      </c>
      <c r="MC86" s="30">
        <v>100</v>
      </c>
      <c r="MD86" s="40">
        <v>216</v>
      </c>
      <c r="ME86" s="40">
        <v>220</v>
      </c>
      <c r="MF86" s="39">
        <v>-104</v>
      </c>
      <c r="MG86" s="47">
        <v>36.4</v>
      </c>
      <c r="MH86" s="45">
        <v>904</v>
      </c>
      <c r="MI86" s="40">
        <v>909</v>
      </c>
      <c r="MJ86" s="42">
        <v>-5</v>
      </c>
      <c r="MK86" s="47"/>
      <c r="ML86" s="45">
        <v>0</v>
      </c>
      <c r="MM86" s="40">
        <v>0</v>
      </c>
      <c r="MN86" s="40">
        <v>0</v>
      </c>
      <c r="MO86" s="40">
        <v>0</v>
      </c>
      <c r="MP86" s="42">
        <v>0</v>
      </c>
      <c r="MQ86" s="47"/>
      <c r="MR86" s="40">
        <v>0</v>
      </c>
      <c r="MS86" s="40">
        <v>0</v>
      </c>
      <c r="MT86" s="40">
        <v>496</v>
      </c>
      <c r="MU86" s="40">
        <v>500</v>
      </c>
      <c r="MV86" s="42">
        <v>-4</v>
      </c>
      <c r="MW86" s="47"/>
      <c r="MX86" s="45">
        <v>296</v>
      </c>
      <c r="MY86" s="40">
        <v>300</v>
      </c>
      <c r="MZ86" s="40">
        <v>800</v>
      </c>
      <c r="NA86" s="40">
        <v>800</v>
      </c>
      <c r="NB86" s="42">
        <v>-4</v>
      </c>
      <c r="NC86" s="47"/>
      <c r="ND86" s="45">
        <v>0</v>
      </c>
      <c r="NE86" s="30">
        <v>100</v>
      </c>
      <c r="NF86" s="40">
        <v>200</v>
      </c>
      <c r="NG86" s="40">
        <v>200</v>
      </c>
      <c r="NH86" s="39">
        <v>-100</v>
      </c>
      <c r="NI86" s="47">
        <v>35</v>
      </c>
      <c r="NJ86" s="45">
        <v>152</v>
      </c>
      <c r="NK86" s="40">
        <v>150</v>
      </c>
      <c r="NL86" s="40">
        <v>200</v>
      </c>
      <c r="NM86" s="40">
        <v>200</v>
      </c>
      <c r="NN86" s="42">
        <v>2</v>
      </c>
      <c r="NO86" s="47"/>
      <c r="NP86" s="45">
        <v>0</v>
      </c>
      <c r="NQ86" s="30">
        <v>450</v>
      </c>
      <c r="NR86" s="40">
        <v>848</v>
      </c>
      <c r="NS86" s="40">
        <v>850</v>
      </c>
      <c r="NT86" s="39">
        <v>-452</v>
      </c>
      <c r="NU86" s="47">
        <v>158.19999999999999</v>
      </c>
      <c r="NV86" s="45">
        <v>96</v>
      </c>
      <c r="NW86" s="40">
        <v>100</v>
      </c>
      <c r="NX86" s="40">
        <v>168</v>
      </c>
      <c r="NY86" s="40">
        <v>170</v>
      </c>
      <c r="NZ86" s="42">
        <v>-6</v>
      </c>
      <c r="OA86" s="47"/>
      <c r="OB86" s="45">
        <v>496</v>
      </c>
      <c r="OC86" s="40">
        <v>500</v>
      </c>
      <c r="OD86" s="42">
        <v>-4</v>
      </c>
      <c r="OE86" s="47"/>
      <c r="OF86" s="45">
        <v>496</v>
      </c>
      <c r="OG86" s="40">
        <v>500</v>
      </c>
      <c r="OH86" s="40">
        <v>496</v>
      </c>
      <c r="OI86" s="40">
        <v>500</v>
      </c>
      <c r="OJ86" s="42">
        <v>-8</v>
      </c>
      <c r="OK86" s="47"/>
      <c r="OL86" s="45">
        <v>0</v>
      </c>
      <c r="OM86" s="40">
        <v>0</v>
      </c>
      <c r="ON86" s="40">
        <v>0</v>
      </c>
      <c r="OO86" s="40">
        <v>0</v>
      </c>
      <c r="OP86" s="42">
        <v>0</v>
      </c>
      <c r="OQ86" s="47"/>
      <c r="OR86" s="45">
        <v>352</v>
      </c>
      <c r="OS86" s="40">
        <v>350</v>
      </c>
      <c r="OT86" s="40">
        <v>296</v>
      </c>
      <c r="OU86" s="40">
        <v>300</v>
      </c>
      <c r="OV86" s="42">
        <v>-2</v>
      </c>
      <c r="OW86" s="47"/>
      <c r="OX86" s="40">
        <v>424</v>
      </c>
      <c r="OY86" s="40">
        <v>428</v>
      </c>
      <c r="OZ86" s="40">
        <v>424</v>
      </c>
      <c r="PA86" s="40">
        <v>428</v>
      </c>
      <c r="PB86" s="42">
        <v>-8</v>
      </c>
      <c r="PC86" s="47"/>
      <c r="PD86" s="45">
        <v>152</v>
      </c>
      <c r="PE86" s="40">
        <v>150</v>
      </c>
      <c r="PF86" s="40">
        <v>144</v>
      </c>
      <c r="PG86" s="40">
        <v>142</v>
      </c>
      <c r="PH86" s="42">
        <v>4</v>
      </c>
      <c r="PI86" s="47"/>
      <c r="PJ86" s="45">
        <v>400</v>
      </c>
      <c r="PK86" s="40">
        <v>400</v>
      </c>
      <c r="PL86" s="40">
        <v>400</v>
      </c>
      <c r="PM86" s="40">
        <v>400</v>
      </c>
      <c r="PN86" s="42">
        <v>0</v>
      </c>
      <c r="PO86" s="47"/>
      <c r="PP86" s="43">
        <v>352</v>
      </c>
      <c r="PQ86" s="40">
        <v>350</v>
      </c>
      <c r="PR86" s="40">
        <v>360</v>
      </c>
      <c r="PS86" s="40">
        <v>359</v>
      </c>
      <c r="PT86" s="42">
        <v>3</v>
      </c>
      <c r="PU86" s="47"/>
      <c r="PV86" s="45">
        <v>152</v>
      </c>
      <c r="PW86" s="40">
        <v>150</v>
      </c>
      <c r="PX86" s="40">
        <v>152</v>
      </c>
      <c r="PY86" s="40">
        <v>150</v>
      </c>
      <c r="PZ86" s="42">
        <v>4</v>
      </c>
      <c r="QA86" s="47"/>
      <c r="QB86" s="45">
        <v>480</v>
      </c>
      <c r="QC86" s="40">
        <v>482</v>
      </c>
      <c r="QD86" s="42">
        <v>-2</v>
      </c>
      <c r="QE86" s="47"/>
      <c r="QF86" s="45">
        <v>272</v>
      </c>
      <c r="QG86" s="40">
        <v>275</v>
      </c>
      <c r="QH86" s="40">
        <v>296</v>
      </c>
      <c r="QI86" s="40">
        <v>300</v>
      </c>
      <c r="QJ86" s="42">
        <v>-7</v>
      </c>
      <c r="QK86" s="47"/>
      <c r="QL86" s="45">
        <v>400</v>
      </c>
      <c r="QM86" s="40">
        <v>400</v>
      </c>
      <c r="QN86" s="40">
        <v>496</v>
      </c>
      <c r="QO86" s="40">
        <v>500</v>
      </c>
      <c r="QP86" s="42">
        <v>-4</v>
      </c>
      <c r="QQ86" s="47"/>
      <c r="QR86" s="45">
        <v>168</v>
      </c>
      <c r="QS86" s="40">
        <v>168</v>
      </c>
      <c r="QT86" s="40">
        <v>296</v>
      </c>
      <c r="QU86" s="40">
        <v>200</v>
      </c>
      <c r="QV86" s="42">
        <v>96</v>
      </c>
      <c r="QW86" s="47"/>
      <c r="QX86" s="45">
        <v>296</v>
      </c>
      <c r="QY86" s="40">
        <v>300</v>
      </c>
      <c r="QZ86" s="40">
        <v>328</v>
      </c>
      <c r="RA86" s="40">
        <v>330</v>
      </c>
      <c r="RB86" s="42">
        <v>-6</v>
      </c>
      <c r="RC86" s="47"/>
      <c r="RD86" s="45">
        <v>880</v>
      </c>
      <c r="RE86" s="40">
        <v>884.39999999999986</v>
      </c>
      <c r="RF86" s="42">
        <v>-4.3999999999998636</v>
      </c>
      <c r="RG86" s="47"/>
    </row>
    <row r="87" spans="1:475" x14ac:dyDescent="0.25">
      <c r="A87" s="40" t="s">
        <v>376</v>
      </c>
      <c r="B87" s="41">
        <v>0.28000000000000003</v>
      </c>
      <c r="N87" s="43"/>
      <c r="O87" s="48"/>
      <c r="P87" s="48"/>
      <c r="Q87" s="48"/>
      <c r="R87" s="48">
        <f t="shared" si="13"/>
        <v>0</v>
      </c>
      <c r="S87" s="44"/>
      <c r="T87" s="43"/>
      <c r="U87" s="48"/>
      <c r="V87" s="48"/>
      <c r="W87" s="48"/>
      <c r="X87" s="48">
        <f t="shared" si="14"/>
        <v>0</v>
      </c>
      <c r="Y87" s="44"/>
      <c r="Z87" s="43"/>
      <c r="AA87" s="48"/>
      <c r="AB87" s="48"/>
      <c r="AC87" s="48"/>
      <c r="AD87" s="48">
        <f t="shared" si="15"/>
        <v>0</v>
      </c>
      <c r="AE87" s="44"/>
      <c r="AF87" s="43"/>
      <c r="AG87" s="48"/>
      <c r="AH87" s="48"/>
      <c r="AI87" s="48"/>
      <c r="AJ87" s="48">
        <f t="shared" si="16"/>
        <v>0</v>
      </c>
      <c r="AK87" s="44"/>
      <c r="AL87" s="48"/>
      <c r="AP87" s="42">
        <v>0</v>
      </c>
      <c r="AQ87" s="44"/>
      <c r="AR87" s="43"/>
      <c r="AV87" s="42">
        <v>0</v>
      </c>
      <c r="AW87" s="44"/>
      <c r="BC87" s="42">
        <v>0</v>
      </c>
      <c r="BD87" s="44"/>
      <c r="BE87" s="43"/>
      <c r="BI87" s="42">
        <v>0</v>
      </c>
      <c r="BJ87" s="44"/>
      <c r="BO87" s="42">
        <v>0</v>
      </c>
      <c r="BP87" s="44"/>
      <c r="BS87" s="42">
        <v>0</v>
      </c>
      <c r="BT87" s="44"/>
      <c r="BU87" s="43"/>
      <c r="BY87" s="42">
        <v>0</v>
      </c>
      <c r="BZ87" s="44"/>
      <c r="CE87" s="42">
        <v>0</v>
      </c>
      <c r="CF87" s="44"/>
      <c r="CG87" s="43"/>
      <c r="CK87" s="42">
        <v>0</v>
      </c>
      <c r="CL87" s="44"/>
      <c r="CM87" s="43"/>
      <c r="CQ87" s="42">
        <v>0</v>
      </c>
      <c r="CR87" s="44"/>
      <c r="CW87" s="42">
        <v>0</v>
      </c>
      <c r="CX87" s="44"/>
      <c r="CY87" s="43"/>
      <c r="DC87" s="42">
        <v>0</v>
      </c>
      <c r="DD87" s="44"/>
      <c r="DE87" s="43"/>
      <c r="DK87" s="42">
        <v>0</v>
      </c>
      <c r="DL87" s="44"/>
      <c r="DM87" s="43"/>
      <c r="DQ87" s="42">
        <v>0</v>
      </c>
      <c r="DR87" s="44"/>
      <c r="DY87" s="42">
        <v>0</v>
      </c>
      <c r="DZ87" s="44"/>
      <c r="EA87" s="43"/>
      <c r="EE87" s="42">
        <v>0</v>
      </c>
      <c r="EF87" s="44"/>
      <c r="EG87" s="43"/>
      <c r="EK87" s="42">
        <v>0</v>
      </c>
      <c r="EL87" s="44"/>
      <c r="EM87" s="43"/>
      <c r="EQ87" s="42">
        <v>0</v>
      </c>
      <c r="ER87" s="44"/>
      <c r="EY87" s="42">
        <v>0</v>
      </c>
      <c r="EZ87" s="44"/>
      <c r="FE87" s="42">
        <v>0</v>
      </c>
      <c r="FF87" s="44"/>
      <c r="FG87" s="43"/>
      <c r="FK87" s="42">
        <v>0</v>
      </c>
      <c r="FL87" s="44"/>
      <c r="FM87" s="43"/>
      <c r="FN87">
        <v>1040</v>
      </c>
      <c r="FO87" s="42">
        <v>0</v>
      </c>
      <c r="FP87" s="44"/>
      <c r="FT87">
        <v>570</v>
      </c>
      <c r="FU87" s="42">
        <v>-2</v>
      </c>
      <c r="FV87" s="44"/>
      <c r="FW87" s="43"/>
      <c r="FX87">
        <v>200</v>
      </c>
      <c r="FZ87">
        <v>200</v>
      </c>
      <c r="GB87">
        <v>200</v>
      </c>
      <c r="GC87" s="42">
        <v>0</v>
      </c>
      <c r="GD87" s="44"/>
      <c r="GE87">
        <v>400</v>
      </c>
      <c r="GF87">
        <v>400</v>
      </c>
      <c r="GG87">
        <v>296</v>
      </c>
      <c r="GH87">
        <v>300</v>
      </c>
      <c r="GI87" s="42">
        <v>-4</v>
      </c>
      <c r="GJ87" s="44"/>
      <c r="GK87" s="43"/>
      <c r="GM87">
        <v>168</v>
      </c>
      <c r="GN87">
        <v>170</v>
      </c>
      <c r="GO87" s="42">
        <v>-2</v>
      </c>
      <c r="GP87" s="47"/>
      <c r="GQ87">
        <v>352</v>
      </c>
      <c r="GR87">
        <v>350</v>
      </c>
      <c r="GS87">
        <v>440</v>
      </c>
      <c r="GT87">
        <v>440</v>
      </c>
      <c r="GU87" s="42">
        <v>2</v>
      </c>
      <c r="GV87" s="44"/>
      <c r="GW87">
        <v>80</v>
      </c>
      <c r="GX87" s="40">
        <v>80</v>
      </c>
      <c r="GY87" s="42">
        <v>0</v>
      </c>
      <c r="GZ87" s="47"/>
      <c r="HA87" s="43"/>
      <c r="HC87" s="42">
        <v>0</v>
      </c>
      <c r="HD87" s="44"/>
      <c r="HE87" s="46">
        <v>600</v>
      </c>
      <c r="HF87">
        <v>600</v>
      </c>
      <c r="HG87">
        <v>600</v>
      </c>
      <c r="HH87">
        <v>600</v>
      </c>
      <c r="HI87" s="42">
        <v>0</v>
      </c>
      <c r="HJ87" s="47"/>
      <c r="HK87" s="43"/>
      <c r="HM87">
        <v>112</v>
      </c>
      <c r="HN87">
        <v>120</v>
      </c>
      <c r="HO87" s="42">
        <v>-8</v>
      </c>
      <c r="HP87" s="44"/>
      <c r="HT87">
        <v>56</v>
      </c>
      <c r="HU87">
        <v>60</v>
      </c>
      <c r="HV87" s="42">
        <v>-4</v>
      </c>
      <c r="HW87" s="44"/>
      <c r="HX87" s="46">
        <v>552</v>
      </c>
      <c r="HY87">
        <v>550</v>
      </c>
      <c r="HZ87">
        <v>512</v>
      </c>
      <c r="IA87">
        <v>510</v>
      </c>
      <c r="IB87" s="42">
        <v>4</v>
      </c>
      <c r="IC87" s="44"/>
      <c r="IF87">
        <v>160</v>
      </c>
      <c r="IG87">
        <v>160</v>
      </c>
      <c r="IH87" s="42">
        <v>0</v>
      </c>
      <c r="II87" s="47"/>
      <c r="IJ87">
        <v>96</v>
      </c>
      <c r="IK87">
        <v>100</v>
      </c>
      <c r="IL87">
        <v>112</v>
      </c>
      <c r="IM87">
        <v>110</v>
      </c>
      <c r="IN87" s="42">
        <v>-2</v>
      </c>
      <c r="IO87" s="47"/>
      <c r="IP87">
        <v>216</v>
      </c>
      <c r="IQ87">
        <v>220</v>
      </c>
      <c r="IR87">
        <v>200</v>
      </c>
      <c r="IS87">
        <v>200</v>
      </c>
      <c r="IT87" s="42">
        <v>-4</v>
      </c>
      <c r="IU87" s="47"/>
      <c r="IV87">
        <v>296</v>
      </c>
      <c r="IW87">
        <v>300</v>
      </c>
      <c r="IX87">
        <v>280</v>
      </c>
      <c r="IY87">
        <v>280</v>
      </c>
      <c r="IZ87" s="42">
        <v>-4</v>
      </c>
      <c r="JA87" s="44"/>
      <c r="JB87">
        <v>240</v>
      </c>
      <c r="JC87">
        <v>240</v>
      </c>
      <c r="JD87" s="42">
        <v>0</v>
      </c>
      <c r="JE87" s="44"/>
      <c r="JF87">
        <v>352</v>
      </c>
      <c r="JG87">
        <v>350</v>
      </c>
      <c r="JH87">
        <v>264</v>
      </c>
      <c r="JI87">
        <v>264</v>
      </c>
      <c r="JJ87" s="42">
        <v>2</v>
      </c>
      <c r="JK87" s="44"/>
      <c r="JL87" s="46">
        <v>280</v>
      </c>
      <c r="JM87" s="40">
        <v>280</v>
      </c>
      <c r="JN87" s="42">
        <v>0</v>
      </c>
      <c r="JO87" s="44"/>
      <c r="JR87">
        <v>488</v>
      </c>
      <c r="JS87">
        <v>490</v>
      </c>
      <c r="JT87" s="42">
        <v>-2</v>
      </c>
      <c r="JU87" s="44"/>
      <c r="JV87">
        <v>176</v>
      </c>
      <c r="JW87">
        <v>180</v>
      </c>
      <c r="JX87">
        <v>128</v>
      </c>
      <c r="JY87">
        <v>130</v>
      </c>
      <c r="JZ87" s="42">
        <v>-6</v>
      </c>
      <c r="KA87" s="47"/>
      <c r="KB87">
        <v>152</v>
      </c>
      <c r="KC87">
        <v>150</v>
      </c>
      <c r="KD87">
        <v>312</v>
      </c>
      <c r="KE87">
        <v>310</v>
      </c>
      <c r="KF87" s="42">
        <v>4</v>
      </c>
      <c r="KG87" s="44"/>
      <c r="KH87">
        <v>200</v>
      </c>
      <c r="KI87">
        <v>200</v>
      </c>
      <c r="KJ87">
        <v>352</v>
      </c>
      <c r="KK87">
        <v>350</v>
      </c>
      <c r="KL87" s="42">
        <v>2</v>
      </c>
      <c r="KM87" s="47"/>
      <c r="KN87" s="46">
        <v>152</v>
      </c>
      <c r="KO87">
        <v>150</v>
      </c>
      <c r="KQ87">
        <v>220</v>
      </c>
      <c r="KR87">
        <v>128</v>
      </c>
      <c r="KS87">
        <v>120</v>
      </c>
      <c r="KT87" s="39">
        <v>-210</v>
      </c>
      <c r="KU87" s="47">
        <v>58.8</v>
      </c>
      <c r="KV87" s="40">
        <v>152</v>
      </c>
      <c r="KW87" s="40">
        <v>150</v>
      </c>
      <c r="KX87" s="40">
        <v>192</v>
      </c>
      <c r="KY87" s="40">
        <v>190</v>
      </c>
      <c r="KZ87" s="42">
        <v>4</v>
      </c>
      <c r="LA87" s="47"/>
      <c r="LB87" s="40">
        <v>248</v>
      </c>
      <c r="LC87" s="40">
        <v>250</v>
      </c>
      <c r="LD87" s="40">
        <v>272</v>
      </c>
      <c r="LE87" s="40">
        <v>270</v>
      </c>
      <c r="LF87" s="42">
        <v>0</v>
      </c>
      <c r="LG87" s="47"/>
      <c r="LH87" s="45">
        <v>192</v>
      </c>
      <c r="LI87" s="40">
        <v>198</v>
      </c>
      <c r="LJ87" s="42">
        <v>-6</v>
      </c>
      <c r="LK87" s="47"/>
      <c r="LL87" s="45">
        <v>0</v>
      </c>
      <c r="LM87" s="40">
        <v>0</v>
      </c>
      <c r="LN87" s="40">
        <v>0</v>
      </c>
      <c r="LO87" s="40">
        <v>0</v>
      </c>
      <c r="LP87" s="42">
        <v>0</v>
      </c>
      <c r="LQ87" s="47"/>
      <c r="LR87" s="45">
        <v>216</v>
      </c>
      <c r="LS87" s="40">
        <v>220</v>
      </c>
      <c r="LT87" s="40">
        <v>176</v>
      </c>
      <c r="LU87" s="40">
        <v>180</v>
      </c>
      <c r="LV87" s="42">
        <v>-8</v>
      </c>
      <c r="LW87" s="47"/>
      <c r="LX87" s="45">
        <v>952</v>
      </c>
      <c r="LY87" s="40">
        <v>950</v>
      </c>
      <c r="LZ87" s="42">
        <v>2</v>
      </c>
      <c r="MA87" s="47"/>
      <c r="MB87" s="45">
        <v>96</v>
      </c>
      <c r="MC87" s="40">
        <v>100</v>
      </c>
      <c r="MD87" s="40">
        <v>56</v>
      </c>
      <c r="ME87" s="40">
        <v>54</v>
      </c>
      <c r="MF87" s="42">
        <v>-2</v>
      </c>
      <c r="MG87" s="47"/>
      <c r="MH87" s="45">
        <v>848</v>
      </c>
      <c r="MI87" s="40">
        <v>850</v>
      </c>
      <c r="MJ87" s="42">
        <v>-2</v>
      </c>
      <c r="MK87" s="47"/>
      <c r="ML87" s="45">
        <v>0</v>
      </c>
      <c r="MM87" s="40">
        <v>0</v>
      </c>
      <c r="MN87" s="40">
        <v>72</v>
      </c>
      <c r="MO87" s="40">
        <v>77</v>
      </c>
      <c r="MP87" s="42">
        <v>-5</v>
      </c>
      <c r="MQ87" s="47"/>
      <c r="MR87" s="40">
        <v>0</v>
      </c>
      <c r="MS87" s="40">
        <v>0</v>
      </c>
      <c r="MT87" s="40">
        <v>872</v>
      </c>
      <c r="MU87" s="40">
        <v>870</v>
      </c>
      <c r="MV87" s="42">
        <v>2</v>
      </c>
      <c r="MW87" s="47"/>
      <c r="MX87" s="45">
        <v>152</v>
      </c>
      <c r="MY87" s="40">
        <v>150</v>
      </c>
      <c r="MZ87" s="40">
        <v>400</v>
      </c>
      <c r="NA87" s="40">
        <v>400</v>
      </c>
      <c r="NB87" s="42">
        <v>2</v>
      </c>
      <c r="NC87" s="47"/>
      <c r="ND87" s="45">
        <v>48</v>
      </c>
      <c r="NE87" s="40">
        <v>150</v>
      </c>
      <c r="NF87" s="40">
        <v>512</v>
      </c>
      <c r="NG87" s="40">
        <v>514</v>
      </c>
      <c r="NH87" s="39">
        <v>-104</v>
      </c>
      <c r="NI87" s="47">
        <v>29.12</v>
      </c>
      <c r="NJ87" s="45">
        <v>248</v>
      </c>
      <c r="NK87" s="40">
        <v>250</v>
      </c>
      <c r="NL87" s="40">
        <v>288</v>
      </c>
      <c r="NM87" s="40">
        <v>290</v>
      </c>
      <c r="NN87" s="42">
        <v>-4</v>
      </c>
      <c r="NO87" s="47"/>
      <c r="NP87" s="45">
        <v>96</v>
      </c>
      <c r="NQ87" s="40">
        <v>100</v>
      </c>
      <c r="NR87" s="40">
        <v>296</v>
      </c>
      <c r="NS87" s="40">
        <v>300</v>
      </c>
      <c r="NT87" s="42">
        <v>-8</v>
      </c>
      <c r="NU87" s="47"/>
      <c r="NV87" s="45">
        <v>96</v>
      </c>
      <c r="NW87" s="40">
        <v>100</v>
      </c>
      <c r="NX87" s="40">
        <v>152</v>
      </c>
      <c r="NY87" s="40">
        <v>160</v>
      </c>
      <c r="NZ87" s="42">
        <v>-12</v>
      </c>
      <c r="OA87" s="47"/>
      <c r="OB87" s="45">
        <v>952</v>
      </c>
      <c r="OC87" s="40">
        <v>950</v>
      </c>
      <c r="OD87" s="42">
        <v>2</v>
      </c>
      <c r="OE87" s="47"/>
      <c r="OF87" s="45">
        <v>280</v>
      </c>
      <c r="OG87" s="40">
        <v>285</v>
      </c>
      <c r="OH87" s="40">
        <v>280</v>
      </c>
      <c r="OI87" s="40">
        <v>285</v>
      </c>
      <c r="OJ87" s="42">
        <v>-10</v>
      </c>
      <c r="OK87" s="47"/>
      <c r="OL87" s="45">
        <v>240</v>
      </c>
      <c r="OM87" s="40">
        <v>240</v>
      </c>
      <c r="ON87" s="40">
        <v>192</v>
      </c>
      <c r="OO87" s="40">
        <v>190</v>
      </c>
      <c r="OP87" s="42">
        <v>2</v>
      </c>
      <c r="OQ87" s="47"/>
      <c r="OR87" s="45">
        <v>416</v>
      </c>
      <c r="OS87" s="40">
        <v>420</v>
      </c>
      <c r="OT87" s="40">
        <v>328</v>
      </c>
      <c r="OU87" s="40">
        <v>330</v>
      </c>
      <c r="OV87" s="42">
        <v>-6</v>
      </c>
      <c r="OW87" s="47"/>
      <c r="OX87" s="40">
        <v>176</v>
      </c>
      <c r="OY87" s="40">
        <v>175</v>
      </c>
      <c r="OZ87" s="40">
        <v>176</v>
      </c>
      <c r="PA87" s="40">
        <v>175</v>
      </c>
      <c r="PB87" s="42">
        <v>2</v>
      </c>
      <c r="PC87" s="47"/>
      <c r="PD87" s="45">
        <v>152</v>
      </c>
      <c r="PE87" s="40">
        <v>150</v>
      </c>
      <c r="PF87" s="40">
        <v>152</v>
      </c>
      <c r="PG87" s="40">
        <v>150</v>
      </c>
      <c r="PH87" s="42">
        <v>4</v>
      </c>
      <c r="PI87" s="47"/>
      <c r="PJ87" s="45">
        <v>512</v>
      </c>
      <c r="PK87" s="40">
        <v>600</v>
      </c>
      <c r="PL87" s="40">
        <v>512</v>
      </c>
      <c r="PM87" s="40">
        <v>600</v>
      </c>
      <c r="PN87" s="39">
        <v>-176</v>
      </c>
      <c r="PO87" s="47">
        <v>49.28</v>
      </c>
      <c r="PP87" s="43">
        <v>8</v>
      </c>
      <c r="PQ87" s="40">
        <v>200</v>
      </c>
      <c r="PR87" s="40">
        <v>40</v>
      </c>
      <c r="PS87" s="40">
        <v>200</v>
      </c>
      <c r="PT87" s="39">
        <v>-352</v>
      </c>
      <c r="PU87" s="47">
        <v>98.56</v>
      </c>
      <c r="PV87" s="45">
        <v>200</v>
      </c>
      <c r="PW87" s="40">
        <v>200</v>
      </c>
      <c r="PX87" s="40">
        <v>152</v>
      </c>
      <c r="PY87" s="40">
        <v>150</v>
      </c>
      <c r="PZ87" s="42">
        <v>2</v>
      </c>
      <c r="QA87" s="47"/>
      <c r="QB87" s="45">
        <v>688</v>
      </c>
      <c r="QC87" s="40">
        <v>690</v>
      </c>
      <c r="QD87" s="42">
        <v>-2</v>
      </c>
      <c r="QE87" s="47"/>
      <c r="QF87" s="45">
        <v>200</v>
      </c>
      <c r="QG87" s="40">
        <v>203</v>
      </c>
      <c r="QH87" s="40">
        <v>240</v>
      </c>
      <c r="QI87" s="40">
        <v>250</v>
      </c>
      <c r="QJ87" s="42">
        <v>-13</v>
      </c>
      <c r="QK87" s="47"/>
      <c r="QL87" s="45">
        <v>296</v>
      </c>
      <c r="QM87" s="40">
        <v>300</v>
      </c>
      <c r="QN87" s="40">
        <v>400</v>
      </c>
      <c r="QO87" s="40">
        <v>400</v>
      </c>
      <c r="QP87" s="42">
        <v>-4</v>
      </c>
      <c r="QQ87" s="47"/>
      <c r="QR87" s="45">
        <v>360</v>
      </c>
      <c r="QS87" s="40">
        <v>334</v>
      </c>
      <c r="QT87" s="40">
        <v>128</v>
      </c>
      <c r="QU87" s="40">
        <v>450</v>
      </c>
      <c r="QV87" s="39">
        <v>-296</v>
      </c>
      <c r="QW87" s="47">
        <v>82.88000000000001</v>
      </c>
      <c r="QX87" s="45">
        <v>280</v>
      </c>
      <c r="QY87" s="40">
        <v>280</v>
      </c>
      <c r="QZ87" s="40">
        <v>0</v>
      </c>
      <c r="RA87" s="40">
        <v>0</v>
      </c>
      <c r="RB87" s="42">
        <v>0</v>
      </c>
      <c r="RC87" s="47"/>
      <c r="RD87" s="45">
        <v>840</v>
      </c>
      <c r="RE87" s="40">
        <v>840.60000000000014</v>
      </c>
      <c r="RF87" s="42">
        <v>-0.60000000000013642</v>
      </c>
      <c r="RG87" s="47"/>
    </row>
    <row r="88" spans="1:475" x14ac:dyDescent="0.25">
      <c r="A88" s="40" t="s">
        <v>377</v>
      </c>
      <c r="B88" s="41">
        <v>0.35</v>
      </c>
      <c r="N88" s="43"/>
      <c r="O88" s="48"/>
      <c r="P88" s="48"/>
      <c r="Q88" s="48"/>
      <c r="R88" s="48">
        <f t="shared" si="13"/>
        <v>0</v>
      </c>
      <c r="S88" s="44"/>
      <c r="T88" s="43"/>
      <c r="U88" s="48"/>
      <c r="V88" s="48"/>
      <c r="W88" s="48"/>
      <c r="X88" s="48">
        <f t="shared" si="14"/>
        <v>0</v>
      </c>
      <c r="Y88" s="44"/>
      <c r="Z88" s="43"/>
      <c r="AA88" s="48"/>
      <c r="AB88" s="48"/>
      <c r="AC88" s="48"/>
      <c r="AD88" s="48">
        <f t="shared" si="15"/>
        <v>0</v>
      </c>
      <c r="AE88" s="44"/>
      <c r="AF88" s="43"/>
      <c r="AG88" s="48"/>
      <c r="AH88" s="48"/>
      <c r="AI88" s="48"/>
      <c r="AJ88" s="48">
        <f t="shared" si="16"/>
        <v>0</v>
      </c>
      <c r="AK88" s="44"/>
      <c r="AL88" s="48"/>
      <c r="AP88" s="42">
        <v>0</v>
      </c>
      <c r="AQ88" s="44"/>
      <c r="AR88" s="43"/>
      <c r="AV88" s="42">
        <v>0</v>
      </c>
      <c r="AW88" s="44"/>
      <c r="BC88" s="42">
        <v>0</v>
      </c>
      <c r="BD88" s="44"/>
      <c r="BE88" s="43"/>
      <c r="BI88" s="42">
        <v>0</v>
      </c>
      <c r="BJ88" s="44"/>
      <c r="BO88" s="42">
        <v>0</v>
      </c>
      <c r="BP88" s="44"/>
      <c r="BS88" s="42">
        <v>0</v>
      </c>
      <c r="BT88" s="44"/>
      <c r="BU88" s="43"/>
      <c r="BY88" s="42">
        <v>0</v>
      </c>
      <c r="BZ88" s="44"/>
      <c r="CE88" s="42">
        <v>0</v>
      </c>
      <c r="CF88" s="44"/>
      <c r="CG88" s="43"/>
      <c r="CK88" s="42">
        <v>0</v>
      </c>
      <c r="CL88" s="44"/>
      <c r="CM88" s="43"/>
      <c r="CQ88" s="42">
        <v>0</v>
      </c>
      <c r="CR88" s="44"/>
      <c r="CW88" s="42">
        <v>0</v>
      </c>
      <c r="CX88" s="44"/>
      <c r="CY88" s="43"/>
      <c r="DC88" s="42">
        <v>0</v>
      </c>
      <c r="DD88" s="44"/>
      <c r="DE88" s="43"/>
      <c r="DK88" s="42">
        <v>0</v>
      </c>
      <c r="DL88" s="44"/>
      <c r="DM88" s="43"/>
      <c r="DQ88" s="42">
        <v>0</v>
      </c>
      <c r="DR88" s="44"/>
      <c r="DY88" s="42">
        <v>0</v>
      </c>
      <c r="DZ88" s="44"/>
      <c r="EA88" s="43"/>
      <c r="EE88" s="42">
        <v>0</v>
      </c>
      <c r="EF88" s="44"/>
      <c r="EG88" s="43"/>
      <c r="EK88" s="42">
        <v>0</v>
      </c>
      <c r="EL88" s="44"/>
      <c r="EM88" s="43"/>
      <c r="EQ88" s="42">
        <v>0</v>
      </c>
      <c r="ER88" s="44"/>
      <c r="EY88" s="42">
        <v>0</v>
      </c>
      <c r="EZ88" s="44"/>
      <c r="FE88" s="42">
        <v>0</v>
      </c>
      <c r="FF88" s="44"/>
      <c r="FG88" s="43"/>
      <c r="FK88" s="42">
        <v>0</v>
      </c>
      <c r="FL88" s="44"/>
      <c r="FM88" s="43"/>
      <c r="FO88" s="42">
        <v>0</v>
      </c>
      <c r="FP88" s="44"/>
      <c r="FU88" s="42">
        <v>0</v>
      </c>
      <c r="FV88" s="44"/>
      <c r="FW88" s="43"/>
      <c r="GC88" s="42">
        <v>0</v>
      </c>
      <c r="GD88" s="44"/>
      <c r="GI88" s="42">
        <v>0</v>
      </c>
      <c r="GJ88" s="44"/>
      <c r="GK88" s="43"/>
      <c r="GO88" s="42">
        <v>0</v>
      </c>
      <c r="GP88" s="47"/>
      <c r="GU88" s="42">
        <v>0</v>
      </c>
      <c r="GV88" s="44"/>
      <c r="GY88" s="42">
        <v>0</v>
      </c>
      <c r="GZ88" s="47"/>
      <c r="HA88" s="43"/>
      <c r="HC88" s="42">
        <v>0</v>
      </c>
      <c r="HD88" s="44"/>
      <c r="HE88" s="43"/>
      <c r="HI88" s="42">
        <v>0</v>
      </c>
      <c r="HJ88" s="47"/>
      <c r="HK88" s="43"/>
      <c r="HO88" s="42">
        <v>0</v>
      </c>
      <c r="HP88" s="44"/>
      <c r="HQ88">
        <v>8</v>
      </c>
      <c r="HT88">
        <v>328</v>
      </c>
      <c r="HU88">
        <v>330</v>
      </c>
      <c r="HV88" s="42">
        <v>6</v>
      </c>
      <c r="HW88" s="44"/>
      <c r="HX88" s="46">
        <v>648</v>
      </c>
      <c r="HY88">
        <v>650</v>
      </c>
      <c r="HZ88">
        <v>552</v>
      </c>
      <c r="IA88">
        <v>550</v>
      </c>
      <c r="IB88" s="42">
        <v>0</v>
      </c>
      <c r="IC88" s="44"/>
      <c r="ID88">
        <v>96</v>
      </c>
      <c r="IE88">
        <v>100</v>
      </c>
      <c r="IF88">
        <v>272</v>
      </c>
      <c r="IG88">
        <v>270</v>
      </c>
      <c r="IH88" s="42">
        <v>-2</v>
      </c>
      <c r="II88" s="47"/>
      <c r="IL88">
        <v>120</v>
      </c>
      <c r="IM88">
        <v>120</v>
      </c>
      <c r="IN88" s="42">
        <v>0</v>
      </c>
      <c r="IO88" s="47"/>
      <c r="IP88">
        <v>552</v>
      </c>
      <c r="IQ88">
        <v>550</v>
      </c>
      <c r="IR88">
        <v>520</v>
      </c>
      <c r="IS88">
        <v>520</v>
      </c>
      <c r="IT88" s="42">
        <v>2</v>
      </c>
      <c r="IU88" s="47"/>
      <c r="IV88">
        <v>152</v>
      </c>
      <c r="IW88">
        <v>150</v>
      </c>
      <c r="IX88">
        <v>128</v>
      </c>
      <c r="IY88">
        <v>120</v>
      </c>
      <c r="IZ88" s="42">
        <v>10</v>
      </c>
      <c r="JA88" s="44"/>
      <c r="JB88">
        <v>408</v>
      </c>
      <c r="JC88">
        <v>410</v>
      </c>
      <c r="JD88" s="42">
        <v>-2</v>
      </c>
      <c r="JE88" s="44"/>
      <c r="JF88">
        <v>448</v>
      </c>
      <c r="JG88">
        <v>450</v>
      </c>
      <c r="JH88">
        <v>344</v>
      </c>
      <c r="JI88">
        <v>347</v>
      </c>
      <c r="JJ88" s="42">
        <v>-5</v>
      </c>
      <c r="JK88" s="44"/>
      <c r="JL88" s="45"/>
      <c r="JN88" s="42">
        <v>0</v>
      </c>
      <c r="JO88" s="44"/>
      <c r="JT88" s="42">
        <v>0</v>
      </c>
      <c r="JU88" s="44"/>
      <c r="JV88">
        <v>448</v>
      </c>
      <c r="JW88">
        <v>450</v>
      </c>
      <c r="JX88">
        <v>784</v>
      </c>
      <c r="JY88">
        <v>790</v>
      </c>
      <c r="JZ88" s="42">
        <v>-8</v>
      </c>
      <c r="KA88" s="47"/>
      <c r="KF88" s="42">
        <v>0</v>
      </c>
      <c r="KG88" s="44"/>
      <c r="KH88">
        <v>96</v>
      </c>
      <c r="KI88">
        <v>100</v>
      </c>
      <c r="KJ88">
        <v>352</v>
      </c>
      <c r="KK88">
        <v>357</v>
      </c>
      <c r="KL88" s="42">
        <v>-9</v>
      </c>
      <c r="KM88" s="47"/>
      <c r="KN88" s="46">
        <v>248</v>
      </c>
      <c r="KO88">
        <v>250</v>
      </c>
      <c r="KP88">
        <v>416</v>
      </c>
      <c r="KQ88">
        <v>420</v>
      </c>
      <c r="KR88">
        <v>520</v>
      </c>
      <c r="KS88">
        <v>270</v>
      </c>
      <c r="KT88" s="42">
        <v>244</v>
      </c>
      <c r="KU88" s="47"/>
      <c r="KV88" s="40">
        <v>0</v>
      </c>
      <c r="KW88" s="40">
        <v>0</v>
      </c>
      <c r="KX88" s="40">
        <v>88</v>
      </c>
      <c r="KY88" s="40">
        <v>90</v>
      </c>
      <c r="KZ88" s="42">
        <v>-2</v>
      </c>
      <c r="LA88" s="47"/>
      <c r="LB88" s="40">
        <v>152</v>
      </c>
      <c r="LC88" s="40">
        <v>150</v>
      </c>
      <c r="LD88" s="40">
        <v>192</v>
      </c>
      <c r="LE88" s="40">
        <v>190</v>
      </c>
      <c r="LF88" s="42">
        <v>4</v>
      </c>
      <c r="LG88" s="47"/>
      <c r="LH88" s="45">
        <v>584</v>
      </c>
      <c r="LI88" s="40">
        <v>586</v>
      </c>
      <c r="LJ88" s="42">
        <v>-2</v>
      </c>
      <c r="LK88" s="47"/>
      <c r="LL88" s="45">
        <v>0</v>
      </c>
      <c r="LM88" s="40">
        <v>0</v>
      </c>
      <c r="LN88" s="40">
        <v>0</v>
      </c>
      <c r="LO88" s="40">
        <v>0</v>
      </c>
      <c r="LP88" s="42">
        <v>0</v>
      </c>
      <c r="LQ88" s="47"/>
      <c r="LR88" s="45">
        <v>96</v>
      </c>
      <c r="LS88" s="40">
        <v>100</v>
      </c>
      <c r="LT88" s="40">
        <v>0</v>
      </c>
      <c r="LU88" s="40">
        <v>0</v>
      </c>
      <c r="LV88" s="42">
        <v>-4</v>
      </c>
      <c r="LW88" s="47"/>
      <c r="LX88" s="45">
        <v>1344</v>
      </c>
      <c r="LY88" s="40">
        <v>1350</v>
      </c>
      <c r="LZ88" s="42">
        <v>-6</v>
      </c>
      <c r="MA88" s="47"/>
      <c r="MB88" s="45">
        <v>96</v>
      </c>
      <c r="MC88" s="40">
        <v>100</v>
      </c>
      <c r="MD88" s="40">
        <v>0</v>
      </c>
      <c r="ME88" s="40">
        <v>0</v>
      </c>
      <c r="MF88" s="42">
        <v>-4</v>
      </c>
      <c r="MG88" s="47"/>
      <c r="MH88" s="45">
        <v>952</v>
      </c>
      <c r="MI88" s="40">
        <v>950</v>
      </c>
      <c r="MJ88" s="42">
        <v>2</v>
      </c>
      <c r="MK88" s="47"/>
      <c r="ML88" s="45">
        <v>0</v>
      </c>
      <c r="MM88" s="40">
        <v>0</v>
      </c>
      <c r="MN88" s="40">
        <v>592</v>
      </c>
      <c r="MO88" s="40">
        <v>590</v>
      </c>
      <c r="MP88" s="42">
        <v>2</v>
      </c>
      <c r="MQ88" s="47"/>
      <c r="MR88" s="40">
        <v>0</v>
      </c>
      <c r="MS88" s="40">
        <v>0</v>
      </c>
      <c r="MT88" s="40">
        <v>400</v>
      </c>
      <c r="MU88" s="40">
        <v>400</v>
      </c>
      <c r="MV88" s="42">
        <v>0</v>
      </c>
      <c r="MW88" s="47"/>
      <c r="MX88" s="45">
        <v>200</v>
      </c>
      <c r="MY88" s="40">
        <v>200</v>
      </c>
      <c r="MZ88" s="40">
        <v>600</v>
      </c>
      <c r="NA88" s="40">
        <v>600</v>
      </c>
      <c r="NB88" s="42">
        <v>0</v>
      </c>
      <c r="NC88" s="47"/>
      <c r="ND88" s="45">
        <v>160</v>
      </c>
      <c r="NE88" s="40">
        <v>200</v>
      </c>
      <c r="NF88" s="40">
        <v>688</v>
      </c>
      <c r="NG88" s="40">
        <v>691</v>
      </c>
      <c r="NH88" s="39">
        <v>-43</v>
      </c>
      <c r="NI88" s="47">
        <v>15.05</v>
      </c>
      <c r="NJ88" s="45">
        <v>96</v>
      </c>
      <c r="NK88" s="40">
        <v>100</v>
      </c>
      <c r="NL88" s="40">
        <v>152</v>
      </c>
      <c r="NM88" s="40">
        <v>150</v>
      </c>
      <c r="NN88" s="42">
        <v>-2</v>
      </c>
      <c r="NO88" s="47"/>
      <c r="NP88" s="45">
        <v>0</v>
      </c>
      <c r="NQ88" s="30">
        <v>300</v>
      </c>
      <c r="NR88" s="40">
        <v>592</v>
      </c>
      <c r="NS88" s="40">
        <v>590</v>
      </c>
      <c r="NT88" s="39">
        <v>-298</v>
      </c>
      <c r="NU88" s="47">
        <v>104.3</v>
      </c>
      <c r="NV88" s="45">
        <v>216</v>
      </c>
      <c r="NW88" s="40">
        <v>220</v>
      </c>
      <c r="NX88" s="40">
        <v>216</v>
      </c>
      <c r="NY88" s="40">
        <v>220</v>
      </c>
      <c r="NZ88" s="42">
        <v>-8</v>
      </c>
      <c r="OA88" s="47"/>
      <c r="OB88" s="45">
        <v>896</v>
      </c>
      <c r="OC88" s="40">
        <v>900</v>
      </c>
      <c r="OD88" s="42">
        <v>-4</v>
      </c>
      <c r="OE88" s="47"/>
      <c r="OF88" s="45">
        <v>176</v>
      </c>
      <c r="OG88" s="40">
        <v>175</v>
      </c>
      <c r="OH88" s="40">
        <v>176</v>
      </c>
      <c r="OI88" s="40">
        <v>175</v>
      </c>
      <c r="OJ88" s="42">
        <v>2</v>
      </c>
      <c r="OK88" s="47"/>
      <c r="OL88" s="45">
        <v>336</v>
      </c>
      <c r="OM88" s="40">
        <v>340</v>
      </c>
      <c r="ON88" s="40">
        <v>288</v>
      </c>
      <c r="OO88" s="40">
        <v>290</v>
      </c>
      <c r="OP88" s="42">
        <v>-6</v>
      </c>
      <c r="OQ88" s="47"/>
      <c r="OR88" s="45">
        <v>400</v>
      </c>
      <c r="OS88" s="40">
        <v>400</v>
      </c>
      <c r="OT88" s="40">
        <v>296</v>
      </c>
      <c r="OU88" s="40">
        <v>300</v>
      </c>
      <c r="OV88" s="42">
        <v>-4</v>
      </c>
      <c r="OW88" s="47"/>
      <c r="OX88" s="40">
        <v>352</v>
      </c>
      <c r="OY88" s="40">
        <v>350</v>
      </c>
      <c r="OZ88" s="40">
        <v>352</v>
      </c>
      <c r="PA88" s="40">
        <v>350</v>
      </c>
      <c r="PB88" s="42">
        <v>4</v>
      </c>
      <c r="PC88" s="47"/>
      <c r="PD88" s="45">
        <v>248</v>
      </c>
      <c r="PE88" s="40">
        <v>250</v>
      </c>
      <c r="PF88" s="40">
        <v>304</v>
      </c>
      <c r="PG88" s="40">
        <v>308</v>
      </c>
      <c r="PH88" s="42">
        <v>-6</v>
      </c>
      <c r="PI88" s="47"/>
      <c r="PJ88" s="45">
        <v>400</v>
      </c>
      <c r="PK88" s="40">
        <v>400</v>
      </c>
      <c r="PL88" s="40">
        <v>448</v>
      </c>
      <c r="PM88" s="40">
        <v>450</v>
      </c>
      <c r="PN88" s="42">
        <v>-2</v>
      </c>
      <c r="PO88" s="47"/>
      <c r="PP88" s="43">
        <v>448</v>
      </c>
      <c r="PQ88" s="40">
        <v>450</v>
      </c>
      <c r="PR88" s="40">
        <v>520</v>
      </c>
      <c r="PS88" s="40">
        <v>521</v>
      </c>
      <c r="PT88" s="42">
        <v>-3</v>
      </c>
      <c r="PU88" s="47"/>
      <c r="PV88" s="45">
        <v>248</v>
      </c>
      <c r="PW88" s="40">
        <v>250</v>
      </c>
      <c r="PX88" s="40">
        <v>248</v>
      </c>
      <c r="PY88" s="40">
        <v>250</v>
      </c>
      <c r="PZ88" s="42">
        <v>-4</v>
      </c>
      <c r="QA88" s="47"/>
      <c r="QB88" s="45">
        <v>680</v>
      </c>
      <c r="QC88" s="40">
        <v>680</v>
      </c>
      <c r="QD88" s="42">
        <v>0</v>
      </c>
      <c r="QE88" s="47"/>
      <c r="QF88" s="45">
        <v>264</v>
      </c>
      <c r="QG88" s="40">
        <v>264</v>
      </c>
      <c r="QH88" s="40">
        <v>352</v>
      </c>
      <c r="QI88" s="40">
        <v>350</v>
      </c>
      <c r="QJ88" s="42">
        <v>2</v>
      </c>
      <c r="QK88" s="47"/>
      <c r="QL88" s="45">
        <v>400</v>
      </c>
      <c r="QM88" s="40">
        <v>400</v>
      </c>
      <c r="QN88" s="40">
        <v>496</v>
      </c>
      <c r="QO88" s="40">
        <v>500</v>
      </c>
      <c r="QP88" s="42">
        <v>-4</v>
      </c>
      <c r="QQ88" s="47"/>
      <c r="QR88" s="45">
        <v>400</v>
      </c>
      <c r="QS88" s="40">
        <v>398</v>
      </c>
      <c r="QT88" s="40">
        <v>320</v>
      </c>
      <c r="QU88" s="40">
        <v>600</v>
      </c>
      <c r="QV88" s="39">
        <v>-278</v>
      </c>
      <c r="QW88" s="47">
        <v>97.3</v>
      </c>
      <c r="QX88" s="45">
        <v>296</v>
      </c>
      <c r="QY88" s="40">
        <v>296</v>
      </c>
      <c r="QZ88" s="40">
        <v>0</v>
      </c>
      <c r="RA88" s="40">
        <v>0</v>
      </c>
      <c r="RB88" s="42">
        <v>0</v>
      </c>
      <c r="RC88" s="47"/>
      <c r="RD88" s="45">
        <v>1240</v>
      </c>
      <c r="RE88" s="40">
        <v>1244.4000000000001</v>
      </c>
      <c r="RF88" s="42">
        <v>-4.4000000000000909</v>
      </c>
      <c r="RG88" s="47"/>
    </row>
    <row r="89" spans="1:475" x14ac:dyDescent="0.25">
      <c r="A89" s="40" t="s">
        <v>378</v>
      </c>
      <c r="B89" s="41">
        <v>0.28000000000000003</v>
      </c>
      <c r="N89" s="43"/>
      <c r="O89" s="48"/>
      <c r="P89" s="48"/>
      <c r="Q89" s="48"/>
      <c r="R89" s="48">
        <f t="shared" si="13"/>
        <v>0</v>
      </c>
      <c r="S89" s="44"/>
      <c r="T89" s="43"/>
      <c r="U89" s="48"/>
      <c r="V89" s="48"/>
      <c r="W89" s="48"/>
      <c r="X89" s="48">
        <f t="shared" si="14"/>
        <v>0</v>
      </c>
      <c r="Y89" s="44"/>
      <c r="Z89" s="43"/>
      <c r="AA89" s="48"/>
      <c r="AB89" s="48"/>
      <c r="AC89" s="48"/>
      <c r="AD89" s="48">
        <f t="shared" si="15"/>
        <v>0</v>
      </c>
      <c r="AE89" s="44"/>
      <c r="AF89" s="43"/>
      <c r="AG89" s="48"/>
      <c r="AH89" s="48"/>
      <c r="AI89" s="48"/>
      <c r="AJ89" s="48">
        <f t="shared" si="16"/>
        <v>0</v>
      </c>
      <c r="AK89" s="44"/>
      <c r="AL89" s="48"/>
      <c r="AP89" s="42">
        <v>0</v>
      </c>
      <c r="AQ89" s="44"/>
      <c r="AR89" s="43"/>
      <c r="AV89" s="42">
        <v>0</v>
      </c>
      <c r="AW89" s="44"/>
      <c r="BC89" s="42">
        <v>0</v>
      </c>
      <c r="BD89" s="44"/>
      <c r="BE89" s="43"/>
      <c r="BI89" s="42">
        <v>0</v>
      </c>
      <c r="BJ89" s="44"/>
      <c r="BO89" s="42">
        <v>0</v>
      </c>
      <c r="BP89" s="44"/>
      <c r="BS89" s="42">
        <v>0</v>
      </c>
      <c r="BT89" s="44"/>
      <c r="BU89" s="43"/>
      <c r="BY89" s="42">
        <v>0</v>
      </c>
      <c r="BZ89" s="44"/>
      <c r="CE89" s="42">
        <v>0</v>
      </c>
      <c r="CF89" s="44"/>
      <c r="CG89" s="43"/>
      <c r="CK89" s="42">
        <v>0</v>
      </c>
      <c r="CL89" s="44"/>
      <c r="CM89" s="43"/>
      <c r="CQ89" s="42">
        <v>0</v>
      </c>
      <c r="CR89" s="44"/>
      <c r="CW89" s="42">
        <v>0</v>
      </c>
      <c r="CX89" s="44"/>
      <c r="CY89" s="43"/>
      <c r="DC89" s="42">
        <v>0</v>
      </c>
      <c r="DD89" s="44"/>
      <c r="DE89" s="43"/>
      <c r="DK89" s="42">
        <v>0</v>
      </c>
      <c r="DL89" s="44"/>
      <c r="DM89" s="43"/>
      <c r="DQ89" s="42">
        <v>0</v>
      </c>
      <c r="DR89" s="44"/>
      <c r="DY89" s="42">
        <v>0</v>
      </c>
      <c r="DZ89" s="44"/>
      <c r="EA89" s="43"/>
      <c r="EE89" s="42">
        <v>0</v>
      </c>
      <c r="EF89" s="44"/>
      <c r="EG89" s="43"/>
      <c r="EK89" s="42">
        <v>0</v>
      </c>
      <c r="EL89" s="44"/>
      <c r="EM89" s="43"/>
      <c r="EQ89" s="42">
        <v>0</v>
      </c>
      <c r="ER89" s="44"/>
      <c r="EY89" s="42">
        <v>0</v>
      </c>
      <c r="EZ89" s="44"/>
      <c r="FE89" s="42">
        <v>0</v>
      </c>
      <c r="FF89" s="44"/>
      <c r="FG89" s="43"/>
      <c r="FK89" s="42">
        <v>0</v>
      </c>
      <c r="FL89" s="44"/>
      <c r="FM89" s="43"/>
      <c r="FO89" s="42">
        <v>0</v>
      </c>
      <c r="FP89" s="44"/>
      <c r="FU89" s="42">
        <v>0</v>
      </c>
      <c r="FV89" s="44"/>
      <c r="FW89" s="43"/>
      <c r="GC89" s="42">
        <v>0</v>
      </c>
      <c r="GD89" s="44"/>
      <c r="GI89" s="42">
        <v>0</v>
      </c>
      <c r="GJ89" s="44"/>
      <c r="GK89" s="43"/>
      <c r="GO89" s="42">
        <v>0</v>
      </c>
      <c r="GP89" s="47"/>
      <c r="GU89" s="42">
        <v>0</v>
      </c>
      <c r="GV89" s="44"/>
      <c r="GY89" s="42">
        <v>0</v>
      </c>
      <c r="GZ89" s="47"/>
      <c r="HA89" s="43"/>
      <c r="HC89" s="42">
        <v>0</v>
      </c>
      <c r="HD89" s="44"/>
      <c r="HE89" s="43"/>
      <c r="HI89" s="42">
        <v>0</v>
      </c>
      <c r="HJ89" s="47"/>
      <c r="HK89" s="43"/>
      <c r="HO89" s="42">
        <v>0</v>
      </c>
      <c r="HP89" s="44"/>
      <c r="HV89" s="42">
        <v>0</v>
      </c>
      <c r="HW89" s="44"/>
      <c r="HX89" s="45"/>
      <c r="IB89" s="42">
        <v>0</v>
      </c>
      <c r="IC89" s="44"/>
      <c r="IH89" s="42">
        <v>0</v>
      </c>
      <c r="II89" s="47"/>
      <c r="IN89" s="42">
        <v>0</v>
      </c>
      <c r="IO89" s="47"/>
      <c r="IT89" s="42">
        <v>0</v>
      </c>
      <c r="IU89" s="47"/>
      <c r="IZ89" s="42">
        <v>0</v>
      </c>
      <c r="JA89" s="44"/>
      <c r="JD89" s="42">
        <v>0</v>
      </c>
      <c r="JE89" s="44"/>
      <c r="JJ89" s="42">
        <v>0</v>
      </c>
      <c r="JK89" s="44"/>
      <c r="JL89" s="45"/>
      <c r="JN89" s="42">
        <v>0</v>
      </c>
      <c r="JO89" s="44"/>
      <c r="JT89" s="42">
        <v>0</v>
      </c>
      <c r="JU89" s="44"/>
      <c r="JZ89" s="42">
        <v>0</v>
      </c>
      <c r="KA89" s="47"/>
      <c r="KF89" s="42">
        <v>0</v>
      </c>
      <c r="KG89" s="44"/>
      <c r="KH89" s="41"/>
      <c r="KL89" s="42">
        <v>0</v>
      </c>
      <c r="KM89" s="47"/>
      <c r="KN89" s="45"/>
      <c r="KT89" s="42">
        <v>0</v>
      </c>
      <c r="KU89" s="47"/>
      <c r="KV89" s="40">
        <v>0</v>
      </c>
      <c r="KW89" s="40">
        <v>0</v>
      </c>
      <c r="KX89" s="40">
        <v>0</v>
      </c>
      <c r="KY89" s="40">
        <v>0</v>
      </c>
      <c r="KZ89" s="42">
        <v>0</v>
      </c>
      <c r="LA89" s="47"/>
      <c r="LB89" s="40">
        <v>0</v>
      </c>
      <c r="LC89" s="40">
        <v>0</v>
      </c>
      <c r="LD89" s="40">
        <v>0</v>
      </c>
      <c r="LE89" s="40">
        <v>0</v>
      </c>
      <c r="LF89" s="42">
        <v>0</v>
      </c>
      <c r="LG89" s="47"/>
      <c r="LH89" s="45">
        <v>0</v>
      </c>
      <c r="LI89" s="40">
        <v>0</v>
      </c>
      <c r="LJ89" s="42">
        <v>0</v>
      </c>
      <c r="LK89" s="47"/>
      <c r="LL89" s="45">
        <v>0</v>
      </c>
      <c r="LM89" s="40">
        <v>0</v>
      </c>
      <c r="LN89" s="40">
        <v>0</v>
      </c>
      <c r="LO89" s="40">
        <v>0</v>
      </c>
      <c r="LP89" s="42">
        <v>0</v>
      </c>
      <c r="LQ89" s="47"/>
      <c r="LR89" s="45">
        <v>0</v>
      </c>
      <c r="LS89" s="40">
        <v>0</v>
      </c>
      <c r="LT89" s="40">
        <v>0</v>
      </c>
      <c r="LU89" s="40">
        <v>0</v>
      </c>
      <c r="LV89" s="42">
        <v>0</v>
      </c>
      <c r="LW89" s="47"/>
      <c r="LX89" s="45">
        <v>0</v>
      </c>
      <c r="LY89" s="40">
        <v>0</v>
      </c>
      <c r="LZ89" s="42">
        <v>0</v>
      </c>
      <c r="MA89" s="47"/>
      <c r="MB89" s="45">
        <v>0</v>
      </c>
      <c r="MC89" s="40">
        <v>0</v>
      </c>
      <c r="MD89" s="40">
        <v>0</v>
      </c>
      <c r="ME89" s="40">
        <v>0</v>
      </c>
      <c r="MF89" s="42">
        <v>0</v>
      </c>
      <c r="MG89" s="47"/>
      <c r="MH89" s="45">
        <v>0</v>
      </c>
      <c r="MI89" s="40">
        <v>0</v>
      </c>
      <c r="MJ89" s="42">
        <v>0</v>
      </c>
      <c r="MK89" s="47"/>
      <c r="ML89" s="45">
        <v>0</v>
      </c>
      <c r="MM89" s="40">
        <v>0</v>
      </c>
      <c r="MN89" s="40">
        <v>0</v>
      </c>
      <c r="MO89" s="40">
        <v>0</v>
      </c>
      <c r="MP89" s="42">
        <v>0</v>
      </c>
      <c r="MQ89" s="47"/>
      <c r="MR89" s="40">
        <v>0</v>
      </c>
      <c r="MS89" s="40">
        <v>0</v>
      </c>
      <c r="MT89" s="40">
        <v>0</v>
      </c>
      <c r="MU89" s="40">
        <v>0</v>
      </c>
      <c r="MV89" s="42">
        <v>0</v>
      </c>
      <c r="MW89" s="47"/>
      <c r="MX89" s="45">
        <v>0</v>
      </c>
      <c r="MY89" s="40">
        <v>0</v>
      </c>
      <c r="MZ89" s="40">
        <v>0</v>
      </c>
      <c r="NA89" s="40">
        <v>0</v>
      </c>
      <c r="NB89" s="42">
        <v>0</v>
      </c>
      <c r="NC89" s="47"/>
      <c r="ND89" s="45">
        <v>0</v>
      </c>
      <c r="NE89" s="40">
        <v>0</v>
      </c>
      <c r="NF89" s="40">
        <v>0</v>
      </c>
      <c r="NG89" s="40">
        <v>0</v>
      </c>
      <c r="NH89" s="42">
        <v>0</v>
      </c>
      <c r="NI89" s="47"/>
      <c r="NJ89" s="45">
        <v>0</v>
      </c>
      <c r="NK89" s="40">
        <v>0</v>
      </c>
      <c r="NL89" s="40">
        <v>0</v>
      </c>
      <c r="NM89" s="40">
        <v>0</v>
      </c>
      <c r="NN89" s="42">
        <v>0</v>
      </c>
      <c r="NO89" s="47"/>
      <c r="NP89" s="45">
        <v>0</v>
      </c>
      <c r="NQ89" s="40">
        <v>0</v>
      </c>
      <c r="NR89" s="40">
        <v>0</v>
      </c>
      <c r="NS89" s="40">
        <v>0</v>
      </c>
      <c r="NT89" s="42">
        <v>0</v>
      </c>
      <c r="NU89" s="47"/>
      <c r="NV89" s="45">
        <v>0</v>
      </c>
      <c r="NW89" s="40">
        <v>0</v>
      </c>
      <c r="NX89" s="40">
        <v>0</v>
      </c>
      <c r="NY89" s="40">
        <v>0</v>
      </c>
      <c r="NZ89" s="42">
        <v>0</v>
      </c>
      <c r="OA89" s="47"/>
      <c r="OB89" s="45">
        <v>0</v>
      </c>
      <c r="OC89" s="40">
        <v>0</v>
      </c>
      <c r="OD89" s="42">
        <v>0</v>
      </c>
      <c r="OE89" s="47"/>
      <c r="OF89" s="45">
        <v>0</v>
      </c>
      <c r="OG89" s="40">
        <v>0</v>
      </c>
      <c r="OH89" s="40">
        <v>0</v>
      </c>
      <c r="OI89" s="40">
        <v>0</v>
      </c>
      <c r="OJ89" s="42">
        <v>0</v>
      </c>
      <c r="OK89" s="47"/>
      <c r="OL89" s="45">
        <v>0</v>
      </c>
      <c r="OM89" s="40">
        <v>0</v>
      </c>
      <c r="ON89" s="40">
        <v>0</v>
      </c>
      <c r="OO89" s="40">
        <v>0</v>
      </c>
      <c r="OP89" s="42">
        <v>0</v>
      </c>
      <c r="OQ89" s="47"/>
      <c r="OR89" s="45">
        <v>0</v>
      </c>
      <c r="OS89" s="40">
        <v>0</v>
      </c>
      <c r="OT89" s="40">
        <v>0</v>
      </c>
      <c r="OU89" s="40">
        <v>0</v>
      </c>
      <c r="OV89" s="42">
        <v>0</v>
      </c>
      <c r="OW89" s="47"/>
      <c r="OX89" s="40">
        <v>0</v>
      </c>
      <c r="OY89" s="30">
        <v>75</v>
      </c>
      <c r="OZ89" s="40">
        <v>8</v>
      </c>
      <c r="PA89" s="40">
        <v>75</v>
      </c>
      <c r="PB89" s="39">
        <v>-142</v>
      </c>
      <c r="PC89" s="47">
        <v>39.760000000000012</v>
      </c>
      <c r="PD89" s="45">
        <v>0</v>
      </c>
      <c r="PE89" s="40">
        <v>0</v>
      </c>
      <c r="PF89" s="40">
        <v>48</v>
      </c>
      <c r="PG89" s="40">
        <v>50</v>
      </c>
      <c r="PH89" s="42">
        <v>-2</v>
      </c>
      <c r="PI89" s="47"/>
      <c r="PJ89" s="45">
        <v>352</v>
      </c>
      <c r="PK89" s="40">
        <v>350</v>
      </c>
      <c r="PL89" s="40">
        <v>448</v>
      </c>
      <c r="PM89" s="40">
        <v>350</v>
      </c>
      <c r="PN89" s="42">
        <v>100</v>
      </c>
      <c r="PO89" s="47"/>
      <c r="PP89" s="43">
        <v>0</v>
      </c>
      <c r="PQ89" s="40">
        <v>0</v>
      </c>
      <c r="PR89" s="40">
        <v>48</v>
      </c>
      <c r="PS89" s="40">
        <v>50</v>
      </c>
      <c r="PT89" s="42">
        <v>-2</v>
      </c>
      <c r="PU89" s="47"/>
      <c r="PV89" s="45">
        <v>128</v>
      </c>
      <c r="PW89" s="40">
        <v>150</v>
      </c>
      <c r="PX89" s="40">
        <v>96</v>
      </c>
      <c r="PY89" s="40">
        <v>100</v>
      </c>
      <c r="PZ89" s="39">
        <v>-26</v>
      </c>
      <c r="QA89" s="47">
        <v>7.2800000000000011</v>
      </c>
      <c r="QB89" s="45">
        <v>368</v>
      </c>
      <c r="QC89" s="40">
        <v>367</v>
      </c>
      <c r="QD89" s="42">
        <v>1</v>
      </c>
      <c r="QE89" s="47"/>
      <c r="QF89" s="45">
        <v>0</v>
      </c>
      <c r="QG89" s="40">
        <v>0</v>
      </c>
      <c r="QH89" s="40">
        <v>0</v>
      </c>
      <c r="QI89" s="40">
        <v>0</v>
      </c>
      <c r="QJ89" s="42">
        <v>0</v>
      </c>
      <c r="QK89" s="47"/>
      <c r="QL89" s="45">
        <v>0</v>
      </c>
      <c r="QM89" s="40">
        <v>0</v>
      </c>
      <c r="QN89" s="40">
        <v>0</v>
      </c>
      <c r="QO89" s="40">
        <v>0</v>
      </c>
      <c r="QP89" s="42">
        <v>0</v>
      </c>
      <c r="QQ89" s="47"/>
      <c r="QR89" s="45">
        <v>296</v>
      </c>
      <c r="QS89" s="40">
        <v>300</v>
      </c>
      <c r="QT89" s="40">
        <v>144</v>
      </c>
      <c r="QU89" s="40">
        <v>400</v>
      </c>
      <c r="QV89" s="39">
        <v>-260</v>
      </c>
      <c r="QW89" s="47">
        <v>72.800000000000011</v>
      </c>
      <c r="QX89" s="45">
        <v>0</v>
      </c>
      <c r="QY89" s="40">
        <v>0</v>
      </c>
      <c r="QZ89" s="40">
        <v>0</v>
      </c>
      <c r="RA89" s="40">
        <v>0</v>
      </c>
      <c r="RB89" s="42">
        <v>0</v>
      </c>
      <c r="RC89" s="47"/>
      <c r="RD89" s="45">
        <v>368</v>
      </c>
      <c r="RE89" s="40">
        <v>369.80000000000013</v>
      </c>
      <c r="RF89" s="42">
        <v>-1.800000000000068</v>
      </c>
      <c r="RG89" s="47"/>
    </row>
    <row r="90" spans="1:475" x14ac:dyDescent="0.25">
      <c r="A90" s="40" t="s">
        <v>379</v>
      </c>
      <c r="B90" s="41">
        <v>0.35</v>
      </c>
      <c r="E90">
        <v>300</v>
      </c>
      <c r="F90">
        <v>300</v>
      </c>
      <c r="J90">
        <v>296</v>
      </c>
      <c r="K90">
        <v>300</v>
      </c>
      <c r="N90" s="46">
        <v>248</v>
      </c>
      <c r="O90" s="49">
        <v>250</v>
      </c>
      <c r="P90" s="49">
        <v>320</v>
      </c>
      <c r="Q90" s="49">
        <v>323</v>
      </c>
      <c r="R90" s="48">
        <f t="shared" si="13"/>
        <v>-5</v>
      </c>
      <c r="S90" s="44"/>
      <c r="T90" s="46">
        <v>320</v>
      </c>
      <c r="U90" s="49">
        <v>320</v>
      </c>
      <c r="V90" s="49">
        <v>280</v>
      </c>
      <c r="W90" s="49">
        <v>280</v>
      </c>
      <c r="X90" s="48">
        <f t="shared" si="14"/>
        <v>0</v>
      </c>
      <c r="Y90" s="44"/>
      <c r="Z90" s="46">
        <v>200</v>
      </c>
      <c r="AA90" s="49">
        <v>200</v>
      </c>
      <c r="AB90" s="49">
        <v>152</v>
      </c>
      <c r="AC90" s="49">
        <v>150</v>
      </c>
      <c r="AD90" s="48">
        <f t="shared" si="15"/>
        <v>2</v>
      </c>
      <c r="AE90" s="44"/>
      <c r="AF90" s="43"/>
      <c r="AG90" s="48"/>
      <c r="AH90" s="49">
        <v>704</v>
      </c>
      <c r="AI90" s="49">
        <v>711</v>
      </c>
      <c r="AJ90" s="48">
        <f t="shared" si="16"/>
        <v>-7</v>
      </c>
      <c r="AK90" s="44"/>
      <c r="AL90" s="49">
        <v>296</v>
      </c>
      <c r="AM90">
        <v>300</v>
      </c>
      <c r="AN90">
        <v>296</v>
      </c>
      <c r="AO90">
        <v>300</v>
      </c>
      <c r="AP90" s="42">
        <v>-8</v>
      </c>
      <c r="AQ90" s="44"/>
      <c r="AR90" s="43"/>
      <c r="AV90" s="42">
        <v>0</v>
      </c>
      <c r="AW90" s="44"/>
      <c r="AX90">
        <v>496</v>
      </c>
      <c r="AZ90">
        <v>500</v>
      </c>
      <c r="BA90">
        <v>496</v>
      </c>
      <c r="BB90">
        <v>500</v>
      </c>
      <c r="BC90" s="42">
        <v>-8</v>
      </c>
      <c r="BD90" s="44"/>
      <c r="BE90" s="46">
        <v>328</v>
      </c>
      <c r="BF90">
        <v>330</v>
      </c>
      <c r="BG90">
        <v>368</v>
      </c>
      <c r="BH90">
        <v>370</v>
      </c>
      <c r="BI90" s="42">
        <v>-4</v>
      </c>
      <c r="BJ90" s="44"/>
      <c r="BK90">
        <v>120</v>
      </c>
      <c r="BL90">
        <v>120</v>
      </c>
      <c r="BM90">
        <v>80</v>
      </c>
      <c r="BN90">
        <v>80</v>
      </c>
      <c r="BO90" s="42">
        <v>0</v>
      </c>
      <c r="BP90" s="44"/>
      <c r="BS90" s="42">
        <v>0</v>
      </c>
      <c r="BT90" s="44"/>
      <c r="BU90" s="46">
        <v>448</v>
      </c>
      <c r="BV90">
        <v>450</v>
      </c>
      <c r="BW90">
        <v>1096</v>
      </c>
      <c r="BX90">
        <v>1100</v>
      </c>
      <c r="BY90" s="42">
        <v>-6</v>
      </c>
      <c r="BZ90" s="44"/>
      <c r="CA90">
        <v>152</v>
      </c>
      <c r="CB90">
        <v>150</v>
      </c>
      <c r="CC90">
        <v>96</v>
      </c>
      <c r="CD90">
        <v>100</v>
      </c>
      <c r="CE90" s="42">
        <v>-2</v>
      </c>
      <c r="CF90" s="44"/>
      <c r="CG90" s="46">
        <v>248</v>
      </c>
      <c r="CH90">
        <v>250</v>
      </c>
      <c r="CI90">
        <v>440</v>
      </c>
      <c r="CJ90">
        <v>450</v>
      </c>
      <c r="CK90" s="39">
        <v>-12</v>
      </c>
      <c r="CL90" s="44">
        <v>4.1999999999999993</v>
      </c>
      <c r="CM90" s="46">
        <v>96</v>
      </c>
      <c r="CN90">
        <v>100</v>
      </c>
      <c r="CO90">
        <v>488</v>
      </c>
      <c r="CP90">
        <v>490</v>
      </c>
      <c r="CQ90" s="42">
        <v>-6</v>
      </c>
      <c r="CR90" s="44"/>
      <c r="CS90">
        <v>248</v>
      </c>
      <c r="CT90">
        <v>250</v>
      </c>
      <c r="CV90">
        <v>350</v>
      </c>
      <c r="CW90" s="39">
        <v>-352</v>
      </c>
      <c r="CX90" s="44">
        <v>123.2</v>
      </c>
      <c r="CY90" s="43"/>
      <c r="DA90">
        <v>360</v>
      </c>
      <c r="DB90">
        <v>360</v>
      </c>
      <c r="DC90" s="42">
        <v>0</v>
      </c>
      <c r="DD90" s="44"/>
      <c r="DE90" s="43"/>
      <c r="DG90">
        <v>200</v>
      </c>
      <c r="DH90">
        <v>200</v>
      </c>
      <c r="DI90">
        <v>96</v>
      </c>
      <c r="DJ90">
        <v>100</v>
      </c>
      <c r="DK90" s="42">
        <v>-4</v>
      </c>
      <c r="DL90" s="44"/>
      <c r="DM90" s="46">
        <v>240</v>
      </c>
      <c r="DN90">
        <v>240</v>
      </c>
      <c r="DO90">
        <v>520</v>
      </c>
      <c r="DP90">
        <v>360</v>
      </c>
      <c r="DQ90" s="42">
        <v>160</v>
      </c>
      <c r="DR90" s="44"/>
      <c r="DS90">
        <v>240</v>
      </c>
      <c r="DT90">
        <v>200</v>
      </c>
      <c r="DU90">
        <v>216</v>
      </c>
      <c r="DV90">
        <v>220</v>
      </c>
      <c r="DW90">
        <v>296</v>
      </c>
      <c r="DX90">
        <v>300</v>
      </c>
      <c r="DY90" s="42">
        <v>32</v>
      </c>
      <c r="DZ90" s="44"/>
      <c r="EA90" s="43"/>
      <c r="EC90">
        <v>496</v>
      </c>
      <c r="ED90">
        <v>500</v>
      </c>
      <c r="EE90" s="42">
        <v>-4</v>
      </c>
      <c r="EF90" s="44"/>
      <c r="EG90" s="46">
        <v>200</v>
      </c>
      <c r="EH90">
        <v>200</v>
      </c>
      <c r="EI90">
        <v>216</v>
      </c>
      <c r="EJ90">
        <v>220</v>
      </c>
      <c r="EK90" s="42">
        <v>-4</v>
      </c>
      <c r="EL90" s="44"/>
      <c r="EM90" s="46">
        <v>200</v>
      </c>
      <c r="EN90">
        <v>200</v>
      </c>
      <c r="EO90">
        <v>600</v>
      </c>
      <c r="EP90">
        <v>600</v>
      </c>
      <c r="EQ90" s="42">
        <v>0</v>
      </c>
      <c r="ER90" s="44"/>
      <c r="ES90">
        <v>248</v>
      </c>
      <c r="ET90">
        <v>250</v>
      </c>
      <c r="EU90">
        <v>296</v>
      </c>
      <c r="EV90">
        <v>300</v>
      </c>
      <c r="EW90">
        <v>296</v>
      </c>
      <c r="EX90">
        <v>300</v>
      </c>
      <c r="EY90" s="42">
        <v>-10</v>
      </c>
      <c r="EZ90" s="44"/>
      <c r="FA90">
        <v>200</v>
      </c>
      <c r="FB90">
        <v>200</v>
      </c>
      <c r="FC90">
        <v>208</v>
      </c>
      <c r="FD90">
        <v>207</v>
      </c>
      <c r="FE90" s="42">
        <v>1</v>
      </c>
      <c r="FF90" s="44"/>
      <c r="FG90" s="46">
        <v>200</v>
      </c>
      <c r="FH90">
        <v>200</v>
      </c>
      <c r="FI90">
        <v>376</v>
      </c>
      <c r="FJ90">
        <v>375</v>
      </c>
      <c r="FK90" s="42">
        <v>1</v>
      </c>
      <c r="FL90" s="44"/>
      <c r="FM90" s="46">
        <v>192</v>
      </c>
      <c r="FN90">
        <v>195</v>
      </c>
      <c r="FO90" s="42">
        <v>-3</v>
      </c>
      <c r="FP90" s="44"/>
      <c r="FS90">
        <v>640</v>
      </c>
      <c r="FT90">
        <v>640</v>
      </c>
      <c r="FU90" s="42">
        <v>0</v>
      </c>
      <c r="FV90" s="44"/>
      <c r="FW90" s="46">
        <v>200</v>
      </c>
      <c r="FX90">
        <v>200</v>
      </c>
      <c r="FY90">
        <v>248</v>
      </c>
      <c r="FZ90">
        <v>250</v>
      </c>
      <c r="GA90">
        <v>248</v>
      </c>
      <c r="GB90">
        <v>250</v>
      </c>
      <c r="GC90" s="42">
        <v>-4</v>
      </c>
      <c r="GD90" s="44"/>
      <c r="GE90">
        <v>496</v>
      </c>
      <c r="GF90">
        <v>500</v>
      </c>
      <c r="GG90">
        <v>496</v>
      </c>
      <c r="GH90">
        <v>500</v>
      </c>
      <c r="GI90" s="42">
        <v>-8</v>
      </c>
      <c r="GJ90" s="44"/>
      <c r="GK90" s="46">
        <v>96</v>
      </c>
      <c r="GL90">
        <v>100</v>
      </c>
      <c r="GM90">
        <v>112</v>
      </c>
      <c r="GN90">
        <v>110</v>
      </c>
      <c r="GO90" s="42">
        <v>-2</v>
      </c>
      <c r="GP90" s="47"/>
      <c r="GQ90">
        <v>400</v>
      </c>
      <c r="GR90">
        <v>400</v>
      </c>
      <c r="GS90">
        <v>400</v>
      </c>
      <c r="GT90">
        <v>400</v>
      </c>
      <c r="GU90" s="42">
        <v>0</v>
      </c>
      <c r="GV90" s="44"/>
      <c r="GW90">
        <v>216</v>
      </c>
      <c r="GX90" s="40">
        <v>220</v>
      </c>
      <c r="GY90" s="42">
        <v>-4</v>
      </c>
      <c r="GZ90" s="47"/>
      <c r="HA90" s="43"/>
      <c r="HC90" s="42">
        <v>0</v>
      </c>
      <c r="HD90" s="44"/>
      <c r="HE90" s="46">
        <v>648</v>
      </c>
      <c r="HF90">
        <v>650</v>
      </c>
      <c r="HG90">
        <v>704</v>
      </c>
      <c r="HH90">
        <v>710</v>
      </c>
      <c r="HI90" s="42">
        <v>-8</v>
      </c>
      <c r="HJ90" s="47"/>
      <c r="HK90" s="43"/>
      <c r="HO90" s="42">
        <v>0</v>
      </c>
      <c r="HP90" s="44"/>
      <c r="HT90">
        <v>296</v>
      </c>
      <c r="HU90">
        <v>300</v>
      </c>
      <c r="HV90" s="42">
        <v>-4</v>
      </c>
      <c r="HW90" s="44"/>
      <c r="HX90" s="46">
        <v>640</v>
      </c>
      <c r="HY90">
        <v>650</v>
      </c>
      <c r="HZ90">
        <v>600</v>
      </c>
      <c r="IA90">
        <v>600</v>
      </c>
      <c r="IB90" s="39">
        <v>-10</v>
      </c>
      <c r="IC90" s="44">
        <v>3.5</v>
      </c>
      <c r="IF90">
        <v>120</v>
      </c>
      <c r="IG90">
        <v>120</v>
      </c>
      <c r="IH90" s="42">
        <v>0</v>
      </c>
      <c r="II90" s="47"/>
      <c r="IN90" s="42">
        <v>0</v>
      </c>
      <c r="IO90" s="47"/>
      <c r="IP90">
        <v>552</v>
      </c>
      <c r="IQ90">
        <v>550</v>
      </c>
      <c r="IR90">
        <v>520</v>
      </c>
      <c r="IS90">
        <v>520</v>
      </c>
      <c r="IT90" s="42">
        <v>2</v>
      </c>
      <c r="IU90" s="47"/>
      <c r="IV90">
        <v>88</v>
      </c>
      <c r="IW90">
        <v>90</v>
      </c>
      <c r="IZ90" s="42">
        <v>-2</v>
      </c>
      <c r="JA90" s="44"/>
      <c r="JB90">
        <v>248</v>
      </c>
      <c r="JC90">
        <v>250</v>
      </c>
      <c r="JD90" s="42">
        <v>-2</v>
      </c>
      <c r="JE90" s="44"/>
      <c r="JF90">
        <v>432</v>
      </c>
      <c r="JG90">
        <v>430</v>
      </c>
      <c r="JH90">
        <v>352</v>
      </c>
      <c r="JI90">
        <v>350</v>
      </c>
      <c r="JJ90" s="42">
        <v>4</v>
      </c>
      <c r="JK90" s="44"/>
      <c r="JL90" s="46">
        <v>80</v>
      </c>
      <c r="JM90" s="40">
        <v>80</v>
      </c>
      <c r="JN90" s="42">
        <v>0</v>
      </c>
      <c r="JO90" s="44"/>
      <c r="JR90">
        <v>208</v>
      </c>
      <c r="JS90">
        <v>210</v>
      </c>
      <c r="JT90" s="42">
        <v>-2</v>
      </c>
      <c r="JU90" s="44"/>
      <c r="JZ90" s="42">
        <v>0</v>
      </c>
      <c r="KA90" s="47"/>
      <c r="KB90">
        <v>296</v>
      </c>
      <c r="KC90">
        <v>300</v>
      </c>
      <c r="KD90">
        <v>600</v>
      </c>
      <c r="KE90">
        <v>600</v>
      </c>
      <c r="KF90" s="42">
        <v>-4</v>
      </c>
      <c r="KG90" s="44"/>
      <c r="KH90">
        <v>296</v>
      </c>
      <c r="KI90">
        <v>300</v>
      </c>
      <c r="KJ90">
        <v>496</v>
      </c>
      <c r="KK90">
        <v>500</v>
      </c>
      <c r="KL90" s="42">
        <v>-8</v>
      </c>
      <c r="KM90" s="47"/>
      <c r="KN90" s="45"/>
      <c r="KT90" s="42">
        <v>0</v>
      </c>
      <c r="KU90" s="47"/>
      <c r="KV90" s="40">
        <v>400</v>
      </c>
      <c r="KW90" s="40">
        <v>400</v>
      </c>
      <c r="KX90" s="40">
        <v>584</v>
      </c>
      <c r="KY90" s="40">
        <v>595</v>
      </c>
      <c r="KZ90" s="39">
        <v>-11</v>
      </c>
      <c r="LA90" s="47">
        <v>3.85</v>
      </c>
      <c r="LB90" s="40">
        <v>152</v>
      </c>
      <c r="LC90" s="40">
        <v>150</v>
      </c>
      <c r="LD90" s="40">
        <v>200</v>
      </c>
      <c r="LE90" s="40">
        <v>200</v>
      </c>
      <c r="LF90" s="42">
        <v>2</v>
      </c>
      <c r="LG90" s="47"/>
      <c r="LH90" s="45">
        <v>264</v>
      </c>
      <c r="LI90" s="40">
        <v>270</v>
      </c>
      <c r="LJ90" s="42">
        <v>-6</v>
      </c>
      <c r="LK90" s="47"/>
      <c r="LL90" s="45">
        <v>80</v>
      </c>
      <c r="LM90" s="40">
        <v>80</v>
      </c>
      <c r="LN90" s="40">
        <v>0</v>
      </c>
      <c r="LO90" s="40">
        <v>0</v>
      </c>
      <c r="LP90" s="42">
        <v>0</v>
      </c>
      <c r="LQ90" s="47"/>
      <c r="LR90" s="45">
        <v>272</v>
      </c>
      <c r="LS90" s="40">
        <v>270</v>
      </c>
      <c r="LT90" s="40">
        <v>296</v>
      </c>
      <c r="LU90" s="40">
        <v>300</v>
      </c>
      <c r="LV90" s="42">
        <v>-2</v>
      </c>
      <c r="LW90" s="47"/>
      <c r="LX90" s="45">
        <v>952</v>
      </c>
      <c r="LY90" s="40">
        <v>950</v>
      </c>
      <c r="LZ90" s="42">
        <v>2</v>
      </c>
      <c r="MA90" s="47"/>
      <c r="MB90" s="45">
        <v>96</v>
      </c>
      <c r="MC90" s="40">
        <v>100</v>
      </c>
      <c r="MD90" s="40">
        <v>80</v>
      </c>
      <c r="ME90" s="40">
        <v>84</v>
      </c>
      <c r="MF90" s="42">
        <v>-8</v>
      </c>
      <c r="MG90" s="47"/>
      <c r="MH90" s="45">
        <v>1200</v>
      </c>
      <c r="MI90" s="40">
        <v>1200</v>
      </c>
      <c r="MJ90" s="42">
        <v>0</v>
      </c>
      <c r="MK90" s="47"/>
      <c r="ML90" s="45">
        <v>0</v>
      </c>
      <c r="MM90" s="40">
        <v>0</v>
      </c>
      <c r="MN90" s="40">
        <v>280</v>
      </c>
      <c r="MO90" s="40">
        <v>284</v>
      </c>
      <c r="MP90" s="42">
        <v>-4</v>
      </c>
      <c r="MQ90" s="47"/>
      <c r="MR90" s="40">
        <v>0</v>
      </c>
      <c r="MS90" s="40">
        <v>0</v>
      </c>
      <c r="MT90" s="40">
        <v>448</v>
      </c>
      <c r="MU90" s="40">
        <v>450</v>
      </c>
      <c r="MV90" s="42">
        <v>-2</v>
      </c>
      <c r="MW90" s="47"/>
      <c r="MX90" s="45">
        <v>152</v>
      </c>
      <c r="MY90" s="40">
        <v>150</v>
      </c>
      <c r="MZ90" s="40">
        <v>824</v>
      </c>
      <c r="NA90" s="40">
        <v>850</v>
      </c>
      <c r="NB90" s="39">
        <v>-24</v>
      </c>
      <c r="NC90" s="47">
        <v>8.3999999999999986</v>
      </c>
      <c r="ND90" s="45">
        <v>0</v>
      </c>
      <c r="NE90" s="30">
        <v>150</v>
      </c>
      <c r="NF90" s="40">
        <v>760</v>
      </c>
      <c r="NG90" s="40">
        <v>765</v>
      </c>
      <c r="NH90" s="39">
        <v>-155</v>
      </c>
      <c r="NI90" s="47">
        <v>54.25</v>
      </c>
      <c r="NJ90" s="45">
        <v>200</v>
      </c>
      <c r="NK90" s="40">
        <v>200</v>
      </c>
      <c r="NL90" s="40">
        <v>232</v>
      </c>
      <c r="NM90" s="40">
        <v>230</v>
      </c>
      <c r="NN90" s="42">
        <v>2</v>
      </c>
      <c r="NO90" s="47"/>
      <c r="NP90" s="45">
        <v>792</v>
      </c>
      <c r="NQ90" s="40">
        <v>250</v>
      </c>
      <c r="NR90" s="40">
        <v>576</v>
      </c>
      <c r="NS90" s="40">
        <v>576</v>
      </c>
      <c r="NT90" s="42">
        <v>542</v>
      </c>
      <c r="NU90" s="47"/>
      <c r="NV90" s="45">
        <v>152</v>
      </c>
      <c r="NW90" s="40">
        <v>150</v>
      </c>
      <c r="NX90" s="40">
        <v>152</v>
      </c>
      <c r="NY90" s="40">
        <v>150</v>
      </c>
      <c r="NZ90" s="42">
        <v>4</v>
      </c>
      <c r="OA90" s="47"/>
      <c r="OB90" s="45">
        <v>1096</v>
      </c>
      <c r="OC90" s="40">
        <v>1100</v>
      </c>
      <c r="OD90" s="42">
        <v>-4</v>
      </c>
      <c r="OE90" s="47"/>
      <c r="OF90" s="45">
        <v>200</v>
      </c>
      <c r="OG90" s="40">
        <v>200</v>
      </c>
      <c r="OH90" s="40">
        <v>280</v>
      </c>
      <c r="OI90" s="40">
        <v>280</v>
      </c>
      <c r="OJ90" s="42">
        <v>0</v>
      </c>
      <c r="OK90" s="47"/>
      <c r="OL90" s="45">
        <v>400</v>
      </c>
      <c r="OM90" s="40">
        <v>400</v>
      </c>
      <c r="ON90" s="40">
        <v>296</v>
      </c>
      <c r="OO90" s="40">
        <v>300</v>
      </c>
      <c r="OP90" s="42">
        <v>-4</v>
      </c>
      <c r="OQ90" s="47"/>
      <c r="OR90" s="45">
        <v>496</v>
      </c>
      <c r="OS90" s="40">
        <v>500</v>
      </c>
      <c r="OT90" s="40">
        <v>432</v>
      </c>
      <c r="OU90" s="40">
        <v>457</v>
      </c>
      <c r="OV90" s="39">
        <v>-29</v>
      </c>
      <c r="OW90" s="47">
        <v>10.15</v>
      </c>
      <c r="OX90" s="40">
        <v>96</v>
      </c>
      <c r="OY90" s="40">
        <v>100</v>
      </c>
      <c r="OZ90" s="40">
        <v>96</v>
      </c>
      <c r="PA90" s="40">
        <v>100</v>
      </c>
      <c r="PB90" s="42">
        <v>-8</v>
      </c>
      <c r="PC90" s="47"/>
      <c r="PD90" s="45">
        <v>0</v>
      </c>
      <c r="PE90" s="40">
        <v>0</v>
      </c>
      <c r="PF90" s="40">
        <v>192</v>
      </c>
      <c r="PG90" s="40">
        <v>200</v>
      </c>
      <c r="PH90" s="39">
        <v>-8</v>
      </c>
      <c r="PI90" s="47">
        <v>2.8</v>
      </c>
      <c r="PJ90" s="45">
        <v>896</v>
      </c>
      <c r="PK90" s="40">
        <v>900</v>
      </c>
      <c r="PL90" s="40">
        <v>896</v>
      </c>
      <c r="PM90" s="40">
        <v>900</v>
      </c>
      <c r="PN90" s="42">
        <v>-8</v>
      </c>
      <c r="PO90" s="47"/>
      <c r="PP90" s="43">
        <v>152</v>
      </c>
      <c r="PQ90" s="40">
        <v>150</v>
      </c>
      <c r="PR90" s="40">
        <v>152</v>
      </c>
      <c r="PS90" s="40">
        <v>150</v>
      </c>
      <c r="PT90" s="42">
        <v>4</v>
      </c>
      <c r="PU90" s="47"/>
      <c r="PV90" s="45">
        <v>248</v>
      </c>
      <c r="PW90" s="40">
        <v>250</v>
      </c>
      <c r="PX90" s="40">
        <v>200</v>
      </c>
      <c r="PY90" s="40">
        <v>200</v>
      </c>
      <c r="PZ90" s="42">
        <v>-2</v>
      </c>
      <c r="QA90" s="47"/>
      <c r="QB90" s="45">
        <v>920</v>
      </c>
      <c r="QC90" s="40">
        <v>920</v>
      </c>
      <c r="QD90" s="42">
        <v>0</v>
      </c>
      <c r="QE90" s="47"/>
      <c r="QF90" s="45">
        <v>168</v>
      </c>
      <c r="QG90" s="40">
        <v>170</v>
      </c>
      <c r="QH90" s="40">
        <v>208</v>
      </c>
      <c r="QI90" s="40">
        <v>230</v>
      </c>
      <c r="QJ90" s="39">
        <v>-24</v>
      </c>
      <c r="QK90" s="47">
        <v>8.3999999999999986</v>
      </c>
      <c r="QL90" s="45">
        <v>248</v>
      </c>
      <c r="QM90" s="40">
        <v>250</v>
      </c>
      <c r="QN90" s="40">
        <v>352</v>
      </c>
      <c r="QO90" s="40">
        <v>350</v>
      </c>
      <c r="QP90" s="42">
        <v>0</v>
      </c>
      <c r="QQ90" s="47"/>
      <c r="QR90" s="45">
        <v>504</v>
      </c>
      <c r="QS90" s="40">
        <v>500</v>
      </c>
      <c r="QT90" s="40">
        <v>496</v>
      </c>
      <c r="QU90" s="40">
        <v>700</v>
      </c>
      <c r="QV90" s="39">
        <v>-200</v>
      </c>
      <c r="QW90" s="47">
        <v>70</v>
      </c>
      <c r="QX90" s="45">
        <v>296</v>
      </c>
      <c r="QY90" s="40">
        <v>300</v>
      </c>
      <c r="QZ90" s="40">
        <v>0</v>
      </c>
      <c r="RA90" s="40">
        <v>0</v>
      </c>
      <c r="RB90" s="42">
        <v>-4</v>
      </c>
      <c r="RC90" s="47"/>
      <c r="RD90" s="45">
        <v>784</v>
      </c>
      <c r="RE90" s="40">
        <v>785.2</v>
      </c>
      <c r="RF90" s="42">
        <v>-1.200000000000045</v>
      </c>
      <c r="RG90" s="47"/>
    </row>
    <row r="91" spans="1:475" x14ac:dyDescent="0.25">
      <c r="A91" s="40" t="s">
        <v>380</v>
      </c>
      <c r="B91" s="41">
        <v>0.28000000000000003</v>
      </c>
      <c r="N91" s="43"/>
      <c r="O91" s="48"/>
      <c r="P91" s="48"/>
      <c r="Q91" s="48"/>
      <c r="R91" s="48">
        <f t="shared" si="13"/>
        <v>0</v>
      </c>
      <c r="S91" s="44"/>
      <c r="T91" s="43"/>
      <c r="U91" s="48"/>
      <c r="V91" s="48"/>
      <c r="W91" s="48"/>
      <c r="X91" s="48">
        <f t="shared" si="14"/>
        <v>0</v>
      </c>
      <c r="Y91" s="44"/>
      <c r="Z91" s="43"/>
      <c r="AA91" s="48"/>
      <c r="AB91" s="48"/>
      <c r="AC91" s="48"/>
      <c r="AD91" s="48">
        <f t="shared" si="15"/>
        <v>0</v>
      </c>
      <c r="AE91" s="44"/>
      <c r="AF91" s="43"/>
      <c r="AG91" s="48"/>
      <c r="AH91" s="48"/>
      <c r="AI91" s="48"/>
      <c r="AJ91" s="48">
        <f t="shared" si="16"/>
        <v>0</v>
      </c>
      <c r="AK91" s="44"/>
      <c r="AL91" s="48"/>
      <c r="AP91" s="42">
        <v>0</v>
      </c>
      <c r="AQ91" s="44"/>
      <c r="AR91" s="43"/>
      <c r="AV91" s="42">
        <v>0</v>
      </c>
      <c r="AW91" s="44"/>
      <c r="BC91" s="42">
        <v>0</v>
      </c>
      <c r="BD91" s="44"/>
      <c r="BE91" s="43"/>
      <c r="BI91" s="42">
        <v>0</v>
      </c>
      <c r="BJ91" s="44"/>
      <c r="BO91" s="42">
        <v>0</v>
      </c>
      <c r="BP91" s="44"/>
      <c r="BS91" s="42">
        <v>0</v>
      </c>
      <c r="BT91" s="44"/>
      <c r="BU91" s="43"/>
      <c r="BY91" s="42">
        <v>0</v>
      </c>
      <c r="BZ91" s="44"/>
      <c r="CE91" s="42">
        <v>0</v>
      </c>
      <c r="CF91" s="44"/>
      <c r="CG91" s="43"/>
      <c r="CK91" s="42">
        <v>0</v>
      </c>
      <c r="CL91" s="44"/>
      <c r="CM91" s="43"/>
      <c r="CQ91" s="42">
        <v>0</v>
      </c>
      <c r="CR91" s="44"/>
      <c r="CW91" s="42">
        <v>0</v>
      </c>
      <c r="CX91" s="44"/>
      <c r="CY91" s="43"/>
      <c r="DC91" s="42">
        <v>0</v>
      </c>
      <c r="DD91" s="44"/>
      <c r="DE91" s="43"/>
      <c r="DK91" s="42">
        <v>0</v>
      </c>
      <c r="DL91" s="44"/>
      <c r="DM91" s="43"/>
      <c r="DQ91" s="42">
        <v>0</v>
      </c>
      <c r="DR91" s="44"/>
      <c r="DY91" s="42">
        <v>0</v>
      </c>
      <c r="DZ91" s="44"/>
      <c r="EA91" s="43"/>
      <c r="EE91" s="42">
        <v>0</v>
      </c>
      <c r="EF91" s="44"/>
      <c r="EG91" s="43"/>
      <c r="EK91" s="42">
        <v>0</v>
      </c>
      <c r="EL91" s="44"/>
      <c r="EM91" s="43"/>
      <c r="EQ91" s="42">
        <v>0</v>
      </c>
      <c r="ER91" s="44"/>
      <c r="EY91" s="42">
        <v>0</v>
      </c>
      <c r="EZ91" s="44"/>
      <c r="FE91" s="42">
        <v>0</v>
      </c>
      <c r="FF91" s="44"/>
      <c r="FG91" s="43"/>
      <c r="FK91" s="42">
        <v>0</v>
      </c>
      <c r="FL91" s="44"/>
      <c r="FM91" s="43"/>
      <c r="FO91" s="42">
        <v>0</v>
      </c>
      <c r="FP91" s="44"/>
      <c r="FU91" s="42">
        <v>0</v>
      </c>
      <c r="FV91" s="44"/>
      <c r="FW91" s="43"/>
      <c r="FX91">
        <v>50</v>
      </c>
      <c r="GB91">
        <v>50</v>
      </c>
      <c r="GC91" s="42">
        <v>-4</v>
      </c>
      <c r="GD91" s="44"/>
      <c r="GF91" s="37">
        <v>240</v>
      </c>
      <c r="GH91" s="37">
        <v>240</v>
      </c>
      <c r="GI91" s="42">
        <v>0</v>
      </c>
      <c r="GJ91" s="44"/>
      <c r="GK91" s="43"/>
      <c r="GO91" s="42">
        <v>0</v>
      </c>
      <c r="GP91" s="47"/>
      <c r="GQ91">
        <v>96</v>
      </c>
      <c r="GR91">
        <v>100</v>
      </c>
      <c r="GS91">
        <v>128</v>
      </c>
      <c r="GT91">
        <v>130</v>
      </c>
      <c r="GU91" s="42">
        <v>-6</v>
      </c>
      <c r="GV91" s="44"/>
      <c r="GW91">
        <v>296</v>
      </c>
      <c r="GX91" s="40">
        <v>300</v>
      </c>
      <c r="GY91" s="42">
        <v>-4</v>
      </c>
      <c r="GZ91" s="47"/>
      <c r="HA91" s="46">
        <v>16</v>
      </c>
      <c r="HB91">
        <v>20</v>
      </c>
      <c r="HC91" s="42">
        <v>-4</v>
      </c>
      <c r="HD91" s="44"/>
      <c r="HE91" s="43"/>
      <c r="HI91" s="42">
        <v>0</v>
      </c>
      <c r="HJ91" s="47"/>
      <c r="HK91" s="43"/>
      <c r="HM91">
        <v>368</v>
      </c>
      <c r="HN91">
        <v>370</v>
      </c>
      <c r="HO91" s="42">
        <v>-2</v>
      </c>
      <c r="HP91" s="44"/>
      <c r="HT91">
        <v>192</v>
      </c>
      <c r="HU91">
        <v>190</v>
      </c>
      <c r="HV91" s="42">
        <v>2</v>
      </c>
      <c r="HW91" s="44"/>
      <c r="HX91" s="46">
        <v>128</v>
      </c>
      <c r="HY91">
        <v>120</v>
      </c>
      <c r="HZ91">
        <v>96</v>
      </c>
      <c r="IA91">
        <v>100</v>
      </c>
      <c r="IB91" s="42">
        <v>4</v>
      </c>
      <c r="IC91" s="44"/>
      <c r="ID91">
        <v>96</v>
      </c>
      <c r="IE91">
        <v>100</v>
      </c>
      <c r="IF91">
        <v>128</v>
      </c>
      <c r="IG91">
        <v>130</v>
      </c>
      <c r="IH91" s="42">
        <v>-6</v>
      </c>
      <c r="II91" s="47"/>
      <c r="IL91">
        <v>24</v>
      </c>
      <c r="IM91">
        <v>25</v>
      </c>
      <c r="IN91" s="42">
        <v>-1</v>
      </c>
      <c r="IO91" s="47"/>
      <c r="IP91">
        <v>80</v>
      </c>
      <c r="IQ91">
        <v>80</v>
      </c>
      <c r="IR91">
        <v>56</v>
      </c>
      <c r="IS91">
        <v>60</v>
      </c>
      <c r="IT91" s="42">
        <v>-4</v>
      </c>
      <c r="IU91" s="47"/>
      <c r="IV91">
        <v>128</v>
      </c>
      <c r="IW91">
        <v>130</v>
      </c>
      <c r="IX91">
        <v>120</v>
      </c>
      <c r="IY91">
        <v>120</v>
      </c>
      <c r="IZ91" s="42">
        <v>-2</v>
      </c>
      <c r="JA91" s="44"/>
      <c r="JB91">
        <v>48</v>
      </c>
      <c r="JC91">
        <v>49</v>
      </c>
      <c r="JD91" s="42">
        <v>-1</v>
      </c>
      <c r="JE91" s="44"/>
      <c r="JF91">
        <v>96</v>
      </c>
      <c r="JG91">
        <v>110</v>
      </c>
      <c r="JH91">
        <v>88</v>
      </c>
      <c r="JI91">
        <v>92</v>
      </c>
      <c r="JJ91" s="39">
        <v>-18</v>
      </c>
      <c r="JK91" s="44">
        <v>5.0400000000000009</v>
      </c>
      <c r="JL91" s="45"/>
      <c r="JN91" s="42">
        <v>0</v>
      </c>
      <c r="JO91" s="44"/>
      <c r="JT91" s="42">
        <v>0</v>
      </c>
      <c r="JU91" s="44"/>
      <c r="JV91">
        <v>96</v>
      </c>
      <c r="JW91">
        <v>100</v>
      </c>
      <c r="JX91">
        <v>48</v>
      </c>
      <c r="JY91">
        <v>50</v>
      </c>
      <c r="JZ91" s="42">
        <v>-6</v>
      </c>
      <c r="KA91" s="47"/>
      <c r="KB91">
        <v>96</v>
      </c>
      <c r="KC91">
        <v>100</v>
      </c>
      <c r="KD91">
        <v>312</v>
      </c>
      <c r="KE91">
        <v>310</v>
      </c>
      <c r="KF91" s="42">
        <v>-2</v>
      </c>
      <c r="KG91" s="44"/>
      <c r="KH91" s="41"/>
      <c r="KJ91">
        <v>96</v>
      </c>
      <c r="KK91">
        <v>100</v>
      </c>
      <c r="KL91" s="42">
        <v>-4</v>
      </c>
      <c r="KM91" s="47"/>
      <c r="KN91" s="45"/>
      <c r="KT91" s="42">
        <v>0</v>
      </c>
      <c r="KU91" s="47"/>
      <c r="KV91" s="40">
        <v>200</v>
      </c>
      <c r="KW91" s="40">
        <v>200</v>
      </c>
      <c r="KX91" s="40">
        <v>248</v>
      </c>
      <c r="KY91" s="40">
        <v>250</v>
      </c>
      <c r="KZ91" s="42">
        <v>-2</v>
      </c>
      <c r="LA91" s="47"/>
      <c r="LB91" s="40">
        <v>48</v>
      </c>
      <c r="LC91" s="40">
        <v>48</v>
      </c>
      <c r="LD91" s="40">
        <v>104</v>
      </c>
      <c r="LE91" s="40">
        <v>102</v>
      </c>
      <c r="LF91" s="42">
        <v>2</v>
      </c>
      <c r="LG91" s="47"/>
      <c r="LH91" s="45">
        <v>0</v>
      </c>
      <c r="LI91" s="40">
        <v>0</v>
      </c>
      <c r="LJ91" s="42">
        <v>0</v>
      </c>
      <c r="LK91" s="47"/>
      <c r="LL91" s="45">
        <v>32</v>
      </c>
      <c r="LM91" s="40">
        <v>32</v>
      </c>
      <c r="LN91" s="40">
        <v>0</v>
      </c>
      <c r="LO91" s="40">
        <v>0</v>
      </c>
      <c r="LP91" s="42">
        <v>0</v>
      </c>
      <c r="LQ91" s="47"/>
      <c r="LR91" s="45">
        <v>72</v>
      </c>
      <c r="LS91" s="40">
        <v>72</v>
      </c>
      <c r="LT91" s="40">
        <v>64</v>
      </c>
      <c r="LU91" s="40">
        <v>68</v>
      </c>
      <c r="LV91" s="42">
        <v>-4</v>
      </c>
      <c r="LW91" s="47"/>
      <c r="LX91" s="45">
        <v>336</v>
      </c>
      <c r="LY91" s="40">
        <v>340</v>
      </c>
      <c r="LZ91" s="42">
        <v>-4</v>
      </c>
      <c r="MA91" s="47"/>
      <c r="MB91" s="45">
        <v>48</v>
      </c>
      <c r="MC91" s="40">
        <v>50</v>
      </c>
      <c r="MD91" s="40">
        <v>80</v>
      </c>
      <c r="ME91" s="40">
        <v>80</v>
      </c>
      <c r="MF91" s="42">
        <v>-2</v>
      </c>
      <c r="MG91" s="47"/>
      <c r="MH91" s="45">
        <v>152</v>
      </c>
      <c r="MI91" s="40">
        <v>150</v>
      </c>
      <c r="MJ91" s="42">
        <v>2</v>
      </c>
      <c r="MK91" s="47"/>
      <c r="ML91" s="45">
        <v>48</v>
      </c>
      <c r="MM91" s="40">
        <v>50</v>
      </c>
      <c r="MN91" s="40">
        <v>152</v>
      </c>
      <c r="MO91" s="40">
        <v>150</v>
      </c>
      <c r="MP91" s="42">
        <v>0</v>
      </c>
      <c r="MQ91" s="47"/>
      <c r="MR91" s="40">
        <v>0</v>
      </c>
      <c r="MS91" s="40">
        <v>0</v>
      </c>
      <c r="MT91" s="40">
        <v>496</v>
      </c>
      <c r="MU91" s="40">
        <v>500</v>
      </c>
      <c r="MV91" s="42">
        <v>-4</v>
      </c>
      <c r="MW91" s="47"/>
      <c r="MX91" s="45">
        <v>0</v>
      </c>
      <c r="MY91" s="40">
        <v>0</v>
      </c>
      <c r="MZ91" s="40">
        <v>80</v>
      </c>
      <c r="NA91" s="40">
        <v>80</v>
      </c>
      <c r="NB91" s="42">
        <v>0</v>
      </c>
      <c r="NC91" s="47"/>
      <c r="ND91" s="45">
        <v>0</v>
      </c>
      <c r="NE91" s="30">
        <v>50</v>
      </c>
      <c r="NF91" s="40">
        <v>200</v>
      </c>
      <c r="NG91" s="40">
        <v>202</v>
      </c>
      <c r="NH91" s="39">
        <v>-52</v>
      </c>
      <c r="NI91" s="47">
        <v>14.56</v>
      </c>
      <c r="NJ91" s="45">
        <v>152</v>
      </c>
      <c r="NK91" s="40">
        <v>150</v>
      </c>
      <c r="NL91" s="40">
        <v>232</v>
      </c>
      <c r="NM91" s="40">
        <v>233</v>
      </c>
      <c r="NN91" s="42">
        <v>1</v>
      </c>
      <c r="NO91" s="47"/>
      <c r="NP91" s="45">
        <v>0</v>
      </c>
      <c r="NQ91" s="40">
        <v>0</v>
      </c>
      <c r="NR91" s="40">
        <v>48</v>
      </c>
      <c r="NS91" s="40">
        <v>50</v>
      </c>
      <c r="NT91" s="42">
        <v>-2</v>
      </c>
      <c r="NU91" s="47"/>
      <c r="NV91" s="45">
        <v>216</v>
      </c>
      <c r="NW91" s="40">
        <v>220</v>
      </c>
      <c r="NX91" s="40">
        <v>256</v>
      </c>
      <c r="NY91" s="40">
        <v>259</v>
      </c>
      <c r="NZ91" s="42">
        <v>-7</v>
      </c>
      <c r="OA91" s="47"/>
      <c r="OB91" s="45">
        <v>200</v>
      </c>
      <c r="OC91" s="40">
        <v>200</v>
      </c>
      <c r="OD91" s="42">
        <v>0</v>
      </c>
      <c r="OE91" s="47"/>
      <c r="OF91" s="45">
        <v>0</v>
      </c>
      <c r="OG91" s="40">
        <v>0</v>
      </c>
      <c r="OH91" s="40">
        <v>32</v>
      </c>
      <c r="OI91" s="40">
        <v>30</v>
      </c>
      <c r="OJ91" s="42">
        <v>2</v>
      </c>
      <c r="OK91" s="47"/>
      <c r="OL91" s="45">
        <v>112</v>
      </c>
      <c r="OM91" s="40">
        <v>110</v>
      </c>
      <c r="ON91" s="40">
        <v>88</v>
      </c>
      <c r="OO91" s="40">
        <v>90</v>
      </c>
      <c r="OP91" s="42">
        <v>0</v>
      </c>
      <c r="OQ91" s="47"/>
      <c r="OR91" s="45">
        <v>168</v>
      </c>
      <c r="OS91" s="40">
        <v>170</v>
      </c>
      <c r="OT91" s="40">
        <v>176</v>
      </c>
      <c r="OU91" s="40">
        <v>176</v>
      </c>
      <c r="OV91" s="42">
        <v>-2</v>
      </c>
      <c r="OW91" s="47"/>
      <c r="OX91" s="40">
        <v>72</v>
      </c>
      <c r="OY91" s="40">
        <v>75</v>
      </c>
      <c r="OZ91" s="40">
        <v>72</v>
      </c>
      <c r="PA91" s="40">
        <v>75</v>
      </c>
      <c r="PB91" s="42">
        <v>-6</v>
      </c>
      <c r="PC91" s="47"/>
      <c r="PD91" s="45">
        <v>0</v>
      </c>
      <c r="PE91" s="40">
        <v>0</v>
      </c>
      <c r="PF91" s="40">
        <v>96</v>
      </c>
      <c r="PG91" s="40">
        <v>100</v>
      </c>
      <c r="PH91" s="42">
        <v>-4</v>
      </c>
      <c r="PI91" s="47"/>
      <c r="PJ91" s="45">
        <v>200</v>
      </c>
      <c r="PK91" s="40">
        <v>200</v>
      </c>
      <c r="PL91" s="40">
        <v>168</v>
      </c>
      <c r="PM91" s="40">
        <v>200</v>
      </c>
      <c r="PN91" s="39">
        <v>-32</v>
      </c>
      <c r="PO91" s="47">
        <v>8.9600000000000009</v>
      </c>
      <c r="PP91" s="43">
        <v>48</v>
      </c>
      <c r="PQ91" s="40">
        <v>50</v>
      </c>
      <c r="PR91" s="40">
        <v>48</v>
      </c>
      <c r="PS91" s="40">
        <v>50</v>
      </c>
      <c r="PT91" s="42">
        <v>-4</v>
      </c>
      <c r="PU91" s="47"/>
      <c r="PV91" s="45">
        <v>88</v>
      </c>
      <c r="PW91" s="40">
        <v>100</v>
      </c>
      <c r="PX91" s="40">
        <v>96</v>
      </c>
      <c r="PY91" s="40">
        <v>100</v>
      </c>
      <c r="PZ91" s="39">
        <v>-16</v>
      </c>
      <c r="QA91" s="47">
        <v>4.4800000000000004</v>
      </c>
      <c r="QB91" s="45">
        <v>280</v>
      </c>
      <c r="QC91" s="40">
        <v>280</v>
      </c>
      <c r="QD91" s="42">
        <v>0</v>
      </c>
      <c r="QE91" s="47"/>
      <c r="QF91" s="45">
        <v>0</v>
      </c>
      <c r="QG91" s="40">
        <v>0</v>
      </c>
      <c r="QH91" s="40">
        <v>0</v>
      </c>
      <c r="QI91" s="40">
        <v>0</v>
      </c>
      <c r="QJ91" s="42">
        <v>0</v>
      </c>
      <c r="QK91" s="47"/>
      <c r="QL91" s="45">
        <v>0</v>
      </c>
      <c r="QM91" s="40">
        <v>0</v>
      </c>
      <c r="QN91" s="40">
        <v>0</v>
      </c>
      <c r="QO91" s="40">
        <v>0</v>
      </c>
      <c r="QP91" s="42">
        <v>0</v>
      </c>
      <c r="QQ91" s="47"/>
      <c r="QR91" s="45">
        <v>96</v>
      </c>
      <c r="QS91" s="40">
        <v>100</v>
      </c>
      <c r="QT91" s="40">
        <v>0</v>
      </c>
      <c r="QU91" s="40">
        <v>150</v>
      </c>
      <c r="QV91" s="39">
        <v>-154</v>
      </c>
      <c r="QW91" s="47">
        <v>43.12</v>
      </c>
      <c r="QX91" s="45">
        <v>272</v>
      </c>
      <c r="QY91" s="40">
        <v>273</v>
      </c>
      <c r="QZ91" s="40">
        <v>0</v>
      </c>
      <c r="RA91" s="40">
        <v>0</v>
      </c>
      <c r="RB91" s="42">
        <v>-1</v>
      </c>
      <c r="RC91" s="47"/>
      <c r="RD91" s="45">
        <v>136</v>
      </c>
      <c r="RE91" s="40">
        <v>140</v>
      </c>
      <c r="RF91" s="42">
        <v>-4</v>
      </c>
      <c r="RG91" s="47"/>
    </row>
    <row r="92" spans="1:475" x14ac:dyDescent="0.25">
      <c r="A92" s="40" t="s">
        <v>381</v>
      </c>
      <c r="B92" s="41">
        <v>0.41</v>
      </c>
      <c r="E92">
        <v>100</v>
      </c>
      <c r="F92">
        <v>71</v>
      </c>
      <c r="J92">
        <v>200</v>
      </c>
      <c r="K92">
        <v>200</v>
      </c>
      <c r="N92" s="46">
        <v>248</v>
      </c>
      <c r="O92" s="49">
        <v>250</v>
      </c>
      <c r="P92" s="49">
        <v>344</v>
      </c>
      <c r="Q92" s="49">
        <v>346</v>
      </c>
      <c r="R92" s="48">
        <f t="shared" si="13"/>
        <v>-4</v>
      </c>
      <c r="S92" s="44"/>
      <c r="T92" s="46">
        <v>168</v>
      </c>
      <c r="U92" s="49">
        <v>170</v>
      </c>
      <c r="V92" s="49">
        <v>176</v>
      </c>
      <c r="W92" s="49">
        <v>180</v>
      </c>
      <c r="X92" s="48">
        <f t="shared" si="14"/>
        <v>-6</v>
      </c>
      <c r="Y92" s="44"/>
      <c r="Z92" s="46">
        <v>96</v>
      </c>
      <c r="AA92" s="49">
        <v>100</v>
      </c>
      <c r="AB92" s="49">
        <v>152</v>
      </c>
      <c r="AC92" s="49">
        <v>150</v>
      </c>
      <c r="AD92" s="48">
        <f t="shared" si="15"/>
        <v>-2</v>
      </c>
      <c r="AE92" s="44"/>
      <c r="AF92" s="46">
        <v>40</v>
      </c>
      <c r="AG92" s="49">
        <v>41</v>
      </c>
      <c r="AH92" s="48"/>
      <c r="AI92" s="48"/>
      <c r="AJ92" s="48">
        <f t="shared" si="16"/>
        <v>-1</v>
      </c>
      <c r="AK92" s="44"/>
      <c r="AL92" s="49">
        <v>296</v>
      </c>
      <c r="AM92">
        <v>300</v>
      </c>
      <c r="AN92">
        <v>296</v>
      </c>
      <c r="AO92">
        <v>300</v>
      </c>
      <c r="AP92" s="42">
        <v>-8</v>
      </c>
      <c r="AQ92" s="44"/>
      <c r="AR92" s="43"/>
      <c r="AV92" s="42">
        <v>0</v>
      </c>
      <c r="AW92" s="44"/>
      <c r="AX92">
        <v>200</v>
      </c>
      <c r="AZ92">
        <v>200</v>
      </c>
      <c r="BA92">
        <v>296</v>
      </c>
      <c r="BB92">
        <v>300</v>
      </c>
      <c r="BC92" s="42">
        <v>-4</v>
      </c>
      <c r="BD92" s="44"/>
      <c r="BE92" s="46">
        <v>216</v>
      </c>
      <c r="BF92">
        <v>220</v>
      </c>
      <c r="BG92">
        <v>232</v>
      </c>
      <c r="BH92">
        <v>230</v>
      </c>
      <c r="BI92" s="42">
        <v>-2</v>
      </c>
      <c r="BJ92" s="44"/>
      <c r="BO92" s="42">
        <v>0</v>
      </c>
      <c r="BP92" s="44"/>
      <c r="BS92" s="42">
        <v>0</v>
      </c>
      <c r="BT92" s="44"/>
      <c r="BU92" s="46">
        <v>152</v>
      </c>
      <c r="BV92">
        <v>150</v>
      </c>
      <c r="BW92">
        <v>848</v>
      </c>
      <c r="BX92">
        <v>850</v>
      </c>
      <c r="BY92" s="42">
        <v>0</v>
      </c>
      <c r="BZ92" s="44"/>
      <c r="CE92" s="42">
        <v>0</v>
      </c>
      <c r="CF92" s="44"/>
      <c r="CG92" s="43"/>
      <c r="CI92">
        <v>48</v>
      </c>
      <c r="CJ92">
        <v>50</v>
      </c>
      <c r="CK92" s="42">
        <v>-2</v>
      </c>
      <c r="CL92" s="44"/>
      <c r="CM92" s="46">
        <v>200</v>
      </c>
      <c r="CN92">
        <v>200</v>
      </c>
      <c r="CO92">
        <v>656</v>
      </c>
      <c r="CP92">
        <v>654</v>
      </c>
      <c r="CQ92" s="42">
        <v>2</v>
      </c>
      <c r="CR92" s="44"/>
      <c r="CU92">
        <v>48</v>
      </c>
      <c r="CV92">
        <v>50</v>
      </c>
      <c r="CW92" s="42">
        <v>-2</v>
      </c>
      <c r="CX92" s="44"/>
      <c r="CY92" s="43"/>
      <c r="DA92">
        <v>120</v>
      </c>
      <c r="DB92">
        <v>120</v>
      </c>
      <c r="DC92" s="42">
        <v>0</v>
      </c>
      <c r="DD92" s="44"/>
      <c r="DE92" s="43"/>
      <c r="DG92">
        <v>296</v>
      </c>
      <c r="DH92">
        <v>300</v>
      </c>
      <c r="DI92">
        <v>224</v>
      </c>
      <c r="DJ92">
        <v>239</v>
      </c>
      <c r="DK92" s="39">
        <v>-19</v>
      </c>
      <c r="DL92" s="44">
        <v>7.7899999999999991</v>
      </c>
      <c r="DM92" s="43"/>
      <c r="DQ92" s="42">
        <v>0</v>
      </c>
      <c r="DR92" s="44"/>
      <c r="DS92">
        <v>200</v>
      </c>
      <c r="DT92">
        <v>200</v>
      </c>
      <c r="DU92">
        <v>216</v>
      </c>
      <c r="DV92">
        <v>218</v>
      </c>
      <c r="DW92">
        <v>200</v>
      </c>
      <c r="DX92">
        <v>200</v>
      </c>
      <c r="DY92" s="42">
        <v>-2</v>
      </c>
      <c r="DZ92" s="44"/>
      <c r="EA92" s="46">
        <v>112</v>
      </c>
      <c r="EB92">
        <v>110</v>
      </c>
      <c r="EC92">
        <v>536</v>
      </c>
      <c r="ED92">
        <v>540</v>
      </c>
      <c r="EE92" s="42">
        <v>-2</v>
      </c>
      <c r="EF92" s="44"/>
      <c r="EG92" s="43"/>
      <c r="EK92" s="42">
        <v>0</v>
      </c>
      <c r="EL92" s="44"/>
      <c r="EM92" s="46">
        <v>280</v>
      </c>
      <c r="EN92">
        <v>280</v>
      </c>
      <c r="EO92">
        <v>280</v>
      </c>
      <c r="EP92">
        <v>280</v>
      </c>
      <c r="EQ92" s="42">
        <v>0</v>
      </c>
      <c r="ER92" s="44"/>
      <c r="ES92">
        <v>200</v>
      </c>
      <c r="ET92">
        <v>200</v>
      </c>
      <c r="EU92">
        <v>200</v>
      </c>
      <c r="EV92">
        <v>200</v>
      </c>
      <c r="EW92">
        <v>200</v>
      </c>
      <c r="EX92">
        <v>200</v>
      </c>
      <c r="EY92" s="42">
        <v>0</v>
      </c>
      <c r="EZ92" s="44"/>
      <c r="FA92">
        <v>96</v>
      </c>
      <c r="FB92">
        <v>100</v>
      </c>
      <c r="FC92">
        <v>128</v>
      </c>
      <c r="FD92">
        <v>133</v>
      </c>
      <c r="FE92" s="42">
        <v>-9</v>
      </c>
      <c r="FF92" s="44"/>
      <c r="FG92" s="46">
        <v>96</v>
      </c>
      <c r="FH92">
        <v>100</v>
      </c>
      <c r="FI92">
        <v>136</v>
      </c>
      <c r="FJ92">
        <v>140</v>
      </c>
      <c r="FK92" s="42">
        <v>-8</v>
      </c>
      <c r="FL92" s="44"/>
      <c r="FM92" s="46">
        <v>392</v>
      </c>
      <c r="FN92">
        <v>391</v>
      </c>
      <c r="FO92" s="42">
        <v>1</v>
      </c>
      <c r="FP92" s="44"/>
      <c r="FS92">
        <v>160</v>
      </c>
      <c r="FT92">
        <v>160</v>
      </c>
      <c r="FU92" s="42">
        <v>0</v>
      </c>
      <c r="FV92" s="44"/>
      <c r="FW92" s="46">
        <v>96</v>
      </c>
      <c r="FX92">
        <v>100</v>
      </c>
      <c r="FY92">
        <v>96</v>
      </c>
      <c r="FZ92">
        <v>100</v>
      </c>
      <c r="GA92">
        <v>96</v>
      </c>
      <c r="GB92">
        <v>100</v>
      </c>
      <c r="GC92" s="42">
        <v>-12</v>
      </c>
      <c r="GD92" s="44"/>
      <c r="GE92">
        <v>240</v>
      </c>
      <c r="GF92">
        <v>240</v>
      </c>
      <c r="GG92">
        <v>240</v>
      </c>
      <c r="GH92">
        <v>240</v>
      </c>
      <c r="GI92" s="42">
        <v>0</v>
      </c>
      <c r="GJ92" s="44"/>
      <c r="GK92" s="43"/>
      <c r="GO92" s="42">
        <v>0</v>
      </c>
      <c r="GP92" s="47"/>
      <c r="GQ92">
        <v>64</v>
      </c>
      <c r="GR92">
        <v>64</v>
      </c>
      <c r="GS92">
        <v>104</v>
      </c>
      <c r="GT92">
        <v>106</v>
      </c>
      <c r="GU92" s="42">
        <v>-2</v>
      </c>
      <c r="GV92" s="44"/>
      <c r="GW92">
        <v>416</v>
      </c>
      <c r="GX92" s="40">
        <v>420</v>
      </c>
      <c r="GY92" s="42">
        <v>-4</v>
      </c>
      <c r="GZ92" s="47"/>
      <c r="HA92" s="43"/>
      <c r="HC92" s="42">
        <v>0</v>
      </c>
      <c r="HD92" s="44"/>
      <c r="HE92" s="43"/>
      <c r="HI92" s="42">
        <v>0</v>
      </c>
      <c r="HJ92" s="47"/>
      <c r="HK92" s="46">
        <v>248</v>
      </c>
      <c r="HL92">
        <v>250</v>
      </c>
      <c r="HM92">
        <v>320</v>
      </c>
      <c r="HN92">
        <v>320</v>
      </c>
      <c r="HO92" s="42">
        <v>-2</v>
      </c>
      <c r="HP92" s="44"/>
      <c r="HT92">
        <v>112</v>
      </c>
      <c r="HU92">
        <v>110</v>
      </c>
      <c r="HV92" s="42">
        <v>2</v>
      </c>
      <c r="HW92" s="44"/>
      <c r="HX92" s="45"/>
      <c r="HY92">
        <v>400</v>
      </c>
      <c r="HZ92">
        <v>320</v>
      </c>
      <c r="IA92">
        <v>320</v>
      </c>
      <c r="IB92" s="39">
        <v>-400</v>
      </c>
      <c r="IC92" s="44">
        <v>164</v>
      </c>
      <c r="IF92">
        <v>136</v>
      </c>
      <c r="IG92">
        <v>140</v>
      </c>
      <c r="IH92" s="42">
        <v>-4</v>
      </c>
      <c r="II92" s="47"/>
      <c r="IL92">
        <v>56</v>
      </c>
      <c r="IM92">
        <v>60</v>
      </c>
      <c r="IN92" s="42">
        <v>-4</v>
      </c>
      <c r="IO92" s="47"/>
      <c r="IP92">
        <v>256</v>
      </c>
      <c r="IQ92">
        <v>260</v>
      </c>
      <c r="IR92">
        <v>240</v>
      </c>
      <c r="IS92">
        <v>240</v>
      </c>
      <c r="IT92" s="42">
        <v>-4</v>
      </c>
      <c r="IU92" s="47"/>
      <c r="IZ92" s="42">
        <v>0</v>
      </c>
      <c r="JA92" s="44"/>
      <c r="JB92">
        <v>328</v>
      </c>
      <c r="JC92">
        <v>334</v>
      </c>
      <c r="JD92" s="42">
        <v>-6</v>
      </c>
      <c r="JE92" s="44"/>
      <c r="JF92">
        <v>120</v>
      </c>
      <c r="JG92">
        <v>120</v>
      </c>
      <c r="JH92">
        <v>96</v>
      </c>
      <c r="JI92">
        <v>99</v>
      </c>
      <c r="JJ92" s="42">
        <v>-3</v>
      </c>
      <c r="JK92" s="44"/>
      <c r="JL92" s="45"/>
      <c r="JN92" s="42">
        <v>0</v>
      </c>
      <c r="JO92" s="44"/>
      <c r="JT92" s="42">
        <v>0</v>
      </c>
      <c r="JU92" s="44"/>
      <c r="JV92">
        <v>72</v>
      </c>
      <c r="JW92">
        <v>70</v>
      </c>
      <c r="JZ92" s="42">
        <v>2</v>
      </c>
      <c r="KA92" s="47"/>
      <c r="KB92">
        <v>152</v>
      </c>
      <c r="KC92">
        <v>150</v>
      </c>
      <c r="KD92">
        <v>392</v>
      </c>
      <c r="KE92">
        <v>390</v>
      </c>
      <c r="KF92" s="42">
        <v>4</v>
      </c>
      <c r="KG92" s="44"/>
      <c r="KH92">
        <v>96</v>
      </c>
      <c r="KI92">
        <v>100</v>
      </c>
      <c r="KJ92">
        <v>128</v>
      </c>
      <c r="KK92">
        <v>130</v>
      </c>
      <c r="KL92" s="42">
        <v>-6</v>
      </c>
      <c r="KM92" s="47"/>
      <c r="KN92" s="46">
        <v>48</v>
      </c>
      <c r="KO92">
        <v>50</v>
      </c>
      <c r="KP92">
        <v>96</v>
      </c>
      <c r="KQ92">
        <v>100</v>
      </c>
      <c r="KR92">
        <v>48</v>
      </c>
      <c r="KS92">
        <v>50</v>
      </c>
      <c r="KT92" s="42">
        <v>-8</v>
      </c>
      <c r="KU92" s="47"/>
      <c r="KV92" s="40">
        <v>200</v>
      </c>
      <c r="KW92" s="40">
        <v>200</v>
      </c>
      <c r="KX92" s="40">
        <v>376</v>
      </c>
      <c r="KY92" s="40">
        <v>380</v>
      </c>
      <c r="KZ92" s="42">
        <v>-4</v>
      </c>
      <c r="LA92" s="47"/>
      <c r="LB92" s="40">
        <v>0</v>
      </c>
      <c r="LC92" s="40">
        <v>0</v>
      </c>
      <c r="LD92" s="40">
        <v>80</v>
      </c>
      <c r="LE92" s="40">
        <v>80</v>
      </c>
      <c r="LF92" s="42">
        <v>0</v>
      </c>
      <c r="LG92" s="47"/>
      <c r="LH92" s="45">
        <v>224</v>
      </c>
      <c r="LI92" s="40">
        <v>228</v>
      </c>
      <c r="LJ92" s="42">
        <v>-4</v>
      </c>
      <c r="LK92" s="47"/>
      <c r="LL92" s="45">
        <v>0</v>
      </c>
      <c r="LM92" s="40">
        <v>0</v>
      </c>
      <c r="LN92" s="40">
        <v>0</v>
      </c>
      <c r="LO92" s="40">
        <v>0</v>
      </c>
      <c r="LP92" s="42">
        <v>0</v>
      </c>
      <c r="LQ92" s="47"/>
      <c r="LR92" s="45">
        <v>192</v>
      </c>
      <c r="LS92" s="40">
        <v>196</v>
      </c>
      <c r="LT92" s="40">
        <v>192</v>
      </c>
      <c r="LU92" s="40">
        <v>194</v>
      </c>
      <c r="LV92" s="42">
        <v>-6</v>
      </c>
      <c r="LW92" s="47"/>
      <c r="LX92" s="45">
        <v>480</v>
      </c>
      <c r="LY92" s="40">
        <v>480</v>
      </c>
      <c r="LZ92" s="42">
        <v>0</v>
      </c>
      <c r="MA92" s="47"/>
      <c r="MB92" s="45">
        <v>48</v>
      </c>
      <c r="MC92" s="40">
        <v>50</v>
      </c>
      <c r="MD92" s="40">
        <v>152</v>
      </c>
      <c r="ME92" s="40">
        <v>150</v>
      </c>
      <c r="MF92" s="42">
        <v>0</v>
      </c>
      <c r="MG92" s="47"/>
      <c r="MH92" s="45">
        <v>632</v>
      </c>
      <c r="MI92" s="40">
        <v>638</v>
      </c>
      <c r="MJ92" s="42">
        <v>-6</v>
      </c>
      <c r="MK92" s="47"/>
      <c r="ML92" s="45">
        <v>0</v>
      </c>
      <c r="MM92" s="40">
        <v>0</v>
      </c>
      <c r="MN92" s="40">
        <v>56</v>
      </c>
      <c r="MO92" s="40">
        <v>60</v>
      </c>
      <c r="MP92" s="42">
        <v>-4</v>
      </c>
      <c r="MQ92" s="47"/>
      <c r="MR92" s="40">
        <v>0</v>
      </c>
      <c r="MS92" s="40">
        <v>0</v>
      </c>
      <c r="MT92" s="40">
        <v>152</v>
      </c>
      <c r="MU92" s="40">
        <v>150</v>
      </c>
      <c r="MV92" s="42">
        <v>2</v>
      </c>
      <c r="MW92" s="47"/>
      <c r="MX92" s="45">
        <v>48</v>
      </c>
      <c r="MY92" s="40">
        <v>50</v>
      </c>
      <c r="MZ92" s="40">
        <v>192</v>
      </c>
      <c r="NA92" s="40">
        <v>200</v>
      </c>
      <c r="NB92" s="39">
        <v>-10</v>
      </c>
      <c r="NC92" s="47">
        <v>4.0999999999999996</v>
      </c>
      <c r="ND92" s="45">
        <v>152</v>
      </c>
      <c r="NE92" s="40">
        <v>60</v>
      </c>
      <c r="NF92" s="40">
        <v>424</v>
      </c>
      <c r="NG92" s="40">
        <v>434</v>
      </c>
      <c r="NH92" s="42">
        <v>82</v>
      </c>
      <c r="NI92" s="47"/>
      <c r="NJ92" s="45">
        <v>40</v>
      </c>
      <c r="NK92" s="40">
        <v>40</v>
      </c>
      <c r="NL92" s="40">
        <v>56</v>
      </c>
      <c r="NM92" s="40">
        <v>60</v>
      </c>
      <c r="NN92" s="42">
        <v>-4</v>
      </c>
      <c r="NO92" s="47"/>
      <c r="NP92" s="45">
        <v>0</v>
      </c>
      <c r="NQ92" s="40">
        <v>0</v>
      </c>
      <c r="NR92" s="40">
        <v>136</v>
      </c>
      <c r="NS92" s="40">
        <v>140</v>
      </c>
      <c r="NT92" s="42">
        <v>-4</v>
      </c>
      <c r="NU92" s="47"/>
      <c r="NV92" s="45">
        <v>280</v>
      </c>
      <c r="NW92" s="40">
        <v>280</v>
      </c>
      <c r="NX92" s="40">
        <v>304</v>
      </c>
      <c r="NY92" s="40">
        <v>306</v>
      </c>
      <c r="NZ92" s="42">
        <v>-2</v>
      </c>
      <c r="OA92" s="47"/>
      <c r="OB92" s="45">
        <v>96</v>
      </c>
      <c r="OC92" s="40">
        <v>100</v>
      </c>
      <c r="OD92" s="42">
        <v>-4</v>
      </c>
      <c r="OE92" s="47"/>
      <c r="OF92" s="45">
        <v>0</v>
      </c>
      <c r="OG92" s="40">
        <v>0</v>
      </c>
      <c r="OH92" s="40">
        <v>0</v>
      </c>
      <c r="OI92" s="40">
        <v>0</v>
      </c>
      <c r="OJ92" s="42">
        <v>0</v>
      </c>
      <c r="OK92" s="47"/>
      <c r="OL92" s="45">
        <v>352</v>
      </c>
      <c r="OM92" s="40">
        <v>350</v>
      </c>
      <c r="ON92" s="40">
        <v>288</v>
      </c>
      <c r="OO92" s="40">
        <v>288</v>
      </c>
      <c r="OP92" s="42">
        <v>2</v>
      </c>
      <c r="OQ92" s="47"/>
      <c r="OR92" s="45">
        <v>48</v>
      </c>
      <c r="OS92" s="40">
        <v>50</v>
      </c>
      <c r="OT92" s="40">
        <v>80</v>
      </c>
      <c r="OU92" s="40">
        <v>80</v>
      </c>
      <c r="OV92" s="42">
        <v>-2</v>
      </c>
      <c r="OW92" s="47"/>
      <c r="OX92" s="40">
        <v>120</v>
      </c>
      <c r="OY92" s="40">
        <v>125</v>
      </c>
      <c r="OZ92" s="40">
        <v>120</v>
      </c>
      <c r="PA92" s="40">
        <v>125</v>
      </c>
      <c r="PB92" s="42">
        <v>-10</v>
      </c>
      <c r="PC92" s="47"/>
      <c r="PD92" s="45">
        <v>248</v>
      </c>
      <c r="PE92" s="40">
        <v>250</v>
      </c>
      <c r="PF92" s="40">
        <v>224</v>
      </c>
      <c r="PG92" s="40">
        <v>225</v>
      </c>
      <c r="PH92" s="42">
        <v>-3</v>
      </c>
      <c r="PI92" s="47"/>
      <c r="PJ92" s="45">
        <v>0</v>
      </c>
      <c r="PK92" s="40">
        <v>0</v>
      </c>
      <c r="PL92" s="40">
        <v>120</v>
      </c>
      <c r="PM92" s="40">
        <v>120</v>
      </c>
      <c r="PN92" s="42">
        <v>0</v>
      </c>
      <c r="PO92" s="47"/>
      <c r="PP92" s="43">
        <v>96</v>
      </c>
      <c r="PQ92" s="40">
        <v>100</v>
      </c>
      <c r="PR92" s="40">
        <v>184</v>
      </c>
      <c r="PS92" s="40">
        <v>184</v>
      </c>
      <c r="PT92" s="42">
        <v>-4</v>
      </c>
      <c r="PU92" s="47"/>
      <c r="PV92" s="45">
        <v>0</v>
      </c>
      <c r="PW92" s="40">
        <v>0</v>
      </c>
      <c r="PX92" s="40">
        <v>96</v>
      </c>
      <c r="PY92" s="40">
        <v>100</v>
      </c>
      <c r="PZ92" s="42">
        <v>-4</v>
      </c>
      <c r="QA92" s="47"/>
      <c r="QB92" s="45">
        <v>160</v>
      </c>
      <c r="QC92" s="40">
        <v>160</v>
      </c>
      <c r="QD92" s="42">
        <v>0</v>
      </c>
      <c r="QE92" s="47"/>
      <c r="QF92" s="45">
        <v>0</v>
      </c>
      <c r="QG92" s="40">
        <v>0</v>
      </c>
      <c r="QH92" s="40">
        <v>0</v>
      </c>
      <c r="QI92" s="40">
        <v>0</v>
      </c>
      <c r="QJ92" s="42">
        <v>0</v>
      </c>
      <c r="QK92" s="47"/>
      <c r="QL92" s="45">
        <v>0</v>
      </c>
      <c r="QM92" s="40">
        <v>0</v>
      </c>
      <c r="QN92" s="40">
        <v>0</v>
      </c>
      <c r="QO92" s="40">
        <v>0</v>
      </c>
      <c r="QP92" s="42">
        <v>0</v>
      </c>
      <c r="QQ92" s="47"/>
      <c r="QR92" s="45">
        <v>0</v>
      </c>
      <c r="QS92" s="40">
        <v>0</v>
      </c>
      <c r="QT92" s="40">
        <v>88</v>
      </c>
      <c r="QU92" s="40">
        <v>0</v>
      </c>
      <c r="QV92" s="42">
        <v>88</v>
      </c>
      <c r="QW92" s="47"/>
      <c r="QX92" s="45">
        <v>0</v>
      </c>
      <c r="QY92" s="40">
        <v>0</v>
      </c>
      <c r="QZ92" s="40">
        <v>0</v>
      </c>
      <c r="RA92" s="40">
        <v>0</v>
      </c>
      <c r="RB92" s="42">
        <v>0</v>
      </c>
      <c r="RC92" s="47"/>
      <c r="RD92" s="45">
        <v>0</v>
      </c>
      <c r="RE92" s="40">
        <v>0</v>
      </c>
      <c r="RF92" s="42">
        <v>0</v>
      </c>
      <c r="RG92" s="47"/>
    </row>
    <row r="93" spans="1:475" x14ac:dyDescent="0.25">
      <c r="A93" s="40" t="s">
        <v>382</v>
      </c>
      <c r="B93" s="41">
        <v>0.5</v>
      </c>
      <c r="N93" s="43"/>
      <c r="O93" s="48"/>
      <c r="P93" s="48"/>
      <c r="Q93" s="48"/>
      <c r="R93" s="48">
        <f t="shared" si="13"/>
        <v>0</v>
      </c>
      <c r="S93" s="44"/>
      <c r="T93" s="43"/>
      <c r="U93" s="48"/>
      <c r="V93" s="48"/>
      <c r="W93" s="48"/>
      <c r="X93" s="48">
        <f t="shared" si="14"/>
        <v>0</v>
      </c>
      <c r="Y93" s="44"/>
      <c r="Z93" s="43"/>
      <c r="AA93" s="48"/>
      <c r="AB93" s="48"/>
      <c r="AC93" s="48"/>
      <c r="AD93" s="48">
        <f t="shared" si="15"/>
        <v>0</v>
      </c>
      <c r="AE93" s="44"/>
      <c r="AF93" s="43"/>
      <c r="AG93" s="48"/>
      <c r="AH93" s="48"/>
      <c r="AI93" s="48"/>
      <c r="AJ93" s="48">
        <f t="shared" si="16"/>
        <v>0</v>
      </c>
      <c r="AK93" s="44"/>
      <c r="AL93" s="48"/>
      <c r="AP93" s="42">
        <v>0</v>
      </c>
      <c r="AQ93" s="44"/>
      <c r="AR93" s="43"/>
      <c r="AV93" s="42">
        <v>0</v>
      </c>
      <c r="AW93" s="44"/>
      <c r="BC93" s="42">
        <v>0</v>
      </c>
      <c r="BD93" s="44"/>
      <c r="BE93" s="43"/>
      <c r="BI93" s="42">
        <v>0</v>
      </c>
      <c r="BJ93" s="44"/>
      <c r="BO93" s="42">
        <v>0</v>
      </c>
      <c r="BP93" s="44"/>
      <c r="BS93" s="42">
        <v>0</v>
      </c>
      <c r="BT93" s="44"/>
      <c r="BU93" s="43"/>
      <c r="BY93" s="42">
        <v>0</v>
      </c>
      <c r="BZ93" s="44"/>
      <c r="CE93" s="42">
        <v>0</v>
      </c>
      <c r="CF93" s="44"/>
      <c r="CG93" s="43"/>
      <c r="CK93" s="42">
        <v>0</v>
      </c>
      <c r="CL93" s="44"/>
      <c r="CM93" s="43"/>
      <c r="CQ93" s="42">
        <v>0</v>
      </c>
      <c r="CR93" s="44"/>
      <c r="CW93" s="42">
        <v>0</v>
      </c>
      <c r="CX93" s="44"/>
      <c r="CY93" s="43"/>
      <c r="DC93" s="42">
        <v>0</v>
      </c>
      <c r="DD93" s="44"/>
      <c r="DE93" s="43"/>
      <c r="DK93" s="42">
        <v>0</v>
      </c>
      <c r="DL93" s="44"/>
      <c r="DM93" s="43"/>
      <c r="DQ93" s="42">
        <v>0</v>
      </c>
      <c r="DR93" s="44"/>
      <c r="DY93" s="42">
        <v>0</v>
      </c>
      <c r="DZ93" s="44"/>
      <c r="EA93" s="43"/>
      <c r="EE93" s="42">
        <v>0</v>
      </c>
      <c r="EF93" s="44"/>
      <c r="EG93" s="43"/>
      <c r="EK93" s="42">
        <v>0</v>
      </c>
      <c r="EL93" s="44"/>
      <c r="EM93" s="43"/>
      <c r="EQ93" s="42">
        <v>0</v>
      </c>
      <c r="ER93" s="44"/>
      <c r="EY93" s="42">
        <v>0</v>
      </c>
      <c r="EZ93" s="44"/>
      <c r="FE93" s="42">
        <v>0</v>
      </c>
      <c r="FF93" s="44"/>
      <c r="FG93" s="43"/>
      <c r="FK93" s="42">
        <v>0</v>
      </c>
      <c r="FL93" s="44"/>
      <c r="FM93" s="43"/>
      <c r="FO93" s="42">
        <v>0</v>
      </c>
      <c r="FP93" s="44"/>
      <c r="FU93" s="42">
        <v>0</v>
      </c>
      <c r="FV93" s="44"/>
      <c r="FW93" s="43"/>
      <c r="GC93" s="42">
        <v>0</v>
      </c>
      <c r="GD93" s="44"/>
      <c r="GI93" s="42">
        <v>0</v>
      </c>
      <c r="GJ93" s="44"/>
      <c r="GK93" s="43"/>
      <c r="GO93" s="42">
        <v>0</v>
      </c>
      <c r="GP93" s="47"/>
      <c r="GU93" s="42">
        <v>0</v>
      </c>
      <c r="GV93" s="44"/>
      <c r="GY93" s="42">
        <v>0</v>
      </c>
      <c r="GZ93" s="47"/>
      <c r="HA93" s="43"/>
      <c r="HC93" s="42">
        <v>0</v>
      </c>
      <c r="HD93" s="44"/>
      <c r="HE93" s="43"/>
      <c r="HI93" s="42">
        <v>0</v>
      </c>
      <c r="HJ93" s="47"/>
      <c r="HK93" s="43"/>
      <c r="HO93" s="42">
        <v>0</v>
      </c>
      <c r="HP93" s="44"/>
      <c r="HV93" s="42">
        <v>0</v>
      </c>
      <c r="HW93" s="44"/>
      <c r="HX93" s="45"/>
      <c r="IB93" s="42">
        <v>0</v>
      </c>
      <c r="IC93" s="44"/>
      <c r="IH93" s="42">
        <v>0</v>
      </c>
      <c r="II93" s="47"/>
      <c r="IN93" s="42">
        <v>0</v>
      </c>
      <c r="IO93" s="47"/>
      <c r="IT93" s="42">
        <v>0</v>
      </c>
      <c r="IU93" s="47"/>
      <c r="IZ93" s="42">
        <v>0</v>
      </c>
      <c r="JA93" s="44"/>
      <c r="JD93" s="42">
        <v>0</v>
      </c>
      <c r="JE93" s="44"/>
      <c r="JJ93" s="42">
        <v>0</v>
      </c>
      <c r="JK93" s="44"/>
      <c r="JL93" s="45"/>
      <c r="JN93" s="42">
        <v>0</v>
      </c>
      <c r="JO93" s="44"/>
      <c r="JT93" s="42">
        <v>0</v>
      </c>
      <c r="JU93" s="44"/>
      <c r="JZ93" s="42">
        <v>0</v>
      </c>
      <c r="KA93" s="47"/>
      <c r="KF93" s="42">
        <v>0</v>
      </c>
      <c r="KG93" s="44"/>
      <c r="KH93" s="41"/>
      <c r="KL93" s="42">
        <v>0</v>
      </c>
      <c r="KM93" s="47"/>
      <c r="KN93" s="45"/>
      <c r="KT93" s="42">
        <v>0</v>
      </c>
      <c r="KU93" s="47"/>
      <c r="KV93" s="40">
        <v>0</v>
      </c>
      <c r="KW93" s="40">
        <v>0</v>
      </c>
      <c r="KX93" s="40">
        <v>0</v>
      </c>
      <c r="KY93" s="40">
        <v>0</v>
      </c>
      <c r="KZ93" s="42">
        <v>0</v>
      </c>
      <c r="LA93" s="47"/>
      <c r="LB93" s="40">
        <v>0</v>
      </c>
      <c r="LC93" s="40">
        <v>0</v>
      </c>
      <c r="LD93" s="40">
        <v>0</v>
      </c>
      <c r="LE93" s="40">
        <v>0</v>
      </c>
      <c r="LF93" s="42">
        <v>0</v>
      </c>
      <c r="LG93" s="47"/>
      <c r="LH93" s="45">
        <v>0</v>
      </c>
      <c r="LI93" s="40">
        <v>0</v>
      </c>
      <c r="LJ93" s="42">
        <v>0</v>
      </c>
      <c r="LK93" s="47"/>
      <c r="LL93" s="45">
        <v>0</v>
      </c>
      <c r="LM93" s="40">
        <v>0</v>
      </c>
      <c r="LN93" s="40">
        <v>0</v>
      </c>
      <c r="LO93" s="40">
        <v>0</v>
      </c>
      <c r="LP93" s="42">
        <v>0</v>
      </c>
      <c r="LQ93" s="47"/>
      <c r="LR93" s="45">
        <v>0</v>
      </c>
      <c r="LS93" s="40">
        <v>0</v>
      </c>
      <c r="LT93" s="40">
        <v>0</v>
      </c>
      <c r="LU93" s="40">
        <v>0</v>
      </c>
      <c r="LV93" s="42">
        <v>0</v>
      </c>
      <c r="LW93" s="47"/>
      <c r="LX93" s="45">
        <v>0</v>
      </c>
      <c r="LY93" s="40">
        <v>0</v>
      </c>
      <c r="LZ93" s="42">
        <v>0</v>
      </c>
      <c r="MA93" s="47"/>
      <c r="MB93" s="45">
        <v>0</v>
      </c>
      <c r="MC93" s="40">
        <v>0</v>
      </c>
      <c r="MD93" s="40">
        <v>0</v>
      </c>
      <c r="ME93" s="40">
        <v>0</v>
      </c>
      <c r="MF93" s="42">
        <v>0</v>
      </c>
      <c r="MG93" s="47"/>
      <c r="MH93" s="45">
        <v>0</v>
      </c>
      <c r="MI93" s="40">
        <v>0</v>
      </c>
      <c r="MJ93" s="42">
        <v>0</v>
      </c>
      <c r="MK93" s="47"/>
      <c r="ML93" s="45">
        <v>0</v>
      </c>
      <c r="MM93" s="40">
        <v>0</v>
      </c>
      <c r="MN93" s="40">
        <v>0</v>
      </c>
      <c r="MO93" s="40">
        <v>0</v>
      </c>
      <c r="MP93" s="42">
        <v>0</v>
      </c>
      <c r="MQ93" s="47"/>
      <c r="MR93" s="40">
        <v>0</v>
      </c>
      <c r="MS93" s="40">
        <v>0</v>
      </c>
      <c r="MT93" s="40">
        <v>0</v>
      </c>
      <c r="MU93" s="40">
        <v>0</v>
      </c>
      <c r="MV93" s="42">
        <v>0</v>
      </c>
      <c r="MW93" s="47"/>
      <c r="MX93" s="45">
        <v>0</v>
      </c>
      <c r="MY93" s="40">
        <v>0</v>
      </c>
      <c r="MZ93" s="40">
        <v>0</v>
      </c>
      <c r="NA93" s="40">
        <v>0</v>
      </c>
      <c r="NB93" s="42">
        <v>0</v>
      </c>
      <c r="NC93" s="47"/>
      <c r="ND93" s="45">
        <v>0</v>
      </c>
      <c r="NE93" s="40">
        <v>0</v>
      </c>
      <c r="NF93" s="40">
        <v>0</v>
      </c>
      <c r="NG93" s="40">
        <v>0</v>
      </c>
      <c r="NH93" s="42">
        <v>0</v>
      </c>
      <c r="NI93" s="47"/>
      <c r="NJ93" s="45">
        <v>0</v>
      </c>
      <c r="NK93" s="40">
        <v>0</v>
      </c>
      <c r="NL93" s="40">
        <v>0</v>
      </c>
      <c r="NM93" s="40">
        <v>0</v>
      </c>
      <c r="NN93" s="42">
        <v>0</v>
      </c>
      <c r="NO93" s="47"/>
      <c r="NP93" s="45">
        <v>0</v>
      </c>
      <c r="NQ93" s="40">
        <v>0</v>
      </c>
      <c r="NR93" s="40">
        <v>0</v>
      </c>
      <c r="NS93" s="40">
        <v>0</v>
      </c>
      <c r="NT93" s="42">
        <v>0</v>
      </c>
      <c r="NU93" s="47"/>
      <c r="NV93" s="45">
        <v>0</v>
      </c>
      <c r="NW93" s="40">
        <v>0</v>
      </c>
      <c r="NX93" s="40">
        <v>0</v>
      </c>
      <c r="NY93" s="40">
        <v>0</v>
      </c>
      <c r="NZ93" s="42">
        <v>0</v>
      </c>
      <c r="OA93" s="47"/>
      <c r="OB93" s="45">
        <v>0</v>
      </c>
      <c r="OC93" s="40">
        <v>0</v>
      </c>
      <c r="OD93" s="42">
        <v>0</v>
      </c>
      <c r="OE93" s="47"/>
      <c r="OF93" s="45">
        <v>0</v>
      </c>
      <c r="OG93" s="40">
        <v>0</v>
      </c>
      <c r="OH93" s="40">
        <v>0</v>
      </c>
      <c r="OI93" s="40">
        <v>0</v>
      </c>
      <c r="OJ93" s="42">
        <v>0</v>
      </c>
      <c r="OK93" s="47"/>
      <c r="OL93" s="45">
        <v>0</v>
      </c>
      <c r="OM93" s="40">
        <v>0</v>
      </c>
      <c r="ON93" s="40">
        <v>0</v>
      </c>
      <c r="OO93" s="40">
        <v>0</v>
      </c>
      <c r="OP93" s="42">
        <v>0</v>
      </c>
      <c r="OQ93" s="47"/>
      <c r="OR93" s="45">
        <v>0</v>
      </c>
      <c r="OS93" s="14">
        <v>50</v>
      </c>
      <c r="OT93" s="40">
        <v>0</v>
      </c>
      <c r="OU93" s="14">
        <v>87</v>
      </c>
      <c r="OV93" s="42">
        <v>-1</v>
      </c>
      <c r="OW93" s="47"/>
      <c r="OX93" s="40">
        <v>0</v>
      </c>
      <c r="OY93" s="30">
        <v>40</v>
      </c>
      <c r="OZ93" s="40">
        <v>0</v>
      </c>
      <c r="PA93" s="14">
        <v>30</v>
      </c>
      <c r="PB93" s="39">
        <v>-38</v>
      </c>
      <c r="PC93" s="47">
        <v>19</v>
      </c>
      <c r="PD93" s="45">
        <v>0</v>
      </c>
      <c r="PE93" s="40">
        <v>0</v>
      </c>
      <c r="PF93" s="40">
        <v>0</v>
      </c>
      <c r="PG93" s="30">
        <v>100</v>
      </c>
      <c r="PH93" s="39">
        <v>-100</v>
      </c>
      <c r="PI93" s="47">
        <v>50</v>
      </c>
      <c r="PJ93" s="45">
        <v>0</v>
      </c>
      <c r="PK93" s="40">
        <v>0</v>
      </c>
      <c r="PL93" s="40">
        <v>184</v>
      </c>
      <c r="PM93" s="40">
        <v>188</v>
      </c>
      <c r="PN93" s="42">
        <v>-4</v>
      </c>
      <c r="PO93" s="47"/>
      <c r="PP93" s="43">
        <v>0</v>
      </c>
      <c r="PQ93" s="40">
        <v>0</v>
      </c>
      <c r="PR93" s="40">
        <v>0</v>
      </c>
      <c r="PS93" s="40">
        <v>0</v>
      </c>
      <c r="PT93" s="42">
        <v>0</v>
      </c>
      <c r="PU93" s="47"/>
      <c r="PV93" s="45">
        <v>56</v>
      </c>
      <c r="PW93" s="40">
        <v>100</v>
      </c>
      <c r="PX93" s="40">
        <v>40</v>
      </c>
      <c r="PY93" s="40">
        <v>90</v>
      </c>
      <c r="PZ93" s="39">
        <v>-94</v>
      </c>
      <c r="QA93" s="47">
        <v>47</v>
      </c>
      <c r="QB93" s="45">
        <v>120</v>
      </c>
      <c r="QC93" s="40">
        <v>120</v>
      </c>
      <c r="QD93" s="42">
        <v>0</v>
      </c>
      <c r="QE93" s="47"/>
      <c r="QF93" s="45">
        <v>80</v>
      </c>
      <c r="QG93" s="40">
        <v>84</v>
      </c>
      <c r="QH93" s="40">
        <v>96</v>
      </c>
      <c r="QI93" s="40">
        <v>100</v>
      </c>
      <c r="QJ93" s="42">
        <v>-8</v>
      </c>
      <c r="QK93" s="47"/>
      <c r="QL93" s="45">
        <v>0</v>
      </c>
      <c r="QM93" s="40">
        <v>0</v>
      </c>
      <c r="QN93" s="40">
        <v>0</v>
      </c>
      <c r="QO93" s="40">
        <v>0</v>
      </c>
      <c r="QP93" s="42">
        <v>0</v>
      </c>
      <c r="QQ93" s="47"/>
      <c r="QR93" s="45">
        <v>136</v>
      </c>
      <c r="QS93" s="40">
        <v>130</v>
      </c>
      <c r="QT93" s="40">
        <v>0</v>
      </c>
      <c r="QU93" s="40">
        <v>0</v>
      </c>
      <c r="QV93" s="42">
        <v>6</v>
      </c>
      <c r="QW93" s="47"/>
      <c r="QX93" s="45">
        <v>0</v>
      </c>
      <c r="QY93" s="40">
        <v>0</v>
      </c>
      <c r="QZ93" s="40">
        <v>0</v>
      </c>
      <c r="RA93" s="40">
        <v>0</v>
      </c>
      <c r="RB93" s="42">
        <v>0</v>
      </c>
      <c r="RC93" s="47"/>
      <c r="RD93" s="45">
        <v>200</v>
      </c>
      <c r="RE93" s="40">
        <v>201.4</v>
      </c>
      <c r="RF93" s="42">
        <v>-1.4000000000000059</v>
      </c>
      <c r="RG93" s="47"/>
    </row>
    <row r="94" spans="1:475" x14ac:dyDescent="0.25">
      <c r="A94" s="40" t="s">
        <v>383</v>
      </c>
      <c r="B94" s="41">
        <v>0.41</v>
      </c>
      <c r="N94" s="43"/>
      <c r="O94" s="48"/>
      <c r="P94" s="48"/>
      <c r="Q94" s="48"/>
      <c r="R94" s="48">
        <f t="shared" si="13"/>
        <v>0</v>
      </c>
      <c r="S94" s="44"/>
      <c r="T94" s="43"/>
      <c r="U94" s="48"/>
      <c r="V94" s="48"/>
      <c r="W94" s="48"/>
      <c r="X94" s="48">
        <f t="shared" si="14"/>
        <v>0</v>
      </c>
      <c r="Y94" s="44"/>
      <c r="Z94" s="43"/>
      <c r="AA94" s="48"/>
      <c r="AB94" s="48"/>
      <c r="AC94" s="48"/>
      <c r="AD94" s="48">
        <f t="shared" si="15"/>
        <v>0</v>
      </c>
      <c r="AE94" s="44"/>
      <c r="AF94" s="43"/>
      <c r="AG94" s="48"/>
      <c r="AH94" s="48"/>
      <c r="AI94" s="48"/>
      <c r="AJ94" s="48">
        <f t="shared" si="16"/>
        <v>0</v>
      </c>
      <c r="AK94" s="44"/>
      <c r="AL94" s="48"/>
      <c r="AP94" s="42">
        <v>0</v>
      </c>
      <c r="AQ94" s="44"/>
      <c r="AR94" s="43"/>
      <c r="AV94" s="42">
        <v>0</v>
      </c>
      <c r="AW94" s="44"/>
      <c r="BC94" s="42">
        <v>0</v>
      </c>
      <c r="BD94" s="44"/>
      <c r="BE94" s="43"/>
      <c r="BI94" s="42">
        <v>0</v>
      </c>
      <c r="BJ94" s="44"/>
      <c r="BO94" s="42">
        <v>0</v>
      </c>
      <c r="BP94" s="44"/>
      <c r="BS94" s="42">
        <v>0</v>
      </c>
      <c r="BT94" s="44"/>
      <c r="BU94" s="43"/>
      <c r="BY94" s="42">
        <v>0</v>
      </c>
      <c r="BZ94" s="44"/>
      <c r="CE94" s="42">
        <v>0</v>
      </c>
      <c r="CF94" s="44"/>
      <c r="CG94" s="43"/>
      <c r="CK94" s="42">
        <v>0</v>
      </c>
      <c r="CL94" s="44"/>
      <c r="CM94" s="43"/>
      <c r="CQ94" s="42">
        <v>0</v>
      </c>
      <c r="CR94" s="44"/>
      <c r="CW94" s="42">
        <v>0</v>
      </c>
      <c r="CX94" s="44"/>
      <c r="CY94" s="43"/>
      <c r="DC94" s="42">
        <v>0</v>
      </c>
      <c r="DD94" s="44"/>
      <c r="DE94" s="43"/>
      <c r="DK94" s="42">
        <v>0</v>
      </c>
      <c r="DL94" s="44"/>
      <c r="DM94" s="43"/>
      <c r="DQ94" s="42">
        <v>0</v>
      </c>
      <c r="DR94" s="44"/>
      <c r="DY94" s="42">
        <v>0</v>
      </c>
      <c r="DZ94" s="44"/>
      <c r="EA94" s="43"/>
      <c r="EE94" s="42">
        <v>0</v>
      </c>
      <c r="EF94" s="44"/>
      <c r="EG94" s="43"/>
      <c r="EK94" s="42">
        <v>0</v>
      </c>
      <c r="EL94" s="44"/>
      <c r="EM94" s="43"/>
      <c r="EQ94" s="42">
        <v>0</v>
      </c>
      <c r="ER94" s="44"/>
      <c r="EY94" s="42">
        <v>0</v>
      </c>
      <c r="EZ94" s="44"/>
      <c r="FE94" s="42">
        <v>0</v>
      </c>
      <c r="FF94" s="44"/>
      <c r="FG94" s="43"/>
      <c r="FK94" s="42">
        <v>0</v>
      </c>
      <c r="FL94" s="44"/>
      <c r="FM94" s="43"/>
      <c r="FO94" s="42">
        <v>0</v>
      </c>
      <c r="FP94" s="44"/>
      <c r="FU94" s="42">
        <v>0</v>
      </c>
      <c r="FV94" s="44"/>
      <c r="FW94" s="43"/>
      <c r="GC94" s="42">
        <v>0</v>
      </c>
      <c r="GD94" s="44"/>
      <c r="GI94" s="42">
        <v>0</v>
      </c>
      <c r="GJ94" s="44"/>
      <c r="GK94" s="43"/>
      <c r="GO94" s="42">
        <v>0</v>
      </c>
      <c r="GP94" s="47"/>
      <c r="GU94" s="42">
        <v>0</v>
      </c>
      <c r="GV94" s="44"/>
      <c r="GY94" s="42">
        <v>0</v>
      </c>
      <c r="GZ94" s="47"/>
      <c r="HA94" s="43"/>
      <c r="HC94" s="42">
        <v>0</v>
      </c>
      <c r="HD94" s="44"/>
      <c r="HE94" s="43"/>
      <c r="HI94" s="42">
        <v>0</v>
      </c>
      <c r="HJ94" s="47"/>
      <c r="HK94" s="43"/>
      <c r="HO94" s="42">
        <v>0</v>
      </c>
      <c r="HP94" s="44"/>
      <c r="HV94" s="42">
        <v>0</v>
      </c>
      <c r="HW94" s="44"/>
      <c r="HX94" s="45"/>
      <c r="IB94" s="42">
        <v>0</v>
      </c>
      <c r="IC94" s="44"/>
      <c r="IH94" s="42">
        <v>0</v>
      </c>
      <c r="II94" s="47"/>
      <c r="IN94" s="42">
        <v>0</v>
      </c>
      <c r="IO94" s="47"/>
      <c r="IP94">
        <v>250</v>
      </c>
      <c r="IQ94">
        <v>250</v>
      </c>
      <c r="IR94">
        <v>230</v>
      </c>
      <c r="IS94">
        <v>230</v>
      </c>
      <c r="IT94" s="42">
        <v>0</v>
      </c>
      <c r="IU94" s="47"/>
      <c r="IV94">
        <v>480</v>
      </c>
      <c r="IW94">
        <v>480</v>
      </c>
      <c r="IX94">
        <v>310</v>
      </c>
      <c r="IY94">
        <v>420</v>
      </c>
      <c r="IZ94" s="39">
        <v>-110</v>
      </c>
      <c r="JA94" s="44">
        <v>45.099999999999987</v>
      </c>
      <c r="JB94">
        <v>220</v>
      </c>
      <c r="JC94">
        <v>220</v>
      </c>
      <c r="JD94" s="42">
        <v>0</v>
      </c>
      <c r="JE94" s="44"/>
      <c r="JF94">
        <v>300</v>
      </c>
      <c r="JG94">
        <v>300</v>
      </c>
      <c r="JH94">
        <v>250</v>
      </c>
      <c r="JI94">
        <v>251</v>
      </c>
      <c r="JJ94" s="42">
        <v>-1</v>
      </c>
      <c r="JK94" s="44"/>
      <c r="JL94" s="46">
        <v>280</v>
      </c>
      <c r="JM94" s="40">
        <v>280</v>
      </c>
      <c r="JN94" s="42">
        <v>0</v>
      </c>
      <c r="JO94" s="44"/>
      <c r="JR94">
        <v>280</v>
      </c>
      <c r="JS94">
        <v>280</v>
      </c>
      <c r="JT94" s="42">
        <v>0</v>
      </c>
      <c r="JU94" s="44"/>
      <c r="JV94">
        <v>170</v>
      </c>
      <c r="JW94">
        <v>170</v>
      </c>
      <c r="JZ94" s="42">
        <v>0</v>
      </c>
      <c r="KA94" s="47"/>
      <c r="KB94">
        <v>30</v>
      </c>
      <c r="KC94">
        <v>30</v>
      </c>
      <c r="KF94" s="42">
        <v>0</v>
      </c>
      <c r="KG94" s="44"/>
      <c r="KH94">
        <v>200</v>
      </c>
      <c r="KI94">
        <v>200</v>
      </c>
      <c r="KJ94">
        <v>550</v>
      </c>
      <c r="KK94">
        <v>551</v>
      </c>
      <c r="KL94" s="42">
        <v>-1</v>
      </c>
      <c r="KM94" s="47"/>
      <c r="KN94" s="46">
        <v>100</v>
      </c>
      <c r="KO94">
        <v>100</v>
      </c>
      <c r="KP94">
        <v>130</v>
      </c>
      <c r="KQ94">
        <v>130</v>
      </c>
      <c r="KR94">
        <v>340</v>
      </c>
      <c r="KS94">
        <v>70</v>
      </c>
      <c r="KT94" s="42">
        <v>270</v>
      </c>
      <c r="KU94" s="47"/>
      <c r="KV94" s="40">
        <v>300</v>
      </c>
      <c r="KW94" s="40">
        <v>300</v>
      </c>
      <c r="KX94" s="40">
        <v>380</v>
      </c>
      <c r="KY94" s="40">
        <v>380</v>
      </c>
      <c r="KZ94" s="42">
        <v>0</v>
      </c>
      <c r="LA94" s="47"/>
      <c r="LB94" s="40">
        <v>150</v>
      </c>
      <c r="LC94" s="40">
        <v>150</v>
      </c>
      <c r="LD94" s="40">
        <v>160</v>
      </c>
      <c r="LE94" s="40">
        <v>160</v>
      </c>
      <c r="LF94" s="42">
        <v>0</v>
      </c>
      <c r="LG94" s="47"/>
      <c r="LH94" s="45">
        <v>170</v>
      </c>
      <c r="LI94" s="40">
        <v>179</v>
      </c>
      <c r="LJ94" s="42">
        <v>-9</v>
      </c>
      <c r="LK94" s="47"/>
      <c r="LL94" s="45">
        <v>0</v>
      </c>
      <c r="LM94" s="40">
        <v>0</v>
      </c>
      <c r="LN94" s="40">
        <v>0</v>
      </c>
      <c r="LO94" s="40">
        <v>0</v>
      </c>
      <c r="LP94" s="42">
        <v>0</v>
      </c>
      <c r="LQ94" s="47"/>
      <c r="LR94" s="45">
        <v>200</v>
      </c>
      <c r="LS94" s="40">
        <v>200</v>
      </c>
      <c r="LT94" s="40">
        <v>160</v>
      </c>
      <c r="LU94" s="40">
        <v>160</v>
      </c>
      <c r="LV94" s="42">
        <v>0</v>
      </c>
      <c r="LW94" s="47"/>
      <c r="LX94" s="45">
        <v>620</v>
      </c>
      <c r="LY94" s="40">
        <v>620</v>
      </c>
      <c r="LZ94" s="42">
        <v>0</v>
      </c>
      <c r="MA94" s="47"/>
      <c r="MB94" s="45">
        <v>0</v>
      </c>
      <c r="MC94" s="40">
        <v>0</v>
      </c>
      <c r="MD94" s="40">
        <v>0</v>
      </c>
      <c r="ME94" s="40">
        <v>0</v>
      </c>
      <c r="MF94" s="42">
        <v>0</v>
      </c>
      <c r="MG94" s="47"/>
      <c r="MH94" s="45">
        <v>1420</v>
      </c>
      <c r="MI94" s="40">
        <v>1450</v>
      </c>
      <c r="MJ94" s="39">
        <v>-30</v>
      </c>
      <c r="MK94" s="47">
        <v>12.3</v>
      </c>
      <c r="ML94" s="45">
        <v>0</v>
      </c>
      <c r="MM94" s="40">
        <v>0</v>
      </c>
      <c r="MN94" s="40">
        <v>200</v>
      </c>
      <c r="MO94" s="40">
        <v>200</v>
      </c>
      <c r="MP94" s="42">
        <v>0</v>
      </c>
      <c r="MQ94" s="47"/>
      <c r="MR94" s="40">
        <v>0</v>
      </c>
      <c r="MS94" s="40">
        <v>0</v>
      </c>
      <c r="MT94" s="40">
        <v>1800</v>
      </c>
      <c r="MU94" s="40">
        <v>1800</v>
      </c>
      <c r="MV94" s="42">
        <v>0</v>
      </c>
      <c r="MW94" s="47"/>
      <c r="MX94" s="45">
        <v>100</v>
      </c>
      <c r="MY94" s="40">
        <v>100</v>
      </c>
      <c r="MZ94" s="40">
        <v>100</v>
      </c>
      <c r="NA94" s="40">
        <v>100</v>
      </c>
      <c r="NB94" s="42">
        <v>0</v>
      </c>
      <c r="NC94" s="47"/>
      <c r="ND94" s="45">
        <v>0</v>
      </c>
      <c r="NE94" s="30">
        <v>150</v>
      </c>
      <c r="NF94" s="40">
        <v>190</v>
      </c>
      <c r="NG94" s="40">
        <v>200</v>
      </c>
      <c r="NH94" s="39">
        <v>-160</v>
      </c>
      <c r="NI94" s="47">
        <v>65.599999999999994</v>
      </c>
      <c r="NJ94" s="45">
        <v>600</v>
      </c>
      <c r="NK94" s="40">
        <v>600</v>
      </c>
      <c r="NL94" s="40">
        <v>790</v>
      </c>
      <c r="NM94" s="40">
        <v>794</v>
      </c>
      <c r="NN94" s="42">
        <v>-4</v>
      </c>
      <c r="NO94" s="47"/>
      <c r="NP94" s="25">
        <v>300</v>
      </c>
      <c r="NQ94" s="40">
        <v>0</v>
      </c>
      <c r="NR94" s="40">
        <v>100</v>
      </c>
      <c r="NS94" s="40">
        <v>100</v>
      </c>
      <c r="NT94" s="42">
        <v>300</v>
      </c>
      <c r="NU94" s="47"/>
      <c r="NV94" s="45">
        <v>120</v>
      </c>
      <c r="NW94" s="40">
        <v>120</v>
      </c>
      <c r="NX94" s="40">
        <v>130</v>
      </c>
      <c r="NY94" s="40">
        <v>130</v>
      </c>
      <c r="NZ94" s="42">
        <v>0</v>
      </c>
      <c r="OA94" s="47"/>
      <c r="OB94" s="45">
        <v>930</v>
      </c>
      <c r="OC94" s="40">
        <v>930</v>
      </c>
      <c r="OD94" s="42">
        <v>0</v>
      </c>
      <c r="OE94" s="47"/>
      <c r="OF94" s="45">
        <v>150</v>
      </c>
      <c r="OG94" s="40">
        <v>150</v>
      </c>
      <c r="OH94" s="40">
        <v>200</v>
      </c>
      <c r="OI94" s="40">
        <v>200</v>
      </c>
      <c r="OJ94" s="42">
        <v>0</v>
      </c>
      <c r="OK94" s="47"/>
      <c r="OL94" s="45">
        <v>0</v>
      </c>
      <c r="OM94" s="40">
        <v>0</v>
      </c>
      <c r="ON94" s="40">
        <v>60</v>
      </c>
      <c r="OO94" s="40">
        <v>61</v>
      </c>
      <c r="OP94" s="42">
        <v>-1</v>
      </c>
      <c r="OQ94" s="47"/>
      <c r="OR94" s="45">
        <v>0</v>
      </c>
      <c r="OS94" s="30">
        <v>750</v>
      </c>
      <c r="OT94" s="40">
        <v>550</v>
      </c>
      <c r="OU94" s="40">
        <v>550</v>
      </c>
      <c r="OV94" s="39">
        <v>-750</v>
      </c>
      <c r="OW94" s="47">
        <v>307.5</v>
      </c>
      <c r="OX94" s="40">
        <v>0</v>
      </c>
      <c r="OY94" s="14">
        <v>283</v>
      </c>
      <c r="OZ94" s="40">
        <v>0</v>
      </c>
      <c r="PA94" s="14">
        <v>282</v>
      </c>
      <c r="PB94" s="42">
        <v>-5</v>
      </c>
      <c r="PC94" s="47"/>
      <c r="PD94" s="45">
        <v>0</v>
      </c>
      <c r="PE94" s="30">
        <v>300</v>
      </c>
      <c r="PF94" s="40">
        <v>0</v>
      </c>
      <c r="PG94" s="30">
        <v>266</v>
      </c>
      <c r="PH94" s="39">
        <v>-566</v>
      </c>
      <c r="PI94" s="47">
        <v>232.06</v>
      </c>
      <c r="PJ94" s="45">
        <v>750</v>
      </c>
      <c r="PK94" s="40">
        <v>750</v>
      </c>
      <c r="PL94" s="40">
        <v>750</v>
      </c>
      <c r="PM94" s="40">
        <v>750</v>
      </c>
      <c r="PN94" s="42">
        <v>0</v>
      </c>
      <c r="PO94" s="47"/>
      <c r="PP94" s="43">
        <v>0</v>
      </c>
      <c r="PQ94" s="14">
        <v>100</v>
      </c>
      <c r="PR94" s="40">
        <v>0</v>
      </c>
      <c r="PS94" s="14">
        <v>150</v>
      </c>
      <c r="PT94" s="42" t="e">
        <v>#REF!</v>
      </c>
      <c r="PU94" s="47"/>
      <c r="PV94" s="45">
        <v>800</v>
      </c>
      <c r="PW94" s="40">
        <v>800</v>
      </c>
      <c r="PX94" s="40">
        <v>600</v>
      </c>
      <c r="PY94" s="40">
        <v>600</v>
      </c>
      <c r="PZ94" s="42">
        <v>0</v>
      </c>
      <c r="QA94" s="47"/>
      <c r="QB94" s="45">
        <v>1130</v>
      </c>
      <c r="QC94" s="40">
        <v>1136</v>
      </c>
      <c r="QD94" s="42">
        <v>-6</v>
      </c>
      <c r="QE94" s="47"/>
      <c r="QF94" s="45">
        <v>390</v>
      </c>
      <c r="QG94" s="40">
        <v>391</v>
      </c>
      <c r="QH94" s="40">
        <v>550</v>
      </c>
      <c r="QI94" s="40">
        <v>550</v>
      </c>
      <c r="QJ94" s="42">
        <v>-1</v>
      </c>
      <c r="QK94" s="47"/>
      <c r="QL94" s="45">
        <v>450</v>
      </c>
      <c r="QM94" s="40">
        <v>450</v>
      </c>
      <c r="QN94" s="40">
        <v>650</v>
      </c>
      <c r="QO94" s="40">
        <v>650</v>
      </c>
      <c r="QP94" s="42">
        <v>0</v>
      </c>
      <c r="QQ94" s="47"/>
      <c r="QR94" s="45">
        <v>80</v>
      </c>
      <c r="QS94" s="40">
        <v>80</v>
      </c>
      <c r="QT94" s="40">
        <v>200</v>
      </c>
      <c r="QU94" s="40">
        <v>120</v>
      </c>
      <c r="QV94" s="42">
        <v>80</v>
      </c>
      <c r="QW94" s="47"/>
      <c r="QX94" s="45">
        <v>500</v>
      </c>
      <c r="QY94" s="40">
        <v>507</v>
      </c>
      <c r="QZ94" s="40">
        <v>0</v>
      </c>
      <c r="RA94" s="40">
        <v>0</v>
      </c>
      <c r="RB94" s="42">
        <v>-7</v>
      </c>
      <c r="RC94" s="47"/>
      <c r="RD94" s="45">
        <v>1430</v>
      </c>
      <c r="RE94" s="40">
        <v>1432.8</v>
      </c>
      <c r="RF94" s="42">
        <v>-2.8000000000001819</v>
      </c>
      <c r="RG94" s="47"/>
    </row>
    <row r="95" spans="1:475" x14ac:dyDescent="0.25">
      <c r="A95" s="40" t="s">
        <v>384</v>
      </c>
      <c r="B95" s="41">
        <v>0.41</v>
      </c>
      <c r="E95">
        <v>120</v>
      </c>
      <c r="F95">
        <v>180</v>
      </c>
      <c r="N95" s="43"/>
      <c r="O95" s="48"/>
      <c r="P95" s="48"/>
      <c r="Q95" s="48"/>
      <c r="R95" s="48">
        <f t="shared" si="13"/>
        <v>0</v>
      </c>
      <c r="S95" s="44"/>
      <c r="T95" s="46">
        <v>120</v>
      </c>
      <c r="U95" s="49">
        <v>120</v>
      </c>
      <c r="V95" s="49">
        <v>130</v>
      </c>
      <c r="W95" s="49">
        <v>130</v>
      </c>
      <c r="X95" s="48">
        <f t="shared" si="14"/>
        <v>0</v>
      </c>
      <c r="Y95" s="44"/>
      <c r="Z95" s="43"/>
      <c r="AA95" s="48"/>
      <c r="AB95" s="49">
        <v>10</v>
      </c>
      <c r="AC95" s="49">
        <v>10</v>
      </c>
      <c r="AD95" s="48">
        <f t="shared" si="15"/>
        <v>0</v>
      </c>
      <c r="AE95" s="44"/>
      <c r="AF95" s="46">
        <v>40</v>
      </c>
      <c r="AG95" s="49">
        <v>47</v>
      </c>
      <c r="AH95" s="48"/>
      <c r="AI95" s="48"/>
      <c r="AJ95" s="48">
        <f t="shared" si="16"/>
        <v>-7</v>
      </c>
      <c r="AK95" s="44"/>
      <c r="AL95" s="48"/>
      <c r="AP95" s="42">
        <v>0</v>
      </c>
      <c r="AQ95" s="44"/>
      <c r="AR95" s="43"/>
      <c r="AT95">
        <v>180</v>
      </c>
      <c r="AU95">
        <v>180</v>
      </c>
      <c r="AV95" s="42">
        <v>0</v>
      </c>
      <c r="AW95" s="44"/>
      <c r="AX95">
        <v>50</v>
      </c>
      <c r="AZ95">
        <v>50</v>
      </c>
      <c r="BA95">
        <v>100</v>
      </c>
      <c r="BB95">
        <v>100</v>
      </c>
      <c r="BC95" s="42">
        <v>0</v>
      </c>
      <c r="BD95" s="44"/>
      <c r="BE95" s="43"/>
      <c r="BI95" s="42">
        <v>0</v>
      </c>
      <c r="BJ95" s="44"/>
      <c r="BO95" s="42">
        <v>0</v>
      </c>
      <c r="BP95" s="44"/>
      <c r="BS95" s="42">
        <v>0</v>
      </c>
      <c r="BT95" s="44"/>
      <c r="BU95" s="46">
        <v>230</v>
      </c>
      <c r="BV95">
        <v>230</v>
      </c>
      <c r="BY95" s="42">
        <v>0</v>
      </c>
      <c r="BZ95" s="44"/>
      <c r="CE95" s="42">
        <v>0</v>
      </c>
      <c r="CF95" s="44"/>
      <c r="CG95" s="43"/>
      <c r="CI95">
        <v>80</v>
      </c>
      <c r="CJ95">
        <v>80</v>
      </c>
      <c r="CK95" s="42">
        <v>0</v>
      </c>
      <c r="CL95" s="44"/>
      <c r="CM95" s="43">
        <v>100</v>
      </c>
      <c r="CN95" s="42">
        <v>100</v>
      </c>
      <c r="CQ95" s="42">
        <v>0</v>
      </c>
      <c r="CR95" s="44"/>
      <c r="CW95" s="42">
        <v>0</v>
      </c>
      <c r="CX95" s="44"/>
      <c r="CY95" s="43"/>
      <c r="DC95" s="42">
        <v>0</v>
      </c>
      <c r="DD95" s="44"/>
      <c r="DE95" s="45"/>
      <c r="DK95" s="42">
        <v>0</v>
      </c>
      <c r="DL95" s="44"/>
      <c r="DM95" s="45"/>
      <c r="DQ95" s="42">
        <v>0</v>
      </c>
      <c r="DR95" s="44"/>
      <c r="DZ95" s="44"/>
      <c r="EA95" s="43"/>
      <c r="EF95" s="44"/>
      <c r="EG95" s="43"/>
      <c r="EL95" s="44"/>
      <c r="EM95" s="43"/>
      <c r="ER95" s="44"/>
      <c r="EZ95" s="44"/>
      <c r="FF95" s="44"/>
      <c r="FG95" s="43"/>
      <c r="FL95" s="44"/>
      <c r="FM95" s="43"/>
      <c r="FP95" s="44"/>
      <c r="FV95" s="44"/>
      <c r="FW95" s="43"/>
      <c r="GD95" s="44"/>
      <c r="GJ95" s="44"/>
      <c r="GK95" s="43"/>
      <c r="GP95" s="47"/>
      <c r="GV95" s="44"/>
      <c r="GZ95" s="47"/>
      <c r="HA95" s="43"/>
      <c r="HD95" s="44"/>
      <c r="HE95" s="43"/>
      <c r="HJ95" s="47"/>
      <c r="HK95" s="43"/>
      <c r="HP95" s="44"/>
      <c r="HW95" s="44"/>
      <c r="HX95" s="45"/>
      <c r="IC95" s="44"/>
      <c r="II95" s="47"/>
      <c r="IO95" s="47"/>
      <c r="IU95" s="47"/>
      <c r="JA95" s="44"/>
      <c r="JE95" s="44"/>
      <c r="JK95" s="44"/>
      <c r="JL95" s="46"/>
      <c r="JO95" s="44"/>
      <c r="JU95" s="44"/>
      <c r="KA95" s="47"/>
      <c r="KG95" s="44"/>
      <c r="KM95" s="47"/>
      <c r="KN95" s="46"/>
      <c r="KU95" s="47"/>
      <c r="LA95" s="47"/>
      <c r="LG95" s="47"/>
      <c r="LH95" s="45"/>
      <c r="LK95" s="47"/>
      <c r="LL95" s="45"/>
      <c r="LQ95" s="47"/>
      <c r="LR95" s="45"/>
      <c r="LV95" s="42"/>
      <c r="LW95" s="47"/>
      <c r="LX95" s="45"/>
      <c r="LZ95" s="42"/>
      <c r="MA95" s="47"/>
      <c r="MB95" s="45"/>
      <c r="MF95" s="42"/>
      <c r="MG95" s="47"/>
      <c r="MH95" s="45"/>
      <c r="MJ95" s="42"/>
      <c r="MK95" s="47"/>
      <c r="ML95" s="45"/>
      <c r="MP95" s="42"/>
      <c r="MQ95" s="47"/>
      <c r="MV95" s="42"/>
      <c r="MW95" s="47"/>
      <c r="MX95" s="45"/>
      <c r="NB95" s="42"/>
      <c r="NC95" s="47"/>
      <c r="ND95" s="45"/>
      <c r="NH95" s="42"/>
      <c r="NI95" s="47"/>
      <c r="NJ95" s="45"/>
      <c r="NN95" s="42"/>
      <c r="NO95" s="47"/>
      <c r="NP95" s="45"/>
      <c r="NT95" s="42"/>
      <c r="NU95" s="47"/>
      <c r="NV95" s="45"/>
      <c r="NZ95" s="42"/>
      <c r="OA95" s="47"/>
      <c r="OB95" s="45"/>
      <c r="OD95" s="42"/>
      <c r="OE95" s="47"/>
      <c r="OF95" s="45"/>
      <c r="OJ95" s="42"/>
      <c r="OK95" s="47"/>
      <c r="OL95" s="45"/>
      <c r="OP95" s="42"/>
      <c r="OQ95" s="47"/>
      <c r="OR95" s="45"/>
      <c r="OV95" s="42"/>
      <c r="OW95" s="47"/>
      <c r="PB95" s="42"/>
      <c r="PC95" s="47"/>
      <c r="PD95" s="45"/>
      <c r="PH95" s="42"/>
      <c r="PI95" s="47"/>
      <c r="PJ95" s="45"/>
      <c r="PN95" s="42"/>
      <c r="PO95" s="47"/>
      <c r="PP95" s="43"/>
      <c r="PT95" s="42"/>
      <c r="PU95" s="47"/>
      <c r="PV95" s="45"/>
      <c r="PZ95" s="42"/>
      <c r="QA95" s="47"/>
      <c r="QB95" s="45"/>
      <c r="QD95" s="42"/>
      <c r="QE95" s="47"/>
      <c r="QF95" s="45"/>
      <c r="QJ95" s="42"/>
      <c r="QK95" s="47"/>
      <c r="QL95" s="45"/>
      <c r="QP95" s="42"/>
      <c r="QQ95" s="47"/>
      <c r="QR95" s="45"/>
      <c r="QV95" s="42"/>
      <c r="QW95" s="47"/>
      <c r="QX95" s="45"/>
      <c r="RB95" s="42"/>
      <c r="RC95" s="47"/>
      <c r="RD95" s="45"/>
      <c r="RF95" s="42"/>
      <c r="RG95" s="47"/>
    </row>
    <row r="96" spans="1:475" x14ac:dyDescent="0.25">
      <c r="A96" s="40" t="s">
        <v>385</v>
      </c>
      <c r="B96" s="41">
        <v>0.41</v>
      </c>
      <c r="N96" s="43"/>
      <c r="O96" s="48"/>
      <c r="P96" s="48"/>
      <c r="Q96" s="48"/>
      <c r="R96" s="48">
        <f t="shared" si="13"/>
        <v>0</v>
      </c>
      <c r="S96" s="44"/>
      <c r="T96" s="43"/>
      <c r="U96" s="48"/>
      <c r="V96" s="48"/>
      <c r="W96" s="48"/>
      <c r="X96" s="48">
        <f t="shared" si="14"/>
        <v>0</v>
      </c>
      <c r="Y96" s="44"/>
      <c r="Z96" s="43"/>
      <c r="AA96" s="48"/>
      <c r="AB96" s="48"/>
      <c r="AC96" s="48"/>
      <c r="AD96" s="48">
        <f t="shared" si="15"/>
        <v>0</v>
      </c>
      <c r="AE96" s="44"/>
      <c r="AF96" s="43"/>
      <c r="AG96" s="48"/>
      <c r="AH96" s="48"/>
      <c r="AI96" s="48"/>
      <c r="AJ96" s="48">
        <f t="shared" si="16"/>
        <v>0</v>
      </c>
      <c r="AK96" s="44"/>
      <c r="AL96" s="48"/>
      <c r="AP96" s="42">
        <v>0</v>
      </c>
      <c r="AQ96" s="44"/>
      <c r="AR96" s="43"/>
      <c r="AV96" s="42">
        <v>0</v>
      </c>
      <c r="AW96" s="44"/>
      <c r="BC96" s="42">
        <v>0</v>
      </c>
      <c r="BD96" s="44"/>
      <c r="BE96" s="43"/>
      <c r="BI96" s="42">
        <v>0</v>
      </c>
      <c r="BJ96" s="44"/>
      <c r="BO96" s="42">
        <v>0</v>
      </c>
      <c r="BP96" s="44"/>
      <c r="BS96" s="42">
        <v>0</v>
      </c>
      <c r="BT96" s="44"/>
      <c r="BU96" s="43"/>
      <c r="BY96" s="42">
        <v>0</v>
      </c>
      <c r="BZ96" s="44"/>
      <c r="CE96" s="42">
        <v>0</v>
      </c>
      <c r="CF96" s="44"/>
      <c r="CG96" s="43"/>
      <c r="CK96" s="42">
        <v>0</v>
      </c>
      <c r="CL96" s="44"/>
      <c r="CM96" s="43"/>
      <c r="CQ96" s="42">
        <v>0</v>
      </c>
      <c r="CR96" s="44"/>
      <c r="CW96" s="42">
        <v>0</v>
      </c>
      <c r="CX96" s="44"/>
      <c r="CY96" s="43"/>
      <c r="DC96" s="42">
        <v>0</v>
      </c>
      <c r="DD96" s="44"/>
      <c r="DE96" s="43"/>
      <c r="DK96" s="42">
        <v>0</v>
      </c>
      <c r="DL96" s="44"/>
      <c r="DM96" s="43"/>
      <c r="DQ96" s="42">
        <v>0</v>
      </c>
      <c r="DR96" s="44"/>
      <c r="DY96" s="42">
        <v>0</v>
      </c>
      <c r="DZ96" s="44"/>
      <c r="EA96" s="43"/>
      <c r="EE96" s="42">
        <v>0</v>
      </c>
      <c r="EF96" s="44"/>
      <c r="EG96" s="43"/>
      <c r="EK96" s="42">
        <v>0</v>
      </c>
      <c r="EL96" s="44"/>
      <c r="EM96" s="43"/>
      <c r="EQ96" s="42">
        <v>0</v>
      </c>
      <c r="ER96" s="44"/>
      <c r="EY96" s="42">
        <v>0</v>
      </c>
      <c r="EZ96" s="44"/>
      <c r="FE96" s="42">
        <v>0</v>
      </c>
      <c r="FF96" s="44"/>
      <c r="FG96" s="43"/>
      <c r="FK96" s="42">
        <v>0</v>
      </c>
      <c r="FL96" s="44"/>
      <c r="FM96" s="43"/>
      <c r="FO96" s="42">
        <v>0</v>
      </c>
      <c r="FP96" s="44"/>
      <c r="FU96" s="42">
        <v>0</v>
      </c>
      <c r="FV96" s="44"/>
      <c r="FW96" s="43"/>
      <c r="GC96" s="42">
        <v>0</v>
      </c>
      <c r="GD96" s="44"/>
      <c r="GI96" s="42">
        <v>0</v>
      </c>
      <c r="GJ96" s="44"/>
      <c r="GK96" s="43"/>
      <c r="GO96" s="42">
        <v>0</v>
      </c>
      <c r="GP96" s="47"/>
      <c r="GU96" s="42">
        <v>0</v>
      </c>
      <c r="GV96" s="44"/>
      <c r="GY96" s="42">
        <v>0</v>
      </c>
      <c r="GZ96" s="47"/>
      <c r="HA96" s="43"/>
      <c r="HC96" s="42">
        <v>0</v>
      </c>
      <c r="HD96" s="44"/>
      <c r="HE96" s="43"/>
      <c r="HI96" s="42">
        <v>0</v>
      </c>
      <c r="HJ96" s="47"/>
      <c r="HK96" s="43"/>
      <c r="HO96" s="42">
        <v>0</v>
      </c>
      <c r="HP96" s="44"/>
      <c r="HV96" s="42">
        <v>0</v>
      </c>
      <c r="HW96" s="44"/>
      <c r="HX96" s="45"/>
      <c r="IB96" s="42">
        <v>0</v>
      </c>
      <c r="IC96" s="44"/>
      <c r="IH96" s="42">
        <v>0</v>
      </c>
      <c r="II96" s="47"/>
      <c r="IN96" s="42">
        <v>0</v>
      </c>
      <c r="IO96" s="47"/>
      <c r="IP96">
        <v>350</v>
      </c>
      <c r="IQ96">
        <v>350</v>
      </c>
      <c r="IR96">
        <v>310</v>
      </c>
      <c r="IS96">
        <v>310</v>
      </c>
      <c r="IT96" s="42">
        <v>0</v>
      </c>
      <c r="IU96" s="47"/>
      <c r="IV96">
        <v>190</v>
      </c>
      <c r="IW96">
        <v>230</v>
      </c>
      <c r="IX96">
        <v>220</v>
      </c>
      <c r="IY96">
        <v>220</v>
      </c>
      <c r="IZ96" s="39">
        <v>-40</v>
      </c>
      <c r="JA96" s="44">
        <v>16.399999999999999</v>
      </c>
      <c r="JB96">
        <v>230</v>
      </c>
      <c r="JC96">
        <v>230</v>
      </c>
      <c r="JD96" s="42">
        <v>0</v>
      </c>
      <c r="JE96" s="44"/>
      <c r="JF96">
        <v>200</v>
      </c>
      <c r="JG96">
        <v>200</v>
      </c>
      <c r="JH96">
        <v>180</v>
      </c>
      <c r="JI96">
        <v>180</v>
      </c>
      <c r="JJ96" s="42">
        <v>0</v>
      </c>
      <c r="JK96" s="44"/>
      <c r="JL96" s="46">
        <v>200</v>
      </c>
      <c r="JM96" s="40">
        <v>200</v>
      </c>
      <c r="JN96" s="42">
        <v>0</v>
      </c>
      <c r="JO96" s="44"/>
      <c r="JR96">
        <v>80</v>
      </c>
      <c r="JS96">
        <v>80</v>
      </c>
      <c r="JT96" s="42">
        <v>0</v>
      </c>
      <c r="JU96" s="44"/>
      <c r="JV96">
        <v>150</v>
      </c>
      <c r="JW96">
        <v>150</v>
      </c>
      <c r="JX96">
        <v>40</v>
      </c>
      <c r="JY96">
        <v>40</v>
      </c>
      <c r="JZ96" s="42">
        <v>0</v>
      </c>
      <c r="KA96" s="47"/>
      <c r="KB96">
        <v>120</v>
      </c>
      <c r="KC96">
        <v>140</v>
      </c>
      <c r="KD96">
        <v>200</v>
      </c>
      <c r="KE96">
        <v>200</v>
      </c>
      <c r="KF96" s="39">
        <v>-20</v>
      </c>
      <c r="KG96" s="47">
        <v>8.1999999999999993</v>
      </c>
      <c r="KH96">
        <v>100</v>
      </c>
      <c r="KI96">
        <v>100</v>
      </c>
      <c r="KJ96">
        <v>150</v>
      </c>
      <c r="KK96">
        <v>150</v>
      </c>
      <c r="KL96" s="42">
        <v>0</v>
      </c>
      <c r="KM96" s="47"/>
      <c r="KN96" s="46">
        <v>100</v>
      </c>
      <c r="KO96">
        <v>100</v>
      </c>
      <c r="KP96">
        <v>110</v>
      </c>
      <c r="KQ96">
        <v>110</v>
      </c>
      <c r="KR96">
        <v>60</v>
      </c>
      <c r="KS96">
        <v>60</v>
      </c>
      <c r="KT96" s="42">
        <v>0</v>
      </c>
      <c r="KU96" s="47"/>
      <c r="KV96" s="40">
        <v>290</v>
      </c>
      <c r="KW96" s="40">
        <v>290</v>
      </c>
      <c r="KX96" s="40">
        <v>380</v>
      </c>
      <c r="KY96" s="40">
        <v>380</v>
      </c>
      <c r="KZ96" s="42">
        <v>0</v>
      </c>
      <c r="LA96" s="47"/>
      <c r="LB96" s="40">
        <v>90</v>
      </c>
      <c r="LC96" s="40">
        <v>90</v>
      </c>
      <c r="LD96" s="40">
        <v>100</v>
      </c>
      <c r="LE96" s="40">
        <v>100</v>
      </c>
      <c r="LF96" s="42">
        <v>0</v>
      </c>
      <c r="LG96" s="47"/>
      <c r="LH96" s="45">
        <v>0</v>
      </c>
      <c r="LI96" s="40">
        <v>0</v>
      </c>
      <c r="LJ96" s="42">
        <v>0</v>
      </c>
      <c r="LK96" s="47"/>
      <c r="LL96" s="45">
        <v>0</v>
      </c>
      <c r="LM96" s="40">
        <v>0</v>
      </c>
      <c r="LN96" s="40">
        <v>0</v>
      </c>
      <c r="LO96" s="40">
        <v>0</v>
      </c>
      <c r="LP96" s="42">
        <v>0</v>
      </c>
      <c r="LQ96" s="47"/>
      <c r="LR96" s="45">
        <v>120</v>
      </c>
      <c r="LS96" s="40">
        <v>120</v>
      </c>
      <c r="LT96" s="40">
        <v>80</v>
      </c>
      <c r="LU96" s="40">
        <v>80</v>
      </c>
      <c r="LV96" s="42">
        <v>0</v>
      </c>
      <c r="LW96" s="47"/>
      <c r="LX96" s="45">
        <v>950</v>
      </c>
      <c r="LY96" s="40">
        <v>950</v>
      </c>
      <c r="LZ96" s="42">
        <v>0</v>
      </c>
      <c r="MA96" s="47"/>
      <c r="MB96" s="45">
        <v>0</v>
      </c>
      <c r="MC96" s="40">
        <v>0</v>
      </c>
      <c r="MD96" s="40">
        <v>0</v>
      </c>
      <c r="ME96" s="40">
        <v>0</v>
      </c>
      <c r="MF96" s="42">
        <v>0</v>
      </c>
      <c r="MG96" s="47"/>
      <c r="MH96" s="45">
        <v>930</v>
      </c>
      <c r="MI96" s="40">
        <v>929</v>
      </c>
      <c r="MJ96" s="42">
        <v>1</v>
      </c>
      <c r="MK96" s="47"/>
      <c r="ML96" s="45">
        <v>100</v>
      </c>
      <c r="MM96" s="40">
        <v>100</v>
      </c>
      <c r="MN96" s="40">
        <v>300</v>
      </c>
      <c r="MO96" s="40">
        <v>300</v>
      </c>
      <c r="MP96" s="42">
        <v>0</v>
      </c>
      <c r="MQ96" s="47"/>
      <c r="MR96" s="40">
        <v>0</v>
      </c>
      <c r="MS96" s="40">
        <v>0</v>
      </c>
      <c r="MT96" s="40">
        <v>470</v>
      </c>
      <c r="MU96" s="40">
        <v>470</v>
      </c>
      <c r="MV96" s="42">
        <v>0</v>
      </c>
      <c r="MW96" s="47"/>
      <c r="MX96" s="45">
        <v>150</v>
      </c>
      <c r="MY96" s="40">
        <v>150</v>
      </c>
      <c r="MZ96" s="40">
        <v>200</v>
      </c>
      <c r="NA96" s="40">
        <v>200</v>
      </c>
      <c r="NB96" s="42">
        <v>0</v>
      </c>
      <c r="NC96" s="47"/>
      <c r="ND96" s="45">
        <v>0</v>
      </c>
      <c r="NE96" s="30">
        <v>100</v>
      </c>
      <c r="NF96" s="40">
        <v>530</v>
      </c>
      <c r="NG96" s="40">
        <v>533</v>
      </c>
      <c r="NH96" s="39">
        <v>-103</v>
      </c>
      <c r="NI96" s="47">
        <v>42.23</v>
      </c>
      <c r="NJ96" s="45">
        <v>40</v>
      </c>
      <c r="NK96" s="40">
        <v>40</v>
      </c>
      <c r="NL96" s="40">
        <v>60</v>
      </c>
      <c r="NM96" s="40">
        <v>60</v>
      </c>
      <c r="NN96" s="42">
        <v>0</v>
      </c>
      <c r="NO96" s="47"/>
      <c r="NP96" s="45">
        <v>200</v>
      </c>
      <c r="NQ96" s="40">
        <v>100</v>
      </c>
      <c r="NR96" s="40">
        <v>200</v>
      </c>
      <c r="NS96" s="40">
        <v>200</v>
      </c>
      <c r="NT96" s="42">
        <v>100</v>
      </c>
      <c r="NU96" s="47"/>
      <c r="NV96" s="45">
        <v>500</v>
      </c>
      <c r="NW96" s="40">
        <v>500</v>
      </c>
      <c r="NX96" s="40">
        <v>550</v>
      </c>
      <c r="NY96" s="40">
        <v>554</v>
      </c>
      <c r="NZ96" s="42">
        <v>-4</v>
      </c>
      <c r="OA96" s="47"/>
      <c r="OB96" s="45">
        <v>190</v>
      </c>
      <c r="OC96" s="40">
        <v>190</v>
      </c>
      <c r="OD96" s="42">
        <v>0</v>
      </c>
      <c r="OE96" s="47"/>
      <c r="OF96" s="45">
        <v>0</v>
      </c>
      <c r="OG96" s="40">
        <v>0</v>
      </c>
      <c r="OH96" s="40">
        <v>100</v>
      </c>
      <c r="OI96" s="40">
        <v>106</v>
      </c>
      <c r="OJ96" s="42">
        <v>-6</v>
      </c>
      <c r="OK96" s="47"/>
      <c r="OL96" s="45">
        <v>600</v>
      </c>
      <c r="OM96" s="40">
        <v>600</v>
      </c>
      <c r="ON96" s="40">
        <v>410</v>
      </c>
      <c r="OO96" s="40">
        <v>409</v>
      </c>
      <c r="OP96" s="42">
        <v>1</v>
      </c>
      <c r="OQ96" s="47"/>
      <c r="OR96" s="45">
        <v>0</v>
      </c>
      <c r="OS96" s="40">
        <v>0</v>
      </c>
      <c r="OT96" s="40">
        <v>50</v>
      </c>
      <c r="OU96" s="40">
        <v>50</v>
      </c>
      <c r="OV96" s="42">
        <v>0</v>
      </c>
      <c r="OW96" s="47"/>
      <c r="OX96" s="40">
        <v>70</v>
      </c>
      <c r="OY96" s="40">
        <v>75</v>
      </c>
      <c r="OZ96" s="40">
        <v>70</v>
      </c>
      <c r="PA96" s="40">
        <v>75</v>
      </c>
      <c r="PB96" s="42">
        <v>-10</v>
      </c>
      <c r="PC96" s="47"/>
      <c r="PD96" s="45">
        <v>500</v>
      </c>
      <c r="PE96" s="40">
        <v>500</v>
      </c>
      <c r="PF96" s="40">
        <v>500</v>
      </c>
      <c r="PG96" s="40">
        <v>506</v>
      </c>
      <c r="PH96" s="42">
        <v>-6</v>
      </c>
      <c r="PI96" s="47"/>
      <c r="PJ96" s="45">
        <v>0</v>
      </c>
      <c r="PK96" s="40">
        <v>0</v>
      </c>
      <c r="PL96" s="40">
        <v>0</v>
      </c>
      <c r="PM96" s="40">
        <v>0</v>
      </c>
      <c r="PN96" s="42">
        <v>0</v>
      </c>
      <c r="PO96" s="47"/>
      <c r="PP96" s="43">
        <v>100</v>
      </c>
      <c r="PQ96" s="40">
        <v>100</v>
      </c>
      <c r="PR96" s="40">
        <v>150</v>
      </c>
      <c r="PS96" s="40">
        <v>150</v>
      </c>
      <c r="PT96" s="42">
        <v>0</v>
      </c>
      <c r="PU96" s="47"/>
      <c r="PV96" s="45">
        <v>230</v>
      </c>
      <c r="PW96" s="40">
        <v>230</v>
      </c>
      <c r="PX96" s="40">
        <v>200</v>
      </c>
      <c r="PY96" s="40">
        <v>200</v>
      </c>
      <c r="PZ96" s="42">
        <v>0</v>
      </c>
      <c r="QA96" s="47"/>
      <c r="QB96" s="45">
        <v>200</v>
      </c>
      <c r="QC96" s="40">
        <v>200</v>
      </c>
      <c r="QD96" s="42">
        <v>0</v>
      </c>
      <c r="QE96" s="47"/>
      <c r="QF96" s="45">
        <v>160</v>
      </c>
      <c r="QG96" s="40">
        <v>160</v>
      </c>
      <c r="QH96" s="40">
        <v>250</v>
      </c>
      <c r="QI96" s="40">
        <v>250</v>
      </c>
      <c r="QJ96" s="42">
        <v>0</v>
      </c>
      <c r="QK96" s="47"/>
      <c r="QL96" s="45">
        <v>0</v>
      </c>
      <c r="QM96" s="40">
        <v>0</v>
      </c>
      <c r="QN96" s="40">
        <v>0</v>
      </c>
      <c r="QO96" s="40">
        <v>0</v>
      </c>
      <c r="QP96" s="42">
        <v>0</v>
      </c>
      <c r="QQ96" s="47"/>
      <c r="QR96" s="45">
        <v>100</v>
      </c>
      <c r="QS96" s="40">
        <v>100</v>
      </c>
      <c r="QT96" s="40">
        <v>70</v>
      </c>
      <c r="QU96" s="40">
        <v>200</v>
      </c>
      <c r="QV96" s="39">
        <v>-130</v>
      </c>
      <c r="QW96" s="47">
        <v>53.3</v>
      </c>
      <c r="QX96" s="45">
        <v>150</v>
      </c>
      <c r="QY96" s="40">
        <v>150</v>
      </c>
      <c r="QZ96" s="40">
        <v>0</v>
      </c>
      <c r="RA96" s="40">
        <v>0</v>
      </c>
      <c r="RB96" s="42">
        <v>0</v>
      </c>
      <c r="RC96" s="47"/>
      <c r="RD96" s="45">
        <v>260</v>
      </c>
      <c r="RE96" s="40">
        <v>270</v>
      </c>
      <c r="RF96" s="39">
        <v>-10</v>
      </c>
      <c r="RG96" s="47">
        <v>4.0999999999999996</v>
      </c>
    </row>
    <row r="97" spans="1:475" x14ac:dyDescent="0.25">
      <c r="A97" s="40" t="s">
        <v>386</v>
      </c>
      <c r="B97" s="41">
        <v>0.5</v>
      </c>
      <c r="N97" s="43"/>
      <c r="O97" s="48"/>
      <c r="P97" s="48"/>
      <c r="Q97" s="48"/>
      <c r="R97" s="48">
        <f t="shared" si="13"/>
        <v>0</v>
      </c>
      <c r="S97" s="44"/>
      <c r="T97" s="43"/>
      <c r="U97" s="48"/>
      <c r="V97" s="48"/>
      <c r="W97" s="48"/>
      <c r="X97" s="48">
        <f t="shared" si="14"/>
        <v>0</v>
      </c>
      <c r="Y97" s="44"/>
      <c r="Z97" s="43"/>
      <c r="AA97" s="48"/>
      <c r="AB97" s="48"/>
      <c r="AC97" s="48"/>
      <c r="AD97" s="48">
        <f t="shared" si="15"/>
        <v>0</v>
      </c>
      <c r="AE97" s="44"/>
      <c r="AF97" s="43"/>
      <c r="AG97" s="48"/>
      <c r="AH97" s="48"/>
      <c r="AI97" s="48"/>
      <c r="AJ97" s="48">
        <f t="shared" si="16"/>
        <v>0</v>
      </c>
      <c r="AK97" s="44"/>
      <c r="AL97" s="48"/>
      <c r="AP97" s="42">
        <v>0</v>
      </c>
      <c r="AQ97" s="44"/>
      <c r="AR97" s="43"/>
      <c r="AV97" s="42">
        <v>0</v>
      </c>
      <c r="AW97" s="44"/>
      <c r="BC97" s="42">
        <v>0</v>
      </c>
      <c r="BD97" s="44"/>
      <c r="BE97" s="43"/>
      <c r="BI97" s="42">
        <v>0</v>
      </c>
      <c r="BJ97" s="44"/>
      <c r="BO97" s="42">
        <v>0</v>
      </c>
      <c r="BP97" s="44"/>
      <c r="BS97" s="42">
        <v>0</v>
      </c>
      <c r="BT97" s="44"/>
      <c r="BU97" s="43"/>
      <c r="BY97" s="42">
        <v>0</v>
      </c>
      <c r="BZ97" s="44"/>
      <c r="CE97" s="42">
        <v>0</v>
      </c>
      <c r="CF97" s="44"/>
      <c r="CG97" s="43"/>
      <c r="CK97" s="42">
        <v>0</v>
      </c>
      <c r="CL97" s="44"/>
      <c r="CM97" s="43"/>
      <c r="CQ97" s="42">
        <v>0</v>
      </c>
      <c r="CR97" s="44"/>
      <c r="CW97" s="42">
        <v>0</v>
      </c>
      <c r="CX97" s="44"/>
      <c r="CY97" s="43"/>
      <c r="DC97" s="42">
        <v>0</v>
      </c>
      <c r="DD97" s="44"/>
      <c r="DE97" s="43"/>
      <c r="DK97" s="42">
        <v>0</v>
      </c>
      <c r="DL97" s="44"/>
      <c r="DM97" s="43"/>
      <c r="DQ97" s="42">
        <v>0</v>
      </c>
      <c r="DR97" s="44"/>
      <c r="DY97" s="42">
        <v>0</v>
      </c>
      <c r="DZ97" s="44"/>
      <c r="EA97" s="43"/>
      <c r="EE97" s="42">
        <v>0</v>
      </c>
      <c r="EF97" s="44"/>
      <c r="EG97" s="43"/>
      <c r="EK97" s="42">
        <v>0</v>
      </c>
      <c r="EL97" s="44"/>
      <c r="EM97" s="43"/>
      <c r="EQ97" s="42">
        <v>0</v>
      </c>
      <c r="ER97" s="44"/>
      <c r="EY97" s="42">
        <v>0</v>
      </c>
      <c r="EZ97" s="44"/>
      <c r="FE97" s="42">
        <v>0</v>
      </c>
      <c r="FF97" s="44"/>
      <c r="FG97" s="43"/>
      <c r="FK97" s="42">
        <v>0</v>
      </c>
      <c r="FL97" s="44"/>
      <c r="FM97" s="43"/>
      <c r="FO97" s="42">
        <v>0</v>
      </c>
      <c r="FP97" s="44"/>
      <c r="FU97" s="42">
        <v>0</v>
      </c>
      <c r="FV97" s="44"/>
      <c r="FW97" s="43"/>
      <c r="GC97" s="42">
        <v>0</v>
      </c>
      <c r="GD97" s="44"/>
      <c r="GI97" s="42">
        <v>0</v>
      </c>
      <c r="GJ97" s="44"/>
      <c r="GK97" s="43"/>
      <c r="GO97" s="42">
        <v>0</v>
      </c>
      <c r="GP97" s="47"/>
      <c r="GU97" s="42">
        <v>0</v>
      </c>
      <c r="GV97" s="44"/>
      <c r="GY97" s="42">
        <v>0</v>
      </c>
      <c r="GZ97" s="47"/>
      <c r="HA97" s="43"/>
      <c r="HC97" s="42">
        <v>0</v>
      </c>
      <c r="HD97" s="44"/>
      <c r="HE97" s="43"/>
      <c r="HI97" s="42">
        <v>0</v>
      </c>
      <c r="HJ97" s="47"/>
      <c r="HK97" s="43"/>
      <c r="HO97" s="42">
        <v>0</v>
      </c>
      <c r="HP97" s="44"/>
      <c r="HV97" s="42">
        <v>0</v>
      </c>
      <c r="HW97" s="44"/>
      <c r="HX97" s="45"/>
      <c r="IB97" s="42">
        <v>0</v>
      </c>
      <c r="IC97" s="44"/>
      <c r="IH97" s="42">
        <v>0</v>
      </c>
      <c r="II97" s="47"/>
      <c r="IN97" s="42">
        <v>0</v>
      </c>
      <c r="IO97" s="47"/>
      <c r="IT97" s="42">
        <v>0</v>
      </c>
      <c r="IU97" s="47"/>
      <c r="IZ97" s="42">
        <v>0</v>
      </c>
      <c r="JA97" s="44"/>
      <c r="JD97" s="42">
        <v>0</v>
      </c>
      <c r="JE97" s="44"/>
      <c r="JJ97" s="42">
        <v>0</v>
      </c>
      <c r="JK97" s="44"/>
      <c r="JL97" s="45"/>
      <c r="JN97" s="42">
        <v>0</v>
      </c>
      <c r="JO97" s="44"/>
      <c r="JT97" s="42">
        <v>0</v>
      </c>
      <c r="JU97" s="44"/>
      <c r="JZ97" s="42">
        <v>0</v>
      </c>
      <c r="KA97" s="47"/>
      <c r="KF97" s="42">
        <v>0</v>
      </c>
      <c r="KG97" s="44"/>
      <c r="KH97" s="41"/>
      <c r="KL97" s="42">
        <v>0</v>
      </c>
      <c r="KM97" s="47"/>
      <c r="KN97" s="45"/>
      <c r="KT97" s="42">
        <v>0</v>
      </c>
      <c r="KU97" s="47"/>
      <c r="KV97" s="40">
        <v>0</v>
      </c>
      <c r="KW97" s="40">
        <v>0</v>
      </c>
      <c r="KX97" s="40">
        <v>0</v>
      </c>
      <c r="KY97" s="40">
        <v>0</v>
      </c>
      <c r="KZ97" s="42">
        <v>0</v>
      </c>
      <c r="LA97" s="47"/>
      <c r="LB97" s="40">
        <v>0</v>
      </c>
      <c r="LC97" s="40">
        <v>0</v>
      </c>
      <c r="LD97" s="40">
        <v>0</v>
      </c>
      <c r="LE97" s="40">
        <v>0</v>
      </c>
      <c r="LF97" s="42">
        <v>0</v>
      </c>
      <c r="LG97" s="47"/>
      <c r="LH97" s="45">
        <v>0</v>
      </c>
      <c r="LI97" s="40">
        <v>0</v>
      </c>
      <c r="LJ97" s="42">
        <v>0</v>
      </c>
      <c r="LK97" s="47"/>
      <c r="LL97" s="45">
        <v>0</v>
      </c>
      <c r="LM97" s="40">
        <v>0</v>
      </c>
      <c r="LN97" s="40">
        <v>0</v>
      </c>
      <c r="LO97" s="40">
        <v>0</v>
      </c>
      <c r="LP97" s="42">
        <v>0</v>
      </c>
      <c r="LQ97" s="47"/>
      <c r="LR97" s="45">
        <v>0</v>
      </c>
      <c r="LS97" s="40">
        <v>0</v>
      </c>
      <c r="LT97" s="40">
        <v>0</v>
      </c>
      <c r="LU97" s="40">
        <v>0</v>
      </c>
      <c r="LV97" s="42">
        <v>0</v>
      </c>
      <c r="LW97" s="47"/>
      <c r="LX97" s="45">
        <v>0</v>
      </c>
      <c r="LY97" s="40">
        <v>0</v>
      </c>
      <c r="LZ97" s="42">
        <v>0</v>
      </c>
      <c r="MA97" s="47"/>
      <c r="MB97" s="45">
        <v>0</v>
      </c>
      <c r="MC97" s="40">
        <v>0</v>
      </c>
      <c r="MD97" s="40">
        <v>0</v>
      </c>
      <c r="ME97" s="40">
        <v>0</v>
      </c>
      <c r="MF97" s="42">
        <v>0</v>
      </c>
      <c r="MG97" s="47"/>
      <c r="MH97" s="45">
        <v>0</v>
      </c>
      <c r="MI97" s="40">
        <v>0</v>
      </c>
      <c r="MJ97" s="42">
        <v>0</v>
      </c>
      <c r="MK97" s="47"/>
      <c r="ML97" s="45">
        <v>0</v>
      </c>
      <c r="MM97" s="40">
        <v>0</v>
      </c>
      <c r="MN97" s="40">
        <v>0</v>
      </c>
      <c r="MO97" s="40">
        <v>0</v>
      </c>
      <c r="MP97" s="42">
        <v>0</v>
      </c>
      <c r="MQ97" s="47"/>
      <c r="MR97" s="40">
        <v>0</v>
      </c>
      <c r="MS97" s="40">
        <v>0</v>
      </c>
      <c r="MT97" s="40">
        <v>0</v>
      </c>
      <c r="MU97" s="40">
        <v>0</v>
      </c>
      <c r="MV97" s="42">
        <v>0</v>
      </c>
      <c r="MW97" s="47"/>
      <c r="MX97" s="45">
        <v>0</v>
      </c>
      <c r="MY97" s="40">
        <v>0</v>
      </c>
      <c r="MZ97" s="40">
        <v>0</v>
      </c>
      <c r="NA97" s="40">
        <v>0</v>
      </c>
      <c r="NB97" s="42">
        <v>0</v>
      </c>
      <c r="NC97" s="47"/>
      <c r="ND97" s="45">
        <v>0</v>
      </c>
      <c r="NE97" s="40">
        <v>0</v>
      </c>
      <c r="NF97" s="40">
        <v>0</v>
      </c>
      <c r="NG97" s="40">
        <v>0</v>
      </c>
      <c r="NH97" s="42">
        <v>0</v>
      </c>
      <c r="NI97" s="47"/>
      <c r="NJ97" s="45">
        <v>0</v>
      </c>
      <c r="NK97" s="40">
        <v>0</v>
      </c>
      <c r="NL97" s="40">
        <v>0</v>
      </c>
      <c r="NM97" s="40">
        <v>0</v>
      </c>
      <c r="NN97" s="42">
        <v>0</v>
      </c>
      <c r="NO97" s="47"/>
      <c r="NP97" s="45">
        <v>0</v>
      </c>
      <c r="NQ97" s="40">
        <v>0</v>
      </c>
      <c r="NR97" s="40">
        <v>0</v>
      </c>
      <c r="NS97" s="40">
        <v>0</v>
      </c>
      <c r="NT97" s="42">
        <v>0</v>
      </c>
      <c r="NU97" s="47"/>
      <c r="NV97" s="45">
        <v>0</v>
      </c>
      <c r="NW97" s="40">
        <v>0</v>
      </c>
      <c r="NX97" s="40">
        <v>0</v>
      </c>
      <c r="NY97" s="40">
        <v>0</v>
      </c>
      <c r="NZ97" s="42">
        <v>0</v>
      </c>
      <c r="OA97" s="47"/>
      <c r="OB97" s="45">
        <v>0</v>
      </c>
      <c r="OC97" s="40">
        <v>0</v>
      </c>
      <c r="OD97" s="42">
        <v>0</v>
      </c>
      <c r="OE97" s="47"/>
      <c r="OF97" s="45">
        <v>0</v>
      </c>
      <c r="OG97" s="40">
        <v>0</v>
      </c>
      <c r="OH97" s="40">
        <v>0</v>
      </c>
      <c r="OI97" s="40">
        <v>0</v>
      </c>
      <c r="OJ97" s="42">
        <v>0</v>
      </c>
      <c r="OK97" s="47"/>
      <c r="OL97" s="45">
        <v>0</v>
      </c>
      <c r="OM97" s="40">
        <v>0</v>
      </c>
      <c r="ON97" s="40">
        <v>0</v>
      </c>
      <c r="OO97" s="14">
        <v>30</v>
      </c>
      <c r="OP97" s="42">
        <v>2</v>
      </c>
      <c r="OQ97" s="47"/>
      <c r="OR97" s="45">
        <v>0</v>
      </c>
      <c r="OS97" s="14">
        <v>50</v>
      </c>
      <c r="OT97" s="40">
        <v>0</v>
      </c>
      <c r="OU97" s="14">
        <v>114</v>
      </c>
      <c r="OV97" s="42">
        <v>-4</v>
      </c>
      <c r="OW97" s="47"/>
      <c r="OX97" s="40">
        <v>0</v>
      </c>
      <c r="OY97" s="40">
        <v>0</v>
      </c>
      <c r="OZ97" s="40">
        <v>0</v>
      </c>
      <c r="PA97" s="40">
        <v>0</v>
      </c>
      <c r="PB97" s="42">
        <v>0</v>
      </c>
      <c r="PC97" s="47"/>
      <c r="PD97" s="45">
        <v>0</v>
      </c>
      <c r="PE97" s="40">
        <v>0</v>
      </c>
      <c r="PF97" s="40">
        <v>0</v>
      </c>
      <c r="PG97" s="40">
        <v>0</v>
      </c>
      <c r="PH97" s="42">
        <v>0</v>
      </c>
      <c r="PI97" s="47"/>
      <c r="PJ97" s="45">
        <v>0</v>
      </c>
      <c r="PK97" s="40">
        <v>0</v>
      </c>
      <c r="PL97" s="40">
        <v>96</v>
      </c>
      <c r="PM97" s="40">
        <v>94</v>
      </c>
      <c r="PN97" s="42">
        <v>2</v>
      </c>
      <c r="PO97" s="47"/>
      <c r="PP97" s="43">
        <v>0</v>
      </c>
      <c r="PQ97" s="40">
        <v>0</v>
      </c>
      <c r="PR97" s="40">
        <v>0</v>
      </c>
      <c r="PS97" s="40">
        <v>0</v>
      </c>
      <c r="PT97" s="42">
        <v>0</v>
      </c>
      <c r="PU97" s="47"/>
      <c r="PV97" s="45">
        <v>0</v>
      </c>
      <c r="PW97" s="40">
        <v>0</v>
      </c>
      <c r="PX97" s="40">
        <v>80</v>
      </c>
      <c r="PY97" s="40">
        <v>80</v>
      </c>
      <c r="PZ97" s="42">
        <v>0</v>
      </c>
      <c r="QA97" s="47"/>
      <c r="QB97" s="45">
        <v>120</v>
      </c>
      <c r="QC97" s="40">
        <v>120</v>
      </c>
      <c r="QD97" s="42">
        <v>0</v>
      </c>
      <c r="QE97" s="47"/>
      <c r="QF97" s="45">
        <v>0</v>
      </c>
      <c r="QG97" s="40">
        <v>0</v>
      </c>
      <c r="QH97" s="40">
        <v>0</v>
      </c>
      <c r="QI97" s="40">
        <v>0</v>
      </c>
      <c r="QJ97" s="42">
        <v>0</v>
      </c>
      <c r="QK97" s="47"/>
      <c r="QL97" s="45">
        <v>0</v>
      </c>
      <c r="QM97" s="40">
        <v>0</v>
      </c>
      <c r="QN97" s="40">
        <v>0</v>
      </c>
      <c r="QO97" s="40">
        <v>0</v>
      </c>
      <c r="QP97" s="42">
        <v>0</v>
      </c>
      <c r="QQ97" s="47"/>
      <c r="QR97" s="45">
        <v>0</v>
      </c>
      <c r="QS97" s="40">
        <v>0</v>
      </c>
      <c r="QT97" s="40">
        <v>0</v>
      </c>
      <c r="QU97" s="40">
        <v>0</v>
      </c>
      <c r="QV97" s="42">
        <v>0</v>
      </c>
      <c r="QW97" s="47"/>
      <c r="QX97" s="45">
        <v>0</v>
      </c>
      <c r="QY97" s="40">
        <v>0</v>
      </c>
      <c r="QZ97" s="40">
        <v>0</v>
      </c>
      <c r="RA97" s="40">
        <v>0</v>
      </c>
      <c r="RB97" s="42">
        <v>0</v>
      </c>
      <c r="RC97" s="47"/>
      <c r="RD97" s="45">
        <v>0</v>
      </c>
      <c r="RE97" s="40">
        <v>0</v>
      </c>
      <c r="RF97" s="42">
        <v>0</v>
      </c>
      <c r="RG97" s="47"/>
    </row>
    <row r="98" spans="1:475" x14ac:dyDescent="0.25">
      <c r="A98" s="40" t="s">
        <v>387</v>
      </c>
      <c r="B98" s="41">
        <v>0.41</v>
      </c>
      <c r="N98" s="43"/>
      <c r="O98" s="48"/>
      <c r="P98" s="48"/>
      <c r="Q98" s="48"/>
      <c r="R98" s="48">
        <f t="shared" si="13"/>
        <v>0</v>
      </c>
      <c r="S98" s="44"/>
      <c r="T98" s="43"/>
      <c r="U98" s="48"/>
      <c r="V98" s="48"/>
      <c r="W98" s="48"/>
      <c r="X98" s="48">
        <f t="shared" si="14"/>
        <v>0</v>
      </c>
      <c r="Y98" s="44"/>
      <c r="Z98" s="43"/>
      <c r="AA98" s="48"/>
      <c r="AB98" s="48"/>
      <c r="AC98" s="48"/>
      <c r="AD98" s="48">
        <f t="shared" si="15"/>
        <v>0</v>
      </c>
      <c r="AE98" s="44"/>
      <c r="AF98" s="43"/>
      <c r="AG98" s="48"/>
      <c r="AH98" s="48"/>
      <c r="AI98" s="48"/>
      <c r="AJ98" s="48">
        <f t="shared" si="16"/>
        <v>0</v>
      </c>
      <c r="AK98" s="44"/>
      <c r="AL98" s="48"/>
      <c r="AP98" s="42">
        <v>0</v>
      </c>
      <c r="AQ98" s="44"/>
      <c r="AR98" s="43"/>
      <c r="AV98" s="42">
        <v>0</v>
      </c>
      <c r="AW98" s="44"/>
      <c r="BC98" s="42">
        <v>0</v>
      </c>
      <c r="BD98" s="44"/>
      <c r="BE98" s="43"/>
      <c r="BI98" s="42">
        <v>0</v>
      </c>
      <c r="BJ98" s="44"/>
      <c r="BO98" s="42">
        <v>0</v>
      </c>
      <c r="BP98" s="44"/>
      <c r="BS98" s="42">
        <v>0</v>
      </c>
      <c r="BT98" s="44"/>
      <c r="BU98" s="43"/>
      <c r="BY98" s="42">
        <v>0</v>
      </c>
      <c r="BZ98" s="44"/>
      <c r="CE98" s="42">
        <v>0</v>
      </c>
      <c r="CF98" s="44"/>
      <c r="CG98" s="43"/>
      <c r="CK98" s="42">
        <v>0</v>
      </c>
      <c r="CL98" s="44"/>
      <c r="CM98" s="43"/>
      <c r="CQ98" s="42">
        <v>0</v>
      </c>
      <c r="CR98" s="44"/>
      <c r="CW98" s="42">
        <v>0</v>
      </c>
      <c r="CX98" s="44"/>
      <c r="CY98" s="43"/>
      <c r="DC98" s="42">
        <v>0</v>
      </c>
      <c r="DD98" s="44"/>
      <c r="DE98" s="43"/>
      <c r="DK98" s="42">
        <v>0</v>
      </c>
      <c r="DL98" s="44"/>
      <c r="DM98" s="43"/>
      <c r="DQ98" s="42">
        <v>0</v>
      </c>
      <c r="DR98" s="44"/>
      <c r="DY98" s="42">
        <v>0</v>
      </c>
      <c r="DZ98" s="44"/>
      <c r="EA98" s="43"/>
      <c r="EE98" s="42">
        <v>0</v>
      </c>
      <c r="EF98" s="44"/>
      <c r="EG98" s="43"/>
      <c r="EK98" s="42">
        <v>0</v>
      </c>
      <c r="EL98" s="44"/>
      <c r="EM98" s="43"/>
      <c r="EQ98" s="42">
        <v>0</v>
      </c>
      <c r="ER98" s="44"/>
      <c r="EY98" s="42">
        <v>0</v>
      </c>
      <c r="EZ98" s="44"/>
      <c r="FE98" s="42">
        <v>0</v>
      </c>
      <c r="FF98" s="44"/>
      <c r="FG98" s="43"/>
      <c r="FK98" s="42">
        <v>0</v>
      </c>
      <c r="FL98" s="44"/>
      <c r="FM98" s="43"/>
      <c r="FO98" s="42">
        <v>0</v>
      </c>
      <c r="FP98" s="44"/>
      <c r="FU98" s="42">
        <v>0</v>
      </c>
      <c r="FV98" s="44"/>
      <c r="FW98" s="43"/>
      <c r="GC98" s="42">
        <v>0</v>
      </c>
      <c r="GD98" s="44"/>
      <c r="GI98" s="42">
        <v>0</v>
      </c>
      <c r="GJ98" s="44"/>
      <c r="GK98" s="43"/>
      <c r="GO98" s="42">
        <v>0</v>
      </c>
      <c r="GP98" s="47"/>
      <c r="GU98" s="42">
        <v>0</v>
      </c>
      <c r="GV98" s="44"/>
      <c r="GY98" s="42">
        <v>0</v>
      </c>
      <c r="GZ98" s="47"/>
      <c r="HA98" s="43"/>
      <c r="HC98" s="42">
        <v>0</v>
      </c>
      <c r="HD98" s="44"/>
      <c r="HE98" s="43"/>
      <c r="HI98" s="42">
        <v>0</v>
      </c>
      <c r="HJ98" s="47"/>
      <c r="HK98" s="43"/>
      <c r="HO98" s="42">
        <v>0</v>
      </c>
      <c r="HP98" s="44"/>
      <c r="HV98" s="42">
        <v>0</v>
      </c>
      <c r="HW98" s="44"/>
      <c r="HX98" s="45"/>
      <c r="IB98" s="42">
        <v>0</v>
      </c>
      <c r="IC98" s="44"/>
      <c r="IH98" s="42">
        <v>0</v>
      </c>
      <c r="II98" s="47"/>
      <c r="IN98" s="42">
        <v>0</v>
      </c>
      <c r="IO98" s="47"/>
      <c r="IT98" s="42">
        <v>0</v>
      </c>
      <c r="IU98" s="47"/>
      <c r="IZ98" s="42">
        <v>0</v>
      </c>
      <c r="JA98" s="44"/>
      <c r="JD98" s="42">
        <v>0</v>
      </c>
      <c r="JE98" s="44"/>
      <c r="JJ98" s="42">
        <v>0</v>
      </c>
      <c r="JK98" s="44"/>
      <c r="JL98" s="45"/>
      <c r="JN98" s="42">
        <v>0</v>
      </c>
      <c r="JO98" s="44"/>
      <c r="JT98" s="42">
        <v>0</v>
      </c>
      <c r="JU98" s="44"/>
      <c r="JZ98" s="42">
        <v>0</v>
      </c>
      <c r="KA98" s="47"/>
      <c r="KF98" s="42">
        <v>0</v>
      </c>
      <c r="KG98" s="44"/>
      <c r="KH98" s="41"/>
      <c r="KL98" s="42">
        <v>0</v>
      </c>
      <c r="KM98" s="47"/>
      <c r="KN98" s="45"/>
      <c r="KT98" s="42">
        <v>0</v>
      </c>
      <c r="KU98" s="47"/>
      <c r="KV98" s="40">
        <v>0</v>
      </c>
      <c r="KW98" s="40">
        <v>0</v>
      </c>
      <c r="KX98" s="40">
        <v>0</v>
      </c>
      <c r="KY98" s="40">
        <v>0</v>
      </c>
      <c r="KZ98" s="42">
        <v>0</v>
      </c>
      <c r="LA98" s="47"/>
      <c r="LB98" s="40">
        <v>0</v>
      </c>
      <c r="LC98" s="40">
        <v>0</v>
      </c>
      <c r="LD98" s="40">
        <v>0</v>
      </c>
      <c r="LE98" s="40">
        <v>0</v>
      </c>
      <c r="LF98" s="42">
        <v>0</v>
      </c>
      <c r="LG98" s="47"/>
      <c r="LH98" s="45">
        <v>0</v>
      </c>
      <c r="LI98" s="40">
        <v>0</v>
      </c>
      <c r="LJ98" s="42">
        <v>0</v>
      </c>
      <c r="LK98" s="47"/>
      <c r="LL98" s="45">
        <v>0</v>
      </c>
      <c r="LM98" s="40">
        <v>0</v>
      </c>
      <c r="LN98" s="40">
        <v>0</v>
      </c>
      <c r="LO98" s="40">
        <v>0</v>
      </c>
      <c r="LP98" s="42">
        <v>0</v>
      </c>
      <c r="LQ98" s="47"/>
      <c r="LR98" s="45">
        <v>0</v>
      </c>
      <c r="LS98" s="40">
        <v>0</v>
      </c>
      <c r="LT98" s="40">
        <v>0</v>
      </c>
      <c r="LU98" s="40">
        <v>0</v>
      </c>
      <c r="LV98" s="42">
        <v>0</v>
      </c>
      <c r="LW98" s="47"/>
      <c r="LX98" s="45">
        <v>0</v>
      </c>
      <c r="LY98" s="40">
        <v>0</v>
      </c>
      <c r="LZ98" s="42">
        <v>0</v>
      </c>
      <c r="MA98" s="47"/>
      <c r="MB98" s="45">
        <v>0</v>
      </c>
      <c r="MC98" s="40">
        <v>0</v>
      </c>
      <c r="MD98" s="40">
        <v>0</v>
      </c>
      <c r="ME98" s="40">
        <v>0</v>
      </c>
      <c r="MF98" s="42">
        <v>0</v>
      </c>
      <c r="MG98" s="47"/>
      <c r="MH98" s="45">
        <v>0</v>
      </c>
      <c r="MI98" s="40">
        <v>0</v>
      </c>
      <c r="MJ98" s="42">
        <v>0</v>
      </c>
      <c r="MK98" s="47"/>
      <c r="ML98" s="45">
        <v>0</v>
      </c>
      <c r="MM98" s="40">
        <v>0</v>
      </c>
      <c r="MN98" s="40">
        <v>0</v>
      </c>
      <c r="MO98" s="40">
        <v>0</v>
      </c>
      <c r="MP98" s="42">
        <v>0</v>
      </c>
      <c r="MQ98" s="47"/>
      <c r="MR98" s="40">
        <v>0</v>
      </c>
      <c r="MS98" s="40">
        <v>0</v>
      </c>
      <c r="MT98" s="40">
        <v>0</v>
      </c>
      <c r="MU98" s="40">
        <v>0</v>
      </c>
      <c r="MV98" s="42">
        <v>0</v>
      </c>
      <c r="MW98" s="47"/>
      <c r="MX98" s="45">
        <v>0</v>
      </c>
      <c r="MY98" s="40">
        <v>0</v>
      </c>
      <c r="MZ98" s="40">
        <v>0</v>
      </c>
      <c r="NA98" s="40">
        <v>0</v>
      </c>
      <c r="NB98" s="42">
        <v>0</v>
      </c>
      <c r="NC98" s="47"/>
      <c r="ND98" s="45">
        <v>0</v>
      </c>
      <c r="NE98" s="40">
        <v>0</v>
      </c>
      <c r="NF98" s="40">
        <v>0</v>
      </c>
      <c r="NG98" s="40">
        <v>0</v>
      </c>
      <c r="NH98" s="42">
        <v>0</v>
      </c>
      <c r="NI98" s="47"/>
      <c r="NJ98" s="45">
        <v>0</v>
      </c>
      <c r="NK98" s="40">
        <v>0</v>
      </c>
      <c r="NL98" s="40">
        <v>0</v>
      </c>
      <c r="NM98" s="40">
        <v>0</v>
      </c>
      <c r="NN98" s="42">
        <v>0</v>
      </c>
      <c r="NO98" s="47"/>
      <c r="NP98" s="45">
        <v>0</v>
      </c>
      <c r="NQ98" s="40">
        <v>0</v>
      </c>
      <c r="NR98" s="40">
        <v>0</v>
      </c>
      <c r="NS98" s="40">
        <v>0</v>
      </c>
      <c r="NT98" s="42">
        <v>0</v>
      </c>
      <c r="NU98" s="47"/>
      <c r="NV98" s="45">
        <v>0</v>
      </c>
      <c r="NW98" s="40">
        <v>0</v>
      </c>
      <c r="NX98" s="40">
        <v>0</v>
      </c>
      <c r="NY98" s="40">
        <v>0</v>
      </c>
      <c r="NZ98" s="42">
        <v>0</v>
      </c>
      <c r="OA98" s="47"/>
      <c r="OB98" s="45">
        <v>0</v>
      </c>
      <c r="OC98" s="40">
        <v>0</v>
      </c>
      <c r="OD98" s="42">
        <v>0</v>
      </c>
      <c r="OE98" s="47"/>
      <c r="OF98" s="45">
        <v>0</v>
      </c>
      <c r="OG98" s="40">
        <v>0</v>
      </c>
      <c r="OH98" s="40">
        <v>0</v>
      </c>
      <c r="OI98" s="40">
        <v>0</v>
      </c>
      <c r="OJ98" s="42">
        <v>0</v>
      </c>
      <c r="OK98" s="47"/>
      <c r="OL98" s="45">
        <v>0</v>
      </c>
      <c r="OM98" s="40">
        <v>0</v>
      </c>
      <c r="ON98" s="40">
        <v>0</v>
      </c>
      <c r="OO98" s="40">
        <v>0</v>
      </c>
      <c r="OP98" s="42">
        <v>0</v>
      </c>
      <c r="OQ98" s="47"/>
      <c r="OR98" s="45">
        <v>0</v>
      </c>
      <c r="OS98" s="40">
        <v>0</v>
      </c>
      <c r="OT98" s="40">
        <v>0</v>
      </c>
      <c r="OU98" s="40">
        <v>0</v>
      </c>
      <c r="OV98" s="42">
        <v>0</v>
      </c>
      <c r="OW98" s="47"/>
      <c r="OX98" s="40">
        <v>0</v>
      </c>
      <c r="OY98" s="40">
        <v>0</v>
      </c>
      <c r="OZ98" s="40">
        <v>0</v>
      </c>
      <c r="PA98" s="40">
        <v>0</v>
      </c>
      <c r="PB98" s="42">
        <v>0</v>
      </c>
      <c r="PC98" s="47"/>
      <c r="PD98" s="45">
        <v>0</v>
      </c>
      <c r="PE98" s="40">
        <v>0</v>
      </c>
      <c r="PF98" s="40">
        <v>0</v>
      </c>
      <c r="PG98" s="40">
        <v>0</v>
      </c>
      <c r="PH98" s="42">
        <v>0</v>
      </c>
      <c r="PI98" s="47"/>
      <c r="PJ98" s="45">
        <v>0</v>
      </c>
      <c r="PK98" s="40">
        <v>0</v>
      </c>
      <c r="PL98" s="40">
        <v>0</v>
      </c>
      <c r="PM98" s="40">
        <v>0</v>
      </c>
      <c r="PN98" s="42">
        <v>0</v>
      </c>
      <c r="PO98" s="47"/>
      <c r="PP98" s="43">
        <v>0</v>
      </c>
      <c r="PQ98" s="40">
        <v>0</v>
      </c>
      <c r="PR98" s="40">
        <v>0</v>
      </c>
      <c r="PS98" s="40">
        <v>0</v>
      </c>
      <c r="PT98" s="42">
        <v>0</v>
      </c>
      <c r="PU98" s="47"/>
      <c r="PV98" s="45">
        <v>0</v>
      </c>
      <c r="PW98" s="40">
        <v>0</v>
      </c>
      <c r="PX98" s="40">
        <v>0</v>
      </c>
      <c r="PY98" s="40">
        <v>0</v>
      </c>
      <c r="PZ98" s="42">
        <v>0</v>
      </c>
      <c r="QA98" s="47"/>
      <c r="QB98" s="45">
        <v>0</v>
      </c>
      <c r="QC98" s="40">
        <v>0</v>
      </c>
      <c r="QD98" s="42">
        <v>0</v>
      </c>
      <c r="QE98" s="47"/>
      <c r="QF98" s="45">
        <v>0</v>
      </c>
      <c r="QG98" s="40">
        <v>0</v>
      </c>
      <c r="QH98" s="40">
        <v>0</v>
      </c>
      <c r="QI98" s="40">
        <v>0</v>
      </c>
      <c r="QJ98" s="42">
        <v>0</v>
      </c>
      <c r="QK98" s="47"/>
      <c r="QL98" s="45">
        <v>0</v>
      </c>
      <c r="QM98" s="40">
        <v>0</v>
      </c>
      <c r="QN98" s="40">
        <v>0</v>
      </c>
      <c r="QO98" s="40">
        <v>0</v>
      </c>
      <c r="QP98" s="42">
        <v>0</v>
      </c>
      <c r="QQ98" s="47"/>
      <c r="QR98" s="45">
        <v>0</v>
      </c>
      <c r="QS98" s="40">
        <v>0</v>
      </c>
      <c r="QT98" s="40">
        <v>0</v>
      </c>
      <c r="QU98" s="40">
        <v>0</v>
      </c>
      <c r="QV98" s="42">
        <v>0</v>
      </c>
      <c r="QW98" s="47"/>
      <c r="QX98" s="45">
        <v>0</v>
      </c>
      <c r="QY98" s="40">
        <v>0</v>
      </c>
      <c r="QZ98" s="40">
        <v>0</v>
      </c>
      <c r="RA98" s="40">
        <v>0</v>
      </c>
      <c r="RB98" s="42">
        <v>0</v>
      </c>
      <c r="RC98" s="47"/>
      <c r="RD98" s="45">
        <v>380</v>
      </c>
      <c r="RE98" s="40">
        <v>382.2</v>
      </c>
      <c r="RF98" s="42">
        <v>-2.1999999999999891</v>
      </c>
      <c r="RG98" s="47"/>
    </row>
    <row r="99" spans="1:475" x14ac:dyDescent="0.25">
      <c r="A99" s="40" t="s">
        <v>388</v>
      </c>
      <c r="B99" s="41">
        <v>0.4</v>
      </c>
      <c r="N99" s="43"/>
      <c r="O99" s="48"/>
      <c r="P99" s="48"/>
      <c r="Q99" s="48"/>
      <c r="R99" s="48">
        <f t="shared" si="13"/>
        <v>0</v>
      </c>
      <c r="S99" s="44"/>
      <c r="T99" s="43"/>
      <c r="U99" s="48"/>
      <c r="V99" s="48"/>
      <c r="W99" s="48"/>
      <c r="X99" s="48">
        <f t="shared" si="14"/>
        <v>0</v>
      </c>
      <c r="Y99" s="44"/>
      <c r="Z99" s="43"/>
      <c r="AA99" s="48"/>
      <c r="AB99" s="48"/>
      <c r="AC99" s="48"/>
      <c r="AD99" s="48">
        <f t="shared" si="15"/>
        <v>0</v>
      </c>
      <c r="AE99" s="44"/>
      <c r="AF99" s="43"/>
      <c r="AG99" s="48"/>
      <c r="AH99" s="48"/>
      <c r="AI99" s="48"/>
      <c r="AJ99" s="48">
        <f t="shared" si="16"/>
        <v>0</v>
      </c>
      <c r="AK99" s="44"/>
      <c r="AL99" s="48"/>
      <c r="AP99" s="42">
        <v>0</v>
      </c>
      <c r="AQ99" s="44"/>
      <c r="AR99" s="43"/>
      <c r="AV99" s="42">
        <v>0</v>
      </c>
      <c r="AW99" s="44"/>
      <c r="BC99" s="42">
        <v>0</v>
      </c>
      <c r="BD99" s="44"/>
      <c r="BE99" s="43"/>
      <c r="BI99" s="42">
        <v>0</v>
      </c>
      <c r="BJ99" s="44"/>
      <c r="BO99" s="42">
        <v>0</v>
      </c>
      <c r="BP99" s="44"/>
      <c r="BS99" s="42">
        <v>0</v>
      </c>
      <c r="BT99" s="44"/>
      <c r="BU99" s="43"/>
      <c r="BY99" s="42">
        <v>0</v>
      </c>
      <c r="BZ99" s="44"/>
      <c r="CE99" s="42">
        <v>0</v>
      </c>
      <c r="CF99" s="44"/>
      <c r="CG99" s="43"/>
      <c r="CK99" s="42">
        <v>0</v>
      </c>
      <c r="CL99" s="44"/>
      <c r="CM99" s="43"/>
      <c r="CQ99" s="42">
        <v>0</v>
      </c>
      <c r="CR99" s="44"/>
      <c r="CW99" s="42">
        <v>0</v>
      </c>
      <c r="CX99" s="44"/>
      <c r="CY99" s="43"/>
      <c r="DC99" s="42">
        <v>0</v>
      </c>
      <c r="DD99" s="44"/>
      <c r="DE99" s="43"/>
      <c r="DK99" s="42">
        <v>0</v>
      </c>
      <c r="DL99" s="44"/>
      <c r="DM99" s="43"/>
      <c r="DQ99" s="42">
        <v>0</v>
      </c>
      <c r="DR99" s="44"/>
      <c r="DY99" s="42">
        <v>0</v>
      </c>
      <c r="DZ99" s="44"/>
      <c r="EA99" s="43"/>
      <c r="EE99" s="42">
        <v>0</v>
      </c>
      <c r="EF99" s="44"/>
      <c r="EG99" s="43"/>
      <c r="EK99" s="42">
        <v>0</v>
      </c>
      <c r="EL99" s="44"/>
      <c r="EM99" s="43"/>
      <c r="EQ99" s="42">
        <v>0</v>
      </c>
      <c r="ER99" s="44"/>
      <c r="EY99" s="42">
        <v>0</v>
      </c>
      <c r="EZ99" s="44"/>
      <c r="FE99" s="42">
        <v>0</v>
      </c>
      <c r="FF99" s="44"/>
      <c r="FG99" s="43"/>
      <c r="FK99" s="42">
        <v>0</v>
      </c>
      <c r="FL99" s="44"/>
      <c r="FM99" s="43"/>
      <c r="FO99" s="42">
        <v>0</v>
      </c>
      <c r="FP99" s="44"/>
      <c r="FU99" s="42">
        <v>0</v>
      </c>
      <c r="FV99" s="44"/>
      <c r="FW99" s="43"/>
      <c r="GC99" s="42">
        <v>0</v>
      </c>
      <c r="GD99" s="44"/>
      <c r="GI99" s="42">
        <v>0</v>
      </c>
      <c r="GJ99" s="44"/>
      <c r="GK99" s="43"/>
      <c r="GO99" s="42">
        <v>0</v>
      </c>
      <c r="GP99" s="47"/>
      <c r="GU99" s="42">
        <v>0</v>
      </c>
      <c r="GV99" s="44"/>
      <c r="GY99" s="42">
        <v>0</v>
      </c>
      <c r="GZ99" s="47"/>
      <c r="HA99" s="43"/>
      <c r="HC99" s="42">
        <v>0</v>
      </c>
      <c r="HD99" s="44"/>
      <c r="HE99" s="43"/>
      <c r="HI99" s="42">
        <v>0</v>
      </c>
      <c r="HJ99" s="47"/>
      <c r="HK99" s="43"/>
      <c r="HO99" s="42">
        <v>0</v>
      </c>
      <c r="HP99" s="44"/>
      <c r="HV99" s="42">
        <v>0</v>
      </c>
      <c r="HW99" s="44"/>
      <c r="HX99" s="45"/>
      <c r="IB99" s="42">
        <v>0</v>
      </c>
      <c r="IC99" s="44"/>
      <c r="IH99" s="42">
        <v>0</v>
      </c>
      <c r="II99" s="47"/>
      <c r="IN99" s="42">
        <v>0</v>
      </c>
      <c r="IO99" s="47"/>
      <c r="IT99" s="42">
        <v>0</v>
      </c>
      <c r="IU99" s="47"/>
      <c r="IZ99" s="42">
        <v>0</v>
      </c>
      <c r="JA99" s="44"/>
      <c r="JD99" s="42">
        <v>0</v>
      </c>
      <c r="JE99" s="44"/>
      <c r="JJ99" s="42">
        <v>0</v>
      </c>
      <c r="JK99" s="44"/>
      <c r="JL99" s="45"/>
      <c r="JN99" s="42">
        <v>0</v>
      </c>
      <c r="JO99" s="44"/>
      <c r="JT99" s="42">
        <v>0</v>
      </c>
      <c r="JU99" s="44"/>
      <c r="JZ99" s="42">
        <v>0</v>
      </c>
      <c r="KA99" s="47"/>
      <c r="KF99" s="42">
        <v>0</v>
      </c>
      <c r="KG99" s="44"/>
      <c r="KH99" s="41"/>
      <c r="KL99" s="42">
        <v>0</v>
      </c>
      <c r="KM99" s="47"/>
      <c r="KN99" s="45"/>
      <c r="KT99" s="42">
        <v>0</v>
      </c>
      <c r="KU99" s="47"/>
      <c r="KV99" s="40">
        <v>0</v>
      </c>
      <c r="KW99" s="40">
        <v>0</v>
      </c>
      <c r="KX99" s="40">
        <v>0</v>
      </c>
      <c r="KY99" s="40">
        <v>0</v>
      </c>
      <c r="KZ99" s="42">
        <v>0</v>
      </c>
      <c r="LA99" s="47"/>
      <c r="LB99" s="40">
        <v>0</v>
      </c>
      <c r="LC99" s="40">
        <v>0</v>
      </c>
      <c r="LD99" s="40">
        <v>0</v>
      </c>
      <c r="LE99" s="40">
        <v>0</v>
      </c>
      <c r="LF99" s="42">
        <v>0</v>
      </c>
      <c r="LG99" s="47"/>
      <c r="LH99" s="45">
        <v>0</v>
      </c>
      <c r="LI99" s="40">
        <v>0</v>
      </c>
      <c r="LJ99" s="42">
        <v>0</v>
      </c>
      <c r="LK99" s="47"/>
      <c r="LL99" s="45">
        <v>0</v>
      </c>
      <c r="LM99" s="40">
        <v>0</v>
      </c>
      <c r="LN99" s="40">
        <v>0</v>
      </c>
      <c r="LO99" s="40">
        <v>0</v>
      </c>
      <c r="LP99" s="42">
        <v>0</v>
      </c>
      <c r="LQ99" s="47"/>
      <c r="LR99" s="45">
        <v>0</v>
      </c>
      <c r="LS99" s="40">
        <v>0</v>
      </c>
      <c r="LT99" s="40">
        <v>0</v>
      </c>
      <c r="LU99" s="40">
        <v>0</v>
      </c>
      <c r="LV99" s="42">
        <v>0</v>
      </c>
      <c r="LW99" s="47"/>
      <c r="LX99" s="45">
        <v>0</v>
      </c>
      <c r="LY99" s="40">
        <v>0</v>
      </c>
      <c r="LZ99" s="42">
        <v>0</v>
      </c>
      <c r="MA99" s="47"/>
      <c r="MB99" s="45">
        <v>0</v>
      </c>
      <c r="MC99" s="40">
        <v>0</v>
      </c>
      <c r="MD99" s="40">
        <v>0</v>
      </c>
      <c r="ME99" s="40">
        <v>0</v>
      </c>
      <c r="MF99" s="42">
        <v>0</v>
      </c>
      <c r="MG99" s="47"/>
      <c r="MH99" s="45">
        <v>0</v>
      </c>
      <c r="MI99" s="40">
        <v>0</v>
      </c>
      <c r="MJ99" s="42">
        <v>0</v>
      </c>
      <c r="MK99" s="47"/>
      <c r="ML99" s="45">
        <v>0</v>
      </c>
      <c r="MM99" s="40">
        <v>0</v>
      </c>
      <c r="MN99" s="40">
        <v>0</v>
      </c>
      <c r="MO99" s="40">
        <v>0</v>
      </c>
      <c r="MP99" s="42">
        <v>0</v>
      </c>
      <c r="MQ99" s="47"/>
      <c r="MR99" s="40">
        <v>0</v>
      </c>
      <c r="MS99" s="40">
        <v>0</v>
      </c>
      <c r="MT99" s="40">
        <v>0</v>
      </c>
      <c r="MU99" s="40">
        <v>0</v>
      </c>
      <c r="MV99" s="42">
        <v>0</v>
      </c>
      <c r="MW99" s="47"/>
      <c r="MX99" s="45">
        <v>0</v>
      </c>
      <c r="MY99" s="40">
        <v>0</v>
      </c>
      <c r="MZ99" s="40">
        <v>0</v>
      </c>
      <c r="NA99" s="40">
        <v>0</v>
      </c>
      <c r="NB99" s="42">
        <v>0</v>
      </c>
      <c r="NC99" s="47"/>
      <c r="ND99" s="45">
        <v>0</v>
      </c>
      <c r="NE99" s="40">
        <v>0</v>
      </c>
      <c r="NF99" s="40">
        <v>0</v>
      </c>
      <c r="NG99" s="40">
        <v>0</v>
      </c>
      <c r="NH99" s="42">
        <v>0</v>
      </c>
      <c r="NI99" s="47"/>
      <c r="NJ99" s="45">
        <v>0</v>
      </c>
      <c r="NK99" s="40">
        <v>0</v>
      </c>
      <c r="NL99" s="40">
        <v>0</v>
      </c>
      <c r="NM99" s="40">
        <v>0</v>
      </c>
      <c r="NN99" s="42">
        <v>0</v>
      </c>
      <c r="NO99" s="47"/>
      <c r="NP99" s="45">
        <v>0</v>
      </c>
      <c r="NQ99" s="40">
        <v>0</v>
      </c>
      <c r="NR99" s="40">
        <v>0</v>
      </c>
      <c r="NS99" s="40">
        <v>0</v>
      </c>
      <c r="NT99" s="42">
        <v>0</v>
      </c>
      <c r="NU99" s="47"/>
      <c r="NV99" s="45">
        <v>0</v>
      </c>
      <c r="NW99" s="40">
        <v>0</v>
      </c>
      <c r="NX99" s="40">
        <v>0</v>
      </c>
      <c r="NY99" s="40">
        <v>0</v>
      </c>
      <c r="NZ99" s="42">
        <v>0</v>
      </c>
      <c r="OA99" s="47"/>
      <c r="OB99" s="45">
        <v>0</v>
      </c>
      <c r="OC99" s="40">
        <v>0</v>
      </c>
      <c r="OD99" s="42">
        <v>0</v>
      </c>
      <c r="OE99" s="47"/>
      <c r="OF99" s="45">
        <v>0</v>
      </c>
      <c r="OG99" s="40">
        <v>0</v>
      </c>
      <c r="OH99" s="40">
        <v>0</v>
      </c>
      <c r="OI99" s="40">
        <v>0</v>
      </c>
      <c r="OJ99" s="42">
        <v>0</v>
      </c>
      <c r="OK99" s="47"/>
      <c r="OL99" s="45">
        <v>0</v>
      </c>
      <c r="OM99" s="40">
        <v>0</v>
      </c>
      <c r="ON99" s="40">
        <v>0</v>
      </c>
      <c r="OO99" s="40">
        <v>0</v>
      </c>
      <c r="OP99" s="42">
        <v>0</v>
      </c>
      <c r="OQ99" s="47"/>
      <c r="OR99" s="45">
        <v>0</v>
      </c>
      <c r="OS99" s="40">
        <v>0</v>
      </c>
      <c r="OT99" s="40">
        <v>0</v>
      </c>
      <c r="OU99" s="40">
        <v>0</v>
      </c>
      <c r="OV99" s="42">
        <v>0</v>
      </c>
      <c r="OW99" s="47"/>
      <c r="OX99" s="40">
        <v>0</v>
      </c>
      <c r="OY99" s="40">
        <v>0</v>
      </c>
      <c r="OZ99" s="40">
        <v>0</v>
      </c>
      <c r="PA99" s="40">
        <v>0</v>
      </c>
      <c r="PB99" s="42">
        <v>0</v>
      </c>
      <c r="PC99" s="47"/>
      <c r="PD99" s="45">
        <v>0</v>
      </c>
      <c r="PE99" s="40">
        <v>0</v>
      </c>
      <c r="PF99" s="40">
        <v>0</v>
      </c>
      <c r="PG99" s="14">
        <v>100</v>
      </c>
      <c r="PH99" s="42">
        <v>2</v>
      </c>
      <c r="PI99" s="47"/>
      <c r="PJ99" s="45">
        <v>0</v>
      </c>
      <c r="PK99" s="40">
        <v>0</v>
      </c>
      <c r="PL99" s="40">
        <v>0</v>
      </c>
      <c r="PM99" s="14">
        <v>325</v>
      </c>
      <c r="PN99" s="42">
        <v>-1</v>
      </c>
      <c r="PO99" s="47"/>
      <c r="PP99" s="43">
        <v>0</v>
      </c>
      <c r="PQ99" s="40">
        <v>0</v>
      </c>
      <c r="PR99" s="40">
        <v>0</v>
      </c>
      <c r="PS99" s="40">
        <v>0</v>
      </c>
      <c r="PT99" s="42">
        <v>0</v>
      </c>
      <c r="PU99" s="47"/>
      <c r="PV99" s="45">
        <v>0</v>
      </c>
      <c r="PW99" s="30">
        <v>150</v>
      </c>
      <c r="PX99" s="40">
        <v>0</v>
      </c>
      <c r="PY99" s="30">
        <v>100</v>
      </c>
      <c r="PZ99" s="39">
        <v>-250</v>
      </c>
      <c r="QA99" s="47">
        <v>100</v>
      </c>
      <c r="QB99" s="45">
        <v>300</v>
      </c>
      <c r="QC99" s="40">
        <v>300</v>
      </c>
      <c r="QD99" s="42">
        <v>0</v>
      </c>
      <c r="QE99" s="47"/>
      <c r="QF99" s="45">
        <v>0</v>
      </c>
      <c r="QG99" s="40">
        <v>0</v>
      </c>
      <c r="QH99" s="40">
        <v>0</v>
      </c>
      <c r="QI99" s="40">
        <v>0</v>
      </c>
      <c r="QJ99" s="42">
        <v>0</v>
      </c>
      <c r="QK99" s="47"/>
      <c r="QL99" s="45">
        <v>0</v>
      </c>
      <c r="QM99" s="40">
        <v>0</v>
      </c>
      <c r="QN99" s="40">
        <v>0</v>
      </c>
      <c r="QO99" s="40">
        <v>0</v>
      </c>
      <c r="QP99" s="42">
        <v>0</v>
      </c>
      <c r="QQ99" s="47"/>
      <c r="QR99" s="45">
        <v>100</v>
      </c>
      <c r="QS99" s="40">
        <v>100</v>
      </c>
      <c r="QT99" s="40">
        <v>0</v>
      </c>
      <c r="QU99" s="40">
        <v>200</v>
      </c>
      <c r="QV99" s="39">
        <v>-200</v>
      </c>
      <c r="QW99" s="47">
        <v>80</v>
      </c>
      <c r="QX99" s="45">
        <v>150</v>
      </c>
      <c r="QY99" s="40">
        <v>150</v>
      </c>
      <c r="QZ99" s="40">
        <v>0</v>
      </c>
      <c r="RA99" s="40">
        <v>0</v>
      </c>
      <c r="RB99" s="42">
        <v>0</v>
      </c>
      <c r="RC99" s="47"/>
      <c r="RD99" s="45">
        <v>280</v>
      </c>
      <c r="RE99" s="40">
        <v>280</v>
      </c>
      <c r="RF99" s="42">
        <v>0</v>
      </c>
      <c r="RG99" s="47"/>
    </row>
    <row r="100" spans="1:475" x14ac:dyDescent="0.25">
      <c r="A100" s="40" t="s">
        <v>389</v>
      </c>
      <c r="B100" s="41">
        <v>1</v>
      </c>
      <c r="N100" s="43"/>
      <c r="O100" s="48"/>
      <c r="P100" s="48"/>
      <c r="Q100" s="48"/>
      <c r="R100" s="48">
        <f t="shared" si="13"/>
        <v>0</v>
      </c>
      <c r="S100" s="44"/>
      <c r="T100" s="43"/>
      <c r="U100" s="48"/>
      <c r="V100" s="48"/>
      <c r="W100" s="48"/>
      <c r="X100" s="48">
        <f t="shared" si="14"/>
        <v>0</v>
      </c>
      <c r="Y100" s="44"/>
      <c r="Z100" s="43"/>
      <c r="AA100" s="48"/>
      <c r="AB100" s="48"/>
      <c r="AC100" s="48"/>
      <c r="AD100" s="48">
        <f t="shared" si="15"/>
        <v>0</v>
      </c>
      <c r="AE100" s="44"/>
      <c r="AF100" s="43"/>
      <c r="AG100" s="48"/>
      <c r="AH100" s="48"/>
      <c r="AI100" s="48"/>
      <c r="AJ100" s="48">
        <f t="shared" si="16"/>
        <v>0</v>
      </c>
      <c r="AK100" s="44"/>
      <c r="AL100" s="48"/>
      <c r="AP100" s="42">
        <v>0</v>
      </c>
      <c r="AQ100" s="44"/>
      <c r="AR100" s="43"/>
      <c r="AV100" s="42">
        <v>0</v>
      </c>
      <c r="AW100" s="44"/>
      <c r="BC100" s="42">
        <v>0</v>
      </c>
      <c r="BD100" s="44"/>
      <c r="BE100" s="43"/>
      <c r="BI100" s="42">
        <v>0</v>
      </c>
      <c r="BJ100" s="44"/>
      <c r="BO100" s="42">
        <v>0</v>
      </c>
      <c r="BP100" s="44"/>
      <c r="BS100" s="42">
        <v>0</v>
      </c>
      <c r="BT100" s="44"/>
      <c r="BU100" s="43"/>
      <c r="BY100" s="42">
        <v>0</v>
      </c>
      <c r="BZ100" s="44"/>
      <c r="CE100" s="42">
        <v>0</v>
      </c>
      <c r="CF100" s="44"/>
      <c r="CG100" s="43"/>
      <c r="CK100" s="42">
        <v>0</v>
      </c>
      <c r="CL100" s="44"/>
      <c r="CM100" s="43"/>
      <c r="CQ100" s="42">
        <v>0</v>
      </c>
      <c r="CR100" s="44"/>
      <c r="CW100" s="42">
        <v>0</v>
      </c>
      <c r="CX100" s="44"/>
      <c r="CY100" s="43"/>
      <c r="DC100" s="42">
        <v>0</v>
      </c>
      <c r="DD100" s="44"/>
      <c r="DE100" s="43"/>
      <c r="DK100" s="42">
        <v>0</v>
      </c>
      <c r="DL100" s="44"/>
      <c r="DM100" s="43"/>
      <c r="DQ100" s="42">
        <v>0</v>
      </c>
      <c r="DR100" s="44"/>
      <c r="DY100" s="42">
        <v>0</v>
      </c>
      <c r="DZ100" s="44"/>
      <c r="EA100" s="43"/>
      <c r="EE100" s="42">
        <v>0</v>
      </c>
      <c r="EF100" s="44"/>
      <c r="EG100" s="43"/>
      <c r="EK100" s="42">
        <v>0</v>
      </c>
      <c r="EL100" s="44"/>
      <c r="EM100" s="43"/>
      <c r="EQ100" s="42">
        <v>0</v>
      </c>
      <c r="ER100" s="44"/>
      <c r="EY100" s="42">
        <v>0</v>
      </c>
      <c r="EZ100" s="44"/>
      <c r="FE100" s="42">
        <v>0</v>
      </c>
      <c r="FF100" s="44"/>
      <c r="FG100" s="43"/>
      <c r="FK100" s="42">
        <v>0</v>
      </c>
      <c r="FL100" s="44"/>
      <c r="FM100" s="43"/>
      <c r="FO100" s="42">
        <v>0</v>
      </c>
      <c r="FP100" s="44"/>
      <c r="FU100" s="42">
        <v>0</v>
      </c>
      <c r="FV100" s="44"/>
      <c r="FW100" s="43"/>
      <c r="GC100" s="42">
        <v>0</v>
      </c>
      <c r="GD100" s="44"/>
      <c r="GI100" s="42">
        <v>0</v>
      </c>
      <c r="GJ100" s="44"/>
      <c r="GK100" s="43"/>
      <c r="GO100" s="42">
        <v>0</v>
      </c>
      <c r="GP100" s="47"/>
      <c r="GU100" s="42">
        <v>0</v>
      </c>
      <c r="GV100" s="44"/>
      <c r="GY100" s="42">
        <v>0</v>
      </c>
      <c r="GZ100" s="47"/>
      <c r="HA100" s="43"/>
      <c r="HC100" s="42">
        <v>0</v>
      </c>
      <c r="HD100" s="44"/>
      <c r="HE100" s="43"/>
      <c r="HI100" s="42">
        <v>0</v>
      </c>
      <c r="HJ100" s="47"/>
      <c r="HK100" s="43"/>
      <c r="HO100" s="42">
        <v>0</v>
      </c>
      <c r="HP100" s="44"/>
      <c r="HV100" s="42">
        <v>0</v>
      </c>
      <c r="HW100" s="44"/>
      <c r="HX100" s="45"/>
      <c r="IB100" s="42">
        <v>0</v>
      </c>
      <c r="IC100" s="44"/>
      <c r="IH100" s="42">
        <v>0</v>
      </c>
      <c r="II100" s="47"/>
      <c r="IN100" s="42">
        <v>0</v>
      </c>
      <c r="IO100" s="47"/>
      <c r="IT100" s="42">
        <v>0</v>
      </c>
      <c r="IU100" s="47"/>
      <c r="IZ100" s="42">
        <v>0</v>
      </c>
      <c r="JA100" s="44"/>
      <c r="JD100" s="42">
        <v>0</v>
      </c>
      <c r="JE100" s="44"/>
      <c r="JJ100" s="42">
        <v>0</v>
      </c>
      <c r="JK100" s="44"/>
      <c r="JL100" s="45"/>
      <c r="JN100" s="42">
        <v>0</v>
      </c>
      <c r="JO100" s="44"/>
      <c r="JT100" s="42">
        <v>0</v>
      </c>
      <c r="JU100" s="44"/>
      <c r="JZ100" s="42">
        <v>0</v>
      </c>
      <c r="KA100" s="47"/>
      <c r="KF100" s="42">
        <v>0</v>
      </c>
      <c r="KG100" s="44"/>
      <c r="KH100" s="41"/>
      <c r="KL100" s="42">
        <v>0</v>
      </c>
      <c r="KM100" s="47"/>
      <c r="KN100" s="45"/>
      <c r="KT100" s="42">
        <v>0</v>
      </c>
      <c r="KU100" s="47"/>
      <c r="KV100" s="40">
        <v>0</v>
      </c>
      <c r="KW100" s="40">
        <v>0</v>
      </c>
      <c r="KX100" s="40">
        <v>0</v>
      </c>
      <c r="KY100" s="40">
        <v>0</v>
      </c>
      <c r="KZ100" s="42">
        <v>0</v>
      </c>
      <c r="LA100" s="47"/>
      <c r="LB100" s="40">
        <v>0</v>
      </c>
      <c r="LC100" s="40">
        <v>0</v>
      </c>
      <c r="LD100" s="40">
        <v>0</v>
      </c>
      <c r="LE100" s="40">
        <v>0</v>
      </c>
      <c r="LF100" s="42">
        <v>0</v>
      </c>
      <c r="LG100" s="47"/>
      <c r="LH100" s="45">
        <v>0</v>
      </c>
      <c r="LI100" s="40">
        <v>0</v>
      </c>
      <c r="LJ100" s="42">
        <v>0</v>
      </c>
      <c r="LK100" s="47"/>
      <c r="LL100" s="45">
        <v>0</v>
      </c>
      <c r="LM100" s="40">
        <v>0</v>
      </c>
      <c r="LN100" s="40">
        <v>0</v>
      </c>
      <c r="LO100" s="40">
        <v>0</v>
      </c>
      <c r="LP100" s="42">
        <v>0</v>
      </c>
      <c r="LQ100" s="47"/>
      <c r="LR100" s="45">
        <v>0</v>
      </c>
      <c r="LS100" s="40">
        <v>0</v>
      </c>
      <c r="LT100" s="40">
        <v>0</v>
      </c>
      <c r="LU100" s="40">
        <v>0</v>
      </c>
      <c r="LV100" s="42">
        <v>0</v>
      </c>
      <c r="LW100" s="47"/>
      <c r="LX100" s="45">
        <v>0</v>
      </c>
      <c r="LY100" s="40">
        <v>0</v>
      </c>
      <c r="LZ100" s="42">
        <v>0</v>
      </c>
      <c r="MA100" s="47"/>
      <c r="MB100" s="45">
        <v>0</v>
      </c>
      <c r="MC100" s="40">
        <v>0</v>
      </c>
      <c r="MD100" s="40">
        <v>0</v>
      </c>
      <c r="ME100" s="40">
        <v>0</v>
      </c>
      <c r="MF100" s="42">
        <v>0</v>
      </c>
      <c r="MG100" s="47"/>
      <c r="MH100" s="45">
        <v>0</v>
      </c>
      <c r="MI100" s="40">
        <v>0</v>
      </c>
      <c r="MJ100" s="42">
        <v>0</v>
      </c>
      <c r="MK100" s="47"/>
      <c r="ML100" s="45">
        <v>0</v>
      </c>
      <c r="MM100" s="40">
        <v>0</v>
      </c>
      <c r="MN100" s="40">
        <v>0</v>
      </c>
      <c r="MO100" s="40">
        <v>0</v>
      </c>
      <c r="MP100" s="42">
        <v>0</v>
      </c>
      <c r="MQ100" s="47"/>
      <c r="MR100" s="40">
        <v>0</v>
      </c>
      <c r="MS100" s="40">
        <v>0</v>
      </c>
      <c r="MT100" s="40">
        <v>0</v>
      </c>
      <c r="MU100" s="40">
        <v>0</v>
      </c>
      <c r="MV100" s="42">
        <v>0</v>
      </c>
      <c r="MW100" s="47"/>
      <c r="MX100" s="45">
        <v>0</v>
      </c>
      <c r="MY100" s="40">
        <v>0</v>
      </c>
      <c r="MZ100" s="40">
        <v>0</v>
      </c>
      <c r="NA100" s="40">
        <v>0</v>
      </c>
      <c r="NB100" s="42">
        <v>0</v>
      </c>
      <c r="NC100" s="47"/>
      <c r="ND100" s="45">
        <v>0</v>
      </c>
      <c r="NE100" s="40">
        <v>0</v>
      </c>
      <c r="NF100" s="40">
        <v>0</v>
      </c>
      <c r="NG100" s="40">
        <v>0</v>
      </c>
      <c r="NH100" s="42">
        <v>0</v>
      </c>
      <c r="NI100" s="47"/>
      <c r="NJ100" s="45">
        <v>0</v>
      </c>
      <c r="NK100" s="40">
        <v>0</v>
      </c>
      <c r="NL100" s="40">
        <v>0</v>
      </c>
      <c r="NM100" s="40">
        <v>0</v>
      </c>
      <c r="NN100" s="42">
        <v>0</v>
      </c>
      <c r="NO100" s="47"/>
      <c r="NP100" s="45">
        <v>0</v>
      </c>
      <c r="NQ100" s="40">
        <v>0</v>
      </c>
      <c r="NR100" s="40">
        <v>0</v>
      </c>
      <c r="NS100" s="40">
        <v>0</v>
      </c>
      <c r="NT100" s="42">
        <v>0</v>
      </c>
      <c r="NU100" s="47"/>
      <c r="NV100" s="45">
        <v>0</v>
      </c>
      <c r="NW100" s="40">
        <v>0</v>
      </c>
      <c r="NX100" s="40">
        <v>0</v>
      </c>
      <c r="NY100" s="40">
        <v>0</v>
      </c>
      <c r="NZ100" s="42">
        <v>0</v>
      </c>
      <c r="OA100" s="47"/>
      <c r="OB100" s="45">
        <v>0</v>
      </c>
      <c r="OC100" s="40">
        <v>0</v>
      </c>
      <c r="OD100" s="42">
        <v>0</v>
      </c>
      <c r="OE100" s="47"/>
      <c r="OF100" s="45">
        <v>0</v>
      </c>
      <c r="OG100" s="40">
        <v>0</v>
      </c>
      <c r="OH100" s="40">
        <v>0</v>
      </c>
      <c r="OI100" s="40">
        <v>0</v>
      </c>
      <c r="OJ100" s="42">
        <v>0</v>
      </c>
      <c r="OK100" s="47"/>
      <c r="OL100" s="45">
        <v>0</v>
      </c>
      <c r="OM100" s="40">
        <v>0</v>
      </c>
      <c r="ON100" s="40">
        <v>0</v>
      </c>
      <c r="OO100" s="40">
        <v>0</v>
      </c>
      <c r="OP100" s="42">
        <v>0</v>
      </c>
      <c r="OQ100" s="47"/>
      <c r="OR100" s="45">
        <v>0</v>
      </c>
      <c r="OS100" s="40">
        <v>0</v>
      </c>
      <c r="OT100" s="40">
        <v>0</v>
      </c>
      <c r="OU100" s="40">
        <v>0</v>
      </c>
      <c r="OV100" s="42">
        <v>0</v>
      </c>
      <c r="OW100" s="47"/>
      <c r="OX100" s="40">
        <v>0</v>
      </c>
      <c r="OY100" s="40">
        <v>0</v>
      </c>
      <c r="OZ100" s="40">
        <v>0</v>
      </c>
      <c r="PA100" s="40">
        <v>0</v>
      </c>
      <c r="PB100" s="42">
        <v>0</v>
      </c>
      <c r="PC100" s="47"/>
      <c r="PD100" s="45">
        <v>0</v>
      </c>
      <c r="PE100" s="40">
        <v>0</v>
      </c>
      <c r="PF100" s="40">
        <v>0</v>
      </c>
      <c r="PG100" s="40">
        <v>0</v>
      </c>
      <c r="PH100" s="42">
        <v>0</v>
      </c>
      <c r="PI100" s="47"/>
      <c r="PJ100" s="45">
        <v>0</v>
      </c>
      <c r="PK100" s="40">
        <v>0</v>
      </c>
      <c r="PL100" s="40">
        <v>0</v>
      </c>
      <c r="PM100" s="40">
        <v>0</v>
      </c>
      <c r="PN100" s="42">
        <v>0</v>
      </c>
      <c r="PO100" s="47"/>
      <c r="PP100" s="43">
        <v>0</v>
      </c>
      <c r="PQ100" s="14">
        <v>50</v>
      </c>
      <c r="PR100" s="40">
        <v>0</v>
      </c>
      <c r="PS100" s="14">
        <v>50</v>
      </c>
      <c r="PT100" s="42">
        <v>-4.3449999999999989</v>
      </c>
      <c r="PU100" s="47"/>
      <c r="PV100" s="45">
        <v>0</v>
      </c>
      <c r="PW100" s="14">
        <v>140</v>
      </c>
      <c r="PX100" s="40">
        <v>0</v>
      </c>
      <c r="PY100" s="14">
        <v>100</v>
      </c>
      <c r="PZ100" s="42">
        <v>0.12000000000000451</v>
      </c>
      <c r="QA100" s="47"/>
      <c r="QB100" s="45">
        <v>237.03399999999999</v>
      </c>
      <c r="QC100" s="40">
        <v>240</v>
      </c>
      <c r="QD100" s="42">
        <v>-2.9660000000000082</v>
      </c>
      <c r="QE100" s="47"/>
      <c r="QF100" s="45">
        <v>65.158000000000001</v>
      </c>
      <c r="QG100" s="40">
        <v>64</v>
      </c>
      <c r="QH100" s="40">
        <v>71.31</v>
      </c>
      <c r="QI100" s="40">
        <v>70</v>
      </c>
      <c r="QJ100" s="42">
        <v>2.4680000000000182</v>
      </c>
      <c r="QK100" s="47"/>
      <c r="QL100" s="45">
        <v>89.075000000000003</v>
      </c>
      <c r="QM100" s="40">
        <v>90</v>
      </c>
      <c r="QN100" s="40">
        <v>107.35</v>
      </c>
      <c r="QO100" s="40">
        <v>110</v>
      </c>
      <c r="QP100" s="42">
        <v>-3.5749999999999891</v>
      </c>
      <c r="QQ100" s="47"/>
      <c r="QR100" s="45">
        <v>101.85</v>
      </c>
      <c r="QS100" s="40">
        <v>100</v>
      </c>
      <c r="QT100" s="40">
        <v>48.045000000000002</v>
      </c>
      <c r="QU100" s="40">
        <v>150</v>
      </c>
      <c r="QV100" s="39">
        <v>-100.105</v>
      </c>
      <c r="QW100" s="47">
        <v>100.105</v>
      </c>
      <c r="QX100" s="45">
        <v>101.39700000000001</v>
      </c>
      <c r="QY100" s="40">
        <v>100</v>
      </c>
      <c r="QZ100" s="40">
        <v>0</v>
      </c>
      <c r="RA100" s="40">
        <v>0</v>
      </c>
      <c r="RB100" s="42">
        <v>1.397000000000006</v>
      </c>
      <c r="RC100" s="47"/>
      <c r="RD100" s="45">
        <v>156.35499999999999</v>
      </c>
      <c r="RE100" s="40">
        <v>158.79859999999999</v>
      </c>
      <c r="RF100" s="42">
        <v>-2.443600000000032</v>
      </c>
      <c r="RG100" s="47"/>
    </row>
    <row r="101" spans="1:475" x14ac:dyDescent="0.25">
      <c r="A101" s="40" t="s">
        <v>390</v>
      </c>
      <c r="B101" s="41">
        <v>0.4</v>
      </c>
      <c r="N101" s="43"/>
      <c r="O101" s="48"/>
      <c r="P101" s="48"/>
      <c r="Q101" s="48"/>
      <c r="R101" s="48">
        <f t="shared" si="13"/>
        <v>0</v>
      </c>
      <c r="S101" s="44"/>
      <c r="T101" s="43"/>
      <c r="U101" s="48"/>
      <c r="V101" s="48"/>
      <c r="W101" s="48"/>
      <c r="X101" s="48">
        <f t="shared" si="14"/>
        <v>0</v>
      </c>
      <c r="Y101" s="44"/>
      <c r="Z101" s="43"/>
      <c r="AA101" s="48"/>
      <c r="AB101" s="48"/>
      <c r="AC101" s="48"/>
      <c r="AD101" s="48">
        <f t="shared" si="15"/>
        <v>0</v>
      </c>
      <c r="AE101" s="44"/>
      <c r="AF101" s="43"/>
      <c r="AG101" s="48"/>
      <c r="AH101" s="48"/>
      <c r="AI101" s="48"/>
      <c r="AJ101" s="48">
        <f t="shared" si="16"/>
        <v>0</v>
      </c>
      <c r="AK101" s="44"/>
      <c r="AL101" s="48"/>
      <c r="AP101" s="42">
        <v>0</v>
      </c>
      <c r="AQ101" s="44"/>
      <c r="AR101" s="43"/>
      <c r="AV101" s="42">
        <v>0</v>
      </c>
      <c r="AW101" s="44"/>
      <c r="BC101" s="42">
        <v>0</v>
      </c>
      <c r="BD101" s="44"/>
      <c r="BE101" s="43"/>
      <c r="BI101" s="42">
        <v>0</v>
      </c>
      <c r="BJ101" s="44"/>
      <c r="BO101" s="42">
        <v>0</v>
      </c>
      <c r="BP101" s="44"/>
      <c r="BS101" s="42">
        <v>0</v>
      </c>
      <c r="BT101" s="44"/>
      <c r="BU101" s="43"/>
      <c r="BY101" s="42">
        <v>0</v>
      </c>
      <c r="BZ101" s="44"/>
      <c r="CE101" s="42">
        <v>0</v>
      </c>
      <c r="CF101" s="44"/>
      <c r="CG101" s="43"/>
      <c r="CK101" s="42">
        <v>0</v>
      </c>
      <c r="CL101" s="44"/>
      <c r="CM101" s="43"/>
      <c r="CQ101" s="42">
        <v>0</v>
      </c>
      <c r="CR101" s="44"/>
      <c r="CW101" s="42">
        <v>0</v>
      </c>
      <c r="CX101" s="44"/>
      <c r="CY101" s="43"/>
      <c r="DA101">
        <v>56</v>
      </c>
      <c r="DB101">
        <v>60</v>
      </c>
      <c r="DC101" s="42">
        <v>-4</v>
      </c>
      <c r="DD101" s="44"/>
      <c r="DE101" s="43"/>
      <c r="DJ101">
        <v>61</v>
      </c>
      <c r="DK101" s="39">
        <v>-61</v>
      </c>
      <c r="DL101" s="44">
        <v>24.4</v>
      </c>
      <c r="DM101" s="43"/>
      <c r="DQ101" s="42">
        <v>0</v>
      </c>
      <c r="DR101" s="44"/>
      <c r="DU101">
        <v>84</v>
      </c>
      <c r="DV101">
        <v>88</v>
      </c>
      <c r="DY101" s="42">
        <v>-4</v>
      </c>
      <c r="DZ101" s="44"/>
      <c r="EA101" s="43"/>
      <c r="EC101">
        <v>77</v>
      </c>
      <c r="ED101">
        <v>80</v>
      </c>
      <c r="EE101" s="42">
        <v>-3</v>
      </c>
      <c r="EF101" s="44"/>
      <c r="EG101" s="43"/>
      <c r="EK101" s="42">
        <v>0</v>
      </c>
      <c r="EL101" s="44"/>
      <c r="EM101" s="43"/>
      <c r="EQ101" s="42">
        <v>0</v>
      </c>
      <c r="ER101" s="44"/>
      <c r="EW101">
        <v>126</v>
      </c>
      <c r="EX101">
        <v>130</v>
      </c>
      <c r="EY101" s="42">
        <v>-4</v>
      </c>
      <c r="EZ101" s="44"/>
      <c r="FE101" s="42">
        <v>0</v>
      </c>
      <c r="FF101" s="44"/>
      <c r="FG101" s="43"/>
      <c r="FI101">
        <v>70</v>
      </c>
      <c r="FJ101">
        <v>69</v>
      </c>
      <c r="FK101" s="42">
        <v>1</v>
      </c>
      <c r="FL101" s="44"/>
      <c r="FM101" s="43"/>
      <c r="FO101" s="42">
        <v>0</v>
      </c>
      <c r="FP101" s="44"/>
      <c r="FS101">
        <v>21</v>
      </c>
      <c r="FT101">
        <v>21</v>
      </c>
      <c r="FU101" s="42">
        <v>0</v>
      </c>
      <c r="FV101" s="44"/>
      <c r="FW101" s="43"/>
      <c r="GA101">
        <v>49</v>
      </c>
      <c r="GB101">
        <v>50</v>
      </c>
      <c r="GC101" s="42">
        <v>-1</v>
      </c>
      <c r="GD101" s="44"/>
      <c r="GI101" s="42">
        <v>0</v>
      </c>
      <c r="GJ101" s="44"/>
      <c r="GK101" s="43"/>
      <c r="GM101">
        <v>49</v>
      </c>
      <c r="GN101">
        <v>49</v>
      </c>
      <c r="GO101" s="42">
        <v>0</v>
      </c>
      <c r="GP101" s="47"/>
      <c r="GR101">
        <v>28</v>
      </c>
      <c r="GS101">
        <v>91</v>
      </c>
      <c r="GT101">
        <v>92</v>
      </c>
      <c r="GU101" s="39">
        <v>-29</v>
      </c>
      <c r="GV101" s="44">
        <v>11.6</v>
      </c>
      <c r="GW101">
        <v>28</v>
      </c>
      <c r="GX101" s="40">
        <v>26</v>
      </c>
      <c r="GY101" s="42">
        <v>2</v>
      </c>
      <c r="GZ101" s="47"/>
      <c r="HA101" s="46">
        <v>56</v>
      </c>
      <c r="HB101">
        <v>60</v>
      </c>
      <c r="HC101" s="42">
        <v>-4</v>
      </c>
      <c r="HD101" s="44"/>
      <c r="HE101" s="43"/>
      <c r="HI101" s="42">
        <v>0</v>
      </c>
      <c r="HJ101" s="47"/>
      <c r="HK101" s="43"/>
      <c r="HM101">
        <v>168</v>
      </c>
      <c r="HN101">
        <v>170</v>
      </c>
      <c r="HO101" s="42">
        <v>-2</v>
      </c>
      <c r="HP101" s="44"/>
      <c r="HV101" s="42">
        <v>0</v>
      </c>
      <c r="HW101" s="44"/>
      <c r="HX101" s="45"/>
      <c r="HZ101">
        <v>147</v>
      </c>
      <c r="IA101">
        <v>150</v>
      </c>
      <c r="IB101" s="42">
        <v>-3</v>
      </c>
      <c r="IC101" s="44"/>
      <c r="IF101">
        <v>147</v>
      </c>
      <c r="IG101">
        <v>150</v>
      </c>
      <c r="IH101" s="42">
        <v>-3</v>
      </c>
      <c r="II101" s="47"/>
      <c r="IN101" s="42">
        <v>0</v>
      </c>
      <c r="IO101" s="47"/>
      <c r="IP101">
        <v>119</v>
      </c>
      <c r="IQ101">
        <v>120</v>
      </c>
      <c r="IR101">
        <v>98</v>
      </c>
      <c r="IS101">
        <v>100</v>
      </c>
      <c r="IT101" s="42">
        <v>-3</v>
      </c>
      <c r="IU101" s="47"/>
      <c r="IV101">
        <v>7</v>
      </c>
      <c r="IW101">
        <v>10</v>
      </c>
      <c r="IZ101" s="42">
        <v>-3</v>
      </c>
      <c r="JA101" s="44"/>
      <c r="JB101">
        <v>56</v>
      </c>
      <c r="JC101">
        <v>61</v>
      </c>
      <c r="JD101" s="42">
        <v>-5</v>
      </c>
      <c r="JE101" s="44"/>
      <c r="JF101">
        <v>35</v>
      </c>
      <c r="JG101">
        <v>35</v>
      </c>
      <c r="JH101">
        <v>77</v>
      </c>
      <c r="JI101">
        <v>75</v>
      </c>
      <c r="JJ101" s="42">
        <v>2</v>
      </c>
      <c r="JK101" s="44"/>
      <c r="JL101" s="45"/>
      <c r="JN101" s="42">
        <v>0</v>
      </c>
      <c r="JO101" s="44"/>
      <c r="JT101" s="42">
        <v>0</v>
      </c>
      <c r="JU101" s="44"/>
      <c r="JV101">
        <v>91</v>
      </c>
      <c r="JW101">
        <v>90</v>
      </c>
      <c r="JZ101" s="42">
        <v>1</v>
      </c>
      <c r="KA101" s="47"/>
      <c r="KB101">
        <v>70</v>
      </c>
      <c r="KC101">
        <v>70</v>
      </c>
      <c r="KD101">
        <v>112</v>
      </c>
      <c r="KE101">
        <v>110</v>
      </c>
      <c r="KF101" s="42">
        <v>2</v>
      </c>
      <c r="KG101" s="44"/>
      <c r="KH101" s="41"/>
      <c r="KL101" s="42">
        <v>0</v>
      </c>
      <c r="KM101" s="47"/>
      <c r="KN101" s="46">
        <v>77</v>
      </c>
      <c r="KO101">
        <v>80</v>
      </c>
      <c r="KP101">
        <v>91</v>
      </c>
      <c r="KQ101">
        <v>90</v>
      </c>
      <c r="KR101">
        <v>63</v>
      </c>
      <c r="KS101">
        <v>72</v>
      </c>
      <c r="KT101" s="42">
        <v>-11</v>
      </c>
      <c r="KU101" s="47"/>
      <c r="KV101" s="40">
        <v>0</v>
      </c>
      <c r="KW101" s="40">
        <v>0</v>
      </c>
      <c r="KX101" s="40">
        <v>0</v>
      </c>
      <c r="KY101" s="40">
        <v>0</v>
      </c>
      <c r="KZ101" s="42">
        <v>0</v>
      </c>
      <c r="LA101" s="47"/>
      <c r="LB101" s="40">
        <v>0</v>
      </c>
      <c r="LC101" s="40">
        <v>0</v>
      </c>
      <c r="LD101" s="40">
        <v>0</v>
      </c>
      <c r="LE101" s="40">
        <v>0</v>
      </c>
      <c r="LF101" s="42">
        <v>0</v>
      </c>
      <c r="LG101" s="47"/>
      <c r="LH101" s="45">
        <v>175</v>
      </c>
      <c r="LI101" s="40">
        <v>180</v>
      </c>
      <c r="LJ101" s="42">
        <v>-5</v>
      </c>
      <c r="LK101" s="47"/>
      <c r="LL101" s="45">
        <v>0</v>
      </c>
      <c r="LM101" s="40">
        <v>0</v>
      </c>
      <c r="LN101" s="40">
        <v>0</v>
      </c>
      <c r="LO101" s="40">
        <v>0</v>
      </c>
      <c r="LP101" s="42">
        <v>0</v>
      </c>
      <c r="LQ101" s="47"/>
      <c r="LR101" s="45">
        <v>0</v>
      </c>
      <c r="LS101" s="40">
        <v>0</v>
      </c>
      <c r="LT101" s="40">
        <v>0</v>
      </c>
      <c r="LU101" s="40">
        <v>0</v>
      </c>
      <c r="LV101" s="42">
        <v>0</v>
      </c>
      <c r="LW101" s="47"/>
      <c r="LX101" s="45">
        <v>287</v>
      </c>
      <c r="LY101" s="40">
        <v>290</v>
      </c>
      <c r="LZ101" s="42">
        <v>-3</v>
      </c>
      <c r="MA101" s="47"/>
      <c r="MB101" s="45">
        <v>0</v>
      </c>
      <c r="MC101" s="40">
        <v>0</v>
      </c>
      <c r="MD101" s="40">
        <v>28</v>
      </c>
      <c r="ME101" s="40">
        <v>28</v>
      </c>
      <c r="MF101" s="42">
        <v>0</v>
      </c>
      <c r="MG101" s="47"/>
      <c r="MH101" s="45">
        <v>0</v>
      </c>
      <c r="MI101" s="40">
        <v>0</v>
      </c>
      <c r="MJ101" s="42">
        <v>0</v>
      </c>
      <c r="MK101" s="47"/>
      <c r="ML101" s="45">
        <v>0</v>
      </c>
      <c r="MM101" s="40">
        <v>0</v>
      </c>
      <c r="MN101" s="40">
        <v>224</v>
      </c>
      <c r="MO101" s="40">
        <v>228</v>
      </c>
      <c r="MP101" s="42">
        <v>-4</v>
      </c>
      <c r="MQ101" s="47"/>
      <c r="MR101" s="40">
        <v>0</v>
      </c>
      <c r="MS101" s="40">
        <v>0</v>
      </c>
      <c r="MT101" s="40">
        <v>0</v>
      </c>
      <c r="MU101" s="40">
        <v>0</v>
      </c>
      <c r="MV101" s="42">
        <v>0</v>
      </c>
      <c r="MW101" s="47"/>
      <c r="MX101" s="45">
        <v>0</v>
      </c>
      <c r="MY101" s="40">
        <v>0</v>
      </c>
      <c r="MZ101" s="40">
        <v>21</v>
      </c>
      <c r="NA101" s="40">
        <v>21</v>
      </c>
      <c r="NB101" s="42">
        <v>0</v>
      </c>
      <c r="NC101" s="47"/>
      <c r="ND101" s="45">
        <v>0</v>
      </c>
      <c r="NE101" s="30">
        <v>60</v>
      </c>
      <c r="NF101" s="40">
        <v>154</v>
      </c>
      <c r="NG101" s="40">
        <v>154</v>
      </c>
      <c r="NH101" s="39">
        <v>-60</v>
      </c>
      <c r="NI101" s="47">
        <v>24</v>
      </c>
      <c r="NJ101" s="45">
        <v>0</v>
      </c>
      <c r="NK101" s="40">
        <v>0</v>
      </c>
      <c r="NL101" s="40">
        <v>7</v>
      </c>
      <c r="NM101" s="40">
        <v>10</v>
      </c>
      <c r="NN101" s="42">
        <v>-3</v>
      </c>
      <c r="NO101" s="47"/>
      <c r="NP101" s="45">
        <v>0</v>
      </c>
      <c r="NQ101" s="40">
        <v>0</v>
      </c>
      <c r="NR101" s="40">
        <v>49</v>
      </c>
      <c r="NS101" s="40">
        <v>50</v>
      </c>
      <c r="NT101" s="42">
        <v>-1</v>
      </c>
      <c r="NU101" s="47"/>
      <c r="NV101" s="45">
        <v>49</v>
      </c>
      <c r="NW101" s="40">
        <v>50</v>
      </c>
      <c r="NX101" s="40">
        <v>98</v>
      </c>
      <c r="NY101" s="40">
        <v>100</v>
      </c>
      <c r="NZ101" s="42">
        <v>-3</v>
      </c>
      <c r="OA101" s="47"/>
      <c r="OB101" s="45">
        <v>28</v>
      </c>
      <c r="OC101" s="40">
        <v>30</v>
      </c>
      <c r="OD101" s="42">
        <v>-2</v>
      </c>
      <c r="OE101" s="47"/>
      <c r="OF101" s="45">
        <v>0</v>
      </c>
      <c r="OG101" s="40">
        <v>0</v>
      </c>
      <c r="OH101" s="40">
        <v>0</v>
      </c>
      <c r="OI101" s="30">
        <v>58</v>
      </c>
      <c r="OJ101" s="39">
        <v>-58</v>
      </c>
      <c r="OK101" s="47">
        <v>23.2</v>
      </c>
      <c r="OL101" s="45">
        <v>49</v>
      </c>
      <c r="OM101" s="40">
        <v>50</v>
      </c>
      <c r="ON101" s="40">
        <v>49</v>
      </c>
      <c r="OO101" s="40">
        <v>52</v>
      </c>
      <c r="OP101" s="42">
        <v>-4</v>
      </c>
      <c r="OQ101" s="47"/>
      <c r="OR101" s="45">
        <v>0</v>
      </c>
      <c r="OS101" s="40">
        <v>0</v>
      </c>
      <c r="OT101" s="40">
        <v>42</v>
      </c>
      <c r="OU101" s="40">
        <v>40</v>
      </c>
      <c r="OV101" s="42">
        <v>2</v>
      </c>
      <c r="OW101" s="47"/>
      <c r="OX101" s="40">
        <v>21</v>
      </c>
      <c r="OY101" s="40">
        <v>20</v>
      </c>
      <c r="OZ101" s="40">
        <v>21</v>
      </c>
      <c r="PA101" s="40">
        <v>20</v>
      </c>
      <c r="PB101" s="42">
        <v>2</v>
      </c>
      <c r="PC101" s="47"/>
      <c r="PD101" s="45">
        <v>0</v>
      </c>
      <c r="PE101" s="40">
        <v>0</v>
      </c>
      <c r="PF101" s="40">
        <v>98</v>
      </c>
      <c r="PG101" s="40">
        <v>100</v>
      </c>
      <c r="PH101" s="42">
        <v>-2</v>
      </c>
      <c r="PI101" s="47"/>
      <c r="PJ101" s="45"/>
      <c r="PO101" s="47"/>
      <c r="PP101" s="43"/>
      <c r="PU101" s="47"/>
      <c r="PV101" s="45"/>
      <c r="QA101" s="47"/>
      <c r="QB101" s="45"/>
      <c r="QE101" s="47"/>
      <c r="QF101" s="45"/>
      <c r="QK101" s="47"/>
      <c r="QL101" s="45"/>
      <c r="QQ101" s="47"/>
      <c r="QR101" s="45"/>
      <c r="QW101" s="47"/>
      <c r="QX101" s="45"/>
      <c r="RB101" s="42"/>
      <c r="RC101" s="47"/>
      <c r="RD101" s="45"/>
      <c r="RF101" s="42"/>
      <c r="RG101" s="47"/>
    </row>
    <row r="102" spans="1:475" x14ac:dyDescent="0.25">
      <c r="A102" s="40" t="s">
        <v>391</v>
      </c>
      <c r="B102" s="41">
        <v>1</v>
      </c>
      <c r="N102" s="43"/>
      <c r="O102" s="48"/>
      <c r="P102" s="48"/>
      <c r="Q102" s="48"/>
      <c r="R102" s="48">
        <f t="shared" si="13"/>
        <v>0</v>
      </c>
      <c r="S102" s="44"/>
      <c r="T102" s="43"/>
      <c r="U102" s="48"/>
      <c r="V102" s="48"/>
      <c r="W102" s="48"/>
      <c r="X102" s="48">
        <f t="shared" si="14"/>
        <v>0</v>
      </c>
      <c r="Y102" s="44"/>
      <c r="Z102" s="43"/>
      <c r="AA102" s="48"/>
      <c r="AB102" s="48"/>
      <c r="AC102" s="48"/>
      <c r="AD102" s="48">
        <f t="shared" si="15"/>
        <v>0</v>
      </c>
      <c r="AE102" s="44"/>
      <c r="AF102" s="43"/>
      <c r="AG102" s="48"/>
      <c r="AH102" s="48"/>
      <c r="AI102" s="48"/>
      <c r="AJ102" s="48">
        <f t="shared" si="16"/>
        <v>0</v>
      </c>
      <c r="AK102" s="44"/>
      <c r="AL102" s="48"/>
      <c r="AP102" s="42">
        <v>0</v>
      </c>
      <c r="AQ102" s="44"/>
      <c r="AR102" s="43"/>
      <c r="AV102" s="42">
        <v>0</v>
      </c>
      <c r="AW102" s="44"/>
      <c r="BC102" s="42">
        <v>0</v>
      </c>
      <c r="BD102" s="44"/>
      <c r="BE102" s="43"/>
      <c r="BI102" s="42">
        <v>0</v>
      </c>
      <c r="BJ102" s="44"/>
      <c r="BO102" s="42">
        <v>0</v>
      </c>
      <c r="BP102" s="44"/>
      <c r="BS102" s="42">
        <v>0</v>
      </c>
      <c r="BT102" s="44"/>
      <c r="BU102" s="43"/>
      <c r="BY102" s="42">
        <v>0</v>
      </c>
      <c r="BZ102" s="44"/>
      <c r="CE102" s="42">
        <v>0</v>
      </c>
      <c r="CF102" s="44"/>
      <c r="CG102" s="43"/>
      <c r="CK102" s="42">
        <v>0</v>
      </c>
      <c r="CL102" s="44"/>
      <c r="CM102" s="43"/>
      <c r="CQ102" s="42">
        <v>0</v>
      </c>
      <c r="CR102" s="44"/>
      <c r="CU102">
        <v>21</v>
      </c>
      <c r="CV102">
        <v>18</v>
      </c>
      <c r="CW102" s="42">
        <v>3</v>
      </c>
      <c r="CX102" s="44"/>
      <c r="CY102" s="43"/>
      <c r="DA102">
        <v>12</v>
      </c>
      <c r="DB102">
        <v>12</v>
      </c>
      <c r="DC102" s="42">
        <v>0</v>
      </c>
      <c r="DD102" s="44"/>
      <c r="DE102" s="43"/>
      <c r="DK102" s="42">
        <v>0</v>
      </c>
      <c r="DL102" s="44"/>
      <c r="DM102" s="43"/>
      <c r="DQ102" s="42">
        <v>0</v>
      </c>
      <c r="DR102" s="44"/>
      <c r="DU102">
        <v>22</v>
      </c>
      <c r="DV102">
        <v>19</v>
      </c>
      <c r="DY102" s="42">
        <v>3</v>
      </c>
      <c r="DZ102" s="44"/>
      <c r="EA102" s="43"/>
      <c r="EE102" s="42">
        <v>0</v>
      </c>
      <c r="EF102" s="44"/>
      <c r="EG102" s="43"/>
      <c r="EK102" s="42">
        <v>0</v>
      </c>
      <c r="EL102" s="44"/>
      <c r="EM102" s="43"/>
      <c r="EO102">
        <v>13</v>
      </c>
      <c r="EP102">
        <v>13</v>
      </c>
      <c r="EQ102" s="42">
        <v>0</v>
      </c>
      <c r="ER102" s="44"/>
      <c r="EW102">
        <v>16</v>
      </c>
      <c r="EX102">
        <v>14</v>
      </c>
      <c r="EY102" s="42">
        <v>2</v>
      </c>
      <c r="EZ102" s="44"/>
      <c r="FC102">
        <v>4</v>
      </c>
      <c r="FD102">
        <v>4</v>
      </c>
      <c r="FE102" s="42">
        <v>0</v>
      </c>
      <c r="FF102" s="44"/>
      <c r="FG102" s="43"/>
      <c r="FI102">
        <v>9</v>
      </c>
      <c r="FJ102">
        <v>8</v>
      </c>
      <c r="FK102" s="42">
        <v>1</v>
      </c>
      <c r="FL102" s="44"/>
      <c r="FM102" s="43"/>
      <c r="FO102" s="42">
        <v>0</v>
      </c>
      <c r="FP102" s="44"/>
      <c r="FU102" s="42">
        <v>0</v>
      </c>
      <c r="FV102" s="44"/>
      <c r="FW102" s="43"/>
      <c r="GA102">
        <v>21</v>
      </c>
      <c r="GB102">
        <v>20</v>
      </c>
      <c r="GC102" s="42">
        <v>1</v>
      </c>
      <c r="GD102" s="44"/>
      <c r="GI102" s="42">
        <v>0</v>
      </c>
      <c r="GJ102" s="44"/>
      <c r="GK102" s="43"/>
      <c r="GO102" s="42">
        <v>0</v>
      </c>
      <c r="GP102" s="47"/>
      <c r="GS102">
        <v>21</v>
      </c>
      <c r="GT102">
        <v>20</v>
      </c>
      <c r="GU102" s="42">
        <v>1</v>
      </c>
      <c r="GV102" s="44"/>
      <c r="GY102" s="42">
        <v>0</v>
      </c>
      <c r="GZ102" s="47"/>
      <c r="HA102" s="43"/>
      <c r="HC102" s="42">
        <v>0</v>
      </c>
      <c r="HD102" s="44"/>
      <c r="HE102" s="43"/>
      <c r="HG102">
        <v>16</v>
      </c>
      <c r="HH102">
        <v>15</v>
      </c>
      <c r="HI102" s="42">
        <v>1</v>
      </c>
      <c r="HJ102" s="47"/>
      <c r="HK102" s="43"/>
      <c r="HO102" s="42">
        <v>0</v>
      </c>
      <c r="HP102" s="44"/>
      <c r="HV102" s="42">
        <v>0</v>
      </c>
      <c r="HW102" s="44"/>
      <c r="HX102" s="45"/>
      <c r="HZ102">
        <v>49</v>
      </c>
      <c r="IA102">
        <v>47</v>
      </c>
      <c r="IB102" s="42">
        <v>2</v>
      </c>
      <c r="IC102" s="44"/>
      <c r="IF102">
        <v>8</v>
      </c>
      <c r="IG102">
        <v>8</v>
      </c>
      <c r="IH102" s="42">
        <v>0</v>
      </c>
      <c r="II102" s="47"/>
      <c r="IN102" s="42">
        <v>0</v>
      </c>
      <c r="IO102" s="47"/>
      <c r="IR102">
        <v>39</v>
      </c>
      <c r="IS102">
        <v>36</v>
      </c>
      <c r="IT102" s="42">
        <v>3</v>
      </c>
      <c r="IU102" s="47"/>
      <c r="IZ102" s="42">
        <v>0</v>
      </c>
      <c r="JA102" s="44"/>
      <c r="JB102">
        <v>8</v>
      </c>
      <c r="JC102">
        <v>8</v>
      </c>
      <c r="JD102" s="42">
        <v>0</v>
      </c>
      <c r="JE102" s="44"/>
      <c r="JF102">
        <v>20</v>
      </c>
      <c r="JG102">
        <v>19</v>
      </c>
      <c r="JJ102" s="42">
        <v>1</v>
      </c>
      <c r="JK102" s="44"/>
      <c r="JL102" s="46">
        <v>29</v>
      </c>
      <c r="JM102" s="40">
        <v>25.667000000000002</v>
      </c>
      <c r="JN102" s="42">
        <v>3.332999999999998</v>
      </c>
      <c r="JO102" s="44"/>
      <c r="JT102" s="42">
        <v>0</v>
      </c>
      <c r="JU102" s="44"/>
      <c r="JZ102" s="42">
        <v>0</v>
      </c>
      <c r="KA102" s="47"/>
      <c r="KB102">
        <v>41</v>
      </c>
      <c r="KC102">
        <v>40</v>
      </c>
      <c r="KD102">
        <v>52</v>
      </c>
      <c r="KE102">
        <v>47</v>
      </c>
      <c r="KF102" s="42">
        <v>6</v>
      </c>
      <c r="KG102" s="44"/>
      <c r="KH102" s="41"/>
      <c r="KJ102">
        <v>13</v>
      </c>
      <c r="KK102">
        <v>10</v>
      </c>
      <c r="KL102" s="42">
        <v>3</v>
      </c>
      <c r="KM102" s="47"/>
      <c r="KN102" s="45"/>
      <c r="KR102">
        <v>9</v>
      </c>
      <c r="KT102" s="42">
        <v>9</v>
      </c>
      <c r="KU102" s="47"/>
      <c r="KV102" s="40">
        <v>0</v>
      </c>
      <c r="KW102" s="40">
        <v>0</v>
      </c>
      <c r="KX102" s="40">
        <v>0</v>
      </c>
      <c r="KY102" s="40">
        <v>0</v>
      </c>
      <c r="KZ102" s="42">
        <v>0</v>
      </c>
      <c r="LA102" s="47"/>
      <c r="LB102" s="40">
        <v>0</v>
      </c>
      <c r="LC102" s="40">
        <v>0</v>
      </c>
      <c r="LD102" s="40">
        <v>0</v>
      </c>
      <c r="LE102" s="40">
        <v>0</v>
      </c>
      <c r="LF102" s="42">
        <v>0</v>
      </c>
      <c r="LG102" s="47"/>
      <c r="LH102" s="45">
        <v>81.364000000000004</v>
      </c>
      <c r="LI102" s="40">
        <v>78</v>
      </c>
      <c r="LJ102" s="42">
        <v>3.3640000000000039</v>
      </c>
      <c r="LK102" s="47"/>
      <c r="LL102" s="45">
        <v>20.622</v>
      </c>
      <c r="LM102" s="40">
        <v>20</v>
      </c>
      <c r="LN102" s="40">
        <v>0</v>
      </c>
      <c r="LO102" s="40">
        <v>0</v>
      </c>
      <c r="LP102" s="42">
        <v>0.62199999999999989</v>
      </c>
      <c r="LQ102" s="47"/>
      <c r="LR102" s="45">
        <v>12.462999999999999</v>
      </c>
      <c r="LS102" s="40">
        <v>12</v>
      </c>
      <c r="LT102" s="40">
        <v>0</v>
      </c>
      <c r="LU102" s="40">
        <v>0</v>
      </c>
      <c r="LV102" s="42">
        <v>0.46299999999999919</v>
      </c>
      <c r="LW102" s="47"/>
      <c r="LX102" s="45">
        <v>39.189</v>
      </c>
      <c r="LY102" s="40">
        <v>37</v>
      </c>
      <c r="LZ102" s="42">
        <v>2.1890000000000001</v>
      </c>
      <c r="MA102" s="47"/>
      <c r="MB102" s="45">
        <v>0</v>
      </c>
      <c r="MC102" s="40">
        <v>0</v>
      </c>
      <c r="MD102" s="40">
        <v>8.141</v>
      </c>
      <c r="ME102" s="40">
        <v>8</v>
      </c>
      <c r="MF102" s="42">
        <v>0.14099999999999999</v>
      </c>
      <c r="MG102" s="47"/>
      <c r="MH102" s="45">
        <v>0</v>
      </c>
      <c r="MI102" s="40">
        <v>0</v>
      </c>
      <c r="MJ102" s="42">
        <v>0</v>
      </c>
      <c r="MK102" s="47"/>
      <c r="ML102" s="45">
        <v>0</v>
      </c>
      <c r="MM102" s="40">
        <v>0</v>
      </c>
      <c r="MN102" s="40">
        <v>60.277000000000001</v>
      </c>
      <c r="MO102" s="40">
        <v>60</v>
      </c>
      <c r="MP102" s="42">
        <v>0.27700000000000102</v>
      </c>
      <c r="MQ102" s="47"/>
      <c r="MR102" s="40">
        <v>0</v>
      </c>
      <c r="MS102" s="40">
        <v>0</v>
      </c>
      <c r="MT102" s="40">
        <v>8.0960000000000001</v>
      </c>
      <c r="MU102" s="40">
        <v>8</v>
      </c>
      <c r="MV102" s="42">
        <v>9.6000000000000085E-2</v>
      </c>
      <c r="MW102" s="47"/>
      <c r="MX102" s="45">
        <v>0</v>
      </c>
      <c r="MY102" s="40">
        <v>0</v>
      </c>
      <c r="MZ102" s="40">
        <v>0</v>
      </c>
      <c r="NA102" s="40">
        <v>0</v>
      </c>
      <c r="NB102" s="42">
        <v>0</v>
      </c>
      <c r="NC102" s="47"/>
      <c r="ND102" s="45">
        <v>0</v>
      </c>
      <c r="NE102" s="30">
        <v>16</v>
      </c>
      <c r="NF102" s="40">
        <v>0</v>
      </c>
      <c r="NG102" s="40">
        <v>0</v>
      </c>
      <c r="NH102" s="39">
        <v>-16</v>
      </c>
      <c r="NI102" s="47">
        <v>16</v>
      </c>
      <c r="NJ102" s="45">
        <v>0</v>
      </c>
      <c r="NK102" s="40">
        <v>0</v>
      </c>
      <c r="NL102" s="40">
        <v>12.276999999999999</v>
      </c>
      <c r="NM102" s="40">
        <v>10</v>
      </c>
      <c r="NN102" s="42">
        <v>2.2769999999999988</v>
      </c>
      <c r="NO102" s="47"/>
      <c r="NP102" s="45">
        <v>0</v>
      </c>
      <c r="NQ102" s="40">
        <v>0</v>
      </c>
      <c r="NR102" s="40">
        <v>20.510999999999999</v>
      </c>
      <c r="NS102" s="40">
        <v>20</v>
      </c>
      <c r="NT102" s="42">
        <v>0.51099999999999923</v>
      </c>
      <c r="NU102" s="47"/>
      <c r="NV102" s="45">
        <v>0</v>
      </c>
      <c r="NW102" s="40">
        <v>0</v>
      </c>
      <c r="NX102" s="40">
        <v>70.207999999999998</v>
      </c>
      <c r="NY102" s="40">
        <v>70</v>
      </c>
      <c r="NZ102" s="42">
        <v>0.20799999999999841</v>
      </c>
      <c r="OA102" s="47"/>
      <c r="OB102" s="45">
        <v>0</v>
      </c>
      <c r="OC102" s="40">
        <v>0</v>
      </c>
      <c r="OD102" s="42">
        <v>0</v>
      </c>
      <c r="OE102" s="47"/>
      <c r="OF102" s="45">
        <v>0</v>
      </c>
      <c r="OG102" s="40">
        <v>0</v>
      </c>
      <c r="OH102" s="40">
        <v>12.715</v>
      </c>
      <c r="OI102" s="40">
        <v>10</v>
      </c>
      <c r="OJ102" s="42">
        <v>2.7149999999999999</v>
      </c>
      <c r="OK102" s="47"/>
      <c r="OL102" s="45">
        <v>0</v>
      </c>
      <c r="OM102" s="40">
        <v>0</v>
      </c>
      <c r="ON102" s="40">
        <v>20.866</v>
      </c>
      <c r="OO102" s="40">
        <v>20</v>
      </c>
      <c r="OP102" s="42">
        <v>0.86599999999999966</v>
      </c>
      <c r="OQ102" s="47"/>
      <c r="OR102" s="45">
        <v>0</v>
      </c>
      <c r="OS102" s="40">
        <v>0</v>
      </c>
      <c r="OT102" s="40">
        <v>49.366</v>
      </c>
      <c r="OU102" s="40">
        <v>50</v>
      </c>
      <c r="OV102" s="42">
        <v>-0.63400000000000034</v>
      </c>
      <c r="OW102" s="47"/>
      <c r="OX102" s="40">
        <v>0</v>
      </c>
      <c r="OY102" s="40">
        <v>0</v>
      </c>
      <c r="OZ102" s="40">
        <v>8.2550000000000008</v>
      </c>
      <c r="PA102" s="40">
        <v>10</v>
      </c>
      <c r="PB102" s="42">
        <v>-1.744999999999999</v>
      </c>
      <c r="PC102" s="47"/>
      <c r="PD102" s="45">
        <v>0</v>
      </c>
      <c r="PE102" s="40">
        <v>0</v>
      </c>
      <c r="PF102" s="40">
        <v>17.202000000000002</v>
      </c>
      <c r="PG102" s="40">
        <v>15</v>
      </c>
      <c r="PH102" s="42">
        <v>2.2020000000000022</v>
      </c>
      <c r="PI102" s="47"/>
      <c r="PJ102" s="45">
        <v>0</v>
      </c>
      <c r="PK102" s="40">
        <v>0</v>
      </c>
      <c r="PL102" s="40">
        <v>64.968999999999994</v>
      </c>
      <c r="PM102" s="40">
        <v>62</v>
      </c>
      <c r="PN102" s="42">
        <v>2.9689999999999941</v>
      </c>
      <c r="PO102" s="47"/>
      <c r="PP102" s="43">
        <v>0</v>
      </c>
      <c r="PQ102" s="40">
        <v>0</v>
      </c>
      <c r="PR102" s="40">
        <v>0</v>
      </c>
      <c r="PS102" s="40">
        <v>0</v>
      </c>
      <c r="PT102" s="42">
        <v>0</v>
      </c>
      <c r="PU102" s="47"/>
      <c r="PV102" s="45">
        <v>0</v>
      </c>
      <c r="PW102" s="40">
        <v>0</v>
      </c>
      <c r="PX102" s="40">
        <v>20.713000000000001</v>
      </c>
      <c r="PY102" s="40">
        <v>20</v>
      </c>
      <c r="PZ102" s="42">
        <v>0.71300000000000097</v>
      </c>
      <c r="QA102" s="47"/>
      <c r="QB102" s="45">
        <v>49.4</v>
      </c>
      <c r="QC102" s="40">
        <v>50</v>
      </c>
      <c r="QD102" s="42">
        <v>-0.60000000000000142</v>
      </c>
      <c r="QE102" s="47"/>
      <c r="QF102" s="45">
        <v>0</v>
      </c>
      <c r="QG102" s="40">
        <v>0</v>
      </c>
      <c r="QH102" s="40">
        <v>0</v>
      </c>
      <c r="QI102" s="40">
        <v>0</v>
      </c>
      <c r="QJ102" s="42">
        <v>0</v>
      </c>
      <c r="QK102" s="47"/>
      <c r="QL102" s="45">
        <v>0</v>
      </c>
      <c r="QM102" s="40">
        <v>0</v>
      </c>
      <c r="QN102" s="40">
        <v>0</v>
      </c>
      <c r="QO102" s="40">
        <v>0</v>
      </c>
      <c r="QP102" s="42">
        <v>0</v>
      </c>
      <c r="QQ102" s="47"/>
      <c r="QR102" s="45">
        <v>0</v>
      </c>
      <c r="QS102" s="40">
        <v>0</v>
      </c>
      <c r="QT102" s="40">
        <v>0</v>
      </c>
      <c r="QU102" s="40">
        <v>0</v>
      </c>
      <c r="QV102" s="42">
        <v>0</v>
      </c>
      <c r="QW102" s="47"/>
      <c r="QX102" s="45">
        <v>0</v>
      </c>
      <c r="QY102" s="40">
        <v>0</v>
      </c>
      <c r="QZ102" s="40">
        <v>0</v>
      </c>
      <c r="RA102" s="40">
        <v>0</v>
      </c>
      <c r="RB102" s="42">
        <v>0</v>
      </c>
      <c r="RC102" s="47"/>
      <c r="RD102" s="45">
        <v>0</v>
      </c>
      <c r="RE102" s="40">
        <v>0</v>
      </c>
      <c r="RF102" s="42">
        <v>0</v>
      </c>
      <c r="RG102" s="47"/>
    </row>
    <row r="103" spans="1:475" x14ac:dyDescent="0.25">
      <c r="A103" s="40" t="s">
        <v>392</v>
      </c>
      <c r="B103" s="41">
        <v>0.41</v>
      </c>
      <c r="N103" s="43"/>
      <c r="O103" s="48"/>
      <c r="P103" s="48"/>
      <c r="Q103" s="48"/>
      <c r="R103" s="48">
        <f t="shared" si="13"/>
        <v>0</v>
      </c>
      <c r="S103" s="44"/>
      <c r="T103" s="43"/>
      <c r="U103" s="48"/>
      <c r="V103" s="48"/>
      <c r="W103" s="48"/>
      <c r="X103" s="48">
        <f t="shared" si="14"/>
        <v>0</v>
      </c>
      <c r="Y103" s="44"/>
      <c r="Z103" s="43"/>
      <c r="AA103" s="48"/>
      <c r="AB103" s="48"/>
      <c r="AC103" s="48"/>
      <c r="AD103" s="48">
        <f t="shared" si="15"/>
        <v>0</v>
      </c>
      <c r="AE103" s="44"/>
      <c r="AF103" s="43"/>
      <c r="AG103" s="48"/>
      <c r="AH103" s="48"/>
      <c r="AI103" s="48"/>
      <c r="AJ103" s="48">
        <f t="shared" si="16"/>
        <v>0</v>
      </c>
      <c r="AK103" s="44"/>
      <c r="AL103" s="48"/>
      <c r="AP103" s="42">
        <v>0</v>
      </c>
      <c r="AQ103" s="44"/>
      <c r="AR103" s="43"/>
      <c r="AV103" s="42">
        <v>0</v>
      </c>
      <c r="AW103" s="44"/>
      <c r="BC103" s="42">
        <v>0</v>
      </c>
      <c r="BD103" s="44"/>
      <c r="BE103" s="43"/>
      <c r="BI103" s="42">
        <v>0</v>
      </c>
      <c r="BJ103" s="44"/>
      <c r="BO103" s="42">
        <v>0</v>
      </c>
      <c r="BP103" s="44"/>
      <c r="BS103" s="42">
        <v>0</v>
      </c>
      <c r="BT103" s="44"/>
      <c r="BU103" s="43"/>
      <c r="BY103" s="42">
        <v>0</v>
      </c>
      <c r="BZ103" s="44"/>
      <c r="CE103" s="42">
        <v>0</v>
      </c>
      <c r="CF103" s="44"/>
      <c r="CG103" s="43"/>
      <c r="CK103" s="42">
        <v>0</v>
      </c>
      <c r="CL103" s="44"/>
      <c r="CM103" s="43"/>
      <c r="CQ103" s="42">
        <v>0</v>
      </c>
      <c r="CR103" s="44"/>
      <c r="CW103" s="42">
        <v>0</v>
      </c>
      <c r="CX103" s="44"/>
      <c r="CY103" s="43"/>
      <c r="DC103" s="42">
        <v>0</v>
      </c>
      <c r="DD103" s="44"/>
      <c r="DE103" s="43"/>
      <c r="DK103" s="42">
        <v>0</v>
      </c>
      <c r="DL103" s="44"/>
      <c r="DM103" s="46">
        <v>80</v>
      </c>
      <c r="DN103">
        <v>80</v>
      </c>
      <c r="DO103">
        <v>152</v>
      </c>
      <c r="DP103">
        <v>150</v>
      </c>
      <c r="DQ103" s="42">
        <v>2</v>
      </c>
      <c r="DR103" s="44"/>
      <c r="DU103">
        <v>24</v>
      </c>
      <c r="DV103">
        <v>24</v>
      </c>
      <c r="DY103" s="42">
        <v>0</v>
      </c>
      <c r="DZ103" s="44"/>
      <c r="EA103" s="43"/>
      <c r="EC103">
        <v>72</v>
      </c>
      <c r="ED103">
        <v>70</v>
      </c>
      <c r="EE103" s="42">
        <v>2</v>
      </c>
      <c r="EF103" s="44"/>
      <c r="EG103" s="43"/>
      <c r="EI103">
        <v>96</v>
      </c>
      <c r="EJ103">
        <v>100</v>
      </c>
      <c r="EK103" s="42">
        <v>-4</v>
      </c>
      <c r="EL103" s="44"/>
      <c r="EM103" s="43"/>
      <c r="EQ103" s="42">
        <v>0</v>
      </c>
      <c r="ER103" s="44"/>
      <c r="EW103">
        <v>96</v>
      </c>
      <c r="EX103">
        <v>96</v>
      </c>
      <c r="EY103" s="42">
        <v>0</v>
      </c>
      <c r="EZ103" s="44"/>
      <c r="FA103">
        <v>40</v>
      </c>
      <c r="FB103">
        <v>40</v>
      </c>
      <c r="FC103">
        <v>80</v>
      </c>
      <c r="FD103">
        <v>85</v>
      </c>
      <c r="FE103" s="42">
        <v>-5</v>
      </c>
      <c r="FF103" s="44"/>
      <c r="FG103" s="43"/>
      <c r="FK103" s="42">
        <v>0</v>
      </c>
      <c r="FL103" s="44"/>
      <c r="FM103" s="46">
        <v>128</v>
      </c>
      <c r="FN103">
        <v>130</v>
      </c>
      <c r="FO103" s="42">
        <v>-2</v>
      </c>
      <c r="FP103" s="44"/>
      <c r="FS103">
        <v>48</v>
      </c>
      <c r="FT103">
        <v>53</v>
      </c>
      <c r="FU103" s="42">
        <v>-5</v>
      </c>
      <c r="FV103" s="44"/>
      <c r="FW103" s="43"/>
      <c r="GC103" s="42">
        <v>0</v>
      </c>
      <c r="GD103" s="44"/>
      <c r="GG103">
        <v>48</v>
      </c>
      <c r="GH103">
        <v>50</v>
      </c>
      <c r="GI103" s="42">
        <v>-2</v>
      </c>
      <c r="GJ103" s="44"/>
      <c r="GK103" s="43"/>
      <c r="GM103">
        <v>80</v>
      </c>
      <c r="GN103">
        <v>80</v>
      </c>
      <c r="GO103" s="42">
        <v>0</v>
      </c>
      <c r="GP103" s="47"/>
      <c r="GU103" s="42">
        <v>0</v>
      </c>
      <c r="GV103" s="44"/>
      <c r="GW103">
        <v>64</v>
      </c>
      <c r="GX103" s="40">
        <v>64</v>
      </c>
      <c r="GY103" s="42">
        <v>0</v>
      </c>
      <c r="GZ103" s="47"/>
      <c r="HA103" s="46">
        <v>72</v>
      </c>
      <c r="HB103">
        <v>74</v>
      </c>
      <c r="HC103" s="42">
        <v>-2</v>
      </c>
      <c r="HD103" s="44"/>
      <c r="HE103" s="43"/>
      <c r="HI103" s="42">
        <v>0</v>
      </c>
      <c r="HJ103" s="47"/>
      <c r="HK103" s="43"/>
      <c r="HO103" s="42">
        <v>0</v>
      </c>
      <c r="HP103" s="44"/>
      <c r="HT103">
        <v>208</v>
      </c>
      <c r="HU103">
        <v>210</v>
      </c>
      <c r="HV103" s="42">
        <v>-2</v>
      </c>
      <c r="HW103" s="44"/>
      <c r="HX103" s="45"/>
      <c r="IB103" s="42">
        <v>0</v>
      </c>
      <c r="IC103" s="44"/>
      <c r="IH103" s="42">
        <v>0</v>
      </c>
      <c r="II103" s="47"/>
      <c r="IJ103">
        <v>96</v>
      </c>
      <c r="IK103">
        <v>100</v>
      </c>
      <c r="IL103">
        <v>96</v>
      </c>
      <c r="IM103">
        <v>100</v>
      </c>
      <c r="IN103" s="42">
        <v>-8</v>
      </c>
      <c r="IO103" s="47"/>
      <c r="IR103">
        <v>48</v>
      </c>
      <c r="IS103">
        <v>50</v>
      </c>
      <c r="IT103" s="42">
        <v>-2</v>
      </c>
      <c r="IU103" s="47"/>
      <c r="IZ103" s="42">
        <v>0</v>
      </c>
      <c r="JA103" s="44"/>
      <c r="JB103">
        <v>112</v>
      </c>
      <c r="JC103">
        <v>110</v>
      </c>
      <c r="JD103" s="42">
        <v>2</v>
      </c>
      <c r="JE103" s="44"/>
      <c r="JH103">
        <v>40</v>
      </c>
      <c r="JI103">
        <v>45</v>
      </c>
      <c r="JJ103" s="42">
        <v>-5</v>
      </c>
      <c r="JK103" s="44"/>
      <c r="JL103" s="45"/>
      <c r="JN103" s="42">
        <v>0</v>
      </c>
      <c r="JO103" s="44"/>
      <c r="JT103" s="42">
        <v>0</v>
      </c>
      <c r="JU103" s="44"/>
      <c r="JX103">
        <v>40</v>
      </c>
      <c r="JY103">
        <v>140</v>
      </c>
      <c r="JZ103" s="39">
        <v>-100</v>
      </c>
      <c r="KA103" s="47">
        <v>41</v>
      </c>
      <c r="KF103" s="42">
        <v>0</v>
      </c>
      <c r="KG103" s="44"/>
      <c r="KH103" s="41"/>
      <c r="KL103" s="42">
        <v>0</v>
      </c>
      <c r="KM103" s="47"/>
      <c r="KN103" s="46">
        <v>72</v>
      </c>
      <c r="KO103">
        <v>70</v>
      </c>
      <c r="KP103">
        <v>96</v>
      </c>
      <c r="KQ103">
        <v>100</v>
      </c>
      <c r="KS103">
        <v>80</v>
      </c>
      <c r="KT103" s="39">
        <v>-82</v>
      </c>
      <c r="KU103" s="47">
        <v>33.619999999999997</v>
      </c>
      <c r="KV103" s="40">
        <v>0</v>
      </c>
      <c r="KW103" s="40">
        <v>0</v>
      </c>
      <c r="KX103" s="40">
        <v>0</v>
      </c>
      <c r="KY103" s="30">
        <v>299</v>
      </c>
      <c r="KZ103" s="39">
        <v>-299</v>
      </c>
      <c r="LA103" s="47">
        <v>122.59</v>
      </c>
      <c r="LB103" s="40">
        <v>0</v>
      </c>
      <c r="LC103" s="40">
        <v>0</v>
      </c>
      <c r="LD103" s="40">
        <v>0</v>
      </c>
      <c r="LE103" s="40">
        <v>0</v>
      </c>
      <c r="LF103" s="42">
        <v>0</v>
      </c>
      <c r="LG103" s="47"/>
      <c r="LH103" s="45">
        <v>0</v>
      </c>
      <c r="LI103" s="40">
        <v>0</v>
      </c>
      <c r="LJ103" s="42">
        <v>0</v>
      </c>
      <c r="LK103" s="47"/>
      <c r="LL103" s="45">
        <v>0</v>
      </c>
      <c r="LM103" s="40">
        <v>0</v>
      </c>
      <c r="LN103" s="40">
        <v>0</v>
      </c>
      <c r="LO103" s="40">
        <v>0</v>
      </c>
      <c r="LP103" s="42">
        <v>0</v>
      </c>
      <c r="LQ103" s="47"/>
      <c r="LR103" s="45">
        <v>0</v>
      </c>
      <c r="LS103" s="40">
        <v>0</v>
      </c>
      <c r="LT103" s="40">
        <v>0</v>
      </c>
      <c r="LU103" s="40">
        <v>0</v>
      </c>
      <c r="LV103" s="42">
        <v>0</v>
      </c>
      <c r="LW103" s="47"/>
      <c r="LX103" s="45">
        <v>216</v>
      </c>
      <c r="LY103" s="40">
        <v>220</v>
      </c>
      <c r="LZ103" s="42">
        <v>-4</v>
      </c>
      <c r="MA103" s="47"/>
      <c r="MB103" s="45">
        <v>0</v>
      </c>
      <c r="MC103" s="40">
        <v>0</v>
      </c>
      <c r="MD103" s="40">
        <v>0</v>
      </c>
      <c r="ME103" s="40">
        <v>0</v>
      </c>
      <c r="MF103" s="42">
        <v>0</v>
      </c>
      <c r="MG103" s="47"/>
      <c r="MH103" s="45">
        <v>512</v>
      </c>
      <c r="MI103" s="40">
        <v>514</v>
      </c>
      <c r="MJ103" s="42">
        <v>-2</v>
      </c>
      <c r="MK103" s="47"/>
      <c r="ML103" s="45">
        <v>0</v>
      </c>
      <c r="MM103" s="40">
        <v>0</v>
      </c>
      <c r="MN103" s="40">
        <v>0</v>
      </c>
      <c r="MO103" s="40">
        <v>0</v>
      </c>
      <c r="MP103" s="42">
        <v>0</v>
      </c>
      <c r="MQ103" s="47"/>
      <c r="MR103" s="40">
        <v>0</v>
      </c>
      <c r="MS103" s="40">
        <v>0</v>
      </c>
      <c r="MT103" s="40">
        <v>200</v>
      </c>
      <c r="MU103" s="40">
        <v>200</v>
      </c>
      <c r="MV103" s="42">
        <v>0</v>
      </c>
      <c r="MW103" s="47"/>
      <c r="MX103" s="45">
        <v>0</v>
      </c>
      <c r="MY103" s="40">
        <v>0</v>
      </c>
      <c r="MZ103" s="40">
        <v>48</v>
      </c>
      <c r="NA103" s="40">
        <v>50</v>
      </c>
      <c r="NB103" s="42">
        <v>-2</v>
      </c>
      <c r="NC103" s="47"/>
      <c r="ND103" s="45">
        <v>0</v>
      </c>
      <c r="NE103" s="30">
        <v>30</v>
      </c>
      <c r="NF103" s="40">
        <v>64</v>
      </c>
      <c r="NG103" s="40">
        <v>69</v>
      </c>
      <c r="NH103" s="39">
        <v>-35</v>
      </c>
      <c r="NI103" s="47">
        <v>14.35</v>
      </c>
      <c r="NJ103" s="45">
        <v>0</v>
      </c>
      <c r="NK103" s="40">
        <v>0</v>
      </c>
      <c r="NL103" s="40">
        <v>8</v>
      </c>
      <c r="NM103" s="40">
        <v>10</v>
      </c>
      <c r="NN103" s="42">
        <v>-2</v>
      </c>
      <c r="NO103" s="47"/>
      <c r="NP103" s="45">
        <v>0</v>
      </c>
      <c r="NQ103" s="40">
        <v>0</v>
      </c>
      <c r="NR103" s="40">
        <v>56</v>
      </c>
      <c r="NS103" s="40">
        <v>60</v>
      </c>
      <c r="NT103" s="42">
        <v>-4</v>
      </c>
      <c r="NU103" s="47"/>
      <c r="NV103" s="45">
        <v>0</v>
      </c>
      <c r="NW103" s="40">
        <v>0</v>
      </c>
      <c r="NX103" s="40">
        <v>152</v>
      </c>
      <c r="NY103" s="40">
        <v>150</v>
      </c>
      <c r="NZ103" s="42">
        <v>2</v>
      </c>
      <c r="OA103" s="47"/>
      <c r="OB103" s="45">
        <v>24</v>
      </c>
      <c r="OC103" s="40">
        <v>24</v>
      </c>
      <c r="OD103" s="42">
        <v>0</v>
      </c>
      <c r="OE103" s="47"/>
      <c r="OF103" s="45">
        <v>0</v>
      </c>
      <c r="OG103" s="40">
        <v>0</v>
      </c>
      <c r="OH103" s="40">
        <v>0</v>
      </c>
      <c r="OI103" s="40">
        <v>0</v>
      </c>
      <c r="OJ103" s="42">
        <v>0</v>
      </c>
      <c r="OK103" s="47"/>
      <c r="OL103" s="45">
        <v>64</v>
      </c>
      <c r="OM103" s="40">
        <v>65</v>
      </c>
      <c r="ON103" s="40">
        <v>56</v>
      </c>
      <c r="OO103" s="40">
        <v>57</v>
      </c>
      <c r="OP103" s="42">
        <v>-2</v>
      </c>
      <c r="OQ103" s="47"/>
      <c r="OR103" s="45">
        <v>0</v>
      </c>
      <c r="OS103" s="40">
        <v>0</v>
      </c>
      <c r="OT103" s="40">
        <v>0</v>
      </c>
      <c r="OU103" s="40">
        <v>0</v>
      </c>
      <c r="OV103" s="42">
        <v>0</v>
      </c>
      <c r="OW103" s="47"/>
      <c r="OX103" s="40">
        <v>16</v>
      </c>
      <c r="OY103" s="40">
        <v>20</v>
      </c>
      <c r="OZ103" s="40">
        <v>16</v>
      </c>
      <c r="PA103" s="40">
        <v>20</v>
      </c>
      <c r="PB103" s="42">
        <v>-8</v>
      </c>
      <c r="PC103" s="47"/>
      <c r="PD103" s="45">
        <v>0</v>
      </c>
      <c r="PE103" s="40">
        <v>0</v>
      </c>
      <c r="PF103" s="40">
        <v>96</v>
      </c>
      <c r="PG103" s="40">
        <v>100</v>
      </c>
      <c r="PH103" s="42">
        <v>-4</v>
      </c>
      <c r="PI103" s="47"/>
      <c r="PJ103" s="45"/>
      <c r="PO103" s="47"/>
      <c r="PP103" s="43"/>
      <c r="PU103" s="47"/>
      <c r="PV103" s="45"/>
      <c r="QA103" s="47"/>
      <c r="QB103" s="45"/>
      <c r="QE103" s="47"/>
      <c r="QF103" s="45"/>
      <c r="QK103" s="47"/>
      <c r="QL103" s="45"/>
      <c r="QQ103" s="47"/>
      <c r="QR103" s="45"/>
      <c r="QW103" s="47"/>
      <c r="QX103" s="45"/>
      <c r="RB103" s="42"/>
      <c r="RC103" s="47"/>
      <c r="RD103" s="45"/>
      <c r="RF103" s="42"/>
      <c r="RG103" s="47"/>
    </row>
    <row r="104" spans="1:475" x14ac:dyDescent="0.25">
      <c r="A104" s="40" t="s">
        <v>393</v>
      </c>
      <c r="B104" s="41">
        <v>1</v>
      </c>
      <c r="N104" s="43"/>
      <c r="O104" s="48"/>
      <c r="P104" s="48"/>
      <c r="Q104" s="48"/>
      <c r="R104" s="48">
        <f t="shared" si="13"/>
        <v>0</v>
      </c>
      <c r="S104" s="44"/>
      <c r="T104" s="43"/>
      <c r="U104" s="48"/>
      <c r="V104" s="48"/>
      <c r="W104" s="48"/>
      <c r="X104" s="48">
        <f t="shared" si="14"/>
        <v>0</v>
      </c>
      <c r="Y104" s="44"/>
      <c r="Z104" s="43"/>
      <c r="AA104" s="48"/>
      <c r="AB104" s="48"/>
      <c r="AC104" s="48"/>
      <c r="AD104" s="48">
        <f t="shared" si="15"/>
        <v>0</v>
      </c>
      <c r="AE104" s="44"/>
      <c r="AF104" s="43"/>
      <c r="AG104" s="48"/>
      <c r="AH104" s="48"/>
      <c r="AI104" s="48"/>
      <c r="AJ104" s="48">
        <f t="shared" si="16"/>
        <v>0</v>
      </c>
      <c r="AK104" s="44"/>
      <c r="AL104" s="48"/>
      <c r="AP104" s="42">
        <v>0</v>
      </c>
      <c r="AQ104" s="44"/>
      <c r="AR104" s="43"/>
      <c r="AV104" s="42">
        <v>0</v>
      </c>
      <c r="AW104" s="44"/>
      <c r="BC104" s="42">
        <v>0</v>
      </c>
      <c r="BD104" s="44"/>
      <c r="BE104" s="43"/>
      <c r="BI104" s="42">
        <v>0</v>
      </c>
      <c r="BJ104" s="44"/>
      <c r="BO104" s="42">
        <v>0</v>
      </c>
      <c r="BP104" s="44"/>
      <c r="BS104" s="42">
        <v>0</v>
      </c>
      <c r="BT104" s="44"/>
      <c r="BU104" s="43"/>
      <c r="BY104" s="42">
        <v>0</v>
      </c>
      <c r="BZ104" s="44"/>
      <c r="CE104" s="42">
        <v>0</v>
      </c>
      <c r="CF104" s="44"/>
      <c r="CG104" s="43"/>
      <c r="CK104" s="42">
        <v>0</v>
      </c>
      <c r="CL104" s="44"/>
      <c r="CM104" s="43"/>
      <c r="CQ104" s="42">
        <v>0</v>
      </c>
      <c r="CR104" s="44"/>
      <c r="CU104">
        <v>4</v>
      </c>
      <c r="CV104">
        <v>4</v>
      </c>
      <c r="CW104" s="42">
        <v>0</v>
      </c>
      <c r="CX104" s="44"/>
      <c r="CY104" s="43"/>
      <c r="DC104" s="42">
        <v>0</v>
      </c>
      <c r="DD104" s="44"/>
      <c r="DE104" s="43"/>
      <c r="DI104">
        <v>4</v>
      </c>
      <c r="DJ104">
        <v>4</v>
      </c>
      <c r="DK104" s="42">
        <v>0</v>
      </c>
      <c r="DL104" s="44"/>
      <c r="DM104" s="43"/>
      <c r="DO104">
        <v>17</v>
      </c>
      <c r="DP104">
        <v>15</v>
      </c>
      <c r="DQ104" s="42">
        <v>2</v>
      </c>
      <c r="DR104" s="44"/>
      <c r="DU104">
        <v>4</v>
      </c>
      <c r="DV104">
        <v>5</v>
      </c>
      <c r="DY104" s="42">
        <v>-1</v>
      </c>
      <c r="DZ104" s="44"/>
      <c r="EA104" s="43"/>
      <c r="EC104">
        <v>4</v>
      </c>
      <c r="ED104">
        <v>4</v>
      </c>
      <c r="EE104" s="42">
        <v>0</v>
      </c>
      <c r="EF104" s="44"/>
      <c r="EG104" s="43"/>
      <c r="EK104" s="42">
        <v>0</v>
      </c>
      <c r="EL104" s="44"/>
      <c r="EM104" s="43"/>
      <c r="EO104">
        <v>22</v>
      </c>
      <c r="EP104">
        <v>20</v>
      </c>
      <c r="EQ104" s="42">
        <v>2</v>
      </c>
      <c r="ER104" s="44"/>
      <c r="EY104" s="42">
        <v>0</v>
      </c>
      <c r="EZ104" s="44"/>
      <c r="FE104" s="42">
        <v>0</v>
      </c>
      <c r="FF104" s="44"/>
      <c r="FG104" s="43"/>
      <c r="FK104" s="42">
        <v>0</v>
      </c>
      <c r="FL104" s="44"/>
      <c r="FM104" s="46">
        <v>37</v>
      </c>
      <c r="FN104">
        <v>37</v>
      </c>
      <c r="FO104" s="42">
        <v>0</v>
      </c>
      <c r="FP104" s="44"/>
      <c r="FS104">
        <v>34</v>
      </c>
      <c r="FT104">
        <v>31</v>
      </c>
      <c r="FU104" s="42">
        <v>3</v>
      </c>
      <c r="FV104" s="44"/>
      <c r="FW104" s="43"/>
      <c r="GA104">
        <v>17</v>
      </c>
      <c r="GB104">
        <v>16</v>
      </c>
      <c r="GC104" s="42">
        <v>1</v>
      </c>
      <c r="GD104" s="44"/>
      <c r="GG104">
        <v>21</v>
      </c>
      <c r="GH104">
        <v>20</v>
      </c>
      <c r="GI104" s="42">
        <v>1</v>
      </c>
      <c r="GJ104" s="44"/>
      <c r="GK104" s="43"/>
      <c r="GM104">
        <v>9</v>
      </c>
      <c r="GN104">
        <v>8</v>
      </c>
      <c r="GO104" s="42">
        <v>1</v>
      </c>
      <c r="GP104" s="47"/>
      <c r="GU104" s="42">
        <v>0</v>
      </c>
      <c r="GV104" s="44"/>
      <c r="GY104" s="42">
        <v>0</v>
      </c>
      <c r="GZ104" s="47"/>
      <c r="HA104" s="46">
        <v>42</v>
      </c>
      <c r="HB104">
        <v>38</v>
      </c>
      <c r="HC104" s="42">
        <v>4</v>
      </c>
      <c r="HD104" s="44"/>
      <c r="HE104" s="43"/>
      <c r="HG104">
        <v>20</v>
      </c>
      <c r="HH104">
        <v>20</v>
      </c>
      <c r="HI104" s="42">
        <v>0</v>
      </c>
      <c r="HJ104" s="47"/>
      <c r="HK104" s="43"/>
      <c r="HM104">
        <v>24</v>
      </c>
      <c r="HN104">
        <v>24</v>
      </c>
      <c r="HO104" s="42">
        <v>0</v>
      </c>
      <c r="HP104" s="44"/>
      <c r="HV104" s="42">
        <v>0</v>
      </c>
      <c r="HW104" s="44"/>
      <c r="HX104" s="45"/>
      <c r="IB104" s="42">
        <v>0</v>
      </c>
      <c r="IC104" s="44"/>
      <c r="IF104">
        <v>43</v>
      </c>
      <c r="IG104">
        <v>40</v>
      </c>
      <c r="IH104" s="42">
        <v>3</v>
      </c>
      <c r="II104" s="47"/>
      <c r="IN104" s="42">
        <v>0</v>
      </c>
      <c r="IO104" s="47"/>
      <c r="IR104">
        <v>74</v>
      </c>
      <c r="IS104">
        <v>70</v>
      </c>
      <c r="IT104" s="42">
        <v>4</v>
      </c>
      <c r="IU104" s="47"/>
      <c r="IZ104" s="42">
        <v>0</v>
      </c>
      <c r="JA104" s="44"/>
      <c r="JD104" s="42">
        <v>0</v>
      </c>
      <c r="JE104" s="44"/>
      <c r="JH104">
        <v>49</v>
      </c>
      <c r="JI104">
        <v>47</v>
      </c>
      <c r="JJ104" s="42">
        <v>2</v>
      </c>
      <c r="JK104" s="44"/>
      <c r="JL104" s="46">
        <v>25</v>
      </c>
      <c r="JM104" s="40">
        <v>24.327999999999999</v>
      </c>
      <c r="JN104" s="42">
        <v>0.6720000000000006</v>
      </c>
      <c r="JO104" s="44"/>
      <c r="JT104" s="42">
        <v>0</v>
      </c>
      <c r="JU104" s="44"/>
      <c r="JZ104" s="42">
        <v>0</v>
      </c>
      <c r="KA104" s="47"/>
      <c r="KB104">
        <v>26</v>
      </c>
      <c r="KC104">
        <v>24</v>
      </c>
      <c r="KD104">
        <v>52</v>
      </c>
      <c r="KE104">
        <v>47</v>
      </c>
      <c r="KF104" s="42">
        <v>7</v>
      </c>
      <c r="KG104" s="44"/>
      <c r="KH104" s="41"/>
      <c r="KJ104">
        <v>13</v>
      </c>
      <c r="KK104">
        <v>10</v>
      </c>
      <c r="KL104" s="42">
        <v>3</v>
      </c>
      <c r="KM104" s="47"/>
      <c r="KN104" s="45"/>
      <c r="KT104" s="42">
        <v>0</v>
      </c>
      <c r="KU104" s="47"/>
      <c r="KV104" s="40">
        <v>0</v>
      </c>
      <c r="KW104" s="40">
        <v>0</v>
      </c>
      <c r="KX104" s="40">
        <v>37.817</v>
      </c>
      <c r="KY104" s="40">
        <v>41</v>
      </c>
      <c r="KZ104" s="42">
        <v>-3.1829999999999998</v>
      </c>
      <c r="LA104" s="47"/>
      <c r="LB104" s="40">
        <v>0</v>
      </c>
      <c r="LC104" s="40">
        <v>0</v>
      </c>
      <c r="LD104" s="40">
        <v>0</v>
      </c>
      <c r="LE104" s="40">
        <v>0</v>
      </c>
      <c r="LF104" s="42">
        <v>0</v>
      </c>
      <c r="LG104" s="47"/>
      <c r="LH104" s="45">
        <v>0</v>
      </c>
      <c r="LI104" s="40">
        <v>0</v>
      </c>
      <c r="LJ104" s="42">
        <v>0</v>
      </c>
      <c r="LK104" s="47"/>
      <c r="LL104" s="45">
        <v>47.594999999999999</v>
      </c>
      <c r="LM104" s="40">
        <v>45</v>
      </c>
      <c r="LN104" s="40">
        <v>46.631</v>
      </c>
      <c r="LO104" s="40">
        <v>45</v>
      </c>
      <c r="LP104" s="42">
        <v>4.2259999999999991</v>
      </c>
      <c r="LQ104" s="47"/>
      <c r="LR104" s="45">
        <v>0</v>
      </c>
      <c r="LS104" s="40">
        <v>0</v>
      </c>
      <c r="LT104" s="40">
        <v>12.637</v>
      </c>
      <c r="LU104" s="40">
        <v>12</v>
      </c>
      <c r="LV104" s="42">
        <v>0.63700000000000045</v>
      </c>
      <c r="LW104" s="47"/>
      <c r="LX104" s="45">
        <v>0</v>
      </c>
      <c r="LY104" s="40">
        <v>0</v>
      </c>
      <c r="LZ104" s="42">
        <v>0</v>
      </c>
      <c r="MA104" s="47"/>
      <c r="MB104" s="45">
        <v>0</v>
      </c>
      <c r="MC104" s="40">
        <v>0</v>
      </c>
      <c r="MD104" s="40">
        <v>4.1269999999999998</v>
      </c>
      <c r="ME104" s="40">
        <v>4</v>
      </c>
      <c r="MF104" s="42">
        <v>0.12699999999999981</v>
      </c>
      <c r="MG104" s="47"/>
      <c r="MH104" s="45">
        <v>51.356999999999999</v>
      </c>
      <c r="MI104" s="40">
        <v>50</v>
      </c>
      <c r="MJ104" s="42">
        <v>1.3569999999999991</v>
      </c>
      <c r="MK104" s="47"/>
      <c r="ML104" s="45">
        <v>0</v>
      </c>
      <c r="MM104" s="40">
        <v>0</v>
      </c>
      <c r="MN104" s="40">
        <v>8.266</v>
      </c>
      <c r="MO104" s="40">
        <v>8</v>
      </c>
      <c r="MP104" s="42">
        <v>0.26600000000000001</v>
      </c>
      <c r="MQ104" s="47"/>
      <c r="MR104" s="40">
        <v>0</v>
      </c>
      <c r="MS104" s="40">
        <v>0</v>
      </c>
      <c r="MT104" s="40">
        <v>0</v>
      </c>
      <c r="MU104" s="40">
        <v>0</v>
      </c>
      <c r="MV104" s="42">
        <v>0</v>
      </c>
      <c r="MW104" s="47"/>
      <c r="MX104" s="45">
        <v>0</v>
      </c>
      <c r="MY104" s="40">
        <v>0</v>
      </c>
      <c r="MZ104" s="40">
        <v>0</v>
      </c>
      <c r="NA104" s="40">
        <v>0</v>
      </c>
      <c r="NB104" s="42">
        <v>0</v>
      </c>
      <c r="NC104" s="47"/>
      <c r="ND104" s="45">
        <v>0</v>
      </c>
      <c r="NE104" s="40">
        <v>0</v>
      </c>
      <c r="NF104" s="40">
        <v>24.943999999999999</v>
      </c>
      <c r="NG104" s="40">
        <v>24</v>
      </c>
      <c r="NH104" s="42">
        <v>0.94399999999999906</v>
      </c>
      <c r="NI104" s="47"/>
      <c r="NJ104" s="45">
        <v>0</v>
      </c>
      <c r="NK104" s="40">
        <v>0</v>
      </c>
      <c r="NL104" s="40">
        <v>33.198</v>
      </c>
      <c r="NM104" s="40">
        <v>35</v>
      </c>
      <c r="NN104" s="42">
        <v>-1.802</v>
      </c>
      <c r="NO104" s="47"/>
      <c r="NP104" s="45">
        <v>0</v>
      </c>
      <c r="NQ104" s="40">
        <v>0</v>
      </c>
      <c r="NR104" s="40">
        <v>0</v>
      </c>
      <c r="NS104" s="40">
        <v>0</v>
      </c>
      <c r="NT104" s="42">
        <v>0</v>
      </c>
      <c r="NU104" s="47"/>
      <c r="NV104" s="45">
        <v>0</v>
      </c>
      <c r="NW104" s="40">
        <v>0</v>
      </c>
      <c r="NX104" s="40">
        <v>20.861999999999998</v>
      </c>
      <c r="NY104" s="40">
        <v>20</v>
      </c>
      <c r="NZ104" s="42">
        <v>0.86199999999999832</v>
      </c>
      <c r="OA104" s="47"/>
      <c r="OB104" s="45">
        <v>16.838000000000001</v>
      </c>
      <c r="OC104" s="40">
        <v>15</v>
      </c>
      <c r="OD104" s="42">
        <v>1.838000000000001</v>
      </c>
      <c r="OE104" s="47"/>
      <c r="OF104" s="45">
        <v>0</v>
      </c>
      <c r="OG104" s="40">
        <v>0</v>
      </c>
      <c r="OH104" s="40">
        <v>8.4440000000000008</v>
      </c>
      <c r="OI104" s="40">
        <v>10</v>
      </c>
      <c r="OJ104" s="42">
        <v>-1.5559999999999989</v>
      </c>
      <c r="OK104" s="47"/>
      <c r="OL104" s="45">
        <v>0</v>
      </c>
      <c r="OM104" s="40">
        <v>0</v>
      </c>
      <c r="ON104" s="40">
        <v>16.841999999999999</v>
      </c>
      <c r="OO104" s="40">
        <v>15</v>
      </c>
      <c r="OP104" s="42">
        <v>1.841999999999999</v>
      </c>
      <c r="OQ104" s="47"/>
      <c r="OR104" s="45">
        <v>0</v>
      </c>
      <c r="OS104" s="40">
        <v>0</v>
      </c>
      <c r="OT104" s="40">
        <v>33.689</v>
      </c>
      <c r="OU104" s="40">
        <v>35</v>
      </c>
      <c r="OV104" s="42">
        <v>-1.3109999999999999</v>
      </c>
      <c r="OW104" s="47"/>
      <c r="OX104" s="40">
        <v>0</v>
      </c>
      <c r="OY104" s="40">
        <v>0</v>
      </c>
      <c r="OZ104" s="40">
        <v>33.302</v>
      </c>
      <c r="PA104" s="40">
        <v>33</v>
      </c>
      <c r="PB104" s="42">
        <v>0.3019999999999996</v>
      </c>
      <c r="PC104" s="47"/>
      <c r="PD104" s="45">
        <v>0</v>
      </c>
      <c r="PE104" s="40">
        <v>0</v>
      </c>
      <c r="PF104" s="40">
        <v>21.59</v>
      </c>
      <c r="PG104" s="40">
        <v>20</v>
      </c>
      <c r="PH104" s="42">
        <v>1.59</v>
      </c>
      <c r="PI104" s="47"/>
      <c r="PJ104" s="45">
        <v>0</v>
      </c>
      <c r="PK104" s="40">
        <v>0</v>
      </c>
      <c r="PL104" s="40">
        <v>30.521000000000001</v>
      </c>
      <c r="PM104" s="40">
        <v>31</v>
      </c>
      <c r="PN104" s="42">
        <v>-0.4789999999999992</v>
      </c>
      <c r="PO104" s="47"/>
      <c r="PP104" s="43">
        <v>0</v>
      </c>
      <c r="PQ104" s="40">
        <v>0</v>
      </c>
      <c r="PR104" s="40">
        <v>0</v>
      </c>
      <c r="PS104" s="40">
        <v>0</v>
      </c>
      <c r="PT104" s="42">
        <v>0</v>
      </c>
      <c r="PU104" s="47"/>
      <c r="PV104" s="45">
        <v>0</v>
      </c>
      <c r="PW104" s="40">
        <v>0</v>
      </c>
      <c r="PX104" s="40">
        <v>37.743000000000002</v>
      </c>
      <c r="PY104" s="40">
        <v>40</v>
      </c>
      <c r="PZ104" s="42">
        <v>-2.2569999999999979</v>
      </c>
      <c r="QA104" s="47"/>
      <c r="QB104" s="45">
        <v>49.933</v>
      </c>
      <c r="QC104" s="40">
        <v>50</v>
      </c>
      <c r="QD104" s="42">
        <v>-6.7000000000000171E-2</v>
      </c>
      <c r="QE104" s="47"/>
      <c r="QF104" s="45">
        <v>0</v>
      </c>
      <c r="QG104" s="40">
        <v>0</v>
      </c>
      <c r="QH104" s="40">
        <v>0</v>
      </c>
      <c r="QI104" s="40">
        <v>0</v>
      </c>
      <c r="QJ104" s="42">
        <v>0</v>
      </c>
      <c r="QK104" s="47"/>
      <c r="QL104" s="45">
        <v>0</v>
      </c>
      <c r="QM104" s="40">
        <v>0</v>
      </c>
      <c r="QN104" s="40">
        <v>0</v>
      </c>
      <c r="QO104" s="40">
        <v>0</v>
      </c>
      <c r="QP104" s="42">
        <v>0</v>
      </c>
      <c r="QQ104" s="47"/>
      <c r="QR104" s="45">
        <v>0</v>
      </c>
      <c r="QS104" s="40">
        <v>0</v>
      </c>
      <c r="QT104" s="40">
        <v>0</v>
      </c>
      <c r="QU104" s="40">
        <v>0</v>
      </c>
      <c r="QV104" s="42">
        <v>0</v>
      </c>
      <c r="QW104" s="47"/>
      <c r="QX104" s="45">
        <v>0</v>
      </c>
      <c r="QY104" s="40">
        <v>0</v>
      </c>
      <c r="QZ104" s="40">
        <v>0</v>
      </c>
      <c r="RA104" s="40">
        <v>0</v>
      </c>
      <c r="RB104" s="42">
        <v>0</v>
      </c>
      <c r="RC104" s="47"/>
      <c r="RD104" s="45">
        <v>0</v>
      </c>
      <c r="RE104" s="40">
        <v>0</v>
      </c>
      <c r="RF104" s="42">
        <v>0</v>
      </c>
      <c r="RG104" s="47"/>
    </row>
    <row r="105" spans="1:475" x14ac:dyDescent="0.25">
      <c r="A105" s="40" t="s">
        <v>394</v>
      </c>
      <c r="B105" s="41">
        <v>0.36</v>
      </c>
      <c r="E105">
        <v>50</v>
      </c>
      <c r="N105" s="46">
        <v>150</v>
      </c>
      <c r="O105" s="49">
        <v>150</v>
      </c>
      <c r="P105" s="49">
        <v>168</v>
      </c>
      <c r="Q105" s="49">
        <v>168</v>
      </c>
      <c r="R105" s="48">
        <f t="shared" si="13"/>
        <v>0</v>
      </c>
      <c r="S105" s="44"/>
      <c r="T105" s="46">
        <v>120</v>
      </c>
      <c r="U105" s="49">
        <v>120</v>
      </c>
      <c r="V105" s="49">
        <v>180</v>
      </c>
      <c r="W105" s="49">
        <v>180</v>
      </c>
      <c r="X105" s="48">
        <f t="shared" si="14"/>
        <v>0</v>
      </c>
      <c r="Y105" s="44"/>
      <c r="Z105" s="43"/>
      <c r="AA105" s="48"/>
      <c r="AB105" s="48"/>
      <c r="AC105" s="48"/>
      <c r="AD105" s="48">
        <f t="shared" si="15"/>
        <v>0</v>
      </c>
      <c r="AE105" s="44"/>
      <c r="AF105" s="46">
        <v>102</v>
      </c>
      <c r="AG105" s="49">
        <v>100</v>
      </c>
      <c r="AH105" s="49">
        <v>48</v>
      </c>
      <c r="AI105" s="49">
        <v>50</v>
      </c>
      <c r="AJ105" s="48">
        <f t="shared" si="16"/>
        <v>0</v>
      </c>
      <c r="AK105" s="44"/>
      <c r="AL105" s="49">
        <v>150</v>
      </c>
      <c r="AM105">
        <v>150</v>
      </c>
      <c r="AN105">
        <v>150</v>
      </c>
      <c r="AO105">
        <v>150</v>
      </c>
      <c r="AP105" s="42">
        <v>0</v>
      </c>
      <c r="AQ105" s="44"/>
      <c r="AR105" s="43"/>
      <c r="AT105">
        <v>78</v>
      </c>
      <c r="AU105">
        <v>80</v>
      </c>
      <c r="AV105" s="42">
        <v>-2</v>
      </c>
      <c r="AW105" s="44"/>
      <c r="BC105" s="42">
        <v>0</v>
      </c>
      <c r="BD105" s="44"/>
      <c r="BE105" s="46">
        <v>72</v>
      </c>
      <c r="BF105">
        <v>70</v>
      </c>
      <c r="BG105">
        <v>132</v>
      </c>
      <c r="BH105">
        <v>130</v>
      </c>
      <c r="BI105" s="42">
        <v>4</v>
      </c>
      <c r="BJ105" s="44"/>
      <c r="BK105">
        <v>150</v>
      </c>
      <c r="BL105">
        <v>150</v>
      </c>
      <c r="BM105">
        <v>150</v>
      </c>
      <c r="BN105">
        <v>150</v>
      </c>
      <c r="BO105" s="42">
        <v>0</v>
      </c>
      <c r="BP105" s="44"/>
      <c r="BS105" s="42">
        <v>0</v>
      </c>
      <c r="BT105" s="44"/>
      <c r="BU105" s="46">
        <v>192</v>
      </c>
      <c r="BV105">
        <v>200</v>
      </c>
      <c r="BW105">
        <v>252</v>
      </c>
      <c r="BX105">
        <v>250</v>
      </c>
      <c r="BY105" s="42">
        <v>-6</v>
      </c>
      <c r="BZ105" s="44"/>
      <c r="CA105">
        <v>78</v>
      </c>
      <c r="CB105">
        <v>80</v>
      </c>
      <c r="CC105">
        <v>72</v>
      </c>
      <c r="CD105">
        <v>70</v>
      </c>
      <c r="CE105" s="42">
        <v>0</v>
      </c>
      <c r="CF105" s="44"/>
      <c r="CG105" s="46">
        <v>78</v>
      </c>
      <c r="CH105">
        <v>80</v>
      </c>
      <c r="CI105">
        <v>168</v>
      </c>
      <c r="CJ105">
        <v>170</v>
      </c>
      <c r="CK105" s="42">
        <v>-4</v>
      </c>
      <c r="CL105" s="44"/>
      <c r="CM105" s="43"/>
      <c r="CO105">
        <v>126</v>
      </c>
      <c r="CP105">
        <v>128</v>
      </c>
      <c r="CQ105" s="42">
        <v>-2</v>
      </c>
      <c r="CR105" s="44"/>
      <c r="CU105">
        <v>54</v>
      </c>
      <c r="CV105">
        <v>56</v>
      </c>
      <c r="CW105" s="42">
        <v>-2</v>
      </c>
      <c r="CX105" s="44"/>
      <c r="CY105" s="43"/>
      <c r="DA105">
        <v>18</v>
      </c>
      <c r="DB105">
        <v>20</v>
      </c>
      <c r="DC105" s="42">
        <v>-2</v>
      </c>
      <c r="DD105" s="44"/>
      <c r="DE105" s="43"/>
      <c r="DG105">
        <v>198</v>
      </c>
      <c r="DH105">
        <v>200</v>
      </c>
      <c r="DI105">
        <v>108</v>
      </c>
      <c r="DJ105">
        <v>109</v>
      </c>
      <c r="DK105" s="42">
        <v>-3</v>
      </c>
      <c r="DL105" s="44"/>
      <c r="DM105" s="46">
        <v>108</v>
      </c>
      <c r="DN105">
        <v>108</v>
      </c>
      <c r="DO105">
        <v>174</v>
      </c>
      <c r="DP105">
        <v>172</v>
      </c>
      <c r="DQ105" s="42">
        <v>2</v>
      </c>
      <c r="DR105" s="44"/>
      <c r="DU105">
        <v>120</v>
      </c>
      <c r="DV105">
        <v>120</v>
      </c>
      <c r="DW105">
        <v>60</v>
      </c>
      <c r="DX105">
        <v>60</v>
      </c>
      <c r="DY105" s="42">
        <v>0</v>
      </c>
      <c r="DZ105" s="44"/>
      <c r="EA105" s="43"/>
      <c r="EC105">
        <v>252</v>
      </c>
      <c r="ED105">
        <v>250</v>
      </c>
      <c r="EE105" s="42">
        <v>2</v>
      </c>
      <c r="EF105" s="44"/>
      <c r="EG105" s="43"/>
      <c r="EI105">
        <v>102</v>
      </c>
      <c r="EJ105">
        <v>100</v>
      </c>
      <c r="EK105" s="42">
        <v>2</v>
      </c>
      <c r="EL105" s="44"/>
      <c r="EM105" s="46">
        <v>120</v>
      </c>
      <c r="EN105">
        <v>120</v>
      </c>
      <c r="EO105">
        <v>102</v>
      </c>
      <c r="EP105">
        <v>100</v>
      </c>
      <c r="EQ105" s="42">
        <v>2</v>
      </c>
      <c r="ER105" s="44"/>
      <c r="ES105">
        <v>102</v>
      </c>
      <c r="ET105">
        <v>100</v>
      </c>
      <c r="EU105">
        <v>102</v>
      </c>
      <c r="EV105">
        <v>100</v>
      </c>
      <c r="EW105">
        <v>120</v>
      </c>
      <c r="EX105">
        <v>120</v>
      </c>
      <c r="EY105" s="42">
        <v>4</v>
      </c>
      <c r="EZ105" s="44"/>
      <c r="FE105" s="42">
        <v>0</v>
      </c>
      <c r="FF105" s="44"/>
      <c r="FG105" s="46">
        <v>102</v>
      </c>
      <c r="FH105">
        <v>100</v>
      </c>
      <c r="FI105">
        <v>192</v>
      </c>
      <c r="FJ105">
        <v>194</v>
      </c>
      <c r="FK105" s="42">
        <v>0</v>
      </c>
      <c r="FL105" s="44"/>
      <c r="FM105" s="43"/>
      <c r="FO105" s="42">
        <v>0</v>
      </c>
      <c r="FP105" s="44"/>
      <c r="FS105">
        <v>228</v>
      </c>
      <c r="FT105">
        <v>230</v>
      </c>
      <c r="FU105" s="42">
        <v>-2</v>
      </c>
      <c r="FV105" s="44"/>
      <c r="FW105" s="46">
        <v>102</v>
      </c>
      <c r="FX105">
        <v>100</v>
      </c>
      <c r="FZ105">
        <v>50</v>
      </c>
      <c r="GA105">
        <v>102</v>
      </c>
      <c r="GB105">
        <v>100</v>
      </c>
      <c r="GC105" s="39">
        <v>-46</v>
      </c>
      <c r="GD105" s="44">
        <v>16.559999999999999</v>
      </c>
      <c r="GG105">
        <v>132</v>
      </c>
      <c r="GH105">
        <v>130</v>
      </c>
      <c r="GI105" s="42">
        <v>2</v>
      </c>
      <c r="GJ105" s="44"/>
      <c r="GK105" s="43"/>
      <c r="GM105">
        <v>66</v>
      </c>
      <c r="GN105">
        <v>66</v>
      </c>
      <c r="GO105" s="42">
        <v>0</v>
      </c>
      <c r="GP105" s="47"/>
      <c r="GQ105">
        <v>120</v>
      </c>
      <c r="GR105">
        <v>120</v>
      </c>
      <c r="GS105">
        <v>132</v>
      </c>
      <c r="GT105">
        <v>130</v>
      </c>
      <c r="GU105" s="42">
        <v>2</v>
      </c>
      <c r="GV105" s="44"/>
      <c r="GY105" s="42">
        <v>0</v>
      </c>
      <c r="GZ105" s="47"/>
      <c r="HA105" s="43"/>
      <c r="HC105" s="42">
        <v>0</v>
      </c>
      <c r="HD105" s="44"/>
      <c r="HE105" s="46">
        <v>198</v>
      </c>
      <c r="HF105">
        <v>200</v>
      </c>
      <c r="HG105">
        <v>222</v>
      </c>
      <c r="HH105">
        <v>225</v>
      </c>
      <c r="HI105" s="42">
        <v>-5</v>
      </c>
      <c r="HJ105" s="47"/>
      <c r="HK105" s="43"/>
      <c r="HM105">
        <v>162</v>
      </c>
      <c r="HN105">
        <v>160</v>
      </c>
      <c r="HO105" s="42">
        <v>2</v>
      </c>
      <c r="HP105" s="44"/>
      <c r="HT105">
        <v>78</v>
      </c>
      <c r="HU105">
        <v>80</v>
      </c>
      <c r="HV105" s="42">
        <v>-2</v>
      </c>
      <c r="HW105" s="44"/>
      <c r="HX105" s="46">
        <v>138</v>
      </c>
      <c r="HY105">
        <v>140</v>
      </c>
      <c r="HZ105">
        <v>138</v>
      </c>
      <c r="IA105">
        <v>140</v>
      </c>
      <c r="IB105" s="42">
        <v>-4</v>
      </c>
      <c r="IC105" s="44"/>
      <c r="ID105">
        <v>78</v>
      </c>
      <c r="IE105">
        <v>80</v>
      </c>
      <c r="IF105">
        <v>132</v>
      </c>
      <c r="IG105">
        <v>130</v>
      </c>
      <c r="IH105" s="42">
        <v>0</v>
      </c>
      <c r="II105" s="47"/>
      <c r="IL105">
        <v>90</v>
      </c>
      <c r="IM105">
        <v>90</v>
      </c>
      <c r="IN105" s="42">
        <v>0</v>
      </c>
      <c r="IO105" s="47"/>
      <c r="IP105">
        <v>78</v>
      </c>
      <c r="IQ105">
        <v>80</v>
      </c>
      <c r="IR105">
        <v>78</v>
      </c>
      <c r="IS105">
        <v>80</v>
      </c>
      <c r="IT105" s="42">
        <v>-4</v>
      </c>
      <c r="IU105" s="47"/>
      <c r="IZ105" s="42">
        <v>0</v>
      </c>
      <c r="JA105" s="44"/>
      <c r="JB105">
        <v>264</v>
      </c>
      <c r="JC105">
        <v>268</v>
      </c>
      <c r="JD105" s="42">
        <v>-4</v>
      </c>
      <c r="JE105" s="44"/>
      <c r="JF105">
        <v>78</v>
      </c>
      <c r="JG105">
        <v>81</v>
      </c>
      <c r="JJ105" s="42">
        <v>-3</v>
      </c>
      <c r="JK105" s="44"/>
      <c r="JL105" s="46">
        <v>30</v>
      </c>
      <c r="JM105" s="40">
        <v>32</v>
      </c>
      <c r="JN105" s="42">
        <v>-2</v>
      </c>
      <c r="JO105" s="44"/>
      <c r="JT105" s="42">
        <v>0</v>
      </c>
      <c r="JU105" s="44"/>
      <c r="JX105">
        <v>210</v>
      </c>
      <c r="JY105">
        <v>210</v>
      </c>
      <c r="JZ105" s="42">
        <v>0</v>
      </c>
      <c r="KA105" s="47"/>
      <c r="KF105" s="42">
        <v>0</v>
      </c>
      <c r="KG105" s="44"/>
      <c r="KH105">
        <v>102</v>
      </c>
      <c r="KI105">
        <v>100</v>
      </c>
      <c r="KJ105">
        <v>390</v>
      </c>
      <c r="KK105">
        <v>390</v>
      </c>
      <c r="KL105" s="42">
        <v>2</v>
      </c>
      <c r="KM105" s="47"/>
      <c r="KN105" s="46">
        <v>42</v>
      </c>
      <c r="KO105">
        <v>42</v>
      </c>
      <c r="KP105">
        <v>42</v>
      </c>
      <c r="KQ105">
        <v>42</v>
      </c>
      <c r="KR105">
        <v>132</v>
      </c>
      <c r="KS105">
        <v>18</v>
      </c>
      <c r="KT105" s="42">
        <v>114</v>
      </c>
      <c r="KU105" s="47"/>
      <c r="KV105" s="40">
        <v>0</v>
      </c>
      <c r="KW105" s="40">
        <v>0</v>
      </c>
      <c r="KX105" s="40">
        <v>246</v>
      </c>
      <c r="KY105" s="40">
        <v>248</v>
      </c>
      <c r="KZ105" s="42">
        <v>-2</v>
      </c>
      <c r="LA105" s="47"/>
      <c r="LB105" s="40">
        <v>0</v>
      </c>
      <c r="LC105" s="40">
        <v>0</v>
      </c>
      <c r="LD105" s="40">
        <v>90</v>
      </c>
      <c r="LE105" s="40">
        <v>90</v>
      </c>
      <c r="LF105" s="42">
        <v>0</v>
      </c>
      <c r="LG105" s="47"/>
      <c r="LH105" s="45">
        <v>78</v>
      </c>
      <c r="LI105" s="40">
        <v>80</v>
      </c>
      <c r="LJ105" s="42">
        <v>-2</v>
      </c>
      <c r="LK105" s="47"/>
      <c r="LL105" s="45">
        <v>36</v>
      </c>
      <c r="LM105" s="40">
        <v>36</v>
      </c>
      <c r="LN105" s="40">
        <v>0</v>
      </c>
      <c r="LO105" s="40">
        <v>0</v>
      </c>
      <c r="LP105" s="42">
        <v>0</v>
      </c>
      <c r="LQ105" s="47"/>
      <c r="LR105" s="45">
        <v>102</v>
      </c>
      <c r="LS105" s="40">
        <v>100</v>
      </c>
      <c r="LT105" s="40">
        <v>108</v>
      </c>
      <c r="LU105" s="40">
        <v>110</v>
      </c>
      <c r="LV105" s="42">
        <v>0</v>
      </c>
      <c r="LW105" s="47"/>
      <c r="LX105" s="45">
        <v>210</v>
      </c>
      <c r="LY105" s="40">
        <v>210</v>
      </c>
      <c r="LZ105" s="42">
        <v>0</v>
      </c>
      <c r="MA105" s="47"/>
      <c r="MB105" s="45">
        <v>0</v>
      </c>
      <c r="MC105" s="40">
        <v>0</v>
      </c>
      <c r="MD105" s="40">
        <v>0</v>
      </c>
      <c r="ME105" s="40">
        <v>0</v>
      </c>
      <c r="MF105" s="42">
        <v>0</v>
      </c>
      <c r="MG105" s="47"/>
      <c r="MH105" s="45">
        <v>576</v>
      </c>
      <c r="MI105" s="40">
        <v>577</v>
      </c>
      <c r="MJ105" s="42">
        <v>-1</v>
      </c>
      <c r="MK105" s="47"/>
      <c r="ML105" s="45">
        <v>0</v>
      </c>
      <c r="MM105" s="40">
        <v>0</v>
      </c>
      <c r="MN105" s="40">
        <v>42</v>
      </c>
      <c r="MO105" s="40">
        <v>40</v>
      </c>
      <c r="MP105" s="42">
        <v>2</v>
      </c>
      <c r="MQ105" s="47"/>
      <c r="MR105" s="40">
        <v>0</v>
      </c>
      <c r="MS105" s="40">
        <v>0</v>
      </c>
      <c r="MT105" s="40">
        <v>474</v>
      </c>
      <c r="MU105" s="40">
        <v>475</v>
      </c>
      <c r="MV105" s="42">
        <v>-1</v>
      </c>
      <c r="MW105" s="47"/>
      <c r="MX105" s="45">
        <v>0</v>
      </c>
      <c r="MY105" s="40">
        <v>0</v>
      </c>
      <c r="MZ105" s="40">
        <v>0</v>
      </c>
      <c r="NA105" s="40">
        <v>0</v>
      </c>
      <c r="NB105" s="42">
        <v>0</v>
      </c>
      <c r="NC105" s="47"/>
      <c r="ND105" s="45">
        <v>0</v>
      </c>
      <c r="NE105" s="30">
        <v>40</v>
      </c>
      <c r="NF105" s="40">
        <v>72</v>
      </c>
      <c r="NG105" s="40">
        <v>74</v>
      </c>
      <c r="NH105" s="39">
        <v>-42</v>
      </c>
      <c r="NI105" s="47">
        <v>15.12</v>
      </c>
      <c r="NJ105" s="45">
        <v>150</v>
      </c>
      <c r="NK105" s="40">
        <v>150</v>
      </c>
      <c r="NL105" s="40">
        <v>168</v>
      </c>
      <c r="NM105" s="40">
        <v>166</v>
      </c>
      <c r="NN105" s="42">
        <v>2</v>
      </c>
      <c r="NO105" s="47"/>
      <c r="NP105" s="25">
        <v>600</v>
      </c>
      <c r="NQ105" s="40">
        <v>0</v>
      </c>
      <c r="NR105" s="40">
        <v>0</v>
      </c>
      <c r="NS105" s="40">
        <v>0</v>
      </c>
      <c r="NT105" s="42">
        <v>600</v>
      </c>
      <c r="NU105" s="47"/>
      <c r="NV105" s="45">
        <v>0</v>
      </c>
      <c r="NW105" s="40">
        <v>0</v>
      </c>
      <c r="NX105" s="40">
        <v>30</v>
      </c>
      <c r="NY105" s="40">
        <v>30</v>
      </c>
      <c r="NZ105" s="42">
        <v>0</v>
      </c>
      <c r="OA105" s="47"/>
      <c r="OB105" s="45">
        <v>300</v>
      </c>
      <c r="OC105" s="40">
        <v>300</v>
      </c>
      <c r="OD105" s="42">
        <v>0</v>
      </c>
      <c r="OE105" s="47"/>
      <c r="OF105" s="45">
        <v>0</v>
      </c>
      <c r="OG105" s="40">
        <v>0</v>
      </c>
      <c r="OH105" s="40">
        <v>0</v>
      </c>
      <c r="OI105" s="40">
        <v>0</v>
      </c>
      <c r="OJ105" s="42">
        <v>0</v>
      </c>
      <c r="OK105" s="47"/>
      <c r="OL105" s="45">
        <v>0</v>
      </c>
      <c r="OM105" s="40">
        <v>0</v>
      </c>
      <c r="ON105" s="40">
        <v>72</v>
      </c>
      <c r="OO105" s="40">
        <v>75</v>
      </c>
      <c r="OP105" s="42">
        <v>-3</v>
      </c>
      <c r="OQ105" s="47"/>
      <c r="OR105" s="45">
        <v>48</v>
      </c>
      <c r="OS105" s="40">
        <v>50</v>
      </c>
      <c r="OT105" s="40">
        <v>66</v>
      </c>
      <c r="OU105" s="40">
        <v>67</v>
      </c>
      <c r="OV105" s="42">
        <v>-3</v>
      </c>
      <c r="OW105" s="47"/>
      <c r="OX105" s="40">
        <v>18</v>
      </c>
      <c r="OY105" s="40">
        <v>20</v>
      </c>
      <c r="OZ105" s="40">
        <v>18</v>
      </c>
      <c r="PA105" s="40">
        <v>20</v>
      </c>
      <c r="PB105" s="42">
        <v>-4</v>
      </c>
      <c r="PC105" s="47"/>
      <c r="PD105" s="45">
        <v>0</v>
      </c>
      <c r="PE105" s="40">
        <v>0</v>
      </c>
      <c r="PF105" s="40">
        <v>102</v>
      </c>
      <c r="PG105" s="40">
        <v>100</v>
      </c>
      <c r="PH105" s="42">
        <v>2</v>
      </c>
      <c r="PI105" s="47"/>
      <c r="PJ105" s="45"/>
      <c r="PO105" s="47"/>
      <c r="PP105" s="43"/>
      <c r="PU105" s="47"/>
      <c r="PV105" s="45"/>
      <c r="QA105" s="47"/>
      <c r="QB105" s="45"/>
      <c r="QE105" s="47"/>
      <c r="QF105" s="45"/>
      <c r="QK105" s="47"/>
      <c r="QL105" s="45"/>
      <c r="QQ105" s="47"/>
      <c r="QR105" s="45"/>
      <c r="QW105" s="47"/>
      <c r="QX105" s="45"/>
      <c r="RB105" s="42"/>
      <c r="RC105" s="47"/>
      <c r="RD105" s="45"/>
      <c r="RF105" s="42"/>
      <c r="RG105" s="47"/>
    </row>
    <row r="106" spans="1:475" x14ac:dyDescent="0.25">
      <c r="A106" s="40" t="s">
        <v>395</v>
      </c>
      <c r="B106" s="41">
        <v>1</v>
      </c>
      <c r="N106" s="43"/>
      <c r="O106" s="48"/>
      <c r="P106" s="48"/>
      <c r="Q106" s="48"/>
      <c r="R106" s="48">
        <f t="shared" si="13"/>
        <v>0</v>
      </c>
      <c r="S106" s="44"/>
      <c r="T106" s="43"/>
      <c r="U106" s="48"/>
      <c r="V106" s="48"/>
      <c r="W106" s="48"/>
      <c r="X106" s="48">
        <f t="shared" si="14"/>
        <v>0</v>
      </c>
      <c r="Y106" s="44"/>
      <c r="Z106" s="43"/>
      <c r="AA106" s="48"/>
      <c r="AB106" s="48"/>
      <c r="AC106" s="48"/>
      <c r="AD106" s="48">
        <f t="shared" si="15"/>
        <v>0</v>
      </c>
      <c r="AE106" s="44"/>
      <c r="AF106" s="43"/>
      <c r="AG106" s="48"/>
      <c r="AH106" s="48"/>
      <c r="AI106" s="48"/>
      <c r="AJ106" s="48">
        <f t="shared" si="16"/>
        <v>0</v>
      </c>
      <c r="AK106" s="44"/>
      <c r="AL106" s="48"/>
      <c r="AP106" s="42">
        <v>0</v>
      </c>
      <c r="AQ106" s="44"/>
      <c r="AR106" s="43"/>
      <c r="AV106" s="42">
        <v>0</v>
      </c>
      <c r="AW106" s="44"/>
      <c r="BC106" s="42">
        <v>0</v>
      </c>
      <c r="BD106" s="44"/>
      <c r="BE106" s="43"/>
      <c r="BI106" s="42">
        <v>0</v>
      </c>
      <c r="BJ106" s="44"/>
      <c r="BO106" s="42">
        <v>0</v>
      </c>
      <c r="BP106" s="44"/>
      <c r="BS106" s="42">
        <v>0</v>
      </c>
      <c r="BT106" s="44"/>
      <c r="BU106" s="43"/>
      <c r="BY106" s="42">
        <v>0</v>
      </c>
      <c r="BZ106" s="44"/>
      <c r="CE106" s="42">
        <v>0</v>
      </c>
      <c r="CF106" s="44"/>
      <c r="CG106" s="43"/>
      <c r="CK106" s="42">
        <v>0</v>
      </c>
      <c r="CL106" s="44"/>
      <c r="CM106" s="43"/>
      <c r="CQ106" s="42">
        <v>0</v>
      </c>
      <c r="CR106" s="44"/>
      <c r="CW106" s="42">
        <v>0</v>
      </c>
      <c r="CX106" s="44"/>
      <c r="CY106" s="43"/>
      <c r="DA106">
        <v>26</v>
      </c>
      <c r="DB106">
        <v>24</v>
      </c>
      <c r="DC106" s="42">
        <v>2</v>
      </c>
      <c r="DD106" s="44"/>
      <c r="DE106" s="43"/>
      <c r="DI106">
        <v>13</v>
      </c>
      <c r="DJ106">
        <v>12</v>
      </c>
      <c r="DK106" s="42">
        <v>1</v>
      </c>
      <c r="DL106" s="44"/>
      <c r="DM106" s="43"/>
      <c r="DQ106" s="42">
        <v>0</v>
      </c>
      <c r="DR106" s="44"/>
      <c r="DU106">
        <v>81</v>
      </c>
      <c r="DV106">
        <v>80</v>
      </c>
      <c r="DY106" s="42">
        <v>1</v>
      </c>
      <c r="DZ106" s="44"/>
      <c r="EA106" s="43"/>
      <c r="EE106" s="42">
        <v>0</v>
      </c>
      <c r="EF106" s="44"/>
      <c r="EG106" s="43"/>
      <c r="EI106">
        <v>29</v>
      </c>
      <c r="EJ106">
        <v>30</v>
      </c>
      <c r="EK106" s="42">
        <v>-1</v>
      </c>
      <c r="EL106" s="44"/>
      <c r="EM106" s="46">
        <v>30</v>
      </c>
      <c r="EN106">
        <v>30</v>
      </c>
      <c r="EO106">
        <v>30</v>
      </c>
      <c r="EP106">
        <v>30</v>
      </c>
      <c r="EQ106" s="42">
        <v>0</v>
      </c>
      <c r="ER106" s="44"/>
      <c r="EW106">
        <v>17</v>
      </c>
      <c r="EX106">
        <v>16</v>
      </c>
      <c r="EY106" s="42">
        <v>1</v>
      </c>
      <c r="EZ106" s="44"/>
      <c r="FE106" s="42">
        <v>0</v>
      </c>
      <c r="FF106" s="44"/>
      <c r="FG106" s="43"/>
      <c r="FI106">
        <v>21</v>
      </c>
      <c r="FJ106">
        <v>21</v>
      </c>
      <c r="FK106" s="42">
        <v>0</v>
      </c>
      <c r="FL106" s="44"/>
      <c r="FM106" s="43"/>
      <c r="FO106" s="42">
        <v>0</v>
      </c>
      <c r="FP106" s="44"/>
      <c r="FS106">
        <v>94</v>
      </c>
      <c r="FT106">
        <v>90</v>
      </c>
      <c r="FU106" s="42">
        <v>4</v>
      </c>
      <c r="FV106" s="44"/>
      <c r="FW106" s="43"/>
      <c r="GA106">
        <v>41</v>
      </c>
      <c r="GB106">
        <v>43</v>
      </c>
      <c r="GC106" s="42">
        <v>-2</v>
      </c>
      <c r="GD106" s="44"/>
      <c r="GI106" s="42">
        <v>0</v>
      </c>
      <c r="GJ106" s="44"/>
      <c r="GK106" s="43"/>
      <c r="GM106">
        <v>8</v>
      </c>
      <c r="GN106">
        <v>8</v>
      </c>
      <c r="GO106" s="42">
        <v>0</v>
      </c>
      <c r="GP106" s="47"/>
      <c r="GQ106">
        <v>52</v>
      </c>
      <c r="GR106">
        <v>50</v>
      </c>
      <c r="GS106">
        <v>53</v>
      </c>
      <c r="GT106">
        <v>50</v>
      </c>
      <c r="GU106" s="42">
        <v>5</v>
      </c>
      <c r="GV106" s="44"/>
      <c r="GY106" s="42">
        <v>0</v>
      </c>
      <c r="GZ106" s="47"/>
      <c r="HA106" s="46">
        <v>13</v>
      </c>
      <c r="HB106">
        <v>13</v>
      </c>
      <c r="HC106" s="42">
        <v>0</v>
      </c>
      <c r="HD106" s="44"/>
      <c r="HE106" s="43"/>
      <c r="HG106">
        <v>55</v>
      </c>
      <c r="HH106">
        <v>55</v>
      </c>
      <c r="HI106" s="42">
        <v>0</v>
      </c>
      <c r="HJ106" s="47"/>
      <c r="HK106" s="43"/>
      <c r="HO106" s="42">
        <v>0</v>
      </c>
      <c r="HP106" s="44"/>
      <c r="HT106">
        <v>44</v>
      </c>
      <c r="HU106">
        <v>40</v>
      </c>
      <c r="HV106" s="42">
        <v>4</v>
      </c>
      <c r="HW106" s="44"/>
      <c r="HX106" s="45"/>
      <c r="HZ106">
        <v>51</v>
      </c>
      <c r="IA106">
        <v>50</v>
      </c>
      <c r="IB106" s="42">
        <v>1</v>
      </c>
      <c r="IC106" s="44"/>
      <c r="IF106">
        <v>66</v>
      </c>
      <c r="IG106">
        <v>60</v>
      </c>
      <c r="IH106" s="42">
        <v>6</v>
      </c>
      <c r="II106" s="47"/>
      <c r="IL106">
        <v>102</v>
      </c>
      <c r="IM106">
        <v>100</v>
      </c>
      <c r="IN106" s="42">
        <v>2</v>
      </c>
      <c r="IO106" s="47"/>
      <c r="IR106">
        <v>65</v>
      </c>
      <c r="IS106">
        <v>60</v>
      </c>
      <c r="IT106" s="42">
        <v>5</v>
      </c>
      <c r="IU106" s="47"/>
      <c r="IX106">
        <v>43</v>
      </c>
      <c r="IY106">
        <v>40</v>
      </c>
      <c r="IZ106" s="42">
        <v>3</v>
      </c>
      <c r="JA106" s="44"/>
      <c r="JB106">
        <v>54</v>
      </c>
      <c r="JC106">
        <v>57</v>
      </c>
      <c r="JD106" s="42">
        <v>-3</v>
      </c>
      <c r="JE106" s="44"/>
      <c r="JF106">
        <v>17</v>
      </c>
      <c r="JG106">
        <v>18</v>
      </c>
      <c r="JJ106" s="42">
        <v>-1</v>
      </c>
      <c r="JK106" s="44"/>
      <c r="JL106" s="45"/>
      <c r="JN106" s="42">
        <v>0</v>
      </c>
      <c r="JO106" s="44"/>
      <c r="JR106">
        <v>43</v>
      </c>
      <c r="JS106">
        <v>40</v>
      </c>
      <c r="JT106" s="42">
        <v>3</v>
      </c>
      <c r="JU106" s="44"/>
      <c r="JX106">
        <v>78</v>
      </c>
      <c r="JY106">
        <v>80</v>
      </c>
      <c r="JZ106" s="42">
        <v>-2</v>
      </c>
      <c r="KA106" s="47"/>
      <c r="KF106" s="42">
        <v>0</v>
      </c>
      <c r="KG106" s="44"/>
      <c r="KH106" s="41"/>
      <c r="KJ106">
        <v>68</v>
      </c>
      <c r="KK106">
        <v>64</v>
      </c>
      <c r="KL106" s="42">
        <v>4</v>
      </c>
      <c r="KM106" s="47"/>
      <c r="KN106" s="45"/>
      <c r="KP106">
        <v>26</v>
      </c>
      <c r="KQ106">
        <v>24</v>
      </c>
      <c r="KR106">
        <v>34</v>
      </c>
      <c r="KS106">
        <v>22</v>
      </c>
      <c r="KT106" s="42">
        <v>14</v>
      </c>
      <c r="KU106" s="47"/>
      <c r="KV106" s="40">
        <v>0</v>
      </c>
      <c r="KW106" s="40">
        <v>0</v>
      </c>
      <c r="KX106" s="40">
        <v>38.598999999999997</v>
      </c>
      <c r="KY106" s="40">
        <v>36</v>
      </c>
      <c r="KZ106" s="42">
        <v>2.5989999999999971</v>
      </c>
      <c r="LA106" s="47"/>
      <c r="LB106" s="40">
        <v>0</v>
      </c>
      <c r="LC106" s="40">
        <v>0</v>
      </c>
      <c r="LD106" s="40">
        <v>0</v>
      </c>
      <c r="LE106" s="40">
        <v>0</v>
      </c>
      <c r="LF106" s="42">
        <v>0</v>
      </c>
      <c r="LG106" s="47"/>
      <c r="LH106" s="45">
        <v>17.021999999999998</v>
      </c>
      <c r="LI106" s="40">
        <v>20</v>
      </c>
      <c r="LJ106" s="42">
        <v>-2.978000000000002</v>
      </c>
      <c r="LK106" s="47"/>
      <c r="LL106" s="45">
        <v>0</v>
      </c>
      <c r="LM106" s="40">
        <v>0</v>
      </c>
      <c r="LN106" s="40">
        <v>0</v>
      </c>
      <c r="LO106" s="40">
        <v>0</v>
      </c>
      <c r="LP106" s="42">
        <v>0</v>
      </c>
      <c r="LQ106" s="47"/>
      <c r="LR106" s="45">
        <v>29.902000000000001</v>
      </c>
      <c r="LS106" s="40">
        <v>30</v>
      </c>
      <c r="LT106" s="40">
        <v>60.241999999999997</v>
      </c>
      <c r="LU106" s="40">
        <v>60</v>
      </c>
      <c r="LV106" s="42">
        <v>0.14400000000000551</v>
      </c>
      <c r="LW106" s="47"/>
      <c r="LX106" s="45">
        <v>8.6370000000000005</v>
      </c>
      <c r="LY106" s="40">
        <v>8</v>
      </c>
      <c r="LZ106" s="42">
        <v>0.63700000000000045</v>
      </c>
      <c r="MA106" s="47"/>
      <c r="MB106" s="45">
        <v>0</v>
      </c>
      <c r="MC106" s="40">
        <v>0</v>
      </c>
      <c r="MD106" s="40">
        <v>21.431999999999999</v>
      </c>
      <c r="ME106" s="40">
        <v>20</v>
      </c>
      <c r="MF106" s="42">
        <v>1.4319999999999991</v>
      </c>
      <c r="MG106" s="47"/>
      <c r="MH106" s="45">
        <v>0</v>
      </c>
      <c r="MI106" s="40">
        <v>0</v>
      </c>
      <c r="MJ106" s="42">
        <v>0</v>
      </c>
      <c r="MK106" s="47"/>
      <c r="ML106" s="45">
        <v>21.123999999999999</v>
      </c>
      <c r="MM106" s="40">
        <v>20</v>
      </c>
      <c r="MN106" s="40">
        <v>59.405999999999999</v>
      </c>
      <c r="MO106" s="40">
        <v>60</v>
      </c>
      <c r="MP106" s="42">
        <v>0.53000000000000114</v>
      </c>
      <c r="MQ106" s="47"/>
      <c r="MR106" s="40">
        <v>0</v>
      </c>
      <c r="MS106" s="40">
        <v>0</v>
      </c>
      <c r="MT106" s="40">
        <v>12.708</v>
      </c>
      <c r="MU106" s="40">
        <v>12</v>
      </c>
      <c r="MV106" s="42">
        <v>0.70800000000000018</v>
      </c>
      <c r="MW106" s="47"/>
      <c r="MX106" s="45">
        <v>0</v>
      </c>
      <c r="MY106" s="40">
        <v>0</v>
      </c>
      <c r="MZ106" s="40">
        <v>0</v>
      </c>
      <c r="NA106" s="40">
        <v>0</v>
      </c>
      <c r="NB106" s="42">
        <v>0</v>
      </c>
      <c r="NC106" s="47"/>
      <c r="ND106" s="45">
        <v>0</v>
      </c>
      <c r="NE106" s="40">
        <v>0</v>
      </c>
      <c r="NF106" s="40">
        <v>8.4</v>
      </c>
      <c r="NG106" s="40">
        <v>10</v>
      </c>
      <c r="NH106" s="42">
        <v>-1.6</v>
      </c>
      <c r="NI106" s="47"/>
      <c r="NJ106" s="45">
        <v>0</v>
      </c>
      <c r="NK106" s="40">
        <v>0</v>
      </c>
      <c r="NL106" s="40">
        <v>51.377000000000002</v>
      </c>
      <c r="NM106" s="40">
        <v>50</v>
      </c>
      <c r="NN106" s="42">
        <v>1.377000000000002</v>
      </c>
      <c r="NO106" s="47"/>
      <c r="NP106" s="45">
        <v>0</v>
      </c>
      <c r="NQ106" s="40">
        <v>0</v>
      </c>
      <c r="NR106" s="40">
        <v>0</v>
      </c>
      <c r="NS106" s="40">
        <v>0</v>
      </c>
      <c r="NT106" s="42">
        <v>0</v>
      </c>
      <c r="NU106" s="47"/>
      <c r="NV106" s="45">
        <v>0</v>
      </c>
      <c r="NW106" s="40">
        <v>0</v>
      </c>
      <c r="NX106" s="40">
        <v>80.222999999999999</v>
      </c>
      <c r="NY106" s="40">
        <v>80</v>
      </c>
      <c r="NZ106" s="42">
        <v>0.222999999999999</v>
      </c>
      <c r="OA106" s="47"/>
      <c r="OB106" s="45">
        <v>8.5370000000000008</v>
      </c>
      <c r="OC106" s="40">
        <v>10</v>
      </c>
      <c r="OD106" s="42">
        <v>-1.462999999999999</v>
      </c>
      <c r="OE106" s="47"/>
      <c r="OF106" s="45">
        <v>0</v>
      </c>
      <c r="OG106" s="40">
        <v>0</v>
      </c>
      <c r="OH106" s="40">
        <v>16.428000000000001</v>
      </c>
      <c r="OI106" s="40">
        <v>15</v>
      </c>
      <c r="OJ106" s="42">
        <v>1.428000000000001</v>
      </c>
      <c r="OK106" s="47"/>
      <c r="OL106" s="45">
        <v>59.344000000000001</v>
      </c>
      <c r="OM106" s="40">
        <v>60</v>
      </c>
      <c r="ON106" s="40">
        <v>39.69</v>
      </c>
      <c r="OO106" s="40">
        <v>40</v>
      </c>
      <c r="OP106" s="42">
        <v>-0.96600000000000819</v>
      </c>
      <c r="OQ106" s="47"/>
      <c r="OR106" s="45">
        <v>0</v>
      </c>
      <c r="OS106" s="40">
        <v>0</v>
      </c>
      <c r="OT106" s="40">
        <v>38.938000000000002</v>
      </c>
      <c r="OU106" s="40">
        <v>40</v>
      </c>
      <c r="OV106" s="42">
        <v>-1.0619999999999981</v>
      </c>
      <c r="OW106" s="47"/>
      <c r="OX106" s="40">
        <v>0</v>
      </c>
      <c r="OY106" s="40">
        <v>0</v>
      </c>
      <c r="OZ106" s="40">
        <v>21.355</v>
      </c>
      <c r="PA106" s="40">
        <v>20</v>
      </c>
      <c r="PB106" s="42">
        <v>1.355</v>
      </c>
      <c r="PC106" s="47"/>
      <c r="PD106" s="45">
        <v>0</v>
      </c>
      <c r="PE106" s="40">
        <v>0</v>
      </c>
      <c r="PF106" s="40">
        <v>29.692</v>
      </c>
      <c r="PG106" s="40">
        <v>30</v>
      </c>
      <c r="PH106" s="42">
        <v>-0.30799999999999977</v>
      </c>
      <c r="PI106" s="47"/>
      <c r="PJ106" s="45">
        <v>0</v>
      </c>
      <c r="PK106" s="40">
        <v>0</v>
      </c>
      <c r="PL106" s="40">
        <v>81.540999999999997</v>
      </c>
      <c r="PM106" s="40">
        <v>85</v>
      </c>
      <c r="PN106" s="42">
        <v>-3.4590000000000032</v>
      </c>
      <c r="PO106" s="47"/>
      <c r="PP106" s="43">
        <v>0</v>
      </c>
      <c r="PQ106" s="40">
        <v>0</v>
      </c>
      <c r="PR106" s="40">
        <v>0</v>
      </c>
      <c r="PS106" s="40">
        <v>0</v>
      </c>
      <c r="PT106" s="42">
        <v>0</v>
      </c>
      <c r="PU106" s="47"/>
      <c r="PV106" s="45">
        <v>0</v>
      </c>
      <c r="PW106" s="40">
        <v>0</v>
      </c>
      <c r="PX106" s="40">
        <v>36.750999999999998</v>
      </c>
      <c r="PY106" s="40">
        <v>40</v>
      </c>
      <c r="PZ106" s="42">
        <v>-3.2490000000000019</v>
      </c>
      <c r="QA106" s="47"/>
      <c r="QB106" s="45">
        <v>50.561</v>
      </c>
      <c r="QC106" s="40">
        <v>50</v>
      </c>
      <c r="QD106" s="42">
        <v>0.56099999999999994</v>
      </c>
      <c r="QE106" s="47"/>
      <c r="QF106" s="45">
        <v>0</v>
      </c>
      <c r="QG106" s="40">
        <v>0</v>
      </c>
      <c r="QH106" s="40">
        <v>0</v>
      </c>
      <c r="QI106" s="40">
        <v>0</v>
      </c>
      <c r="QJ106" s="42">
        <v>0</v>
      </c>
      <c r="QK106" s="47"/>
      <c r="QL106" s="45">
        <v>0</v>
      </c>
      <c r="QM106" s="40">
        <v>0</v>
      </c>
      <c r="QN106" s="40">
        <v>0</v>
      </c>
      <c r="QO106" s="40">
        <v>0</v>
      </c>
      <c r="QP106" s="42">
        <v>0</v>
      </c>
      <c r="QQ106" s="47"/>
      <c r="QR106" s="45">
        <v>0</v>
      </c>
      <c r="QS106" s="40">
        <v>0</v>
      </c>
      <c r="QT106" s="40">
        <v>0</v>
      </c>
      <c r="QU106" s="40">
        <v>0</v>
      </c>
      <c r="QV106" s="42">
        <v>0</v>
      </c>
      <c r="QW106" s="47"/>
      <c r="QX106" s="45">
        <v>0</v>
      </c>
      <c r="QY106" s="40">
        <v>0</v>
      </c>
      <c r="QZ106" s="40">
        <v>0</v>
      </c>
      <c r="RA106" s="40">
        <v>0</v>
      </c>
      <c r="RB106" s="42">
        <v>0</v>
      </c>
      <c r="RC106" s="47"/>
      <c r="RD106" s="45">
        <v>0</v>
      </c>
      <c r="RE106" s="40">
        <v>0</v>
      </c>
      <c r="RF106" s="42">
        <v>0</v>
      </c>
      <c r="RG106" s="47"/>
    </row>
    <row r="107" spans="1:475" x14ac:dyDescent="0.25">
      <c r="A107" s="40" t="s">
        <v>396</v>
      </c>
      <c r="B107" s="41">
        <v>0.41</v>
      </c>
      <c r="K107">
        <v>18</v>
      </c>
      <c r="N107" s="43"/>
      <c r="O107" s="48"/>
      <c r="P107" s="48"/>
      <c r="Q107" s="48"/>
      <c r="R107" s="48">
        <f t="shared" si="13"/>
        <v>0</v>
      </c>
      <c r="S107" s="44"/>
      <c r="T107" s="43"/>
      <c r="U107" s="48"/>
      <c r="V107" s="48"/>
      <c r="W107" s="49">
        <v>50</v>
      </c>
      <c r="X107" s="53">
        <f t="shared" si="14"/>
        <v>-50</v>
      </c>
      <c r="Y107" s="44">
        <f>-1*X107*B107</f>
        <v>20.5</v>
      </c>
      <c r="Z107" s="43"/>
      <c r="AA107" s="48"/>
      <c r="AB107" s="48"/>
      <c r="AC107" s="48"/>
      <c r="AD107" s="48">
        <f t="shared" si="15"/>
        <v>0</v>
      </c>
      <c r="AE107" s="44"/>
      <c r="AF107" s="43"/>
      <c r="AG107" s="49">
        <v>30</v>
      </c>
      <c r="AH107" s="48"/>
      <c r="AI107" s="48"/>
      <c r="AJ107" s="53">
        <f t="shared" si="16"/>
        <v>-30</v>
      </c>
      <c r="AK107" s="44">
        <f>-1*AJ107*B107</f>
        <v>12.299999999999999</v>
      </c>
      <c r="AL107" s="48"/>
      <c r="AP107" s="42">
        <v>0</v>
      </c>
      <c r="AQ107" s="44"/>
      <c r="AR107" s="43"/>
      <c r="AV107" s="42">
        <v>0</v>
      </c>
      <c r="AW107" s="44"/>
      <c r="BC107" s="42">
        <v>0</v>
      </c>
      <c r="BD107" s="44"/>
      <c r="BE107" s="46">
        <v>60</v>
      </c>
      <c r="BF107">
        <v>60</v>
      </c>
      <c r="BG107">
        <v>90</v>
      </c>
      <c r="BH107">
        <v>90</v>
      </c>
      <c r="BI107" s="42">
        <v>0</v>
      </c>
      <c r="BJ107" s="44"/>
      <c r="BO107" s="42">
        <v>0</v>
      </c>
      <c r="BP107" s="44"/>
      <c r="BS107" s="42">
        <v>0</v>
      </c>
      <c r="BT107" s="44"/>
      <c r="BU107" s="43"/>
      <c r="BW107">
        <v>198</v>
      </c>
      <c r="BX107">
        <v>200</v>
      </c>
      <c r="BY107" s="42">
        <v>-2</v>
      </c>
      <c r="BZ107" s="44"/>
      <c r="CE107" s="42">
        <v>0</v>
      </c>
      <c r="CF107" s="44"/>
      <c r="CG107" s="43"/>
      <c r="CK107" s="42">
        <v>0</v>
      </c>
      <c r="CL107" s="44"/>
      <c r="CM107" s="43"/>
      <c r="CO107">
        <v>168</v>
      </c>
      <c r="CP107">
        <v>169</v>
      </c>
      <c r="CQ107" s="42">
        <v>-1</v>
      </c>
      <c r="CR107" s="44"/>
      <c r="CU107">
        <v>12</v>
      </c>
      <c r="CV107">
        <v>14</v>
      </c>
      <c r="CW107" s="42">
        <v>-2</v>
      </c>
      <c r="CX107" s="44"/>
      <c r="CY107" s="43"/>
      <c r="DC107" s="42">
        <v>0</v>
      </c>
      <c r="DD107" s="44"/>
      <c r="DE107" s="43"/>
      <c r="DK107" s="42">
        <v>0</v>
      </c>
      <c r="DL107" s="44"/>
      <c r="DM107" s="46">
        <v>60</v>
      </c>
      <c r="DN107">
        <v>60</v>
      </c>
      <c r="DO107">
        <v>138</v>
      </c>
      <c r="DP107">
        <v>140</v>
      </c>
      <c r="DQ107" s="42">
        <v>-2</v>
      </c>
      <c r="DR107" s="44"/>
      <c r="DU107">
        <v>48</v>
      </c>
      <c r="DV107">
        <v>50</v>
      </c>
      <c r="DY107" s="42">
        <v>-2</v>
      </c>
      <c r="DZ107" s="44"/>
      <c r="EA107" s="43"/>
      <c r="EE107" s="42">
        <v>0</v>
      </c>
      <c r="EF107" s="44"/>
      <c r="EG107" s="43"/>
      <c r="EI107">
        <v>120</v>
      </c>
      <c r="EJ107">
        <v>120</v>
      </c>
      <c r="EK107" s="42">
        <v>0</v>
      </c>
      <c r="EL107" s="44"/>
      <c r="EM107" s="46">
        <v>24</v>
      </c>
      <c r="EN107">
        <v>24</v>
      </c>
      <c r="EO107">
        <v>12</v>
      </c>
      <c r="EP107">
        <v>12</v>
      </c>
      <c r="EQ107" s="42">
        <v>0</v>
      </c>
      <c r="ER107" s="44"/>
      <c r="EW107">
        <v>66</v>
      </c>
      <c r="EX107">
        <v>66</v>
      </c>
      <c r="EY107" s="42">
        <v>0</v>
      </c>
      <c r="EZ107" s="44"/>
      <c r="FC107">
        <v>36</v>
      </c>
      <c r="FD107">
        <v>38</v>
      </c>
      <c r="FE107" s="42">
        <v>-2</v>
      </c>
      <c r="FF107" s="44"/>
      <c r="FG107" s="43"/>
      <c r="FI107">
        <v>102</v>
      </c>
      <c r="FJ107">
        <v>100</v>
      </c>
      <c r="FK107" s="42">
        <v>2</v>
      </c>
      <c r="FL107" s="44"/>
      <c r="FM107" s="46">
        <v>18</v>
      </c>
      <c r="FN107">
        <v>30</v>
      </c>
      <c r="FO107" s="39">
        <v>-12</v>
      </c>
      <c r="FP107" s="44">
        <v>4.92</v>
      </c>
      <c r="FS107">
        <v>42</v>
      </c>
      <c r="FT107">
        <v>42</v>
      </c>
      <c r="FU107" s="42">
        <v>0</v>
      </c>
      <c r="FV107" s="44"/>
      <c r="FW107" s="43"/>
      <c r="GA107">
        <v>60</v>
      </c>
      <c r="GB107">
        <v>60</v>
      </c>
      <c r="GC107" s="42">
        <v>0</v>
      </c>
      <c r="GD107" s="44"/>
      <c r="GI107" s="42">
        <v>0</v>
      </c>
      <c r="GJ107" s="44"/>
      <c r="GK107" s="43"/>
      <c r="GM107">
        <v>72</v>
      </c>
      <c r="GN107">
        <v>70</v>
      </c>
      <c r="GO107" s="42">
        <v>2</v>
      </c>
      <c r="GP107" s="47"/>
      <c r="GS107">
        <v>90</v>
      </c>
      <c r="GT107">
        <v>90</v>
      </c>
      <c r="GU107" s="42">
        <v>0</v>
      </c>
      <c r="GV107" s="44"/>
      <c r="GW107">
        <v>18</v>
      </c>
      <c r="GX107" s="40">
        <v>16</v>
      </c>
      <c r="GY107" s="42">
        <v>2</v>
      </c>
      <c r="GZ107" s="47"/>
      <c r="HA107" s="43"/>
      <c r="HC107" s="42">
        <v>0</v>
      </c>
      <c r="HD107" s="44"/>
      <c r="HE107" s="43"/>
      <c r="HI107" s="42">
        <v>0</v>
      </c>
      <c r="HJ107" s="47"/>
      <c r="HK107" s="43"/>
      <c r="HM107">
        <v>222</v>
      </c>
      <c r="HN107">
        <v>220</v>
      </c>
      <c r="HO107" s="42">
        <v>2</v>
      </c>
      <c r="HP107" s="44"/>
      <c r="HV107" s="42">
        <v>0</v>
      </c>
      <c r="HW107" s="44"/>
      <c r="HX107" s="45"/>
      <c r="IB107" s="42">
        <v>0</v>
      </c>
      <c r="IC107" s="44"/>
      <c r="IF107">
        <v>180</v>
      </c>
      <c r="IG107">
        <v>180</v>
      </c>
      <c r="IH107" s="42">
        <v>0</v>
      </c>
      <c r="II107" s="47"/>
      <c r="IN107" s="42">
        <v>0</v>
      </c>
      <c r="IO107" s="47"/>
      <c r="IR107">
        <v>24</v>
      </c>
      <c r="IS107">
        <v>24</v>
      </c>
      <c r="IT107" s="42">
        <v>0</v>
      </c>
      <c r="IU107" s="47"/>
      <c r="IV107">
        <v>102</v>
      </c>
      <c r="IW107">
        <v>100</v>
      </c>
      <c r="IX107">
        <v>72</v>
      </c>
      <c r="IY107">
        <v>70</v>
      </c>
      <c r="IZ107" s="42">
        <v>4</v>
      </c>
      <c r="JA107" s="44"/>
      <c r="JD107" s="42">
        <v>0</v>
      </c>
      <c r="JE107" s="44"/>
      <c r="JH107">
        <v>54</v>
      </c>
      <c r="JI107">
        <v>54</v>
      </c>
      <c r="JJ107" s="42">
        <v>0</v>
      </c>
      <c r="JK107" s="44"/>
      <c r="JL107" s="45"/>
      <c r="JN107" s="42">
        <v>0</v>
      </c>
      <c r="JO107" s="44"/>
      <c r="JT107" s="42">
        <v>0</v>
      </c>
      <c r="JU107" s="44"/>
      <c r="JZ107" s="42">
        <v>0</v>
      </c>
      <c r="KA107" s="47"/>
      <c r="KF107" s="42">
        <v>0</v>
      </c>
      <c r="KG107" s="44"/>
      <c r="KH107">
        <v>102</v>
      </c>
      <c r="KI107">
        <v>100</v>
      </c>
      <c r="KJ107">
        <v>252</v>
      </c>
      <c r="KK107">
        <v>250</v>
      </c>
      <c r="KL107" s="42">
        <v>4</v>
      </c>
      <c r="KM107" s="47"/>
      <c r="KN107" s="45"/>
      <c r="KR107">
        <v>12</v>
      </c>
      <c r="KT107" s="42">
        <v>12</v>
      </c>
      <c r="KU107" s="47"/>
      <c r="KV107" s="40">
        <v>0</v>
      </c>
      <c r="KW107" s="40">
        <v>0</v>
      </c>
      <c r="KX107" s="40">
        <v>264</v>
      </c>
      <c r="KY107" s="40">
        <v>266</v>
      </c>
      <c r="KZ107" s="42">
        <v>-2</v>
      </c>
      <c r="LA107" s="47"/>
      <c r="LB107" s="40">
        <v>0</v>
      </c>
      <c r="LC107" s="40">
        <v>0</v>
      </c>
      <c r="LD107" s="40">
        <v>0</v>
      </c>
      <c r="LE107" s="40">
        <v>0</v>
      </c>
      <c r="LF107" s="42">
        <v>0</v>
      </c>
      <c r="LG107" s="47"/>
      <c r="LH107" s="45">
        <v>0</v>
      </c>
      <c r="LI107" s="40">
        <v>0</v>
      </c>
      <c r="LJ107" s="42">
        <v>0</v>
      </c>
      <c r="LK107" s="47"/>
      <c r="LL107" s="45">
        <v>0</v>
      </c>
      <c r="LM107" s="40">
        <v>0</v>
      </c>
      <c r="LN107" s="40">
        <v>0</v>
      </c>
      <c r="LO107" s="40">
        <v>0</v>
      </c>
      <c r="LP107" s="42">
        <v>0</v>
      </c>
      <c r="LQ107" s="47"/>
      <c r="LR107" s="45">
        <v>102</v>
      </c>
      <c r="LS107" s="40">
        <v>100</v>
      </c>
      <c r="LT107" s="40">
        <v>180</v>
      </c>
      <c r="LU107" s="40">
        <v>180</v>
      </c>
      <c r="LV107" s="42">
        <v>2</v>
      </c>
      <c r="LW107" s="47"/>
      <c r="LX107" s="45">
        <v>72</v>
      </c>
      <c r="LY107" s="40">
        <v>70</v>
      </c>
      <c r="LZ107" s="42">
        <v>2</v>
      </c>
      <c r="MA107" s="47"/>
      <c r="MB107" s="45">
        <v>0</v>
      </c>
      <c r="MC107" s="40">
        <v>0</v>
      </c>
      <c r="MD107" s="40">
        <v>12</v>
      </c>
      <c r="ME107" s="40">
        <v>12</v>
      </c>
      <c r="MF107" s="42">
        <v>0</v>
      </c>
      <c r="MG107" s="47"/>
      <c r="MH107" s="45">
        <v>234</v>
      </c>
      <c r="MI107" s="40">
        <v>236</v>
      </c>
      <c r="MJ107" s="42">
        <v>-2</v>
      </c>
      <c r="MK107" s="47"/>
      <c r="ML107" s="45">
        <v>0</v>
      </c>
      <c r="MM107" s="40">
        <v>0</v>
      </c>
      <c r="MN107" s="40">
        <v>0</v>
      </c>
      <c r="MO107" s="40">
        <v>0</v>
      </c>
      <c r="MP107" s="42">
        <v>0</v>
      </c>
      <c r="MQ107" s="47"/>
      <c r="MR107" s="40">
        <v>0</v>
      </c>
      <c r="MS107" s="40">
        <v>0</v>
      </c>
      <c r="MT107" s="40">
        <v>168</v>
      </c>
      <c r="MU107" s="40">
        <v>170</v>
      </c>
      <c r="MV107" s="42">
        <v>-2</v>
      </c>
      <c r="MW107" s="47"/>
      <c r="MX107" s="45">
        <v>0</v>
      </c>
      <c r="MY107" s="40">
        <v>0</v>
      </c>
      <c r="MZ107" s="40">
        <v>0</v>
      </c>
      <c r="NA107" s="30">
        <v>20</v>
      </c>
      <c r="NB107" s="39">
        <v>-20</v>
      </c>
      <c r="NC107" s="47">
        <v>8.1999999999999993</v>
      </c>
      <c r="ND107" s="45">
        <v>0</v>
      </c>
      <c r="NE107" s="30">
        <v>30</v>
      </c>
      <c r="NF107" s="40">
        <v>84</v>
      </c>
      <c r="NG107" s="40">
        <v>87</v>
      </c>
      <c r="NH107" s="39">
        <v>-33</v>
      </c>
      <c r="NI107" s="47">
        <v>13.53</v>
      </c>
      <c r="NJ107" s="45">
        <v>0</v>
      </c>
      <c r="NK107" s="40">
        <v>0</v>
      </c>
      <c r="NL107" s="40">
        <v>30</v>
      </c>
      <c r="NM107" s="40">
        <v>30</v>
      </c>
      <c r="NN107" s="42">
        <v>0</v>
      </c>
      <c r="NO107" s="47"/>
      <c r="NP107" s="45">
        <v>0</v>
      </c>
      <c r="NQ107" s="40">
        <v>0</v>
      </c>
      <c r="NR107" s="40">
        <v>18</v>
      </c>
      <c r="NS107" s="40">
        <v>20</v>
      </c>
      <c r="NT107" s="42">
        <v>-2</v>
      </c>
      <c r="NU107" s="47"/>
      <c r="NV107" s="45">
        <v>0</v>
      </c>
      <c r="NW107" s="40">
        <v>0</v>
      </c>
      <c r="NX107" s="40">
        <v>18</v>
      </c>
      <c r="NY107" s="40">
        <v>20</v>
      </c>
      <c r="NZ107" s="42">
        <v>-2</v>
      </c>
      <c r="OA107" s="47"/>
      <c r="OB107" s="45">
        <v>198</v>
      </c>
      <c r="OC107" s="40">
        <v>200</v>
      </c>
      <c r="OD107" s="42">
        <v>-2</v>
      </c>
      <c r="OE107" s="47"/>
      <c r="OF107" s="45">
        <v>0</v>
      </c>
      <c r="OG107" s="40">
        <v>0</v>
      </c>
      <c r="OH107" s="40">
        <v>0</v>
      </c>
      <c r="OI107" s="40">
        <v>0</v>
      </c>
      <c r="OJ107" s="42">
        <v>0</v>
      </c>
      <c r="OK107" s="47"/>
      <c r="OL107" s="45">
        <v>0</v>
      </c>
      <c r="OM107" s="40">
        <v>0</v>
      </c>
      <c r="ON107" s="40">
        <v>60</v>
      </c>
      <c r="OO107" s="40">
        <v>60</v>
      </c>
      <c r="OP107" s="42">
        <v>0</v>
      </c>
      <c r="OQ107" s="47"/>
      <c r="OR107" s="45">
        <v>48</v>
      </c>
      <c r="OS107" s="40">
        <v>50</v>
      </c>
      <c r="OT107" s="40">
        <v>48</v>
      </c>
      <c r="OU107" s="40">
        <v>50</v>
      </c>
      <c r="OV107" s="42">
        <v>-4</v>
      </c>
      <c r="OW107" s="47"/>
      <c r="OX107" s="40">
        <v>18</v>
      </c>
      <c r="OY107" s="40">
        <v>20</v>
      </c>
      <c r="OZ107" s="40">
        <v>18</v>
      </c>
      <c r="PA107" s="40">
        <v>20</v>
      </c>
      <c r="PB107" s="42">
        <v>-4</v>
      </c>
      <c r="PC107" s="47"/>
      <c r="PD107" s="45">
        <v>0</v>
      </c>
      <c r="PE107" s="40">
        <v>0</v>
      </c>
      <c r="PF107" s="40">
        <v>102</v>
      </c>
      <c r="PG107" s="40">
        <v>100</v>
      </c>
      <c r="PH107" s="42">
        <v>2</v>
      </c>
      <c r="PI107" s="47"/>
      <c r="PJ107" s="45"/>
      <c r="PO107" s="47"/>
      <c r="PP107" s="43"/>
      <c r="PU107" s="47"/>
      <c r="PV107" s="45"/>
      <c r="QA107" s="47"/>
      <c r="QB107" s="45"/>
      <c r="QE107" s="47"/>
      <c r="QF107" s="45"/>
      <c r="QK107" s="47"/>
      <c r="QL107" s="45"/>
      <c r="QQ107" s="47"/>
      <c r="QR107" s="45"/>
      <c r="QW107" s="47"/>
      <c r="QX107" s="45"/>
      <c r="RB107" s="42"/>
      <c r="RC107" s="47"/>
      <c r="RD107" s="45"/>
      <c r="RF107" s="42"/>
      <c r="RG107" s="47"/>
    </row>
    <row r="108" spans="1:475" x14ac:dyDescent="0.25">
      <c r="A108" s="40" t="s">
        <v>397</v>
      </c>
      <c r="B108" s="41">
        <v>1</v>
      </c>
      <c r="N108" s="43"/>
      <c r="O108" s="48"/>
      <c r="P108" s="48"/>
      <c r="Q108" s="48"/>
      <c r="R108" s="48">
        <f t="shared" si="13"/>
        <v>0</v>
      </c>
      <c r="S108" s="44"/>
      <c r="T108" s="43"/>
      <c r="U108" s="48"/>
      <c r="V108" s="48"/>
      <c r="W108" s="48"/>
      <c r="X108" s="48">
        <f t="shared" si="14"/>
        <v>0</v>
      </c>
      <c r="Y108" s="44"/>
      <c r="Z108" s="43"/>
      <c r="AA108" s="48"/>
      <c r="AB108" s="48"/>
      <c r="AC108" s="48"/>
      <c r="AD108" s="48">
        <f t="shared" si="15"/>
        <v>0</v>
      </c>
      <c r="AE108" s="44"/>
      <c r="AF108" s="43"/>
      <c r="AG108" s="48"/>
      <c r="AH108" s="48"/>
      <c r="AI108" s="48"/>
      <c r="AJ108" s="48">
        <f t="shared" si="16"/>
        <v>0</v>
      </c>
      <c r="AK108" s="44"/>
      <c r="AL108" s="48"/>
      <c r="AP108" s="42">
        <v>0</v>
      </c>
      <c r="AQ108" s="44"/>
      <c r="AR108" s="43"/>
      <c r="AV108" s="42">
        <v>0</v>
      </c>
      <c r="AW108" s="44"/>
      <c r="BC108" s="42">
        <v>0</v>
      </c>
      <c r="BD108" s="44"/>
      <c r="BE108" s="43"/>
      <c r="BI108" s="42">
        <v>0</v>
      </c>
      <c r="BJ108" s="44"/>
      <c r="BO108" s="42">
        <v>0</v>
      </c>
      <c r="BP108" s="44"/>
      <c r="BS108" s="42">
        <v>0</v>
      </c>
      <c r="BT108" s="44"/>
      <c r="BU108" s="43"/>
      <c r="BY108" s="42">
        <v>0</v>
      </c>
      <c r="BZ108" s="44"/>
      <c r="CE108" s="42">
        <v>0</v>
      </c>
      <c r="CF108" s="44"/>
      <c r="CG108" s="43"/>
      <c r="CK108" s="42">
        <v>0</v>
      </c>
      <c r="CL108" s="44"/>
      <c r="CM108" s="43"/>
      <c r="CQ108" s="42">
        <v>0</v>
      </c>
      <c r="CR108" s="44"/>
      <c r="CW108" s="42">
        <v>0</v>
      </c>
      <c r="CX108" s="44"/>
      <c r="CY108" s="43"/>
      <c r="DC108" s="42">
        <v>0</v>
      </c>
      <c r="DD108" s="44"/>
      <c r="DE108" s="43"/>
      <c r="DK108" s="42">
        <v>0</v>
      </c>
      <c r="DL108" s="44"/>
      <c r="DM108" s="43"/>
      <c r="DQ108" s="42">
        <v>0</v>
      </c>
      <c r="DR108" s="44"/>
      <c r="DY108" s="42">
        <v>0</v>
      </c>
      <c r="DZ108" s="44"/>
      <c r="EA108" s="43"/>
      <c r="EE108" s="42">
        <v>0</v>
      </c>
      <c r="EF108" s="44"/>
      <c r="EG108" s="43"/>
      <c r="EK108" s="42">
        <v>0</v>
      </c>
      <c r="EL108" s="44"/>
      <c r="EM108" s="43"/>
      <c r="EQ108" s="42">
        <v>0</v>
      </c>
      <c r="ER108" s="44"/>
      <c r="EY108" s="42">
        <v>0</v>
      </c>
      <c r="EZ108" s="44"/>
      <c r="FE108" s="42">
        <v>0</v>
      </c>
      <c r="FF108" s="44"/>
      <c r="FG108" s="43"/>
      <c r="FK108" s="42">
        <v>0</v>
      </c>
      <c r="FL108" s="44"/>
      <c r="FM108" s="43"/>
      <c r="FO108" s="42">
        <v>0</v>
      </c>
      <c r="FP108" s="44"/>
      <c r="FU108" s="42">
        <v>0</v>
      </c>
      <c r="FV108" s="44"/>
      <c r="FW108" s="43"/>
      <c r="GC108" s="42">
        <v>0</v>
      </c>
      <c r="GD108" s="44"/>
      <c r="GI108" s="42">
        <v>0</v>
      </c>
      <c r="GJ108" s="44"/>
      <c r="GK108" s="43"/>
      <c r="GO108" s="42">
        <v>0</v>
      </c>
      <c r="GP108" s="47"/>
      <c r="GU108" s="42">
        <v>0</v>
      </c>
      <c r="GV108" s="44"/>
      <c r="GY108" s="42">
        <v>0</v>
      </c>
      <c r="GZ108" s="47"/>
      <c r="HA108" s="43"/>
      <c r="HC108" s="42">
        <v>0</v>
      </c>
      <c r="HD108" s="44"/>
      <c r="HE108" s="43"/>
      <c r="HI108" s="42">
        <v>0</v>
      </c>
      <c r="HJ108" s="47"/>
      <c r="HK108" s="43"/>
      <c r="HO108" s="42">
        <v>0</v>
      </c>
      <c r="HP108" s="44"/>
      <c r="HV108" s="42">
        <v>0</v>
      </c>
      <c r="HW108" s="44"/>
      <c r="HX108" s="45"/>
      <c r="IB108" s="42">
        <v>0</v>
      </c>
      <c r="IC108" s="44"/>
      <c r="IH108" s="42">
        <v>0</v>
      </c>
      <c r="II108" s="47"/>
      <c r="IN108" s="42">
        <v>0</v>
      </c>
      <c r="IO108" s="47"/>
      <c r="IT108" s="42">
        <v>0</v>
      </c>
      <c r="IU108" s="47"/>
      <c r="IZ108" s="42">
        <v>0</v>
      </c>
      <c r="JA108" s="44"/>
      <c r="JD108" s="42">
        <v>0</v>
      </c>
      <c r="JE108" s="44"/>
      <c r="JJ108" s="42">
        <v>0</v>
      </c>
      <c r="JK108" s="44"/>
      <c r="JL108" s="45"/>
      <c r="JN108" s="42">
        <v>0</v>
      </c>
      <c r="JO108" s="44"/>
      <c r="JT108" s="42">
        <v>0</v>
      </c>
      <c r="JU108" s="44"/>
      <c r="JZ108" s="42">
        <v>0</v>
      </c>
      <c r="KA108" s="47"/>
      <c r="KF108" s="42">
        <v>0</v>
      </c>
      <c r="KG108" s="44"/>
      <c r="KH108" s="41"/>
      <c r="KL108" s="42">
        <v>0</v>
      </c>
      <c r="KM108" s="47"/>
      <c r="KN108" s="45"/>
      <c r="KT108" s="42">
        <v>0</v>
      </c>
      <c r="KU108" s="47"/>
      <c r="KV108" s="40">
        <v>0</v>
      </c>
      <c r="KW108" s="40">
        <v>0</v>
      </c>
      <c r="KX108" s="40">
        <v>0</v>
      </c>
      <c r="KY108" s="40">
        <v>0</v>
      </c>
      <c r="KZ108" s="42">
        <v>0</v>
      </c>
      <c r="LA108" s="47"/>
      <c r="LB108" s="40">
        <v>0</v>
      </c>
      <c r="LC108" s="40">
        <v>0</v>
      </c>
      <c r="LD108" s="40">
        <v>0</v>
      </c>
      <c r="LE108" s="40">
        <v>0</v>
      </c>
      <c r="LF108" s="42">
        <v>0</v>
      </c>
      <c r="LG108" s="47"/>
      <c r="LH108" s="45">
        <v>0</v>
      </c>
      <c r="LI108" s="40">
        <v>0</v>
      </c>
      <c r="LJ108" s="42">
        <v>0</v>
      </c>
      <c r="LK108" s="47"/>
      <c r="LL108" s="45">
        <v>0</v>
      </c>
      <c r="LM108" s="40">
        <v>0</v>
      </c>
      <c r="LN108" s="40">
        <v>0</v>
      </c>
      <c r="LO108" s="40">
        <v>0</v>
      </c>
      <c r="LP108" s="42">
        <v>0</v>
      </c>
      <c r="LQ108" s="47"/>
      <c r="LR108" s="45">
        <v>0</v>
      </c>
      <c r="LS108" s="40">
        <v>0</v>
      </c>
      <c r="LT108" s="40">
        <v>0</v>
      </c>
      <c r="LU108" s="40">
        <v>0</v>
      </c>
      <c r="LV108" s="42">
        <v>0</v>
      </c>
      <c r="LW108" s="47"/>
      <c r="LX108" s="45">
        <v>0</v>
      </c>
      <c r="LY108" s="40">
        <v>0</v>
      </c>
      <c r="LZ108" s="42">
        <v>0</v>
      </c>
      <c r="MA108" s="47"/>
      <c r="MB108" s="45">
        <v>0</v>
      </c>
      <c r="MC108" s="40">
        <v>0</v>
      </c>
      <c r="MD108" s="40">
        <v>0</v>
      </c>
      <c r="ME108" s="40">
        <v>0</v>
      </c>
      <c r="MF108" s="42">
        <v>0</v>
      </c>
      <c r="MG108" s="47"/>
      <c r="MH108" s="45">
        <v>0</v>
      </c>
      <c r="MI108" s="40">
        <v>0</v>
      </c>
      <c r="MJ108" s="42">
        <v>0</v>
      </c>
      <c r="MK108" s="47"/>
      <c r="ML108" s="45">
        <v>0</v>
      </c>
      <c r="MM108" s="40">
        <v>0</v>
      </c>
      <c r="MN108" s="40">
        <v>0</v>
      </c>
      <c r="MO108" s="40">
        <v>0</v>
      </c>
      <c r="MP108" s="42">
        <v>0</v>
      </c>
      <c r="MQ108" s="47"/>
      <c r="MR108" s="40">
        <v>0</v>
      </c>
      <c r="MS108" s="40">
        <v>0</v>
      </c>
      <c r="MT108" s="40">
        <v>0</v>
      </c>
      <c r="MU108" s="40">
        <v>0</v>
      </c>
      <c r="MV108" s="42">
        <v>0</v>
      </c>
      <c r="MW108" s="47"/>
      <c r="MX108" s="45">
        <v>0</v>
      </c>
      <c r="MY108" s="40">
        <v>0</v>
      </c>
      <c r="MZ108" s="40">
        <v>0</v>
      </c>
      <c r="NA108" s="40">
        <v>0</v>
      </c>
      <c r="NB108" s="42">
        <v>0</v>
      </c>
      <c r="NC108" s="47"/>
      <c r="ND108" s="45">
        <v>0</v>
      </c>
      <c r="NE108" s="40">
        <v>0</v>
      </c>
      <c r="NF108" s="40">
        <v>0</v>
      </c>
      <c r="NG108" s="40">
        <v>0</v>
      </c>
      <c r="NH108" s="42">
        <v>0</v>
      </c>
      <c r="NI108" s="47"/>
      <c r="NJ108" s="45">
        <v>0</v>
      </c>
      <c r="NK108" s="40">
        <v>0</v>
      </c>
      <c r="NL108" s="40">
        <v>0</v>
      </c>
      <c r="NM108" s="40">
        <v>0</v>
      </c>
      <c r="NN108" s="42">
        <v>0</v>
      </c>
      <c r="NO108" s="47"/>
      <c r="NP108" s="45">
        <v>0</v>
      </c>
      <c r="NQ108" s="40">
        <v>0</v>
      </c>
      <c r="NR108" s="40">
        <v>0</v>
      </c>
      <c r="NS108" s="40">
        <v>0</v>
      </c>
      <c r="NT108" s="42">
        <v>0</v>
      </c>
      <c r="NU108" s="47"/>
      <c r="NV108" s="45">
        <v>0</v>
      </c>
      <c r="NW108" s="40">
        <v>0</v>
      </c>
      <c r="NX108" s="40">
        <v>0</v>
      </c>
      <c r="NY108" s="40">
        <v>0</v>
      </c>
      <c r="NZ108" s="42">
        <v>0</v>
      </c>
      <c r="OA108" s="47"/>
      <c r="OB108" s="45">
        <v>0</v>
      </c>
      <c r="OC108" s="40">
        <v>0</v>
      </c>
      <c r="OD108" s="42">
        <v>0</v>
      </c>
      <c r="OE108" s="47"/>
      <c r="OF108" s="45">
        <v>0</v>
      </c>
      <c r="OG108" s="40">
        <v>0</v>
      </c>
      <c r="OH108" s="40">
        <v>0</v>
      </c>
      <c r="OI108" s="40">
        <v>0</v>
      </c>
      <c r="OJ108" s="42">
        <v>0</v>
      </c>
      <c r="OK108" s="47"/>
      <c r="OL108" s="45">
        <v>0</v>
      </c>
      <c r="OM108" s="40">
        <v>0</v>
      </c>
      <c r="ON108" s="40">
        <v>0</v>
      </c>
      <c r="OO108" s="40">
        <v>0</v>
      </c>
      <c r="OP108" s="42">
        <v>0</v>
      </c>
      <c r="OQ108" s="47"/>
      <c r="OR108" s="45">
        <v>0</v>
      </c>
      <c r="OS108" s="40">
        <v>0</v>
      </c>
      <c r="OT108" s="40">
        <v>0</v>
      </c>
      <c r="OU108" s="40">
        <v>0</v>
      </c>
      <c r="OV108" s="42">
        <v>0</v>
      </c>
      <c r="OW108" s="47"/>
      <c r="OX108" s="40">
        <v>0</v>
      </c>
      <c r="OY108" s="40">
        <v>0</v>
      </c>
      <c r="OZ108" s="40">
        <v>0</v>
      </c>
      <c r="PA108" s="40">
        <v>0</v>
      </c>
      <c r="PB108" s="42">
        <v>0</v>
      </c>
      <c r="PC108" s="47"/>
      <c r="PD108" s="45">
        <v>0</v>
      </c>
      <c r="PE108" s="40">
        <v>0</v>
      </c>
      <c r="PF108" s="40">
        <v>0</v>
      </c>
      <c r="PG108" s="40">
        <v>0</v>
      </c>
      <c r="PH108" s="42">
        <v>0</v>
      </c>
      <c r="PI108" s="47"/>
      <c r="PJ108" s="45">
        <v>0</v>
      </c>
      <c r="PK108" s="40">
        <v>0</v>
      </c>
      <c r="PL108" s="40">
        <v>86.656999999999996</v>
      </c>
      <c r="PM108" s="40">
        <v>84</v>
      </c>
      <c r="PN108" s="42">
        <v>2.656999999999996</v>
      </c>
      <c r="PO108" s="47"/>
      <c r="PP108" s="43">
        <v>0</v>
      </c>
      <c r="PQ108" s="40">
        <v>0</v>
      </c>
      <c r="PR108" s="40">
        <v>0</v>
      </c>
      <c r="PS108" s="40">
        <v>0</v>
      </c>
      <c r="PT108" s="42">
        <v>0</v>
      </c>
      <c r="PU108" s="47"/>
      <c r="PV108" s="45">
        <v>42.718000000000004</v>
      </c>
      <c r="PW108" s="40">
        <v>50</v>
      </c>
      <c r="PX108" s="40">
        <v>0</v>
      </c>
      <c r="PY108" s="40">
        <v>0</v>
      </c>
      <c r="PZ108" s="42">
        <v>-7.2819999999999956</v>
      </c>
      <c r="QA108" s="47"/>
      <c r="QB108" s="45">
        <v>117.248</v>
      </c>
      <c r="QC108" s="40">
        <v>120</v>
      </c>
      <c r="QD108" s="42">
        <v>-2.7519999999999949</v>
      </c>
      <c r="QE108" s="47"/>
      <c r="QF108" s="45">
        <v>21.776</v>
      </c>
      <c r="QG108" s="40">
        <v>25</v>
      </c>
      <c r="QH108" s="40">
        <v>0</v>
      </c>
      <c r="QI108" s="40">
        <v>0</v>
      </c>
      <c r="QJ108" s="42">
        <v>-3.2240000000000002</v>
      </c>
      <c r="QK108" s="47"/>
      <c r="QL108" s="45">
        <v>0</v>
      </c>
      <c r="QM108" s="40">
        <v>0</v>
      </c>
      <c r="QN108" s="40">
        <v>0</v>
      </c>
      <c r="QO108" s="40">
        <v>0</v>
      </c>
      <c r="QP108" s="42">
        <v>0</v>
      </c>
      <c r="QQ108" s="47"/>
      <c r="QR108" s="45">
        <v>43.295999999999999</v>
      </c>
      <c r="QS108" s="40">
        <v>50</v>
      </c>
      <c r="QT108" s="40">
        <v>0</v>
      </c>
      <c r="QU108" s="40">
        <v>0</v>
      </c>
      <c r="QV108" s="42">
        <v>-6.7040000000000006</v>
      </c>
      <c r="QW108" s="47"/>
      <c r="QX108" s="45">
        <v>0</v>
      </c>
      <c r="QY108" s="40">
        <v>0</v>
      </c>
      <c r="QZ108" s="40">
        <v>0</v>
      </c>
      <c r="RA108" s="40">
        <v>0</v>
      </c>
      <c r="RB108" s="42">
        <v>0</v>
      </c>
      <c r="RC108" s="47"/>
      <c r="RD108" s="45">
        <v>194.197</v>
      </c>
      <c r="RE108" s="40">
        <v>200</v>
      </c>
      <c r="RF108" s="42">
        <v>-5.8029999999999973</v>
      </c>
      <c r="RG108" s="47"/>
    </row>
    <row r="109" spans="1:475" x14ac:dyDescent="0.25">
      <c r="A109" s="40" t="s">
        <v>398</v>
      </c>
      <c r="B109" s="41">
        <v>0.41</v>
      </c>
      <c r="K109">
        <v>12</v>
      </c>
      <c r="N109" s="43"/>
      <c r="O109" s="48"/>
      <c r="P109" s="48"/>
      <c r="Q109" s="49">
        <v>50</v>
      </c>
      <c r="R109" s="53">
        <f t="shared" si="13"/>
        <v>-50</v>
      </c>
      <c r="S109" s="44">
        <f>-1*R109*B109</f>
        <v>20.5</v>
      </c>
      <c r="T109" s="43"/>
      <c r="U109" s="49">
        <v>18</v>
      </c>
      <c r="V109" s="48"/>
      <c r="W109" s="49">
        <v>22</v>
      </c>
      <c r="X109" s="53">
        <f t="shared" si="14"/>
        <v>-40</v>
      </c>
      <c r="Y109" s="44">
        <f>-1*X109*B109</f>
        <v>16.399999999999999</v>
      </c>
      <c r="Z109" s="43"/>
      <c r="AA109" s="48"/>
      <c r="AB109" s="48"/>
      <c r="AC109" s="48"/>
      <c r="AD109" s="48">
        <f t="shared" si="15"/>
        <v>0</v>
      </c>
      <c r="AE109" s="44"/>
      <c r="AF109" s="43"/>
      <c r="AG109" s="48"/>
      <c r="AH109" s="48"/>
      <c r="AI109" s="49">
        <v>40</v>
      </c>
      <c r="AJ109" s="53">
        <f t="shared" si="16"/>
        <v>-40</v>
      </c>
      <c r="AK109" s="44">
        <f>-1*AJ109*B109</f>
        <v>16.399999999999999</v>
      </c>
      <c r="AL109" s="48"/>
      <c r="AP109" s="42">
        <v>0</v>
      </c>
      <c r="AQ109" s="44"/>
      <c r="AR109" s="43"/>
      <c r="AV109" s="42">
        <v>0</v>
      </c>
      <c r="AW109" s="44"/>
      <c r="BA109">
        <v>30</v>
      </c>
      <c r="BB109">
        <v>30</v>
      </c>
      <c r="BC109" s="42">
        <v>0</v>
      </c>
      <c r="BD109" s="44"/>
      <c r="BE109" s="43"/>
      <c r="BI109" s="42">
        <v>0</v>
      </c>
      <c r="BJ109" s="44"/>
      <c r="BO109" s="42">
        <v>0</v>
      </c>
      <c r="BP109" s="44"/>
      <c r="BS109" s="42">
        <v>0</v>
      </c>
      <c r="BT109" s="44"/>
      <c r="BU109" s="46">
        <v>102</v>
      </c>
      <c r="BV109">
        <v>100</v>
      </c>
      <c r="BW109">
        <v>30</v>
      </c>
      <c r="BX109">
        <v>30</v>
      </c>
      <c r="BY109" s="42">
        <v>2</v>
      </c>
      <c r="BZ109" s="44"/>
      <c r="CC109">
        <v>30</v>
      </c>
      <c r="CD109">
        <v>30</v>
      </c>
      <c r="CE109" s="42">
        <v>0</v>
      </c>
      <c r="CF109" s="44"/>
      <c r="CG109" s="43"/>
      <c r="CI109">
        <v>48</v>
      </c>
      <c r="CJ109">
        <v>47</v>
      </c>
      <c r="CK109" s="42">
        <v>1</v>
      </c>
      <c r="CL109" s="44"/>
      <c r="CM109" s="43"/>
      <c r="CQ109" s="42">
        <v>0</v>
      </c>
      <c r="CR109" s="44"/>
      <c r="CU109">
        <v>6</v>
      </c>
      <c r="CV109">
        <v>6</v>
      </c>
      <c r="CW109" s="42">
        <v>0</v>
      </c>
      <c r="CX109" s="44"/>
      <c r="CY109" s="43"/>
      <c r="DA109">
        <v>48</v>
      </c>
      <c r="DB109">
        <v>50</v>
      </c>
      <c r="DC109" s="42">
        <v>-2</v>
      </c>
      <c r="DD109" s="44"/>
      <c r="DE109" s="43"/>
      <c r="DK109" s="42">
        <v>0</v>
      </c>
      <c r="DL109" s="44"/>
      <c r="DM109" s="43"/>
      <c r="DQ109" s="42">
        <v>0</v>
      </c>
      <c r="DR109" s="44"/>
      <c r="DU109">
        <v>90</v>
      </c>
      <c r="DV109">
        <v>95</v>
      </c>
      <c r="DY109" s="42">
        <v>-5</v>
      </c>
      <c r="DZ109" s="44"/>
      <c r="EA109" s="43"/>
      <c r="EE109" s="42">
        <v>0</v>
      </c>
      <c r="EF109" s="44"/>
      <c r="EG109" s="43"/>
      <c r="EI109">
        <v>18</v>
      </c>
      <c r="EJ109">
        <v>21</v>
      </c>
      <c r="EK109" s="42">
        <v>-3</v>
      </c>
      <c r="EL109" s="44"/>
      <c r="EM109" s="46">
        <v>18</v>
      </c>
      <c r="EN109">
        <v>18</v>
      </c>
      <c r="EO109">
        <v>18</v>
      </c>
      <c r="EP109">
        <v>18</v>
      </c>
      <c r="EQ109" s="42">
        <v>0</v>
      </c>
      <c r="ER109" s="44"/>
      <c r="EW109">
        <v>12</v>
      </c>
      <c r="EX109">
        <v>12</v>
      </c>
      <c r="EY109" s="42">
        <v>0</v>
      </c>
      <c r="EZ109" s="44"/>
      <c r="FC109">
        <v>42</v>
      </c>
      <c r="FD109">
        <v>42</v>
      </c>
      <c r="FE109" s="42">
        <v>0</v>
      </c>
      <c r="FF109" s="44"/>
      <c r="FG109" s="43"/>
      <c r="FI109">
        <v>6</v>
      </c>
      <c r="FJ109">
        <v>6</v>
      </c>
      <c r="FK109" s="42">
        <v>0</v>
      </c>
      <c r="FL109" s="44"/>
      <c r="FM109" s="43"/>
      <c r="FO109" s="42">
        <v>0</v>
      </c>
      <c r="FP109" s="44"/>
      <c r="FS109">
        <v>42</v>
      </c>
      <c r="FT109">
        <v>42</v>
      </c>
      <c r="FU109" s="42">
        <v>0</v>
      </c>
      <c r="FV109" s="44"/>
      <c r="FW109" s="43"/>
      <c r="GC109" s="42">
        <v>0</v>
      </c>
      <c r="GD109" s="44"/>
      <c r="GI109" s="42">
        <v>0</v>
      </c>
      <c r="GJ109" s="44"/>
      <c r="GK109" s="43"/>
      <c r="GM109">
        <v>78</v>
      </c>
      <c r="GN109">
        <v>80</v>
      </c>
      <c r="GO109" s="42">
        <v>-2</v>
      </c>
      <c r="GP109" s="47"/>
      <c r="GU109" s="42">
        <v>0</v>
      </c>
      <c r="GV109" s="44"/>
      <c r="GY109" s="42">
        <v>0</v>
      </c>
      <c r="GZ109" s="47"/>
      <c r="HA109" s="46">
        <v>72</v>
      </c>
      <c r="HB109">
        <v>70</v>
      </c>
      <c r="HC109" s="42">
        <v>2</v>
      </c>
      <c r="HD109" s="44"/>
      <c r="HE109" s="43"/>
      <c r="HI109" s="42">
        <v>0</v>
      </c>
      <c r="HJ109" s="47"/>
      <c r="HK109" s="43"/>
      <c r="HO109" s="42">
        <v>0</v>
      </c>
      <c r="HP109" s="44"/>
      <c r="HT109">
        <v>60</v>
      </c>
      <c r="HU109">
        <v>60</v>
      </c>
      <c r="HV109" s="42">
        <v>0</v>
      </c>
      <c r="HW109" s="44"/>
      <c r="HX109" s="45"/>
      <c r="HZ109">
        <v>24</v>
      </c>
      <c r="IA109">
        <v>24</v>
      </c>
      <c r="IB109" s="42">
        <v>0</v>
      </c>
      <c r="IC109" s="44"/>
      <c r="IF109">
        <v>12</v>
      </c>
      <c r="IG109">
        <v>12</v>
      </c>
      <c r="IH109" s="42">
        <v>0</v>
      </c>
      <c r="II109" s="47"/>
      <c r="IL109">
        <v>42</v>
      </c>
      <c r="IM109">
        <v>40</v>
      </c>
      <c r="IN109" s="42">
        <v>2</v>
      </c>
      <c r="IO109" s="47"/>
      <c r="IR109">
        <v>18</v>
      </c>
      <c r="IS109">
        <v>18</v>
      </c>
      <c r="IT109" s="42">
        <v>0</v>
      </c>
      <c r="IU109" s="47"/>
      <c r="IX109">
        <v>24</v>
      </c>
      <c r="IY109">
        <v>24</v>
      </c>
      <c r="IZ109" s="42">
        <v>0</v>
      </c>
      <c r="JA109" s="44"/>
      <c r="JD109" s="42">
        <v>0</v>
      </c>
      <c r="JE109" s="44"/>
      <c r="JJ109" s="42">
        <v>0</v>
      </c>
      <c r="JK109" s="44"/>
      <c r="JL109" s="45"/>
      <c r="JN109" s="42">
        <v>0</v>
      </c>
      <c r="JO109" s="44"/>
      <c r="JT109" s="42">
        <v>0</v>
      </c>
      <c r="JU109" s="44"/>
      <c r="JZ109" s="42">
        <v>0</v>
      </c>
      <c r="KA109" s="47"/>
      <c r="KF109" s="42">
        <v>0</v>
      </c>
      <c r="KG109" s="44"/>
      <c r="KH109">
        <v>48</v>
      </c>
      <c r="KI109">
        <v>50</v>
      </c>
      <c r="KJ109">
        <v>168</v>
      </c>
      <c r="KK109">
        <v>170</v>
      </c>
      <c r="KL109" s="42">
        <v>-4</v>
      </c>
      <c r="KM109" s="47"/>
      <c r="KN109" s="45"/>
      <c r="KR109">
        <v>84</v>
      </c>
      <c r="KS109">
        <v>40</v>
      </c>
      <c r="KT109" s="42">
        <v>44</v>
      </c>
      <c r="KU109" s="47"/>
      <c r="KV109" s="40">
        <v>0</v>
      </c>
      <c r="KW109" s="40">
        <v>0</v>
      </c>
      <c r="KX109" s="40">
        <v>114</v>
      </c>
      <c r="KY109" s="40">
        <v>117</v>
      </c>
      <c r="KZ109" s="42">
        <v>-3</v>
      </c>
      <c r="LA109" s="47"/>
      <c r="LB109" s="40">
        <v>0</v>
      </c>
      <c r="LC109" s="40">
        <v>0</v>
      </c>
      <c r="LD109" s="40">
        <v>0</v>
      </c>
      <c r="LE109" s="40">
        <v>0</v>
      </c>
      <c r="LF109" s="42">
        <v>0</v>
      </c>
      <c r="LG109" s="47"/>
      <c r="LH109" s="45">
        <v>0</v>
      </c>
      <c r="LI109" s="40">
        <v>0</v>
      </c>
      <c r="LJ109" s="42">
        <v>0</v>
      </c>
      <c r="LK109" s="47"/>
      <c r="LL109" s="45">
        <v>66</v>
      </c>
      <c r="LM109" s="40">
        <v>65</v>
      </c>
      <c r="LN109" s="40">
        <v>60</v>
      </c>
      <c r="LO109" s="40">
        <v>65</v>
      </c>
      <c r="LP109" s="42">
        <v>-4</v>
      </c>
      <c r="LQ109" s="47"/>
      <c r="LR109" s="45">
        <v>24</v>
      </c>
      <c r="LS109" s="40">
        <v>24</v>
      </c>
      <c r="LT109" s="40">
        <v>24</v>
      </c>
      <c r="LU109" s="40">
        <v>24</v>
      </c>
      <c r="LV109" s="42">
        <v>0</v>
      </c>
      <c r="LW109" s="47"/>
      <c r="LX109" s="45">
        <v>30</v>
      </c>
      <c r="LY109" s="40">
        <v>30</v>
      </c>
      <c r="LZ109" s="42">
        <v>0</v>
      </c>
      <c r="MA109" s="47"/>
      <c r="MB109" s="45">
        <v>0</v>
      </c>
      <c r="MC109" s="40">
        <v>0</v>
      </c>
      <c r="MD109" s="40">
        <v>0</v>
      </c>
      <c r="ME109" s="40">
        <v>0</v>
      </c>
      <c r="MF109" s="42">
        <v>0</v>
      </c>
      <c r="MG109" s="47"/>
      <c r="MH109" s="45">
        <v>264</v>
      </c>
      <c r="MI109" s="40">
        <v>262</v>
      </c>
      <c r="MJ109" s="42">
        <v>2</v>
      </c>
      <c r="MK109" s="47"/>
      <c r="ML109" s="45">
        <v>0</v>
      </c>
      <c r="MM109" s="40">
        <v>0</v>
      </c>
      <c r="MN109" s="40">
        <v>0</v>
      </c>
      <c r="MO109" s="40">
        <v>0</v>
      </c>
      <c r="MP109" s="42">
        <v>0</v>
      </c>
      <c r="MQ109" s="47"/>
      <c r="MR109" s="40">
        <v>0</v>
      </c>
      <c r="MS109" s="40">
        <v>0</v>
      </c>
      <c r="MT109" s="40">
        <v>150</v>
      </c>
      <c r="MU109" s="40">
        <v>150</v>
      </c>
      <c r="MV109" s="42">
        <v>0</v>
      </c>
      <c r="MW109" s="47"/>
      <c r="MX109" s="45">
        <v>0</v>
      </c>
      <c r="MY109" s="40">
        <v>0</v>
      </c>
      <c r="MZ109" s="40">
        <v>0</v>
      </c>
      <c r="NA109" s="40">
        <v>0</v>
      </c>
      <c r="NB109" s="42">
        <v>0</v>
      </c>
      <c r="NC109" s="47"/>
      <c r="ND109" s="45">
        <v>0</v>
      </c>
      <c r="NE109" s="30">
        <v>30</v>
      </c>
      <c r="NF109" s="40">
        <v>66</v>
      </c>
      <c r="NG109" s="40">
        <v>65</v>
      </c>
      <c r="NH109" s="39">
        <v>-29</v>
      </c>
      <c r="NI109" s="47">
        <v>11.89</v>
      </c>
      <c r="NJ109" s="45">
        <v>0</v>
      </c>
      <c r="NK109" s="40">
        <v>0</v>
      </c>
      <c r="NL109" s="40">
        <v>0</v>
      </c>
      <c r="NM109" s="40">
        <v>0</v>
      </c>
      <c r="NN109" s="42">
        <v>0</v>
      </c>
      <c r="NO109" s="47"/>
      <c r="NP109" s="45">
        <v>0</v>
      </c>
      <c r="NQ109" s="40">
        <v>0</v>
      </c>
      <c r="NR109" s="40">
        <v>0</v>
      </c>
      <c r="NS109" s="40">
        <v>0</v>
      </c>
      <c r="NT109" s="42">
        <v>0</v>
      </c>
      <c r="NU109" s="47"/>
      <c r="NV109" s="45">
        <v>0</v>
      </c>
      <c r="NW109" s="40">
        <v>0</v>
      </c>
      <c r="NX109" s="40">
        <v>102</v>
      </c>
      <c r="NY109" s="40">
        <v>100</v>
      </c>
      <c r="NZ109" s="42">
        <v>2</v>
      </c>
      <c r="OA109" s="47"/>
      <c r="OB109" s="45">
        <v>150</v>
      </c>
      <c r="OC109" s="40">
        <v>150</v>
      </c>
      <c r="OD109" s="42">
        <v>0</v>
      </c>
      <c r="OE109" s="47"/>
      <c r="OF109" s="45">
        <v>0</v>
      </c>
      <c r="OG109" s="40">
        <v>0</v>
      </c>
      <c r="OH109" s="40">
        <v>0</v>
      </c>
      <c r="OI109" s="40">
        <v>0</v>
      </c>
      <c r="OJ109" s="42">
        <v>0</v>
      </c>
      <c r="OK109" s="47"/>
      <c r="OL109" s="45">
        <v>0</v>
      </c>
      <c r="OM109" s="40">
        <v>0</v>
      </c>
      <c r="ON109" s="40">
        <v>42</v>
      </c>
      <c r="OO109" s="40">
        <v>40</v>
      </c>
      <c r="OP109" s="42">
        <v>2</v>
      </c>
      <c r="OQ109" s="47"/>
      <c r="OR109" s="45">
        <v>72</v>
      </c>
      <c r="OS109" s="40">
        <v>70</v>
      </c>
      <c r="OT109" s="40">
        <v>78</v>
      </c>
      <c r="OU109" s="40">
        <v>80</v>
      </c>
      <c r="OV109" s="42">
        <v>0</v>
      </c>
      <c r="OW109" s="47"/>
      <c r="OX109" s="40">
        <v>18</v>
      </c>
      <c r="OY109" s="40">
        <v>20</v>
      </c>
      <c r="OZ109" s="40">
        <v>18</v>
      </c>
      <c r="PA109" s="40">
        <v>20</v>
      </c>
      <c r="PB109" s="42">
        <v>-4</v>
      </c>
      <c r="PC109" s="47"/>
      <c r="PD109" s="45">
        <v>0</v>
      </c>
      <c r="PE109" s="40">
        <v>0</v>
      </c>
      <c r="PF109" s="40">
        <v>102</v>
      </c>
      <c r="PG109" s="40">
        <v>100</v>
      </c>
      <c r="PH109" s="42">
        <v>2</v>
      </c>
      <c r="PI109" s="47"/>
      <c r="PJ109" s="45"/>
      <c r="PO109" s="47"/>
      <c r="PP109" s="43"/>
      <c r="PU109" s="47"/>
      <c r="PV109" s="45"/>
      <c r="QA109" s="47"/>
      <c r="QB109" s="45"/>
      <c r="QE109" s="47"/>
      <c r="QF109" s="45"/>
      <c r="QK109" s="47"/>
      <c r="QL109" s="45"/>
      <c r="QQ109" s="47"/>
      <c r="QR109" s="45"/>
      <c r="QW109" s="47"/>
      <c r="QX109" s="45"/>
      <c r="RB109" s="42"/>
      <c r="RC109" s="47"/>
      <c r="RD109" s="45"/>
      <c r="RF109" s="42"/>
      <c r="RG109" s="47"/>
    </row>
    <row r="110" spans="1:475" x14ac:dyDescent="0.25">
      <c r="A110" s="40" t="s">
        <v>399</v>
      </c>
      <c r="B110" s="41">
        <v>0.28000000000000003</v>
      </c>
      <c r="N110" s="43"/>
      <c r="O110" s="48"/>
      <c r="P110" s="48"/>
      <c r="Q110" s="48"/>
      <c r="R110" s="48">
        <f t="shared" si="13"/>
        <v>0</v>
      </c>
      <c r="S110" s="44"/>
      <c r="T110" s="43"/>
      <c r="U110" s="48"/>
      <c r="V110" s="48"/>
      <c r="W110" s="48"/>
      <c r="X110" s="48">
        <f t="shared" si="14"/>
        <v>0</v>
      </c>
      <c r="Y110" s="44"/>
      <c r="Z110" s="43"/>
      <c r="AA110" s="48"/>
      <c r="AB110" s="48"/>
      <c r="AC110" s="48"/>
      <c r="AD110" s="48">
        <f t="shared" si="15"/>
        <v>0</v>
      </c>
      <c r="AE110" s="44"/>
      <c r="AF110" s="43"/>
      <c r="AG110" s="48"/>
      <c r="AH110" s="48"/>
      <c r="AI110" s="48"/>
      <c r="AJ110" s="48">
        <f t="shared" si="16"/>
        <v>0</v>
      </c>
      <c r="AK110" s="44"/>
      <c r="AL110" s="48"/>
      <c r="AP110" s="42">
        <v>0</v>
      </c>
      <c r="AQ110" s="44"/>
      <c r="AR110" s="43"/>
      <c r="AV110" s="42">
        <v>0</v>
      </c>
      <c r="AW110" s="44"/>
      <c r="BC110" s="42">
        <v>0</v>
      </c>
      <c r="BD110" s="44"/>
      <c r="BE110" s="43"/>
      <c r="BI110" s="42">
        <v>0</v>
      </c>
      <c r="BJ110" s="44"/>
      <c r="BO110" s="42">
        <v>0</v>
      </c>
      <c r="BP110" s="44"/>
      <c r="BS110" s="42">
        <v>0</v>
      </c>
      <c r="BT110" s="44"/>
      <c r="BU110" s="43"/>
      <c r="BY110" s="42">
        <v>0</v>
      </c>
      <c r="BZ110" s="44"/>
      <c r="CE110" s="42">
        <v>0</v>
      </c>
      <c r="CF110" s="44"/>
      <c r="CG110" s="43"/>
      <c r="CK110" s="42">
        <v>0</v>
      </c>
      <c r="CL110" s="44"/>
      <c r="CM110" s="43"/>
      <c r="CQ110" s="42">
        <v>0</v>
      </c>
      <c r="CR110" s="44"/>
      <c r="CW110" s="42">
        <v>0</v>
      </c>
      <c r="CX110" s="44"/>
      <c r="CY110" s="43"/>
      <c r="DC110" s="42">
        <v>0</v>
      </c>
      <c r="DD110" s="44"/>
      <c r="DE110" s="43"/>
      <c r="DK110" s="42">
        <v>0</v>
      </c>
      <c r="DL110" s="44"/>
      <c r="DM110" s="43"/>
      <c r="DQ110" s="42">
        <v>0</v>
      </c>
      <c r="DR110" s="44"/>
      <c r="DY110" s="42">
        <v>0</v>
      </c>
      <c r="DZ110" s="44"/>
      <c r="EA110" s="43"/>
      <c r="EE110" s="42">
        <v>0</v>
      </c>
      <c r="EF110" s="44"/>
      <c r="EG110" s="43"/>
      <c r="EK110" s="42">
        <v>0</v>
      </c>
      <c r="EL110" s="44"/>
      <c r="EM110" s="43"/>
      <c r="EQ110" s="42">
        <v>0</v>
      </c>
      <c r="ER110" s="44"/>
      <c r="EY110" s="42">
        <v>0</v>
      </c>
      <c r="EZ110" s="44"/>
      <c r="FE110" s="42">
        <v>0</v>
      </c>
      <c r="FF110" s="44"/>
      <c r="FG110" s="43"/>
      <c r="FK110" s="42">
        <v>0</v>
      </c>
      <c r="FL110" s="44"/>
      <c r="FM110" s="43"/>
      <c r="FO110" s="42">
        <v>0</v>
      </c>
      <c r="FP110" s="44"/>
      <c r="FU110" s="42">
        <v>0</v>
      </c>
      <c r="FV110" s="44"/>
      <c r="FW110" s="43"/>
      <c r="FX110">
        <v>100</v>
      </c>
      <c r="FZ110">
        <v>50</v>
      </c>
      <c r="GB110">
        <v>100</v>
      </c>
      <c r="GC110" s="42">
        <v>-10</v>
      </c>
      <c r="GD110" s="44"/>
      <c r="GF110" s="37">
        <v>190</v>
      </c>
      <c r="GH110" s="37">
        <v>190</v>
      </c>
      <c r="GI110" s="42">
        <v>-4</v>
      </c>
      <c r="GJ110" s="44"/>
      <c r="GK110" s="43"/>
      <c r="GO110" s="42">
        <v>0</v>
      </c>
      <c r="GP110" s="47"/>
      <c r="GQ110">
        <v>120</v>
      </c>
      <c r="GR110">
        <v>120</v>
      </c>
      <c r="GS110">
        <v>152</v>
      </c>
      <c r="GT110">
        <v>150</v>
      </c>
      <c r="GU110" s="42">
        <v>2</v>
      </c>
      <c r="GV110" s="44"/>
      <c r="GW110">
        <v>128</v>
      </c>
      <c r="GX110" s="40">
        <v>130</v>
      </c>
      <c r="GY110" s="42">
        <v>-2</v>
      </c>
      <c r="GZ110" s="47"/>
      <c r="HA110" s="43"/>
      <c r="HC110" s="42">
        <v>0</v>
      </c>
      <c r="HD110" s="44"/>
      <c r="HE110" s="46">
        <v>80</v>
      </c>
      <c r="HF110">
        <v>80</v>
      </c>
      <c r="HG110">
        <v>80</v>
      </c>
      <c r="HH110">
        <v>80</v>
      </c>
      <c r="HI110" s="42">
        <v>0</v>
      </c>
      <c r="HJ110" s="47"/>
      <c r="HK110" s="46">
        <v>200</v>
      </c>
      <c r="HL110">
        <v>200</v>
      </c>
      <c r="HM110">
        <v>232</v>
      </c>
      <c r="HN110">
        <v>230</v>
      </c>
      <c r="HO110" s="42">
        <v>2</v>
      </c>
      <c r="HP110" s="44"/>
      <c r="HT110">
        <v>232</v>
      </c>
      <c r="HU110">
        <v>240</v>
      </c>
      <c r="HV110" s="39">
        <v>-8</v>
      </c>
      <c r="HW110" s="44">
        <v>2.2400000000000002</v>
      </c>
      <c r="HX110" s="46">
        <v>256</v>
      </c>
      <c r="HY110">
        <v>250</v>
      </c>
      <c r="HZ110">
        <v>296</v>
      </c>
      <c r="IA110">
        <v>300</v>
      </c>
      <c r="IB110" s="42">
        <v>2</v>
      </c>
      <c r="IC110" s="44"/>
      <c r="IF110">
        <v>112</v>
      </c>
      <c r="IG110">
        <v>110</v>
      </c>
      <c r="IH110" s="42">
        <v>2</v>
      </c>
      <c r="II110" s="47"/>
      <c r="IL110">
        <v>104</v>
      </c>
      <c r="IM110">
        <v>106</v>
      </c>
      <c r="IN110" s="42">
        <v>-2</v>
      </c>
      <c r="IO110" s="47"/>
      <c r="IP110">
        <v>80</v>
      </c>
      <c r="IQ110">
        <v>80</v>
      </c>
      <c r="IR110">
        <v>72</v>
      </c>
      <c r="IS110">
        <v>70</v>
      </c>
      <c r="IT110" s="42">
        <v>2</v>
      </c>
      <c r="IU110" s="47"/>
      <c r="IV110">
        <v>24</v>
      </c>
      <c r="IW110">
        <v>24</v>
      </c>
      <c r="IZ110" s="42">
        <v>0</v>
      </c>
      <c r="JA110" s="44"/>
      <c r="JB110">
        <v>280</v>
      </c>
      <c r="JC110">
        <v>280</v>
      </c>
      <c r="JD110" s="42">
        <v>0</v>
      </c>
      <c r="JE110" s="44"/>
      <c r="JF110">
        <v>176</v>
      </c>
      <c r="JG110">
        <v>180</v>
      </c>
      <c r="JH110">
        <v>136</v>
      </c>
      <c r="JI110">
        <v>140</v>
      </c>
      <c r="JJ110" s="42">
        <v>-8</v>
      </c>
      <c r="JK110" s="44"/>
      <c r="JL110" s="45"/>
      <c r="JN110" s="42">
        <v>0</v>
      </c>
      <c r="JO110" s="44"/>
      <c r="JT110" s="42">
        <v>0</v>
      </c>
      <c r="JU110" s="44"/>
      <c r="JX110">
        <v>456</v>
      </c>
      <c r="JY110">
        <v>460</v>
      </c>
      <c r="JZ110" s="42">
        <v>-4</v>
      </c>
      <c r="KA110" s="47"/>
      <c r="KC110">
        <v>60</v>
      </c>
      <c r="KF110" s="39">
        <v>-60</v>
      </c>
      <c r="KG110" s="47">
        <v>16.8</v>
      </c>
      <c r="KH110">
        <v>48</v>
      </c>
      <c r="KI110">
        <v>50</v>
      </c>
      <c r="KJ110">
        <v>288</v>
      </c>
      <c r="KK110">
        <v>290</v>
      </c>
      <c r="KL110" s="42">
        <v>-4</v>
      </c>
      <c r="KM110" s="47"/>
      <c r="KN110" s="46">
        <v>48</v>
      </c>
      <c r="KO110">
        <v>48</v>
      </c>
      <c r="KP110">
        <v>88</v>
      </c>
      <c r="KQ110">
        <v>88</v>
      </c>
      <c r="KR110">
        <v>64</v>
      </c>
      <c r="KS110">
        <v>64</v>
      </c>
      <c r="KT110" s="42">
        <v>0</v>
      </c>
      <c r="KU110" s="47"/>
      <c r="KV110" s="40">
        <v>0</v>
      </c>
      <c r="KW110" s="40">
        <v>0</v>
      </c>
      <c r="KX110" s="40">
        <v>264</v>
      </c>
      <c r="KY110" s="40">
        <v>269</v>
      </c>
      <c r="KZ110" s="42">
        <v>-5</v>
      </c>
      <c r="LA110" s="47"/>
      <c r="LB110" s="40">
        <v>80</v>
      </c>
      <c r="LC110" s="40">
        <v>90</v>
      </c>
      <c r="LD110" s="40">
        <v>96</v>
      </c>
      <c r="LE110" s="40">
        <v>100</v>
      </c>
      <c r="LF110" s="39">
        <v>-14</v>
      </c>
      <c r="LG110" s="47">
        <v>3.92</v>
      </c>
      <c r="LH110" s="45">
        <v>32</v>
      </c>
      <c r="LI110" s="40">
        <v>36</v>
      </c>
      <c r="LJ110" s="42">
        <v>-4</v>
      </c>
      <c r="LK110" s="47"/>
      <c r="LL110" s="45">
        <v>32</v>
      </c>
      <c r="LM110" s="40">
        <v>32</v>
      </c>
      <c r="LN110" s="40">
        <v>0</v>
      </c>
      <c r="LO110" s="40">
        <v>0</v>
      </c>
      <c r="LP110" s="42">
        <v>0</v>
      </c>
      <c r="LQ110" s="47"/>
      <c r="LR110" s="45">
        <v>120</v>
      </c>
      <c r="LS110" s="40">
        <v>120</v>
      </c>
      <c r="LT110" s="40">
        <v>168</v>
      </c>
      <c r="LU110" s="40">
        <v>170</v>
      </c>
      <c r="LV110" s="42">
        <v>-2</v>
      </c>
      <c r="LW110" s="47"/>
      <c r="LX110" s="45">
        <v>56</v>
      </c>
      <c r="LY110" s="40">
        <v>60</v>
      </c>
      <c r="LZ110" s="42">
        <v>-4</v>
      </c>
      <c r="MA110" s="47"/>
      <c r="MB110" s="45">
        <v>0</v>
      </c>
      <c r="MC110" s="40">
        <v>0</v>
      </c>
      <c r="MD110" s="40">
        <v>0</v>
      </c>
      <c r="ME110" s="40">
        <v>0</v>
      </c>
      <c r="MF110" s="42">
        <v>0</v>
      </c>
      <c r="MG110" s="47"/>
      <c r="MH110" s="45">
        <v>688</v>
      </c>
      <c r="MI110" s="40">
        <v>686</v>
      </c>
      <c r="MJ110" s="42">
        <v>2</v>
      </c>
      <c r="MK110" s="47"/>
      <c r="ML110" s="45">
        <v>0</v>
      </c>
      <c r="MM110" s="40">
        <v>0</v>
      </c>
      <c r="MN110" s="40">
        <v>0</v>
      </c>
      <c r="MO110" s="40">
        <v>0</v>
      </c>
      <c r="MP110" s="42">
        <v>0</v>
      </c>
      <c r="MQ110" s="47"/>
      <c r="MR110" s="40">
        <v>0</v>
      </c>
      <c r="MS110" s="40">
        <v>0</v>
      </c>
      <c r="MT110" s="40">
        <v>72</v>
      </c>
      <c r="MU110" s="40">
        <v>100</v>
      </c>
      <c r="MV110" s="39">
        <v>-28</v>
      </c>
      <c r="MW110" s="47">
        <v>7.8400000000000007</v>
      </c>
      <c r="MX110" s="45">
        <v>48</v>
      </c>
      <c r="MY110" s="40">
        <v>50</v>
      </c>
      <c r="MZ110" s="40">
        <v>296</v>
      </c>
      <c r="NA110" s="40">
        <v>300</v>
      </c>
      <c r="NB110" s="42">
        <v>-6</v>
      </c>
      <c r="NC110" s="47"/>
      <c r="ND110" s="45">
        <v>0</v>
      </c>
      <c r="NE110" s="30">
        <v>40</v>
      </c>
      <c r="NF110" s="40">
        <v>0</v>
      </c>
      <c r="NG110" s="40">
        <v>0</v>
      </c>
      <c r="NH110" s="39">
        <v>-40</v>
      </c>
      <c r="NI110" s="47">
        <v>11.2</v>
      </c>
      <c r="NJ110" s="45">
        <v>80</v>
      </c>
      <c r="NK110" s="40">
        <v>80</v>
      </c>
      <c r="NL110" s="40">
        <v>120</v>
      </c>
      <c r="NM110" s="40">
        <v>120</v>
      </c>
      <c r="NN110" s="42">
        <v>0</v>
      </c>
      <c r="NO110" s="47"/>
      <c r="NP110" s="45">
        <v>0</v>
      </c>
      <c r="NQ110" s="40">
        <v>0</v>
      </c>
      <c r="NR110" s="40">
        <v>160</v>
      </c>
      <c r="NS110" s="40">
        <v>160</v>
      </c>
      <c r="NT110" s="42">
        <v>0</v>
      </c>
      <c r="NU110" s="47"/>
      <c r="NV110" s="45">
        <v>0</v>
      </c>
      <c r="NW110" s="40">
        <v>0</v>
      </c>
      <c r="NX110" s="40">
        <v>0</v>
      </c>
      <c r="NY110" s="30">
        <v>140</v>
      </c>
      <c r="NZ110" s="39">
        <v>-140</v>
      </c>
      <c r="OA110" s="47">
        <v>39.200000000000003</v>
      </c>
      <c r="OB110" s="45">
        <v>200</v>
      </c>
      <c r="OC110" s="40">
        <v>200</v>
      </c>
      <c r="OD110" s="42">
        <v>0</v>
      </c>
      <c r="OE110" s="47"/>
      <c r="OF110" s="45">
        <v>0</v>
      </c>
      <c r="OG110" s="40">
        <v>0</v>
      </c>
      <c r="OH110" s="40">
        <v>96</v>
      </c>
      <c r="OI110" s="40">
        <v>99</v>
      </c>
      <c r="OJ110" s="42">
        <v>-3</v>
      </c>
      <c r="OK110" s="47"/>
      <c r="OL110" s="45">
        <v>0</v>
      </c>
      <c r="OM110" s="40">
        <v>0</v>
      </c>
      <c r="ON110" s="40">
        <v>80</v>
      </c>
      <c r="OO110" s="40">
        <v>80</v>
      </c>
      <c r="OP110" s="42">
        <v>0</v>
      </c>
      <c r="OQ110" s="47"/>
      <c r="OR110" s="45">
        <v>0</v>
      </c>
      <c r="OS110" s="40">
        <v>0</v>
      </c>
      <c r="OT110" s="40">
        <v>72</v>
      </c>
      <c r="OU110" s="40">
        <v>75</v>
      </c>
      <c r="OV110" s="42">
        <v>-3</v>
      </c>
      <c r="OW110" s="47"/>
      <c r="OX110" s="40">
        <v>144</v>
      </c>
      <c r="OY110" s="40">
        <v>149</v>
      </c>
      <c r="OZ110" s="40">
        <v>144</v>
      </c>
      <c r="PA110" s="40">
        <v>149</v>
      </c>
      <c r="PB110" s="42">
        <v>-10</v>
      </c>
      <c r="PC110" s="47"/>
      <c r="PD110" s="45">
        <v>0</v>
      </c>
      <c r="PE110" s="40">
        <v>0</v>
      </c>
      <c r="PF110" s="40">
        <v>152</v>
      </c>
      <c r="PG110" s="40">
        <v>152</v>
      </c>
      <c r="PH110" s="42">
        <v>0</v>
      </c>
      <c r="PI110" s="47"/>
      <c r="PJ110" s="45">
        <v>0</v>
      </c>
      <c r="PK110" s="40">
        <v>0</v>
      </c>
      <c r="PL110" s="40">
        <v>40</v>
      </c>
      <c r="PM110" s="40">
        <v>40</v>
      </c>
      <c r="PN110" s="42">
        <v>0</v>
      </c>
      <c r="PO110" s="47"/>
      <c r="PP110" s="43">
        <v>48</v>
      </c>
      <c r="PQ110" s="40">
        <v>50</v>
      </c>
      <c r="PR110" s="40">
        <v>48</v>
      </c>
      <c r="PS110" s="40">
        <v>50</v>
      </c>
      <c r="PT110" s="42">
        <v>-4</v>
      </c>
      <c r="PU110" s="47"/>
      <c r="PV110" s="45">
        <v>200</v>
      </c>
      <c r="PW110" s="40">
        <v>200</v>
      </c>
      <c r="PX110" s="40">
        <v>200</v>
      </c>
      <c r="PY110" s="40">
        <v>200</v>
      </c>
      <c r="PZ110" s="42">
        <v>0</v>
      </c>
      <c r="QA110" s="47"/>
      <c r="QB110" s="45">
        <v>40</v>
      </c>
      <c r="QC110" s="40">
        <v>40</v>
      </c>
      <c r="QD110" s="42">
        <v>0</v>
      </c>
      <c r="QE110" s="47"/>
      <c r="QF110" s="45">
        <v>0</v>
      </c>
      <c r="QG110" s="40">
        <v>0</v>
      </c>
      <c r="QH110" s="40">
        <v>0</v>
      </c>
      <c r="QI110" s="40">
        <v>0</v>
      </c>
      <c r="QJ110" s="42">
        <v>0</v>
      </c>
      <c r="QK110" s="47"/>
      <c r="QL110" s="45">
        <v>0</v>
      </c>
      <c r="QM110" s="40">
        <v>0</v>
      </c>
      <c r="QN110" s="40">
        <v>0</v>
      </c>
      <c r="QO110" s="40">
        <v>0</v>
      </c>
      <c r="QP110" s="42">
        <v>0</v>
      </c>
      <c r="QQ110" s="47"/>
      <c r="QR110" s="45">
        <v>272</v>
      </c>
      <c r="QS110" s="40">
        <v>0</v>
      </c>
      <c r="QT110" s="40">
        <v>0</v>
      </c>
      <c r="QU110" s="40">
        <v>0</v>
      </c>
      <c r="QV110" s="42">
        <v>272</v>
      </c>
      <c r="QW110" s="47"/>
      <c r="QX110" s="45">
        <v>0</v>
      </c>
      <c r="QY110" s="40">
        <v>0</v>
      </c>
      <c r="QZ110" s="40">
        <v>0</v>
      </c>
      <c r="RA110" s="40">
        <v>0</v>
      </c>
      <c r="RB110" s="42">
        <v>0</v>
      </c>
      <c r="RC110" s="47"/>
      <c r="RD110" s="45">
        <v>0</v>
      </c>
      <c r="RE110" s="40">
        <v>0</v>
      </c>
      <c r="RF110" s="42">
        <v>0</v>
      </c>
      <c r="RG110" s="47"/>
    </row>
    <row r="111" spans="1:475" x14ac:dyDescent="0.25">
      <c r="A111" s="40" t="s">
        <v>400</v>
      </c>
      <c r="B111" s="41">
        <v>0.35</v>
      </c>
      <c r="N111" s="43"/>
      <c r="O111" s="48"/>
      <c r="P111" s="48"/>
      <c r="Q111" s="48"/>
      <c r="R111" s="48">
        <f t="shared" si="13"/>
        <v>0</v>
      </c>
      <c r="S111" s="44"/>
      <c r="T111" s="43"/>
      <c r="U111" s="48"/>
      <c r="V111" s="48"/>
      <c r="W111" s="48"/>
      <c r="X111" s="48">
        <f t="shared" si="14"/>
        <v>0</v>
      </c>
      <c r="Y111" s="44"/>
      <c r="Z111" s="43"/>
      <c r="AA111" s="48"/>
      <c r="AB111" s="48"/>
      <c r="AC111" s="48"/>
      <c r="AD111" s="48">
        <f t="shared" si="15"/>
        <v>0</v>
      </c>
      <c r="AE111" s="44"/>
      <c r="AF111" s="43"/>
      <c r="AG111" s="48"/>
      <c r="AH111" s="48"/>
      <c r="AI111" s="48"/>
      <c r="AJ111" s="48">
        <f t="shared" si="16"/>
        <v>0</v>
      </c>
      <c r="AK111" s="44"/>
      <c r="AL111" s="48"/>
      <c r="AP111" s="42">
        <v>0</v>
      </c>
      <c r="AQ111" s="44"/>
      <c r="AR111" s="43"/>
      <c r="AV111" s="42">
        <v>0</v>
      </c>
      <c r="AW111" s="44"/>
      <c r="BC111" s="42">
        <v>0</v>
      </c>
      <c r="BD111" s="44"/>
      <c r="BE111" s="43"/>
      <c r="BI111" s="42">
        <v>0</v>
      </c>
      <c r="BJ111" s="44"/>
      <c r="BO111" s="42">
        <v>0</v>
      </c>
      <c r="BP111" s="44"/>
      <c r="BS111" s="42">
        <v>0</v>
      </c>
      <c r="BT111" s="44"/>
      <c r="BU111" s="43"/>
      <c r="BY111" s="42">
        <v>0</v>
      </c>
      <c r="BZ111" s="44"/>
      <c r="CE111" s="42">
        <v>0</v>
      </c>
      <c r="CF111" s="44"/>
      <c r="CG111" s="43"/>
      <c r="CK111" s="42">
        <v>0</v>
      </c>
      <c r="CL111" s="44"/>
      <c r="CM111" s="43"/>
      <c r="CQ111" s="42">
        <v>0</v>
      </c>
      <c r="CR111" s="44"/>
      <c r="CW111" s="42">
        <v>0</v>
      </c>
      <c r="CX111" s="44"/>
      <c r="CY111" s="43"/>
      <c r="DC111" s="42">
        <v>0</v>
      </c>
      <c r="DD111" s="44"/>
      <c r="DE111" s="43"/>
      <c r="DK111" s="42">
        <v>0</v>
      </c>
      <c r="DL111" s="44"/>
      <c r="DM111" s="43"/>
      <c r="DQ111" s="42">
        <v>0</v>
      </c>
      <c r="DR111" s="44"/>
      <c r="DY111" s="42">
        <v>0</v>
      </c>
      <c r="DZ111" s="44"/>
      <c r="EA111" s="43"/>
      <c r="EE111" s="42">
        <v>0</v>
      </c>
      <c r="EF111" s="44"/>
      <c r="EG111" s="43"/>
      <c r="EK111" s="42">
        <v>0</v>
      </c>
      <c r="EL111" s="44"/>
      <c r="EM111" s="43"/>
      <c r="EQ111" s="42">
        <v>0</v>
      </c>
      <c r="ER111" s="44"/>
      <c r="EY111" s="42">
        <v>0</v>
      </c>
      <c r="EZ111" s="44"/>
      <c r="FE111" s="42">
        <v>0</v>
      </c>
      <c r="FF111" s="44"/>
      <c r="FG111" s="43"/>
      <c r="FK111" s="42">
        <v>0</v>
      </c>
      <c r="FL111" s="44"/>
      <c r="FM111" s="43"/>
      <c r="FO111" s="42">
        <v>0</v>
      </c>
      <c r="FP111" s="44"/>
      <c r="FU111" s="42">
        <v>0</v>
      </c>
      <c r="FV111" s="44"/>
      <c r="FW111" s="43"/>
      <c r="GC111" s="42">
        <v>0</v>
      </c>
      <c r="GD111" s="44"/>
      <c r="GI111" s="42">
        <v>0</v>
      </c>
      <c r="GJ111" s="44"/>
      <c r="GK111" s="43"/>
      <c r="GO111" s="42">
        <v>0</v>
      </c>
      <c r="GP111" s="47"/>
      <c r="GU111" s="42">
        <v>0</v>
      </c>
      <c r="GV111" s="44"/>
      <c r="GY111" s="42">
        <v>0</v>
      </c>
      <c r="GZ111" s="47"/>
      <c r="HA111" s="43"/>
      <c r="HC111" s="42">
        <v>0</v>
      </c>
      <c r="HD111" s="44"/>
      <c r="HE111" s="43"/>
      <c r="HI111" s="42">
        <v>0</v>
      </c>
      <c r="HJ111" s="47"/>
      <c r="HK111" s="43"/>
      <c r="HO111" s="42">
        <v>0</v>
      </c>
      <c r="HP111" s="44"/>
      <c r="HV111" s="42">
        <v>0</v>
      </c>
      <c r="HW111" s="44"/>
      <c r="HX111" s="45"/>
      <c r="IB111" s="42">
        <v>0</v>
      </c>
      <c r="IC111" s="44"/>
      <c r="IH111" s="42">
        <v>0</v>
      </c>
      <c r="II111" s="47"/>
      <c r="IN111" s="42">
        <v>0</v>
      </c>
      <c r="IO111" s="47"/>
      <c r="IT111" s="42">
        <v>0</v>
      </c>
      <c r="IU111" s="47"/>
      <c r="IZ111" s="42">
        <v>0</v>
      </c>
      <c r="JA111" s="44"/>
      <c r="JD111" s="42">
        <v>0</v>
      </c>
      <c r="JE111" s="44"/>
      <c r="JJ111" s="42">
        <v>0</v>
      </c>
      <c r="JK111" s="44"/>
      <c r="JL111" s="45"/>
      <c r="JN111" s="42">
        <v>0</v>
      </c>
      <c r="JO111" s="44"/>
      <c r="JT111" s="42">
        <v>0</v>
      </c>
      <c r="JU111" s="44"/>
      <c r="JZ111" s="42">
        <v>0</v>
      </c>
      <c r="KA111" s="47"/>
      <c r="KF111" s="42">
        <v>0</v>
      </c>
      <c r="KG111" s="44"/>
      <c r="KH111" s="41"/>
      <c r="KL111" s="42">
        <v>0</v>
      </c>
      <c r="KM111" s="47"/>
      <c r="KN111" s="45"/>
      <c r="KT111" s="42">
        <v>0</v>
      </c>
      <c r="KU111" s="47"/>
      <c r="KV111" s="40">
        <v>0</v>
      </c>
      <c r="KW111" s="40">
        <v>0</v>
      </c>
      <c r="KX111" s="40">
        <v>0</v>
      </c>
      <c r="KY111" s="40">
        <v>0</v>
      </c>
      <c r="KZ111" s="42">
        <v>0</v>
      </c>
      <c r="LA111" s="47"/>
      <c r="LB111" s="40">
        <v>0</v>
      </c>
      <c r="LC111" s="40">
        <v>0</v>
      </c>
      <c r="LD111" s="40">
        <v>0</v>
      </c>
      <c r="LE111" s="40">
        <v>0</v>
      </c>
      <c r="LF111" s="42">
        <v>0</v>
      </c>
      <c r="LG111" s="47"/>
      <c r="LH111" s="45">
        <v>0</v>
      </c>
      <c r="LI111" s="40">
        <v>0</v>
      </c>
      <c r="LJ111" s="42">
        <v>0</v>
      </c>
      <c r="LK111" s="47"/>
      <c r="LL111" s="45">
        <v>0</v>
      </c>
      <c r="LM111" s="40">
        <v>0</v>
      </c>
      <c r="LN111" s="40">
        <v>0</v>
      </c>
      <c r="LO111" s="40">
        <v>0</v>
      </c>
      <c r="LP111" s="42">
        <v>0</v>
      </c>
      <c r="LQ111" s="47"/>
      <c r="LR111" s="45">
        <v>0</v>
      </c>
      <c r="LS111" s="40">
        <v>0</v>
      </c>
      <c r="LT111" s="40">
        <v>0</v>
      </c>
      <c r="LU111" s="40">
        <v>0</v>
      </c>
      <c r="LV111" s="42">
        <v>0</v>
      </c>
      <c r="LW111" s="47"/>
      <c r="LX111" s="45">
        <v>0</v>
      </c>
      <c r="LY111" s="40">
        <v>0</v>
      </c>
      <c r="LZ111" s="42">
        <v>0</v>
      </c>
      <c r="MA111" s="47"/>
      <c r="MB111" s="45">
        <v>0</v>
      </c>
      <c r="MC111" s="40">
        <v>0</v>
      </c>
      <c r="MD111" s="40">
        <v>0</v>
      </c>
      <c r="ME111" s="40">
        <v>0</v>
      </c>
      <c r="MF111" s="42">
        <v>0</v>
      </c>
      <c r="MG111" s="47"/>
      <c r="MH111" s="45">
        <v>0</v>
      </c>
      <c r="MI111" s="40">
        <v>0</v>
      </c>
      <c r="MJ111" s="42">
        <v>0</v>
      </c>
      <c r="MK111" s="47"/>
      <c r="ML111" s="45">
        <v>0</v>
      </c>
      <c r="MM111" s="40">
        <v>0</v>
      </c>
      <c r="MN111" s="40">
        <v>0</v>
      </c>
      <c r="MO111" s="40">
        <v>0</v>
      </c>
      <c r="MP111" s="42">
        <v>0</v>
      </c>
      <c r="MQ111" s="47"/>
      <c r="MR111" s="40">
        <v>0</v>
      </c>
      <c r="MS111" s="40">
        <v>0</v>
      </c>
      <c r="MT111" s="40">
        <v>176</v>
      </c>
      <c r="MU111" s="40">
        <v>175</v>
      </c>
      <c r="MV111" s="42">
        <v>1</v>
      </c>
      <c r="MW111" s="47"/>
      <c r="MX111" s="45">
        <v>0</v>
      </c>
      <c r="MY111" s="40">
        <v>0</v>
      </c>
      <c r="MZ111" s="40">
        <v>0</v>
      </c>
      <c r="NA111" s="40">
        <v>0</v>
      </c>
      <c r="NB111" s="42">
        <v>0</v>
      </c>
      <c r="NC111" s="47"/>
      <c r="ND111" s="45">
        <v>0</v>
      </c>
      <c r="NE111" s="40">
        <v>0</v>
      </c>
      <c r="NF111" s="40">
        <v>72</v>
      </c>
      <c r="NG111" s="40">
        <v>70</v>
      </c>
      <c r="NH111" s="42">
        <v>2</v>
      </c>
      <c r="NI111" s="47"/>
      <c r="NJ111" s="45">
        <v>152</v>
      </c>
      <c r="NK111" s="40">
        <v>150</v>
      </c>
      <c r="NL111" s="40">
        <v>168</v>
      </c>
      <c r="NM111" s="40">
        <v>166</v>
      </c>
      <c r="NN111" s="42">
        <v>4</v>
      </c>
      <c r="NO111" s="47"/>
      <c r="NP111" s="45">
        <v>0</v>
      </c>
      <c r="NQ111" s="40">
        <v>0</v>
      </c>
      <c r="NR111" s="40">
        <v>48</v>
      </c>
      <c r="NS111" s="40">
        <v>50</v>
      </c>
      <c r="NT111" s="42">
        <v>-2</v>
      </c>
      <c r="NU111" s="47"/>
      <c r="NV111" s="45">
        <v>0</v>
      </c>
      <c r="NW111" s="40">
        <v>0</v>
      </c>
      <c r="NX111" s="40">
        <v>72</v>
      </c>
      <c r="NY111" s="40">
        <v>70</v>
      </c>
      <c r="NZ111" s="42">
        <v>2</v>
      </c>
      <c r="OA111" s="47"/>
      <c r="OB111" s="45">
        <v>216</v>
      </c>
      <c r="OC111" s="40">
        <v>220</v>
      </c>
      <c r="OD111" s="42">
        <v>-4</v>
      </c>
      <c r="OE111" s="47"/>
      <c r="OF111" s="45">
        <v>0</v>
      </c>
      <c r="OG111" s="40">
        <v>0</v>
      </c>
      <c r="OH111" s="40">
        <v>56</v>
      </c>
      <c r="OI111" s="40">
        <v>60</v>
      </c>
      <c r="OJ111" s="42">
        <v>-4</v>
      </c>
      <c r="OK111" s="47"/>
      <c r="OL111" s="45">
        <v>0</v>
      </c>
      <c r="OM111" s="40">
        <v>0</v>
      </c>
      <c r="ON111" s="40">
        <v>40</v>
      </c>
      <c r="OO111" s="40">
        <v>45</v>
      </c>
      <c r="OP111" s="42">
        <v>-5</v>
      </c>
      <c r="OQ111" s="47"/>
      <c r="OR111" s="45">
        <v>0</v>
      </c>
      <c r="OS111" s="40">
        <v>0</v>
      </c>
      <c r="OT111" s="40">
        <v>88</v>
      </c>
      <c r="OU111" s="40">
        <v>90</v>
      </c>
      <c r="OV111" s="42">
        <v>-2</v>
      </c>
      <c r="OW111" s="47"/>
      <c r="OX111" s="40">
        <v>64</v>
      </c>
      <c r="OY111" s="40">
        <v>64</v>
      </c>
      <c r="OZ111" s="40">
        <v>64</v>
      </c>
      <c r="PA111" s="40">
        <v>64</v>
      </c>
      <c r="PB111" s="42">
        <v>0</v>
      </c>
      <c r="PC111" s="47"/>
      <c r="PD111" s="45">
        <v>0</v>
      </c>
      <c r="PE111" s="40">
        <v>0</v>
      </c>
      <c r="PF111" s="40">
        <v>0</v>
      </c>
      <c r="PG111" s="40">
        <v>0</v>
      </c>
      <c r="PH111" s="42">
        <v>0</v>
      </c>
      <c r="PI111" s="47"/>
      <c r="PJ111" s="45">
        <v>0</v>
      </c>
      <c r="PK111" s="40">
        <v>0</v>
      </c>
      <c r="PL111" s="40">
        <v>56</v>
      </c>
      <c r="PM111" s="40">
        <v>61</v>
      </c>
      <c r="PN111" s="42">
        <v>-5</v>
      </c>
      <c r="PO111" s="47"/>
      <c r="PP111" s="43">
        <v>88</v>
      </c>
      <c r="PQ111" s="40">
        <v>90</v>
      </c>
      <c r="PR111" s="40">
        <v>104</v>
      </c>
      <c r="PS111" s="40">
        <v>105</v>
      </c>
      <c r="PT111" s="42">
        <v>-3</v>
      </c>
      <c r="PU111" s="47"/>
      <c r="PV111" s="45">
        <v>48</v>
      </c>
      <c r="PW111" s="40">
        <v>50</v>
      </c>
      <c r="PX111" s="40">
        <v>48</v>
      </c>
      <c r="PY111" s="40">
        <v>50</v>
      </c>
      <c r="PZ111" s="42">
        <v>-4</v>
      </c>
      <c r="QA111" s="47"/>
      <c r="QB111" s="45">
        <v>200</v>
      </c>
      <c r="QC111" s="40">
        <v>200</v>
      </c>
      <c r="QD111" s="42">
        <v>0</v>
      </c>
      <c r="QE111" s="47"/>
      <c r="QF111" s="45">
        <v>120</v>
      </c>
      <c r="QG111" s="40">
        <v>123</v>
      </c>
      <c r="QH111" s="40">
        <v>152</v>
      </c>
      <c r="QI111" s="40">
        <v>150</v>
      </c>
      <c r="QJ111" s="42">
        <v>-1</v>
      </c>
      <c r="QK111" s="47"/>
      <c r="QL111" s="45">
        <v>72</v>
      </c>
      <c r="QM111" s="40">
        <v>75</v>
      </c>
      <c r="QN111" s="40">
        <v>0</v>
      </c>
      <c r="QO111" s="40">
        <v>0</v>
      </c>
      <c r="QP111" s="42">
        <v>-3</v>
      </c>
      <c r="QQ111" s="47"/>
      <c r="QR111" s="45">
        <v>96</v>
      </c>
      <c r="QS111" s="40">
        <v>100</v>
      </c>
      <c r="QT111" s="40">
        <v>0</v>
      </c>
      <c r="QU111" s="40">
        <v>150</v>
      </c>
      <c r="QV111" s="39">
        <v>-154</v>
      </c>
      <c r="QW111" s="47">
        <v>53.9</v>
      </c>
      <c r="QX111" s="45">
        <v>96</v>
      </c>
      <c r="QY111" s="40">
        <v>100</v>
      </c>
      <c r="QZ111" s="40">
        <v>0</v>
      </c>
      <c r="RA111" s="40">
        <v>0</v>
      </c>
      <c r="RB111" s="42">
        <v>-4</v>
      </c>
      <c r="RC111" s="47"/>
      <c r="RD111" s="45">
        <v>280</v>
      </c>
      <c r="RE111" s="40">
        <v>280</v>
      </c>
      <c r="RF111" s="42">
        <v>0</v>
      </c>
      <c r="RG111" s="47"/>
    </row>
    <row r="112" spans="1:475" x14ac:dyDescent="0.25">
      <c r="A112" s="40" t="s">
        <v>401</v>
      </c>
      <c r="B112" s="41">
        <v>0.4</v>
      </c>
      <c r="N112" s="43"/>
      <c r="O112" s="48"/>
      <c r="P112" s="48"/>
      <c r="Q112" s="48"/>
      <c r="R112" s="48">
        <f t="shared" si="13"/>
        <v>0</v>
      </c>
      <c r="S112" s="44"/>
      <c r="T112" s="43"/>
      <c r="U112" s="48"/>
      <c r="V112" s="48"/>
      <c r="W112" s="48"/>
      <c r="X112" s="48">
        <f t="shared" si="14"/>
        <v>0</v>
      </c>
      <c r="Y112" s="44"/>
      <c r="Z112" s="43"/>
      <c r="AA112" s="48"/>
      <c r="AB112" s="48"/>
      <c r="AC112" s="48"/>
      <c r="AD112" s="48">
        <f t="shared" si="15"/>
        <v>0</v>
      </c>
      <c r="AE112" s="44"/>
      <c r="AF112" s="43"/>
      <c r="AG112" s="48"/>
      <c r="AH112" s="48"/>
      <c r="AI112" s="48"/>
      <c r="AJ112" s="48">
        <f t="shared" si="16"/>
        <v>0</v>
      </c>
      <c r="AK112" s="44"/>
      <c r="AL112" s="48"/>
      <c r="AP112" s="42">
        <v>0</v>
      </c>
      <c r="AQ112" s="44"/>
      <c r="AR112" s="43"/>
      <c r="AV112" s="42">
        <v>0</v>
      </c>
      <c r="AW112" s="44"/>
      <c r="BC112" s="42">
        <v>0</v>
      </c>
      <c r="BD112" s="44"/>
      <c r="BE112" s="43"/>
      <c r="BI112" s="42">
        <v>0</v>
      </c>
      <c r="BJ112" s="44"/>
      <c r="BO112" s="42">
        <v>0</v>
      </c>
      <c r="BP112" s="44"/>
      <c r="BS112" s="42">
        <v>0</v>
      </c>
      <c r="BT112" s="44"/>
      <c r="BU112" s="43"/>
      <c r="BY112" s="42">
        <v>0</v>
      </c>
      <c r="BZ112" s="44"/>
      <c r="CE112" s="42">
        <v>0</v>
      </c>
      <c r="CF112" s="44"/>
      <c r="CG112" s="43"/>
      <c r="CK112" s="42">
        <v>0</v>
      </c>
      <c r="CL112" s="44"/>
      <c r="CM112" s="43"/>
      <c r="CQ112" s="42">
        <v>0</v>
      </c>
      <c r="CR112" s="44"/>
      <c r="CW112" s="42">
        <v>0</v>
      </c>
      <c r="CX112" s="44"/>
      <c r="CY112" s="43"/>
      <c r="DC112" s="42">
        <v>0</v>
      </c>
      <c r="DD112" s="44"/>
      <c r="DE112" s="43"/>
      <c r="DK112" s="42">
        <v>0</v>
      </c>
      <c r="DL112" s="44"/>
      <c r="DM112" s="43"/>
      <c r="DQ112" s="42">
        <v>0</v>
      </c>
      <c r="DR112" s="44"/>
      <c r="DY112" s="42">
        <v>0</v>
      </c>
      <c r="DZ112" s="44"/>
      <c r="EA112" s="43"/>
      <c r="EE112" s="42">
        <v>0</v>
      </c>
      <c r="EF112" s="44"/>
      <c r="EG112" s="43"/>
      <c r="EK112" s="42">
        <v>0</v>
      </c>
      <c r="EL112" s="44"/>
      <c r="EM112" s="43"/>
      <c r="EQ112" s="42">
        <v>0</v>
      </c>
      <c r="ER112" s="44"/>
      <c r="EY112" s="42">
        <v>0</v>
      </c>
      <c r="EZ112" s="44"/>
      <c r="FE112" s="42">
        <v>0</v>
      </c>
      <c r="FF112" s="44"/>
      <c r="FG112" s="43"/>
      <c r="FK112" s="42">
        <v>0</v>
      </c>
      <c r="FL112" s="44"/>
      <c r="FM112" s="43"/>
      <c r="FO112" s="42">
        <v>0</v>
      </c>
      <c r="FP112" s="44"/>
      <c r="FU112" s="42">
        <v>0</v>
      </c>
      <c r="FV112" s="44"/>
      <c r="FW112" s="43"/>
      <c r="GC112" s="42">
        <v>0</v>
      </c>
      <c r="GD112" s="44"/>
      <c r="GI112" s="42">
        <v>0</v>
      </c>
      <c r="GJ112" s="44"/>
      <c r="GK112" s="43"/>
      <c r="GO112" s="42">
        <v>0</v>
      </c>
      <c r="GP112" s="47"/>
      <c r="GU112" s="42">
        <v>0</v>
      </c>
      <c r="GV112" s="44"/>
      <c r="GY112" s="42">
        <v>0</v>
      </c>
      <c r="GZ112" s="47"/>
      <c r="HA112" s="43"/>
      <c r="HC112" s="42">
        <v>0</v>
      </c>
      <c r="HD112" s="44"/>
      <c r="HE112" s="43"/>
      <c r="HI112" s="42">
        <v>0</v>
      </c>
      <c r="HJ112" s="47"/>
      <c r="HK112" s="43"/>
      <c r="HO112" s="42">
        <v>0</v>
      </c>
      <c r="HP112" s="44"/>
      <c r="HV112" s="42">
        <v>0</v>
      </c>
      <c r="HW112" s="44"/>
      <c r="HX112" s="45"/>
      <c r="IB112" s="42">
        <v>0</v>
      </c>
      <c r="IC112" s="44"/>
      <c r="IH112" s="42">
        <v>0</v>
      </c>
      <c r="II112" s="47"/>
      <c r="IN112" s="42">
        <v>0</v>
      </c>
      <c r="IO112" s="47"/>
      <c r="IP112">
        <v>70</v>
      </c>
      <c r="IQ112">
        <v>70</v>
      </c>
      <c r="IR112">
        <v>50</v>
      </c>
      <c r="IS112">
        <v>50</v>
      </c>
      <c r="IT112" s="42">
        <v>0</v>
      </c>
      <c r="IU112" s="47"/>
      <c r="IW112">
        <v>250</v>
      </c>
      <c r="IX112">
        <v>220</v>
      </c>
      <c r="IY112">
        <v>220</v>
      </c>
      <c r="IZ112" s="39">
        <v>-250</v>
      </c>
      <c r="JA112" s="44">
        <v>100</v>
      </c>
      <c r="JB112">
        <v>440</v>
      </c>
      <c r="JC112">
        <v>449</v>
      </c>
      <c r="JD112" s="42">
        <v>-9</v>
      </c>
      <c r="JE112" s="44"/>
      <c r="JF112">
        <v>140</v>
      </c>
      <c r="JG112">
        <v>140</v>
      </c>
      <c r="JH112">
        <v>110</v>
      </c>
      <c r="JI112">
        <v>112</v>
      </c>
      <c r="JJ112" s="42">
        <v>-2</v>
      </c>
      <c r="JK112" s="44"/>
      <c r="JL112" s="46">
        <v>150</v>
      </c>
      <c r="JM112" s="40">
        <v>150</v>
      </c>
      <c r="JN112" s="42">
        <v>0</v>
      </c>
      <c r="JO112" s="44"/>
      <c r="JR112">
        <v>20</v>
      </c>
      <c r="JS112">
        <v>20</v>
      </c>
      <c r="JT112" s="42">
        <v>0</v>
      </c>
      <c r="JU112" s="44"/>
      <c r="JV112">
        <v>80</v>
      </c>
      <c r="JW112">
        <v>80</v>
      </c>
      <c r="JZ112" s="42">
        <v>0</v>
      </c>
      <c r="KA112" s="47"/>
      <c r="KF112" s="42">
        <v>0</v>
      </c>
      <c r="KG112" s="44"/>
      <c r="KH112">
        <v>170</v>
      </c>
      <c r="KI112">
        <v>170</v>
      </c>
      <c r="KJ112">
        <v>480</v>
      </c>
      <c r="KK112">
        <v>480</v>
      </c>
      <c r="KL112" s="42">
        <v>0</v>
      </c>
      <c r="KM112" s="47"/>
      <c r="KN112" s="46">
        <v>190</v>
      </c>
      <c r="KO112">
        <v>190</v>
      </c>
      <c r="KP112">
        <v>340</v>
      </c>
      <c r="KQ112">
        <v>330</v>
      </c>
      <c r="KR112">
        <v>360</v>
      </c>
      <c r="KS112">
        <v>190</v>
      </c>
      <c r="KT112" s="42">
        <v>180</v>
      </c>
      <c r="KU112" s="47"/>
      <c r="KV112" s="40">
        <v>0</v>
      </c>
      <c r="KW112" s="40">
        <v>0</v>
      </c>
      <c r="KX112" s="40">
        <v>360</v>
      </c>
      <c r="KY112" s="40">
        <v>366</v>
      </c>
      <c r="KZ112" s="42">
        <v>-6</v>
      </c>
      <c r="LA112" s="47"/>
      <c r="LB112" s="40">
        <v>200</v>
      </c>
      <c r="LC112" s="40">
        <v>200</v>
      </c>
      <c r="LD112" s="40">
        <v>220</v>
      </c>
      <c r="LE112" s="40">
        <v>220</v>
      </c>
      <c r="LF112" s="42">
        <v>0</v>
      </c>
      <c r="LG112" s="47"/>
      <c r="LH112" s="45">
        <v>210</v>
      </c>
      <c r="LI112" s="40">
        <v>210</v>
      </c>
      <c r="LJ112" s="42">
        <v>0</v>
      </c>
      <c r="LK112" s="47"/>
      <c r="LL112" s="45">
        <v>170</v>
      </c>
      <c r="LM112" s="40">
        <v>170</v>
      </c>
      <c r="LN112" s="40">
        <v>130</v>
      </c>
      <c r="LO112" s="40">
        <v>140</v>
      </c>
      <c r="LP112" s="39">
        <v>-10</v>
      </c>
      <c r="LQ112" s="47">
        <v>4</v>
      </c>
      <c r="LR112" s="45">
        <v>90</v>
      </c>
      <c r="LS112" s="40">
        <v>90</v>
      </c>
      <c r="LT112" s="40">
        <v>60</v>
      </c>
      <c r="LU112" s="40">
        <v>60</v>
      </c>
      <c r="LV112" s="42">
        <v>0</v>
      </c>
      <c r="LW112" s="47"/>
      <c r="LX112" s="45">
        <v>800</v>
      </c>
      <c r="LY112" s="40">
        <v>800</v>
      </c>
      <c r="LZ112" s="42">
        <v>0</v>
      </c>
      <c r="MA112" s="47"/>
      <c r="MB112" s="45">
        <v>100</v>
      </c>
      <c r="MC112" s="40">
        <v>100</v>
      </c>
      <c r="MD112" s="40">
        <v>60</v>
      </c>
      <c r="ME112" s="40">
        <v>63</v>
      </c>
      <c r="MF112" s="42">
        <v>-3</v>
      </c>
      <c r="MG112" s="47"/>
      <c r="MH112" s="45">
        <v>980</v>
      </c>
      <c r="MI112" s="40">
        <v>983</v>
      </c>
      <c r="MJ112" s="42">
        <v>-3</v>
      </c>
      <c r="MK112" s="47"/>
      <c r="ML112" s="45">
        <v>100</v>
      </c>
      <c r="MM112" s="40">
        <v>100</v>
      </c>
      <c r="MN112" s="40">
        <v>120</v>
      </c>
      <c r="MO112" s="40">
        <v>120</v>
      </c>
      <c r="MP112" s="42">
        <v>0</v>
      </c>
      <c r="MQ112" s="47"/>
      <c r="MR112" s="40">
        <v>0</v>
      </c>
      <c r="MS112" s="40">
        <v>0</v>
      </c>
      <c r="MT112" s="40">
        <v>920</v>
      </c>
      <c r="MU112" s="40">
        <v>921</v>
      </c>
      <c r="MV112" s="42">
        <v>-1</v>
      </c>
      <c r="MW112" s="47"/>
      <c r="MX112" s="45">
        <v>50</v>
      </c>
      <c r="MY112" s="40">
        <v>50</v>
      </c>
      <c r="MZ112" s="40">
        <v>100</v>
      </c>
      <c r="NA112" s="40">
        <v>100</v>
      </c>
      <c r="NB112" s="42">
        <v>0</v>
      </c>
      <c r="NC112" s="47"/>
      <c r="ND112" s="45">
        <v>150</v>
      </c>
      <c r="NE112" s="40">
        <v>150</v>
      </c>
      <c r="NF112" s="40">
        <v>310</v>
      </c>
      <c r="NG112" s="40">
        <v>313</v>
      </c>
      <c r="NH112" s="42">
        <v>-3</v>
      </c>
      <c r="NI112" s="47"/>
      <c r="NJ112" s="45">
        <v>100</v>
      </c>
      <c r="NK112" s="40">
        <v>100</v>
      </c>
      <c r="NL112" s="40">
        <v>150</v>
      </c>
      <c r="NM112" s="40">
        <v>150</v>
      </c>
      <c r="NN112" s="42">
        <v>0</v>
      </c>
      <c r="NO112" s="47"/>
      <c r="NP112" s="25">
        <v>400</v>
      </c>
      <c r="NQ112" s="40">
        <v>0</v>
      </c>
      <c r="NR112" s="40">
        <v>480</v>
      </c>
      <c r="NS112" s="40">
        <v>200</v>
      </c>
      <c r="NT112" s="42">
        <v>680</v>
      </c>
      <c r="NU112" s="47"/>
      <c r="NV112" s="45">
        <v>580</v>
      </c>
      <c r="NW112" s="40">
        <v>580</v>
      </c>
      <c r="NX112" s="40">
        <v>0</v>
      </c>
      <c r="NY112" s="30">
        <v>600</v>
      </c>
      <c r="NZ112" s="39">
        <v>-600</v>
      </c>
      <c r="OA112" s="47">
        <v>240</v>
      </c>
      <c r="OB112" s="45">
        <v>200</v>
      </c>
      <c r="OC112" s="40">
        <v>200</v>
      </c>
      <c r="OD112" s="42">
        <v>0</v>
      </c>
      <c r="OE112" s="47"/>
      <c r="OF112" s="45">
        <v>0</v>
      </c>
      <c r="OG112" s="40">
        <v>0</v>
      </c>
      <c r="OH112" s="40">
        <v>240</v>
      </c>
      <c r="OI112" s="40">
        <v>244</v>
      </c>
      <c r="OJ112" s="42">
        <v>-4</v>
      </c>
      <c r="OK112" s="47"/>
      <c r="OL112" s="45">
        <v>420</v>
      </c>
      <c r="OM112" s="40">
        <v>420</v>
      </c>
      <c r="ON112" s="40">
        <v>360</v>
      </c>
      <c r="OO112" s="40">
        <v>360</v>
      </c>
      <c r="OP112" s="42">
        <v>0</v>
      </c>
      <c r="OQ112" s="47"/>
      <c r="OR112" s="45">
        <v>0</v>
      </c>
      <c r="OS112" s="40">
        <v>0</v>
      </c>
      <c r="OT112" s="40">
        <v>0</v>
      </c>
      <c r="OU112" s="40">
        <v>0</v>
      </c>
      <c r="OV112" s="42">
        <v>0</v>
      </c>
      <c r="OW112" s="47"/>
      <c r="OX112" s="40">
        <v>290</v>
      </c>
      <c r="OY112" s="40">
        <v>290</v>
      </c>
      <c r="OZ112" s="40">
        <v>290</v>
      </c>
      <c r="PA112" s="40">
        <v>290</v>
      </c>
      <c r="PB112" s="42">
        <v>0</v>
      </c>
      <c r="PC112" s="47"/>
      <c r="PD112" s="45">
        <v>250</v>
      </c>
      <c r="PE112" s="40">
        <v>250</v>
      </c>
      <c r="PF112" s="40">
        <v>320</v>
      </c>
      <c r="PG112" s="40">
        <v>318</v>
      </c>
      <c r="PH112" s="42">
        <v>2</v>
      </c>
      <c r="PI112" s="47"/>
      <c r="PJ112" s="45">
        <v>0</v>
      </c>
      <c r="PK112" s="40">
        <v>0</v>
      </c>
      <c r="PL112" s="40">
        <v>0</v>
      </c>
      <c r="PM112" s="40">
        <v>0</v>
      </c>
      <c r="PN112" s="42">
        <v>0</v>
      </c>
      <c r="PO112" s="47"/>
      <c r="PP112" s="43">
        <v>50</v>
      </c>
      <c r="PQ112" s="40">
        <v>50</v>
      </c>
      <c r="PR112" s="40">
        <v>50</v>
      </c>
      <c r="PS112" s="40">
        <v>50</v>
      </c>
      <c r="PT112" s="42">
        <v>0</v>
      </c>
      <c r="PU112" s="47"/>
      <c r="PV112" s="45">
        <v>500</v>
      </c>
      <c r="PW112" s="40">
        <v>500</v>
      </c>
      <c r="PX112" s="40">
        <v>400</v>
      </c>
      <c r="PY112" s="40">
        <v>400</v>
      </c>
      <c r="PZ112" s="42">
        <v>0</v>
      </c>
      <c r="QA112" s="47"/>
      <c r="QB112" s="45">
        <v>200</v>
      </c>
      <c r="QC112" s="40">
        <v>200</v>
      </c>
      <c r="QD112" s="42">
        <v>0</v>
      </c>
      <c r="QE112" s="47"/>
      <c r="QF112" s="45">
        <v>200</v>
      </c>
      <c r="QG112" s="40">
        <v>200</v>
      </c>
      <c r="QH112" s="40">
        <v>250</v>
      </c>
      <c r="QI112" s="40">
        <v>250</v>
      </c>
      <c r="QJ112" s="42">
        <v>0</v>
      </c>
      <c r="QK112" s="47"/>
      <c r="QL112" s="45">
        <v>50</v>
      </c>
      <c r="QM112" s="40">
        <v>50</v>
      </c>
      <c r="QN112" s="40">
        <v>0</v>
      </c>
      <c r="QO112" s="40">
        <v>0</v>
      </c>
      <c r="QP112" s="42">
        <v>0</v>
      </c>
      <c r="QQ112" s="47"/>
      <c r="QR112" s="45">
        <v>250</v>
      </c>
      <c r="QS112" s="40">
        <v>250</v>
      </c>
      <c r="QT112" s="40">
        <v>0</v>
      </c>
      <c r="QU112" s="40">
        <v>250</v>
      </c>
      <c r="QV112" s="39">
        <v>-250</v>
      </c>
      <c r="QW112" s="47">
        <v>100</v>
      </c>
      <c r="QX112" s="45">
        <v>100</v>
      </c>
      <c r="QY112" s="40">
        <v>100</v>
      </c>
      <c r="QZ112" s="40">
        <v>0</v>
      </c>
      <c r="RA112" s="40">
        <v>0</v>
      </c>
      <c r="RB112" s="42">
        <v>0</v>
      </c>
      <c r="RC112" s="47"/>
      <c r="RD112" s="45">
        <v>280</v>
      </c>
      <c r="RE112" s="40">
        <v>280</v>
      </c>
      <c r="RF112" s="42">
        <v>0</v>
      </c>
      <c r="RG112" s="47"/>
    </row>
    <row r="113" spans="1:475" x14ac:dyDescent="0.25">
      <c r="A113" s="40" t="s">
        <v>402</v>
      </c>
      <c r="B113" s="41">
        <v>0.16</v>
      </c>
      <c r="N113" s="43"/>
      <c r="O113" s="48"/>
      <c r="P113" s="48"/>
      <c r="Q113" s="48"/>
      <c r="R113" s="48">
        <f t="shared" si="13"/>
        <v>0</v>
      </c>
      <c r="S113" s="44"/>
      <c r="T113" s="43"/>
      <c r="U113" s="48"/>
      <c r="V113" s="48"/>
      <c r="W113" s="48"/>
      <c r="X113" s="48">
        <f t="shared" si="14"/>
        <v>0</v>
      </c>
      <c r="Y113" s="44"/>
      <c r="Z113" s="43"/>
      <c r="AA113" s="48"/>
      <c r="AB113" s="48"/>
      <c r="AC113" s="48"/>
      <c r="AD113" s="48">
        <f t="shared" si="15"/>
        <v>0</v>
      </c>
      <c r="AE113" s="44"/>
      <c r="AF113" s="43"/>
      <c r="AG113" s="48"/>
      <c r="AH113" s="48"/>
      <c r="AI113" s="48"/>
      <c r="AJ113" s="48">
        <f t="shared" si="16"/>
        <v>0</v>
      </c>
      <c r="AK113" s="44"/>
      <c r="AL113" s="48"/>
      <c r="AP113" s="42">
        <v>0</v>
      </c>
      <c r="AQ113" s="44"/>
      <c r="AR113" s="43"/>
      <c r="AV113" s="42">
        <v>0</v>
      </c>
      <c r="AW113" s="44"/>
      <c r="BC113" s="42">
        <v>0</v>
      </c>
      <c r="BD113" s="44"/>
      <c r="BE113" s="43"/>
      <c r="BI113" s="42">
        <v>0</v>
      </c>
      <c r="BJ113" s="44"/>
      <c r="BO113" s="42">
        <v>0</v>
      </c>
      <c r="BP113" s="44"/>
      <c r="BS113" s="42">
        <v>0</v>
      </c>
      <c r="BT113" s="44"/>
      <c r="BU113" s="43"/>
      <c r="BY113" s="42">
        <v>0</v>
      </c>
      <c r="BZ113" s="44"/>
      <c r="CE113" s="42">
        <v>0</v>
      </c>
      <c r="CF113" s="44"/>
      <c r="CG113" s="43"/>
      <c r="CK113" s="42">
        <v>0</v>
      </c>
      <c r="CL113" s="44"/>
      <c r="CM113" s="43"/>
      <c r="CQ113" s="42">
        <v>0</v>
      </c>
      <c r="CR113" s="44"/>
      <c r="CW113" s="42">
        <v>0</v>
      </c>
      <c r="CX113" s="44"/>
      <c r="CY113" s="43"/>
      <c r="DC113" s="42">
        <v>0</v>
      </c>
      <c r="DD113" s="44"/>
      <c r="DE113" s="43"/>
      <c r="DK113" s="42">
        <v>0</v>
      </c>
      <c r="DL113" s="44"/>
      <c r="DM113" s="43"/>
      <c r="DQ113" s="42">
        <v>0</v>
      </c>
      <c r="DR113" s="44"/>
      <c r="DY113" s="42">
        <v>0</v>
      </c>
      <c r="DZ113" s="44"/>
      <c r="EA113" s="43"/>
      <c r="EE113" s="42">
        <v>0</v>
      </c>
      <c r="EF113" s="44"/>
      <c r="EG113" s="43"/>
      <c r="EK113" s="42">
        <v>0</v>
      </c>
      <c r="EL113" s="44"/>
      <c r="EM113" s="43"/>
      <c r="EQ113" s="42">
        <v>0</v>
      </c>
      <c r="ER113" s="44"/>
      <c r="EY113" s="42">
        <v>0</v>
      </c>
      <c r="EZ113" s="44"/>
      <c r="FE113" s="42">
        <v>0</v>
      </c>
      <c r="FF113" s="44"/>
      <c r="FG113" s="43"/>
      <c r="FK113" s="42">
        <v>0</v>
      </c>
      <c r="FL113" s="44"/>
      <c r="FM113" s="43"/>
      <c r="FO113" s="42">
        <v>0</v>
      </c>
      <c r="FP113" s="44"/>
      <c r="FU113" s="42">
        <v>0</v>
      </c>
      <c r="FV113" s="44"/>
      <c r="FW113" s="43"/>
      <c r="GC113" s="42">
        <v>0</v>
      </c>
      <c r="GD113" s="44"/>
      <c r="GI113" s="42">
        <v>0</v>
      </c>
      <c r="GJ113" s="44"/>
      <c r="GK113" s="43"/>
      <c r="GO113" s="42">
        <v>0</v>
      </c>
      <c r="GP113" s="47"/>
      <c r="GU113" s="42">
        <v>0</v>
      </c>
      <c r="GV113" s="44"/>
      <c r="GY113" s="42">
        <v>0</v>
      </c>
      <c r="GZ113" s="47"/>
      <c r="HA113" s="43"/>
      <c r="HC113" s="42">
        <v>0</v>
      </c>
      <c r="HD113" s="44"/>
      <c r="HE113" s="43"/>
      <c r="HI113" s="42">
        <v>0</v>
      </c>
      <c r="HJ113" s="47"/>
      <c r="HK113" s="43"/>
      <c r="HO113" s="42">
        <v>0</v>
      </c>
      <c r="HP113" s="44"/>
      <c r="HV113" s="42">
        <v>0</v>
      </c>
      <c r="HW113" s="44"/>
      <c r="HX113" s="45"/>
      <c r="IB113" s="42">
        <v>0</v>
      </c>
      <c r="IC113" s="44"/>
      <c r="IH113" s="42">
        <v>0</v>
      </c>
      <c r="II113" s="47"/>
      <c r="IN113" s="42">
        <v>0</v>
      </c>
      <c r="IO113" s="47"/>
      <c r="IT113" s="42">
        <v>0</v>
      </c>
      <c r="IU113" s="47"/>
      <c r="IZ113" s="42">
        <v>0</v>
      </c>
      <c r="JA113" s="44"/>
      <c r="JD113" s="42">
        <v>0</v>
      </c>
      <c r="JE113" s="44"/>
      <c r="JJ113" s="42">
        <v>0</v>
      </c>
      <c r="JK113" s="44"/>
      <c r="JL113" s="45"/>
      <c r="JN113" s="42">
        <v>0</v>
      </c>
      <c r="JO113" s="44"/>
      <c r="JT113" s="42">
        <v>0</v>
      </c>
      <c r="JU113" s="44"/>
      <c r="JZ113" s="42">
        <v>0</v>
      </c>
      <c r="KA113" s="47"/>
      <c r="KF113" s="42">
        <v>0</v>
      </c>
      <c r="KG113" s="44"/>
      <c r="KH113" s="41"/>
      <c r="KL113" s="42">
        <v>0</v>
      </c>
      <c r="KM113" s="47"/>
      <c r="KN113" s="45"/>
      <c r="KT113" s="42">
        <v>0</v>
      </c>
      <c r="KU113" s="47"/>
      <c r="KV113" s="40">
        <v>0</v>
      </c>
      <c r="KW113" s="40">
        <v>0</v>
      </c>
      <c r="KX113" s="40">
        <v>0</v>
      </c>
      <c r="KY113" s="40">
        <v>0</v>
      </c>
      <c r="KZ113" s="42">
        <v>0</v>
      </c>
      <c r="LA113" s="47"/>
      <c r="LB113" s="40">
        <v>0</v>
      </c>
      <c r="LC113" s="40">
        <v>0</v>
      </c>
      <c r="LD113" s="40">
        <v>0</v>
      </c>
      <c r="LE113" s="40">
        <v>0</v>
      </c>
      <c r="LF113" s="42">
        <v>0</v>
      </c>
      <c r="LG113" s="47"/>
      <c r="LH113" s="45">
        <v>0</v>
      </c>
      <c r="LI113" s="40">
        <v>0</v>
      </c>
      <c r="LJ113" s="42">
        <v>0</v>
      </c>
      <c r="LK113" s="47"/>
      <c r="LL113" s="45">
        <v>0</v>
      </c>
      <c r="LM113" s="40">
        <v>0</v>
      </c>
      <c r="LN113" s="40">
        <v>0</v>
      </c>
      <c r="LO113" s="40">
        <v>0</v>
      </c>
      <c r="LP113" s="42">
        <v>0</v>
      </c>
      <c r="LQ113" s="47"/>
      <c r="LR113" s="45">
        <v>0</v>
      </c>
      <c r="LS113" s="40">
        <v>0</v>
      </c>
      <c r="LT113" s="40">
        <v>0</v>
      </c>
      <c r="LU113" s="40">
        <v>0</v>
      </c>
      <c r="LV113" s="42">
        <v>0</v>
      </c>
      <c r="LW113" s="47"/>
      <c r="LX113" s="45">
        <v>0</v>
      </c>
      <c r="LY113" s="40">
        <v>0</v>
      </c>
      <c r="LZ113" s="42">
        <v>0</v>
      </c>
      <c r="MA113" s="47"/>
      <c r="MB113" s="45">
        <v>0</v>
      </c>
      <c r="MC113" s="40">
        <v>0</v>
      </c>
      <c r="MD113" s="40">
        <v>0</v>
      </c>
      <c r="ME113" s="40">
        <v>0</v>
      </c>
      <c r="MF113" s="42">
        <v>0</v>
      </c>
      <c r="MG113" s="47"/>
      <c r="MH113" s="45">
        <v>0</v>
      </c>
      <c r="MI113" s="40">
        <v>0</v>
      </c>
      <c r="MJ113" s="42">
        <v>0</v>
      </c>
      <c r="MK113" s="47"/>
      <c r="ML113" s="45">
        <v>0</v>
      </c>
      <c r="MM113" s="40">
        <v>0</v>
      </c>
      <c r="MN113" s="40">
        <v>0</v>
      </c>
      <c r="MO113" s="40">
        <v>0</v>
      </c>
      <c r="MP113" s="42">
        <v>0</v>
      </c>
      <c r="MQ113" s="47"/>
      <c r="MR113" s="40">
        <v>0</v>
      </c>
      <c r="MS113" s="40">
        <v>0</v>
      </c>
      <c r="MT113" s="40">
        <v>0</v>
      </c>
      <c r="MU113" s="40">
        <v>0</v>
      </c>
      <c r="MV113" s="42">
        <v>0</v>
      </c>
      <c r="MW113" s="47"/>
      <c r="MX113" s="45">
        <v>0</v>
      </c>
      <c r="MY113" s="40">
        <v>0</v>
      </c>
      <c r="MZ113" s="40">
        <v>0</v>
      </c>
      <c r="NA113" s="40">
        <v>0</v>
      </c>
      <c r="NB113" s="42">
        <v>0</v>
      </c>
      <c r="NC113" s="47"/>
      <c r="ND113" s="45">
        <v>0</v>
      </c>
      <c r="NE113" s="40">
        <v>0</v>
      </c>
      <c r="NF113" s="40">
        <v>0</v>
      </c>
      <c r="NG113" s="40">
        <v>0</v>
      </c>
      <c r="NH113" s="42">
        <v>0</v>
      </c>
      <c r="NI113" s="47"/>
      <c r="NJ113" s="45">
        <v>0</v>
      </c>
      <c r="NK113" s="40">
        <v>0</v>
      </c>
      <c r="NL113" s="40">
        <v>0</v>
      </c>
      <c r="NM113" s="40">
        <v>0</v>
      </c>
      <c r="NN113" s="42">
        <v>0</v>
      </c>
      <c r="NO113" s="47"/>
      <c r="NP113" s="45">
        <v>0</v>
      </c>
      <c r="NQ113" s="40">
        <v>0</v>
      </c>
      <c r="NR113" s="40">
        <v>0</v>
      </c>
      <c r="NS113" s="40">
        <v>0</v>
      </c>
      <c r="NT113" s="42">
        <v>0</v>
      </c>
      <c r="NU113" s="47"/>
      <c r="NV113" s="45">
        <v>0</v>
      </c>
      <c r="NW113" s="40">
        <v>0</v>
      </c>
      <c r="NX113" s="40">
        <v>0</v>
      </c>
      <c r="NY113" s="40">
        <v>0</v>
      </c>
      <c r="NZ113" s="42">
        <v>0</v>
      </c>
      <c r="OA113" s="47"/>
      <c r="OB113" s="45">
        <v>0</v>
      </c>
      <c r="OC113" s="40">
        <v>0</v>
      </c>
      <c r="OD113" s="42">
        <v>0</v>
      </c>
      <c r="OE113" s="47"/>
      <c r="OF113" s="45">
        <v>0</v>
      </c>
      <c r="OG113" s="40">
        <v>0</v>
      </c>
      <c r="OH113" s="40">
        <v>0</v>
      </c>
      <c r="OI113" s="40">
        <v>0</v>
      </c>
      <c r="OJ113" s="42">
        <v>0</v>
      </c>
      <c r="OK113" s="47"/>
      <c r="OL113" s="45">
        <v>0</v>
      </c>
      <c r="OM113" s="40">
        <v>0</v>
      </c>
      <c r="ON113" s="40">
        <v>0</v>
      </c>
      <c r="OO113" s="40">
        <v>0</v>
      </c>
      <c r="OP113" s="42">
        <v>0</v>
      </c>
      <c r="OQ113" s="47"/>
      <c r="OR113" s="45">
        <v>0</v>
      </c>
      <c r="OS113" s="40">
        <v>0</v>
      </c>
      <c r="OT113" s="40">
        <v>0</v>
      </c>
      <c r="OU113" s="40">
        <v>0</v>
      </c>
      <c r="OV113" s="42">
        <v>0</v>
      </c>
      <c r="OW113" s="47"/>
      <c r="OX113" s="40">
        <v>0</v>
      </c>
      <c r="OY113" s="40">
        <v>0</v>
      </c>
      <c r="OZ113" s="40">
        <v>0</v>
      </c>
      <c r="PA113" s="40">
        <v>0</v>
      </c>
      <c r="PB113" s="42">
        <v>0</v>
      </c>
      <c r="PC113" s="47"/>
      <c r="PD113" s="45">
        <v>0</v>
      </c>
      <c r="PE113" s="40">
        <v>0</v>
      </c>
      <c r="PF113" s="40">
        <v>0</v>
      </c>
      <c r="PG113" s="40">
        <v>0</v>
      </c>
      <c r="PH113" s="42">
        <v>0</v>
      </c>
      <c r="PI113" s="47"/>
      <c r="PJ113" s="45">
        <v>0</v>
      </c>
      <c r="PK113" s="40">
        <v>0</v>
      </c>
      <c r="PL113" s="40">
        <v>0</v>
      </c>
      <c r="PM113" s="40">
        <v>0</v>
      </c>
      <c r="PN113" s="42">
        <v>0</v>
      </c>
      <c r="PO113" s="47"/>
      <c r="PP113" s="43">
        <v>0</v>
      </c>
      <c r="PQ113" s="40">
        <v>0</v>
      </c>
      <c r="PR113" s="40">
        <v>0</v>
      </c>
      <c r="PS113" s="40">
        <v>0</v>
      </c>
      <c r="PT113" s="42">
        <v>0</v>
      </c>
      <c r="PU113" s="47"/>
      <c r="PV113" s="45">
        <v>0</v>
      </c>
      <c r="PW113" s="40">
        <v>0</v>
      </c>
      <c r="PX113" s="40">
        <v>0</v>
      </c>
      <c r="PY113" s="40">
        <v>0</v>
      </c>
      <c r="PZ113" s="42">
        <v>0</v>
      </c>
      <c r="QA113" s="47"/>
      <c r="QB113" s="45">
        <v>0</v>
      </c>
      <c r="QC113" s="40">
        <v>0</v>
      </c>
      <c r="QD113" s="42">
        <v>0</v>
      </c>
      <c r="QE113" s="47"/>
      <c r="QF113" s="45">
        <v>0</v>
      </c>
      <c r="QG113" s="40">
        <v>0</v>
      </c>
      <c r="QH113" s="40">
        <v>0</v>
      </c>
      <c r="QI113" s="40">
        <v>0</v>
      </c>
      <c r="QJ113" s="42">
        <v>0</v>
      </c>
      <c r="QK113" s="47"/>
      <c r="QL113" s="45">
        <v>0</v>
      </c>
      <c r="QM113" s="40">
        <v>0</v>
      </c>
      <c r="QN113" s="40">
        <v>0</v>
      </c>
      <c r="QO113" s="40">
        <v>0</v>
      </c>
      <c r="QP113" s="42">
        <v>0</v>
      </c>
      <c r="QQ113" s="47"/>
      <c r="QR113" s="45">
        <v>48</v>
      </c>
      <c r="QS113" s="40">
        <v>50</v>
      </c>
      <c r="QT113" s="40">
        <v>0</v>
      </c>
      <c r="QU113" s="40">
        <v>0</v>
      </c>
      <c r="QV113" s="42">
        <v>-2</v>
      </c>
      <c r="QW113" s="47"/>
      <c r="QX113" s="45">
        <v>48</v>
      </c>
      <c r="QY113" s="40">
        <v>50</v>
      </c>
      <c r="QZ113" s="40">
        <v>0</v>
      </c>
      <c r="RA113" s="40">
        <v>0</v>
      </c>
      <c r="RB113" s="42">
        <v>-2</v>
      </c>
      <c r="RC113" s="47"/>
      <c r="RD113" s="45">
        <v>288</v>
      </c>
      <c r="RE113" s="40">
        <v>300</v>
      </c>
      <c r="RF113" s="42">
        <v>-12</v>
      </c>
      <c r="RG113" s="47"/>
    </row>
    <row r="114" spans="1:475" x14ac:dyDescent="0.25">
      <c r="A114" s="40" t="s">
        <v>403</v>
      </c>
      <c r="B114" s="41">
        <v>0.5</v>
      </c>
      <c r="N114" s="43"/>
      <c r="O114" s="48"/>
      <c r="P114" s="48"/>
      <c r="Q114" s="48"/>
      <c r="R114" s="48">
        <f t="shared" si="13"/>
        <v>0</v>
      </c>
      <c r="S114" s="44"/>
      <c r="T114" s="43"/>
      <c r="U114" s="48"/>
      <c r="V114" s="48"/>
      <c r="W114" s="48"/>
      <c r="X114" s="48">
        <f t="shared" si="14"/>
        <v>0</v>
      </c>
      <c r="Y114" s="44"/>
      <c r="Z114" s="43"/>
      <c r="AA114" s="48"/>
      <c r="AB114" s="48"/>
      <c r="AC114" s="48"/>
      <c r="AD114" s="48">
        <f t="shared" si="15"/>
        <v>0</v>
      </c>
      <c r="AE114" s="44"/>
      <c r="AF114" s="43"/>
      <c r="AG114" s="48"/>
      <c r="AH114" s="48"/>
      <c r="AI114" s="48"/>
      <c r="AJ114" s="48">
        <f t="shared" si="16"/>
        <v>0</v>
      </c>
      <c r="AK114" s="44"/>
      <c r="AL114" s="48"/>
      <c r="AP114" s="42">
        <v>0</v>
      </c>
      <c r="AQ114" s="44"/>
      <c r="AR114" s="43"/>
      <c r="AV114" s="42">
        <v>0</v>
      </c>
      <c r="AW114" s="44"/>
      <c r="BC114" s="42">
        <v>0</v>
      </c>
      <c r="BD114" s="44"/>
      <c r="BE114" s="43"/>
      <c r="BI114" s="42">
        <v>0</v>
      </c>
      <c r="BJ114" s="44"/>
      <c r="BO114" s="42">
        <v>0</v>
      </c>
      <c r="BP114" s="44"/>
      <c r="BS114" s="42">
        <v>0</v>
      </c>
      <c r="BT114" s="44"/>
      <c r="BU114" s="43"/>
      <c r="BY114" s="42">
        <v>0</v>
      </c>
      <c r="BZ114" s="44"/>
      <c r="CE114" s="42">
        <v>0</v>
      </c>
      <c r="CF114" s="44"/>
      <c r="CG114" s="43"/>
      <c r="CK114" s="42">
        <v>0</v>
      </c>
      <c r="CL114" s="44"/>
      <c r="CM114" s="43"/>
      <c r="CQ114" s="42">
        <v>0</v>
      </c>
      <c r="CR114" s="44"/>
      <c r="CW114" s="42">
        <v>0</v>
      </c>
      <c r="CX114" s="44"/>
      <c r="CY114" s="43"/>
      <c r="DC114" s="42">
        <v>0</v>
      </c>
      <c r="DD114" s="44"/>
      <c r="DE114" s="43"/>
      <c r="DK114" s="42">
        <v>0</v>
      </c>
      <c r="DL114" s="44"/>
      <c r="DM114" s="43"/>
      <c r="DQ114" s="42">
        <v>0</v>
      </c>
      <c r="DR114" s="44"/>
      <c r="DY114" s="42">
        <v>0</v>
      </c>
      <c r="DZ114" s="44"/>
      <c r="EA114" s="43"/>
      <c r="EE114" s="42">
        <v>0</v>
      </c>
      <c r="EF114" s="44"/>
      <c r="EG114" s="43"/>
      <c r="EK114" s="42">
        <v>0</v>
      </c>
      <c r="EL114" s="44"/>
      <c r="EM114" s="43"/>
      <c r="EQ114" s="42">
        <v>0</v>
      </c>
      <c r="ER114" s="44"/>
      <c r="EY114" s="42">
        <v>0</v>
      </c>
      <c r="EZ114" s="44"/>
      <c r="FE114" s="42">
        <v>0</v>
      </c>
      <c r="FF114" s="44"/>
      <c r="FG114" s="43"/>
      <c r="FK114" s="42">
        <v>0</v>
      </c>
      <c r="FL114" s="44"/>
      <c r="FM114" s="43"/>
      <c r="FO114" s="42">
        <v>0</v>
      </c>
      <c r="FP114" s="44"/>
      <c r="FU114" s="42">
        <v>0</v>
      </c>
      <c r="FV114" s="44"/>
      <c r="FW114" s="43"/>
      <c r="GC114" s="42">
        <v>0</v>
      </c>
      <c r="GD114" s="44"/>
      <c r="GI114" s="42">
        <v>0</v>
      </c>
      <c r="GJ114" s="44"/>
      <c r="GK114" s="43"/>
      <c r="GO114" s="42">
        <v>0</v>
      </c>
      <c r="GP114" s="47"/>
      <c r="GU114" s="42">
        <v>0</v>
      </c>
      <c r="GV114" s="44"/>
      <c r="GY114" s="42">
        <v>0</v>
      </c>
      <c r="GZ114" s="47"/>
      <c r="HA114" s="43"/>
      <c r="HC114" s="42">
        <v>0</v>
      </c>
      <c r="HD114" s="44"/>
      <c r="HE114" s="43"/>
      <c r="HI114" s="42">
        <v>0</v>
      </c>
      <c r="HJ114" s="47"/>
      <c r="HK114" s="43"/>
      <c r="HO114" s="42">
        <v>0</v>
      </c>
      <c r="HP114" s="44"/>
      <c r="HV114" s="42">
        <v>0</v>
      </c>
      <c r="HW114" s="44"/>
      <c r="HX114" s="45"/>
      <c r="IB114" s="42">
        <v>0</v>
      </c>
      <c r="IC114" s="44"/>
      <c r="IH114" s="42">
        <v>0</v>
      </c>
      <c r="II114" s="47"/>
      <c r="IN114" s="42">
        <v>0</v>
      </c>
      <c r="IO114" s="47"/>
      <c r="IT114" s="42">
        <v>0</v>
      </c>
      <c r="IU114" s="47"/>
      <c r="IZ114" s="42">
        <v>0</v>
      </c>
      <c r="JA114" s="44"/>
      <c r="JD114" s="42">
        <v>0</v>
      </c>
      <c r="JE114" s="44"/>
      <c r="JJ114" s="42">
        <v>0</v>
      </c>
      <c r="JK114" s="44"/>
      <c r="JL114" s="45"/>
      <c r="JN114" s="42">
        <v>0</v>
      </c>
      <c r="JO114" s="44"/>
      <c r="JT114" s="42">
        <v>0</v>
      </c>
      <c r="JU114" s="44"/>
      <c r="JZ114" s="42">
        <v>0</v>
      </c>
      <c r="KA114" s="47"/>
      <c r="KF114" s="42">
        <v>0</v>
      </c>
      <c r="KG114" s="44"/>
      <c r="KH114" s="41"/>
      <c r="KL114" s="42">
        <v>0</v>
      </c>
      <c r="KM114" s="47"/>
      <c r="KN114" s="45"/>
      <c r="KT114" s="42">
        <v>0</v>
      </c>
      <c r="KU114" s="47"/>
      <c r="KV114" s="40">
        <v>0</v>
      </c>
      <c r="KW114" s="40">
        <v>0</v>
      </c>
      <c r="KX114" s="40">
        <v>0</v>
      </c>
      <c r="KY114" s="40">
        <v>0</v>
      </c>
      <c r="KZ114" s="42">
        <v>0</v>
      </c>
      <c r="LA114" s="47"/>
      <c r="LB114" s="40">
        <v>0</v>
      </c>
      <c r="LC114" s="40">
        <v>0</v>
      </c>
      <c r="LD114" s="40">
        <v>0</v>
      </c>
      <c r="LE114" s="40">
        <v>0</v>
      </c>
      <c r="LF114" s="42">
        <v>0</v>
      </c>
      <c r="LG114" s="47"/>
      <c r="LH114" s="45">
        <v>0</v>
      </c>
      <c r="LI114" s="40">
        <v>0</v>
      </c>
      <c r="LJ114" s="42">
        <v>0</v>
      </c>
      <c r="LK114" s="47"/>
      <c r="LL114" s="45">
        <v>0</v>
      </c>
      <c r="LM114" s="40">
        <v>0</v>
      </c>
      <c r="LN114" s="40">
        <v>0</v>
      </c>
      <c r="LO114" s="40">
        <v>0</v>
      </c>
      <c r="LP114" s="42">
        <v>0</v>
      </c>
      <c r="LQ114" s="47"/>
      <c r="LR114" s="45">
        <v>0</v>
      </c>
      <c r="LS114" s="40">
        <v>0</v>
      </c>
      <c r="LT114" s="40">
        <v>0</v>
      </c>
      <c r="LU114" s="40">
        <v>0</v>
      </c>
      <c r="LV114" s="42">
        <v>0</v>
      </c>
      <c r="LW114" s="47"/>
      <c r="LX114" s="45">
        <v>0</v>
      </c>
      <c r="LY114" s="40">
        <v>0</v>
      </c>
      <c r="LZ114" s="42">
        <v>0</v>
      </c>
      <c r="MA114" s="47"/>
      <c r="MB114" s="45">
        <v>0</v>
      </c>
      <c r="MC114" s="40">
        <v>0</v>
      </c>
      <c r="MD114" s="40">
        <v>0</v>
      </c>
      <c r="ME114" s="40">
        <v>0</v>
      </c>
      <c r="MF114" s="42">
        <v>0</v>
      </c>
      <c r="MG114" s="47"/>
      <c r="MH114" s="45">
        <v>0</v>
      </c>
      <c r="MI114" s="40">
        <v>130</v>
      </c>
      <c r="MJ114" s="39">
        <v>-130</v>
      </c>
      <c r="MK114" s="47">
        <v>65</v>
      </c>
      <c r="ML114" s="45">
        <v>0</v>
      </c>
      <c r="MM114" s="40">
        <v>0</v>
      </c>
      <c r="MN114" s="40">
        <v>0</v>
      </c>
      <c r="MO114" s="40">
        <v>0</v>
      </c>
      <c r="MP114" s="42">
        <v>0</v>
      </c>
      <c r="MQ114" s="47"/>
      <c r="MR114" s="40">
        <v>0</v>
      </c>
      <c r="MS114" s="40">
        <v>0</v>
      </c>
      <c r="MT114" s="40">
        <v>152</v>
      </c>
      <c r="MU114" s="40">
        <v>150</v>
      </c>
      <c r="MV114" s="42">
        <v>2</v>
      </c>
      <c r="MW114" s="47"/>
      <c r="MX114" s="45">
        <v>0</v>
      </c>
      <c r="MY114" s="40">
        <v>0</v>
      </c>
      <c r="MZ114" s="40">
        <v>0</v>
      </c>
      <c r="NA114" s="40">
        <v>0</v>
      </c>
      <c r="NB114" s="42">
        <v>0</v>
      </c>
      <c r="NC114" s="47"/>
      <c r="ND114" s="45">
        <v>0</v>
      </c>
      <c r="NE114" s="40">
        <v>0</v>
      </c>
      <c r="NF114" s="40">
        <v>200</v>
      </c>
      <c r="NG114" s="40">
        <v>200</v>
      </c>
      <c r="NH114" s="42">
        <v>0</v>
      </c>
      <c r="NI114" s="47"/>
      <c r="NJ114" s="45">
        <v>0</v>
      </c>
      <c r="NK114" s="40">
        <v>0</v>
      </c>
      <c r="NL114" s="40">
        <v>72</v>
      </c>
      <c r="NM114" s="40">
        <v>70</v>
      </c>
      <c r="NN114" s="42">
        <v>2</v>
      </c>
      <c r="NO114" s="47"/>
      <c r="NP114" s="45">
        <v>0</v>
      </c>
      <c r="NQ114" s="40">
        <v>0</v>
      </c>
      <c r="NR114" s="40">
        <v>40</v>
      </c>
      <c r="NS114" s="40">
        <v>40</v>
      </c>
      <c r="NT114" s="42">
        <v>0</v>
      </c>
      <c r="NU114" s="47"/>
      <c r="NV114" s="45">
        <v>0</v>
      </c>
      <c r="NW114" s="40">
        <v>0</v>
      </c>
      <c r="NX114" s="40">
        <v>128</v>
      </c>
      <c r="NY114" s="40">
        <v>132</v>
      </c>
      <c r="NZ114" s="42">
        <v>-4</v>
      </c>
      <c r="OA114" s="47"/>
      <c r="OB114" s="45">
        <v>0</v>
      </c>
      <c r="OC114" s="40">
        <v>0</v>
      </c>
      <c r="OD114" s="42">
        <v>0</v>
      </c>
      <c r="OE114" s="47"/>
      <c r="OF114" s="45">
        <v>0</v>
      </c>
      <c r="OG114" s="40">
        <v>0</v>
      </c>
      <c r="OH114" s="40">
        <v>0</v>
      </c>
      <c r="OI114" s="40">
        <v>0</v>
      </c>
      <c r="OJ114" s="42">
        <v>0</v>
      </c>
      <c r="OK114" s="47"/>
      <c r="OL114" s="45">
        <v>72</v>
      </c>
      <c r="OM114" s="40">
        <v>70</v>
      </c>
      <c r="ON114" s="40">
        <v>56</v>
      </c>
      <c r="OO114" s="40">
        <v>60</v>
      </c>
      <c r="OP114" s="42">
        <v>-2</v>
      </c>
      <c r="OQ114" s="47"/>
      <c r="OR114" s="45">
        <v>0</v>
      </c>
      <c r="OS114" s="40">
        <v>0</v>
      </c>
      <c r="OT114" s="40">
        <v>8</v>
      </c>
      <c r="OU114" s="40">
        <v>10</v>
      </c>
      <c r="OV114" s="42">
        <v>-2</v>
      </c>
      <c r="OW114" s="47"/>
      <c r="OX114" s="40">
        <v>0</v>
      </c>
      <c r="OY114" s="40">
        <v>0</v>
      </c>
      <c r="OZ114" s="40">
        <v>0</v>
      </c>
      <c r="PA114" s="40">
        <v>0</v>
      </c>
      <c r="PB114" s="42">
        <v>0</v>
      </c>
      <c r="PC114" s="47"/>
      <c r="PD114" s="45">
        <v>0</v>
      </c>
      <c r="PE114" s="40">
        <v>0</v>
      </c>
      <c r="PF114" s="40">
        <v>40</v>
      </c>
      <c r="PG114" s="40">
        <v>40</v>
      </c>
      <c r="PH114" s="42">
        <v>0</v>
      </c>
      <c r="PI114" s="47"/>
      <c r="PJ114" s="45">
        <v>0</v>
      </c>
      <c r="PK114" s="40">
        <v>0</v>
      </c>
      <c r="PL114" s="40">
        <v>40</v>
      </c>
      <c r="PM114" s="40">
        <v>40</v>
      </c>
      <c r="PN114" s="42">
        <v>0</v>
      </c>
      <c r="PO114" s="47"/>
      <c r="PP114" s="43"/>
      <c r="PU114" s="47"/>
      <c r="PV114" s="45"/>
      <c r="QA114" s="47"/>
      <c r="QB114" s="45"/>
      <c r="QE114" s="47"/>
      <c r="QF114" s="45"/>
      <c r="QK114" s="47"/>
      <c r="QL114" s="45"/>
      <c r="QQ114" s="47"/>
      <c r="QR114" s="45"/>
      <c r="QW114" s="47"/>
      <c r="QX114" s="45"/>
      <c r="RB114" s="42"/>
      <c r="RC114" s="47"/>
      <c r="RD114" s="45"/>
      <c r="RF114" s="42"/>
      <c r="RG114" s="47"/>
    </row>
    <row r="115" spans="1:475" x14ac:dyDescent="0.25">
      <c r="A115" s="40" t="s">
        <v>404</v>
      </c>
      <c r="B115" s="41">
        <v>0.33</v>
      </c>
      <c r="F115">
        <v>30</v>
      </c>
      <c r="J115">
        <v>24</v>
      </c>
      <c r="K115">
        <v>24</v>
      </c>
      <c r="N115" s="43"/>
      <c r="O115" s="48"/>
      <c r="P115" s="49">
        <v>48</v>
      </c>
      <c r="Q115" s="49">
        <v>50</v>
      </c>
      <c r="R115" s="48">
        <f t="shared" si="13"/>
        <v>-2</v>
      </c>
      <c r="S115" s="44"/>
      <c r="T115" s="43"/>
      <c r="U115" s="48"/>
      <c r="V115" s="49">
        <v>48</v>
      </c>
      <c r="W115" s="49">
        <v>50</v>
      </c>
      <c r="X115" s="48">
        <f t="shared" si="14"/>
        <v>-2</v>
      </c>
      <c r="Y115" s="44"/>
      <c r="Z115" s="43"/>
      <c r="AA115" s="48"/>
      <c r="AB115" s="49">
        <v>8</v>
      </c>
      <c r="AC115" s="49">
        <v>9</v>
      </c>
      <c r="AD115" s="48">
        <f t="shared" si="15"/>
        <v>-1</v>
      </c>
      <c r="AE115" s="44"/>
      <c r="AF115" s="43"/>
      <c r="AG115" s="48"/>
      <c r="AH115" s="48"/>
      <c r="AI115" s="48"/>
      <c r="AJ115" s="48">
        <f t="shared" si="16"/>
        <v>0</v>
      </c>
      <c r="AK115" s="44"/>
      <c r="AL115" s="49">
        <v>32</v>
      </c>
      <c r="AM115">
        <v>30</v>
      </c>
      <c r="AP115" s="42">
        <v>2</v>
      </c>
      <c r="AQ115" s="44"/>
      <c r="AR115" s="43"/>
      <c r="AT115">
        <v>32</v>
      </c>
      <c r="AU115">
        <v>30</v>
      </c>
      <c r="AV115" s="42">
        <v>2</v>
      </c>
      <c r="AW115" s="44"/>
      <c r="AX115">
        <v>32</v>
      </c>
      <c r="AZ115">
        <v>30</v>
      </c>
      <c r="BC115" s="42">
        <v>2</v>
      </c>
      <c r="BD115" s="44"/>
      <c r="BE115" s="43"/>
      <c r="BI115" s="42">
        <v>0</v>
      </c>
      <c r="BJ115" s="44"/>
      <c r="BK115">
        <v>40</v>
      </c>
      <c r="BL115">
        <v>40</v>
      </c>
      <c r="BM115">
        <v>40</v>
      </c>
      <c r="BN115">
        <v>40</v>
      </c>
      <c r="BO115" s="42">
        <v>0</v>
      </c>
      <c r="BP115" s="44"/>
      <c r="BS115" s="42">
        <v>0</v>
      </c>
      <c r="BT115" s="44"/>
      <c r="BU115" s="43"/>
      <c r="BW115">
        <v>32</v>
      </c>
      <c r="BX115">
        <v>30</v>
      </c>
      <c r="BY115" s="42">
        <v>2</v>
      </c>
      <c r="BZ115" s="44"/>
      <c r="CA115">
        <v>32</v>
      </c>
      <c r="CB115">
        <v>32</v>
      </c>
      <c r="CC115">
        <v>64</v>
      </c>
      <c r="CD115">
        <v>68</v>
      </c>
      <c r="CE115" s="42">
        <v>-4</v>
      </c>
      <c r="CF115" s="44"/>
      <c r="CG115" s="43"/>
      <c r="CK115" s="42">
        <v>0</v>
      </c>
      <c r="CL115" s="44"/>
      <c r="CM115" s="43"/>
      <c r="CO115">
        <v>16</v>
      </c>
      <c r="CP115">
        <v>17</v>
      </c>
      <c r="CQ115" s="42">
        <v>-1</v>
      </c>
      <c r="CR115" s="44"/>
      <c r="CS115">
        <v>32</v>
      </c>
      <c r="CT115">
        <v>32</v>
      </c>
      <c r="CU115">
        <v>48</v>
      </c>
      <c r="CV115">
        <v>48</v>
      </c>
      <c r="CW115" s="42">
        <v>0</v>
      </c>
      <c r="CX115" s="44"/>
      <c r="CY115" s="43"/>
      <c r="DC115" s="42">
        <v>0</v>
      </c>
      <c r="DD115" s="44"/>
      <c r="DE115" s="43"/>
      <c r="DK115" s="42">
        <v>0</v>
      </c>
      <c r="DL115" s="44"/>
      <c r="DM115" s="43"/>
      <c r="DO115">
        <v>144</v>
      </c>
      <c r="DP115">
        <v>150</v>
      </c>
      <c r="DQ115" s="42">
        <v>-6</v>
      </c>
      <c r="DR115" s="44"/>
      <c r="DV115">
        <v>23</v>
      </c>
      <c r="DY115" s="39">
        <v>-23</v>
      </c>
      <c r="DZ115" s="44">
        <v>7.5900000000000007</v>
      </c>
      <c r="EA115" s="43"/>
      <c r="EE115" s="42">
        <v>0</v>
      </c>
      <c r="EF115" s="44"/>
      <c r="EG115" s="43"/>
      <c r="EK115" s="42">
        <v>0</v>
      </c>
      <c r="EL115" s="44"/>
      <c r="EM115" s="46">
        <v>48</v>
      </c>
      <c r="EN115">
        <v>48</v>
      </c>
      <c r="EO115">
        <v>48</v>
      </c>
      <c r="EP115">
        <v>52</v>
      </c>
      <c r="EQ115" s="42">
        <v>-4</v>
      </c>
      <c r="ER115" s="44"/>
      <c r="EW115">
        <v>136</v>
      </c>
      <c r="EX115">
        <v>140</v>
      </c>
      <c r="EY115" s="42">
        <v>-4</v>
      </c>
      <c r="EZ115" s="44"/>
      <c r="FE115" s="42">
        <v>0</v>
      </c>
      <c r="FF115" s="44"/>
      <c r="FG115" s="43"/>
      <c r="FI115">
        <v>72</v>
      </c>
      <c r="FJ115">
        <v>70</v>
      </c>
      <c r="FK115" s="42">
        <v>2</v>
      </c>
      <c r="FL115" s="44"/>
      <c r="FM115" s="46">
        <v>48</v>
      </c>
      <c r="FN115">
        <v>46</v>
      </c>
      <c r="FO115" s="42">
        <v>2</v>
      </c>
      <c r="FP115" s="44"/>
      <c r="FS115">
        <v>48</v>
      </c>
      <c r="FT115">
        <v>53</v>
      </c>
      <c r="FU115" s="42">
        <v>-5</v>
      </c>
      <c r="FV115" s="44"/>
      <c r="FW115" s="43"/>
      <c r="GA115">
        <v>48</v>
      </c>
      <c r="GB115">
        <v>50</v>
      </c>
      <c r="GC115" s="42">
        <v>-2</v>
      </c>
      <c r="GD115" s="44"/>
      <c r="GG115">
        <v>80</v>
      </c>
      <c r="GH115">
        <v>88</v>
      </c>
      <c r="GI115" s="39">
        <v>-8</v>
      </c>
      <c r="GJ115" s="44">
        <v>2.64</v>
      </c>
      <c r="GK115" s="43"/>
      <c r="GO115" s="42">
        <v>0</v>
      </c>
      <c r="GP115" s="47"/>
      <c r="GS115">
        <v>72</v>
      </c>
      <c r="GT115">
        <v>72</v>
      </c>
      <c r="GU115" s="42">
        <v>0</v>
      </c>
      <c r="GV115" s="44"/>
      <c r="GW115">
        <v>32</v>
      </c>
      <c r="GX115" s="40">
        <v>30</v>
      </c>
      <c r="GY115" s="42">
        <v>2</v>
      </c>
      <c r="GZ115" s="47"/>
      <c r="HA115" s="46">
        <v>32</v>
      </c>
      <c r="HB115">
        <v>34</v>
      </c>
      <c r="HC115" s="42">
        <v>-2</v>
      </c>
      <c r="HD115" s="44"/>
      <c r="HE115" s="43"/>
      <c r="HI115" s="42">
        <v>0</v>
      </c>
      <c r="HJ115" s="47"/>
      <c r="HK115" s="43"/>
      <c r="HO115" s="42">
        <v>0</v>
      </c>
      <c r="HP115" s="44"/>
      <c r="HT115">
        <v>152</v>
      </c>
      <c r="HU115">
        <v>150</v>
      </c>
      <c r="HV115" s="42">
        <v>2</v>
      </c>
      <c r="HW115" s="44"/>
      <c r="HX115" s="45"/>
      <c r="IB115" s="42">
        <v>0</v>
      </c>
      <c r="IC115" s="44"/>
      <c r="IF115">
        <v>72</v>
      </c>
      <c r="IG115">
        <v>70</v>
      </c>
      <c r="IH115" s="42">
        <v>2</v>
      </c>
      <c r="II115" s="47"/>
      <c r="IN115" s="42">
        <v>0</v>
      </c>
      <c r="IO115" s="47"/>
      <c r="IT115" s="42">
        <v>0</v>
      </c>
      <c r="IU115" s="47"/>
      <c r="IV115">
        <v>80</v>
      </c>
      <c r="IW115">
        <v>80</v>
      </c>
      <c r="IX115">
        <v>56</v>
      </c>
      <c r="IY115">
        <v>60</v>
      </c>
      <c r="IZ115" s="42">
        <v>-4</v>
      </c>
      <c r="JA115" s="44"/>
      <c r="JC115">
        <v>10</v>
      </c>
      <c r="JD115" s="39">
        <v>-10</v>
      </c>
      <c r="JE115" s="47">
        <v>3.3</v>
      </c>
      <c r="JH115">
        <v>40</v>
      </c>
      <c r="JI115">
        <v>41</v>
      </c>
      <c r="JJ115" s="42">
        <v>-1</v>
      </c>
      <c r="JK115" s="44"/>
      <c r="JL115" s="46">
        <v>32</v>
      </c>
      <c r="JM115" s="40">
        <v>30</v>
      </c>
      <c r="JN115" s="42">
        <v>2</v>
      </c>
      <c r="JO115" s="44"/>
      <c r="JR115">
        <v>40</v>
      </c>
      <c r="JS115">
        <v>40</v>
      </c>
      <c r="JT115" s="42">
        <v>0</v>
      </c>
      <c r="JU115" s="44"/>
      <c r="JV115">
        <v>32</v>
      </c>
      <c r="JW115">
        <v>30</v>
      </c>
      <c r="JZ115" s="42">
        <v>2</v>
      </c>
      <c r="KA115" s="47"/>
      <c r="KD115">
        <v>72</v>
      </c>
      <c r="KE115">
        <v>70</v>
      </c>
      <c r="KF115" s="42">
        <v>2</v>
      </c>
      <c r="KG115" s="44"/>
      <c r="KH115" s="41"/>
      <c r="KJ115">
        <v>32</v>
      </c>
      <c r="KK115">
        <v>30</v>
      </c>
      <c r="KL115" s="42">
        <v>2</v>
      </c>
      <c r="KM115" s="47"/>
      <c r="KN115" s="45"/>
      <c r="KR115">
        <v>8</v>
      </c>
      <c r="KT115" s="42">
        <v>8</v>
      </c>
      <c r="KU115" s="47"/>
      <c r="KV115" s="40">
        <v>0</v>
      </c>
      <c r="KW115" s="40">
        <v>0</v>
      </c>
      <c r="KX115" s="40">
        <v>104</v>
      </c>
      <c r="KY115" s="40">
        <v>102</v>
      </c>
      <c r="KZ115" s="42">
        <v>2</v>
      </c>
      <c r="LA115" s="47"/>
      <c r="LB115" s="40">
        <v>0</v>
      </c>
      <c r="LC115" s="40">
        <v>0</v>
      </c>
      <c r="LD115" s="40">
        <v>16</v>
      </c>
      <c r="LE115" s="40">
        <v>20</v>
      </c>
      <c r="LF115" s="42">
        <v>-4</v>
      </c>
      <c r="LG115" s="47"/>
      <c r="LH115" s="45">
        <v>16</v>
      </c>
      <c r="LI115" s="40">
        <v>16</v>
      </c>
      <c r="LJ115" s="42">
        <v>0</v>
      </c>
      <c r="LK115" s="47"/>
      <c r="LL115" s="45">
        <v>24</v>
      </c>
      <c r="LM115" s="40">
        <v>24</v>
      </c>
      <c r="LN115" s="40">
        <v>0</v>
      </c>
      <c r="LO115" s="40">
        <v>0</v>
      </c>
      <c r="LP115" s="42">
        <v>0</v>
      </c>
      <c r="LQ115" s="47"/>
      <c r="LR115" s="45">
        <v>40</v>
      </c>
      <c r="LS115" s="40">
        <v>40</v>
      </c>
      <c r="LT115" s="40">
        <v>40</v>
      </c>
      <c r="LU115" s="40">
        <v>40</v>
      </c>
      <c r="LV115" s="42">
        <v>0</v>
      </c>
      <c r="LW115" s="47"/>
      <c r="LX115" s="45">
        <v>0</v>
      </c>
      <c r="LY115" s="40">
        <v>0</v>
      </c>
      <c r="LZ115" s="42">
        <v>0</v>
      </c>
      <c r="MA115" s="47"/>
      <c r="MB115" s="45">
        <v>0</v>
      </c>
      <c r="MC115" s="40">
        <v>0</v>
      </c>
      <c r="MD115" s="40">
        <v>40</v>
      </c>
      <c r="ME115" s="40">
        <v>40</v>
      </c>
      <c r="MF115" s="42">
        <v>0</v>
      </c>
      <c r="MG115" s="47"/>
      <c r="MH115" s="45">
        <v>32</v>
      </c>
      <c r="MI115" s="40">
        <v>40</v>
      </c>
      <c r="MJ115" s="42">
        <v>-8</v>
      </c>
      <c r="MK115" s="47"/>
      <c r="ML115" s="45"/>
      <c r="MQ115" s="47"/>
      <c r="MW115" s="47"/>
      <c r="MX115" s="45"/>
      <c r="NC115" s="47"/>
      <c r="ND115" s="45"/>
      <c r="NI115" s="47"/>
      <c r="NJ115" s="45"/>
      <c r="NO115" s="47"/>
      <c r="NP115" s="45"/>
      <c r="NU115" s="47"/>
      <c r="NV115" s="45"/>
      <c r="OA115" s="47"/>
      <c r="OB115" s="45"/>
      <c r="OE115" s="47"/>
      <c r="OF115" s="45"/>
      <c r="OK115" s="47"/>
      <c r="OL115" s="45"/>
      <c r="OQ115" s="47"/>
      <c r="OR115" s="45"/>
      <c r="OW115" s="47"/>
      <c r="PC115" s="47"/>
      <c r="PD115" s="45"/>
      <c r="PI115" s="47"/>
      <c r="PJ115" s="45"/>
      <c r="PO115" s="47"/>
      <c r="PP115" s="43"/>
      <c r="PU115" s="47"/>
      <c r="PV115" s="45"/>
      <c r="QA115" s="47"/>
      <c r="QB115" s="45"/>
      <c r="QE115" s="47"/>
      <c r="QF115" s="45"/>
      <c r="QK115" s="47"/>
      <c r="QL115" s="45"/>
      <c r="QQ115" s="47"/>
      <c r="QR115" s="45"/>
      <c r="QW115" s="47"/>
      <c r="QX115" s="45"/>
      <c r="RB115" s="42"/>
      <c r="RC115" s="47"/>
      <c r="RD115" s="45"/>
      <c r="RF115" s="42"/>
      <c r="RG115" s="47"/>
    </row>
    <row r="116" spans="1:475" x14ac:dyDescent="0.25">
      <c r="A116" s="40" t="s">
        <v>405</v>
      </c>
      <c r="B116" s="41">
        <v>1</v>
      </c>
      <c r="N116" s="43"/>
      <c r="O116" s="48"/>
      <c r="P116" s="48"/>
      <c r="Q116" s="48"/>
      <c r="R116" s="48">
        <f t="shared" si="13"/>
        <v>0</v>
      </c>
      <c r="S116" s="44"/>
      <c r="T116" s="43"/>
      <c r="U116" s="48"/>
      <c r="V116" s="48"/>
      <c r="W116" s="48"/>
      <c r="X116" s="48">
        <f t="shared" si="14"/>
        <v>0</v>
      </c>
      <c r="Y116" s="44"/>
      <c r="Z116" s="43"/>
      <c r="AA116" s="48"/>
      <c r="AB116" s="48"/>
      <c r="AC116" s="48"/>
      <c r="AD116" s="48">
        <f t="shared" si="15"/>
        <v>0</v>
      </c>
      <c r="AE116" s="44"/>
      <c r="AF116" s="43"/>
      <c r="AG116" s="48"/>
      <c r="AH116" s="48"/>
      <c r="AI116" s="48"/>
      <c r="AJ116" s="48">
        <f t="shared" si="16"/>
        <v>0</v>
      </c>
      <c r="AK116" s="44"/>
      <c r="AL116" s="48"/>
      <c r="AP116" s="42">
        <v>0</v>
      </c>
      <c r="AQ116" s="44"/>
      <c r="AR116" s="43"/>
      <c r="AV116" s="42">
        <v>0</v>
      </c>
      <c r="AW116" s="44"/>
      <c r="BC116" s="42">
        <v>0</v>
      </c>
      <c r="BD116" s="44"/>
      <c r="BE116" s="43"/>
      <c r="BI116" s="42">
        <v>0</v>
      </c>
      <c r="BJ116" s="44"/>
      <c r="BO116" s="42">
        <v>0</v>
      </c>
      <c r="BP116" s="44"/>
      <c r="BS116" s="42">
        <v>0</v>
      </c>
      <c r="BT116" s="44"/>
      <c r="BU116" s="43"/>
      <c r="BY116" s="42">
        <v>0</v>
      </c>
      <c r="BZ116" s="44"/>
      <c r="CE116" s="42">
        <v>0</v>
      </c>
      <c r="CF116" s="44"/>
      <c r="CG116" s="43"/>
      <c r="CK116" s="42">
        <v>0</v>
      </c>
      <c r="CL116" s="44"/>
      <c r="CM116" s="43"/>
      <c r="CQ116" s="42">
        <v>0</v>
      </c>
      <c r="CR116" s="44"/>
      <c r="CW116" s="42">
        <v>0</v>
      </c>
      <c r="CX116" s="44"/>
      <c r="CY116" s="43"/>
      <c r="DC116" s="42">
        <v>0</v>
      </c>
      <c r="DD116" s="44"/>
      <c r="DE116" s="43"/>
      <c r="DK116" s="42">
        <v>0</v>
      </c>
      <c r="DL116" s="44"/>
      <c r="DM116" s="43"/>
      <c r="DQ116" s="42">
        <v>0</v>
      </c>
      <c r="DR116" s="44"/>
      <c r="DY116" s="42">
        <v>0</v>
      </c>
      <c r="DZ116" s="44"/>
      <c r="EA116" s="43"/>
      <c r="EE116" s="42">
        <v>0</v>
      </c>
      <c r="EF116" s="44"/>
      <c r="EG116" s="43"/>
      <c r="EK116" s="42">
        <v>0</v>
      </c>
      <c r="EL116" s="44"/>
      <c r="EM116" s="43"/>
      <c r="EQ116" s="42">
        <v>0</v>
      </c>
      <c r="ER116" s="44"/>
      <c r="EY116" s="42">
        <v>0</v>
      </c>
      <c r="EZ116" s="44"/>
      <c r="FE116" s="42">
        <v>0</v>
      </c>
      <c r="FF116" s="44"/>
      <c r="FG116" s="43"/>
      <c r="FK116" s="42">
        <v>0</v>
      </c>
      <c r="FL116" s="44"/>
      <c r="FM116" s="43"/>
      <c r="FO116" s="42">
        <v>0</v>
      </c>
      <c r="FP116" s="44"/>
      <c r="FU116" s="42">
        <v>0</v>
      </c>
      <c r="FV116" s="44"/>
      <c r="FW116" s="43"/>
      <c r="GC116" s="42">
        <v>0</v>
      </c>
      <c r="GD116" s="44"/>
      <c r="GI116" s="42">
        <v>0</v>
      </c>
      <c r="GJ116" s="44"/>
      <c r="GK116" s="43"/>
      <c r="GO116" s="42">
        <v>0</v>
      </c>
      <c r="GP116" s="47"/>
      <c r="GU116" s="42">
        <v>0</v>
      </c>
      <c r="GV116" s="44"/>
      <c r="GY116" s="42">
        <v>0</v>
      </c>
      <c r="GZ116" s="47"/>
      <c r="HA116" s="43"/>
      <c r="HC116" s="42">
        <v>0</v>
      </c>
      <c r="HD116" s="44"/>
      <c r="HE116" s="43"/>
      <c r="HI116" s="42">
        <v>0</v>
      </c>
      <c r="HJ116" s="47"/>
      <c r="HK116" s="43"/>
      <c r="HM116">
        <v>64</v>
      </c>
      <c r="HN116">
        <v>65</v>
      </c>
      <c r="HO116" s="42">
        <v>-1</v>
      </c>
      <c r="HP116" s="44"/>
      <c r="HT116">
        <v>21</v>
      </c>
      <c r="HU116">
        <v>20</v>
      </c>
      <c r="HV116" s="42">
        <v>1</v>
      </c>
      <c r="HW116" s="44"/>
      <c r="HX116" s="45"/>
      <c r="IB116" s="42">
        <v>0</v>
      </c>
      <c r="IC116" s="44"/>
      <c r="IF116">
        <v>42</v>
      </c>
      <c r="IG116">
        <v>40</v>
      </c>
      <c r="IH116" s="42">
        <v>2</v>
      </c>
      <c r="II116" s="47"/>
      <c r="IL116">
        <v>5</v>
      </c>
      <c r="IM116">
        <v>4</v>
      </c>
      <c r="IN116" s="42">
        <v>1</v>
      </c>
      <c r="IO116" s="47"/>
      <c r="IT116" s="42">
        <v>0</v>
      </c>
      <c r="IU116" s="47"/>
      <c r="IV116">
        <v>11</v>
      </c>
      <c r="IW116">
        <v>10</v>
      </c>
      <c r="IZ116" s="42">
        <v>1</v>
      </c>
      <c r="JA116" s="44"/>
      <c r="JD116" s="42">
        <v>0</v>
      </c>
      <c r="JE116" s="44"/>
      <c r="JH116">
        <v>42</v>
      </c>
      <c r="JI116">
        <v>40</v>
      </c>
      <c r="JJ116" s="42">
        <v>2</v>
      </c>
      <c r="JK116" s="44"/>
      <c r="JL116" s="46">
        <v>5</v>
      </c>
      <c r="JM116" s="40">
        <v>4</v>
      </c>
      <c r="JN116" s="42">
        <v>1</v>
      </c>
      <c r="JO116" s="44"/>
      <c r="JT116" s="42">
        <v>0</v>
      </c>
      <c r="JU116" s="44"/>
      <c r="JX116">
        <v>31</v>
      </c>
      <c r="JY116">
        <v>30</v>
      </c>
      <c r="JZ116" s="42">
        <v>1</v>
      </c>
      <c r="KA116" s="47"/>
      <c r="KF116" s="42">
        <v>0</v>
      </c>
      <c r="KG116" s="44"/>
      <c r="KH116" s="41"/>
      <c r="KJ116">
        <v>21</v>
      </c>
      <c r="KK116">
        <v>23</v>
      </c>
      <c r="KL116" s="42">
        <v>-2</v>
      </c>
      <c r="KM116" s="47"/>
      <c r="KN116" s="46">
        <v>5</v>
      </c>
      <c r="KO116">
        <v>7</v>
      </c>
      <c r="KT116" s="42">
        <v>-2</v>
      </c>
      <c r="KU116" s="47"/>
      <c r="KV116" s="40">
        <v>0</v>
      </c>
      <c r="KW116" s="40">
        <v>0</v>
      </c>
      <c r="KX116" s="40">
        <v>21.047999999999998</v>
      </c>
      <c r="KY116" s="40">
        <v>20</v>
      </c>
      <c r="KZ116" s="42">
        <v>1.047999999999998</v>
      </c>
      <c r="LA116" s="47"/>
      <c r="LB116" s="40">
        <v>0</v>
      </c>
      <c r="LC116" s="40">
        <v>0</v>
      </c>
      <c r="LD116" s="40">
        <v>0</v>
      </c>
      <c r="LE116" s="40">
        <v>0</v>
      </c>
      <c r="LF116" s="42">
        <v>0</v>
      </c>
      <c r="LG116" s="47"/>
      <c r="LH116" s="45">
        <v>5.3090000000000002</v>
      </c>
      <c r="LI116" s="40">
        <v>5</v>
      </c>
      <c r="LJ116" s="42">
        <v>0.30900000000000022</v>
      </c>
      <c r="LK116" s="47"/>
      <c r="LL116" s="45">
        <v>0</v>
      </c>
      <c r="LM116" s="40">
        <v>0</v>
      </c>
      <c r="LN116" s="40">
        <v>0</v>
      </c>
      <c r="LO116" s="40">
        <v>0</v>
      </c>
      <c r="LP116" s="42">
        <v>0</v>
      </c>
      <c r="LQ116" s="47"/>
      <c r="LR116" s="45">
        <v>0</v>
      </c>
      <c r="LS116" s="40">
        <v>0</v>
      </c>
      <c r="LT116" s="40">
        <v>0</v>
      </c>
      <c r="LU116" s="40">
        <v>0</v>
      </c>
      <c r="LV116" s="42">
        <v>0</v>
      </c>
      <c r="LW116" s="47"/>
      <c r="LX116" s="45">
        <v>0</v>
      </c>
      <c r="LY116" s="40">
        <v>0</v>
      </c>
      <c r="LZ116" s="42">
        <v>0</v>
      </c>
      <c r="MA116" s="47"/>
      <c r="MB116" s="45">
        <v>0</v>
      </c>
      <c r="MC116" s="40">
        <v>0</v>
      </c>
      <c r="MD116" s="40">
        <v>58.648000000000003</v>
      </c>
      <c r="ME116" s="40">
        <v>58</v>
      </c>
      <c r="MF116" s="42">
        <v>0.64800000000000324</v>
      </c>
      <c r="MG116" s="47"/>
      <c r="MH116" s="45">
        <v>0</v>
      </c>
      <c r="MI116" s="40">
        <v>0</v>
      </c>
      <c r="MJ116" s="42">
        <v>0</v>
      </c>
      <c r="MK116" s="47"/>
      <c r="ML116" s="45">
        <v>0</v>
      </c>
      <c r="MM116" s="40">
        <v>0</v>
      </c>
      <c r="MN116" s="40">
        <v>10.468999999999999</v>
      </c>
      <c r="MO116" s="40">
        <v>10</v>
      </c>
      <c r="MP116" s="42">
        <v>0.46899999999999942</v>
      </c>
      <c r="MQ116" s="47"/>
      <c r="MR116" s="40">
        <v>0</v>
      </c>
      <c r="MS116" s="40">
        <v>0</v>
      </c>
      <c r="MT116" s="40">
        <v>58.076000000000001</v>
      </c>
      <c r="MU116" s="40">
        <v>57</v>
      </c>
      <c r="MV116" s="42">
        <v>1.076000000000001</v>
      </c>
      <c r="MW116" s="47"/>
      <c r="MX116" s="45">
        <v>0</v>
      </c>
      <c r="MY116" s="40">
        <v>0</v>
      </c>
      <c r="MZ116" s="40">
        <v>0</v>
      </c>
      <c r="NA116" s="40">
        <v>0</v>
      </c>
      <c r="NB116" s="42">
        <v>0</v>
      </c>
      <c r="NC116" s="47"/>
      <c r="ND116" s="45">
        <v>0</v>
      </c>
      <c r="NE116" s="40">
        <v>0</v>
      </c>
      <c r="NF116" s="40">
        <v>0</v>
      </c>
      <c r="NG116" s="40">
        <v>0</v>
      </c>
      <c r="NH116" s="42">
        <v>0</v>
      </c>
      <c r="NI116" s="47"/>
      <c r="NJ116" s="45">
        <v>0</v>
      </c>
      <c r="NK116" s="40">
        <v>0</v>
      </c>
      <c r="NL116" s="40">
        <v>16.151</v>
      </c>
      <c r="NM116" s="40">
        <v>15</v>
      </c>
      <c r="NN116" s="42">
        <v>1.151</v>
      </c>
      <c r="NO116" s="47"/>
      <c r="NP116" s="45">
        <v>0</v>
      </c>
      <c r="NQ116" s="40">
        <v>0</v>
      </c>
      <c r="NR116" s="40">
        <v>42.366</v>
      </c>
      <c r="NS116" s="40">
        <v>40</v>
      </c>
      <c r="NT116" s="42">
        <v>2.3660000000000001</v>
      </c>
      <c r="NU116" s="47"/>
      <c r="NV116" s="45">
        <v>0</v>
      </c>
      <c r="NW116" s="40">
        <v>0</v>
      </c>
      <c r="NX116" s="40">
        <v>0</v>
      </c>
      <c r="NY116" s="40">
        <v>0</v>
      </c>
      <c r="NZ116" s="42">
        <v>0</v>
      </c>
      <c r="OA116" s="47"/>
      <c r="OB116" s="45">
        <v>0</v>
      </c>
      <c r="OC116" s="40">
        <v>0</v>
      </c>
      <c r="OD116" s="42">
        <v>0</v>
      </c>
      <c r="OE116" s="47"/>
      <c r="OF116" s="45">
        <v>0</v>
      </c>
      <c r="OG116" s="40">
        <v>0</v>
      </c>
      <c r="OH116" s="40">
        <v>0</v>
      </c>
      <c r="OI116" s="40">
        <v>0</v>
      </c>
      <c r="OJ116" s="42">
        <v>0</v>
      </c>
      <c r="OK116" s="47"/>
      <c r="OL116" s="45">
        <v>0</v>
      </c>
      <c r="OM116" s="40">
        <v>0</v>
      </c>
      <c r="ON116" s="40">
        <v>0</v>
      </c>
      <c r="OO116" s="40">
        <v>0</v>
      </c>
      <c r="OP116" s="42">
        <v>0</v>
      </c>
      <c r="OQ116" s="47"/>
      <c r="OR116" s="45">
        <v>0</v>
      </c>
      <c r="OS116" s="40">
        <v>0</v>
      </c>
      <c r="OT116" s="40">
        <v>90.43</v>
      </c>
      <c r="OU116" s="40">
        <v>91</v>
      </c>
      <c r="OV116" s="42">
        <v>-0.56999999999999318</v>
      </c>
      <c r="OW116" s="47"/>
      <c r="OX116" s="40">
        <v>0</v>
      </c>
      <c r="OY116" s="40">
        <v>0</v>
      </c>
      <c r="OZ116" s="40">
        <v>0</v>
      </c>
      <c r="PA116" s="40">
        <v>0</v>
      </c>
      <c r="PB116" s="42">
        <v>0</v>
      </c>
      <c r="PC116" s="47"/>
      <c r="PD116" s="45">
        <v>0</v>
      </c>
      <c r="PE116" s="40">
        <v>0</v>
      </c>
      <c r="PF116" s="40">
        <v>0</v>
      </c>
      <c r="PG116" s="40">
        <v>0</v>
      </c>
      <c r="PH116" s="42">
        <v>0</v>
      </c>
      <c r="PI116" s="47"/>
      <c r="PJ116" s="45">
        <v>0</v>
      </c>
      <c r="PK116" s="40">
        <v>0</v>
      </c>
      <c r="PL116" s="40">
        <v>0</v>
      </c>
      <c r="PM116" s="40">
        <v>0</v>
      </c>
      <c r="PN116" s="42">
        <v>0</v>
      </c>
      <c r="PO116" s="47"/>
      <c r="PP116" s="43">
        <v>0</v>
      </c>
      <c r="PQ116" s="40">
        <v>0</v>
      </c>
      <c r="PR116" s="40">
        <v>0</v>
      </c>
      <c r="PS116" s="40">
        <v>0</v>
      </c>
      <c r="PT116" s="42">
        <v>0</v>
      </c>
      <c r="PU116" s="47"/>
      <c r="PV116" s="45">
        <v>80.367000000000004</v>
      </c>
      <c r="PW116" s="40">
        <v>80</v>
      </c>
      <c r="PX116" s="40">
        <v>0</v>
      </c>
      <c r="PY116" s="40">
        <v>0</v>
      </c>
      <c r="PZ116" s="42">
        <v>0.36700000000000438</v>
      </c>
      <c r="QA116" s="47"/>
      <c r="QB116" s="45">
        <v>100.578</v>
      </c>
      <c r="QC116" s="40">
        <v>100</v>
      </c>
      <c r="QD116" s="42">
        <v>0.57800000000000296</v>
      </c>
      <c r="QE116" s="47"/>
      <c r="QF116" s="45">
        <v>0</v>
      </c>
      <c r="QG116" s="40">
        <v>0</v>
      </c>
      <c r="QH116" s="40">
        <v>0</v>
      </c>
      <c r="QI116" s="40">
        <v>0</v>
      </c>
      <c r="QJ116" s="42">
        <v>0</v>
      </c>
      <c r="QK116" s="47"/>
      <c r="QL116" s="45">
        <v>67.751000000000005</v>
      </c>
      <c r="QM116" s="40">
        <v>70</v>
      </c>
      <c r="QN116" s="40">
        <v>0</v>
      </c>
      <c r="QO116" s="40">
        <v>80</v>
      </c>
      <c r="QP116" s="39">
        <v>-82.248999999999995</v>
      </c>
      <c r="QQ116" s="47">
        <v>82.248999999999995</v>
      </c>
      <c r="QR116" s="45">
        <v>0</v>
      </c>
      <c r="QS116" s="40">
        <v>0</v>
      </c>
      <c r="QT116" s="40">
        <v>0</v>
      </c>
      <c r="QU116" s="40">
        <v>0</v>
      </c>
      <c r="QV116" s="42">
        <v>0</v>
      </c>
      <c r="QW116" s="47"/>
      <c r="QX116" s="45">
        <v>0</v>
      </c>
      <c r="QY116" s="40">
        <v>0</v>
      </c>
      <c r="QZ116" s="40">
        <v>0</v>
      </c>
      <c r="RA116" s="40">
        <v>0</v>
      </c>
      <c r="RB116" s="42">
        <v>0</v>
      </c>
      <c r="RC116" s="47"/>
      <c r="RD116" s="45">
        <v>0</v>
      </c>
      <c r="RE116" s="40">
        <v>0</v>
      </c>
      <c r="RF116" s="42">
        <v>0</v>
      </c>
      <c r="RG116" s="47"/>
    </row>
    <row r="117" spans="1:475" x14ac:dyDescent="0.25">
      <c r="A117" s="40" t="s">
        <v>406</v>
      </c>
      <c r="B117" s="41">
        <v>0.33</v>
      </c>
      <c r="F117">
        <v>30</v>
      </c>
      <c r="J117">
        <v>32</v>
      </c>
      <c r="K117">
        <v>30</v>
      </c>
      <c r="N117" s="43"/>
      <c r="O117" s="49">
        <v>24</v>
      </c>
      <c r="P117" s="49">
        <v>24</v>
      </c>
      <c r="Q117" s="49">
        <v>26</v>
      </c>
      <c r="R117" s="53">
        <f t="shared" si="13"/>
        <v>-26</v>
      </c>
      <c r="S117" s="44">
        <f>-1*R117*B117</f>
        <v>8.58</v>
      </c>
      <c r="T117" s="43"/>
      <c r="U117" s="48"/>
      <c r="V117" s="49">
        <v>24</v>
      </c>
      <c r="W117" s="49">
        <v>30</v>
      </c>
      <c r="X117" s="48">
        <f t="shared" si="14"/>
        <v>-6</v>
      </c>
      <c r="Y117" s="44"/>
      <c r="Z117" s="43"/>
      <c r="AA117" s="48"/>
      <c r="AB117" s="48"/>
      <c r="AC117" s="49">
        <v>60</v>
      </c>
      <c r="AD117" s="53">
        <f t="shared" si="15"/>
        <v>-60</v>
      </c>
      <c r="AE117" s="44">
        <f>-1*AD117*B117</f>
        <v>19.8</v>
      </c>
      <c r="AF117" s="43"/>
      <c r="AG117" s="48"/>
      <c r="AH117" s="48"/>
      <c r="AI117" s="48"/>
      <c r="AJ117" s="48">
        <f t="shared" si="16"/>
        <v>0</v>
      </c>
      <c r="AK117" s="44"/>
      <c r="AL117" s="48"/>
      <c r="AN117">
        <v>32</v>
      </c>
      <c r="AO117">
        <v>30</v>
      </c>
      <c r="AP117" s="42">
        <v>2</v>
      </c>
      <c r="AQ117" s="44"/>
      <c r="AR117" s="43"/>
      <c r="AT117">
        <v>32</v>
      </c>
      <c r="AU117">
        <v>30</v>
      </c>
      <c r="AV117" s="42">
        <v>2</v>
      </c>
      <c r="AW117" s="44"/>
      <c r="BB117">
        <v>20</v>
      </c>
      <c r="BC117" s="39">
        <v>-20</v>
      </c>
      <c r="BD117" s="44">
        <v>6.6000000000000014</v>
      </c>
      <c r="BE117" s="43"/>
      <c r="BI117" s="42">
        <v>0</v>
      </c>
      <c r="BJ117" s="44"/>
      <c r="BL117">
        <v>24</v>
      </c>
      <c r="BM117">
        <v>32</v>
      </c>
      <c r="BN117">
        <v>36</v>
      </c>
      <c r="BO117" s="39">
        <v>-28</v>
      </c>
      <c r="BP117" s="44">
        <v>9.24</v>
      </c>
      <c r="BS117" s="42">
        <v>0</v>
      </c>
      <c r="BT117" s="44"/>
      <c r="BU117" s="43"/>
      <c r="BY117" s="42">
        <v>0</v>
      </c>
      <c r="BZ117" s="44"/>
      <c r="CA117">
        <v>32</v>
      </c>
      <c r="CB117">
        <v>32</v>
      </c>
      <c r="CC117">
        <v>64</v>
      </c>
      <c r="CD117">
        <v>68</v>
      </c>
      <c r="CE117" s="42">
        <v>-4</v>
      </c>
      <c r="CF117" s="44"/>
      <c r="CG117" s="43"/>
      <c r="CI117">
        <v>40</v>
      </c>
      <c r="CJ117">
        <v>40</v>
      </c>
      <c r="CK117" s="42">
        <v>0</v>
      </c>
      <c r="CL117" s="44"/>
      <c r="CM117" s="43"/>
      <c r="CQ117" s="42">
        <v>0</v>
      </c>
      <c r="CR117" s="44"/>
      <c r="CS117">
        <v>32</v>
      </c>
      <c r="CT117">
        <v>32</v>
      </c>
      <c r="CU117">
        <v>48</v>
      </c>
      <c r="CV117">
        <v>48</v>
      </c>
      <c r="CW117" s="42">
        <v>0</v>
      </c>
      <c r="CX117" s="44"/>
      <c r="CY117" s="43"/>
      <c r="DC117" s="42">
        <v>0</v>
      </c>
      <c r="DD117" s="44"/>
      <c r="DE117" s="43"/>
      <c r="DK117" s="42">
        <v>0</v>
      </c>
      <c r="DL117" s="44"/>
      <c r="DM117" s="43"/>
      <c r="DO117">
        <v>112</v>
      </c>
      <c r="DP117">
        <v>112</v>
      </c>
      <c r="DQ117" s="42">
        <v>0</v>
      </c>
      <c r="DR117" s="44"/>
      <c r="DV117">
        <v>50</v>
      </c>
      <c r="DY117" s="39">
        <v>-50</v>
      </c>
      <c r="DZ117" s="44">
        <v>16.5</v>
      </c>
      <c r="EA117" s="43"/>
      <c r="EE117" s="42">
        <v>0</v>
      </c>
      <c r="EF117" s="44"/>
      <c r="EG117" s="43"/>
      <c r="EI117">
        <v>96</v>
      </c>
      <c r="EJ117">
        <v>100</v>
      </c>
      <c r="EK117" s="42">
        <v>-4</v>
      </c>
      <c r="EL117" s="44"/>
      <c r="EM117" s="43"/>
      <c r="EQ117" s="42">
        <v>0</v>
      </c>
      <c r="ER117" s="44"/>
      <c r="EW117">
        <v>32</v>
      </c>
      <c r="EX117">
        <v>30</v>
      </c>
      <c r="EY117" s="42">
        <v>2</v>
      </c>
      <c r="EZ117" s="44"/>
      <c r="FC117">
        <v>88</v>
      </c>
      <c r="FD117">
        <v>93</v>
      </c>
      <c r="FE117" s="42">
        <v>-5</v>
      </c>
      <c r="FF117" s="44"/>
      <c r="FG117" s="43"/>
      <c r="FK117" s="42">
        <v>0</v>
      </c>
      <c r="FL117" s="44"/>
      <c r="FM117" s="43"/>
      <c r="FO117" s="42">
        <v>0</v>
      </c>
      <c r="FP117" s="44"/>
      <c r="FS117">
        <v>96</v>
      </c>
      <c r="FT117">
        <v>100</v>
      </c>
      <c r="FU117" s="42">
        <v>-4</v>
      </c>
      <c r="FV117" s="44"/>
      <c r="FW117" s="43"/>
      <c r="GC117" s="42">
        <v>0</v>
      </c>
      <c r="GD117" s="44"/>
      <c r="GG117">
        <v>8</v>
      </c>
      <c r="GH117">
        <v>8</v>
      </c>
      <c r="GI117" s="42">
        <v>0</v>
      </c>
      <c r="GJ117" s="44"/>
      <c r="GK117" s="43"/>
      <c r="GM117">
        <v>72</v>
      </c>
      <c r="GN117">
        <v>70</v>
      </c>
      <c r="GO117" s="42">
        <v>2</v>
      </c>
      <c r="GP117" s="47"/>
      <c r="GU117" s="42">
        <v>0</v>
      </c>
      <c r="GV117" s="44"/>
      <c r="GW117">
        <v>40</v>
      </c>
      <c r="GX117" s="40">
        <v>40</v>
      </c>
      <c r="GY117" s="42">
        <v>0</v>
      </c>
      <c r="GZ117" s="47"/>
      <c r="HA117" s="46">
        <v>56</v>
      </c>
      <c r="HB117">
        <v>58</v>
      </c>
      <c r="HC117" s="42">
        <v>-2</v>
      </c>
      <c r="HD117" s="44"/>
      <c r="HE117" s="43"/>
      <c r="HI117" s="42">
        <v>0</v>
      </c>
      <c r="HJ117" s="47"/>
      <c r="HK117" s="43"/>
      <c r="HM117">
        <v>8</v>
      </c>
      <c r="HN117">
        <v>8</v>
      </c>
      <c r="HO117" s="42">
        <v>0</v>
      </c>
      <c r="HP117" s="44"/>
      <c r="HT117">
        <v>96</v>
      </c>
      <c r="HU117">
        <v>96</v>
      </c>
      <c r="HV117" s="42">
        <v>0</v>
      </c>
      <c r="HW117" s="44"/>
      <c r="HX117" s="46">
        <v>24</v>
      </c>
      <c r="HY117">
        <v>24</v>
      </c>
      <c r="IB117" s="42">
        <v>0</v>
      </c>
      <c r="IC117" s="44"/>
      <c r="IF117">
        <v>32</v>
      </c>
      <c r="IG117">
        <v>30</v>
      </c>
      <c r="IH117" s="42">
        <v>2</v>
      </c>
      <c r="II117" s="47"/>
      <c r="IL117">
        <v>72</v>
      </c>
      <c r="IM117">
        <v>70</v>
      </c>
      <c r="IN117" s="42">
        <v>2</v>
      </c>
      <c r="IO117" s="47"/>
      <c r="IP117">
        <v>24</v>
      </c>
      <c r="IQ117">
        <v>24</v>
      </c>
      <c r="IR117">
        <v>16</v>
      </c>
      <c r="IS117">
        <v>16</v>
      </c>
      <c r="IT117" s="42">
        <v>0</v>
      </c>
      <c r="IU117" s="47"/>
      <c r="IV117">
        <v>32</v>
      </c>
      <c r="IW117">
        <v>30</v>
      </c>
      <c r="IZ117" s="42">
        <v>2</v>
      </c>
      <c r="JA117" s="44"/>
      <c r="JD117" s="42">
        <v>0</v>
      </c>
      <c r="JE117" s="44"/>
      <c r="JH117">
        <v>88</v>
      </c>
      <c r="JI117">
        <v>87</v>
      </c>
      <c r="JJ117" s="42">
        <v>1</v>
      </c>
      <c r="JK117" s="44"/>
      <c r="JL117" s="45"/>
      <c r="JN117" s="42">
        <v>0</v>
      </c>
      <c r="JO117" s="44"/>
      <c r="JT117" s="42">
        <v>0</v>
      </c>
      <c r="JU117" s="44"/>
      <c r="JZ117" s="42">
        <v>0</v>
      </c>
      <c r="KA117" s="47"/>
      <c r="KF117" s="42">
        <v>0</v>
      </c>
      <c r="KG117" s="44"/>
      <c r="KH117">
        <v>48</v>
      </c>
      <c r="KI117">
        <v>50</v>
      </c>
      <c r="KJ117">
        <v>240</v>
      </c>
      <c r="KK117">
        <v>240</v>
      </c>
      <c r="KL117" s="42">
        <v>-2</v>
      </c>
      <c r="KM117" s="47"/>
      <c r="KN117" s="45"/>
      <c r="KR117">
        <v>16</v>
      </c>
      <c r="KT117" s="42">
        <v>16</v>
      </c>
      <c r="KU117" s="47"/>
      <c r="KV117" s="40">
        <v>0</v>
      </c>
      <c r="KW117" s="40">
        <v>0</v>
      </c>
      <c r="KX117" s="40">
        <v>248</v>
      </c>
      <c r="KY117" s="40">
        <v>246</v>
      </c>
      <c r="KZ117" s="42">
        <v>2</v>
      </c>
      <c r="LA117" s="47"/>
      <c r="LB117" s="40">
        <v>0</v>
      </c>
      <c r="LC117" s="40">
        <v>0</v>
      </c>
      <c r="LD117" s="40">
        <v>0</v>
      </c>
      <c r="LE117" s="40">
        <v>0</v>
      </c>
      <c r="LF117" s="42">
        <v>0</v>
      </c>
      <c r="LG117" s="47"/>
      <c r="LH117" s="45">
        <v>0</v>
      </c>
      <c r="LI117" s="40">
        <v>0</v>
      </c>
      <c r="LJ117" s="42">
        <v>0</v>
      </c>
      <c r="LK117" s="47"/>
      <c r="LL117" s="45">
        <v>0</v>
      </c>
      <c r="LM117" s="40">
        <v>0</v>
      </c>
      <c r="LN117" s="40">
        <v>0</v>
      </c>
      <c r="LO117" s="40">
        <v>0</v>
      </c>
      <c r="LP117" s="42">
        <v>0</v>
      </c>
      <c r="LQ117" s="47"/>
      <c r="LR117" s="45">
        <v>0</v>
      </c>
      <c r="LS117" s="40">
        <v>0</v>
      </c>
      <c r="LT117" s="40">
        <v>0</v>
      </c>
      <c r="LU117" s="40">
        <v>0</v>
      </c>
      <c r="LV117" s="42">
        <v>0</v>
      </c>
      <c r="LW117" s="47"/>
      <c r="LX117" s="45">
        <v>160</v>
      </c>
      <c r="LY117" s="40">
        <v>160</v>
      </c>
      <c r="LZ117" s="42">
        <v>0</v>
      </c>
      <c r="MA117" s="47"/>
      <c r="MB117" s="45">
        <v>0</v>
      </c>
      <c r="MC117" s="40">
        <v>0</v>
      </c>
      <c r="MD117" s="40">
        <v>0</v>
      </c>
      <c r="ME117" s="40">
        <v>0</v>
      </c>
      <c r="MF117" s="42">
        <v>0</v>
      </c>
      <c r="MG117" s="47"/>
      <c r="MH117" s="45">
        <v>448</v>
      </c>
      <c r="MI117" s="40">
        <v>450</v>
      </c>
      <c r="MJ117" s="42">
        <v>-2</v>
      </c>
      <c r="MK117" s="47"/>
      <c r="ML117" s="45">
        <v>0</v>
      </c>
      <c r="MM117" s="40">
        <v>0</v>
      </c>
      <c r="MN117" s="40">
        <v>0</v>
      </c>
      <c r="MO117" s="40">
        <v>0</v>
      </c>
      <c r="MP117" s="42">
        <v>0</v>
      </c>
      <c r="MQ117" s="47"/>
      <c r="MR117" s="40">
        <v>0</v>
      </c>
      <c r="MS117" s="40">
        <v>0</v>
      </c>
      <c r="MT117" s="40">
        <v>16</v>
      </c>
      <c r="MU117" s="40">
        <v>20</v>
      </c>
      <c r="MV117" s="42">
        <v>-4</v>
      </c>
      <c r="MW117" s="47"/>
      <c r="MX117" s="45">
        <v>48</v>
      </c>
      <c r="MY117" s="40">
        <v>50</v>
      </c>
      <c r="MZ117" s="40">
        <v>152</v>
      </c>
      <c r="NA117" s="40">
        <v>150</v>
      </c>
      <c r="NB117" s="42">
        <v>0</v>
      </c>
      <c r="NC117" s="47"/>
      <c r="ND117" s="45">
        <v>0</v>
      </c>
      <c r="NE117" s="40">
        <v>0</v>
      </c>
      <c r="NF117" s="40">
        <v>40</v>
      </c>
      <c r="NG117" s="40">
        <v>39</v>
      </c>
      <c r="NH117" s="42">
        <v>1</v>
      </c>
      <c r="NI117" s="47"/>
      <c r="NJ117" s="45">
        <v>0</v>
      </c>
      <c r="NK117" s="40">
        <v>0</v>
      </c>
      <c r="NL117" s="40">
        <v>16</v>
      </c>
      <c r="NM117" s="40">
        <v>16</v>
      </c>
      <c r="NN117" s="42">
        <v>0</v>
      </c>
      <c r="NO117" s="47"/>
      <c r="NP117" s="45">
        <v>0</v>
      </c>
      <c r="NQ117" s="40">
        <v>0</v>
      </c>
      <c r="NR117" s="40">
        <v>16</v>
      </c>
      <c r="NS117" s="40">
        <v>20</v>
      </c>
      <c r="NT117" s="42">
        <v>-4</v>
      </c>
      <c r="NU117" s="47"/>
      <c r="NV117" s="45">
        <v>0</v>
      </c>
      <c r="NW117" s="40">
        <v>0</v>
      </c>
      <c r="NX117" s="40">
        <v>152</v>
      </c>
      <c r="NY117" s="40">
        <v>150</v>
      </c>
      <c r="NZ117" s="42">
        <v>2</v>
      </c>
      <c r="OA117" s="47"/>
      <c r="OB117" s="45">
        <v>0</v>
      </c>
      <c r="OC117" s="40">
        <v>0</v>
      </c>
      <c r="OD117" s="42">
        <v>0</v>
      </c>
      <c r="OE117" s="47"/>
      <c r="OF117" s="45">
        <v>0</v>
      </c>
      <c r="OG117" s="40">
        <v>0</v>
      </c>
      <c r="OH117" s="40">
        <v>0</v>
      </c>
      <c r="OI117" s="40">
        <v>0</v>
      </c>
      <c r="OJ117" s="42">
        <v>0</v>
      </c>
      <c r="OK117" s="47"/>
      <c r="OL117" s="45">
        <v>0</v>
      </c>
      <c r="OM117" s="40">
        <v>0</v>
      </c>
      <c r="ON117" s="40">
        <v>40</v>
      </c>
      <c r="OO117" s="40">
        <v>40</v>
      </c>
      <c r="OP117" s="42">
        <v>0</v>
      </c>
      <c r="OQ117" s="47"/>
      <c r="OR117" s="45">
        <v>48</v>
      </c>
      <c r="OS117" s="40">
        <v>50</v>
      </c>
      <c r="OT117" s="40">
        <v>56</v>
      </c>
      <c r="OU117" s="40">
        <v>58</v>
      </c>
      <c r="OV117" s="42">
        <v>-4</v>
      </c>
      <c r="OW117" s="47"/>
      <c r="OX117" s="40">
        <v>0</v>
      </c>
      <c r="OY117" s="40">
        <v>0</v>
      </c>
      <c r="OZ117" s="40">
        <v>0</v>
      </c>
      <c r="PA117" s="40">
        <v>0</v>
      </c>
      <c r="PB117" s="42">
        <v>0</v>
      </c>
      <c r="PC117" s="47"/>
      <c r="PD117" s="45">
        <v>0</v>
      </c>
      <c r="PE117" s="40">
        <v>0</v>
      </c>
      <c r="PF117" s="40">
        <v>0</v>
      </c>
      <c r="PG117" s="40">
        <v>0</v>
      </c>
      <c r="PH117" s="42">
        <v>0</v>
      </c>
      <c r="PI117" s="47"/>
      <c r="PJ117" s="45">
        <v>0</v>
      </c>
      <c r="PK117" s="40">
        <v>0</v>
      </c>
      <c r="PL117" s="40">
        <v>0</v>
      </c>
      <c r="PM117" s="40">
        <v>0</v>
      </c>
      <c r="PN117" s="42">
        <v>0</v>
      </c>
      <c r="PO117" s="47"/>
      <c r="PP117" s="43">
        <v>0</v>
      </c>
      <c r="PQ117" s="40">
        <v>0</v>
      </c>
      <c r="PR117" s="40">
        <v>8</v>
      </c>
      <c r="PS117" s="40">
        <v>10</v>
      </c>
      <c r="PT117" s="42">
        <v>-2</v>
      </c>
      <c r="PU117" s="47"/>
      <c r="PV117" s="45">
        <v>80</v>
      </c>
      <c r="PW117" s="40">
        <v>80</v>
      </c>
      <c r="PX117" s="40">
        <v>0</v>
      </c>
      <c r="PY117" s="40">
        <v>0</v>
      </c>
      <c r="PZ117" s="42">
        <v>0</v>
      </c>
      <c r="QA117" s="47"/>
      <c r="QB117" s="45">
        <v>48</v>
      </c>
      <c r="QC117" s="40">
        <v>48</v>
      </c>
      <c r="QD117" s="42">
        <v>0</v>
      </c>
      <c r="QE117" s="47"/>
      <c r="QF117" s="45">
        <v>0</v>
      </c>
      <c r="QG117" s="40">
        <v>0</v>
      </c>
      <c r="QH117" s="40">
        <v>0</v>
      </c>
      <c r="QI117" s="40">
        <v>0</v>
      </c>
      <c r="QJ117" s="42">
        <v>0</v>
      </c>
      <c r="QK117" s="47"/>
      <c r="QL117" s="45">
        <v>120</v>
      </c>
      <c r="QM117" s="40">
        <v>120</v>
      </c>
      <c r="QN117" s="40">
        <v>120</v>
      </c>
      <c r="QO117" s="40">
        <v>130</v>
      </c>
      <c r="QP117" s="39">
        <v>-10</v>
      </c>
      <c r="QQ117" s="47">
        <v>3.3</v>
      </c>
      <c r="QR117" s="45">
        <v>0</v>
      </c>
      <c r="QS117" s="40">
        <v>0</v>
      </c>
      <c r="QT117" s="40">
        <v>0</v>
      </c>
      <c r="QU117" s="40">
        <v>0</v>
      </c>
      <c r="QV117" s="42">
        <v>0</v>
      </c>
      <c r="QW117" s="47"/>
      <c r="QX117" s="45">
        <v>0</v>
      </c>
      <c r="QY117" s="40">
        <v>0</v>
      </c>
      <c r="QZ117" s="40">
        <v>0</v>
      </c>
      <c r="RA117" s="40">
        <v>0</v>
      </c>
      <c r="RB117" s="42">
        <v>0</v>
      </c>
      <c r="RC117" s="47"/>
      <c r="RD117" s="45">
        <v>0</v>
      </c>
      <c r="RE117" s="40">
        <v>0</v>
      </c>
      <c r="RF117" s="42">
        <v>0</v>
      </c>
      <c r="RG117" s="47"/>
    </row>
    <row r="118" spans="1:475" x14ac:dyDescent="0.25">
      <c r="A118" s="40" t="s">
        <v>407</v>
      </c>
      <c r="B118" s="41">
        <v>1</v>
      </c>
      <c r="N118" s="43"/>
      <c r="O118" s="48"/>
      <c r="P118" s="48"/>
      <c r="Q118" s="48"/>
      <c r="R118" s="48">
        <f t="shared" si="13"/>
        <v>0</v>
      </c>
      <c r="S118" s="44"/>
      <c r="T118" s="43"/>
      <c r="U118" s="48"/>
      <c r="V118" s="48"/>
      <c r="W118" s="48"/>
      <c r="X118" s="48">
        <f t="shared" si="14"/>
        <v>0</v>
      </c>
      <c r="Y118" s="44"/>
      <c r="Z118" s="43"/>
      <c r="AA118" s="48"/>
      <c r="AB118" s="48"/>
      <c r="AC118" s="48"/>
      <c r="AD118" s="48">
        <f t="shared" si="15"/>
        <v>0</v>
      </c>
      <c r="AE118" s="44"/>
      <c r="AF118" s="43"/>
      <c r="AG118" s="48"/>
      <c r="AH118" s="48"/>
      <c r="AI118" s="48"/>
      <c r="AJ118" s="48">
        <f t="shared" si="16"/>
        <v>0</v>
      </c>
      <c r="AK118" s="44"/>
      <c r="AL118" s="48"/>
      <c r="AP118" s="42">
        <v>0</v>
      </c>
      <c r="AQ118" s="44"/>
      <c r="AR118" s="43"/>
      <c r="AV118" s="42">
        <v>0</v>
      </c>
      <c r="AW118" s="44"/>
      <c r="BC118" s="42">
        <v>0</v>
      </c>
      <c r="BD118" s="44"/>
      <c r="BE118" s="43"/>
      <c r="BI118" s="42">
        <v>0</v>
      </c>
      <c r="BJ118" s="44"/>
      <c r="BO118" s="42">
        <v>0</v>
      </c>
      <c r="BP118" s="44"/>
      <c r="BS118" s="42">
        <v>0</v>
      </c>
      <c r="BT118" s="44"/>
      <c r="BU118" s="43"/>
      <c r="BY118" s="42">
        <v>0</v>
      </c>
      <c r="BZ118" s="44"/>
      <c r="CE118" s="42">
        <v>0</v>
      </c>
      <c r="CF118" s="44"/>
      <c r="CG118" s="43"/>
      <c r="CK118" s="42">
        <v>0</v>
      </c>
      <c r="CL118" s="44"/>
      <c r="CM118" s="43"/>
      <c r="CQ118" s="42">
        <v>0</v>
      </c>
      <c r="CR118" s="44"/>
      <c r="CW118" s="42">
        <v>0</v>
      </c>
      <c r="CX118" s="44"/>
      <c r="CY118" s="43"/>
      <c r="DC118" s="42">
        <v>0</v>
      </c>
      <c r="DD118" s="44"/>
      <c r="DE118" s="43"/>
      <c r="DK118" s="42">
        <v>0</v>
      </c>
      <c r="DL118" s="44"/>
      <c r="DM118" s="43"/>
      <c r="DQ118" s="42">
        <v>0</v>
      </c>
      <c r="DR118" s="44"/>
      <c r="DY118" s="42">
        <v>0</v>
      </c>
      <c r="DZ118" s="44"/>
      <c r="EA118" s="43"/>
      <c r="EE118" s="42">
        <v>0</v>
      </c>
      <c r="EF118" s="44"/>
      <c r="EG118" s="43"/>
      <c r="EK118" s="42">
        <v>0</v>
      </c>
      <c r="EL118" s="44"/>
      <c r="EM118" s="43"/>
      <c r="EQ118" s="42">
        <v>0</v>
      </c>
      <c r="ER118" s="44"/>
      <c r="EW118">
        <v>5</v>
      </c>
      <c r="EX118">
        <v>4</v>
      </c>
      <c r="EY118" s="42">
        <v>1</v>
      </c>
      <c r="EZ118" s="44"/>
      <c r="FC118">
        <v>5</v>
      </c>
      <c r="FD118">
        <v>4</v>
      </c>
      <c r="FE118" s="42">
        <v>1</v>
      </c>
      <c r="FF118" s="44"/>
      <c r="FG118" s="43"/>
      <c r="FI118">
        <v>11</v>
      </c>
      <c r="FJ118">
        <v>11</v>
      </c>
      <c r="FK118" s="42">
        <v>0</v>
      </c>
      <c r="FL118" s="44"/>
      <c r="FM118" s="43"/>
      <c r="FO118" s="42">
        <v>0</v>
      </c>
      <c r="FP118" s="44"/>
      <c r="FU118" s="42">
        <v>0</v>
      </c>
      <c r="FV118" s="44"/>
      <c r="FW118" s="43"/>
      <c r="GA118">
        <v>21</v>
      </c>
      <c r="GB118">
        <v>19</v>
      </c>
      <c r="GC118" s="42">
        <v>2</v>
      </c>
      <c r="GD118" s="44"/>
      <c r="GI118" s="42">
        <v>0</v>
      </c>
      <c r="GJ118" s="44"/>
      <c r="GK118" s="43"/>
      <c r="GM118">
        <v>11</v>
      </c>
      <c r="GN118">
        <v>8</v>
      </c>
      <c r="GO118" s="42">
        <v>3</v>
      </c>
      <c r="GP118" s="47"/>
      <c r="GS118">
        <v>5</v>
      </c>
      <c r="GT118">
        <v>4</v>
      </c>
      <c r="GU118" s="42">
        <v>1</v>
      </c>
      <c r="GV118" s="44"/>
      <c r="GY118" s="42">
        <v>0</v>
      </c>
      <c r="GZ118" s="47"/>
      <c r="HA118" s="46">
        <v>5</v>
      </c>
      <c r="HB118">
        <v>9</v>
      </c>
      <c r="HC118" s="42">
        <v>-4</v>
      </c>
      <c r="HD118" s="44"/>
      <c r="HE118" s="43"/>
      <c r="HG118">
        <v>5</v>
      </c>
      <c r="HH118">
        <v>5</v>
      </c>
      <c r="HI118" s="42">
        <v>0</v>
      </c>
      <c r="HJ118" s="47"/>
      <c r="HK118" s="43"/>
      <c r="HO118" s="42">
        <v>0</v>
      </c>
      <c r="HP118" s="44"/>
      <c r="HT118">
        <v>10</v>
      </c>
      <c r="HU118">
        <v>8</v>
      </c>
      <c r="HV118" s="42">
        <v>2</v>
      </c>
      <c r="HW118" s="44"/>
      <c r="HX118" s="45"/>
      <c r="IB118" s="42">
        <v>0</v>
      </c>
      <c r="IC118" s="44"/>
      <c r="IF118">
        <v>5</v>
      </c>
      <c r="IG118">
        <v>4</v>
      </c>
      <c r="IH118" s="42">
        <v>1</v>
      </c>
      <c r="II118" s="47"/>
      <c r="IM118">
        <v>20</v>
      </c>
      <c r="IN118" s="39">
        <v>-20</v>
      </c>
      <c r="IO118" s="47">
        <v>20</v>
      </c>
      <c r="IP118">
        <v>5</v>
      </c>
      <c r="IQ118">
        <v>6</v>
      </c>
      <c r="IT118" s="42">
        <v>-1</v>
      </c>
      <c r="IU118" s="47"/>
      <c r="IZ118" s="42">
        <v>0</v>
      </c>
      <c r="JA118" s="44"/>
      <c r="JD118" s="42">
        <v>0</v>
      </c>
      <c r="JE118" s="44"/>
      <c r="JH118">
        <v>37</v>
      </c>
      <c r="JI118">
        <v>38</v>
      </c>
      <c r="JJ118" s="42">
        <v>-1</v>
      </c>
      <c r="JK118" s="44"/>
      <c r="JL118" s="45"/>
      <c r="JN118" s="42">
        <v>0</v>
      </c>
      <c r="JO118" s="44"/>
      <c r="JT118" s="42">
        <v>0</v>
      </c>
      <c r="JU118" s="44"/>
      <c r="JX118">
        <v>32</v>
      </c>
      <c r="JY118">
        <v>30</v>
      </c>
      <c r="JZ118" s="42">
        <v>2</v>
      </c>
      <c r="KA118" s="47"/>
      <c r="KF118" s="42">
        <v>0</v>
      </c>
      <c r="KG118" s="44"/>
      <c r="KH118" s="41"/>
      <c r="KK118">
        <v>12</v>
      </c>
      <c r="KL118" s="39">
        <v>-12</v>
      </c>
      <c r="KM118" s="47">
        <v>12</v>
      </c>
      <c r="KN118" s="45"/>
      <c r="KR118">
        <v>26</v>
      </c>
      <c r="KS118">
        <v>23</v>
      </c>
      <c r="KT118" s="42">
        <v>3</v>
      </c>
      <c r="KU118" s="47"/>
      <c r="KV118" s="40">
        <v>0</v>
      </c>
      <c r="KW118" s="40">
        <v>0</v>
      </c>
      <c r="KX118" s="40">
        <v>0</v>
      </c>
      <c r="KY118" s="40">
        <v>0</v>
      </c>
      <c r="KZ118" s="42">
        <v>0</v>
      </c>
      <c r="LA118" s="47"/>
      <c r="LB118" s="40">
        <v>0</v>
      </c>
      <c r="LC118" s="40">
        <v>0</v>
      </c>
      <c r="LD118" s="40">
        <v>0</v>
      </c>
      <c r="LE118" s="40">
        <v>0</v>
      </c>
      <c r="LF118" s="42">
        <v>0</v>
      </c>
      <c r="LG118" s="47"/>
      <c r="LH118" s="45">
        <v>31.635999999999999</v>
      </c>
      <c r="LI118" s="40">
        <v>36</v>
      </c>
      <c r="LJ118" s="42">
        <v>-4.3640000000000008</v>
      </c>
      <c r="LK118" s="47"/>
      <c r="LL118" s="45">
        <v>0</v>
      </c>
      <c r="LM118" s="40">
        <v>0</v>
      </c>
      <c r="LN118" s="40">
        <v>0</v>
      </c>
      <c r="LO118" s="40">
        <v>0</v>
      </c>
      <c r="LP118" s="42">
        <v>0</v>
      </c>
      <c r="LQ118" s="47"/>
      <c r="LR118" s="45">
        <v>0</v>
      </c>
      <c r="LS118" s="40">
        <v>0</v>
      </c>
      <c r="LT118" s="40">
        <v>0</v>
      </c>
      <c r="LU118" s="40">
        <v>0</v>
      </c>
      <c r="LV118" s="42">
        <v>0</v>
      </c>
      <c r="LW118" s="47"/>
      <c r="LX118" s="45">
        <v>41.951000000000001</v>
      </c>
      <c r="LY118" s="40">
        <v>40</v>
      </c>
      <c r="LZ118" s="42">
        <v>1.951000000000001</v>
      </c>
      <c r="MA118" s="47"/>
      <c r="MB118" s="45">
        <v>0</v>
      </c>
      <c r="MC118" s="40">
        <v>0</v>
      </c>
      <c r="MD118" s="40">
        <v>0</v>
      </c>
      <c r="ME118" s="30">
        <v>40</v>
      </c>
      <c r="MF118" s="39">
        <v>-40</v>
      </c>
      <c r="MG118" s="47">
        <v>40</v>
      </c>
      <c r="MH118" s="45">
        <v>5.3230000000000004</v>
      </c>
      <c r="MI118" s="40">
        <v>5</v>
      </c>
      <c r="MJ118" s="42">
        <v>0.3230000000000004</v>
      </c>
      <c r="MK118" s="47"/>
      <c r="ML118" s="45">
        <v>0</v>
      </c>
      <c r="MM118" s="40">
        <v>0</v>
      </c>
      <c r="MN118" s="40">
        <v>10.72</v>
      </c>
      <c r="MO118" s="40">
        <v>8</v>
      </c>
      <c r="MP118" s="42">
        <v>2.7200000000000011</v>
      </c>
      <c r="MQ118" s="47"/>
      <c r="MR118" s="40">
        <v>0</v>
      </c>
      <c r="MS118" s="40">
        <v>0</v>
      </c>
      <c r="MT118" s="40">
        <v>15.974</v>
      </c>
      <c r="MU118" s="40">
        <v>15</v>
      </c>
      <c r="MV118" s="42">
        <v>0.9740000000000002</v>
      </c>
      <c r="MW118" s="47"/>
      <c r="MX118" s="45">
        <v>0</v>
      </c>
      <c r="MY118" s="40">
        <v>0</v>
      </c>
      <c r="MZ118" s="40">
        <v>0</v>
      </c>
      <c r="NA118" s="40">
        <v>0</v>
      </c>
      <c r="NB118" s="42">
        <v>0</v>
      </c>
      <c r="NC118" s="47"/>
      <c r="ND118" s="45">
        <v>0</v>
      </c>
      <c r="NE118" s="40">
        <v>0</v>
      </c>
      <c r="NF118" s="40">
        <v>21.17</v>
      </c>
      <c r="NG118" s="40">
        <v>23</v>
      </c>
      <c r="NH118" s="42">
        <v>-1.8299999999999981</v>
      </c>
      <c r="NI118" s="47"/>
      <c r="NJ118" s="45">
        <v>0</v>
      </c>
      <c r="NK118" s="40">
        <v>0</v>
      </c>
      <c r="NL118" s="40">
        <v>0</v>
      </c>
      <c r="NM118" s="40">
        <v>0</v>
      </c>
      <c r="NN118" s="42">
        <v>0</v>
      </c>
      <c r="NO118" s="47"/>
      <c r="NP118" s="45">
        <v>0</v>
      </c>
      <c r="NQ118" s="40">
        <v>0</v>
      </c>
      <c r="NR118" s="40">
        <v>0</v>
      </c>
      <c r="NS118" s="40">
        <v>0</v>
      </c>
      <c r="NT118" s="42">
        <v>0</v>
      </c>
      <c r="NU118" s="47"/>
      <c r="NV118" s="45">
        <v>0</v>
      </c>
      <c r="NW118" s="40">
        <v>0</v>
      </c>
      <c r="NX118" s="40">
        <v>0</v>
      </c>
      <c r="NY118" s="40">
        <v>0</v>
      </c>
      <c r="NZ118" s="42">
        <v>0</v>
      </c>
      <c r="OA118" s="47"/>
      <c r="OB118" s="45">
        <v>0</v>
      </c>
      <c r="OC118" s="40">
        <v>0</v>
      </c>
      <c r="OD118" s="42">
        <v>0</v>
      </c>
      <c r="OE118" s="47"/>
      <c r="OF118" s="45">
        <v>0</v>
      </c>
      <c r="OG118" s="40">
        <v>0</v>
      </c>
      <c r="OH118" s="40">
        <v>0</v>
      </c>
      <c r="OI118" s="40">
        <v>0</v>
      </c>
      <c r="OJ118" s="42">
        <v>0</v>
      </c>
      <c r="OK118" s="47"/>
      <c r="OL118" s="45">
        <v>0</v>
      </c>
      <c r="OM118" s="40">
        <v>0</v>
      </c>
      <c r="ON118" s="40">
        <v>62.926000000000002</v>
      </c>
      <c r="OO118" s="40">
        <v>65</v>
      </c>
      <c r="OP118" s="42">
        <v>-2.0739999999999981</v>
      </c>
      <c r="OQ118" s="47"/>
      <c r="OR118" s="45">
        <v>0</v>
      </c>
      <c r="OS118" s="40">
        <v>0</v>
      </c>
      <c r="OT118" s="40">
        <v>0</v>
      </c>
      <c r="OU118" s="40">
        <v>0</v>
      </c>
      <c r="OV118" s="42">
        <v>0</v>
      </c>
      <c r="OW118" s="47"/>
      <c r="OX118" s="40">
        <v>0</v>
      </c>
      <c r="OY118" s="40">
        <v>0</v>
      </c>
      <c r="OZ118" s="40">
        <v>0</v>
      </c>
      <c r="PA118" s="40">
        <v>0</v>
      </c>
      <c r="PB118" s="42">
        <v>0</v>
      </c>
      <c r="PC118" s="47"/>
      <c r="PD118" s="45">
        <v>0</v>
      </c>
      <c r="PE118" s="40">
        <v>0</v>
      </c>
      <c r="PF118" s="40">
        <v>47.524000000000001</v>
      </c>
      <c r="PG118" s="40">
        <v>50</v>
      </c>
      <c r="PH118" s="42">
        <v>-2.4759999999999991</v>
      </c>
      <c r="PI118" s="47"/>
      <c r="PJ118" s="45">
        <v>0</v>
      </c>
      <c r="PK118" s="40">
        <v>0</v>
      </c>
      <c r="PL118" s="40">
        <v>0</v>
      </c>
      <c r="PM118" s="40">
        <v>0</v>
      </c>
      <c r="PN118" s="42">
        <v>0</v>
      </c>
      <c r="PO118" s="47"/>
      <c r="PP118" s="43">
        <v>0</v>
      </c>
      <c r="PQ118" s="40">
        <v>0</v>
      </c>
      <c r="PR118" s="40">
        <v>0</v>
      </c>
      <c r="PS118" s="30">
        <v>60</v>
      </c>
      <c r="PT118" s="39">
        <v>-60</v>
      </c>
      <c r="PU118" s="47">
        <v>60</v>
      </c>
      <c r="PV118" s="45">
        <v>0</v>
      </c>
      <c r="PW118" s="40">
        <v>0</v>
      </c>
      <c r="PX118" s="40">
        <v>0</v>
      </c>
      <c r="PY118" s="30">
        <v>60</v>
      </c>
      <c r="PZ118" s="39">
        <v>-60</v>
      </c>
      <c r="QA118" s="47">
        <v>60</v>
      </c>
      <c r="QB118" s="45">
        <v>0</v>
      </c>
      <c r="QC118" s="40">
        <v>70</v>
      </c>
      <c r="QD118" s="39">
        <v>-70</v>
      </c>
      <c r="QE118" s="47">
        <v>70</v>
      </c>
      <c r="QF118" s="45">
        <v>0</v>
      </c>
      <c r="QG118" s="40">
        <v>0</v>
      </c>
      <c r="QH118" s="40">
        <v>0</v>
      </c>
      <c r="QI118" s="40">
        <v>0</v>
      </c>
      <c r="QJ118" s="42">
        <v>0</v>
      </c>
      <c r="QK118" s="47"/>
      <c r="QL118" s="45">
        <v>0</v>
      </c>
      <c r="QM118" s="40">
        <v>70</v>
      </c>
      <c r="QN118" s="40">
        <v>0</v>
      </c>
      <c r="QO118" s="40">
        <v>80</v>
      </c>
      <c r="QP118" s="39">
        <v>-150</v>
      </c>
      <c r="QQ118" s="47">
        <v>150</v>
      </c>
      <c r="QR118" s="45">
        <v>0</v>
      </c>
      <c r="QS118" s="40">
        <v>0</v>
      </c>
      <c r="QT118" s="40">
        <v>0</v>
      </c>
      <c r="QU118" s="40">
        <v>0</v>
      </c>
      <c r="QV118" s="42">
        <v>0</v>
      </c>
      <c r="QW118" s="47"/>
      <c r="QX118" s="45">
        <v>0</v>
      </c>
      <c r="QY118" s="40">
        <v>0</v>
      </c>
      <c r="QZ118" s="40">
        <v>0</v>
      </c>
      <c r="RA118" s="40">
        <v>0</v>
      </c>
      <c r="RB118" s="42">
        <v>0</v>
      </c>
      <c r="RC118" s="47"/>
      <c r="RD118" s="45">
        <v>0</v>
      </c>
      <c r="RE118" s="40">
        <v>0</v>
      </c>
      <c r="RF118" s="42">
        <v>0</v>
      </c>
      <c r="RG118" s="47"/>
    </row>
    <row r="119" spans="1:475" x14ac:dyDescent="0.25">
      <c r="A119" s="40" t="s">
        <v>408</v>
      </c>
      <c r="B119" s="41">
        <v>0.33</v>
      </c>
      <c r="E119">
        <v>23</v>
      </c>
      <c r="N119" s="46">
        <v>200</v>
      </c>
      <c r="O119" s="49">
        <v>200</v>
      </c>
      <c r="P119" s="49">
        <v>216</v>
      </c>
      <c r="Q119" s="49">
        <v>219</v>
      </c>
      <c r="R119" s="48">
        <f t="shared" si="13"/>
        <v>-3</v>
      </c>
      <c r="S119" s="44"/>
      <c r="T119" s="46">
        <v>56</v>
      </c>
      <c r="U119" s="49">
        <v>64</v>
      </c>
      <c r="V119" s="49">
        <v>32</v>
      </c>
      <c r="W119" s="49">
        <v>36</v>
      </c>
      <c r="X119" s="53">
        <f t="shared" si="14"/>
        <v>-12</v>
      </c>
      <c r="Y119" s="44">
        <f>-1*X119*B119</f>
        <v>3.96</v>
      </c>
      <c r="Z119" s="43"/>
      <c r="AA119" s="48"/>
      <c r="AB119" s="48"/>
      <c r="AC119" s="48"/>
      <c r="AD119" s="48">
        <f t="shared" si="15"/>
        <v>0</v>
      </c>
      <c r="AE119" s="44"/>
      <c r="AF119" s="46">
        <v>88</v>
      </c>
      <c r="AG119" s="49">
        <v>90</v>
      </c>
      <c r="AH119" s="48"/>
      <c r="AI119" s="48"/>
      <c r="AJ119" s="48">
        <f t="shared" si="16"/>
        <v>-2</v>
      </c>
      <c r="AK119" s="44"/>
      <c r="AL119" s="49">
        <v>64</v>
      </c>
      <c r="AM119">
        <v>64</v>
      </c>
      <c r="AN119">
        <v>88</v>
      </c>
      <c r="AO119">
        <v>86</v>
      </c>
      <c r="AP119" s="42">
        <v>2</v>
      </c>
      <c r="AQ119" s="44"/>
      <c r="AR119" s="43"/>
      <c r="AV119" s="42">
        <v>0</v>
      </c>
      <c r="AW119" s="44"/>
      <c r="AX119">
        <v>200</v>
      </c>
      <c r="AZ119">
        <v>200</v>
      </c>
      <c r="BA119">
        <v>296</v>
      </c>
      <c r="BB119">
        <v>300</v>
      </c>
      <c r="BC119" s="42">
        <v>-4</v>
      </c>
      <c r="BD119" s="44"/>
      <c r="BE119" s="46">
        <v>32</v>
      </c>
      <c r="BF119">
        <v>32</v>
      </c>
      <c r="BG119">
        <v>64</v>
      </c>
      <c r="BH119">
        <v>68</v>
      </c>
      <c r="BI119" s="42">
        <v>-4</v>
      </c>
      <c r="BJ119" s="44"/>
      <c r="BK119">
        <v>48</v>
      </c>
      <c r="BL119">
        <v>50</v>
      </c>
      <c r="BM119">
        <v>96</v>
      </c>
      <c r="BN119">
        <v>100</v>
      </c>
      <c r="BO119" s="42">
        <v>-6</v>
      </c>
      <c r="BP119" s="44"/>
      <c r="BS119" s="42">
        <v>0</v>
      </c>
      <c r="BT119" s="44"/>
      <c r="BU119" s="46">
        <v>72</v>
      </c>
      <c r="BV119">
        <v>70</v>
      </c>
      <c r="BW119">
        <v>352</v>
      </c>
      <c r="BX119">
        <v>350</v>
      </c>
      <c r="BY119" s="42">
        <v>4</v>
      </c>
      <c r="BZ119" s="44"/>
      <c r="CE119" s="42">
        <v>0</v>
      </c>
      <c r="CF119" s="44"/>
      <c r="CG119" s="46">
        <v>48</v>
      </c>
      <c r="CH119">
        <v>50</v>
      </c>
      <c r="CI119">
        <v>96</v>
      </c>
      <c r="CJ119">
        <v>100</v>
      </c>
      <c r="CK119" s="42">
        <v>-6</v>
      </c>
      <c r="CL119" s="44"/>
      <c r="CM119" s="43"/>
      <c r="CO119">
        <v>336</v>
      </c>
      <c r="CP119">
        <v>334</v>
      </c>
      <c r="CQ119" s="42">
        <v>2</v>
      </c>
      <c r="CR119" s="44"/>
      <c r="CU119">
        <v>48</v>
      </c>
      <c r="CV119">
        <v>50</v>
      </c>
      <c r="CW119" s="42">
        <v>-2</v>
      </c>
      <c r="CX119" s="44"/>
      <c r="CY119" s="43"/>
      <c r="DA119">
        <v>152</v>
      </c>
      <c r="DB119">
        <v>150</v>
      </c>
      <c r="DC119" s="42">
        <v>2</v>
      </c>
      <c r="DD119" s="44"/>
      <c r="DE119" s="43"/>
      <c r="DJ119">
        <v>30</v>
      </c>
      <c r="DK119" s="39">
        <v>-30</v>
      </c>
      <c r="DL119" s="44">
        <v>9.9</v>
      </c>
      <c r="DM119" s="43"/>
      <c r="DO119">
        <v>200</v>
      </c>
      <c r="DP119">
        <v>200</v>
      </c>
      <c r="DQ119" s="42">
        <v>0</v>
      </c>
      <c r="DR119" s="44"/>
      <c r="DS119">
        <v>96</v>
      </c>
      <c r="DT119">
        <v>100</v>
      </c>
      <c r="DU119">
        <v>216</v>
      </c>
      <c r="DV119">
        <v>220</v>
      </c>
      <c r="DW119">
        <v>96</v>
      </c>
      <c r="DX119">
        <v>100</v>
      </c>
      <c r="DY119" s="42">
        <v>-12</v>
      </c>
      <c r="DZ119" s="44"/>
      <c r="EA119" s="43"/>
      <c r="EE119" s="42">
        <v>0</v>
      </c>
      <c r="EF119" s="44"/>
      <c r="EG119" s="43"/>
      <c r="EI119">
        <v>48</v>
      </c>
      <c r="EJ119">
        <v>50</v>
      </c>
      <c r="EK119" s="42">
        <v>-2</v>
      </c>
      <c r="EL119" s="44"/>
      <c r="EM119" s="46">
        <v>160</v>
      </c>
      <c r="EN119">
        <v>160</v>
      </c>
      <c r="EO119">
        <v>240</v>
      </c>
      <c r="EP119">
        <v>240</v>
      </c>
      <c r="EQ119" s="42">
        <v>0</v>
      </c>
      <c r="ER119" s="44"/>
      <c r="EW119">
        <v>88</v>
      </c>
      <c r="EX119">
        <v>90</v>
      </c>
      <c r="EY119" s="42">
        <v>-2</v>
      </c>
      <c r="EZ119" s="44"/>
      <c r="FE119" s="42">
        <v>0</v>
      </c>
      <c r="FF119" s="44"/>
      <c r="FG119" s="46">
        <v>96</v>
      </c>
      <c r="FH119">
        <v>100</v>
      </c>
      <c r="FI119">
        <v>192</v>
      </c>
      <c r="FJ119">
        <v>200</v>
      </c>
      <c r="FK119" s="39">
        <v>-12</v>
      </c>
      <c r="FL119" s="44">
        <v>3.96</v>
      </c>
      <c r="FM119" s="43"/>
      <c r="FO119" s="42">
        <v>0</v>
      </c>
      <c r="FP119" s="44"/>
      <c r="FS119">
        <v>24</v>
      </c>
      <c r="FT119">
        <v>24</v>
      </c>
      <c r="FU119" s="42">
        <v>0</v>
      </c>
      <c r="FV119" s="44"/>
      <c r="FW119" s="46">
        <v>96</v>
      </c>
      <c r="FX119">
        <v>100</v>
      </c>
      <c r="FY119">
        <v>96</v>
      </c>
      <c r="FZ119">
        <v>100</v>
      </c>
      <c r="GA119">
        <v>96</v>
      </c>
      <c r="GB119">
        <v>100</v>
      </c>
      <c r="GC119" s="42">
        <v>-12</v>
      </c>
      <c r="GD119" s="44"/>
      <c r="GG119">
        <v>40</v>
      </c>
      <c r="GH119">
        <v>40</v>
      </c>
      <c r="GI119" s="42">
        <v>0</v>
      </c>
      <c r="GJ119" s="44"/>
      <c r="GK119" s="43"/>
      <c r="GM119">
        <v>176</v>
      </c>
      <c r="GN119">
        <v>180</v>
      </c>
      <c r="GO119" s="42">
        <v>-4</v>
      </c>
      <c r="GP119" s="47"/>
      <c r="GS119">
        <v>88</v>
      </c>
      <c r="GT119">
        <v>90</v>
      </c>
      <c r="GU119" s="42">
        <v>-2</v>
      </c>
      <c r="GV119" s="44"/>
      <c r="GW119">
        <v>152</v>
      </c>
      <c r="GX119" s="40">
        <v>150</v>
      </c>
      <c r="GY119" s="42">
        <v>2</v>
      </c>
      <c r="GZ119" s="47"/>
      <c r="HA119" s="43"/>
      <c r="HC119" s="42">
        <v>0</v>
      </c>
      <c r="HD119" s="44"/>
      <c r="HE119" s="43"/>
      <c r="HI119" s="42">
        <v>0</v>
      </c>
      <c r="HJ119" s="47"/>
      <c r="HK119" s="46">
        <v>152</v>
      </c>
      <c r="HL119">
        <v>150</v>
      </c>
      <c r="HM119">
        <v>136</v>
      </c>
      <c r="HN119">
        <v>140</v>
      </c>
      <c r="HO119" s="42">
        <v>-2</v>
      </c>
      <c r="HP119" s="44"/>
      <c r="HT119">
        <v>32</v>
      </c>
      <c r="HU119">
        <v>32</v>
      </c>
      <c r="HV119" s="42">
        <v>0</v>
      </c>
      <c r="HW119" s="44"/>
      <c r="HX119" s="46">
        <v>8</v>
      </c>
      <c r="HY119">
        <v>200</v>
      </c>
      <c r="HZ119">
        <v>176</v>
      </c>
      <c r="IA119">
        <v>180</v>
      </c>
      <c r="IB119" s="39">
        <v>-196</v>
      </c>
      <c r="IC119" s="44">
        <v>64.680000000000007</v>
      </c>
      <c r="IH119" s="42">
        <v>0</v>
      </c>
      <c r="II119" s="47"/>
      <c r="IJ119">
        <v>152</v>
      </c>
      <c r="IK119">
        <v>150</v>
      </c>
      <c r="IL119">
        <v>160</v>
      </c>
      <c r="IM119">
        <v>160</v>
      </c>
      <c r="IN119" s="42">
        <v>2</v>
      </c>
      <c r="IO119" s="47"/>
      <c r="IT119" s="42">
        <v>0</v>
      </c>
      <c r="IU119" s="47"/>
      <c r="IV119">
        <v>128</v>
      </c>
      <c r="IW119">
        <v>130</v>
      </c>
      <c r="IX119">
        <v>120</v>
      </c>
      <c r="IY119">
        <v>120</v>
      </c>
      <c r="IZ119" s="42">
        <v>-2</v>
      </c>
      <c r="JA119" s="44"/>
      <c r="JB119">
        <v>48</v>
      </c>
      <c r="JC119">
        <v>53</v>
      </c>
      <c r="JD119" s="42">
        <v>-5</v>
      </c>
      <c r="JE119" s="44"/>
      <c r="JF119">
        <v>40</v>
      </c>
      <c r="JG119">
        <v>110</v>
      </c>
      <c r="JI119">
        <v>83</v>
      </c>
      <c r="JJ119" s="39">
        <v>-153</v>
      </c>
      <c r="JK119" s="44">
        <v>50.49</v>
      </c>
      <c r="JL119" s="46">
        <v>136</v>
      </c>
      <c r="JM119" s="40">
        <v>140</v>
      </c>
      <c r="JN119" s="42">
        <v>-4</v>
      </c>
      <c r="JO119" s="44"/>
      <c r="JT119" s="42">
        <v>0</v>
      </c>
      <c r="JU119" s="44"/>
      <c r="JW119">
        <v>96</v>
      </c>
      <c r="JX119">
        <v>32</v>
      </c>
      <c r="JY119">
        <v>34</v>
      </c>
      <c r="JZ119" s="39">
        <v>-98</v>
      </c>
      <c r="KA119" s="47">
        <v>32.340000000000003</v>
      </c>
      <c r="KB119">
        <v>48</v>
      </c>
      <c r="KC119">
        <v>48</v>
      </c>
      <c r="KD119">
        <v>104</v>
      </c>
      <c r="KE119">
        <v>102</v>
      </c>
      <c r="KF119" s="42">
        <v>2</v>
      </c>
      <c r="KG119" s="44"/>
      <c r="KH119">
        <v>24</v>
      </c>
      <c r="KI119">
        <v>50</v>
      </c>
      <c r="KJ119">
        <v>240</v>
      </c>
      <c r="KK119">
        <v>240</v>
      </c>
      <c r="KL119" s="39">
        <v>-26</v>
      </c>
      <c r="KM119" s="47">
        <v>8.58</v>
      </c>
      <c r="KN119" s="45"/>
      <c r="KR119">
        <v>32</v>
      </c>
      <c r="KT119" s="42">
        <v>32</v>
      </c>
      <c r="KU119" s="47"/>
      <c r="KV119" s="40">
        <v>0</v>
      </c>
      <c r="KW119" s="40">
        <v>0</v>
      </c>
      <c r="KX119" s="40">
        <v>488</v>
      </c>
      <c r="KY119" s="40">
        <v>486</v>
      </c>
      <c r="KZ119" s="42">
        <v>2</v>
      </c>
      <c r="LA119" s="47"/>
      <c r="LB119" s="40">
        <v>0</v>
      </c>
      <c r="LC119" s="40">
        <v>0</v>
      </c>
      <c r="LD119" s="40">
        <v>0</v>
      </c>
      <c r="LE119" s="40">
        <v>0</v>
      </c>
      <c r="LF119" s="42">
        <v>0</v>
      </c>
      <c r="LG119" s="47"/>
      <c r="LH119" s="45">
        <v>0</v>
      </c>
      <c r="LI119" s="40">
        <v>0</v>
      </c>
      <c r="LJ119" s="42">
        <v>0</v>
      </c>
      <c r="LK119" s="47"/>
      <c r="LL119" s="45">
        <v>96</v>
      </c>
      <c r="LM119" s="40">
        <v>100</v>
      </c>
      <c r="LN119" s="40">
        <v>64</v>
      </c>
      <c r="LO119" s="40">
        <v>70</v>
      </c>
      <c r="LP119" s="42">
        <v>-10</v>
      </c>
      <c r="LQ119" s="47"/>
      <c r="LR119" s="45">
        <v>96</v>
      </c>
      <c r="LS119" s="40">
        <v>100</v>
      </c>
      <c r="LT119" s="40">
        <v>48</v>
      </c>
      <c r="LU119" s="40">
        <v>50</v>
      </c>
      <c r="LV119" s="42">
        <v>-6</v>
      </c>
      <c r="LW119" s="47"/>
      <c r="LX119" s="45">
        <v>256</v>
      </c>
      <c r="LY119" s="40">
        <v>260</v>
      </c>
      <c r="LZ119" s="42">
        <v>-4</v>
      </c>
      <c r="MA119" s="47"/>
      <c r="MB119" s="45">
        <v>0</v>
      </c>
      <c r="MC119" s="40">
        <v>0</v>
      </c>
      <c r="MD119" s="40">
        <v>0</v>
      </c>
      <c r="ME119" s="40">
        <v>0</v>
      </c>
      <c r="MF119" s="42">
        <v>0</v>
      </c>
      <c r="MG119" s="47"/>
      <c r="MH119" s="45">
        <v>648</v>
      </c>
      <c r="MI119" s="40">
        <v>651</v>
      </c>
      <c r="MJ119" s="42">
        <v>-3</v>
      </c>
      <c r="MK119" s="47"/>
      <c r="ML119" s="45">
        <v>0</v>
      </c>
      <c r="MM119" s="40">
        <v>0</v>
      </c>
      <c r="MN119" s="40">
        <v>0</v>
      </c>
      <c r="MO119" s="40">
        <v>0</v>
      </c>
      <c r="MP119" s="42">
        <v>0</v>
      </c>
      <c r="MQ119" s="47"/>
      <c r="MR119" s="40">
        <v>0</v>
      </c>
      <c r="MS119" s="40">
        <v>0</v>
      </c>
      <c r="MT119" s="40">
        <v>0</v>
      </c>
      <c r="MU119" s="40">
        <v>0</v>
      </c>
      <c r="MV119" s="42">
        <v>0</v>
      </c>
      <c r="MW119" s="47"/>
      <c r="MX119" s="45">
        <v>48</v>
      </c>
      <c r="MY119" s="40">
        <v>50</v>
      </c>
      <c r="MZ119" s="40">
        <v>320</v>
      </c>
      <c r="NA119" s="40">
        <v>322</v>
      </c>
      <c r="NB119" s="42">
        <v>-4</v>
      </c>
      <c r="NC119" s="47"/>
      <c r="ND119" s="25">
        <v>40</v>
      </c>
      <c r="NE119" s="40">
        <v>0</v>
      </c>
      <c r="NF119" s="40">
        <v>0</v>
      </c>
      <c r="NG119" s="40">
        <v>0</v>
      </c>
      <c r="NH119" s="42">
        <v>40</v>
      </c>
      <c r="NI119" s="47"/>
      <c r="NJ119" s="45">
        <v>0</v>
      </c>
      <c r="NK119" s="40">
        <v>0</v>
      </c>
      <c r="NL119" s="40">
        <v>0</v>
      </c>
      <c r="NM119" s="40">
        <v>0</v>
      </c>
      <c r="NN119" s="42">
        <v>0</v>
      </c>
      <c r="NO119" s="47"/>
      <c r="NP119" s="45">
        <v>0</v>
      </c>
      <c r="NQ119" s="30">
        <v>100</v>
      </c>
      <c r="NR119" s="40">
        <v>208</v>
      </c>
      <c r="NS119" s="40">
        <v>243</v>
      </c>
      <c r="NT119" s="39">
        <v>-135</v>
      </c>
      <c r="NU119" s="47">
        <v>44.55</v>
      </c>
      <c r="NV119" s="45">
        <v>0</v>
      </c>
      <c r="NW119" s="40">
        <v>0</v>
      </c>
      <c r="NX119" s="40">
        <v>0</v>
      </c>
      <c r="NY119" s="40">
        <v>0</v>
      </c>
      <c r="NZ119" s="42">
        <v>0</v>
      </c>
      <c r="OA119" s="47"/>
      <c r="OB119" s="45">
        <v>0</v>
      </c>
      <c r="OC119" s="40">
        <v>40</v>
      </c>
      <c r="OD119" s="39">
        <v>-40</v>
      </c>
      <c r="OE119" s="47">
        <v>13.2</v>
      </c>
      <c r="OF119" s="45">
        <v>0</v>
      </c>
      <c r="OG119" s="40">
        <v>0</v>
      </c>
      <c r="OH119" s="40">
        <v>168</v>
      </c>
      <c r="OI119" s="40">
        <v>168</v>
      </c>
      <c r="OJ119" s="42">
        <v>0</v>
      </c>
      <c r="OK119" s="47"/>
      <c r="OL119" s="45">
        <v>0</v>
      </c>
      <c r="OM119" s="40">
        <v>0</v>
      </c>
      <c r="ON119" s="40">
        <v>0</v>
      </c>
      <c r="OO119" s="40">
        <v>0</v>
      </c>
      <c r="OP119" s="42">
        <v>0</v>
      </c>
      <c r="OQ119" s="47"/>
      <c r="OR119" s="45">
        <v>0</v>
      </c>
      <c r="OS119" s="40">
        <v>0</v>
      </c>
      <c r="OT119" s="40">
        <v>0</v>
      </c>
      <c r="OU119" s="40">
        <v>0</v>
      </c>
      <c r="OV119" s="42">
        <v>0</v>
      </c>
      <c r="OW119" s="47"/>
      <c r="OX119" s="40">
        <v>64</v>
      </c>
      <c r="OY119" s="40">
        <v>65</v>
      </c>
      <c r="OZ119" s="40">
        <v>64</v>
      </c>
      <c r="PA119" s="40">
        <v>65</v>
      </c>
      <c r="PB119" s="42">
        <v>-2</v>
      </c>
      <c r="PC119" s="47"/>
      <c r="PD119" s="45">
        <v>0</v>
      </c>
      <c r="PE119" s="40">
        <v>0</v>
      </c>
      <c r="PF119" s="40">
        <v>24</v>
      </c>
      <c r="PG119" s="40">
        <v>27</v>
      </c>
      <c r="PH119" s="42">
        <v>-3</v>
      </c>
      <c r="PI119" s="47"/>
      <c r="PJ119" s="45">
        <v>0</v>
      </c>
      <c r="PK119" s="40">
        <v>0</v>
      </c>
      <c r="PL119" s="40">
        <v>48</v>
      </c>
      <c r="PM119" s="40">
        <v>50</v>
      </c>
      <c r="PN119" s="42">
        <v>-2</v>
      </c>
      <c r="PO119" s="47"/>
      <c r="PP119" s="43">
        <v>0</v>
      </c>
      <c r="PQ119" s="40">
        <v>0</v>
      </c>
      <c r="PR119" s="40">
        <v>80</v>
      </c>
      <c r="PS119" s="40">
        <v>80</v>
      </c>
      <c r="PT119" s="42">
        <v>0</v>
      </c>
      <c r="PU119" s="47"/>
      <c r="PV119" s="45">
        <v>48</v>
      </c>
      <c r="PW119" s="40">
        <v>50</v>
      </c>
      <c r="PX119" s="40">
        <v>48</v>
      </c>
      <c r="PY119" s="40">
        <v>50</v>
      </c>
      <c r="PZ119" s="42">
        <v>-4</v>
      </c>
      <c r="QA119" s="47"/>
      <c r="QB119" s="45">
        <v>24</v>
      </c>
      <c r="QC119" s="40">
        <v>200</v>
      </c>
      <c r="QD119" s="39">
        <v>-176</v>
      </c>
      <c r="QE119" s="47">
        <v>58.080000000000013</v>
      </c>
      <c r="QF119" s="45">
        <v>0</v>
      </c>
      <c r="QG119" s="40">
        <v>0</v>
      </c>
      <c r="QH119" s="40">
        <v>0</v>
      </c>
      <c r="QI119" s="40">
        <v>0</v>
      </c>
      <c r="QJ119" s="42">
        <v>0</v>
      </c>
      <c r="QK119" s="47"/>
      <c r="QL119" s="45">
        <v>80</v>
      </c>
      <c r="QM119" s="40">
        <v>80</v>
      </c>
      <c r="QN119" s="40">
        <v>0</v>
      </c>
      <c r="QO119" s="40">
        <v>120</v>
      </c>
      <c r="QP119" s="39">
        <v>-120</v>
      </c>
      <c r="QQ119" s="47">
        <v>39.6</v>
      </c>
      <c r="QR119" s="45">
        <v>0</v>
      </c>
      <c r="QS119" s="40">
        <v>0</v>
      </c>
      <c r="QT119" s="40">
        <v>0</v>
      </c>
      <c r="QU119" s="40">
        <v>0</v>
      </c>
      <c r="QV119" s="42">
        <v>0</v>
      </c>
      <c r="QW119" s="47"/>
      <c r="QX119" s="45">
        <v>0</v>
      </c>
      <c r="QY119" s="40">
        <v>0</v>
      </c>
      <c r="QZ119" s="40">
        <v>0</v>
      </c>
      <c r="RA119" s="40">
        <v>0</v>
      </c>
      <c r="RB119" s="42">
        <v>0</v>
      </c>
      <c r="RC119" s="47"/>
      <c r="RD119" s="45">
        <v>0</v>
      </c>
      <c r="RE119" s="40">
        <v>0</v>
      </c>
      <c r="RF119" s="42">
        <v>0</v>
      </c>
      <c r="RG119" s="47"/>
    </row>
    <row r="120" spans="1:475" x14ac:dyDescent="0.25">
      <c r="A120" s="40" t="s">
        <v>409</v>
      </c>
      <c r="B120" s="41">
        <v>1</v>
      </c>
      <c r="N120" s="43"/>
      <c r="O120" s="48"/>
      <c r="P120" s="48"/>
      <c r="Q120" s="48"/>
      <c r="R120" s="48">
        <f t="shared" si="13"/>
        <v>0</v>
      </c>
      <c r="S120" s="44"/>
      <c r="T120" s="43"/>
      <c r="U120" s="48"/>
      <c r="V120" s="48"/>
      <c r="W120" s="48"/>
      <c r="X120" s="48">
        <f t="shared" si="14"/>
        <v>0</v>
      </c>
      <c r="Y120" s="44"/>
      <c r="Z120" s="43"/>
      <c r="AA120" s="48"/>
      <c r="AB120" s="48"/>
      <c r="AC120" s="48"/>
      <c r="AD120" s="48">
        <f t="shared" si="15"/>
        <v>0</v>
      </c>
      <c r="AE120" s="44"/>
      <c r="AF120" s="43"/>
      <c r="AG120" s="48"/>
      <c r="AH120" s="48"/>
      <c r="AI120" s="48"/>
      <c r="AJ120" s="48">
        <f t="shared" si="16"/>
        <v>0</v>
      </c>
      <c r="AK120" s="44"/>
      <c r="AL120" s="48"/>
      <c r="AP120" s="42">
        <v>0</v>
      </c>
      <c r="AQ120" s="44"/>
      <c r="AR120" s="43"/>
      <c r="AV120" s="42">
        <v>0</v>
      </c>
      <c r="AW120" s="44"/>
      <c r="BC120" s="42">
        <v>0</v>
      </c>
      <c r="BD120" s="44"/>
      <c r="BE120" s="43"/>
      <c r="BI120" s="42">
        <v>0</v>
      </c>
      <c r="BJ120" s="44"/>
      <c r="BO120" s="42">
        <v>0</v>
      </c>
      <c r="BP120" s="44"/>
      <c r="BS120" s="42">
        <v>0</v>
      </c>
      <c r="BT120" s="44"/>
      <c r="BU120" s="43"/>
      <c r="BY120" s="42">
        <v>0</v>
      </c>
      <c r="BZ120" s="44"/>
      <c r="CE120" s="42">
        <v>0</v>
      </c>
      <c r="CF120" s="44"/>
      <c r="CG120" s="43"/>
      <c r="CK120" s="42">
        <v>0</v>
      </c>
      <c r="CL120" s="44"/>
      <c r="CM120" s="43"/>
      <c r="CQ120" s="42">
        <v>0</v>
      </c>
      <c r="CR120" s="44"/>
      <c r="CW120" s="42">
        <v>0</v>
      </c>
      <c r="CX120" s="44"/>
      <c r="CY120" s="43"/>
      <c r="DC120" s="42">
        <v>0</v>
      </c>
      <c r="DD120" s="44"/>
      <c r="DE120" s="43"/>
      <c r="DK120" s="42">
        <v>0</v>
      </c>
      <c r="DL120" s="44"/>
      <c r="DM120" s="43"/>
      <c r="DQ120" s="42">
        <v>0</v>
      </c>
      <c r="DR120" s="44"/>
      <c r="DY120" s="42">
        <v>0</v>
      </c>
      <c r="DZ120" s="44"/>
      <c r="EA120" s="43"/>
      <c r="EE120" s="42">
        <v>0</v>
      </c>
      <c r="EF120" s="44"/>
      <c r="EG120" s="43"/>
      <c r="EK120" s="42">
        <v>0</v>
      </c>
      <c r="EL120" s="44"/>
      <c r="EM120" s="43"/>
      <c r="EQ120" s="42">
        <v>0</v>
      </c>
      <c r="ER120" s="44"/>
      <c r="EY120" s="42">
        <v>0</v>
      </c>
      <c r="EZ120" s="44"/>
      <c r="FE120" s="42">
        <v>0</v>
      </c>
      <c r="FF120" s="44"/>
      <c r="FG120" s="43"/>
      <c r="FK120" s="42">
        <v>0</v>
      </c>
      <c r="FL120" s="44"/>
      <c r="FM120" s="43"/>
      <c r="FO120" s="42">
        <v>0</v>
      </c>
      <c r="FP120" s="44"/>
      <c r="FU120" s="42">
        <v>0</v>
      </c>
      <c r="FV120" s="44"/>
      <c r="FW120" s="43"/>
      <c r="GC120" s="42">
        <v>0</v>
      </c>
      <c r="GD120" s="44"/>
      <c r="GI120" s="42">
        <v>0</v>
      </c>
      <c r="GJ120" s="44"/>
      <c r="GK120" s="43"/>
      <c r="GO120" s="42">
        <v>0</v>
      </c>
      <c r="GP120" s="47"/>
      <c r="GU120" s="42">
        <v>0</v>
      </c>
      <c r="GV120" s="44"/>
      <c r="GY120" s="42">
        <v>0</v>
      </c>
      <c r="GZ120" s="47"/>
      <c r="HA120" s="43"/>
      <c r="HC120" s="42">
        <v>0</v>
      </c>
      <c r="HD120" s="44"/>
      <c r="HE120" s="43"/>
      <c r="HI120" s="42">
        <v>0</v>
      </c>
      <c r="HJ120" s="47"/>
      <c r="HK120" s="43"/>
      <c r="HM120">
        <v>47</v>
      </c>
      <c r="HN120">
        <v>45</v>
      </c>
      <c r="HO120" s="42">
        <v>2</v>
      </c>
      <c r="HP120" s="44"/>
      <c r="HT120">
        <v>26</v>
      </c>
      <c r="HU120">
        <v>25</v>
      </c>
      <c r="HV120" s="42">
        <v>1</v>
      </c>
      <c r="HW120" s="44"/>
      <c r="HX120" s="45"/>
      <c r="HZ120">
        <v>26</v>
      </c>
      <c r="IA120">
        <v>26</v>
      </c>
      <c r="IB120" s="42">
        <v>0</v>
      </c>
      <c r="IC120" s="44"/>
      <c r="IF120">
        <v>31</v>
      </c>
      <c r="IG120">
        <v>30</v>
      </c>
      <c r="IH120" s="42">
        <v>1</v>
      </c>
      <c r="II120" s="47"/>
      <c r="IL120">
        <v>77</v>
      </c>
      <c r="IM120">
        <v>100</v>
      </c>
      <c r="IN120" s="39">
        <v>-23</v>
      </c>
      <c r="IO120" s="47">
        <v>23</v>
      </c>
      <c r="IT120" s="42">
        <v>0</v>
      </c>
      <c r="IU120" s="47"/>
      <c r="IV120">
        <v>100</v>
      </c>
      <c r="IW120">
        <v>100</v>
      </c>
      <c r="IX120">
        <v>89</v>
      </c>
      <c r="IY120">
        <v>90</v>
      </c>
      <c r="IZ120" s="42">
        <v>-1</v>
      </c>
      <c r="JA120" s="44"/>
      <c r="JB120">
        <v>11</v>
      </c>
      <c r="JC120">
        <v>10</v>
      </c>
      <c r="JD120" s="42">
        <v>1</v>
      </c>
      <c r="JE120" s="44"/>
      <c r="JF120">
        <v>100</v>
      </c>
      <c r="JG120">
        <v>100</v>
      </c>
      <c r="JH120">
        <v>84</v>
      </c>
      <c r="JI120">
        <v>85</v>
      </c>
      <c r="JJ120" s="42">
        <v>-1</v>
      </c>
      <c r="JK120" s="44"/>
      <c r="JL120" s="46">
        <v>21</v>
      </c>
      <c r="JM120" s="40">
        <v>20</v>
      </c>
      <c r="JN120" s="42">
        <v>1</v>
      </c>
      <c r="JO120" s="44"/>
      <c r="JT120" s="42">
        <v>0</v>
      </c>
      <c r="JU120" s="44"/>
      <c r="JX120">
        <v>141</v>
      </c>
      <c r="JY120">
        <v>140</v>
      </c>
      <c r="JZ120" s="42">
        <v>1</v>
      </c>
      <c r="KA120" s="47"/>
      <c r="KB120">
        <v>21</v>
      </c>
      <c r="KC120">
        <v>20</v>
      </c>
      <c r="KF120" s="42">
        <v>1</v>
      </c>
      <c r="KG120" s="44"/>
      <c r="KH120" s="41"/>
      <c r="KJ120">
        <v>47</v>
      </c>
      <c r="KK120">
        <v>50</v>
      </c>
      <c r="KL120" s="42">
        <v>-3</v>
      </c>
      <c r="KM120" s="47"/>
      <c r="KN120" s="46">
        <v>31</v>
      </c>
      <c r="KO120">
        <v>30</v>
      </c>
      <c r="KP120">
        <v>31</v>
      </c>
      <c r="KQ120">
        <v>30</v>
      </c>
      <c r="KR120">
        <v>47</v>
      </c>
      <c r="KS120">
        <v>30</v>
      </c>
      <c r="KT120" s="42">
        <v>19</v>
      </c>
      <c r="KU120" s="47"/>
      <c r="KV120" s="40">
        <v>0</v>
      </c>
      <c r="KW120" s="40">
        <v>0</v>
      </c>
      <c r="KX120" s="40">
        <v>89.766000000000005</v>
      </c>
      <c r="KY120" s="40">
        <v>89</v>
      </c>
      <c r="KZ120" s="42">
        <v>0.76600000000000534</v>
      </c>
      <c r="LA120" s="47"/>
      <c r="LB120" s="40">
        <v>0</v>
      </c>
      <c r="LC120" s="40">
        <v>0</v>
      </c>
      <c r="LD120" s="40">
        <v>0</v>
      </c>
      <c r="LE120" s="40">
        <v>0</v>
      </c>
      <c r="LF120" s="42">
        <v>0</v>
      </c>
      <c r="LG120" s="47"/>
      <c r="LH120" s="45">
        <v>0</v>
      </c>
      <c r="LI120" s="40">
        <v>0</v>
      </c>
      <c r="LJ120" s="42">
        <v>0</v>
      </c>
      <c r="LK120" s="47"/>
      <c r="LL120" s="45">
        <v>96.605000000000004</v>
      </c>
      <c r="LM120" s="40">
        <v>100</v>
      </c>
      <c r="LN120" s="40">
        <v>88.590999999999994</v>
      </c>
      <c r="LO120" s="40">
        <v>90</v>
      </c>
      <c r="LP120" s="42">
        <v>-4.804000000000002</v>
      </c>
      <c r="LQ120" s="47"/>
      <c r="LR120" s="45">
        <v>0</v>
      </c>
      <c r="LS120" s="40">
        <v>0</v>
      </c>
      <c r="LT120" s="40">
        <v>0</v>
      </c>
      <c r="LU120" s="40">
        <v>0</v>
      </c>
      <c r="LV120" s="42">
        <v>0</v>
      </c>
      <c r="LW120" s="47"/>
      <c r="LX120" s="45">
        <v>10.404999999999999</v>
      </c>
      <c r="LY120" s="40">
        <v>10</v>
      </c>
      <c r="LZ120" s="42">
        <v>0.40499999999999942</v>
      </c>
      <c r="MA120" s="47"/>
      <c r="MB120" s="45">
        <v>0</v>
      </c>
      <c r="MC120" s="40">
        <v>0</v>
      </c>
      <c r="MD120" s="40">
        <v>105.413</v>
      </c>
      <c r="ME120" s="40">
        <v>108</v>
      </c>
      <c r="MF120" s="42">
        <v>-2.5870000000000029</v>
      </c>
      <c r="MG120" s="47"/>
      <c r="MH120" s="45">
        <v>63.62</v>
      </c>
      <c r="MI120" s="40">
        <v>65</v>
      </c>
      <c r="MJ120" s="42">
        <v>-1.380000000000003</v>
      </c>
      <c r="MK120" s="47"/>
      <c r="ML120" s="45">
        <v>0</v>
      </c>
      <c r="MM120" s="40">
        <v>0</v>
      </c>
      <c r="MN120" s="40">
        <v>15.587</v>
      </c>
      <c r="MO120" s="40">
        <v>15</v>
      </c>
      <c r="MP120" s="42">
        <v>0.58699999999999974</v>
      </c>
      <c r="MQ120" s="47"/>
      <c r="MR120" s="40">
        <v>0</v>
      </c>
      <c r="MS120" s="40">
        <v>0</v>
      </c>
      <c r="MT120" s="40">
        <v>101.676</v>
      </c>
      <c r="MU120" s="40">
        <v>98</v>
      </c>
      <c r="MV120" s="42">
        <v>3.6760000000000019</v>
      </c>
      <c r="MW120" s="47"/>
      <c r="MX120" s="45">
        <v>0</v>
      </c>
      <c r="MY120" s="40">
        <v>0</v>
      </c>
      <c r="MZ120" s="40">
        <v>0</v>
      </c>
      <c r="NA120" s="40">
        <v>0</v>
      </c>
      <c r="NB120" s="42">
        <v>0</v>
      </c>
      <c r="NC120" s="47"/>
      <c r="ND120" s="45">
        <v>0</v>
      </c>
      <c r="NE120" s="40">
        <v>0</v>
      </c>
      <c r="NF120" s="40">
        <v>31.818999999999999</v>
      </c>
      <c r="NG120" s="40">
        <v>29</v>
      </c>
      <c r="NH120" s="42">
        <v>2.8189999999999991</v>
      </c>
      <c r="NI120" s="47"/>
      <c r="NJ120" s="45">
        <v>0</v>
      </c>
      <c r="NK120" s="40">
        <v>0</v>
      </c>
      <c r="NL120" s="40">
        <v>26.244</v>
      </c>
      <c r="NM120" s="40">
        <v>26</v>
      </c>
      <c r="NN120" s="42">
        <v>0.2439999999999998</v>
      </c>
      <c r="NO120" s="47"/>
      <c r="NP120" s="45">
        <v>0</v>
      </c>
      <c r="NQ120" s="40">
        <v>0</v>
      </c>
      <c r="NR120" s="40">
        <v>0</v>
      </c>
      <c r="NS120" s="40">
        <v>0</v>
      </c>
      <c r="NT120" s="42">
        <v>0</v>
      </c>
      <c r="NU120" s="47"/>
      <c r="NV120" s="45">
        <v>0</v>
      </c>
      <c r="NW120" s="40">
        <v>0</v>
      </c>
      <c r="NX120" s="40">
        <v>42.164000000000001</v>
      </c>
      <c r="NY120" s="40">
        <v>40</v>
      </c>
      <c r="NZ120" s="42">
        <v>2.164000000000001</v>
      </c>
      <c r="OA120" s="47"/>
      <c r="OB120" s="45">
        <v>69.106999999999999</v>
      </c>
      <c r="OC120" s="40">
        <v>70</v>
      </c>
      <c r="OD120" s="42">
        <v>-0.89300000000000068</v>
      </c>
      <c r="OE120" s="47"/>
      <c r="OF120" s="45">
        <v>0</v>
      </c>
      <c r="OG120" s="40">
        <v>0</v>
      </c>
      <c r="OH120" s="40">
        <v>68.091999999999999</v>
      </c>
      <c r="OI120" s="40">
        <v>66</v>
      </c>
      <c r="OJ120" s="42">
        <v>2.0919999999999992</v>
      </c>
      <c r="OK120" s="47"/>
      <c r="OL120" s="45">
        <v>0</v>
      </c>
      <c r="OM120" s="40">
        <v>0</v>
      </c>
      <c r="ON120" s="40">
        <v>47.926000000000002</v>
      </c>
      <c r="OO120" s="40">
        <v>45</v>
      </c>
      <c r="OP120" s="42">
        <v>2.9260000000000019</v>
      </c>
      <c r="OQ120" s="47"/>
      <c r="OR120" s="45">
        <v>0</v>
      </c>
      <c r="OS120" s="40">
        <v>0</v>
      </c>
      <c r="OT120" s="40">
        <v>58.02</v>
      </c>
      <c r="OU120" s="40">
        <v>60</v>
      </c>
      <c r="OV120" s="42">
        <v>-1.9799999999999971</v>
      </c>
      <c r="OW120" s="47"/>
      <c r="OX120" s="40">
        <v>31.402000000000001</v>
      </c>
      <c r="OY120" s="40">
        <v>30</v>
      </c>
      <c r="OZ120" s="40">
        <v>21.672999999999998</v>
      </c>
      <c r="PA120" s="40">
        <v>20</v>
      </c>
      <c r="PB120" s="42">
        <v>3.0750000000000028</v>
      </c>
      <c r="PC120" s="47"/>
      <c r="PD120" s="45">
        <v>0</v>
      </c>
      <c r="PE120" s="40">
        <v>0</v>
      </c>
      <c r="PF120" s="40">
        <v>10.661</v>
      </c>
      <c r="PG120" s="40">
        <v>10</v>
      </c>
      <c r="PH120" s="42">
        <v>0.66099999999999959</v>
      </c>
      <c r="PI120" s="47"/>
      <c r="PJ120" s="45">
        <v>0</v>
      </c>
      <c r="PK120" s="40">
        <v>0</v>
      </c>
      <c r="PL120" s="40">
        <v>20.861999999999998</v>
      </c>
      <c r="PM120" s="40">
        <v>20</v>
      </c>
      <c r="PN120" s="42">
        <v>0.86199999999999832</v>
      </c>
      <c r="PO120" s="47"/>
      <c r="PP120" s="43">
        <v>47.372</v>
      </c>
      <c r="PQ120" s="40">
        <v>50</v>
      </c>
      <c r="PR120" s="40">
        <v>69.308999999999997</v>
      </c>
      <c r="PS120" s="40">
        <v>70</v>
      </c>
      <c r="PT120" s="42">
        <v>-3.3190000000000031</v>
      </c>
      <c r="PU120" s="47"/>
      <c r="PV120" s="45">
        <v>47.499000000000002</v>
      </c>
      <c r="PW120" s="40">
        <v>50</v>
      </c>
      <c r="PX120" s="40">
        <v>46.777000000000001</v>
      </c>
      <c r="PY120" s="40">
        <v>50</v>
      </c>
      <c r="PZ120" s="42">
        <v>-5.7239999999999904</v>
      </c>
      <c r="QA120" s="47"/>
      <c r="QB120" s="45">
        <v>15.509</v>
      </c>
      <c r="QC120" s="40">
        <v>200</v>
      </c>
      <c r="QD120" s="39">
        <v>-184.49100000000001</v>
      </c>
      <c r="QE120" s="47">
        <v>184.49100000000001</v>
      </c>
      <c r="QF120" s="45">
        <v>0</v>
      </c>
      <c r="QG120" s="40">
        <v>0</v>
      </c>
      <c r="QH120" s="40">
        <v>0</v>
      </c>
      <c r="QI120" s="40">
        <v>0</v>
      </c>
      <c r="QJ120" s="42">
        <v>0</v>
      </c>
      <c r="QK120" s="47"/>
      <c r="QL120" s="45">
        <v>46.13</v>
      </c>
      <c r="QM120" s="40">
        <v>50</v>
      </c>
      <c r="QN120" s="40">
        <v>47.094000000000001</v>
      </c>
      <c r="QO120" s="40">
        <v>50</v>
      </c>
      <c r="QP120" s="42">
        <v>-6.7759999999999962</v>
      </c>
      <c r="QQ120" s="47"/>
      <c r="QR120" s="45">
        <v>0</v>
      </c>
      <c r="QS120" s="40">
        <v>0</v>
      </c>
      <c r="QT120" s="40">
        <v>0</v>
      </c>
      <c r="QU120" s="40">
        <v>0</v>
      </c>
      <c r="QV120" s="42">
        <v>0</v>
      </c>
      <c r="QW120" s="47"/>
      <c r="QX120" s="45">
        <v>0</v>
      </c>
      <c r="QY120" s="40">
        <v>0</v>
      </c>
      <c r="QZ120" s="40">
        <v>0</v>
      </c>
      <c r="RA120" s="40">
        <v>0</v>
      </c>
      <c r="RB120" s="42">
        <v>0</v>
      </c>
      <c r="RC120" s="47"/>
      <c r="RD120" s="45">
        <v>0</v>
      </c>
      <c r="RE120" s="40">
        <v>0</v>
      </c>
      <c r="RF120" s="42">
        <v>0</v>
      </c>
      <c r="RG120" s="47"/>
    </row>
    <row r="121" spans="1:475" x14ac:dyDescent="0.25">
      <c r="A121" s="40" t="s">
        <v>410</v>
      </c>
      <c r="B121" s="41">
        <v>0.33</v>
      </c>
      <c r="N121" s="43"/>
      <c r="O121" s="48"/>
      <c r="P121" s="48"/>
      <c r="Q121" s="48"/>
      <c r="R121" s="48">
        <f t="shared" si="13"/>
        <v>0</v>
      </c>
      <c r="S121" s="44"/>
      <c r="T121" s="43"/>
      <c r="U121" s="48"/>
      <c r="V121" s="48"/>
      <c r="W121" s="48"/>
      <c r="X121" s="48">
        <f t="shared" si="14"/>
        <v>0</v>
      </c>
      <c r="Y121" s="44"/>
      <c r="Z121" s="43"/>
      <c r="AA121" s="48"/>
      <c r="AB121" s="48"/>
      <c r="AC121" s="48"/>
      <c r="AD121" s="48">
        <f t="shared" si="15"/>
        <v>0</v>
      </c>
      <c r="AE121" s="44"/>
      <c r="AF121" s="43"/>
      <c r="AG121" s="48"/>
      <c r="AH121" s="48"/>
      <c r="AI121" s="48"/>
      <c r="AJ121" s="48">
        <f t="shared" si="16"/>
        <v>0</v>
      </c>
      <c r="AK121" s="44"/>
      <c r="AL121" s="48"/>
      <c r="AP121" s="42">
        <v>0</v>
      </c>
      <c r="AQ121" s="44"/>
      <c r="AR121" s="43"/>
      <c r="AV121" s="42">
        <v>0</v>
      </c>
      <c r="AW121" s="44"/>
      <c r="BC121" s="42">
        <v>0</v>
      </c>
      <c r="BD121" s="44"/>
      <c r="BE121" s="43"/>
      <c r="BI121" s="42">
        <v>0</v>
      </c>
      <c r="BJ121" s="44"/>
      <c r="BO121" s="42">
        <v>0</v>
      </c>
      <c r="BP121" s="44"/>
      <c r="BS121" s="42">
        <v>0</v>
      </c>
      <c r="BT121" s="44"/>
      <c r="BU121" s="43"/>
      <c r="BY121" s="42">
        <v>0</v>
      </c>
      <c r="BZ121" s="44"/>
      <c r="CE121" s="42">
        <v>0</v>
      </c>
      <c r="CF121" s="44"/>
      <c r="CG121" s="43"/>
      <c r="CK121" s="42">
        <v>0</v>
      </c>
      <c r="CL121" s="44"/>
      <c r="CM121" s="43"/>
      <c r="CQ121" s="42">
        <v>0</v>
      </c>
      <c r="CR121" s="44"/>
      <c r="CW121" s="42">
        <v>0</v>
      </c>
      <c r="CX121" s="44"/>
      <c r="CY121" s="43"/>
      <c r="DC121" s="42">
        <v>0</v>
      </c>
      <c r="DD121" s="44"/>
      <c r="DE121" s="43"/>
      <c r="DK121" s="42">
        <v>0</v>
      </c>
      <c r="DL121" s="44"/>
      <c r="DM121" s="43"/>
      <c r="DQ121" s="42">
        <v>0</v>
      </c>
      <c r="DR121" s="44"/>
      <c r="DY121" s="42">
        <v>0</v>
      </c>
      <c r="DZ121" s="44"/>
      <c r="EA121" s="43"/>
      <c r="EE121" s="42">
        <v>0</v>
      </c>
      <c r="EF121" s="44"/>
      <c r="EG121" s="43"/>
      <c r="EK121" s="42">
        <v>0</v>
      </c>
      <c r="EL121" s="44"/>
      <c r="EM121" s="43"/>
      <c r="EQ121" s="42">
        <v>0</v>
      </c>
      <c r="ER121" s="44"/>
      <c r="EY121" s="42">
        <v>0</v>
      </c>
      <c r="EZ121" s="44"/>
      <c r="FE121" s="42">
        <v>0</v>
      </c>
      <c r="FF121" s="44"/>
      <c r="FG121" s="43"/>
      <c r="FK121" s="42">
        <v>0</v>
      </c>
      <c r="FL121" s="44"/>
      <c r="FM121" s="43"/>
      <c r="FO121" s="42">
        <v>0</v>
      </c>
      <c r="FP121" s="44"/>
      <c r="FU121" s="42">
        <v>0</v>
      </c>
      <c r="FV121" s="44"/>
      <c r="FW121" s="43"/>
      <c r="GC121" s="42">
        <v>0</v>
      </c>
      <c r="GD121" s="44"/>
      <c r="GI121" s="42">
        <v>0</v>
      </c>
      <c r="GJ121" s="44"/>
      <c r="GK121" s="43"/>
      <c r="GO121" s="42">
        <v>0</v>
      </c>
      <c r="GP121" s="47"/>
      <c r="GU121" s="42">
        <v>0</v>
      </c>
      <c r="GV121" s="44"/>
      <c r="GY121" s="42">
        <v>0</v>
      </c>
      <c r="GZ121" s="47"/>
      <c r="HA121" s="43"/>
      <c r="HC121" s="42">
        <v>0</v>
      </c>
      <c r="HD121" s="44"/>
      <c r="HE121" s="43"/>
      <c r="HI121" s="42">
        <v>0</v>
      </c>
      <c r="HJ121" s="47"/>
      <c r="HK121" s="43"/>
      <c r="HO121" s="42">
        <v>0</v>
      </c>
      <c r="HP121" s="44"/>
      <c r="HV121" s="42">
        <v>0</v>
      </c>
      <c r="HW121" s="44"/>
      <c r="HX121" s="46">
        <v>40</v>
      </c>
      <c r="HY121">
        <v>40</v>
      </c>
      <c r="HZ121">
        <v>40</v>
      </c>
      <c r="IA121">
        <v>40</v>
      </c>
      <c r="IB121" s="42">
        <v>0</v>
      </c>
      <c r="IC121" s="44"/>
      <c r="IH121" s="42">
        <v>0</v>
      </c>
      <c r="II121" s="47"/>
      <c r="IL121">
        <v>40</v>
      </c>
      <c r="IM121">
        <v>45</v>
      </c>
      <c r="IN121" s="42">
        <v>-5</v>
      </c>
      <c r="IO121" s="47"/>
      <c r="IP121">
        <v>8</v>
      </c>
      <c r="IQ121">
        <v>8</v>
      </c>
      <c r="IR121">
        <v>8</v>
      </c>
      <c r="IS121">
        <v>8</v>
      </c>
      <c r="IT121" s="42">
        <v>0</v>
      </c>
      <c r="IU121" s="47"/>
      <c r="IX121">
        <v>32</v>
      </c>
      <c r="IY121">
        <v>40</v>
      </c>
      <c r="IZ121" s="39">
        <v>-8</v>
      </c>
      <c r="JA121" s="44">
        <v>2.64</v>
      </c>
      <c r="JD121" s="42">
        <v>0</v>
      </c>
      <c r="JE121" s="44"/>
      <c r="JJ121" s="42">
        <v>0</v>
      </c>
      <c r="JK121" s="44"/>
      <c r="JL121" s="45"/>
      <c r="JN121" s="42">
        <v>0</v>
      </c>
      <c r="JO121" s="44"/>
      <c r="JT121" s="42">
        <v>0</v>
      </c>
      <c r="JU121" s="44"/>
      <c r="JZ121" s="42">
        <v>0</v>
      </c>
      <c r="KA121" s="47"/>
      <c r="KF121" s="42">
        <v>0</v>
      </c>
      <c r="KG121" s="44"/>
      <c r="KH121">
        <v>96</v>
      </c>
      <c r="KI121">
        <v>100</v>
      </c>
      <c r="KJ121">
        <v>152</v>
      </c>
      <c r="KK121">
        <v>150</v>
      </c>
      <c r="KL121" s="42">
        <v>-2</v>
      </c>
      <c r="KM121" s="47"/>
      <c r="KN121" s="45"/>
      <c r="KR121">
        <v>16</v>
      </c>
      <c r="KT121" s="42">
        <v>16</v>
      </c>
      <c r="KU121" s="47"/>
      <c r="KV121" s="40">
        <v>0</v>
      </c>
      <c r="KW121" s="40">
        <v>0</v>
      </c>
      <c r="KX121" s="40">
        <v>136</v>
      </c>
      <c r="KY121" s="40">
        <v>138</v>
      </c>
      <c r="KZ121" s="42">
        <v>-2</v>
      </c>
      <c r="LA121" s="47"/>
      <c r="LB121" s="40">
        <v>0</v>
      </c>
      <c r="LC121" s="40">
        <v>0</v>
      </c>
      <c r="LD121" s="40">
        <v>0</v>
      </c>
      <c r="LE121" s="40">
        <v>0</v>
      </c>
      <c r="LF121" s="42">
        <v>0</v>
      </c>
      <c r="LG121" s="47"/>
      <c r="LH121" s="45">
        <v>0</v>
      </c>
      <c r="LI121" s="40">
        <v>0</v>
      </c>
      <c r="LJ121" s="42">
        <v>0</v>
      </c>
      <c r="LK121" s="47"/>
      <c r="LL121" s="45">
        <v>0</v>
      </c>
      <c r="LM121" s="40">
        <v>0</v>
      </c>
      <c r="LN121" s="40">
        <v>0</v>
      </c>
      <c r="LO121" s="40">
        <v>0</v>
      </c>
      <c r="LP121" s="42">
        <v>0</v>
      </c>
      <c r="LQ121" s="47"/>
      <c r="LR121" s="45">
        <v>80</v>
      </c>
      <c r="LS121" s="40">
        <v>80</v>
      </c>
      <c r="LT121" s="40">
        <v>112</v>
      </c>
      <c r="LU121" s="40">
        <v>116</v>
      </c>
      <c r="LV121" s="42">
        <v>-4</v>
      </c>
      <c r="LW121" s="47"/>
      <c r="LX121" s="45">
        <v>24</v>
      </c>
      <c r="LY121" s="40">
        <v>24</v>
      </c>
      <c r="LZ121" s="42">
        <v>0</v>
      </c>
      <c r="MA121" s="47"/>
      <c r="MB121" s="45">
        <v>0</v>
      </c>
      <c r="MC121" s="40">
        <v>0</v>
      </c>
      <c r="MD121" s="40">
        <v>0</v>
      </c>
      <c r="ME121" s="40">
        <v>0</v>
      </c>
      <c r="MF121" s="42">
        <v>0</v>
      </c>
      <c r="MG121" s="47"/>
      <c r="MH121" s="45">
        <v>248</v>
      </c>
      <c r="MI121" s="40">
        <v>248</v>
      </c>
      <c r="MJ121" s="42">
        <v>0</v>
      </c>
      <c r="MK121" s="47"/>
      <c r="ML121" s="45">
        <v>0</v>
      </c>
      <c r="MM121" s="40">
        <v>0</v>
      </c>
      <c r="MN121" s="40">
        <v>0</v>
      </c>
      <c r="MO121" s="40">
        <v>0</v>
      </c>
      <c r="MP121" s="42">
        <v>0</v>
      </c>
      <c r="MQ121" s="47"/>
      <c r="MR121" s="40">
        <v>0</v>
      </c>
      <c r="MS121" s="40">
        <v>0</v>
      </c>
      <c r="MT121" s="40">
        <v>40</v>
      </c>
      <c r="MU121" s="40">
        <v>43</v>
      </c>
      <c r="MV121" s="42">
        <v>-3</v>
      </c>
      <c r="MW121" s="47"/>
      <c r="MX121" s="45">
        <v>0</v>
      </c>
      <c r="MY121" s="40">
        <v>0</v>
      </c>
      <c r="MZ121" s="40">
        <v>0</v>
      </c>
      <c r="NA121" s="40">
        <v>0</v>
      </c>
      <c r="NB121" s="42">
        <v>0</v>
      </c>
      <c r="NC121" s="47"/>
      <c r="ND121" s="45">
        <v>0</v>
      </c>
      <c r="NE121" s="40">
        <v>0</v>
      </c>
      <c r="NF121" s="40">
        <v>176</v>
      </c>
      <c r="NG121" s="40">
        <v>180</v>
      </c>
      <c r="NH121" s="42">
        <v>-4</v>
      </c>
      <c r="NI121" s="47"/>
      <c r="NJ121" s="45">
        <v>0</v>
      </c>
      <c r="NK121" s="40">
        <v>0</v>
      </c>
      <c r="NL121" s="40">
        <v>32</v>
      </c>
      <c r="NM121" s="40">
        <v>32</v>
      </c>
      <c r="NN121" s="42">
        <v>0</v>
      </c>
      <c r="NO121" s="47"/>
      <c r="NP121" s="45">
        <v>0</v>
      </c>
      <c r="NQ121" s="40">
        <v>0</v>
      </c>
      <c r="NR121" s="40">
        <v>40</v>
      </c>
      <c r="NS121" s="40">
        <v>40</v>
      </c>
      <c r="NT121" s="42">
        <v>0</v>
      </c>
      <c r="NU121" s="47"/>
      <c r="NV121" s="45">
        <v>0</v>
      </c>
      <c r="NW121" s="40">
        <v>0</v>
      </c>
      <c r="NX121" s="40">
        <v>88</v>
      </c>
      <c r="NY121" s="40">
        <v>88</v>
      </c>
      <c r="NZ121" s="42">
        <v>0</v>
      </c>
      <c r="OA121" s="47"/>
      <c r="OB121" s="45">
        <v>56</v>
      </c>
      <c r="OC121" s="40">
        <v>60</v>
      </c>
      <c r="OD121" s="42">
        <v>-4</v>
      </c>
      <c r="OE121" s="47"/>
      <c r="OF121" s="45">
        <v>0</v>
      </c>
      <c r="OG121" s="40">
        <v>0</v>
      </c>
      <c r="OH121" s="40">
        <v>0</v>
      </c>
      <c r="OI121" s="40">
        <v>0</v>
      </c>
      <c r="OJ121" s="42">
        <v>0</v>
      </c>
      <c r="OK121" s="47"/>
      <c r="OL121" s="45">
        <v>0</v>
      </c>
      <c r="OM121" s="30">
        <v>50</v>
      </c>
      <c r="ON121" s="40">
        <v>48</v>
      </c>
      <c r="OO121" s="40">
        <v>52</v>
      </c>
      <c r="OP121" s="39">
        <v>-54</v>
      </c>
      <c r="OQ121" s="47">
        <v>17.82</v>
      </c>
      <c r="OR121" s="45">
        <v>0</v>
      </c>
      <c r="OS121" s="40">
        <v>0</v>
      </c>
      <c r="OT121" s="40">
        <v>0</v>
      </c>
      <c r="OU121" s="30">
        <v>10</v>
      </c>
      <c r="OV121" s="39">
        <v>-10</v>
      </c>
      <c r="OW121" s="47">
        <v>3.3</v>
      </c>
      <c r="OX121" s="40">
        <v>0</v>
      </c>
      <c r="OY121" s="40">
        <v>0</v>
      </c>
      <c r="OZ121" s="40">
        <v>0</v>
      </c>
      <c r="PA121" s="40">
        <v>0</v>
      </c>
      <c r="PB121" s="42">
        <v>0</v>
      </c>
      <c r="PC121" s="47"/>
      <c r="PD121" s="45">
        <v>0</v>
      </c>
      <c r="PE121" s="40">
        <v>0</v>
      </c>
      <c r="PF121" s="40">
        <v>0</v>
      </c>
      <c r="PG121" s="40">
        <v>0</v>
      </c>
      <c r="PH121" s="42">
        <v>0</v>
      </c>
      <c r="PI121" s="47"/>
      <c r="PJ121" s="45">
        <v>0</v>
      </c>
      <c r="PK121" s="40">
        <v>0</v>
      </c>
      <c r="PL121" s="40">
        <v>48</v>
      </c>
      <c r="PM121" s="40">
        <v>50</v>
      </c>
      <c r="PN121" s="42">
        <v>-2</v>
      </c>
      <c r="PO121" s="47"/>
      <c r="PP121" s="43">
        <v>0</v>
      </c>
      <c r="PQ121" s="40">
        <v>0</v>
      </c>
      <c r="PR121" s="40">
        <v>0</v>
      </c>
      <c r="PS121" s="40">
        <v>0</v>
      </c>
      <c r="PT121" s="42">
        <v>0</v>
      </c>
      <c r="PU121" s="47"/>
      <c r="PV121" s="45">
        <v>80</v>
      </c>
      <c r="PW121" s="40">
        <v>80</v>
      </c>
      <c r="PX121" s="40">
        <v>0</v>
      </c>
      <c r="PY121" s="40">
        <v>0</v>
      </c>
      <c r="PZ121" s="42">
        <v>0</v>
      </c>
      <c r="QA121" s="47"/>
      <c r="QB121" s="45">
        <v>80</v>
      </c>
      <c r="QC121" s="40">
        <v>80</v>
      </c>
      <c r="QD121" s="42">
        <v>0</v>
      </c>
      <c r="QE121" s="47"/>
      <c r="QF121" s="45">
        <v>0</v>
      </c>
      <c r="QG121" s="40">
        <v>0</v>
      </c>
      <c r="QH121" s="40">
        <v>0</v>
      </c>
      <c r="QI121" s="40">
        <v>0</v>
      </c>
      <c r="QJ121" s="42">
        <v>0</v>
      </c>
      <c r="QK121" s="47"/>
      <c r="QL121" s="45">
        <v>96</v>
      </c>
      <c r="QM121" s="40">
        <v>100</v>
      </c>
      <c r="QN121" s="40">
        <v>152</v>
      </c>
      <c r="QO121" s="40">
        <v>150</v>
      </c>
      <c r="QP121" s="42">
        <v>-2</v>
      </c>
      <c r="QQ121" s="47"/>
      <c r="QR121" s="45">
        <v>0</v>
      </c>
      <c r="QS121" s="40">
        <v>0</v>
      </c>
      <c r="QT121" s="40">
        <v>0</v>
      </c>
      <c r="QU121" s="40">
        <v>0</v>
      </c>
      <c r="QV121" s="42">
        <v>0</v>
      </c>
      <c r="QW121" s="47"/>
      <c r="QX121" s="45">
        <v>0</v>
      </c>
      <c r="QY121" s="40">
        <v>0</v>
      </c>
      <c r="QZ121" s="40">
        <v>0</v>
      </c>
      <c r="RA121" s="40">
        <v>0</v>
      </c>
      <c r="RB121" s="42">
        <v>0</v>
      </c>
      <c r="RC121" s="47"/>
      <c r="RD121" s="45">
        <v>0</v>
      </c>
      <c r="RE121" s="40">
        <v>0</v>
      </c>
      <c r="RF121" s="42">
        <v>0</v>
      </c>
      <c r="RG121" s="47"/>
    </row>
    <row r="122" spans="1:475" x14ac:dyDescent="0.25">
      <c r="A122" s="40" t="s">
        <v>411</v>
      </c>
      <c r="B122" s="41">
        <v>1</v>
      </c>
      <c r="N122" s="43"/>
      <c r="O122" s="48"/>
      <c r="P122" s="48"/>
      <c r="Q122" s="48"/>
      <c r="R122" s="48">
        <f t="shared" si="13"/>
        <v>0</v>
      </c>
      <c r="S122" s="44"/>
      <c r="T122" s="43"/>
      <c r="U122" s="48"/>
      <c r="V122" s="48"/>
      <c r="W122" s="48"/>
      <c r="X122" s="48">
        <f t="shared" si="14"/>
        <v>0</v>
      </c>
      <c r="Y122" s="44"/>
      <c r="Z122" s="43"/>
      <c r="AA122" s="48"/>
      <c r="AB122" s="48"/>
      <c r="AC122" s="48"/>
      <c r="AD122" s="48">
        <f t="shared" si="15"/>
        <v>0</v>
      </c>
      <c r="AE122" s="44"/>
      <c r="AF122" s="43"/>
      <c r="AG122" s="48"/>
      <c r="AH122" s="48"/>
      <c r="AI122" s="48"/>
      <c r="AJ122" s="48">
        <f t="shared" si="16"/>
        <v>0</v>
      </c>
      <c r="AK122" s="44"/>
      <c r="AL122" s="48"/>
      <c r="AP122" s="42">
        <v>0</v>
      </c>
      <c r="AQ122" s="44"/>
      <c r="AR122" s="43"/>
      <c r="AV122" s="42">
        <v>0</v>
      </c>
      <c r="AW122" s="44"/>
      <c r="BC122" s="42">
        <v>0</v>
      </c>
      <c r="BD122" s="44"/>
      <c r="BE122" s="43"/>
      <c r="BI122" s="42">
        <v>0</v>
      </c>
      <c r="BJ122" s="44"/>
      <c r="BO122" s="42">
        <v>0</v>
      </c>
      <c r="BP122" s="44"/>
      <c r="BS122" s="42">
        <v>0</v>
      </c>
      <c r="BT122" s="44"/>
      <c r="BU122" s="43"/>
      <c r="BY122" s="42">
        <v>0</v>
      </c>
      <c r="BZ122" s="44"/>
      <c r="CE122" s="42">
        <v>0</v>
      </c>
      <c r="CF122" s="44"/>
      <c r="CG122" s="43"/>
      <c r="CK122" s="42">
        <v>0</v>
      </c>
      <c r="CL122" s="44"/>
      <c r="CM122" s="43"/>
      <c r="CQ122" s="42">
        <v>0</v>
      </c>
      <c r="CR122" s="44"/>
      <c r="CW122" s="42">
        <v>0</v>
      </c>
      <c r="CX122" s="44"/>
      <c r="CY122" s="43"/>
      <c r="DC122" s="42">
        <v>0</v>
      </c>
      <c r="DD122" s="44"/>
      <c r="DE122" s="43"/>
      <c r="DK122" s="42">
        <v>0</v>
      </c>
      <c r="DL122" s="44"/>
      <c r="DM122" s="43"/>
      <c r="DQ122" s="42">
        <v>0</v>
      </c>
      <c r="DR122" s="44"/>
      <c r="DY122" s="42">
        <v>0</v>
      </c>
      <c r="DZ122" s="44"/>
      <c r="EA122" s="43"/>
      <c r="EE122" s="42">
        <v>0</v>
      </c>
      <c r="EF122" s="44"/>
      <c r="EG122" s="43"/>
      <c r="EK122" s="42">
        <v>0</v>
      </c>
      <c r="EL122" s="44"/>
      <c r="EM122" s="43"/>
      <c r="EQ122" s="42">
        <v>0</v>
      </c>
      <c r="ER122" s="44"/>
      <c r="EY122" s="42">
        <v>0</v>
      </c>
      <c r="EZ122" s="44"/>
      <c r="FE122" s="42">
        <v>0</v>
      </c>
      <c r="FF122" s="44"/>
      <c r="FG122" s="43"/>
      <c r="FK122" s="42">
        <v>0</v>
      </c>
      <c r="FL122" s="44"/>
      <c r="FM122" s="43"/>
      <c r="FO122" s="42">
        <v>0</v>
      </c>
      <c r="FP122" s="44"/>
      <c r="FU122" s="42">
        <v>0</v>
      </c>
      <c r="FV122" s="44"/>
      <c r="FW122" s="43"/>
      <c r="GC122" s="42">
        <v>0</v>
      </c>
      <c r="GD122" s="44"/>
      <c r="GI122" s="42">
        <v>0</v>
      </c>
      <c r="GJ122" s="44"/>
      <c r="GK122" s="43"/>
      <c r="GO122" s="42">
        <v>0</v>
      </c>
      <c r="GP122" s="47"/>
      <c r="GU122" s="42">
        <v>0</v>
      </c>
      <c r="GV122" s="44"/>
      <c r="GY122" s="42">
        <v>0</v>
      </c>
      <c r="GZ122" s="47"/>
      <c r="HA122" s="43"/>
      <c r="HC122" s="42">
        <v>0</v>
      </c>
      <c r="HD122" s="44"/>
      <c r="HE122" s="43"/>
      <c r="HI122" s="42">
        <v>0</v>
      </c>
      <c r="HJ122" s="47"/>
      <c r="HK122" s="43"/>
      <c r="HO122" s="42">
        <v>0</v>
      </c>
      <c r="HP122" s="44"/>
      <c r="HV122" s="42">
        <v>0</v>
      </c>
      <c r="HW122" s="44"/>
      <c r="HX122" s="45"/>
      <c r="HZ122">
        <v>5</v>
      </c>
      <c r="IA122">
        <v>5</v>
      </c>
      <c r="IB122" s="42">
        <v>0</v>
      </c>
      <c r="IC122" s="44"/>
      <c r="IH122" s="42">
        <v>0</v>
      </c>
      <c r="II122" s="47"/>
      <c r="IM122">
        <v>15</v>
      </c>
      <c r="IN122" s="39">
        <v>-15</v>
      </c>
      <c r="IO122" s="47">
        <v>15</v>
      </c>
      <c r="IT122" s="42">
        <v>0</v>
      </c>
      <c r="IU122" s="47"/>
      <c r="IX122">
        <v>16</v>
      </c>
      <c r="IY122">
        <v>18</v>
      </c>
      <c r="IZ122" s="42">
        <v>-2</v>
      </c>
      <c r="JA122" s="44"/>
      <c r="JD122" s="42">
        <v>0</v>
      </c>
      <c r="JE122" s="44"/>
      <c r="JJ122" s="42">
        <v>0</v>
      </c>
      <c r="JK122" s="44"/>
      <c r="JL122" s="45"/>
      <c r="JN122" s="42">
        <v>0</v>
      </c>
      <c r="JO122" s="44"/>
      <c r="JR122">
        <v>21</v>
      </c>
      <c r="JS122">
        <v>20</v>
      </c>
      <c r="JT122" s="42">
        <v>1</v>
      </c>
      <c r="JU122" s="44"/>
      <c r="JZ122" s="42">
        <v>0</v>
      </c>
      <c r="KA122" s="47"/>
      <c r="KF122" s="42">
        <v>0</v>
      </c>
      <c r="KG122" s="44"/>
      <c r="KH122" s="41"/>
      <c r="KJ122">
        <v>15</v>
      </c>
      <c r="KK122">
        <v>15</v>
      </c>
      <c r="KL122" s="42">
        <v>0</v>
      </c>
      <c r="KM122" s="47"/>
      <c r="KN122" s="46">
        <v>5</v>
      </c>
      <c r="KO122">
        <v>5</v>
      </c>
      <c r="KT122" s="42">
        <v>0</v>
      </c>
      <c r="KU122" s="47"/>
      <c r="KV122" s="40">
        <v>0</v>
      </c>
      <c r="KW122" s="40">
        <v>0</v>
      </c>
      <c r="KX122" s="40">
        <v>0</v>
      </c>
      <c r="KY122" s="40">
        <v>0</v>
      </c>
      <c r="KZ122" s="42">
        <v>0</v>
      </c>
      <c r="LA122" s="47"/>
      <c r="LB122" s="40">
        <v>0</v>
      </c>
      <c r="LC122" s="40">
        <v>0</v>
      </c>
      <c r="LD122" s="40">
        <v>10.065</v>
      </c>
      <c r="LE122" s="40">
        <v>9</v>
      </c>
      <c r="LF122" s="42">
        <v>1.0649999999999999</v>
      </c>
      <c r="LG122" s="47"/>
      <c r="LH122" s="45">
        <v>5.109</v>
      </c>
      <c r="LI122" s="40">
        <v>6</v>
      </c>
      <c r="LJ122" s="42">
        <v>-0.89100000000000001</v>
      </c>
      <c r="LK122" s="47"/>
      <c r="LL122" s="45">
        <v>0</v>
      </c>
      <c r="LM122" s="40">
        <v>0</v>
      </c>
      <c r="LN122" s="40">
        <v>5.12</v>
      </c>
      <c r="LO122" s="40">
        <v>9</v>
      </c>
      <c r="LP122" s="42">
        <v>-3.88</v>
      </c>
      <c r="LQ122" s="47"/>
      <c r="LR122" s="45">
        <v>0</v>
      </c>
      <c r="LS122" s="40">
        <v>0</v>
      </c>
      <c r="LT122" s="40">
        <v>0</v>
      </c>
      <c r="LU122" s="40">
        <v>0</v>
      </c>
      <c r="LV122" s="42">
        <v>0</v>
      </c>
      <c r="LW122" s="47"/>
      <c r="LX122" s="45">
        <v>0</v>
      </c>
      <c r="LY122" s="40">
        <v>0</v>
      </c>
      <c r="LZ122" s="42">
        <v>0</v>
      </c>
      <c r="MA122" s="47"/>
      <c r="MB122" s="45">
        <v>0</v>
      </c>
      <c r="MC122" s="40">
        <v>0</v>
      </c>
      <c r="MD122" s="40">
        <v>41.77</v>
      </c>
      <c r="ME122" s="40">
        <v>40</v>
      </c>
      <c r="MF122" s="42">
        <v>1.7700000000000029</v>
      </c>
      <c r="MG122" s="47"/>
      <c r="MH122" s="45">
        <v>10.358000000000001</v>
      </c>
      <c r="MI122" s="40">
        <v>9</v>
      </c>
      <c r="MJ122" s="42">
        <v>1.358000000000001</v>
      </c>
      <c r="MK122" s="47"/>
      <c r="ML122" s="45">
        <v>0</v>
      </c>
      <c r="MM122" s="40">
        <v>0</v>
      </c>
      <c r="MN122" s="40">
        <v>0</v>
      </c>
      <c r="MO122" s="40">
        <v>0</v>
      </c>
      <c r="MP122" s="42">
        <v>0</v>
      </c>
      <c r="MQ122" s="47"/>
      <c r="MR122" s="40">
        <v>0</v>
      </c>
      <c r="MS122" s="40">
        <v>0</v>
      </c>
      <c r="MT122" s="40">
        <v>21.012</v>
      </c>
      <c r="MU122" s="40">
        <v>21</v>
      </c>
      <c r="MV122" s="42">
        <v>1.200000000000045E-2</v>
      </c>
      <c r="MW122" s="47"/>
      <c r="MX122" s="45">
        <v>0</v>
      </c>
      <c r="MY122" s="40">
        <v>0</v>
      </c>
      <c r="MZ122" s="40">
        <v>0</v>
      </c>
      <c r="NA122" s="40">
        <v>0</v>
      </c>
      <c r="NB122" s="42">
        <v>0</v>
      </c>
      <c r="NC122" s="47"/>
      <c r="ND122" s="45">
        <v>0</v>
      </c>
      <c r="NE122" s="40">
        <v>0</v>
      </c>
      <c r="NF122" s="40">
        <v>20.908000000000001</v>
      </c>
      <c r="NG122" s="40">
        <v>20</v>
      </c>
      <c r="NH122" s="42">
        <v>0.90800000000000125</v>
      </c>
      <c r="NI122" s="47"/>
      <c r="NJ122" s="45">
        <v>0</v>
      </c>
      <c r="NK122" s="40">
        <v>0</v>
      </c>
      <c r="NL122" s="40">
        <v>20.763999999999999</v>
      </c>
      <c r="NM122" s="40">
        <v>23</v>
      </c>
      <c r="NN122" s="42">
        <v>-2.2360000000000011</v>
      </c>
      <c r="NO122" s="47"/>
      <c r="NP122" s="45">
        <v>0</v>
      </c>
      <c r="NQ122" s="40">
        <v>0</v>
      </c>
      <c r="NR122" s="40">
        <v>0</v>
      </c>
      <c r="NS122" s="40">
        <v>0</v>
      </c>
      <c r="NT122" s="42">
        <v>0</v>
      </c>
      <c r="NU122" s="47"/>
      <c r="NV122" s="45">
        <v>0</v>
      </c>
      <c r="NW122" s="40">
        <v>0</v>
      </c>
      <c r="NX122" s="40">
        <v>10.398</v>
      </c>
      <c r="NY122" s="40">
        <v>10</v>
      </c>
      <c r="NZ122" s="42">
        <v>0.39799999999999969</v>
      </c>
      <c r="OA122" s="47"/>
      <c r="OB122" s="45">
        <v>21.073</v>
      </c>
      <c r="OC122" s="40">
        <v>20</v>
      </c>
      <c r="OD122" s="42">
        <v>1.073</v>
      </c>
      <c r="OE122" s="47"/>
      <c r="OF122" s="45">
        <v>0</v>
      </c>
      <c r="OG122" s="40">
        <v>0</v>
      </c>
      <c r="OH122" s="40">
        <v>0</v>
      </c>
      <c r="OI122" s="40">
        <v>0</v>
      </c>
      <c r="OJ122" s="42">
        <v>0</v>
      </c>
      <c r="OK122" s="47"/>
      <c r="OL122" s="45">
        <v>0</v>
      </c>
      <c r="OM122" s="40">
        <v>0</v>
      </c>
      <c r="ON122" s="40">
        <v>15.667999999999999</v>
      </c>
      <c r="OO122" s="40">
        <v>15</v>
      </c>
      <c r="OP122" s="42">
        <v>0.66799999999999926</v>
      </c>
      <c r="OQ122" s="47"/>
      <c r="OR122" s="45">
        <v>0</v>
      </c>
      <c r="OS122" s="40">
        <v>0</v>
      </c>
      <c r="OT122" s="40">
        <v>0</v>
      </c>
      <c r="OU122" s="40">
        <v>0</v>
      </c>
      <c r="OV122" s="42">
        <v>0</v>
      </c>
      <c r="OW122" s="47"/>
      <c r="OX122" s="40">
        <v>0</v>
      </c>
      <c r="OY122" s="40">
        <v>0</v>
      </c>
      <c r="OZ122" s="40">
        <v>0</v>
      </c>
      <c r="PA122" s="40">
        <v>0</v>
      </c>
      <c r="PB122" s="42">
        <v>0</v>
      </c>
      <c r="PC122" s="47"/>
      <c r="PD122" s="45">
        <v>0</v>
      </c>
      <c r="PE122" s="40">
        <v>0</v>
      </c>
      <c r="PF122" s="40">
        <v>0</v>
      </c>
      <c r="PG122" s="40">
        <v>0</v>
      </c>
      <c r="PH122" s="42">
        <v>0</v>
      </c>
      <c r="PI122" s="47"/>
      <c r="PJ122" s="45">
        <v>0</v>
      </c>
      <c r="PK122" s="40">
        <v>0</v>
      </c>
      <c r="PL122" s="40">
        <v>30.92</v>
      </c>
      <c r="PM122" s="40">
        <v>30</v>
      </c>
      <c r="PN122" s="42">
        <v>0.92000000000000171</v>
      </c>
      <c r="PO122" s="47"/>
      <c r="PP122" s="43">
        <v>0</v>
      </c>
      <c r="PQ122" s="40">
        <v>0</v>
      </c>
      <c r="PR122" s="40">
        <v>0</v>
      </c>
      <c r="PS122" s="40">
        <v>0</v>
      </c>
      <c r="PT122" s="42">
        <v>0</v>
      </c>
      <c r="PU122" s="47"/>
      <c r="PV122" s="45">
        <v>79.917000000000002</v>
      </c>
      <c r="PW122" s="40">
        <v>80</v>
      </c>
      <c r="PX122" s="40">
        <v>0</v>
      </c>
      <c r="PY122" s="40">
        <v>0</v>
      </c>
      <c r="PZ122" s="42">
        <v>-8.2999999999998408E-2</v>
      </c>
      <c r="QA122" s="47"/>
      <c r="QB122" s="45">
        <v>0</v>
      </c>
      <c r="QC122" s="40">
        <v>0</v>
      </c>
      <c r="QD122" s="42">
        <v>0</v>
      </c>
      <c r="QE122" s="47"/>
      <c r="QF122" s="45">
        <v>0</v>
      </c>
      <c r="QG122" s="40">
        <v>0</v>
      </c>
      <c r="QH122" s="40">
        <v>0</v>
      </c>
      <c r="QI122" s="40">
        <v>0</v>
      </c>
      <c r="QJ122" s="42">
        <v>0</v>
      </c>
      <c r="QK122" s="47"/>
      <c r="QL122" s="45">
        <v>67.344999999999999</v>
      </c>
      <c r="QM122" s="40">
        <v>70</v>
      </c>
      <c r="QN122" s="40">
        <v>77.787000000000006</v>
      </c>
      <c r="QO122" s="40">
        <v>80</v>
      </c>
      <c r="QP122" s="42">
        <v>-4.867999999999995</v>
      </c>
      <c r="QQ122" s="47"/>
      <c r="QR122" s="45">
        <v>0</v>
      </c>
      <c r="QS122" s="40">
        <v>0</v>
      </c>
      <c r="QT122" s="40">
        <v>0</v>
      </c>
      <c r="QU122" s="40">
        <v>0</v>
      </c>
      <c r="QV122" s="42">
        <v>0</v>
      </c>
      <c r="QW122" s="47"/>
      <c r="QX122" s="45">
        <v>0</v>
      </c>
      <c r="QY122" s="40">
        <v>0</v>
      </c>
      <c r="QZ122" s="40">
        <v>0</v>
      </c>
      <c r="RA122" s="40">
        <v>0</v>
      </c>
      <c r="RB122" s="42">
        <v>0</v>
      </c>
      <c r="RC122" s="47"/>
      <c r="RD122" s="45">
        <v>0</v>
      </c>
      <c r="RE122" s="40">
        <v>0</v>
      </c>
      <c r="RF122" s="42">
        <v>0</v>
      </c>
      <c r="RG122" s="47"/>
    </row>
    <row r="123" spans="1:475" x14ac:dyDescent="0.25">
      <c r="A123" s="40" t="s">
        <v>412</v>
      </c>
      <c r="B123" s="41">
        <v>0.4</v>
      </c>
      <c r="N123" s="43"/>
      <c r="O123" s="48"/>
      <c r="P123" s="48"/>
      <c r="Q123" s="48"/>
      <c r="R123" s="48">
        <f t="shared" si="13"/>
        <v>0</v>
      </c>
      <c r="S123" s="44"/>
      <c r="T123" s="43"/>
      <c r="U123" s="48"/>
      <c r="V123" s="48"/>
      <c r="W123" s="48"/>
      <c r="X123" s="48">
        <f t="shared" si="14"/>
        <v>0</v>
      </c>
      <c r="Y123" s="44"/>
      <c r="Z123" s="43"/>
      <c r="AA123" s="48"/>
      <c r="AB123" s="48"/>
      <c r="AC123" s="48"/>
      <c r="AD123" s="48">
        <f t="shared" si="15"/>
        <v>0</v>
      </c>
      <c r="AE123" s="44"/>
      <c r="AF123" s="43"/>
      <c r="AG123" s="48"/>
      <c r="AH123" s="48"/>
      <c r="AI123" s="48"/>
      <c r="AJ123" s="48">
        <f t="shared" si="16"/>
        <v>0</v>
      </c>
      <c r="AK123" s="44"/>
      <c r="AL123" s="48"/>
      <c r="AP123" s="42">
        <v>0</v>
      </c>
      <c r="AQ123" s="44"/>
      <c r="AR123" s="43"/>
      <c r="AV123" s="42">
        <v>0</v>
      </c>
      <c r="AW123" s="44"/>
      <c r="BC123" s="42">
        <v>0</v>
      </c>
      <c r="BD123" s="44"/>
      <c r="BE123" s="43"/>
      <c r="BI123" s="42">
        <v>0</v>
      </c>
      <c r="BJ123" s="44"/>
      <c r="BO123" s="42">
        <v>0</v>
      </c>
      <c r="BP123" s="44"/>
      <c r="BS123" s="42">
        <v>0</v>
      </c>
      <c r="BT123" s="44"/>
      <c r="BU123" s="43"/>
      <c r="BY123" s="42">
        <v>0</v>
      </c>
      <c r="BZ123" s="44"/>
      <c r="CE123" s="42">
        <v>0</v>
      </c>
      <c r="CF123" s="44"/>
      <c r="CG123" s="43"/>
      <c r="CK123" s="42">
        <v>0</v>
      </c>
      <c r="CL123" s="44"/>
      <c r="CM123" s="43"/>
      <c r="CQ123" s="42">
        <v>0</v>
      </c>
      <c r="CR123" s="44"/>
      <c r="CW123" s="42">
        <v>0</v>
      </c>
      <c r="CX123" s="44"/>
      <c r="CY123" s="43"/>
      <c r="DC123" s="42">
        <v>0</v>
      </c>
      <c r="DD123" s="44"/>
      <c r="DE123" s="43"/>
      <c r="DK123" s="42">
        <v>0</v>
      </c>
      <c r="DL123" s="44"/>
      <c r="DM123" s="43"/>
      <c r="DQ123" s="42">
        <v>0</v>
      </c>
      <c r="DR123" s="44"/>
      <c r="DY123" s="42">
        <v>0</v>
      </c>
      <c r="DZ123" s="44"/>
      <c r="EA123" s="43"/>
      <c r="EE123" s="42">
        <v>0</v>
      </c>
      <c r="EF123" s="44"/>
      <c r="EG123" s="43"/>
      <c r="EK123" s="42">
        <v>0</v>
      </c>
      <c r="EL123" s="44"/>
      <c r="EM123" s="43"/>
      <c r="EQ123" s="42">
        <v>0</v>
      </c>
      <c r="ER123" s="44"/>
      <c r="EY123" s="42">
        <v>0</v>
      </c>
      <c r="EZ123" s="44"/>
      <c r="FE123" s="42">
        <v>0</v>
      </c>
      <c r="FF123" s="44"/>
      <c r="FG123" s="43"/>
      <c r="FK123" s="42">
        <v>0</v>
      </c>
      <c r="FL123" s="44"/>
      <c r="FM123" s="43"/>
      <c r="FO123" s="42">
        <v>0</v>
      </c>
      <c r="FP123" s="44"/>
      <c r="FU123" s="42">
        <v>0</v>
      </c>
      <c r="FV123" s="44"/>
      <c r="FW123" s="43"/>
      <c r="GC123" s="42">
        <v>0</v>
      </c>
      <c r="GD123" s="44"/>
      <c r="GI123" s="42">
        <v>0</v>
      </c>
      <c r="GJ123" s="44"/>
      <c r="GK123" s="43"/>
      <c r="GO123" s="42">
        <v>0</v>
      </c>
      <c r="GP123" s="47"/>
      <c r="GU123" s="42">
        <v>0</v>
      </c>
      <c r="GV123" s="44"/>
      <c r="GY123" s="42">
        <v>0</v>
      </c>
      <c r="GZ123" s="47"/>
      <c r="HA123" s="43"/>
      <c r="HC123" s="42">
        <v>0</v>
      </c>
      <c r="HD123" s="44"/>
      <c r="HE123" s="43"/>
      <c r="HI123" s="42">
        <v>0</v>
      </c>
      <c r="HJ123" s="47"/>
      <c r="HK123" s="43"/>
      <c r="HO123" s="42">
        <v>0</v>
      </c>
      <c r="HP123" s="44"/>
      <c r="HV123" s="42">
        <v>0</v>
      </c>
      <c r="HW123" s="44"/>
      <c r="HX123" s="45"/>
      <c r="IB123" s="42">
        <v>0</v>
      </c>
      <c r="IC123" s="44"/>
      <c r="IF123" s="37">
        <v>24</v>
      </c>
      <c r="IH123" s="42">
        <v>0</v>
      </c>
      <c r="II123" s="47"/>
      <c r="IL123">
        <v>48</v>
      </c>
      <c r="IM123">
        <v>48</v>
      </c>
      <c r="IN123" s="42">
        <v>0</v>
      </c>
      <c r="IO123" s="47"/>
      <c r="IT123" s="42">
        <v>0</v>
      </c>
      <c r="IU123" s="47"/>
      <c r="IV123">
        <v>96</v>
      </c>
      <c r="IW123">
        <v>100</v>
      </c>
      <c r="IX123">
        <v>88</v>
      </c>
      <c r="IY123">
        <v>90</v>
      </c>
      <c r="IZ123" s="42">
        <v>-6</v>
      </c>
      <c r="JA123" s="44"/>
      <c r="JD123" s="42">
        <v>0</v>
      </c>
      <c r="JE123" s="44"/>
      <c r="JJ123" s="42">
        <v>0</v>
      </c>
      <c r="JK123" s="44"/>
      <c r="JL123" s="46">
        <v>56</v>
      </c>
      <c r="JM123" s="40">
        <v>56</v>
      </c>
      <c r="JN123" s="42">
        <v>0</v>
      </c>
      <c r="JO123" s="44"/>
      <c r="JR123">
        <v>120</v>
      </c>
      <c r="JS123">
        <v>120</v>
      </c>
      <c r="JT123" s="42">
        <v>0</v>
      </c>
      <c r="JU123" s="44"/>
      <c r="JZ123" s="42">
        <v>0</v>
      </c>
      <c r="KA123" s="47"/>
      <c r="KD123">
        <v>88</v>
      </c>
      <c r="KE123">
        <v>90</v>
      </c>
      <c r="KF123" s="42">
        <v>-2</v>
      </c>
      <c r="KG123" s="44"/>
      <c r="KH123">
        <v>48</v>
      </c>
      <c r="KI123">
        <v>50</v>
      </c>
      <c r="KK123">
        <v>130</v>
      </c>
      <c r="KL123" s="39">
        <v>-132</v>
      </c>
      <c r="KM123" s="47">
        <v>52.8</v>
      </c>
      <c r="KN123" s="45"/>
      <c r="KP123">
        <v>32</v>
      </c>
      <c r="KQ123">
        <v>30</v>
      </c>
      <c r="KT123" s="42">
        <v>2</v>
      </c>
      <c r="KU123" s="47"/>
      <c r="KV123" s="40">
        <v>0</v>
      </c>
      <c r="KW123" s="40">
        <v>0</v>
      </c>
      <c r="KX123" s="40">
        <v>96</v>
      </c>
      <c r="KY123" s="40">
        <v>96</v>
      </c>
      <c r="KZ123" s="42">
        <v>0</v>
      </c>
      <c r="LA123" s="47"/>
      <c r="LB123" s="40">
        <v>0</v>
      </c>
      <c r="LC123" s="40">
        <v>0</v>
      </c>
      <c r="LD123" s="40">
        <v>0</v>
      </c>
      <c r="LE123" s="40">
        <v>0</v>
      </c>
      <c r="LF123" s="42">
        <v>0</v>
      </c>
      <c r="LG123" s="47"/>
      <c r="LH123" s="45">
        <v>120</v>
      </c>
      <c r="LI123" s="40">
        <v>120</v>
      </c>
      <c r="LJ123" s="42">
        <v>0</v>
      </c>
      <c r="LK123" s="47"/>
      <c r="LL123" s="45">
        <v>40</v>
      </c>
      <c r="LM123" s="40">
        <v>40</v>
      </c>
      <c r="LN123" s="40">
        <v>0</v>
      </c>
      <c r="LO123" s="40">
        <v>0</v>
      </c>
      <c r="LP123" s="42">
        <v>0</v>
      </c>
      <c r="LQ123" s="47"/>
      <c r="LR123" s="45">
        <v>40</v>
      </c>
      <c r="LS123" s="40">
        <v>40</v>
      </c>
      <c r="LT123" s="40">
        <v>80</v>
      </c>
      <c r="LU123" s="40">
        <v>80</v>
      </c>
      <c r="LV123" s="42">
        <v>0</v>
      </c>
      <c r="LW123" s="47"/>
      <c r="LX123" s="45">
        <v>72</v>
      </c>
      <c r="LY123" s="40">
        <v>70</v>
      </c>
      <c r="LZ123" s="42">
        <v>2</v>
      </c>
      <c r="MA123" s="47"/>
      <c r="MB123" s="45">
        <v>0</v>
      </c>
      <c r="MC123" s="40">
        <v>0</v>
      </c>
      <c r="MD123" s="40">
        <v>72</v>
      </c>
      <c r="ME123" s="40">
        <v>70</v>
      </c>
      <c r="MF123" s="42">
        <v>2</v>
      </c>
      <c r="MG123" s="47"/>
      <c r="MH123" s="45">
        <v>40</v>
      </c>
      <c r="MI123" s="40">
        <v>40</v>
      </c>
      <c r="MJ123" s="42">
        <v>0</v>
      </c>
      <c r="MK123" s="47"/>
      <c r="ML123" s="45">
        <v>80</v>
      </c>
      <c r="MM123" s="40">
        <v>80</v>
      </c>
      <c r="MN123" s="40">
        <v>0</v>
      </c>
      <c r="MO123" s="40">
        <v>0</v>
      </c>
      <c r="MP123" s="42">
        <v>0</v>
      </c>
      <c r="MQ123" s="47"/>
      <c r="MW123" s="47"/>
      <c r="MX123" s="45"/>
      <c r="NC123" s="47"/>
      <c r="ND123" s="45"/>
      <c r="NI123" s="47"/>
      <c r="NJ123" s="45"/>
      <c r="NO123" s="47"/>
      <c r="NP123" s="45"/>
      <c r="NU123" s="47"/>
      <c r="NV123" s="45"/>
      <c r="OA123" s="47"/>
      <c r="OB123" s="45"/>
      <c r="OE123" s="47"/>
      <c r="OF123" s="45"/>
      <c r="OK123" s="47"/>
      <c r="OL123" s="45"/>
      <c r="OQ123" s="47"/>
      <c r="OR123" s="45"/>
      <c r="OW123" s="47"/>
      <c r="PC123" s="47"/>
      <c r="PD123" s="45"/>
      <c r="PI123" s="47"/>
      <c r="PJ123" s="45"/>
      <c r="PO123" s="47"/>
      <c r="PP123" s="43"/>
      <c r="PU123" s="47"/>
      <c r="PV123" s="45"/>
      <c r="QA123" s="47"/>
      <c r="QB123" s="45"/>
      <c r="QE123" s="47"/>
      <c r="QF123" s="45"/>
      <c r="QK123" s="47"/>
      <c r="QL123" s="45"/>
      <c r="QQ123" s="47"/>
      <c r="QR123" s="45"/>
      <c r="QW123" s="47"/>
      <c r="QX123" s="45"/>
      <c r="RB123" s="42"/>
      <c r="RC123" s="47"/>
      <c r="RD123" s="45"/>
      <c r="RF123" s="42"/>
      <c r="RG123" s="47"/>
    </row>
    <row r="124" spans="1:475" x14ac:dyDescent="0.25">
      <c r="A124" s="40" t="s">
        <v>413</v>
      </c>
      <c r="B124" s="41">
        <v>1</v>
      </c>
      <c r="N124" s="43"/>
      <c r="O124" s="48"/>
      <c r="P124" s="48"/>
      <c r="Q124" s="48"/>
      <c r="R124" s="48">
        <f t="shared" si="13"/>
        <v>0</v>
      </c>
      <c r="S124" s="44"/>
      <c r="T124" s="43"/>
      <c r="U124" s="48"/>
      <c r="V124" s="48"/>
      <c r="W124" s="48"/>
      <c r="X124" s="48">
        <f t="shared" si="14"/>
        <v>0</v>
      </c>
      <c r="Y124" s="44"/>
      <c r="Z124" s="43"/>
      <c r="AA124" s="48"/>
      <c r="AB124" s="48"/>
      <c r="AC124" s="48"/>
      <c r="AD124" s="48">
        <f t="shared" si="15"/>
        <v>0</v>
      </c>
      <c r="AE124" s="44"/>
      <c r="AF124" s="43"/>
      <c r="AG124" s="48"/>
      <c r="AH124" s="48"/>
      <c r="AI124" s="48"/>
      <c r="AJ124" s="48">
        <f t="shared" si="16"/>
        <v>0</v>
      </c>
      <c r="AK124" s="44"/>
      <c r="AL124" s="48"/>
      <c r="AP124" s="42">
        <v>0</v>
      </c>
      <c r="AQ124" s="44"/>
      <c r="AR124" s="43"/>
      <c r="AV124" s="42">
        <v>0</v>
      </c>
      <c r="AW124" s="44"/>
      <c r="BC124" s="42">
        <v>0</v>
      </c>
      <c r="BD124" s="44"/>
      <c r="BE124" s="43"/>
      <c r="BI124" s="42">
        <v>0</v>
      </c>
      <c r="BJ124" s="44"/>
      <c r="BO124" s="42">
        <v>0</v>
      </c>
      <c r="BP124" s="44"/>
      <c r="BS124" s="42">
        <v>0</v>
      </c>
      <c r="BT124" s="44"/>
      <c r="BU124" s="43"/>
      <c r="BY124" s="42">
        <v>0</v>
      </c>
      <c r="BZ124" s="44"/>
      <c r="CE124" s="42">
        <v>0</v>
      </c>
      <c r="CF124" s="44"/>
      <c r="CG124" s="43"/>
      <c r="CK124" s="42">
        <v>0</v>
      </c>
      <c r="CL124" s="44"/>
      <c r="CM124" s="43"/>
      <c r="CQ124" s="42">
        <v>0</v>
      </c>
      <c r="CR124" s="44"/>
      <c r="CW124" s="42">
        <v>0</v>
      </c>
      <c r="CX124" s="44"/>
      <c r="CY124" s="43"/>
      <c r="DC124" s="42">
        <v>0</v>
      </c>
      <c r="DD124" s="44"/>
      <c r="DE124" s="43"/>
      <c r="DK124" s="42">
        <v>0</v>
      </c>
      <c r="DL124" s="44"/>
      <c r="DM124" s="43"/>
      <c r="DQ124" s="42">
        <v>0</v>
      </c>
      <c r="DR124" s="44"/>
      <c r="DY124" s="42">
        <v>0</v>
      </c>
      <c r="DZ124" s="44"/>
      <c r="EA124" s="43"/>
      <c r="EE124" s="42">
        <v>0</v>
      </c>
      <c r="EF124" s="44"/>
      <c r="EG124" s="43"/>
      <c r="EK124" s="42">
        <v>0</v>
      </c>
      <c r="EL124" s="44"/>
      <c r="EM124" s="43"/>
      <c r="EQ124" s="42">
        <v>0</v>
      </c>
      <c r="ER124" s="44"/>
      <c r="EY124" s="42">
        <v>0</v>
      </c>
      <c r="EZ124" s="44"/>
      <c r="FE124" s="42">
        <v>0</v>
      </c>
      <c r="FF124" s="44"/>
      <c r="FG124" s="43"/>
      <c r="FK124" s="42">
        <v>0</v>
      </c>
      <c r="FL124" s="44"/>
      <c r="FM124" s="43"/>
      <c r="FO124" s="42">
        <v>0</v>
      </c>
      <c r="FP124" s="44"/>
      <c r="FU124" s="42">
        <v>0</v>
      </c>
      <c r="FV124" s="44"/>
      <c r="FW124" s="43"/>
      <c r="GC124" s="42">
        <v>0</v>
      </c>
      <c r="GD124" s="44"/>
      <c r="GI124" s="42">
        <v>0</v>
      </c>
      <c r="GJ124" s="44"/>
      <c r="GK124" s="43"/>
      <c r="GO124" s="42">
        <v>0</v>
      </c>
      <c r="GP124" s="47"/>
      <c r="GU124" s="42">
        <v>0</v>
      </c>
      <c r="GV124" s="44"/>
      <c r="GY124" s="42">
        <v>0</v>
      </c>
      <c r="GZ124" s="47"/>
      <c r="HA124" s="43"/>
      <c r="HC124" s="42">
        <v>0</v>
      </c>
      <c r="HD124" s="44"/>
      <c r="HE124" s="43"/>
      <c r="HI124" s="42">
        <v>0</v>
      </c>
      <c r="HJ124" s="47"/>
      <c r="HK124" s="43"/>
      <c r="HO124" s="42">
        <v>0</v>
      </c>
      <c r="HP124" s="44"/>
      <c r="HV124" s="42">
        <v>0</v>
      </c>
      <c r="HW124" s="44"/>
      <c r="HX124" s="45"/>
      <c r="IB124" s="42">
        <v>0</v>
      </c>
      <c r="IC124" s="44"/>
      <c r="IF124" s="37">
        <v>40</v>
      </c>
      <c r="IH124" s="42">
        <v>0</v>
      </c>
      <c r="II124" s="47"/>
      <c r="IL124">
        <v>20</v>
      </c>
      <c r="IM124">
        <v>20</v>
      </c>
      <c r="IN124" s="42">
        <v>0</v>
      </c>
      <c r="IO124" s="47"/>
      <c r="IT124" s="42">
        <v>0</v>
      </c>
      <c r="IU124" s="47"/>
      <c r="IV124">
        <v>81</v>
      </c>
      <c r="IW124">
        <v>80</v>
      </c>
      <c r="IX124">
        <v>61</v>
      </c>
      <c r="IY124">
        <v>60</v>
      </c>
      <c r="IZ124" s="42">
        <v>2</v>
      </c>
      <c r="JA124" s="44"/>
      <c r="JB124">
        <v>58</v>
      </c>
      <c r="JC124">
        <v>60</v>
      </c>
      <c r="JD124" s="42">
        <v>-2</v>
      </c>
      <c r="JE124" s="44"/>
      <c r="JH124">
        <v>28</v>
      </c>
      <c r="JI124">
        <v>27</v>
      </c>
      <c r="JJ124" s="42">
        <v>1</v>
      </c>
      <c r="JK124" s="44"/>
      <c r="JL124" s="46">
        <v>41</v>
      </c>
      <c r="JM124" s="40">
        <v>40</v>
      </c>
      <c r="JN124" s="42">
        <v>1</v>
      </c>
      <c r="JO124" s="44"/>
      <c r="JR124">
        <v>49</v>
      </c>
      <c r="JS124">
        <v>50</v>
      </c>
      <c r="JT124" s="42">
        <v>-1</v>
      </c>
      <c r="JU124" s="44"/>
      <c r="JV124">
        <v>20</v>
      </c>
      <c r="JW124">
        <v>20</v>
      </c>
      <c r="JZ124" s="42">
        <v>0</v>
      </c>
      <c r="KA124" s="47"/>
      <c r="KB124">
        <v>40</v>
      </c>
      <c r="KC124">
        <v>40</v>
      </c>
      <c r="KD124">
        <v>61</v>
      </c>
      <c r="KE124">
        <v>60</v>
      </c>
      <c r="KF124" s="42">
        <v>1</v>
      </c>
      <c r="KG124" s="44"/>
      <c r="KH124" s="41"/>
      <c r="KJ124">
        <v>60</v>
      </c>
      <c r="KK124">
        <v>60</v>
      </c>
      <c r="KL124" s="42">
        <v>0</v>
      </c>
      <c r="KM124" s="47"/>
      <c r="KN124" s="46">
        <v>12</v>
      </c>
      <c r="KO124">
        <v>10</v>
      </c>
      <c r="KR124">
        <v>16</v>
      </c>
      <c r="KT124" s="42">
        <v>18</v>
      </c>
      <c r="KU124" s="47"/>
      <c r="KV124" s="40">
        <v>0</v>
      </c>
      <c r="KW124" s="40">
        <v>0</v>
      </c>
      <c r="KX124" s="40">
        <v>89.453000000000003</v>
      </c>
      <c r="KY124" s="40">
        <v>90</v>
      </c>
      <c r="KZ124" s="42">
        <v>-0.54699999999999704</v>
      </c>
      <c r="LA124" s="47"/>
      <c r="LB124" s="40">
        <v>0</v>
      </c>
      <c r="LC124" s="40">
        <v>0</v>
      </c>
      <c r="LD124" s="40">
        <v>0</v>
      </c>
      <c r="LE124" s="40">
        <v>0</v>
      </c>
      <c r="LF124" s="42">
        <v>0</v>
      </c>
      <c r="LG124" s="47"/>
      <c r="LH124" s="45">
        <v>20.312000000000001</v>
      </c>
      <c r="LI124" s="40">
        <v>20</v>
      </c>
      <c r="LJ124" s="42">
        <v>0.31200000000000122</v>
      </c>
      <c r="LK124" s="47"/>
      <c r="LL124" s="45">
        <v>0</v>
      </c>
      <c r="LM124" s="40">
        <v>30</v>
      </c>
      <c r="LN124" s="40">
        <v>24.42</v>
      </c>
      <c r="LO124" s="40">
        <v>25</v>
      </c>
      <c r="LP124" s="39">
        <v>-30.58</v>
      </c>
      <c r="LQ124" s="47">
        <v>30.58</v>
      </c>
      <c r="LR124" s="45">
        <v>88.921999999999997</v>
      </c>
      <c r="LS124" s="40">
        <v>90</v>
      </c>
      <c r="LT124" s="40">
        <v>80.710999999999999</v>
      </c>
      <c r="LU124" s="40">
        <v>80</v>
      </c>
      <c r="LV124" s="42">
        <v>-0.36700000000001859</v>
      </c>
      <c r="LW124" s="47"/>
      <c r="LX124" s="45">
        <v>0</v>
      </c>
      <c r="LY124" s="40">
        <v>0</v>
      </c>
      <c r="LZ124" s="42">
        <v>0</v>
      </c>
      <c r="MA124" s="47"/>
      <c r="MB124" s="45">
        <v>0</v>
      </c>
      <c r="MC124" s="40">
        <v>0</v>
      </c>
      <c r="MD124" s="40">
        <v>60.615000000000002</v>
      </c>
      <c r="ME124" s="40">
        <v>60</v>
      </c>
      <c r="MF124" s="42">
        <v>0.61500000000000199</v>
      </c>
      <c r="MG124" s="47"/>
      <c r="MH124" s="45">
        <v>40.409999999999997</v>
      </c>
      <c r="MI124" s="40">
        <v>40</v>
      </c>
      <c r="MJ124" s="42">
        <v>0.40999999999999659</v>
      </c>
      <c r="MK124" s="47"/>
      <c r="ML124" s="45">
        <v>68.484999999999999</v>
      </c>
      <c r="MM124" s="40">
        <v>70</v>
      </c>
      <c r="MN124" s="40">
        <v>0</v>
      </c>
      <c r="MO124" s="40">
        <v>0</v>
      </c>
      <c r="MP124" s="42">
        <v>-1.515000000000001</v>
      </c>
      <c r="MQ124" s="47"/>
      <c r="MW124" s="47"/>
      <c r="MX124" s="45"/>
      <c r="NC124" s="47"/>
      <c r="ND124" s="45"/>
      <c r="NI124" s="47"/>
      <c r="NJ124" s="45"/>
      <c r="NO124" s="47"/>
      <c r="NP124" s="45"/>
      <c r="NU124" s="47"/>
      <c r="NV124" s="45"/>
      <c r="OA124" s="47"/>
      <c r="OB124" s="45"/>
      <c r="OE124" s="47"/>
      <c r="OF124" s="45"/>
      <c r="OK124" s="47"/>
      <c r="OL124" s="45"/>
      <c r="OQ124" s="47"/>
      <c r="OR124" s="45"/>
      <c r="OW124" s="47"/>
      <c r="PC124" s="47"/>
      <c r="PD124" s="45"/>
      <c r="PI124" s="47"/>
      <c r="PJ124" s="45"/>
      <c r="PO124" s="47"/>
      <c r="PP124" s="43"/>
      <c r="PU124" s="47"/>
      <c r="PV124" s="45"/>
      <c r="QA124" s="47"/>
      <c r="QB124" s="45"/>
      <c r="QE124" s="47"/>
      <c r="QF124" s="45"/>
      <c r="QK124" s="47"/>
      <c r="QL124" s="45"/>
      <c r="QQ124" s="47"/>
      <c r="QR124" s="45"/>
      <c r="QW124" s="47"/>
      <c r="QX124" s="45"/>
      <c r="RB124" s="42"/>
      <c r="RC124" s="47"/>
      <c r="RD124" s="45"/>
      <c r="RF124" s="42"/>
      <c r="RG124" s="47"/>
    </row>
    <row r="125" spans="1:475" x14ac:dyDescent="0.25">
      <c r="A125" s="40" t="s">
        <v>414</v>
      </c>
      <c r="B125" s="41">
        <v>0.66</v>
      </c>
      <c r="N125" s="43"/>
      <c r="O125" s="48"/>
      <c r="P125" s="48"/>
      <c r="Q125" s="48"/>
      <c r="R125" s="48">
        <f t="shared" si="13"/>
        <v>0</v>
      </c>
      <c r="S125" s="44"/>
      <c r="T125" s="43"/>
      <c r="U125" s="48"/>
      <c r="V125" s="48"/>
      <c r="W125" s="48"/>
      <c r="X125" s="48">
        <f t="shared" si="14"/>
        <v>0</v>
      </c>
      <c r="Y125" s="44"/>
      <c r="Z125" s="43"/>
      <c r="AA125" s="48"/>
      <c r="AB125" s="48"/>
      <c r="AC125" s="48"/>
      <c r="AD125" s="48">
        <f t="shared" si="15"/>
        <v>0</v>
      </c>
      <c r="AE125" s="44"/>
      <c r="AF125" s="43"/>
      <c r="AG125" s="48"/>
      <c r="AH125" s="48"/>
      <c r="AI125" s="48"/>
      <c r="AJ125" s="48">
        <f t="shared" si="16"/>
        <v>0</v>
      </c>
      <c r="AK125" s="44"/>
      <c r="AL125" s="48"/>
      <c r="AP125" s="42">
        <v>0</v>
      </c>
      <c r="AQ125" s="44"/>
      <c r="AR125" s="43"/>
      <c r="AV125" s="42">
        <v>0</v>
      </c>
      <c r="AW125" s="44"/>
      <c r="BC125" s="42">
        <v>0</v>
      </c>
      <c r="BD125" s="44"/>
      <c r="BE125" s="43"/>
      <c r="BI125" s="42">
        <v>0</v>
      </c>
      <c r="BJ125" s="44"/>
      <c r="BO125" s="42">
        <v>0</v>
      </c>
      <c r="BP125" s="44"/>
      <c r="BS125" s="42">
        <v>0</v>
      </c>
      <c r="BT125" s="44"/>
      <c r="BU125" s="43"/>
      <c r="BY125" s="42">
        <v>0</v>
      </c>
      <c r="BZ125" s="44"/>
      <c r="CE125" s="42">
        <v>0</v>
      </c>
      <c r="CF125" s="44"/>
      <c r="CG125" s="43"/>
      <c r="CK125" s="42">
        <v>0</v>
      </c>
      <c r="CL125" s="44"/>
      <c r="CM125" s="43"/>
      <c r="CQ125" s="42">
        <v>0</v>
      </c>
      <c r="CR125" s="44"/>
      <c r="CW125" s="42">
        <v>0</v>
      </c>
      <c r="CX125" s="44"/>
      <c r="CY125" s="43"/>
      <c r="DC125" s="42">
        <v>0</v>
      </c>
      <c r="DD125" s="44"/>
      <c r="DE125" s="43"/>
      <c r="DK125" s="42">
        <v>0</v>
      </c>
      <c r="DL125" s="44"/>
      <c r="DM125" s="43"/>
      <c r="DQ125" s="42">
        <v>0</v>
      </c>
      <c r="DR125" s="44"/>
      <c r="DY125" s="42">
        <v>0</v>
      </c>
      <c r="DZ125" s="44"/>
      <c r="EA125" s="43"/>
      <c r="EE125" s="42">
        <v>0</v>
      </c>
      <c r="EF125" s="44"/>
      <c r="EG125" s="43"/>
      <c r="EK125" s="42">
        <v>0</v>
      </c>
      <c r="EL125" s="44"/>
      <c r="EM125" s="43"/>
      <c r="EQ125" s="42">
        <v>0</v>
      </c>
      <c r="ER125" s="44"/>
      <c r="EY125" s="42">
        <v>0</v>
      </c>
      <c r="EZ125" s="44"/>
      <c r="FE125" s="42">
        <v>0</v>
      </c>
      <c r="FF125" s="44"/>
      <c r="FG125" s="43"/>
      <c r="FK125" s="42">
        <v>0</v>
      </c>
      <c r="FL125" s="44"/>
      <c r="FM125" s="43"/>
      <c r="FO125" s="42">
        <v>0</v>
      </c>
      <c r="FP125" s="44"/>
      <c r="FU125" s="42">
        <v>0</v>
      </c>
      <c r="FV125" s="44"/>
      <c r="FW125" s="43"/>
      <c r="GC125" s="42">
        <v>0</v>
      </c>
      <c r="GD125" s="44"/>
      <c r="GI125" s="42">
        <v>0</v>
      </c>
      <c r="GJ125" s="44"/>
      <c r="GK125" s="43"/>
      <c r="GO125" s="42">
        <v>0</v>
      </c>
      <c r="GP125" s="47"/>
      <c r="GU125" s="42">
        <v>0</v>
      </c>
      <c r="GV125" s="44"/>
      <c r="GY125" s="42">
        <v>0</v>
      </c>
      <c r="GZ125" s="47"/>
      <c r="HA125" s="43"/>
      <c r="HC125" s="42">
        <v>0</v>
      </c>
      <c r="HD125" s="44"/>
      <c r="HE125" s="43"/>
      <c r="HI125" s="42">
        <v>0</v>
      </c>
      <c r="HJ125" s="47"/>
      <c r="HK125" s="43"/>
      <c r="HM125">
        <v>40</v>
      </c>
      <c r="HN125">
        <v>45</v>
      </c>
      <c r="HO125" s="42">
        <v>-5</v>
      </c>
      <c r="HP125" s="44"/>
      <c r="HT125">
        <v>32</v>
      </c>
      <c r="HU125">
        <v>32</v>
      </c>
      <c r="HV125" s="42">
        <v>0</v>
      </c>
      <c r="HW125" s="44"/>
      <c r="HX125" s="45"/>
      <c r="IB125" s="42">
        <v>0</v>
      </c>
      <c r="IC125" s="44"/>
      <c r="IH125" s="42">
        <v>0</v>
      </c>
      <c r="II125" s="47"/>
      <c r="IL125">
        <v>120</v>
      </c>
      <c r="IM125">
        <v>120</v>
      </c>
      <c r="IN125" s="42">
        <v>0</v>
      </c>
      <c r="IO125" s="47"/>
      <c r="IP125">
        <v>24</v>
      </c>
      <c r="IQ125">
        <v>24</v>
      </c>
      <c r="IT125" s="42">
        <v>0</v>
      </c>
      <c r="IU125" s="47"/>
      <c r="IZ125" s="42">
        <v>0</v>
      </c>
      <c r="JA125" s="44"/>
      <c r="JB125">
        <v>40</v>
      </c>
      <c r="JC125">
        <v>40</v>
      </c>
      <c r="JD125" s="42">
        <v>0</v>
      </c>
      <c r="JE125" s="44"/>
      <c r="JF125">
        <v>56</v>
      </c>
      <c r="JG125">
        <v>54</v>
      </c>
      <c r="JH125">
        <v>48</v>
      </c>
      <c r="JI125">
        <v>52</v>
      </c>
      <c r="JJ125" s="42">
        <v>-2</v>
      </c>
      <c r="JK125" s="44"/>
      <c r="JL125" s="45"/>
      <c r="JN125" s="42">
        <v>0</v>
      </c>
      <c r="JO125" s="44"/>
      <c r="JT125" s="42">
        <v>0</v>
      </c>
      <c r="JU125" s="44"/>
      <c r="JX125">
        <v>128</v>
      </c>
      <c r="JY125">
        <v>130</v>
      </c>
      <c r="JZ125" s="42">
        <v>-2</v>
      </c>
      <c r="KA125" s="47"/>
      <c r="KD125">
        <v>40</v>
      </c>
      <c r="KE125">
        <v>40</v>
      </c>
      <c r="KF125" s="42">
        <v>0</v>
      </c>
      <c r="KG125" s="44"/>
      <c r="KH125" s="41"/>
      <c r="KL125" s="42">
        <v>0</v>
      </c>
      <c r="KM125" s="47"/>
      <c r="KN125" s="46">
        <v>32</v>
      </c>
      <c r="KO125">
        <v>32</v>
      </c>
      <c r="KP125">
        <v>32</v>
      </c>
      <c r="KQ125">
        <v>32</v>
      </c>
      <c r="KR125">
        <v>40</v>
      </c>
      <c r="KS125">
        <v>40</v>
      </c>
      <c r="KT125" s="42">
        <v>0</v>
      </c>
      <c r="KU125" s="47"/>
      <c r="KV125" s="40">
        <v>0</v>
      </c>
      <c r="KW125" s="40">
        <v>0</v>
      </c>
      <c r="KX125" s="40">
        <v>32</v>
      </c>
      <c r="KY125" s="40">
        <v>30</v>
      </c>
      <c r="KZ125" s="42">
        <v>2</v>
      </c>
      <c r="LA125" s="47"/>
      <c r="LB125" s="40">
        <v>0</v>
      </c>
      <c r="LC125" s="40">
        <v>0</v>
      </c>
      <c r="LD125" s="40">
        <v>16</v>
      </c>
      <c r="LE125" s="40">
        <v>16</v>
      </c>
      <c r="LF125" s="42">
        <v>0</v>
      </c>
      <c r="LG125" s="47"/>
      <c r="LH125" s="45">
        <v>48</v>
      </c>
      <c r="LI125" s="40">
        <v>48</v>
      </c>
      <c r="LJ125" s="42">
        <v>0</v>
      </c>
      <c r="LK125" s="47"/>
      <c r="LL125" s="45">
        <v>0</v>
      </c>
      <c r="LM125" s="40">
        <v>0</v>
      </c>
      <c r="LN125" s="40">
        <v>40</v>
      </c>
      <c r="LO125" s="40">
        <v>40</v>
      </c>
      <c r="LP125" s="42">
        <v>0</v>
      </c>
      <c r="LQ125" s="47"/>
      <c r="LR125" s="45">
        <v>0</v>
      </c>
      <c r="LS125" s="40">
        <v>0</v>
      </c>
      <c r="LT125" s="40">
        <v>56</v>
      </c>
      <c r="LU125" s="40">
        <v>56</v>
      </c>
      <c r="LV125" s="42">
        <v>0</v>
      </c>
      <c r="LW125" s="47"/>
      <c r="LX125" s="45">
        <v>0</v>
      </c>
      <c r="LY125" s="40">
        <v>0</v>
      </c>
      <c r="LZ125" s="42">
        <v>0</v>
      </c>
      <c r="MA125" s="47"/>
      <c r="MB125" s="45">
        <v>0</v>
      </c>
      <c r="MC125" s="40">
        <v>0</v>
      </c>
      <c r="MD125" s="40">
        <v>0</v>
      </c>
      <c r="ME125" s="40">
        <v>0</v>
      </c>
      <c r="MF125" s="42">
        <v>0</v>
      </c>
      <c r="MG125" s="47"/>
      <c r="MH125" s="45">
        <v>120</v>
      </c>
      <c r="MI125" s="40">
        <v>120</v>
      </c>
      <c r="MJ125" s="42">
        <v>0</v>
      </c>
      <c r="MK125" s="47"/>
      <c r="ML125" s="45">
        <v>0</v>
      </c>
      <c r="MM125" s="40">
        <v>0</v>
      </c>
      <c r="MN125" s="40">
        <v>16</v>
      </c>
      <c r="MO125" s="40">
        <v>16</v>
      </c>
      <c r="MP125" s="42">
        <v>0</v>
      </c>
      <c r="MQ125" s="47"/>
      <c r="MR125" s="40">
        <v>0</v>
      </c>
      <c r="MS125" s="40">
        <v>0</v>
      </c>
      <c r="MT125" s="40">
        <v>136</v>
      </c>
      <c r="MU125" s="40">
        <v>134</v>
      </c>
      <c r="MV125" s="42">
        <v>2</v>
      </c>
      <c r="MW125" s="47"/>
      <c r="MX125" s="45">
        <v>0</v>
      </c>
      <c r="MY125" s="40">
        <v>0</v>
      </c>
      <c r="MZ125" s="40">
        <v>24</v>
      </c>
      <c r="NA125" s="40">
        <v>24</v>
      </c>
      <c r="NB125" s="42">
        <v>0</v>
      </c>
      <c r="NC125" s="47"/>
      <c r="ND125" s="45">
        <v>0</v>
      </c>
      <c r="NE125" s="40">
        <v>0</v>
      </c>
      <c r="NF125" s="40">
        <v>64</v>
      </c>
      <c r="NG125" s="40">
        <v>67</v>
      </c>
      <c r="NH125" s="42">
        <v>-3</v>
      </c>
      <c r="NI125" s="47"/>
      <c r="NJ125" s="45">
        <v>0</v>
      </c>
      <c r="NK125" s="40">
        <v>0</v>
      </c>
      <c r="NL125" s="40">
        <v>32</v>
      </c>
      <c r="NM125" s="40">
        <v>35</v>
      </c>
      <c r="NN125" s="42">
        <v>-3</v>
      </c>
      <c r="NO125" s="47"/>
      <c r="NP125" s="45">
        <v>0</v>
      </c>
      <c r="NQ125" s="40">
        <v>0</v>
      </c>
      <c r="NR125" s="40">
        <v>0</v>
      </c>
      <c r="NS125" s="40">
        <v>0</v>
      </c>
      <c r="NT125" s="42">
        <v>0</v>
      </c>
      <c r="NU125" s="47"/>
      <c r="NV125" s="45">
        <v>0</v>
      </c>
      <c r="NW125" s="40">
        <v>0</v>
      </c>
      <c r="NX125" s="40">
        <v>40</v>
      </c>
      <c r="NY125" s="40">
        <v>40</v>
      </c>
      <c r="NZ125" s="42">
        <v>0</v>
      </c>
      <c r="OA125" s="47"/>
      <c r="OB125" s="45">
        <v>120</v>
      </c>
      <c r="OC125" s="40">
        <v>120</v>
      </c>
      <c r="OD125" s="42">
        <v>0</v>
      </c>
      <c r="OE125" s="47"/>
      <c r="OF125" s="45">
        <v>0</v>
      </c>
      <c r="OG125" s="40">
        <v>0</v>
      </c>
      <c r="OH125" s="40">
        <v>0</v>
      </c>
      <c r="OI125" s="40">
        <v>0</v>
      </c>
      <c r="OJ125" s="42">
        <v>0</v>
      </c>
      <c r="OK125" s="47"/>
      <c r="OL125" s="45">
        <v>0</v>
      </c>
      <c r="OM125" s="40">
        <v>0</v>
      </c>
      <c r="ON125" s="40">
        <v>48</v>
      </c>
      <c r="OO125" s="40">
        <v>50</v>
      </c>
      <c r="OP125" s="42">
        <v>-2</v>
      </c>
      <c r="OQ125" s="47"/>
      <c r="OR125" s="45">
        <v>0</v>
      </c>
      <c r="OS125" s="40">
        <v>0</v>
      </c>
      <c r="OT125" s="40">
        <v>80</v>
      </c>
      <c r="OU125" s="40">
        <v>84</v>
      </c>
      <c r="OV125" s="42">
        <v>-4</v>
      </c>
      <c r="OW125" s="47"/>
      <c r="OX125" s="40">
        <v>0</v>
      </c>
      <c r="OY125" s="40">
        <v>0</v>
      </c>
      <c r="OZ125" s="40">
        <v>0</v>
      </c>
      <c r="PA125" s="30">
        <v>24</v>
      </c>
      <c r="PB125" s="39">
        <v>-24</v>
      </c>
      <c r="PC125" s="47">
        <v>15.84</v>
      </c>
      <c r="PD125" s="45">
        <v>0</v>
      </c>
      <c r="PE125" s="40">
        <v>0</v>
      </c>
      <c r="PF125" s="40">
        <v>0</v>
      </c>
      <c r="PG125" s="40">
        <v>0</v>
      </c>
      <c r="PH125" s="42">
        <v>0</v>
      </c>
      <c r="PI125" s="47"/>
      <c r="PJ125" s="45">
        <v>0</v>
      </c>
      <c r="PK125" s="40">
        <v>0</v>
      </c>
      <c r="PL125" s="40">
        <v>0</v>
      </c>
      <c r="PM125" s="30">
        <v>100</v>
      </c>
      <c r="PN125" s="39">
        <v>-100</v>
      </c>
      <c r="PO125" s="47">
        <v>66</v>
      </c>
      <c r="PP125" s="43">
        <v>0</v>
      </c>
      <c r="PQ125" s="40">
        <v>0</v>
      </c>
      <c r="PR125" s="40">
        <v>112</v>
      </c>
      <c r="PS125" s="40">
        <v>110</v>
      </c>
      <c r="PT125" s="42">
        <v>2</v>
      </c>
      <c r="PU125" s="47"/>
      <c r="PV125" s="45">
        <v>0</v>
      </c>
      <c r="PW125" s="30">
        <v>80</v>
      </c>
      <c r="PX125" s="40">
        <v>0</v>
      </c>
      <c r="PY125" s="40">
        <v>0</v>
      </c>
      <c r="PZ125" s="39">
        <v>-80</v>
      </c>
      <c r="QA125" s="47">
        <v>52.8</v>
      </c>
      <c r="QB125" s="45">
        <v>0</v>
      </c>
      <c r="QC125" s="40">
        <v>150</v>
      </c>
      <c r="QD125" s="39">
        <v>-150</v>
      </c>
      <c r="QE125" s="47">
        <v>99</v>
      </c>
      <c r="QF125" s="45">
        <v>0</v>
      </c>
      <c r="QG125" s="40">
        <v>0</v>
      </c>
      <c r="QH125" s="40">
        <v>0</v>
      </c>
      <c r="QI125" s="40">
        <v>0</v>
      </c>
      <c r="QJ125" s="42">
        <v>0</v>
      </c>
      <c r="QK125" s="47"/>
      <c r="QL125" s="45">
        <v>96</v>
      </c>
      <c r="QM125" s="40">
        <v>100</v>
      </c>
      <c r="QN125" s="40">
        <v>96</v>
      </c>
      <c r="QO125" s="40">
        <v>100</v>
      </c>
      <c r="QP125" s="42">
        <v>-8</v>
      </c>
      <c r="QQ125" s="47"/>
      <c r="QR125" s="45">
        <v>0</v>
      </c>
      <c r="QS125" s="40">
        <v>0</v>
      </c>
      <c r="QT125" s="40">
        <v>0</v>
      </c>
      <c r="QU125" s="40">
        <v>0</v>
      </c>
      <c r="QV125" s="42">
        <v>0</v>
      </c>
      <c r="QW125" s="47"/>
      <c r="QX125" s="45">
        <v>0</v>
      </c>
      <c r="QY125" s="40">
        <v>0</v>
      </c>
      <c r="QZ125" s="40">
        <v>0</v>
      </c>
      <c r="RA125" s="40">
        <v>0</v>
      </c>
      <c r="RB125" s="42">
        <v>0</v>
      </c>
      <c r="RC125" s="47"/>
      <c r="RD125" s="45">
        <v>0</v>
      </c>
      <c r="RE125" s="40">
        <v>0</v>
      </c>
      <c r="RF125" s="42">
        <v>0</v>
      </c>
      <c r="RG125" s="47"/>
    </row>
    <row r="126" spans="1:475" x14ac:dyDescent="0.25">
      <c r="A126" s="40" t="s">
        <v>415</v>
      </c>
      <c r="B126" s="41">
        <v>0.66</v>
      </c>
      <c r="N126" s="43"/>
      <c r="O126" s="48"/>
      <c r="P126" s="48"/>
      <c r="Q126" s="48"/>
      <c r="R126" s="48">
        <f t="shared" si="13"/>
        <v>0</v>
      </c>
      <c r="S126" s="44"/>
      <c r="T126" s="43"/>
      <c r="U126" s="48"/>
      <c r="V126" s="48"/>
      <c r="W126" s="48"/>
      <c r="X126" s="48">
        <f t="shared" si="14"/>
        <v>0</v>
      </c>
      <c r="Y126" s="44"/>
      <c r="Z126" s="43"/>
      <c r="AA126" s="48"/>
      <c r="AB126" s="48"/>
      <c r="AC126" s="48"/>
      <c r="AD126" s="48">
        <f t="shared" si="15"/>
        <v>0</v>
      </c>
      <c r="AE126" s="44"/>
      <c r="AF126" s="43"/>
      <c r="AG126" s="48"/>
      <c r="AH126" s="48"/>
      <c r="AI126" s="48"/>
      <c r="AJ126" s="48">
        <f t="shared" si="16"/>
        <v>0</v>
      </c>
      <c r="AK126" s="44"/>
      <c r="AL126" s="48"/>
      <c r="AP126" s="42">
        <v>0</v>
      </c>
      <c r="AQ126" s="44"/>
      <c r="AR126" s="43"/>
      <c r="AV126" s="42">
        <v>0</v>
      </c>
      <c r="AW126" s="44"/>
      <c r="BC126" s="42">
        <v>0</v>
      </c>
      <c r="BD126" s="44"/>
      <c r="BE126" s="43"/>
      <c r="BI126" s="42">
        <v>0</v>
      </c>
      <c r="BJ126" s="44"/>
      <c r="BO126" s="42">
        <v>0</v>
      </c>
      <c r="BP126" s="44"/>
      <c r="BS126" s="42">
        <v>0</v>
      </c>
      <c r="BT126" s="44"/>
      <c r="BU126" s="43"/>
      <c r="BY126" s="42">
        <v>0</v>
      </c>
      <c r="BZ126" s="44"/>
      <c r="CE126" s="42">
        <v>0</v>
      </c>
      <c r="CF126" s="44"/>
      <c r="CG126" s="43"/>
      <c r="CK126" s="42">
        <v>0</v>
      </c>
      <c r="CL126" s="44"/>
      <c r="CM126" s="43"/>
      <c r="CQ126" s="42">
        <v>0</v>
      </c>
      <c r="CR126" s="44"/>
      <c r="CW126" s="42">
        <v>0</v>
      </c>
      <c r="CX126" s="44"/>
      <c r="CY126" s="43"/>
      <c r="DC126" s="42">
        <v>0</v>
      </c>
      <c r="DD126" s="44"/>
      <c r="DE126" s="43"/>
      <c r="DK126" s="42">
        <v>0</v>
      </c>
      <c r="DL126" s="44"/>
      <c r="DM126" s="43"/>
      <c r="DQ126" s="42">
        <v>0</v>
      </c>
      <c r="DR126" s="44"/>
      <c r="DY126" s="42">
        <v>0</v>
      </c>
      <c r="DZ126" s="44"/>
      <c r="EA126" s="43"/>
      <c r="EE126" s="42">
        <v>0</v>
      </c>
      <c r="EF126" s="44"/>
      <c r="EG126" s="43"/>
      <c r="EK126" s="42">
        <v>0</v>
      </c>
      <c r="EL126" s="44"/>
      <c r="EM126" s="43"/>
      <c r="EQ126" s="42">
        <v>0</v>
      </c>
      <c r="ER126" s="44"/>
      <c r="EY126" s="42">
        <v>0</v>
      </c>
      <c r="EZ126" s="44"/>
      <c r="FE126" s="42">
        <v>0</v>
      </c>
      <c r="FF126" s="44"/>
      <c r="FG126" s="43"/>
      <c r="FK126" s="42">
        <v>0</v>
      </c>
      <c r="FL126" s="44"/>
      <c r="FM126" s="43"/>
      <c r="FO126" s="42">
        <v>0</v>
      </c>
      <c r="FP126" s="44"/>
      <c r="FU126" s="42">
        <v>0</v>
      </c>
      <c r="FV126" s="44"/>
      <c r="FW126" s="43"/>
      <c r="GC126" s="42">
        <v>0</v>
      </c>
      <c r="GD126" s="44"/>
      <c r="GI126" s="42">
        <v>0</v>
      </c>
      <c r="GJ126" s="44"/>
      <c r="GK126" s="43"/>
      <c r="GO126" s="42">
        <v>0</v>
      </c>
      <c r="GP126" s="47"/>
      <c r="GU126" s="42">
        <v>0</v>
      </c>
      <c r="GV126" s="44"/>
      <c r="GY126" s="42">
        <v>0</v>
      </c>
      <c r="GZ126" s="47"/>
      <c r="HA126" s="43"/>
      <c r="HC126" s="42">
        <v>0</v>
      </c>
      <c r="HD126" s="44"/>
      <c r="HE126" s="43"/>
      <c r="HI126" s="42">
        <v>0</v>
      </c>
      <c r="HJ126" s="47"/>
      <c r="HK126" s="43"/>
      <c r="HM126">
        <v>112</v>
      </c>
      <c r="HN126">
        <v>110</v>
      </c>
      <c r="HO126" s="42">
        <v>2</v>
      </c>
      <c r="HP126" s="44"/>
      <c r="HV126" s="42">
        <v>0</v>
      </c>
      <c r="HW126" s="44"/>
      <c r="HX126" s="45"/>
      <c r="HZ126">
        <v>56</v>
      </c>
      <c r="IA126">
        <v>60</v>
      </c>
      <c r="IB126" s="42">
        <v>-4</v>
      </c>
      <c r="IC126" s="44"/>
      <c r="IF126">
        <v>64</v>
      </c>
      <c r="IG126">
        <v>64</v>
      </c>
      <c r="IH126" s="42">
        <v>0</v>
      </c>
      <c r="II126" s="47"/>
      <c r="IL126">
        <v>16</v>
      </c>
      <c r="IM126">
        <v>20</v>
      </c>
      <c r="IN126" s="42">
        <v>-4</v>
      </c>
      <c r="IO126" s="47"/>
      <c r="IT126" s="42">
        <v>0</v>
      </c>
      <c r="IU126" s="47"/>
      <c r="IV126">
        <v>72</v>
      </c>
      <c r="IW126">
        <v>70</v>
      </c>
      <c r="IX126">
        <v>48</v>
      </c>
      <c r="IY126">
        <v>50</v>
      </c>
      <c r="IZ126" s="42">
        <v>0</v>
      </c>
      <c r="JA126" s="44"/>
      <c r="JD126" s="42">
        <v>0</v>
      </c>
      <c r="JE126" s="44"/>
      <c r="JJ126" s="42">
        <v>0</v>
      </c>
      <c r="JK126" s="44"/>
      <c r="JL126" s="46">
        <v>56</v>
      </c>
      <c r="JM126" s="40">
        <v>56</v>
      </c>
      <c r="JN126" s="42">
        <v>0</v>
      </c>
      <c r="JO126" s="44"/>
      <c r="JR126">
        <v>96</v>
      </c>
      <c r="JS126">
        <v>100</v>
      </c>
      <c r="JT126" s="42">
        <v>-4</v>
      </c>
      <c r="JU126" s="44"/>
      <c r="JZ126" s="42">
        <v>0</v>
      </c>
      <c r="KA126" s="47"/>
      <c r="KF126" s="42">
        <v>0</v>
      </c>
      <c r="KG126" s="44"/>
      <c r="KH126">
        <v>48</v>
      </c>
      <c r="KI126">
        <v>50</v>
      </c>
      <c r="KJ126">
        <v>88</v>
      </c>
      <c r="KK126">
        <v>90</v>
      </c>
      <c r="KL126" s="42">
        <v>-4</v>
      </c>
      <c r="KM126" s="47"/>
      <c r="KN126" s="45"/>
      <c r="KT126" s="42">
        <v>0</v>
      </c>
      <c r="KU126" s="47"/>
      <c r="KV126" s="40">
        <v>0</v>
      </c>
      <c r="KW126" s="40">
        <v>0</v>
      </c>
      <c r="KX126" s="40">
        <v>16</v>
      </c>
      <c r="KY126" s="40">
        <v>20</v>
      </c>
      <c r="KZ126" s="42">
        <v>-4</v>
      </c>
      <c r="LA126" s="47"/>
      <c r="LB126" s="40">
        <v>0</v>
      </c>
      <c r="LC126" s="40">
        <v>0</v>
      </c>
      <c r="LD126" s="40">
        <v>72</v>
      </c>
      <c r="LE126" s="40">
        <v>90</v>
      </c>
      <c r="LF126" s="39">
        <v>-18</v>
      </c>
      <c r="LG126" s="47">
        <v>11.88</v>
      </c>
      <c r="LH126" s="45">
        <v>0</v>
      </c>
      <c r="LI126" s="40">
        <v>0</v>
      </c>
      <c r="LJ126" s="42">
        <v>0</v>
      </c>
      <c r="LK126" s="47"/>
      <c r="LL126" s="45">
        <v>0</v>
      </c>
      <c r="LM126" s="40">
        <v>0</v>
      </c>
      <c r="LN126" s="40">
        <v>0</v>
      </c>
      <c r="LO126" s="40">
        <v>0</v>
      </c>
      <c r="LP126" s="42">
        <v>0</v>
      </c>
      <c r="LQ126" s="47"/>
      <c r="LR126" s="45">
        <v>24</v>
      </c>
      <c r="LS126" s="40">
        <v>24</v>
      </c>
      <c r="LT126" s="40">
        <v>80</v>
      </c>
      <c r="LU126" s="40">
        <v>80</v>
      </c>
      <c r="LV126" s="42">
        <v>0</v>
      </c>
      <c r="LW126" s="47"/>
      <c r="LX126" s="45">
        <v>0</v>
      </c>
      <c r="LY126" s="40">
        <v>0</v>
      </c>
      <c r="LZ126" s="42">
        <v>0</v>
      </c>
      <c r="MA126" s="47"/>
      <c r="MB126" s="45">
        <v>0</v>
      </c>
      <c r="MC126" s="40">
        <v>0</v>
      </c>
      <c r="MD126" s="40">
        <v>0</v>
      </c>
      <c r="ME126" s="40">
        <v>0</v>
      </c>
      <c r="MF126" s="42">
        <v>0</v>
      </c>
      <c r="MG126" s="47"/>
      <c r="MH126" s="45">
        <v>192</v>
      </c>
      <c r="MI126" s="40">
        <v>190</v>
      </c>
      <c r="MJ126" s="42">
        <v>2</v>
      </c>
      <c r="MK126" s="47"/>
      <c r="ML126" s="45">
        <v>0</v>
      </c>
      <c r="MM126" s="40">
        <v>0</v>
      </c>
      <c r="MN126" s="40">
        <v>32</v>
      </c>
      <c r="MO126" s="40">
        <v>36</v>
      </c>
      <c r="MP126" s="42">
        <v>-4</v>
      </c>
      <c r="MQ126" s="47"/>
      <c r="MR126" s="40">
        <v>0</v>
      </c>
      <c r="MS126" s="40">
        <v>0</v>
      </c>
      <c r="MT126" s="40">
        <v>32</v>
      </c>
      <c r="MU126" s="40">
        <v>30</v>
      </c>
      <c r="MV126" s="42">
        <v>2</v>
      </c>
      <c r="MW126" s="47"/>
      <c r="MX126" s="45">
        <v>0</v>
      </c>
      <c r="MY126" s="40">
        <v>0</v>
      </c>
      <c r="MZ126" s="40">
        <v>88</v>
      </c>
      <c r="NA126" s="40">
        <v>90</v>
      </c>
      <c r="NB126" s="42">
        <v>-2</v>
      </c>
      <c r="NC126" s="47"/>
      <c r="ND126" s="45">
        <v>0</v>
      </c>
      <c r="NE126" s="40">
        <v>0</v>
      </c>
      <c r="NF126" s="40">
        <v>72</v>
      </c>
      <c r="NG126" s="40">
        <v>76</v>
      </c>
      <c r="NH126" s="42">
        <v>-4</v>
      </c>
      <c r="NI126" s="47"/>
      <c r="NJ126" s="45">
        <v>0</v>
      </c>
      <c r="NK126" s="40">
        <v>0</v>
      </c>
      <c r="NL126" s="40">
        <v>0</v>
      </c>
      <c r="NM126" s="40">
        <v>0</v>
      </c>
      <c r="NN126" s="42">
        <v>0</v>
      </c>
      <c r="NO126" s="47"/>
      <c r="NP126" s="45">
        <v>0</v>
      </c>
      <c r="NQ126" s="40">
        <v>0</v>
      </c>
      <c r="NR126" s="40">
        <v>40</v>
      </c>
      <c r="NS126" s="40">
        <v>40</v>
      </c>
      <c r="NT126" s="42">
        <v>0</v>
      </c>
      <c r="NU126" s="47"/>
      <c r="NV126" s="45">
        <v>0</v>
      </c>
      <c r="NW126" s="40">
        <v>0</v>
      </c>
      <c r="NX126" s="40">
        <v>176</v>
      </c>
      <c r="NY126" s="40">
        <v>174</v>
      </c>
      <c r="NZ126" s="42">
        <v>2</v>
      </c>
      <c r="OA126" s="47"/>
      <c r="OB126" s="45">
        <v>32</v>
      </c>
      <c r="OC126" s="40">
        <v>30</v>
      </c>
      <c r="OD126" s="42">
        <v>2</v>
      </c>
      <c r="OE126" s="47"/>
      <c r="OF126" s="45">
        <v>0</v>
      </c>
      <c r="OG126" s="40">
        <v>0</v>
      </c>
      <c r="OH126" s="40">
        <v>56</v>
      </c>
      <c r="OI126" s="40">
        <v>55</v>
      </c>
      <c r="OJ126" s="42">
        <v>1</v>
      </c>
      <c r="OK126" s="47"/>
      <c r="OL126" s="45">
        <v>0</v>
      </c>
      <c r="OM126" s="40">
        <v>0</v>
      </c>
      <c r="ON126" s="40">
        <v>16</v>
      </c>
      <c r="OO126" s="40">
        <v>20</v>
      </c>
      <c r="OP126" s="42">
        <v>-4</v>
      </c>
      <c r="OQ126" s="47"/>
      <c r="OR126" s="45">
        <v>0</v>
      </c>
      <c r="OS126" s="40">
        <v>0</v>
      </c>
      <c r="OT126" s="40">
        <v>88</v>
      </c>
      <c r="OU126" s="40">
        <v>90</v>
      </c>
      <c r="OV126" s="42">
        <v>-2</v>
      </c>
      <c r="OW126" s="47"/>
      <c r="OX126" s="40">
        <v>0</v>
      </c>
      <c r="OY126" s="30">
        <v>40</v>
      </c>
      <c r="OZ126" s="40">
        <v>40</v>
      </c>
      <c r="PA126" s="40">
        <v>40</v>
      </c>
      <c r="PB126" s="39">
        <v>-40</v>
      </c>
      <c r="PC126" s="47">
        <v>26.4</v>
      </c>
      <c r="PD126" s="45">
        <v>0</v>
      </c>
      <c r="PE126" s="40">
        <v>0</v>
      </c>
      <c r="PF126" s="40">
        <v>152</v>
      </c>
      <c r="PG126" s="40">
        <v>150</v>
      </c>
      <c r="PH126" s="42">
        <v>2</v>
      </c>
      <c r="PI126" s="47"/>
      <c r="PJ126" s="45">
        <v>0</v>
      </c>
      <c r="PK126" s="40">
        <v>0</v>
      </c>
      <c r="PL126" s="40">
        <v>32</v>
      </c>
      <c r="PM126" s="40">
        <v>30</v>
      </c>
      <c r="PN126" s="42">
        <v>2</v>
      </c>
      <c r="PO126" s="47"/>
      <c r="PP126" s="43">
        <v>80</v>
      </c>
      <c r="PQ126" s="40">
        <v>80</v>
      </c>
      <c r="PR126" s="40">
        <v>0</v>
      </c>
      <c r="PS126" s="30">
        <v>93</v>
      </c>
      <c r="PT126" s="39">
        <v>-93</v>
      </c>
      <c r="PU126" s="47">
        <v>61.38</v>
      </c>
      <c r="PV126" s="45">
        <v>48</v>
      </c>
      <c r="PW126" s="40">
        <v>50</v>
      </c>
      <c r="PX126" s="40">
        <v>48</v>
      </c>
      <c r="PY126" s="40">
        <v>50</v>
      </c>
      <c r="PZ126" s="42">
        <v>-4</v>
      </c>
      <c r="QA126" s="47"/>
      <c r="QB126" s="45">
        <v>0</v>
      </c>
      <c r="QC126" s="40">
        <v>31</v>
      </c>
      <c r="QD126" s="39">
        <v>-31</v>
      </c>
      <c r="QE126" s="47">
        <v>20.46</v>
      </c>
      <c r="QF126" s="45">
        <v>0</v>
      </c>
      <c r="QG126" s="40">
        <v>0</v>
      </c>
      <c r="QH126" s="40">
        <v>0</v>
      </c>
      <c r="QI126" s="40">
        <v>0</v>
      </c>
      <c r="QJ126" s="42">
        <v>0</v>
      </c>
      <c r="QK126" s="47"/>
      <c r="QL126" s="45">
        <v>152</v>
      </c>
      <c r="QM126" s="40">
        <v>150</v>
      </c>
      <c r="QN126" s="40">
        <v>152</v>
      </c>
      <c r="QO126" s="40">
        <v>150</v>
      </c>
      <c r="QP126" s="42">
        <v>4</v>
      </c>
      <c r="QQ126" s="47"/>
      <c r="QR126" s="45">
        <v>0</v>
      </c>
      <c r="QS126" s="40">
        <v>0</v>
      </c>
      <c r="QT126" s="40">
        <v>0</v>
      </c>
      <c r="QU126" s="40">
        <v>0</v>
      </c>
      <c r="QV126" s="42">
        <v>0</v>
      </c>
      <c r="QW126" s="47"/>
      <c r="QX126" s="45">
        <v>0</v>
      </c>
      <c r="QY126" s="40">
        <v>0</v>
      </c>
      <c r="QZ126" s="40">
        <v>0</v>
      </c>
      <c r="RA126" s="40">
        <v>0</v>
      </c>
      <c r="RB126" s="42">
        <v>0</v>
      </c>
      <c r="RC126" s="47"/>
      <c r="RD126" s="45">
        <v>0</v>
      </c>
      <c r="RE126" s="40">
        <v>0</v>
      </c>
      <c r="RF126" s="42">
        <v>0</v>
      </c>
      <c r="RG126" s="47"/>
    </row>
    <row r="127" spans="1:475" x14ac:dyDescent="0.25">
      <c r="A127" s="40" t="s">
        <v>416</v>
      </c>
      <c r="B127" s="41">
        <v>0.66</v>
      </c>
      <c r="N127" s="43"/>
      <c r="O127" s="48"/>
      <c r="P127" s="48"/>
      <c r="Q127" s="48"/>
      <c r="R127" s="48">
        <f t="shared" si="13"/>
        <v>0</v>
      </c>
      <c r="S127" s="44"/>
      <c r="T127" s="43"/>
      <c r="U127" s="48"/>
      <c r="V127" s="48"/>
      <c r="W127" s="48"/>
      <c r="X127" s="48">
        <f t="shared" si="14"/>
        <v>0</v>
      </c>
      <c r="Y127" s="44"/>
      <c r="Z127" s="43"/>
      <c r="AA127" s="48"/>
      <c r="AB127" s="48"/>
      <c r="AC127" s="48"/>
      <c r="AD127" s="48">
        <f t="shared" si="15"/>
        <v>0</v>
      </c>
      <c r="AE127" s="44"/>
      <c r="AF127" s="43"/>
      <c r="AG127" s="48"/>
      <c r="AH127" s="48"/>
      <c r="AI127" s="48"/>
      <c r="AJ127" s="48">
        <f t="shared" si="16"/>
        <v>0</v>
      </c>
      <c r="AK127" s="44"/>
      <c r="AL127" s="48"/>
      <c r="AP127" s="42">
        <v>0</v>
      </c>
      <c r="AQ127" s="44"/>
      <c r="AR127" s="43"/>
      <c r="AV127" s="42">
        <v>0</v>
      </c>
      <c r="AW127" s="44"/>
      <c r="BC127" s="42">
        <v>0</v>
      </c>
      <c r="BD127" s="44"/>
      <c r="BE127" s="43"/>
      <c r="BI127" s="42">
        <v>0</v>
      </c>
      <c r="BJ127" s="44"/>
      <c r="BO127" s="42">
        <v>0</v>
      </c>
      <c r="BP127" s="44"/>
      <c r="BS127" s="42">
        <v>0</v>
      </c>
      <c r="BT127" s="44"/>
      <c r="BU127" s="43"/>
      <c r="BY127" s="42">
        <v>0</v>
      </c>
      <c r="BZ127" s="44"/>
      <c r="CE127" s="42">
        <v>0</v>
      </c>
      <c r="CF127" s="44"/>
      <c r="CG127" s="43"/>
      <c r="CK127" s="42">
        <v>0</v>
      </c>
      <c r="CL127" s="44"/>
      <c r="CM127" s="43"/>
      <c r="CQ127" s="42">
        <v>0</v>
      </c>
      <c r="CR127" s="44"/>
      <c r="CW127" s="42">
        <v>0</v>
      </c>
      <c r="CX127" s="44"/>
      <c r="CY127" s="43"/>
      <c r="DC127" s="42">
        <v>0</v>
      </c>
      <c r="DD127" s="44"/>
      <c r="DE127" s="43"/>
      <c r="DK127" s="42">
        <v>0</v>
      </c>
      <c r="DL127" s="44"/>
      <c r="DM127" s="43"/>
      <c r="DQ127" s="42">
        <v>0</v>
      </c>
      <c r="DR127" s="44"/>
      <c r="DY127" s="42">
        <v>0</v>
      </c>
      <c r="DZ127" s="44"/>
      <c r="EA127" s="43"/>
      <c r="EE127" s="42">
        <v>0</v>
      </c>
      <c r="EF127" s="44"/>
      <c r="EG127" s="43"/>
      <c r="EK127" s="42">
        <v>0</v>
      </c>
      <c r="EL127" s="44"/>
      <c r="EM127" s="43"/>
      <c r="EQ127" s="42">
        <v>0</v>
      </c>
      <c r="ER127" s="44"/>
      <c r="EY127" s="42">
        <v>0</v>
      </c>
      <c r="EZ127" s="44"/>
      <c r="FE127" s="42">
        <v>0</v>
      </c>
      <c r="FF127" s="44"/>
      <c r="FG127" s="43"/>
      <c r="FK127" s="42">
        <v>0</v>
      </c>
      <c r="FL127" s="44"/>
      <c r="FM127" s="43"/>
      <c r="FO127" s="42">
        <v>0</v>
      </c>
      <c r="FP127" s="44"/>
      <c r="FU127" s="42">
        <v>0</v>
      </c>
      <c r="FV127" s="44"/>
      <c r="FW127" s="43"/>
      <c r="GC127" s="42">
        <v>0</v>
      </c>
      <c r="GD127" s="44"/>
      <c r="GI127" s="42">
        <v>0</v>
      </c>
      <c r="GJ127" s="44"/>
      <c r="GK127" s="43"/>
      <c r="GO127" s="42">
        <v>0</v>
      </c>
      <c r="GP127" s="47"/>
      <c r="GU127" s="42">
        <v>0</v>
      </c>
      <c r="GV127" s="44"/>
      <c r="GY127" s="42">
        <v>0</v>
      </c>
      <c r="GZ127" s="47"/>
      <c r="HA127" s="43"/>
      <c r="HC127" s="42">
        <v>0</v>
      </c>
      <c r="HD127" s="44"/>
      <c r="HE127" s="43"/>
      <c r="HI127" s="42">
        <v>0</v>
      </c>
      <c r="HJ127" s="47"/>
      <c r="HK127" s="43"/>
      <c r="HO127" s="42">
        <v>0</v>
      </c>
      <c r="HP127" s="44"/>
      <c r="HV127" s="42">
        <v>0</v>
      </c>
      <c r="HW127" s="44"/>
      <c r="HX127" s="45"/>
      <c r="IB127" s="42">
        <v>0</v>
      </c>
      <c r="IC127" s="44"/>
      <c r="IH127" s="42">
        <v>0</v>
      </c>
      <c r="II127" s="47"/>
      <c r="IN127" s="42">
        <v>0</v>
      </c>
      <c r="IO127" s="47"/>
      <c r="IT127" s="42">
        <v>0</v>
      </c>
      <c r="IU127" s="47"/>
      <c r="IZ127" s="42">
        <v>0</v>
      </c>
      <c r="JA127" s="44"/>
      <c r="JD127" s="42">
        <v>0</v>
      </c>
      <c r="JE127" s="44"/>
      <c r="JJ127" s="42">
        <v>0</v>
      </c>
      <c r="JK127" s="44"/>
      <c r="JL127" s="45"/>
      <c r="JN127" s="42">
        <v>0</v>
      </c>
      <c r="JO127" s="44"/>
      <c r="JT127" s="42">
        <v>0</v>
      </c>
      <c r="JU127" s="44"/>
      <c r="JZ127" s="42">
        <v>0</v>
      </c>
      <c r="KA127" s="47"/>
      <c r="KF127" s="42">
        <v>0</v>
      </c>
      <c r="KG127" s="44"/>
      <c r="KH127" s="41"/>
      <c r="KL127" s="42">
        <v>0</v>
      </c>
      <c r="KM127" s="47"/>
      <c r="KN127" s="45"/>
      <c r="KT127" s="42">
        <v>0</v>
      </c>
      <c r="KU127" s="47"/>
      <c r="KV127" s="40">
        <v>0</v>
      </c>
      <c r="KW127" s="40">
        <v>0</v>
      </c>
      <c r="KX127" s="40">
        <v>0</v>
      </c>
      <c r="KY127" s="40">
        <v>0</v>
      </c>
      <c r="KZ127" s="42">
        <v>0</v>
      </c>
      <c r="LA127" s="47"/>
      <c r="LB127" s="40">
        <v>0</v>
      </c>
      <c r="LC127" s="40">
        <v>0</v>
      </c>
      <c r="LD127" s="40">
        <v>0</v>
      </c>
      <c r="LE127" s="40">
        <v>0</v>
      </c>
      <c r="LF127" s="42">
        <v>0</v>
      </c>
      <c r="LG127" s="47"/>
      <c r="LH127" s="45">
        <v>0</v>
      </c>
      <c r="LI127" s="40">
        <v>0</v>
      </c>
      <c r="LJ127" s="42">
        <v>0</v>
      </c>
      <c r="LK127" s="47"/>
      <c r="LL127" s="45">
        <v>0</v>
      </c>
      <c r="LM127" s="40">
        <v>0</v>
      </c>
      <c r="LN127" s="40">
        <v>0</v>
      </c>
      <c r="LO127" s="40">
        <v>0</v>
      </c>
      <c r="LP127" s="42">
        <v>0</v>
      </c>
      <c r="LQ127" s="47"/>
      <c r="LR127" s="45">
        <v>0</v>
      </c>
      <c r="LS127" s="40">
        <v>0</v>
      </c>
      <c r="LT127" s="40">
        <v>0</v>
      </c>
      <c r="LU127" s="40">
        <v>0</v>
      </c>
      <c r="LV127" s="42">
        <v>0</v>
      </c>
      <c r="LW127" s="47"/>
      <c r="LX127" s="45">
        <v>0</v>
      </c>
      <c r="LY127" s="40">
        <v>0</v>
      </c>
      <c r="LZ127" s="42">
        <v>0</v>
      </c>
      <c r="MA127" s="47"/>
      <c r="MB127" s="45">
        <v>0</v>
      </c>
      <c r="MC127" s="40">
        <v>0</v>
      </c>
      <c r="MD127" s="40">
        <v>0</v>
      </c>
      <c r="ME127" s="40">
        <v>0</v>
      </c>
      <c r="MF127" s="42">
        <v>0</v>
      </c>
      <c r="MG127" s="47"/>
      <c r="MH127" s="45">
        <v>0</v>
      </c>
      <c r="MI127" s="40">
        <v>0</v>
      </c>
      <c r="MJ127" s="42">
        <v>0</v>
      </c>
      <c r="MK127" s="47"/>
      <c r="ML127" s="45">
        <v>0</v>
      </c>
      <c r="MM127" s="40">
        <v>0</v>
      </c>
      <c r="MN127" s="40">
        <v>0</v>
      </c>
      <c r="MO127" s="40">
        <v>0</v>
      </c>
      <c r="MP127" s="42">
        <v>0</v>
      </c>
      <c r="MQ127" s="47"/>
      <c r="MR127" s="40">
        <v>0</v>
      </c>
      <c r="MS127" s="40">
        <v>0</v>
      </c>
      <c r="MT127" s="40">
        <v>0</v>
      </c>
      <c r="MU127" s="40">
        <v>0</v>
      </c>
      <c r="MV127" s="42">
        <v>0</v>
      </c>
      <c r="MW127" s="47"/>
      <c r="MX127" s="45">
        <v>0</v>
      </c>
      <c r="MY127" s="40">
        <v>0</v>
      </c>
      <c r="MZ127" s="40">
        <v>0</v>
      </c>
      <c r="NA127" s="40">
        <v>0</v>
      </c>
      <c r="NB127" s="42">
        <v>0</v>
      </c>
      <c r="NC127" s="47"/>
      <c r="ND127" s="45">
        <v>0</v>
      </c>
      <c r="NE127" s="40">
        <v>0</v>
      </c>
      <c r="NF127" s="40">
        <v>0</v>
      </c>
      <c r="NG127" s="40">
        <v>0</v>
      </c>
      <c r="NH127" s="42">
        <v>0</v>
      </c>
      <c r="NI127" s="47"/>
      <c r="NJ127" s="45">
        <v>0</v>
      </c>
      <c r="NK127" s="40">
        <v>0</v>
      </c>
      <c r="NL127" s="40">
        <v>0</v>
      </c>
      <c r="NM127" s="40">
        <v>0</v>
      </c>
      <c r="NN127" s="42">
        <v>0</v>
      </c>
      <c r="NO127" s="47"/>
      <c r="NP127" s="45">
        <v>0</v>
      </c>
      <c r="NQ127" s="40">
        <v>0</v>
      </c>
      <c r="NR127" s="40">
        <v>0</v>
      </c>
      <c r="NS127" s="40">
        <v>0</v>
      </c>
      <c r="NT127" s="42">
        <v>0</v>
      </c>
      <c r="NU127" s="47"/>
      <c r="NV127" s="45">
        <v>0</v>
      </c>
      <c r="NW127" s="40">
        <v>0</v>
      </c>
      <c r="NX127" s="40">
        <v>24</v>
      </c>
      <c r="NY127" s="40">
        <v>60</v>
      </c>
      <c r="NZ127" s="39">
        <v>-36</v>
      </c>
      <c r="OA127" s="47">
        <v>23.76</v>
      </c>
      <c r="OB127" s="45">
        <v>8</v>
      </c>
      <c r="OC127" s="40">
        <v>8</v>
      </c>
      <c r="OD127" s="42">
        <v>0</v>
      </c>
      <c r="OE127" s="47"/>
      <c r="OF127" s="45">
        <v>0</v>
      </c>
      <c r="OG127" s="40">
        <v>0</v>
      </c>
      <c r="OH127" s="40">
        <v>8</v>
      </c>
      <c r="OI127" s="40">
        <v>8</v>
      </c>
      <c r="OJ127" s="42">
        <v>0</v>
      </c>
      <c r="OK127" s="47"/>
      <c r="OL127" s="45">
        <v>0</v>
      </c>
      <c r="OM127" s="40">
        <v>0</v>
      </c>
      <c r="ON127" s="40">
        <v>0</v>
      </c>
      <c r="OO127" s="40">
        <v>0</v>
      </c>
      <c r="OP127" s="42">
        <v>0</v>
      </c>
      <c r="OQ127" s="47"/>
      <c r="OR127" s="45">
        <v>0</v>
      </c>
      <c r="OS127" s="40">
        <v>0</v>
      </c>
      <c r="OT127" s="40">
        <v>0</v>
      </c>
      <c r="OU127" s="40">
        <v>0</v>
      </c>
      <c r="OV127" s="42">
        <v>0</v>
      </c>
      <c r="OW127" s="47"/>
      <c r="OX127" s="40">
        <v>0</v>
      </c>
      <c r="OY127" s="40">
        <v>0</v>
      </c>
      <c r="OZ127" s="40">
        <v>0</v>
      </c>
      <c r="PA127" s="40">
        <v>0</v>
      </c>
      <c r="PB127" s="42">
        <v>0</v>
      </c>
      <c r="PC127" s="47"/>
      <c r="PD127" s="45">
        <v>0</v>
      </c>
      <c r="PE127" s="40">
        <v>0</v>
      </c>
      <c r="PF127" s="40">
        <v>104</v>
      </c>
      <c r="PG127" s="40">
        <v>105</v>
      </c>
      <c r="PH127" s="42">
        <v>-1</v>
      </c>
      <c r="PI127" s="47"/>
      <c r="PJ127" s="45">
        <v>0</v>
      </c>
      <c r="PK127" s="40">
        <v>0</v>
      </c>
      <c r="PL127" s="40">
        <v>0</v>
      </c>
      <c r="PM127" s="40">
        <v>0</v>
      </c>
      <c r="PN127" s="42">
        <v>0</v>
      </c>
      <c r="PO127" s="47"/>
      <c r="PP127" s="43">
        <v>0</v>
      </c>
      <c r="PQ127" s="40">
        <v>0</v>
      </c>
      <c r="PR127" s="40">
        <v>0</v>
      </c>
      <c r="PS127" s="40">
        <v>0</v>
      </c>
      <c r="PT127" s="42">
        <v>0</v>
      </c>
      <c r="PU127" s="47"/>
      <c r="PV127" s="45">
        <v>0</v>
      </c>
      <c r="PW127" s="40">
        <v>0</v>
      </c>
      <c r="PX127" s="40">
        <v>72</v>
      </c>
      <c r="PY127" s="40">
        <v>70</v>
      </c>
      <c r="PZ127" s="42">
        <v>2</v>
      </c>
      <c r="QA127" s="47"/>
      <c r="QB127" s="45">
        <v>120</v>
      </c>
      <c r="QC127" s="40">
        <v>130</v>
      </c>
      <c r="QD127" s="39">
        <v>-10</v>
      </c>
      <c r="QE127" s="47">
        <v>6.6000000000000014</v>
      </c>
      <c r="QF127" s="45">
        <v>0</v>
      </c>
      <c r="QG127" s="40">
        <v>0</v>
      </c>
      <c r="QH127" s="40">
        <v>0</v>
      </c>
      <c r="QI127" s="40">
        <v>0</v>
      </c>
      <c r="QJ127" s="42">
        <v>0</v>
      </c>
      <c r="QK127" s="47"/>
      <c r="QL127" s="45">
        <v>0</v>
      </c>
      <c r="QM127" s="40">
        <v>150</v>
      </c>
      <c r="QN127" s="40">
        <v>0</v>
      </c>
      <c r="QO127" s="40">
        <v>150</v>
      </c>
      <c r="QP127" s="39">
        <v>-300</v>
      </c>
      <c r="QQ127" s="47">
        <v>198</v>
      </c>
      <c r="QR127" s="45">
        <v>0</v>
      </c>
      <c r="QS127" s="40">
        <v>0</v>
      </c>
      <c r="QT127" s="40">
        <v>0</v>
      </c>
      <c r="QU127" s="40">
        <v>0</v>
      </c>
      <c r="QV127" s="42">
        <v>0</v>
      </c>
      <c r="QW127" s="47"/>
      <c r="QX127" s="45">
        <v>0</v>
      </c>
      <c r="QY127" s="40">
        <v>0</v>
      </c>
      <c r="QZ127" s="40">
        <v>0</v>
      </c>
      <c r="RA127" s="40">
        <v>0</v>
      </c>
      <c r="RB127" s="42">
        <v>0</v>
      </c>
      <c r="RC127" s="47"/>
      <c r="RD127" s="45">
        <v>0</v>
      </c>
      <c r="RE127" s="40">
        <v>0</v>
      </c>
      <c r="RF127" s="42">
        <v>0</v>
      </c>
      <c r="RG127" s="47"/>
    </row>
    <row r="128" spans="1:475" x14ac:dyDescent="0.25">
      <c r="A128" s="40" t="s">
        <v>417</v>
      </c>
      <c r="B128" s="41">
        <v>0.33</v>
      </c>
      <c r="F128">
        <v>50</v>
      </c>
      <c r="J128">
        <v>48</v>
      </c>
      <c r="K128">
        <v>50</v>
      </c>
      <c r="N128" s="43"/>
      <c r="O128" s="48"/>
      <c r="P128" s="48"/>
      <c r="Q128" s="48"/>
      <c r="R128" s="48">
        <f t="shared" si="13"/>
        <v>0</v>
      </c>
      <c r="S128" s="44"/>
      <c r="T128" s="46">
        <v>16</v>
      </c>
      <c r="U128" s="49">
        <v>16</v>
      </c>
      <c r="V128" s="49">
        <v>32</v>
      </c>
      <c r="W128" s="49">
        <v>34</v>
      </c>
      <c r="X128" s="48">
        <f t="shared" si="14"/>
        <v>-2</v>
      </c>
      <c r="Y128" s="44"/>
      <c r="Z128" s="43"/>
      <c r="AA128" s="48"/>
      <c r="AB128" s="49">
        <v>48</v>
      </c>
      <c r="AC128" s="49">
        <v>50</v>
      </c>
      <c r="AD128" s="48">
        <f t="shared" si="15"/>
        <v>-2</v>
      </c>
      <c r="AE128" s="44"/>
      <c r="AF128" s="43"/>
      <c r="AG128" s="48"/>
      <c r="AH128" s="48"/>
      <c r="AI128" s="48"/>
      <c r="AJ128" s="48">
        <f t="shared" si="16"/>
        <v>0</v>
      </c>
      <c r="AK128" s="44"/>
      <c r="AL128" s="48"/>
      <c r="AN128">
        <v>48</v>
      </c>
      <c r="AO128">
        <v>50</v>
      </c>
      <c r="AP128" s="42">
        <v>-2</v>
      </c>
      <c r="AQ128" s="44"/>
      <c r="AR128" s="43"/>
      <c r="AT128">
        <v>40</v>
      </c>
      <c r="AU128">
        <v>40</v>
      </c>
      <c r="AV128" s="42">
        <v>0</v>
      </c>
      <c r="AW128" s="44"/>
      <c r="BC128" s="42">
        <v>0</v>
      </c>
      <c r="BD128" s="44"/>
      <c r="BE128" s="43"/>
      <c r="BI128" s="42">
        <v>0</v>
      </c>
      <c r="BJ128" s="44"/>
      <c r="BK128">
        <v>48</v>
      </c>
      <c r="BL128">
        <v>48</v>
      </c>
      <c r="BM128">
        <v>48</v>
      </c>
      <c r="BN128">
        <v>52</v>
      </c>
      <c r="BO128" s="42">
        <v>-4</v>
      </c>
      <c r="BP128" s="44"/>
      <c r="BS128" s="42">
        <v>0</v>
      </c>
      <c r="BT128" s="44"/>
      <c r="BU128" s="43"/>
      <c r="BY128" s="42">
        <v>0</v>
      </c>
      <c r="BZ128" s="44"/>
      <c r="CA128">
        <v>32</v>
      </c>
      <c r="CB128">
        <v>32</v>
      </c>
      <c r="CC128">
        <v>64</v>
      </c>
      <c r="CD128">
        <v>68</v>
      </c>
      <c r="CE128" s="42">
        <v>-4</v>
      </c>
      <c r="CF128" s="44"/>
      <c r="CG128" s="43"/>
      <c r="CI128">
        <v>32</v>
      </c>
      <c r="CJ128">
        <v>30</v>
      </c>
      <c r="CK128" s="42">
        <v>2</v>
      </c>
      <c r="CL128" s="44"/>
      <c r="CM128" s="43"/>
      <c r="CQ128" s="42">
        <v>0</v>
      </c>
      <c r="CR128" s="44"/>
      <c r="CU128">
        <v>48</v>
      </c>
      <c r="CV128">
        <v>50</v>
      </c>
      <c r="CW128" s="42">
        <v>-2</v>
      </c>
      <c r="CX128" s="44"/>
      <c r="CY128" s="43"/>
      <c r="DA128">
        <v>128</v>
      </c>
      <c r="DB128">
        <v>130</v>
      </c>
      <c r="DC128" s="42">
        <v>-2</v>
      </c>
      <c r="DD128" s="44"/>
      <c r="DE128" s="43"/>
      <c r="DK128" s="42">
        <v>0</v>
      </c>
      <c r="DL128" s="44"/>
      <c r="DM128" s="46">
        <v>16</v>
      </c>
      <c r="DN128">
        <v>20</v>
      </c>
      <c r="DQ128" s="42">
        <v>-4</v>
      </c>
      <c r="DR128" s="44"/>
      <c r="DU128">
        <v>152</v>
      </c>
      <c r="DV128">
        <v>150</v>
      </c>
      <c r="DY128" s="42">
        <v>2</v>
      </c>
      <c r="DZ128" s="44"/>
      <c r="EA128" s="43"/>
      <c r="EC128">
        <v>40</v>
      </c>
      <c r="ED128">
        <v>40</v>
      </c>
      <c r="EE128" s="42">
        <v>0</v>
      </c>
      <c r="EF128" s="44"/>
      <c r="EG128" s="43"/>
      <c r="EK128" s="42">
        <v>0</v>
      </c>
      <c r="EL128" s="44"/>
      <c r="EM128" s="46">
        <v>32</v>
      </c>
      <c r="EN128">
        <v>32</v>
      </c>
      <c r="EO128">
        <v>40</v>
      </c>
      <c r="EP128">
        <v>40</v>
      </c>
      <c r="EQ128" s="42">
        <v>0</v>
      </c>
      <c r="ER128" s="44"/>
      <c r="EW128">
        <v>64</v>
      </c>
      <c r="EX128">
        <v>64</v>
      </c>
      <c r="EY128" s="42">
        <v>0</v>
      </c>
      <c r="EZ128" s="44"/>
      <c r="FC128">
        <v>24</v>
      </c>
      <c r="FD128">
        <v>26</v>
      </c>
      <c r="FE128" s="42">
        <v>-2</v>
      </c>
      <c r="FF128" s="44"/>
      <c r="FG128" s="43"/>
      <c r="FI128">
        <v>96</v>
      </c>
      <c r="FJ128">
        <v>100</v>
      </c>
      <c r="FK128" s="42">
        <v>-4</v>
      </c>
      <c r="FL128" s="44"/>
      <c r="FM128" s="43"/>
      <c r="FO128" s="42">
        <v>0</v>
      </c>
      <c r="FP128" s="44"/>
      <c r="FS128">
        <v>48</v>
      </c>
      <c r="FT128">
        <v>50</v>
      </c>
      <c r="FU128" s="42">
        <v>-2</v>
      </c>
      <c r="FV128" s="44"/>
      <c r="FW128" s="43"/>
      <c r="GA128">
        <v>96</v>
      </c>
      <c r="GB128">
        <v>100</v>
      </c>
      <c r="GC128" s="42">
        <v>-4</v>
      </c>
      <c r="GD128" s="44"/>
      <c r="GI128" s="42">
        <v>0</v>
      </c>
      <c r="GJ128" s="44"/>
      <c r="GK128" s="43"/>
      <c r="GO128" s="42">
        <v>0</v>
      </c>
      <c r="GP128" s="47"/>
      <c r="GQ128">
        <v>64</v>
      </c>
      <c r="GR128">
        <v>64</v>
      </c>
      <c r="GS128">
        <v>104</v>
      </c>
      <c r="GT128">
        <v>106</v>
      </c>
      <c r="GU128" s="42">
        <v>-2</v>
      </c>
      <c r="GV128" s="44"/>
      <c r="GW128">
        <v>32</v>
      </c>
      <c r="GX128" s="40">
        <v>34</v>
      </c>
      <c r="GY128" s="42">
        <v>-2</v>
      </c>
      <c r="GZ128" s="47"/>
      <c r="HA128" s="43"/>
      <c r="HC128" s="42">
        <v>0</v>
      </c>
      <c r="HD128" s="44"/>
      <c r="HE128" s="43"/>
      <c r="HI128" s="42">
        <v>0</v>
      </c>
      <c r="HJ128" s="47"/>
      <c r="HK128" s="43"/>
      <c r="HM128">
        <v>168</v>
      </c>
      <c r="HN128">
        <v>170</v>
      </c>
      <c r="HO128" s="42">
        <v>-2</v>
      </c>
      <c r="HP128" s="44"/>
      <c r="HT128">
        <v>16</v>
      </c>
      <c r="HU128">
        <v>16</v>
      </c>
      <c r="HV128" s="42">
        <v>0</v>
      </c>
      <c r="HW128" s="44"/>
      <c r="HX128" s="45"/>
      <c r="IB128" s="42">
        <v>0</v>
      </c>
      <c r="IC128" s="44"/>
      <c r="IH128" s="42">
        <v>0</v>
      </c>
      <c r="II128" s="47"/>
      <c r="IJ128">
        <v>112</v>
      </c>
      <c r="IK128">
        <v>120</v>
      </c>
      <c r="IL128">
        <v>120</v>
      </c>
      <c r="IM128">
        <v>120</v>
      </c>
      <c r="IN128" s="39">
        <v>-8</v>
      </c>
      <c r="IO128" s="47">
        <v>2.64</v>
      </c>
      <c r="IP128">
        <v>8</v>
      </c>
      <c r="IQ128">
        <v>8</v>
      </c>
      <c r="IT128" s="42">
        <v>0</v>
      </c>
      <c r="IU128" s="47"/>
      <c r="IX128">
        <v>64</v>
      </c>
      <c r="IY128">
        <v>70</v>
      </c>
      <c r="IZ128" s="42">
        <v>-6</v>
      </c>
      <c r="JA128" s="44"/>
      <c r="JB128">
        <v>16</v>
      </c>
      <c r="JC128">
        <v>22</v>
      </c>
      <c r="JD128" s="42">
        <v>-6</v>
      </c>
      <c r="JE128" s="44"/>
      <c r="JF128">
        <v>40</v>
      </c>
      <c r="JG128">
        <v>40</v>
      </c>
      <c r="JH128">
        <v>48</v>
      </c>
      <c r="JI128">
        <v>47</v>
      </c>
      <c r="JJ128" s="42">
        <v>1</v>
      </c>
      <c r="JK128" s="44"/>
      <c r="JL128" s="45"/>
      <c r="JN128" s="42">
        <v>0</v>
      </c>
      <c r="JO128" s="44"/>
      <c r="JT128" s="42">
        <v>0</v>
      </c>
      <c r="JU128" s="44"/>
      <c r="JX128">
        <v>128</v>
      </c>
      <c r="JY128">
        <v>130</v>
      </c>
      <c r="JZ128" s="42">
        <v>-2</v>
      </c>
      <c r="KA128" s="47"/>
      <c r="KF128" s="42">
        <v>0</v>
      </c>
      <c r="KG128" s="44"/>
      <c r="KH128">
        <v>48</v>
      </c>
      <c r="KI128">
        <v>50</v>
      </c>
      <c r="KJ128">
        <v>128</v>
      </c>
      <c r="KK128">
        <v>130</v>
      </c>
      <c r="KL128" s="42">
        <v>-4</v>
      </c>
      <c r="KM128" s="47"/>
      <c r="KN128" s="45"/>
      <c r="KT128" s="42">
        <v>0</v>
      </c>
      <c r="KU128" s="47"/>
      <c r="KV128" s="40">
        <v>0</v>
      </c>
      <c r="KW128" s="40">
        <v>0</v>
      </c>
      <c r="KX128" s="40">
        <v>216</v>
      </c>
      <c r="KY128" s="40">
        <v>220</v>
      </c>
      <c r="KZ128" s="42">
        <v>-4</v>
      </c>
      <c r="LA128" s="47"/>
      <c r="LB128" s="40">
        <v>0</v>
      </c>
      <c r="LC128" s="40">
        <v>0</v>
      </c>
      <c r="LD128" s="40">
        <v>24</v>
      </c>
      <c r="LE128" s="40">
        <v>24</v>
      </c>
      <c r="LF128" s="42">
        <v>0</v>
      </c>
      <c r="LG128" s="47"/>
      <c r="LH128" s="45">
        <v>16</v>
      </c>
      <c r="LI128" s="40">
        <v>20</v>
      </c>
      <c r="LJ128" s="42">
        <v>-4</v>
      </c>
      <c r="LK128" s="47"/>
      <c r="LL128" s="45">
        <v>40</v>
      </c>
      <c r="LM128" s="40">
        <v>40</v>
      </c>
      <c r="LN128" s="40">
        <v>48</v>
      </c>
      <c r="LO128" s="40">
        <v>50</v>
      </c>
      <c r="LP128" s="42">
        <v>-2</v>
      </c>
      <c r="LQ128" s="47"/>
      <c r="LR128" s="45">
        <v>48</v>
      </c>
      <c r="LS128" s="40">
        <v>48</v>
      </c>
      <c r="LT128" s="40">
        <v>72</v>
      </c>
      <c r="LU128" s="40">
        <v>72</v>
      </c>
      <c r="LV128" s="42">
        <v>0</v>
      </c>
      <c r="LW128" s="47"/>
      <c r="LX128" s="45">
        <v>48</v>
      </c>
      <c r="LY128" s="40">
        <v>52</v>
      </c>
      <c r="LZ128" s="42">
        <v>-4</v>
      </c>
      <c r="MA128" s="47"/>
      <c r="MB128" s="45">
        <v>0</v>
      </c>
      <c r="MC128" s="40">
        <v>0</v>
      </c>
      <c r="MD128" s="40">
        <v>0</v>
      </c>
      <c r="ME128" s="40">
        <v>0</v>
      </c>
      <c r="MF128" s="42">
        <v>0</v>
      </c>
      <c r="MG128" s="47"/>
      <c r="MH128" s="45">
        <v>232</v>
      </c>
      <c r="MI128" s="40">
        <v>236</v>
      </c>
      <c r="MJ128" s="42">
        <v>-4</v>
      </c>
      <c r="MK128" s="47"/>
      <c r="ML128" s="45">
        <v>0</v>
      </c>
      <c r="MM128" s="40">
        <v>0</v>
      </c>
      <c r="MN128" s="40">
        <v>56</v>
      </c>
      <c r="MO128" s="40">
        <v>60</v>
      </c>
      <c r="MP128" s="42">
        <v>-4</v>
      </c>
      <c r="MQ128" s="47"/>
      <c r="MR128" s="40">
        <v>0</v>
      </c>
      <c r="MS128" s="40">
        <v>0</v>
      </c>
      <c r="MT128" s="40">
        <v>0</v>
      </c>
      <c r="MU128" s="40">
        <v>0</v>
      </c>
      <c r="MV128" s="42">
        <v>0</v>
      </c>
      <c r="MW128" s="47"/>
      <c r="MX128" s="45">
        <v>48</v>
      </c>
      <c r="MY128" s="40">
        <v>50</v>
      </c>
      <c r="MZ128" s="40">
        <v>96</v>
      </c>
      <c r="NA128" s="40">
        <v>100</v>
      </c>
      <c r="NB128" s="42">
        <v>-6</v>
      </c>
      <c r="NC128" s="47"/>
      <c r="ND128" s="45">
        <v>0</v>
      </c>
      <c r="NE128" s="40">
        <v>0</v>
      </c>
      <c r="NF128" s="40">
        <v>144</v>
      </c>
      <c r="NG128" s="40">
        <v>148</v>
      </c>
      <c r="NH128" s="42">
        <v>-4</v>
      </c>
      <c r="NI128" s="47"/>
      <c r="NJ128" s="45">
        <v>0</v>
      </c>
      <c r="NK128" s="40">
        <v>0</v>
      </c>
      <c r="NL128" s="40">
        <v>24</v>
      </c>
      <c r="NM128" s="40">
        <v>22</v>
      </c>
      <c r="NN128" s="42">
        <v>2</v>
      </c>
      <c r="NO128" s="47"/>
      <c r="NP128" s="45">
        <v>0</v>
      </c>
      <c r="NQ128" s="40">
        <v>0</v>
      </c>
      <c r="NR128" s="40">
        <v>40</v>
      </c>
      <c r="NS128" s="40">
        <v>40</v>
      </c>
      <c r="NT128" s="42">
        <v>0</v>
      </c>
      <c r="NU128" s="47"/>
      <c r="NV128" s="45">
        <v>0</v>
      </c>
      <c r="NW128" s="40">
        <v>0</v>
      </c>
      <c r="NX128" s="40">
        <v>72</v>
      </c>
      <c r="NY128" s="40">
        <v>70</v>
      </c>
      <c r="NZ128" s="42">
        <v>2</v>
      </c>
      <c r="OA128" s="47"/>
      <c r="OB128" s="45">
        <v>32</v>
      </c>
      <c r="OC128" s="40">
        <v>35</v>
      </c>
      <c r="OD128" s="42">
        <v>-3</v>
      </c>
      <c r="OE128" s="47"/>
      <c r="OF128" s="45">
        <v>0</v>
      </c>
      <c r="OG128" s="40">
        <v>0</v>
      </c>
      <c r="OH128" s="40">
        <v>64</v>
      </c>
      <c r="OI128" s="40">
        <v>64</v>
      </c>
      <c r="OJ128" s="42">
        <v>0</v>
      </c>
      <c r="OK128" s="47"/>
      <c r="OL128" s="45">
        <v>0</v>
      </c>
      <c r="OM128" s="40">
        <v>0</v>
      </c>
      <c r="ON128" s="40">
        <v>0</v>
      </c>
      <c r="OO128" s="40">
        <v>0</v>
      </c>
      <c r="OP128" s="42">
        <v>0</v>
      </c>
      <c r="OQ128" s="47"/>
      <c r="OR128" s="45">
        <v>0</v>
      </c>
      <c r="OS128" s="40">
        <v>0</v>
      </c>
      <c r="OT128" s="40">
        <v>0</v>
      </c>
      <c r="OU128" s="40">
        <v>0</v>
      </c>
      <c r="OV128" s="42">
        <v>0</v>
      </c>
      <c r="OW128" s="47"/>
      <c r="OX128" s="40">
        <v>72</v>
      </c>
      <c r="OY128" s="40">
        <v>75</v>
      </c>
      <c r="OZ128" s="40">
        <v>72</v>
      </c>
      <c r="PA128" s="40">
        <v>75</v>
      </c>
      <c r="PB128" s="42">
        <v>-6</v>
      </c>
      <c r="PC128" s="47"/>
      <c r="PD128" s="45">
        <v>0</v>
      </c>
      <c r="PE128" s="40">
        <v>0</v>
      </c>
      <c r="PF128" s="40">
        <v>24</v>
      </c>
      <c r="PG128" s="40">
        <v>25</v>
      </c>
      <c r="PH128" s="42">
        <v>-1</v>
      </c>
      <c r="PI128" s="47"/>
      <c r="PJ128" s="45">
        <v>0</v>
      </c>
      <c r="PK128" s="40">
        <v>0</v>
      </c>
      <c r="PL128" s="40">
        <v>48</v>
      </c>
      <c r="PM128" s="40">
        <v>50</v>
      </c>
      <c r="PN128" s="42">
        <v>-2</v>
      </c>
      <c r="PO128" s="47"/>
      <c r="PP128" s="43">
        <v>0</v>
      </c>
      <c r="PQ128" s="40">
        <v>0</v>
      </c>
      <c r="PR128" s="40">
        <v>48</v>
      </c>
      <c r="PS128" s="40">
        <v>50</v>
      </c>
      <c r="PT128" s="42">
        <v>-2</v>
      </c>
      <c r="PU128" s="47"/>
      <c r="PV128" s="45">
        <v>56</v>
      </c>
      <c r="PW128" s="40">
        <v>60</v>
      </c>
      <c r="PX128" s="40">
        <v>0</v>
      </c>
      <c r="PY128" s="40">
        <v>0</v>
      </c>
      <c r="PZ128" s="42">
        <v>-4</v>
      </c>
      <c r="QA128" s="47"/>
      <c r="QB128" s="45">
        <v>64</v>
      </c>
      <c r="QC128" s="40">
        <v>63</v>
      </c>
      <c r="QD128" s="42">
        <v>1</v>
      </c>
      <c r="QE128" s="47"/>
      <c r="QF128" s="45">
        <v>0</v>
      </c>
      <c r="QG128" s="40">
        <v>0</v>
      </c>
      <c r="QH128" s="40">
        <v>0</v>
      </c>
      <c r="QI128" s="40">
        <v>0</v>
      </c>
      <c r="QJ128" s="42">
        <v>0</v>
      </c>
      <c r="QK128" s="47"/>
      <c r="QL128" s="45">
        <v>152</v>
      </c>
      <c r="QM128" s="40">
        <v>150</v>
      </c>
      <c r="QN128" s="40">
        <v>152</v>
      </c>
      <c r="QO128" s="40">
        <v>150</v>
      </c>
      <c r="QP128" s="42">
        <v>4</v>
      </c>
      <c r="QQ128" s="47"/>
      <c r="QR128" s="45">
        <v>0</v>
      </c>
      <c r="QS128" s="40">
        <v>0</v>
      </c>
      <c r="QT128" s="40">
        <v>0</v>
      </c>
      <c r="QU128" s="40">
        <v>0</v>
      </c>
      <c r="QV128" s="42">
        <v>0</v>
      </c>
      <c r="QW128" s="47"/>
      <c r="QX128" s="45">
        <v>0</v>
      </c>
      <c r="QY128" s="40">
        <v>0</v>
      </c>
      <c r="QZ128" s="40">
        <v>0</v>
      </c>
      <c r="RA128" s="40">
        <v>0</v>
      </c>
      <c r="RB128" s="42">
        <v>0</v>
      </c>
      <c r="RC128" s="47"/>
      <c r="RD128" s="45">
        <v>0</v>
      </c>
      <c r="RE128" s="40">
        <v>0</v>
      </c>
      <c r="RF128" s="42">
        <v>0</v>
      </c>
      <c r="RG128" s="47"/>
    </row>
    <row r="129" spans="1:475" x14ac:dyDescent="0.25">
      <c r="A129" s="40" t="s">
        <v>418</v>
      </c>
      <c r="B129" s="41">
        <v>0.36</v>
      </c>
      <c r="K129">
        <v>50</v>
      </c>
      <c r="N129" s="43"/>
      <c r="O129" s="48"/>
      <c r="P129" s="48"/>
      <c r="Q129" s="48"/>
      <c r="R129" s="48">
        <f t="shared" si="13"/>
        <v>0</v>
      </c>
      <c r="S129" s="44"/>
      <c r="T129" s="43"/>
      <c r="U129" s="49">
        <v>120</v>
      </c>
      <c r="V129" s="48"/>
      <c r="W129" s="49">
        <v>130</v>
      </c>
      <c r="X129" s="53">
        <f t="shared" si="14"/>
        <v>-250</v>
      </c>
      <c r="Y129" s="44">
        <f>-1*X129*B129</f>
        <v>90</v>
      </c>
      <c r="Z129" s="43"/>
      <c r="AA129" s="48"/>
      <c r="AB129" s="48"/>
      <c r="AC129" s="48"/>
      <c r="AD129" s="48">
        <f t="shared" si="15"/>
        <v>0</v>
      </c>
      <c r="AE129" s="44"/>
      <c r="AF129" s="43"/>
      <c r="AG129" s="49">
        <v>60</v>
      </c>
      <c r="AH129" s="48"/>
      <c r="AI129" s="49">
        <v>40</v>
      </c>
      <c r="AJ129" s="53">
        <f t="shared" si="16"/>
        <v>-100</v>
      </c>
      <c r="AK129" s="44">
        <f>-1*AJ129*B129</f>
        <v>36</v>
      </c>
      <c r="AL129" s="49">
        <v>96</v>
      </c>
      <c r="AM129">
        <v>100</v>
      </c>
      <c r="AN129">
        <v>96</v>
      </c>
      <c r="AO129">
        <v>100</v>
      </c>
      <c r="AP129" s="42">
        <v>-8</v>
      </c>
      <c r="AQ129" s="44"/>
      <c r="AR129" s="46">
        <v>8</v>
      </c>
      <c r="AS129">
        <v>8</v>
      </c>
      <c r="AT129">
        <v>88</v>
      </c>
      <c r="AU129">
        <v>92</v>
      </c>
      <c r="AV129" s="42">
        <v>-4</v>
      </c>
      <c r="AW129" s="44"/>
      <c r="AX129">
        <v>96</v>
      </c>
      <c r="AZ129">
        <v>100</v>
      </c>
      <c r="BA129">
        <v>96</v>
      </c>
      <c r="BB129">
        <v>100</v>
      </c>
      <c r="BC129" s="42">
        <v>-8</v>
      </c>
      <c r="BD129" s="44"/>
      <c r="BE129" s="43"/>
      <c r="BI129" s="42">
        <v>0</v>
      </c>
      <c r="BJ129" s="44"/>
      <c r="BK129">
        <v>128</v>
      </c>
      <c r="BL129">
        <v>130</v>
      </c>
      <c r="BM129">
        <v>120</v>
      </c>
      <c r="BN129">
        <v>120</v>
      </c>
      <c r="BO129" s="42">
        <v>-2</v>
      </c>
      <c r="BP129" s="44"/>
      <c r="BS129" s="42">
        <v>0</v>
      </c>
      <c r="BT129" s="44"/>
      <c r="BU129" s="46">
        <v>56</v>
      </c>
      <c r="BV129">
        <v>60</v>
      </c>
      <c r="BW129">
        <v>296</v>
      </c>
      <c r="BX129">
        <v>300</v>
      </c>
      <c r="BY129" s="42">
        <v>-8</v>
      </c>
      <c r="BZ129" s="44"/>
      <c r="CA129">
        <v>96</v>
      </c>
      <c r="CB129">
        <v>100</v>
      </c>
      <c r="CC129">
        <v>200</v>
      </c>
      <c r="CD129">
        <v>200</v>
      </c>
      <c r="CE129" s="42">
        <v>-4</v>
      </c>
      <c r="CF129" s="44"/>
      <c r="CG129" s="43"/>
      <c r="CK129" s="42">
        <v>0</v>
      </c>
      <c r="CL129" s="44"/>
      <c r="CM129" s="43"/>
      <c r="CO129">
        <v>280</v>
      </c>
      <c r="CP129">
        <v>280</v>
      </c>
      <c r="CQ129" s="42">
        <v>0</v>
      </c>
      <c r="CR129" s="44"/>
      <c r="CS129">
        <v>48</v>
      </c>
      <c r="CT129">
        <v>48</v>
      </c>
      <c r="CU129">
        <v>104</v>
      </c>
      <c r="CV129">
        <v>102</v>
      </c>
      <c r="CW129" s="42">
        <v>2</v>
      </c>
      <c r="CX129" s="44"/>
      <c r="CY129" s="43"/>
      <c r="DA129">
        <v>160</v>
      </c>
      <c r="DB129">
        <v>160</v>
      </c>
      <c r="DC129" s="42">
        <v>0</v>
      </c>
      <c r="DD129" s="44"/>
      <c r="DE129" s="43"/>
      <c r="DI129">
        <v>48</v>
      </c>
      <c r="DJ129">
        <v>50</v>
      </c>
      <c r="DK129" s="42">
        <v>-2</v>
      </c>
      <c r="DL129" s="44"/>
      <c r="DM129" s="43"/>
      <c r="DQ129" s="42">
        <v>0</v>
      </c>
      <c r="DR129" s="44"/>
      <c r="DS129">
        <v>96</v>
      </c>
      <c r="DT129">
        <v>100</v>
      </c>
      <c r="DU129">
        <v>152</v>
      </c>
      <c r="DV129">
        <v>150</v>
      </c>
      <c r="DW129">
        <v>96</v>
      </c>
      <c r="DX129">
        <v>100</v>
      </c>
      <c r="DY129" s="42">
        <v>-6</v>
      </c>
      <c r="DZ129" s="44"/>
      <c r="EA129" s="43"/>
      <c r="EE129" s="42">
        <v>0</v>
      </c>
      <c r="EF129" s="44"/>
      <c r="EG129" s="43"/>
      <c r="EI129">
        <v>32</v>
      </c>
      <c r="EJ129">
        <v>30</v>
      </c>
      <c r="EK129" s="42">
        <v>2</v>
      </c>
      <c r="EL129" s="44"/>
      <c r="EM129" s="46">
        <v>160</v>
      </c>
      <c r="EN129">
        <v>160</v>
      </c>
      <c r="EO129">
        <v>160</v>
      </c>
      <c r="EP129">
        <v>160</v>
      </c>
      <c r="EQ129" s="42">
        <v>0</v>
      </c>
      <c r="ER129" s="44"/>
      <c r="ES129">
        <v>56</v>
      </c>
      <c r="ET129">
        <v>60</v>
      </c>
      <c r="EU129">
        <v>56</v>
      </c>
      <c r="EV129">
        <v>60</v>
      </c>
      <c r="EW129">
        <v>72</v>
      </c>
      <c r="EX129">
        <v>70</v>
      </c>
      <c r="EY129" s="42">
        <v>-6</v>
      </c>
      <c r="EZ129" s="44"/>
      <c r="FE129" s="42">
        <v>0</v>
      </c>
      <c r="FF129" s="44"/>
      <c r="FG129" s="46">
        <v>96</v>
      </c>
      <c r="FH129">
        <v>100</v>
      </c>
      <c r="FI129">
        <v>176</v>
      </c>
      <c r="FJ129">
        <v>174</v>
      </c>
      <c r="FK129" s="42">
        <v>-2</v>
      </c>
      <c r="FL129" s="44"/>
      <c r="FM129" s="46">
        <v>96</v>
      </c>
      <c r="FN129">
        <v>99</v>
      </c>
      <c r="FO129" s="42">
        <v>-3</v>
      </c>
      <c r="FP129" s="44"/>
      <c r="FS129">
        <v>96</v>
      </c>
      <c r="FT129">
        <v>100</v>
      </c>
      <c r="FU129" s="42">
        <v>-4</v>
      </c>
      <c r="FV129" s="44"/>
      <c r="FW129" s="43"/>
      <c r="GA129">
        <v>120</v>
      </c>
      <c r="GB129">
        <v>120</v>
      </c>
      <c r="GC129" s="42">
        <v>0</v>
      </c>
      <c r="GD129" s="44"/>
      <c r="GG129">
        <v>72</v>
      </c>
      <c r="GH129">
        <v>70</v>
      </c>
      <c r="GI129" s="42">
        <v>2</v>
      </c>
      <c r="GJ129" s="44"/>
      <c r="GK129" s="43"/>
      <c r="GM129">
        <v>72</v>
      </c>
      <c r="GN129">
        <v>70</v>
      </c>
      <c r="GO129" s="42">
        <v>2</v>
      </c>
      <c r="GP129" s="47"/>
      <c r="GQ129">
        <v>120</v>
      </c>
      <c r="GR129">
        <v>120</v>
      </c>
      <c r="GS129">
        <v>136</v>
      </c>
      <c r="GT129">
        <v>140</v>
      </c>
      <c r="GU129" s="42">
        <v>-4</v>
      </c>
      <c r="GV129" s="44"/>
      <c r="GY129" s="42">
        <v>0</v>
      </c>
      <c r="GZ129" s="47"/>
      <c r="HA129" s="43"/>
      <c r="HC129" s="42">
        <v>0</v>
      </c>
      <c r="HD129" s="44"/>
      <c r="HE129" s="46">
        <v>200</v>
      </c>
      <c r="HF129">
        <v>200</v>
      </c>
      <c r="HG129">
        <v>224</v>
      </c>
      <c r="HH129">
        <v>227</v>
      </c>
      <c r="HI129" s="42">
        <v>-3</v>
      </c>
      <c r="HJ129" s="47"/>
      <c r="HK129" s="43"/>
      <c r="HO129" s="42">
        <v>0</v>
      </c>
      <c r="HP129" s="44"/>
      <c r="HT129">
        <v>32</v>
      </c>
      <c r="HU129">
        <v>30</v>
      </c>
      <c r="HV129" s="42">
        <v>2</v>
      </c>
      <c r="HW129" s="44"/>
      <c r="HX129" s="46">
        <v>200</v>
      </c>
      <c r="HY129">
        <v>200</v>
      </c>
      <c r="HZ129">
        <v>176</v>
      </c>
      <c r="IA129">
        <v>180</v>
      </c>
      <c r="IB129" s="42">
        <v>-4</v>
      </c>
      <c r="IC129" s="44"/>
      <c r="IF129">
        <v>120</v>
      </c>
      <c r="IG129">
        <v>120</v>
      </c>
      <c r="IH129" s="42">
        <v>0</v>
      </c>
      <c r="II129" s="47"/>
      <c r="IL129">
        <v>168</v>
      </c>
      <c r="IM129">
        <v>170</v>
      </c>
      <c r="IN129" s="42">
        <v>-2</v>
      </c>
      <c r="IO129" s="47"/>
      <c r="IP129">
        <v>64</v>
      </c>
      <c r="IQ129">
        <v>64</v>
      </c>
      <c r="IR129">
        <v>72</v>
      </c>
      <c r="IS129">
        <v>76</v>
      </c>
      <c r="IT129" s="42">
        <v>-4</v>
      </c>
      <c r="IU129" s="47"/>
      <c r="IX129">
        <v>24</v>
      </c>
      <c r="IY129">
        <v>40</v>
      </c>
      <c r="IZ129" s="39">
        <v>-16</v>
      </c>
      <c r="JA129" s="44">
        <v>5.76</v>
      </c>
      <c r="JB129">
        <v>200</v>
      </c>
      <c r="JC129">
        <v>200</v>
      </c>
      <c r="JD129" s="42">
        <v>0</v>
      </c>
      <c r="JE129" s="44"/>
      <c r="JF129">
        <v>64</v>
      </c>
      <c r="JG129">
        <v>62</v>
      </c>
      <c r="JJ129" s="42">
        <v>2</v>
      </c>
      <c r="JK129" s="44"/>
      <c r="JL129" s="45"/>
      <c r="JN129" s="42">
        <v>0</v>
      </c>
      <c r="JO129" s="44"/>
      <c r="JT129" s="42">
        <v>0</v>
      </c>
      <c r="JU129" s="44"/>
      <c r="JX129">
        <v>248</v>
      </c>
      <c r="JY129">
        <v>250</v>
      </c>
      <c r="JZ129" s="42">
        <v>-2</v>
      </c>
      <c r="KA129" s="47"/>
      <c r="KD129">
        <v>136</v>
      </c>
      <c r="KE129">
        <v>140</v>
      </c>
      <c r="KF129" s="42">
        <v>-4</v>
      </c>
      <c r="KG129" s="44"/>
      <c r="KH129">
        <v>56</v>
      </c>
      <c r="KI129">
        <v>60</v>
      </c>
      <c r="KJ129">
        <v>160</v>
      </c>
      <c r="KK129">
        <v>160</v>
      </c>
      <c r="KL129" s="42">
        <v>-4</v>
      </c>
      <c r="KM129" s="47"/>
      <c r="KN129" s="45"/>
      <c r="KR129">
        <v>32</v>
      </c>
      <c r="KT129" s="42">
        <v>32</v>
      </c>
      <c r="KU129" s="47"/>
      <c r="KV129" s="40">
        <v>0</v>
      </c>
      <c r="KW129" s="40">
        <v>0</v>
      </c>
      <c r="KX129" s="40">
        <v>336</v>
      </c>
      <c r="KY129" s="40">
        <v>340</v>
      </c>
      <c r="KZ129" s="42">
        <v>-4</v>
      </c>
      <c r="LA129" s="47"/>
      <c r="LB129" s="40">
        <v>0</v>
      </c>
      <c r="LC129" s="40">
        <v>0</v>
      </c>
      <c r="LD129" s="40">
        <v>112</v>
      </c>
      <c r="LE129" s="40">
        <v>110</v>
      </c>
      <c r="LF129" s="42">
        <v>2</v>
      </c>
      <c r="LG129" s="47"/>
      <c r="LH129" s="45">
        <v>24</v>
      </c>
      <c r="LI129" s="40">
        <v>30</v>
      </c>
      <c r="LJ129" s="42">
        <v>-6</v>
      </c>
      <c r="LK129" s="47"/>
      <c r="LL129" s="45">
        <v>80</v>
      </c>
      <c r="LM129" s="40">
        <v>80</v>
      </c>
      <c r="LN129" s="40">
        <v>64</v>
      </c>
      <c r="LO129" s="40">
        <v>70</v>
      </c>
      <c r="LP129" s="42">
        <v>-6</v>
      </c>
      <c r="LQ129" s="47"/>
      <c r="LR129" s="45">
        <v>96</v>
      </c>
      <c r="LS129" s="40">
        <v>100</v>
      </c>
      <c r="LT129" s="40">
        <v>96</v>
      </c>
      <c r="LU129" s="40">
        <v>100</v>
      </c>
      <c r="LV129" s="42">
        <v>-8</v>
      </c>
      <c r="LW129" s="47"/>
      <c r="LX129" s="27">
        <v>96</v>
      </c>
      <c r="LY129" s="40">
        <v>0</v>
      </c>
      <c r="LZ129" s="42">
        <v>0</v>
      </c>
      <c r="MA129" s="47"/>
      <c r="MB129" s="45">
        <v>0</v>
      </c>
      <c r="MC129" s="40">
        <v>0</v>
      </c>
      <c r="MD129" s="40">
        <v>0</v>
      </c>
      <c r="ME129" s="40">
        <v>0</v>
      </c>
      <c r="MF129" s="42">
        <v>0</v>
      </c>
      <c r="MG129" s="47"/>
      <c r="MH129" s="45">
        <v>0</v>
      </c>
      <c r="MI129" s="40">
        <v>0</v>
      </c>
      <c r="MJ129" s="42">
        <v>0</v>
      </c>
      <c r="MK129" s="47"/>
      <c r="ML129" s="45">
        <v>0</v>
      </c>
      <c r="MM129" s="40">
        <v>0</v>
      </c>
      <c r="MN129" s="26">
        <v>248</v>
      </c>
      <c r="MO129" s="40">
        <v>0</v>
      </c>
      <c r="MP129" s="42">
        <v>0</v>
      </c>
      <c r="MQ129" s="47"/>
      <c r="MR129" s="40">
        <v>0</v>
      </c>
      <c r="MS129" s="40">
        <v>0</v>
      </c>
      <c r="MT129" s="26">
        <v>296</v>
      </c>
      <c r="MU129" s="40">
        <v>0</v>
      </c>
      <c r="MV129" s="42">
        <v>0</v>
      </c>
      <c r="MW129" s="47"/>
      <c r="MX129" s="45">
        <v>0</v>
      </c>
      <c r="MY129" s="40">
        <v>0</v>
      </c>
      <c r="MZ129" s="40">
        <v>0</v>
      </c>
      <c r="NA129" s="40">
        <v>0</v>
      </c>
      <c r="NB129" s="42">
        <v>0</v>
      </c>
      <c r="NC129" s="47"/>
      <c r="ND129" s="45">
        <v>0</v>
      </c>
      <c r="NE129" s="40">
        <v>0</v>
      </c>
      <c r="NF129" s="40">
        <v>0</v>
      </c>
      <c r="NG129" s="40">
        <v>0</v>
      </c>
      <c r="NH129" s="42">
        <v>0</v>
      </c>
      <c r="NI129" s="47"/>
      <c r="NJ129" s="45">
        <v>120</v>
      </c>
      <c r="NK129" s="40">
        <v>120</v>
      </c>
      <c r="NL129" s="40">
        <v>144</v>
      </c>
      <c r="NM129" s="40">
        <v>147</v>
      </c>
      <c r="NN129" s="42">
        <v>-3</v>
      </c>
      <c r="NO129" s="47"/>
      <c r="NP129" s="45">
        <v>0</v>
      </c>
      <c r="NQ129" s="40">
        <v>0</v>
      </c>
      <c r="NR129" s="40">
        <v>0</v>
      </c>
      <c r="NS129" s="40">
        <v>0</v>
      </c>
      <c r="NT129" s="42">
        <v>0</v>
      </c>
      <c r="NU129" s="47"/>
      <c r="NV129" s="45">
        <v>0</v>
      </c>
      <c r="NW129" s="40">
        <v>0</v>
      </c>
      <c r="NX129" s="40">
        <v>0</v>
      </c>
      <c r="NY129" s="40">
        <v>0</v>
      </c>
      <c r="NZ129" s="42">
        <v>0</v>
      </c>
      <c r="OA129" s="47"/>
      <c r="OB129" s="45">
        <v>752</v>
      </c>
      <c r="OC129" s="40">
        <v>750</v>
      </c>
      <c r="OD129" s="42">
        <v>2</v>
      </c>
      <c r="OE129" s="47"/>
      <c r="OF129" s="45">
        <v>0</v>
      </c>
      <c r="OG129" s="40">
        <v>0</v>
      </c>
      <c r="OH129" s="40">
        <v>48</v>
      </c>
      <c r="OI129" s="40">
        <v>50</v>
      </c>
      <c r="OJ129" s="42">
        <v>-2</v>
      </c>
      <c r="OK129" s="47"/>
      <c r="OL129" s="45">
        <v>40</v>
      </c>
      <c r="OM129" s="40">
        <v>50</v>
      </c>
      <c r="ON129" s="40">
        <v>48</v>
      </c>
      <c r="OO129" s="40">
        <v>50</v>
      </c>
      <c r="OP129" s="42">
        <v>-12</v>
      </c>
      <c r="OQ129" s="47"/>
      <c r="OR129" s="45">
        <v>200</v>
      </c>
      <c r="OS129" s="40">
        <v>200</v>
      </c>
      <c r="OT129" s="40">
        <v>200</v>
      </c>
      <c r="OU129" s="40">
        <v>202</v>
      </c>
      <c r="OV129" s="42">
        <v>-2</v>
      </c>
      <c r="OW129" s="47"/>
      <c r="OX129" s="40">
        <v>0</v>
      </c>
      <c r="OY129" s="40">
        <v>0</v>
      </c>
      <c r="OZ129" s="40">
        <v>0</v>
      </c>
      <c r="PA129" s="40">
        <v>0</v>
      </c>
      <c r="PB129" s="42">
        <v>0</v>
      </c>
      <c r="PC129" s="47"/>
      <c r="PD129" s="45">
        <v>0</v>
      </c>
      <c r="PE129" s="40">
        <v>0</v>
      </c>
      <c r="PF129" s="40">
        <v>128</v>
      </c>
      <c r="PG129" s="40">
        <v>126</v>
      </c>
      <c r="PH129" s="42">
        <v>2</v>
      </c>
      <c r="PI129" s="47"/>
      <c r="PJ129" s="45">
        <v>176</v>
      </c>
      <c r="PK129" s="40">
        <v>180</v>
      </c>
      <c r="PL129" s="40">
        <v>208</v>
      </c>
      <c r="PM129" s="40">
        <v>206</v>
      </c>
      <c r="PN129" s="42">
        <v>-2</v>
      </c>
      <c r="PO129" s="47"/>
      <c r="PP129" s="43">
        <v>0</v>
      </c>
      <c r="PQ129" s="40">
        <v>0</v>
      </c>
      <c r="PR129" s="40">
        <v>0</v>
      </c>
      <c r="PS129" s="40">
        <v>0</v>
      </c>
      <c r="PT129" s="42">
        <v>0</v>
      </c>
      <c r="PU129" s="47"/>
      <c r="PV129" s="45">
        <v>120</v>
      </c>
      <c r="PW129" s="40">
        <v>120</v>
      </c>
      <c r="PX129" s="40">
        <v>96</v>
      </c>
      <c r="PY129" s="40">
        <v>100</v>
      </c>
      <c r="PZ129" s="42">
        <v>-4</v>
      </c>
      <c r="QA129" s="47"/>
      <c r="QB129" s="45">
        <v>280</v>
      </c>
      <c r="QC129" s="40">
        <v>284</v>
      </c>
      <c r="QD129" s="42">
        <v>-4</v>
      </c>
      <c r="QE129" s="47"/>
      <c r="QF129" s="45">
        <v>72</v>
      </c>
      <c r="QG129" s="40">
        <v>70</v>
      </c>
      <c r="QH129" s="40">
        <v>80</v>
      </c>
      <c r="QI129" s="40">
        <v>80</v>
      </c>
      <c r="QJ129" s="42">
        <v>2</v>
      </c>
      <c r="QK129" s="47"/>
      <c r="QL129" s="45">
        <v>72</v>
      </c>
      <c r="QM129" s="40">
        <v>70</v>
      </c>
      <c r="QN129" s="40">
        <v>96</v>
      </c>
      <c r="QO129" s="40">
        <v>100</v>
      </c>
      <c r="QP129" s="42">
        <v>-2</v>
      </c>
      <c r="QQ129" s="47"/>
      <c r="QR129" s="45">
        <v>48</v>
      </c>
      <c r="QS129" s="40">
        <v>50</v>
      </c>
      <c r="QT129" s="40">
        <v>0</v>
      </c>
      <c r="QU129" s="40">
        <v>0</v>
      </c>
      <c r="QV129" s="42">
        <v>-2</v>
      </c>
      <c r="QW129" s="47"/>
      <c r="QX129" s="45">
        <v>96</v>
      </c>
      <c r="QY129" s="40">
        <v>100</v>
      </c>
      <c r="QZ129" s="40">
        <v>0</v>
      </c>
      <c r="RA129" s="40">
        <v>0</v>
      </c>
      <c r="RB129" s="42">
        <v>-4</v>
      </c>
      <c r="RC129" s="47"/>
      <c r="RD129" s="45">
        <v>96</v>
      </c>
      <c r="RE129" s="40">
        <v>100</v>
      </c>
      <c r="RF129" s="42">
        <v>-4</v>
      </c>
      <c r="RG129" s="47"/>
    </row>
    <row r="130" spans="1:475" x14ac:dyDescent="0.25">
      <c r="A130" s="40" t="s">
        <v>419</v>
      </c>
      <c r="B130" s="41">
        <v>0.15</v>
      </c>
      <c r="N130" s="43"/>
      <c r="O130" s="48"/>
      <c r="P130" s="48"/>
      <c r="Q130" s="48"/>
      <c r="R130" s="48">
        <f t="shared" si="13"/>
        <v>0</v>
      </c>
      <c r="S130" s="44"/>
      <c r="T130" s="43"/>
      <c r="U130" s="48"/>
      <c r="V130" s="48"/>
      <c r="W130" s="48"/>
      <c r="X130" s="48">
        <f t="shared" si="14"/>
        <v>0</v>
      </c>
      <c r="Y130" s="44"/>
      <c r="Z130" s="43"/>
      <c r="AA130" s="48"/>
      <c r="AB130" s="48"/>
      <c r="AC130" s="48"/>
      <c r="AD130" s="48">
        <f t="shared" si="15"/>
        <v>0</v>
      </c>
      <c r="AE130" s="44"/>
      <c r="AF130" s="43"/>
      <c r="AG130" s="48"/>
      <c r="AH130" s="48"/>
      <c r="AI130" s="48"/>
      <c r="AJ130" s="48">
        <f t="shared" si="16"/>
        <v>0</v>
      </c>
      <c r="AK130" s="44"/>
      <c r="AL130" s="48"/>
      <c r="AP130" s="42">
        <v>0</v>
      </c>
      <c r="AQ130" s="44"/>
      <c r="AR130" s="43"/>
      <c r="AV130" s="42">
        <v>0</v>
      </c>
      <c r="AW130" s="44"/>
      <c r="BC130" s="42">
        <v>0</v>
      </c>
      <c r="BD130" s="44"/>
      <c r="BE130" s="43"/>
      <c r="BI130" s="42">
        <v>0</v>
      </c>
      <c r="BJ130" s="44"/>
      <c r="BO130" s="42">
        <v>0</v>
      </c>
      <c r="BP130" s="44"/>
      <c r="BS130" s="42">
        <v>0</v>
      </c>
      <c r="BT130" s="44"/>
      <c r="BU130" s="43"/>
      <c r="BY130" s="42">
        <v>0</v>
      </c>
      <c r="BZ130" s="44"/>
      <c r="CE130" s="42">
        <v>0</v>
      </c>
      <c r="CF130" s="44"/>
      <c r="CG130" s="43"/>
      <c r="CK130" s="42">
        <v>0</v>
      </c>
      <c r="CL130" s="44"/>
      <c r="CM130" s="43"/>
      <c r="CQ130" s="42">
        <v>0</v>
      </c>
      <c r="CR130" s="44"/>
      <c r="CW130" s="42">
        <v>0</v>
      </c>
      <c r="CX130" s="44"/>
      <c r="CY130" s="43"/>
      <c r="DC130" s="42">
        <v>0</v>
      </c>
      <c r="DD130" s="44"/>
      <c r="DE130" s="43"/>
      <c r="DK130" s="42">
        <v>0</v>
      </c>
      <c r="DL130" s="44"/>
      <c r="DM130" s="43"/>
      <c r="DQ130" s="42">
        <v>0</v>
      </c>
      <c r="DR130" s="44"/>
      <c r="DY130" s="42">
        <v>0</v>
      </c>
      <c r="DZ130" s="44"/>
      <c r="EA130" s="43"/>
      <c r="EE130" s="42">
        <v>0</v>
      </c>
      <c r="EF130" s="44"/>
      <c r="EG130" s="43"/>
      <c r="EK130" s="42">
        <v>0</v>
      </c>
      <c r="EL130" s="44"/>
      <c r="EM130" s="43"/>
      <c r="EQ130" s="42">
        <v>0</v>
      </c>
      <c r="ER130" s="44"/>
      <c r="EY130" s="42">
        <v>0</v>
      </c>
      <c r="EZ130" s="44"/>
      <c r="FE130" s="42">
        <v>0</v>
      </c>
      <c r="FF130" s="44"/>
      <c r="FG130" s="43"/>
      <c r="FK130" s="42">
        <v>0</v>
      </c>
      <c r="FL130" s="44"/>
      <c r="FM130" s="43"/>
      <c r="FO130" s="42">
        <v>0</v>
      </c>
      <c r="FP130" s="44"/>
      <c r="FU130" s="42">
        <v>0</v>
      </c>
      <c r="FV130" s="44"/>
      <c r="FW130" s="43"/>
      <c r="GC130" s="42">
        <v>0</v>
      </c>
      <c r="GD130" s="44"/>
      <c r="GI130" s="42">
        <v>0</v>
      </c>
      <c r="GJ130" s="44"/>
      <c r="GK130" s="43"/>
      <c r="GO130" s="42">
        <v>0</v>
      </c>
      <c r="GP130" s="47"/>
      <c r="GU130" s="42">
        <v>0</v>
      </c>
      <c r="GV130" s="44"/>
      <c r="GY130" s="42">
        <v>0</v>
      </c>
      <c r="GZ130" s="47"/>
      <c r="HA130" s="43"/>
      <c r="HC130" s="42">
        <v>0</v>
      </c>
      <c r="HD130" s="44"/>
      <c r="HE130" s="43"/>
      <c r="HI130" s="42">
        <v>0</v>
      </c>
      <c r="HJ130" s="47"/>
      <c r="HK130" s="43"/>
      <c r="HO130" s="42">
        <v>0</v>
      </c>
      <c r="HP130" s="44"/>
      <c r="HV130" s="42">
        <v>0</v>
      </c>
      <c r="HW130" s="44"/>
      <c r="HX130" s="45"/>
      <c r="IB130" s="42">
        <v>0</v>
      </c>
      <c r="IC130" s="44"/>
      <c r="IH130" s="42">
        <v>0</v>
      </c>
      <c r="II130" s="47"/>
      <c r="IN130" s="42">
        <v>0</v>
      </c>
      <c r="IO130" s="47"/>
      <c r="IT130" s="42">
        <v>0</v>
      </c>
      <c r="IU130" s="47"/>
      <c r="IZ130" s="42">
        <v>0</v>
      </c>
      <c r="JA130" s="44"/>
      <c r="JD130" s="42">
        <v>0</v>
      </c>
      <c r="JE130" s="44"/>
      <c r="JJ130" s="42">
        <v>0</v>
      </c>
      <c r="JK130" s="44"/>
      <c r="JL130" s="45"/>
      <c r="JN130" s="42">
        <v>0</v>
      </c>
      <c r="JO130" s="44"/>
      <c r="JT130" s="42">
        <v>0</v>
      </c>
      <c r="JU130" s="44"/>
      <c r="JX130">
        <v>108</v>
      </c>
      <c r="JY130">
        <v>107</v>
      </c>
      <c r="JZ130" s="42">
        <v>1</v>
      </c>
      <c r="KA130" s="47"/>
      <c r="KF130" s="42">
        <v>0</v>
      </c>
      <c r="KG130" s="44"/>
      <c r="KH130" s="41"/>
      <c r="KJ130">
        <v>48</v>
      </c>
      <c r="KK130">
        <v>50</v>
      </c>
      <c r="KL130" s="42">
        <v>-2</v>
      </c>
      <c r="KM130" s="47"/>
      <c r="KN130" s="45"/>
      <c r="KO130">
        <v>24</v>
      </c>
      <c r="KP130">
        <v>24</v>
      </c>
      <c r="KQ130">
        <v>24</v>
      </c>
      <c r="KR130">
        <v>24</v>
      </c>
      <c r="KS130">
        <v>25</v>
      </c>
      <c r="KT130" s="39">
        <v>-25</v>
      </c>
      <c r="KU130" s="47">
        <v>3.75</v>
      </c>
      <c r="KV130" s="40">
        <v>0</v>
      </c>
      <c r="KW130" s="40">
        <v>0</v>
      </c>
      <c r="KX130" s="40">
        <v>0</v>
      </c>
      <c r="KY130" s="40">
        <v>0</v>
      </c>
      <c r="KZ130" s="42">
        <v>0</v>
      </c>
      <c r="LA130" s="47"/>
      <c r="LB130" s="40">
        <v>0</v>
      </c>
      <c r="LC130" s="40">
        <v>0</v>
      </c>
      <c r="LD130" s="40">
        <v>0</v>
      </c>
      <c r="LE130" s="40">
        <v>0</v>
      </c>
      <c r="LF130" s="42">
        <v>0</v>
      </c>
      <c r="LG130" s="47"/>
      <c r="LH130" s="45">
        <v>60</v>
      </c>
      <c r="LI130" s="40">
        <v>70</v>
      </c>
      <c r="LJ130" s="42">
        <v>-10</v>
      </c>
      <c r="LK130" s="47"/>
      <c r="LL130" s="45">
        <v>36</v>
      </c>
      <c r="LM130" s="40">
        <v>36</v>
      </c>
      <c r="LN130" s="40">
        <v>48</v>
      </c>
      <c r="LO130" s="40">
        <v>52</v>
      </c>
      <c r="LP130" s="42">
        <v>-4</v>
      </c>
      <c r="LQ130" s="47"/>
      <c r="LR130" s="45">
        <v>0</v>
      </c>
      <c r="LS130" s="40">
        <v>24</v>
      </c>
      <c r="LT130" s="40">
        <v>36</v>
      </c>
      <c r="LU130" s="40">
        <v>34</v>
      </c>
      <c r="LV130" s="39">
        <v>-22</v>
      </c>
      <c r="LW130" s="47">
        <v>3.3</v>
      </c>
      <c r="LX130" s="45">
        <v>12</v>
      </c>
      <c r="LY130" s="40">
        <v>17</v>
      </c>
      <c r="LZ130" s="42">
        <v>-5</v>
      </c>
      <c r="MA130" s="47"/>
      <c r="MB130" s="45">
        <v>0</v>
      </c>
      <c r="MC130" s="40">
        <v>0</v>
      </c>
      <c r="MD130" s="40">
        <v>0</v>
      </c>
      <c r="ME130" s="40">
        <v>0</v>
      </c>
      <c r="MF130" s="42">
        <v>0</v>
      </c>
      <c r="MG130" s="47"/>
      <c r="MH130" s="45">
        <v>72</v>
      </c>
      <c r="MI130" s="40">
        <v>76</v>
      </c>
      <c r="MJ130" s="42">
        <v>-4</v>
      </c>
      <c r="MK130" s="47"/>
      <c r="ML130" s="45">
        <v>0</v>
      </c>
      <c r="MM130" s="40">
        <v>0</v>
      </c>
      <c r="MN130" s="40">
        <v>96</v>
      </c>
      <c r="MO130" s="40">
        <v>96</v>
      </c>
      <c r="MP130" s="42">
        <v>0</v>
      </c>
      <c r="MQ130" s="47"/>
      <c r="MR130" s="40">
        <v>0</v>
      </c>
      <c r="MS130" s="40">
        <v>0</v>
      </c>
      <c r="MT130" s="40">
        <v>12</v>
      </c>
      <c r="MU130" s="40">
        <v>13</v>
      </c>
      <c r="MV130" s="42">
        <v>-1</v>
      </c>
      <c r="MW130" s="47"/>
      <c r="MX130" s="45">
        <v>0</v>
      </c>
      <c r="MY130" s="40">
        <v>0</v>
      </c>
      <c r="MZ130" s="40">
        <v>48</v>
      </c>
      <c r="NA130" s="40">
        <v>56</v>
      </c>
      <c r="NB130" s="42">
        <v>-8</v>
      </c>
      <c r="NC130" s="47"/>
      <c r="ND130" s="45">
        <v>0</v>
      </c>
      <c r="NE130" s="40">
        <v>0</v>
      </c>
      <c r="NF130" s="40">
        <v>36</v>
      </c>
      <c r="NG130" s="40">
        <v>41</v>
      </c>
      <c r="NH130" s="42">
        <v>-5</v>
      </c>
      <c r="NI130" s="47"/>
      <c r="NJ130" s="45">
        <v>0</v>
      </c>
      <c r="NK130" s="40">
        <v>0</v>
      </c>
      <c r="NL130" s="40">
        <v>0</v>
      </c>
      <c r="NM130" s="40">
        <v>0</v>
      </c>
      <c r="NN130" s="42">
        <v>0</v>
      </c>
      <c r="NO130" s="47"/>
      <c r="NP130" s="45">
        <v>0</v>
      </c>
      <c r="NQ130" s="40">
        <v>0</v>
      </c>
      <c r="NR130" s="40">
        <v>48</v>
      </c>
      <c r="NS130" s="40">
        <v>50</v>
      </c>
      <c r="NT130" s="42">
        <v>-2</v>
      </c>
      <c r="NU130" s="47"/>
      <c r="NV130" s="45">
        <v>0</v>
      </c>
      <c r="NW130" s="40">
        <v>0</v>
      </c>
      <c r="NX130" s="40">
        <v>0</v>
      </c>
      <c r="NY130" s="40">
        <v>0</v>
      </c>
      <c r="NZ130" s="42">
        <v>0</v>
      </c>
      <c r="OA130" s="47"/>
      <c r="OB130" s="45">
        <v>312</v>
      </c>
      <c r="OC130" s="40">
        <v>320</v>
      </c>
      <c r="OD130" s="42">
        <v>-8</v>
      </c>
      <c r="OE130" s="47"/>
      <c r="OF130" s="45">
        <v>0</v>
      </c>
      <c r="OG130" s="40">
        <v>0</v>
      </c>
      <c r="OH130" s="40">
        <v>0</v>
      </c>
      <c r="OI130" s="40">
        <v>0</v>
      </c>
      <c r="OJ130" s="42">
        <v>0</v>
      </c>
      <c r="OK130" s="47"/>
      <c r="OL130" s="45">
        <v>0</v>
      </c>
      <c r="OM130" s="40">
        <v>0</v>
      </c>
      <c r="ON130" s="40">
        <v>0</v>
      </c>
      <c r="OO130" s="40">
        <v>0</v>
      </c>
      <c r="OP130" s="42">
        <v>0</v>
      </c>
      <c r="OQ130" s="47"/>
      <c r="OR130" s="45">
        <v>144</v>
      </c>
      <c r="OS130" s="40">
        <v>150</v>
      </c>
      <c r="OT130" s="40">
        <v>192</v>
      </c>
      <c r="OU130" s="40">
        <v>199</v>
      </c>
      <c r="OV130" s="42">
        <v>-13</v>
      </c>
      <c r="OW130" s="47"/>
      <c r="OX130" s="40">
        <v>48</v>
      </c>
      <c r="OY130" s="40">
        <v>50</v>
      </c>
      <c r="OZ130" s="40">
        <v>36</v>
      </c>
      <c r="PA130" s="40">
        <v>40</v>
      </c>
      <c r="PB130" s="42">
        <v>-6</v>
      </c>
      <c r="PC130" s="47"/>
      <c r="PD130" s="45">
        <v>0</v>
      </c>
      <c r="PE130" s="40">
        <v>0</v>
      </c>
      <c r="PF130" s="40">
        <v>72</v>
      </c>
      <c r="PG130" s="40">
        <v>76</v>
      </c>
      <c r="PH130" s="42">
        <v>-4</v>
      </c>
      <c r="PI130" s="47"/>
      <c r="PJ130" s="45">
        <v>0</v>
      </c>
      <c r="PK130" s="40">
        <v>0</v>
      </c>
      <c r="PL130" s="40">
        <v>108</v>
      </c>
      <c r="PM130" s="40">
        <v>117</v>
      </c>
      <c r="PN130" s="42">
        <v>-9</v>
      </c>
      <c r="PO130" s="47"/>
      <c r="PP130" s="43">
        <v>0</v>
      </c>
      <c r="PQ130" s="40">
        <v>0</v>
      </c>
      <c r="PR130" s="40">
        <v>72</v>
      </c>
      <c r="PS130" s="40">
        <v>70</v>
      </c>
      <c r="PT130" s="42">
        <v>2</v>
      </c>
      <c r="PU130" s="47"/>
      <c r="PV130" s="45">
        <v>0</v>
      </c>
      <c r="PW130" s="40">
        <v>0</v>
      </c>
      <c r="PX130" s="40">
        <v>0</v>
      </c>
      <c r="PY130" s="40">
        <v>0</v>
      </c>
      <c r="PZ130" s="42">
        <v>0</v>
      </c>
      <c r="QA130" s="47"/>
      <c r="QB130" s="45">
        <v>0</v>
      </c>
      <c r="QC130" s="40">
        <v>0</v>
      </c>
      <c r="QD130" s="42">
        <v>0</v>
      </c>
      <c r="QE130" s="47"/>
      <c r="QF130" s="45">
        <v>132</v>
      </c>
      <c r="QG130" s="40">
        <v>138</v>
      </c>
      <c r="QH130" s="40">
        <v>144</v>
      </c>
      <c r="QI130" s="40">
        <v>150</v>
      </c>
      <c r="QJ130" s="42">
        <v>-12</v>
      </c>
      <c r="QK130" s="47"/>
      <c r="QL130" s="45">
        <v>0</v>
      </c>
      <c r="QM130" s="40">
        <v>0</v>
      </c>
      <c r="QN130" s="40">
        <v>0</v>
      </c>
      <c r="QO130" s="40">
        <v>0</v>
      </c>
      <c r="QP130" s="42">
        <v>0</v>
      </c>
      <c r="QQ130" s="47"/>
      <c r="QR130" s="45">
        <v>48</v>
      </c>
      <c r="QS130" s="40">
        <v>50</v>
      </c>
      <c r="QT130" s="40">
        <v>0</v>
      </c>
      <c r="QU130" s="40">
        <v>50</v>
      </c>
      <c r="QV130" s="39">
        <v>-52</v>
      </c>
      <c r="QW130" s="47">
        <v>7.8</v>
      </c>
      <c r="QX130" s="4">
        <v>96</v>
      </c>
      <c r="QY130" s="40">
        <v>0</v>
      </c>
      <c r="QZ130" s="3">
        <v>96</v>
      </c>
      <c r="RA130" s="40">
        <v>0</v>
      </c>
      <c r="RB130" s="42">
        <v>0</v>
      </c>
      <c r="RC130" s="47"/>
      <c r="RD130" s="4">
        <v>396</v>
      </c>
      <c r="RE130" s="40">
        <v>0</v>
      </c>
      <c r="RF130" s="42">
        <v>0</v>
      </c>
      <c r="RG130" s="47"/>
    </row>
    <row r="131" spans="1:475" x14ac:dyDescent="0.25">
      <c r="A131" s="40" t="s">
        <v>420</v>
      </c>
      <c r="B131" s="41">
        <v>0.15</v>
      </c>
      <c r="N131" s="43"/>
      <c r="O131" s="48"/>
      <c r="P131" s="48"/>
      <c r="Q131" s="48"/>
      <c r="R131" s="48">
        <f t="shared" si="13"/>
        <v>0</v>
      </c>
      <c r="S131" s="44"/>
      <c r="T131" s="43"/>
      <c r="U131" s="48"/>
      <c r="V131" s="48"/>
      <c r="W131" s="48"/>
      <c r="X131" s="48">
        <f t="shared" si="14"/>
        <v>0</v>
      </c>
      <c r="Y131" s="44"/>
      <c r="Z131" s="43"/>
      <c r="AA131" s="48"/>
      <c r="AB131" s="48"/>
      <c r="AC131" s="48"/>
      <c r="AD131" s="48">
        <f t="shared" si="15"/>
        <v>0</v>
      </c>
      <c r="AE131" s="44"/>
      <c r="AF131" s="43"/>
      <c r="AG131" s="48"/>
      <c r="AH131" s="48"/>
      <c r="AI131" s="48"/>
      <c r="AJ131" s="48">
        <f t="shared" si="16"/>
        <v>0</v>
      </c>
      <c r="AK131" s="44"/>
      <c r="AL131" s="48"/>
      <c r="AP131" s="42">
        <v>0</v>
      </c>
      <c r="AQ131" s="44"/>
      <c r="AR131" s="43"/>
      <c r="AV131" s="42">
        <v>0</v>
      </c>
      <c r="AW131" s="44"/>
      <c r="BC131" s="42">
        <v>0</v>
      </c>
      <c r="BD131" s="44"/>
      <c r="BE131" s="43"/>
      <c r="BI131" s="42">
        <v>0</v>
      </c>
      <c r="BJ131" s="44"/>
      <c r="BO131" s="42">
        <v>0</v>
      </c>
      <c r="BP131" s="44"/>
      <c r="BS131" s="42">
        <v>0</v>
      </c>
      <c r="BT131" s="44"/>
      <c r="BU131" s="43"/>
      <c r="BY131" s="42">
        <v>0</v>
      </c>
      <c r="BZ131" s="44"/>
      <c r="CE131" s="42">
        <v>0</v>
      </c>
      <c r="CF131" s="44"/>
      <c r="CG131" s="43"/>
      <c r="CK131" s="42">
        <v>0</v>
      </c>
      <c r="CL131" s="44"/>
      <c r="CM131" s="43"/>
      <c r="CQ131" s="42">
        <v>0</v>
      </c>
      <c r="CR131" s="44"/>
      <c r="CW131" s="42">
        <v>0</v>
      </c>
      <c r="CX131" s="44"/>
      <c r="CY131" s="43"/>
      <c r="DC131" s="42">
        <v>0</v>
      </c>
      <c r="DD131" s="44"/>
      <c r="DE131" s="43"/>
      <c r="DK131" s="42">
        <v>0</v>
      </c>
      <c r="DL131" s="44"/>
      <c r="DM131" s="43"/>
      <c r="DQ131" s="42">
        <v>0</v>
      </c>
      <c r="DR131" s="44"/>
      <c r="DY131" s="42">
        <v>0</v>
      </c>
      <c r="DZ131" s="44"/>
      <c r="EA131" s="43"/>
      <c r="EE131" s="42">
        <v>0</v>
      </c>
      <c r="EF131" s="44"/>
      <c r="EG131" s="43"/>
      <c r="EK131" s="42">
        <v>0</v>
      </c>
      <c r="EL131" s="44"/>
      <c r="EM131" s="43"/>
      <c r="EQ131" s="42">
        <v>0</v>
      </c>
      <c r="ER131" s="44"/>
      <c r="EY131" s="42">
        <v>0</v>
      </c>
      <c r="EZ131" s="44"/>
      <c r="FE131" s="42">
        <v>0</v>
      </c>
      <c r="FF131" s="44"/>
      <c r="FG131" s="43"/>
      <c r="FK131" s="42">
        <v>0</v>
      </c>
      <c r="FL131" s="44"/>
      <c r="FM131" s="43"/>
      <c r="FO131" s="42">
        <v>0</v>
      </c>
      <c r="FP131" s="44"/>
      <c r="FU131" s="42">
        <v>0</v>
      </c>
      <c r="FV131" s="44"/>
      <c r="FW131" s="43"/>
      <c r="GC131" s="42">
        <v>0</v>
      </c>
      <c r="GD131" s="44"/>
      <c r="GI131" s="42">
        <v>0</v>
      </c>
      <c r="GJ131" s="44"/>
      <c r="GK131" s="43"/>
      <c r="GO131" s="42">
        <v>0</v>
      </c>
      <c r="GP131" s="47"/>
      <c r="GU131" s="42">
        <v>0</v>
      </c>
      <c r="GV131" s="44"/>
      <c r="GY131" s="42">
        <v>0</v>
      </c>
      <c r="GZ131" s="47"/>
      <c r="HA131" s="43"/>
      <c r="HC131" s="42">
        <v>0</v>
      </c>
      <c r="HD131" s="44"/>
      <c r="HE131" s="43"/>
      <c r="HI131" s="42">
        <v>0</v>
      </c>
      <c r="HJ131" s="47"/>
      <c r="HK131" s="43"/>
      <c r="HO131" s="42">
        <v>0</v>
      </c>
      <c r="HP131" s="44"/>
      <c r="HV131" s="42">
        <v>0</v>
      </c>
      <c r="HW131" s="44"/>
      <c r="HX131" s="45"/>
      <c r="IB131" s="42">
        <v>0</v>
      </c>
      <c r="IC131" s="44"/>
      <c r="IH131" s="42">
        <v>0</v>
      </c>
      <c r="II131" s="47"/>
      <c r="IN131" s="42">
        <v>0</v>
      </c>
      <c r="IO131" s="47"/>
      <c r="IT131" s="42">
        <v>0</v>
      </c>
      <c r="IU131" s="47"/>
      <c r="IZ131" s="42">
        <v>0</v>
      </c>
      <c r="JA131" s="44"/>
      <c r="JD131" s="42">
        <v>0</v>
      </c>
      <c r="JE131" s="44"/>
      <c r="JJ131" s="42">
        <v>0</v>
      </c>
      <c r="JK131" s="44"/>
      <c r="JL131" s="45"/>
      <c r="JN131" s="42">
        <v>0</v>
      </c>
      <c r="JO131" s="44"/>
      <c r="JT131" s="42">
        <v>0</v>
      </c>
      <c r="JU131" s="44"/>
      <c r="JX131">
        <v>72</v>
      </c>
      <c r="JY131">
        <v>76</v>
      </c>
      <c r="JZ131" s="42">
        <v>-4</v>
      </c>
      <c r="KA131" s="47"/>
      <c r="KF131" s="42">
        <v>0</v>
      </c>
      <c r="KG131" s="44"/>
      <c r="KH131" s="41"/>
      <c r="KJ131">
        <v>24</v>
      </c>
      <c r="KK131">
        <v>29</v>
      </c>
      <c r="KL131" s="42">
        <v>-5</v>
      </c>
      <c r="KM131" s="47"/>
      <c r="KN131" s="45"/>
      <c r="KP131">
        <v>36</v>
      </c>
      <c r="KQ131">
        <v>36</v>
      </c>
      <c r="KR131">
        <v>48</v>
      </c>
      <c r="KS131">
        <v>52</v>
      </c>
      <c r="KT131" s="42">
        <v>-4</v>
      </c>
      <c r="KU131" s="47"/>
      <c r="KV131" s="40">
        <v>0</v>
      </c>
      <c r="KW131" s="40">
        <v>0</v>
      </c>
      <c r="KX131" s="40">
        <v>0</v>
      </c>
      <c r="KY131" s="40">
        <v>0</v>
      </c>
      <c r="KZ131" s="42">
        <v>0</v>
      </c>
      <c r="LA131" s="47"/>
      <c r="LB131" s="40">
        <v>0</v>
      </c>
      <c r="LC131" s="40">
        <v>0</v>
      </c>
      <c r="LD131" s="40">
        <v>0</v>
      </c>
      <c r="LE131" s="40">
        <v>0</v>
      </c>
      <c r="LF131" s="42">
        <v>0</v>
      </c>
      <c r="LG131" s="47"/>
      <c r="LH131" s="45">
        <v>96</v>
      </c>
      <c r="LI131" s="40">
        <v>100</v>
      </c>
      <c r="LJ131" s="42">
        <v>-4</v>
      </c>
      <c r="LK131" s="47"/>
      <c r="LL131" s="45">
        <v>0</v>
      </c>
      <c r="LM131" s="40">
        <v>0</v>
      </c>
      <c r="LN131" s="40">
        <v>36</v>
      </c>
      <c r="LO131" s="40">
        <v>41</v>
      </c>
      <c r="LP131" s="42">
        <v>-5</v>
      </c>
      <c r="LQ131" s="47"/>
      <c r="LR131" s="45">
        <v>24</v>
      </c>
      <c r="LS131" s="40">
        <v>24</v>
      </c>
      <c r="LT131" s="40">
        <v>24</v>
      </c>
      <c r="LU131" s="40">
        <v>24</v>
      </c>
      <c r="LV131" s="42">
        <v>0</v>
      </c>
      <c r="LW131" s="47"/>
      <c r="LX131" s="45">
        <v>0</v>
      </c>
      <c r="LY131" s="40">
        <v>0</v>
      </c>
      <c r="LZ131" s="42">
        <v>0</v>
      </c>
      <c r="MA131" s="47"/>
      <c r="MB131" s="45">
        <v>0</v>
      </c>
      <c r="MC131" s="40">
        <v>0</v>
      </c>
      <c r="MD131" s="40">
        <v>0</v>
      </c>
      <c r="ME131" s="40">
        <v>0</v>
      </c>
      <c r="MF131" s="42">
        <v>0</v>
      </c>
      <c r="MG131" s="47"/>
      <c r="MH131" s="45">
        <v>120</v>
      </c>
      <c r="MI131" s="40">
        <v>121</v>
      </c>
      <c r="MJ131" s="42">
        <v>-1</v>
      </c>
      <c r="MK131" s="47"/>
      <c r="ML131" s="45">
        <v>0</v>
      </c>
      <c r="MM131" s="40">
        <v>0</v>
      </c>
      <c r="MN131" s="40">
        <v>60</v>
      </c>
      <c r="MO131" s="40">
        <v>66</v>
      </c>
      <c r="MP131" s="42">
        <v>-6</v>
      </c>
      <c r="MQ131" s="47"/>
      <c r="MR131" s="40">
        <v>0</v>
      </c>
      <c r="MS131" s="40">
        <v>0</v>
      </c>
      <c r="MT131" s="40">
        <v>12</v>
      </c>
      <c r="MU131" s="40">
        <v>12</v>
      </c>
      <c r="MV131" s="42">
        <v>0</v>
      </c>
      <c r="MW131" s="47"/>
      <c r="MX131" s="45">
        <v>0</v>
      </c>
      <c r="MY131" s="40">
        <v>0</v>
      </c>
      <c r="MZ131" s="40">
        <v>12</v>
      </c>
      <c r="NA131" s="40">
        <v>14</v>
      </c>
      <c r="NB131" s="42">
        <v>-2</v>
      </c>
      <c r="NC131" s="47"/>
      <c r="ND131" s="45">
        <v>0</v>
      </c>
      <c r="NE131" s="40">
        <v>0</v>
      </c>
      <c r="NF131" s="40">
        <v>0</v>
      </c>
      <c r="NG131" s="40">
        <v>0</v>
      </c>
      <c r="NH131" s="42">
        <v>0</v>
      </c>
      <c r="NI131" s="47"/>
      <c r="NJ131" s="45">
        <v>0</v>
      </c>
      <c r="NK131" s="40">
        <v>0</v>
      </c>
      <c r="NL131" s="40">
        <v>0</v>
      </c>
      <c r="NM131" s="40">
        <v>0</v>
      </c>
      <c r="NN131" s="42">
        <v>0</v>
      </c>
      <c r="NO131" s="47"/>
      <c r="NP131" s="45">
        <v>0</v>
      </c>
      <c r="NQ131" s="40">
        <v>0</v>
      </c>
      <c r="NR131" s="40">
        <v>0</v>
      </c>
      <c r="NS131" s="40">
        <v>0</v>
      </c>
      <c r="NT131" s="42">
        <v>0</v>
      </c>
      <c r="NU131" s="47"/>
      <c r="NV131" s="45">
        <v>0</v>
      </c>
      <c r="NW131" s="40">
        <v>0</v>
      </c>
      <c r="NX131" s="40">
        <v>0</v>
      </c>
      <c r="NY131" s="40">
        <v>0</v>
      </c>
      <c r="NZ131" s="42">
        <v>0</v>
      </c>
      <c r="OA131" s="47"/>
      <c r="OB131" s="45">
        <v>444</v>
      </c>
      <c r="OC131" s="40">
        <v>450</v>
      </c>
      <c r="OD131" s="42">
        <v>-6</v>
      </c>
      <c r="OE131" s="47"/>
      <c r="OF131" s="45">
        <v>0</v>
      </c>
      <c r="OG131" s="40">
        <v>0</v>
      </c>
      <c r="OH131" s="40">
        <v>0</v>
      </c>
      <c r="OI131" s="40">
        <v>0</v>
      </c>
      <c r="OJ131" s="42">
        <v>0</v>
      </c>
      <c r="OK131" s="47"/>
      <c r="OL131" s="45">
        <v>0</v>
      </c>
      <c r="OM131" s="40">
        <v>0</v>
      </c>
      <c r="ON131" s="40">
        <v>0</v>
      </c>
      <c r="OO131" s="40">
        <v>0</v>
      </c>
      <c r="OP131" s="42">
        <v>0</v>
      </c>
      <c r="OQ131" s="47"/>
      <c r="OR131" s="45">
        <v>48</v>
      </c>
      <c r="OS131" s="40">
        <v>50</v>
      </c>
      <c r="OT131" s="40">
        <v>108</v>
      </c>
      <c r="OU131" s="40">
        <v>111</v>
      </c>
      <c r="OV131" s="42">
        <v>-5</v>
      </c>
      <c r="OW131" s="47"/>
      <c r="OX131" s="40">
        <v>72</v>
      </c>
      <c r="OY131" s="40">
        <v>74</v>
      </c>
      <c r="OZ131" s="40">
        <v>72</v>
      </c>
      <c r="PA131" s="40">
        <v>74</v>
      </c>
      <c r="PB131" s="42">
        <v>-4</v>
      </c>
      <c r="PC131" s="47"/>
      <c r="PD131" s="45">
        <v>0</v>
      </c>
      <c r="PE131" s="40">
        <v>0</v>
      </c>
      <c r="PF131" s="40">
        <v>36</v>
      </c>
      <c r="PG131" s="40">
        <v>34</v>
      </c>
      <c r="PH131" s="42">
        <v>2</v>
      </c>
      <c r="PI131" s="47"/>
      <c r="PJ131" s="45">
        <v>0</v>
      </c>
      <c r="PK131" s="40">
        <v>0</v>
      </c>
      <c r="PL131" s="40">
        <v>96</v>
      </c>
      <c r="PM131" s="40">
        <v>94</v>
      </c>
      <c r="PN131" s="42">
        <v>2</v>
      </c>
      <c r="PO131" s="47"/>
      <c r="PP131" s="43">
        <v>0</v>
      </c>
      <c r="PQ131" s="40">
        <v>0</v>
      </c>
      <c r="PR131" s="40">
        <v>24</v>
      </c>
      <c r="PS131" s="40">
        <v>30</v>
      </c>
      <c r="PT131" s="42">
        <v>-6</v>
      </c>
      <c r="PU131" s="47"/>
      <c r="PV131" s="45">
        <v>72</v>
      </c>
      <c r="PW131" s="40">
        <v>80</v>
      </c>
      <c r="PX131" s="40">
        <v>48</v>
      </c>
      <c r="PY131" s="40">
        <v>50</v>
      </c>
      <c r="PZ131" s="42">
        <v>-10</v>
      </c>
      <c r="QA131" s="47"/>
      <c r="QB131" s="45">
        <v>144</v>
      </c>
      <c r="QC131" s="40">
        <v>145</v>
      </c>
      <c r="QD131" s="42">
        <v>-1</v>
      </c>
      <c r="QE131" s="47"/>
      <c r="QF131" s="45">
        <v>72</v>
      </c>
      <c r="QG131" s="40">
        <v>77</v>
      </c>
      <c r="QH131" s="40">
        <v>0</v>
      </c>
      <c r="QI131" s="40">
        <v>0</v>
      </c>
      <c r="QJ131" s="42">
        <v>-5</v>
      </c>
      <c r="QK131" s="47"/>
      <c r="QL131" s="45">
        <v>0</v>
      </c>
      <c r="QM131" s="40">
        <v>0</v>
      </c>
      <c r="QN131" s="40">
        <v>0</v>
      </c>
      <c r="QO131" s="40">
        <v>0</v>
      </c>
      <c r="QP131" s="42">
        <v>0</v>
      </c>
      <c r="QQ131" s="47"/>
      <c r="QR131" s="45">
        <v>48</v>
      </c>
      <c r="QS131" s="40">
        <v>50</v>
      </c>
      <c r="QT131" s="40">
        <v>0</v>
      </c>
      <c r="QU131" s="40">
        <v>50</v>
      </c>
      <c r="QV131" s="39">
        <v>-52</v>
      </c>
      <c r="QW131" s="47">
        <v>7.8</v>
      </c>
      <c r="QX131" s="4">
        <v>144</v>
      </c>
      <c r="QY131" s="40">
        <v>0</v>
      </c>
      <c r="QZ131" s="40">
        <v>0</v>
      </c>
      <c r="RA131" s="40">
        <v>0</v>
      </c>
      <c r="RB131" s="42">
        <v>0</v>
      </c>
      <c r="RC131" s="47"/>
      <c r="RD131" s="4">
        <v>396</v>
      </c>
      <c r="RE131" s="40">
        <v>0</v>
      </c>
      <c r="RF131" s="42">
        <v>0</v>
      </c>
      <c r="RG131" s="47"/>
    </row>
    <row r="132" spans="1:475" x14ac:dyDescent="0.25">
      <c r="A132" s="40" t="s">
        <v>421</v>
      </c>
      <c r="B132" s="41">
        <v>0.15</v>
      </c>
      <c r="N132" s="43"/>
      <c r="O132" s="48"/>
      <c r="P132" s="48"/>
      <c r="Q132" s="48"/>
      <c r="R132" s="48">
        <f t="shared" ref="R132:R195" si="17">N132+P132-O132-Q132</f>
        <v>0</v>
      </c>
      <c r="S132" s="44"/>
      <c r="T132" s="43"/>
      <c r="U132" s="48"/>
      <c r="V132" s="48"/>
      <c r="W132" s="48"/>
      <c r="X132" s="48">
        <f t="shared" ref="X132:X195" si="18">T132+V132-U132-W132</f>
        <v>0</v>
      </c>
      <c r="Y132" s="44"/>
      <c r="Z132" s="43"/>
      <c r="AA132" s="48"/>
      <c r="AB132" s="48"/>
      <c r="AC132" s="48"/>
      <c r="AD132" s="48">
        <f t="shared" ref="AD132:AD195" si="19">Z132+AB132-AA132-AC132</f>
        <v>0</v>
      </c>
      <c r="AE132" s="44"/>
      <c r="AF132" s="43"/>
      <c r="AG132" s="48"/>
      <c r="AH132" s="48"/>
      <c r="AI132" s="48"/>
      <c r="AJ132" s="48">
        <f t="shared" ref="AJ132:AJ195" si="20">AF132+AH132-AG132-AI132</f>
        <v>0</v>
      </c>
      <c r="AK132" s="44"/>
      <c r="AL132" s="48"/>
      <c r="AP132" s="42">
        <v>0</v>
      </c>
      <c r="AQ132" s="44"/>
      <c r="AR132" s="43"/>
      <c r="AV132" s="42">
        <v>0</v>
      </c>
      <c r="AW132" s="44"/>
      <c r="BC132" s="42">
        <v>0</v>
      </c>
      <c r="BD132" s="44"/>
      <c r="BE132" s="43"/>
      <c r="BI132" s="42">
        <v>0</v>
      </c>
      <c r="BJ132" s="44"/>
      <c r="BO132" s="42">
        <v>0</v>
      </c>
      <c r="BP132" s="44"/>
      <c r="BS132" s="42">
        <v>0</v>
      </c>
      <c r="BT132" s="44"/>
      <c r="BU132" s="43"/>
      <c r="BY132" s="42">
        <v>0</v>
      </c>
      <c r="BZ132" s="44"/>
      <c r="CE132" s="42">
        <v>0</v>
      </c>
      <c r="CF132" s="44"/>
      <c r="CG132" s="43"/>
      <c r="CK132" s="42">
        <v>0</v>
      </c>
      <c r="CL132" s="44"/>
      <c r="CM132" s="43"/>
      <c r="CQ132" s="42">
        <v>0</v>
      </c>
      <c r="CR132" s="44"/>
      <c r="CW132" s="42">
        <v>0</v>
      </c>
      <c r="CX132" s="44"/>
      <c r="CY132" s="43"/>
      <c r="DC132" s="42">
        <v>0</v>
      </c>
      <c r="DD132" s="44"/>
      <c r="DE132" s="43"/>
      <c r="DK132" s="42">
        <v>0</v>
      </c>
      <c r="DL132" s="44"/>
      <c r="DM132" s="43"/>
      <c r="DQ132" s="42">
        <v>0</v>
      </c>
      <c r="DR132" s="44"/>
      <c r="DY132" s="42">
        <v>0</v>
      </c>
      <c r="DZ132" s="44"/>
      <c r="EA132" s="43"/>
      <c r="EE132" s="42">
        <v>0</v>
      </c>
      <c r="EF132" s="44"/>
      <c r="EG132" s="43"/>
      <c r="EK132" s="42">
        <v>0</v>
      </c>
      <c r="EL132" s="44"/>
      <c r="EM132" s="43"/>
      <c r="EQ132" s="42">
        <v>0</v>
      </c>
      <c r="ER132" s="44"/>
      <c r="EY132" s="42">
        <v>0</v>
      </c>
      <c r="EZ132" s="44"/>
      <c r="FE132" s="42">
        <v>0</v>
      </c>
      <c r="FF132" s="44"/>
      <c r="FG132" s="43"/>
      <c r="FK132" s="42">
        <v>0</v>
      </c>
      <c r="FL132" s="44"/>
      <c r="FM132" s="43"/>
      <c r="FO132" s="42">
        <v>0</v>
      </c>
      <c r="FP132" s="44"/>
      <c r="FU132" s="42">
        <v>0</v>
      </c>
      <c r="FV132" s="44"/>
      <c r="FW132" s="43"/>
      <c r="GC132" s="42">
        <v>0</v>
      </c>
      <c r="GD132" s="44"/>
      <c r="GI132" s="42">
        <v>0</v>
      </c>
      <c r="GJ132" s="44"/>
      <c r="GK132" s="43"/>
      <c r="GO132" s="42">
        <v>0</v>
      </c>
      <c r="GP132" s="47"/>
      <c r="GU132" s="42">
        <v>0</v>
      </c>
      <c r="GV132" s="44"/>
      <c r="GY132" s="42">
        <v>0</v>
      </c>
      <c r="GZ132" s="47"/>
      <c r="HA132" s="43"/>
      <c r="HC132" s="42">
        <v>0</v>
      </c>
      <c r="HD132" s="44"/>
      <c r="HE132" s="43"/>
      <c r="HI132" s="42">
        <v>0</v>
      </c>
      <c r="HJ132" s="47"/>
      <c r="HK132" s="43"/>
      <c r="HO132" s="42">
        <v>0</v>
      </c>
      <c r="HP132" s="44"/>
      <c r="HV132" s="42">
        <v>0</v>
      </c>
      <c r="HW132" s="44"/>
      <c r="HX132" s="45"/>
      <c r="IB132" s="42">
        <v>0</v>
      </c>
      <c r="IC132" s="44"/>
      <c r="IH132" s="42">
        <v>0</v>
      </c>
      <c r="II132" s="47"/>
      <c r="IN132" s="42">
        <v>0</v>
      </c>
      <c r="IO132" s="47"/>
      <c r="IT132" s="42">
        <v>0</v>
      </c>
      <c r="IU132" s="47"/>
      <c r="IZ132" s="42">
        <v>0</v>
      </c>
      <c r="JA132" s="44"/>
      <c r="JD132" s="42">
        <v>0</v>
      </c>
      <c r="JE132" s="44"/>
      <c r="JJ132" s="42">
        <v>0</v>
      </c>
      <c r="JK132" s="44"/>
      <c r="JL132" s="45"/>
      <c r="JN132" s="42">
        <v>0</v>
      </c>
      <c r="JO132" s="44"/>
      <c r="JT132" s="42">
        <v>0</v>
      </c>
      <c r="JU132" s="44"/>
      <c r="JX132">
        <v>72</v>
      </c>
      <c r="JY132">
        <v>73</v>
      </c>
      <c r="JZ132" s="42">
        <v>-1</v>
      </c>
      <c r="KA132" s="47"/>
      <c r="KF132" s="42">
        <v>0</v>
      </c>
      <c r="KG132" s="44"/>
      <c r="KH132" s="41"/>
      <c r="KJ132">
        <v>12</v>
      </c>
      <c r="KK132">
        <v>17</v>
      </c>
      <c r="KL132" s="42">
        <v>-5</v>
      </c>
      <c r="KM132" s="47"/>
      <c r="KN132" s="45"/>
      <c r="KO132">
        <v>24</v>
      </c>
      <c r="KP132">
        <v>48</v>
      </c>
      <c r="KQ132">
        <v>48</v>
      </c>
      <c r="KS132">
        <v>42</v>
      </c>
      <c r="KT132" s="39">
        <v>-66</v>
      </c>
      <c r="KU132" s="47">
        <v>9.9</v>
      </c>
      <c r="KV132" s="40">
        <v>0</v>
      </c>
      <c r="KW132" s="40">
        <v>0</v>
      </c>
      <c r="KX132" s="40">
        <v>12</v>
      </c>
      <c r="KY132" s="40">
        <v>12</v>
      </c>
      <c r="KZ132" s="42">
        <v>0</v>
      </c>
      <c r="LA132" s="47"/>
      <c r="LB132" s="40">
        <v>0</v>
      </c>
      <c r="LC132" s="40">
        <v>0</v>
      </c>
      <c r="LD132" s="40">
        <v>72</v>
      </c>
      <c r="LE132" s="40">
        <v>70</v>
      </c>
      <c r="LF132" s="42">
        <v>2</v>
      </c>
      <c r="LG132" s="47"/>
      <c r="LH132" s="45">
        <v>48</v>
      </c>
      <c r="LI132" s="40">
        <v>50</v>
      </c>
      <c r="LJ132" s="42">
        <v>-2</v>
      </c>
      <c r="LK132" s="47"/>
      <c r="LL132" s="45">
        <v>0</v>
      </c>
      <c r="LM132" s="40">
        <v>0</v>
      </c>
      <c r="LN132" s="40">
        <v>48</v>
      </c>
      <c r="LO132" s="40">
        <v>51</v>
      </c>
      <c r="LP132" s="42">
        <v>-3</v>
      </c>
      <c r="LQ132" s="47"/>
      <c r="LR132" s="45">
        <v>24</v>
      </c>
      <c r="LS132" s="40">
        <v>24</v>
      </c>
      <c r="LT132" s="40">
        <v>60</v>
      </c>
      <c r="LU132" s="40">
        <v>60</v>
      </c>
      <c r="LV132" s="42">
        <v>0</v>
      </c>
      <c r="LW132" s="47"/>
      <c r="LX132" s="45">
        <v>12</v>
      </c>
      <c r="LY132" s="40">
        <v>15</v>
      </c>
      <c r="LZ132" s="42">
        <v>-3</v>
      </c>
      <c r="MA132" s="47"/>
      <c r="MB132" s="45">
        <v>0</v>
      </c>
      <c r="MC132" s="40">
        <v>0</v>
      </c>
      <c r="MD132" s="40">
        <v>0</v>
      </c>
      <c r="ME132" s="40">
        <v>0</v>
      </c>
      <c r="MF132" s="42">
        <v>0</v>
      </c>
      <c r="MG132" s="47"/>
      <c r="MH132" s="45">
        <v>0</v>
      </c>
      <c r="MI132" s="40">
        <v>0</v>
      </c>
      <c r="MJ132" s="42">
        <v>0</v>
      </c>
      <c r="MK132" s="47"/>
      <c r="ML132" s="45">
        <v>0</v>
      </c>
      <c r="MM132" s="40">
        <v>0</v>
      </c>
      <c r="MN132" s="40">
        <v>132</v>
      </c>
      <c r="MO132" s="40">
        <v>131</v>
      </c>
      <c r="MP132" s="42">
        <v>1</v>
      </c>
      <c r="MQ132" s="47"/>
      <c r="MR132" s="40">
        <v>0</v>
      </c>
      <c r="MS132" s="40">
        <v>0</v>
      </c>
      <c r="MT132" s="40">
        <v>72</v>
      </c>
      <c r="MU132" s="40">
        <v>71</v>
      </c>
      <c r="MV132" s="42">
        <v>1</v>
      </c>
      <c r="MW132" s="47"/>
      <c r="MX132" s="45">
        <v>0</v>
      </c>
      <c r="MY132" s="40">
        <v>0</v>
      </c>
      <c r="MZ132" s="40">
        <v>0</v>
      </c>
      <c r="NA132" s="40">
        <v>0</v>
      </c>
      <c r="NB132" s="42">
        <v>0</v>
      </c>
      <c r="NC132" s="47"/>
      <c r="ND132" s="45">
        <v>0</v>
      </c>
      <c r="NE132" s="40">
        <v>0</v>
      </c>
      <c r="NF132" s="40">
        <v>24</v>
      </c>
      <c r="NG132" s="40">
        <v>30</v>
      </c>
      <c r="NH132" s="42">
        <v>-6</v>
      </c>
      <c r="NI132" s="47"/>
      <c r="NJ132" s="45">
        <v>60</v>
      </c>
      <c r="NK132" s="40">
        <v>60</v>
      </c>
      <c r="NL132" s="40">
        <v>96</v>
      </c>
      <c r="NM132" s="40">
        <v>100</v>
      </c>
      <c r="NN132" s="42">
        <v>-4</v>
      </c>
      <c r="NO132" s="47"/>
      <c r="NP132" s="45">
        <v>0</v>
      </c>
      <c r="NQ132" s="40">
        <v>0</v>
      </c>
      <c r="NR132" s="40">
        <v>12</v>
      </c>
      <c r="NS132" s="40">
        <v>20</v>
      </c>
      <c r="NT132" s="42">
        <v>-8</v>
      </c>
      <c r="NU132" s="47"/>
      <c r="NV132" s="45">
        <v>0</v>
      </c>
      <c r="NW132" s="40">
        <v>0</v>
      </c>
      <c r="NX132" s="40">
        <v>12</v>
      </c>
      <c r="NY132" s="40">
        <v>20</v>
      </c>
      <c r="NZ132" s="42">
        <v>-8</v>
      </c>
      <c r="OA132" s="47"/>
      <c r="OB132" s="45">
        <v>132</v>
      </c>
      <c r="OC132" s="40">
        <v>130</v>
      </c>
      <c r="OD132" s="42">
        <v>2</v>
      </c>
      <c r="OE132" s="47"/>
      <c r="OF132" s="45">
        <v>0</v>
      </c>
      <c r="OG132" s="40">
        <v>0</v>
      </c>
      <c r="OH132" s="40">
        <v>36</v>
      </c>
      <c r="OI132" s="40">
        <v>37</v>
      </c>
      <c r="OJ132" s="42">
        <v>-1</v>
      </c>
      <c r="OK132" s="47"/>
      <c r="OL132" s="45">
        <v>0</v>
      </c>
      <c r="OM132" s="40">
        <v>0</v>
      </c>
      <c r="ON132" s="40">
        <v>0</v>
      </c>
      <c r="OO132" s="40">
        <v>0</v>
      </c>
      <c r="OP132" s="42">
        <v>0</v>
      </c>
      <c r="OQ132" s="47"/>
      <c r="OR132" s="45">
        <v>48</v>
      </c>
      <c r="OS132" s="40">
        <v>50</v>
      </c>
      <c r="OT132" s="40">
        <v>72</v>
      </c>
      <c r="OU132" s="40">
        <v>70</v>
      </c>
      <c r="OV132" s="42">
        <v>0</v>
      </c>
      <c r="OW132" s="47"/>
      <c r="OX132" s="40">
        <v>36</v>
      </c>
      <c r="OY132" s="40">
        <v>40</v>
      </c>
      <c r="OZ132" s="40">
        <v>24</v>
      </c>
      <c r="PA132" s="40">
        <v>30</v>
      </c>
      <c r="PB132" s="42">
        <v>-10</v>
      </c>
      <c r="PC132" s="47"/>
      <c r="PD132" s="45">
        <v>0</v>
      </c>
      <c r="PE132" s="40">
        <v>0</v>
      </c>
      <c r="PF132" s="40">
        <v>108</v>
      </c>
      <c r="PG132" s="40">
        <v>113</v>
      </c>
      <c r="PH132" s="42">
        <v>-5</v>
      </c>
      <c r="PI132" s="47"/>
      <c r="PJ132" s="45">
        <v>0</v>
      </c>
      <c r="PK132" s="40">
        <v>0</v>
      </c>
      <c r="PL132" s="40">
        <v>0</v>
      </c>
      <c r="PM132" s="40">
        <v>0</v>
      </c>
      <c r="PN132" s="42">
        <v>0</v>
      </c>
      <c r="PO132" s="47"/>
      <c r="PP132" s="43">
        <v>0</v>
      </c>
      <c r="PQ132" s="40">
        <v>0</v>
      </c>
      <c r="PR132" s="40">
        <v>72</v>
      </c>
      <c r="PS132" s="40">
        <v>80</v>
      </c>
      <c r="PT132" s="42">
        <v>-8</v>
      </c>
      <c r="PU132" s="47"/>
      <c r="PV132" s="45">
        <v>120</v>
      </c>
      <c r="PW132" s="40">
        <v>120</v>
      </c>
      <c r="PX132" s="40">
        <v>48</v>
      </c>
      <c r="PY132" s="40">
        <v>50</v>
      </c>
      <c r="PZ132" s="42">
        <v>-2</v>
      </c>
      <c r="QA132" s="47"/>
      <c r="QB132" s="45">
        <v>84</v>
      </c>
      <c r="QC132" s="40">
        <v>89</v>
      </c>
      <c r="QD132" s="42">
        <v>-5</v>
      </c>
      <c r="QE132" s="47"/>
      <c r="QF132" s="45">
        <v>96</v>
      </c>
      <c r="QG132" s="40">
        <v>102</v>
      </c>
      <c r="QH132" s="40">
        <v>120</v>
      </c>
      <c r="QI132" s="40">
        <v>120</v>
      </c>
      <c r="QJ132" s="42">
        <v>-6</v>
      </c>
      <c r="QK132" s="47"/>
      <c r="QL132" s="45">
        <v>0</v>
      </c>
      <c r="QM132" s="40">
        <v>0</v>
      </c>
      <c r="QN132" s="40">
        <v>0</v>
      </c>
      <c r="QO132" s="40">
        <v>0</v>
      </c>
      <c r="QP132" s="42">
        <v>0</v>
      </c>
      <c r="QQ132" s="47"/>
      <c r="QR132" s="45">
        <v>48</v>
      </c>
      <c r="QS132" s="40">
        <v>50</v>
      </c>
      <c r="QT132" s="40">
        <v>0</v>
      </c>
      <c r="QU132" s="40">
        <v>50</v>
      </c>
      <c r="QV132" s="39">
        <v>-52</v>
      </c>
      <c r="QW132" s="47">
        <v>7.8</v>
      </c>
      <c r="QX132" s="4">
        <v>144</v>
      </c>
      <c r="QY132" s="40">
        <v>0</v>
      </c>
      <c r="QZ132" s="40">
        <v>0</v>
      </c>
      <c r="RA132" s="40">
        <v>0</v>
      </c>
      <c r="RB132" s="42">
        <v>0</v>
      </c>
      <c r="RC132" s="47"/>
      <c r="RD132" s="4">
        <v>396</v>
      </c>
      <c r="RE132" s="40">
        <v>0</v>
      </c>
      <c r="RF132" s="42">
        <v>0</v>
      </c>
      <c r="RG132" s="47"/>
    </row>
    <row r="133" spans="1:475" x14ac:dyDescent="0.25">
      <c r="A133" s="40" t="s">
        <v>422</v>
      </c>
      <c r="B133" s="41">
        <v>1</v>
      </c>
      <c r="E133">
        <v>500</v>
      </c>
      <c r="F133">
        <v>371</v>
      </c>
      <c r="I133">
        <v>250</v>
      </c>
      <c r="J133">
        <v>247</v>
      </c>
      <c r="K133">
        <v>250</v>
      </c>
      <c r="N133" s="46">
        <v>100</v>
      </c>
      <c r="O133" s="49">
        <v>100</v>
      </c>
      <c r="P133" s="49">
        <v>109</v>
      </c>
      <c r="Q133" s="49">
        <v>112</v>
      </c>
      <c r="R133" s="48">
        <f t="shared" si="17"/>
        <v>-3</v>
      </c>
      <c r="S133" s="44"/>
      <c r="T133" s="46">
        <v>466</v>
      </c>
      <c r="U133" s="49">
        <v>460</v>
      </c>
      <c r="V133" s="49">
        <v>497</v>
      </c>
      <c r="W133" s="49">
        <v>490</v>
      </c>
      <c r="X133" s="48">
        <f t="shared" si="18"/>
        <v>13</v>
      </c>
      <c r="Y133" s="44"/>
      <c r="Z133" s="46">
        <v>307</v>
      </c>
      <c r="AA133" s="49">
        <v>300</v>
      </c>
      <c r="AB133" s="49">
        <v>199</v>
      </c>
      <c r="AC133" s="49">
        <v>200</v>
      </c>
      <c r="AD133" s="48">
        <f t="shared" si="19"/>
        <v>6</v>
      </c>
      <c r="AE133" s="44"/>
      <c r="AF133" s="46">
        <v>307</v>
      </c>
      <c r="AG133" s="49">
        <v>300</v>
      </c>
      <c r="AH133" s="49">
        <v>502</v>
      </c>
      <c r="AI133" s="49">
        <v>500</v>
      </c>
      <c r="AJ133" s="48">
        <f t="shared" si="20"/>
        <v>9</v>
      </c>
      <c r="AK133" s="44"/>
      <c r="AL133" s="49">
        <v>302</v>
      </c>
      <c r="AM133">
        <v>300</v>
      </c>
      <c r="AN133">
        <v>305</v>
      </c>
      <c r="AO133">
        <v>300</v>
      </c>
      <c r="AP133" s="42">
        <v>7</v>
      </c>
      <c r="AQ133" s="44"/>
      <c r="AR133" s="46">
        <v>302</v>
      </c>
      <c r="AS133">
        <v>300</v>
      </c>
      <c r="AT133">
        <v>203</v>
      </c>
      <c r="AU133">
        <v>200</v>
      </c>
      <c r="AV133" s="42">
        <v>5</v>
      </c>
      <c r="AW133" s="44"/>
      <c r="AX133">
        <v>604</v>
      </c>
      <c r="AZ133">
        <v>600</v>
      </c>
      <c r="BA133">
        <v>734</v>
      </c>
      <c r="BB133">
        <v>750</v>
      </c>
      <c r="BC133" s="39">
        <v>-12</v>
      </c>
      <c r="BD133" s="44">
        <v>12</v>
      </c>
      <c r="BE133" s="43"/>
      <c r="BI133" s="42">
        <v>0</v>
      </c>
      <c r="BJ133" s="44"/>
      <c r="BK133">
        <v>304</v>
      </c>
      <c r="BL133">
        <v>300</v>
      </c>
      <c r="BM133">
        <v>200</v>
      </c>
      <c r="BN133">
        <v>200</v>
      </c>
      <c r="BO133" s="42">
        <v>4</v>
      </c>
      <c r="BP133" s="44"/>
      <c r="BQ133">
        <v>499</v>
      </c>
      <c r="BR133">
        <v>500</v>
      </c>
      <c r="BS133" s="42">
        <v>-1</v>
      </c>
      <c r="BT133" s="44"/>
      <c r="BU133" s="46">
        <v>990</v>
      </c>
      <c r="BV133">
        <v>1000</v>
      </c>
      <c r="BW133">
        <v>125</v>
      </c>
      <c r="BX133">
        <v>130</v>
      </c>
      <c r="BY133" s="39">
        <v>-15</v>
      </c>
      <c r="BZ133" s="44">
        <v>15</v>
      </c>
      <c r="CA133">
        <v>346</v>
      </c>
      <c r="CB133">
        <v>350</v>
      </c>
      <c r="CC133">
        <v>302</v>
      </c>
      <c r="CD133">
        <v>300</v>
      </c>
      <c r="CE133" s="42">
        <v>-2</v>
      </c>
      <c r="CF133" s="44"/>
      <c r="CG133" s="46">
        <v>355</v>
      </c>
      <c r="CH133">
        <v>350</v>
      </c>
      <c r="CI133">
        <v>727</v>
      </c>
      <c r="CJ133">
        <v>750</v>
      </c>
      <c r="CK133" s="39">
        <v>-18</v>
      </c>
      <c r="CL133" s="44">
        <v>18</v>
      </c>
      <c r="CM133" s="43"/>
      <c r="CO133">
        <v>356</v>
      </c>
      <c r="CP133">
        <v>351</v>
      </c>
      <c r="CQ133" s="42">
        <v>5</v>
      </c>
      <c r="CR133" s="44"/>
      <c r="CS133">
        <v>199</v>
      </c>
      <c r="CT133">
        <v>200</v>
      </c>
      <c r="CU133">
        <v>297</v>
      </c>
      <c r="CV133">
        <v>300</v>
      </c>
      <c r="CW133" s="42">
        <v>-4</v>
      </c>
      <c r="CX133" s="44"/>
      <c r="CY133" s="46">
        <v>307</v>
      </c>
      <c r="CZ133">
        <v>300</v>
      </c>
      <c r="DA133">
        <v>909</v>
      </c>
      <c r="DB133">
        <v>900</v>
      </c>
      <c r="DC133" s="42">
        <v>16</v>
      </c>
      <c r="DD133" s="44"/>
      <c r="DE133" s="43"/>
      <c r="DG133">
        <v>305</v>
      </c>
      <c r="DH133">
        <v>300</v>
      </c>
      <c r="DI133">
        <v>208</v>
      </c>
      <c r="DJ133">
        <v>200</v>
      </c>
      <c r="DK133" s="42">
        <v>13</v>
      </c>
      <c r="DL133" s="44"/>
      <c r="DM133" s="46">
        <v>103</v>
      </c>
      <c r="DN133">
        <v>100</v>
      </c>
      <c r="DO133">
        <v>69</v>
      </c>
      <c r="DP133">
        <v>70</v>
      </c>
      <c r="DQ133" s="42">
        <v>2</v>
      </c>
      <c r="DR133" s="44"/>
      <c r="DS133">
        <v>502</v>
      </c>
      <c r="DT133">
        <v>500</v>
      </c>
      <c r="DU133">
        <v>482</v>
      </c>
      <c r="DV133">
        <v>480</v>
      </c>
      <c r="DW133">
        <v>408</v>
      </c>
      <c r="DX133">
        <v>400</v>
      </c>
      <c r="DY133" s="42">
        <v>12</v>
      </c>
      <c r="DZ133" s="44"/>
      <c r="EA133" s="43"/>
      <c r="EC133">
        <v>51</v>
      </c>
      <c r="ED133">
        <v>50</v>
      </c>
      <c r="EE133" s="42">
        <v>1</v>
      </c>
      <c r="EF133" s="44"/>
      <c r="EG133" s="46">
        <v>204</v>
      </c>
      <c r="EH133">
        <v>200</v>
      </c>
      <c r="EI133">
        <v>255</v>
      </c>
      <c r="EJ133">
        <v>250</v>
      </c>
      <c r="EK133" s="42">
        <v>9</v>
      </c>
      <c r="EL133" s="44"/>
      <c r="EM133" s="46">
        <v>698</v>
      </c>
      <c r="EN133">
        <v>700</v>
      </c>
      <c r="EO133">
        <v>530</v>
      </c>
      <c r="EP133">
        <v>530</v>
      </c>
      <c r="EQ133" s="42">
        <v>-2</v>
      </c>
      <c r="ER133" s="44"/>
      <c r="ES133">
        <v>203</v>
      </c>
      <c r="ET133">
        <v>200</v>
      </c>
      <c r="EU133">
        <v>202</v>
      </c>
      <c r="EV133">
        <v>200</v>
      </c>
      <c r="EW133">
        <v>278</v>
      </c>
      <c r="EX133">
        <v>280</v>
      </c>
      <c r="EY133" s="42">
        <v>3</v>
      </c>
      <c r="EZ133" s="44"/>
      <c r="FA133">
        <v>307</v>
      </c>
      <c r="FB133">
        <v>300</v>
      </c>
      <c r="FC133">
        <v>381</v>
      </c>
      <c r="FD133">
        <v>380</v>
      </c>
      <c r="FE133" s="42">
        <v>8</v>
      </c>
      <c r="FF133" s="44"/>
      <c r="FG133" s="46">
        <v>305</v>
      </c>
      <c r="FH133">
        <v>300</v>
      </c>
      <c r="FI133">
        <v>494</v>
      </c>
      <c r="FJ133">
        <v>500</v>
      </c>
      <c r="FK133" s="42">
        <v>-1</v>
      </c>
      <c r="FL133" s="44"/>
      <c r="FM133" s="46">
        <v>143</v>
      </c>
      <c r="FN133">
        <v>143</v>
      </c>
      <c r="FO133" s="42">
        <v>0</v>
      </c>
      <c r="FP133" s="44"/>
      <c r="FS133">
        <v>372</v>
      </c>
      <c r="FT133">
        <v>370</v>
      </c>
      <c r="FU133" s="42">
        <v>2</v>
      </c>
      <c r="FV133" s="44"/>
      <c r="FW133" s="46">
        <v>159</v>
      </c>
      <c r="FX133">
        <v>160</v>
      </c>
      <c r="FY133">
        <v>152</v>
      </c>
      <c r="FZ133">
        <v>150</v>
      </c>
      <c r="GA133">
        <v>204</v>
      </c>
      <c r="GB133">
        <v>200</v>
      </c>
      <c r="GC133" s="42">
        <v>5</v>
      </c>
      <c r="GD133" s="44"/>
      <c r="GE133">
        <v>404</v>
      </c>
      <c r="GF133">
        <v>400</v>
      </c>
      <c r="GG133">
        <v>379</v>
      </c>
      <c r="GH133">
        <v>380</v>
      </c>
      <c r="GI133" s="42">
        <v>3</v>
      </c>
      <c r="GJ133" s="44"/>
      <c r="GK133" s="46">
        <v>202</v>
      </c>
      <c r="GL133">
        <v>200</v>
      </c>
      <c r="GM133">
        <v>253</v>
      </c>
      <c r="GN133">
        <v>260</v>
      </c>
      <c r="GO133" s="42">
        <v>-5</v>
      </c>
      <c r="GP133" s="47"/>
      <c r="GQ133">
        <v>288</v>
      </c>
      <c r="GR133">
        <v>290</v>
      </c>
      <c r="GS133">
        <v>300</v>
      </c>
      <c r="GT133">
        <v>300</v>
      </c>
      <c r="GU133" s="42">
        <v>-2</v>
      </c>
      <c r="GV133" s="44"/>
      <c r="GW133">
        <v>202</v>
      </c>
      <c r="GX133" s="40">
        <v>201.61099999999999</v>
      </c>
      <c r="GY133" s="42">
        <v>0.38900000000001</v>
      </c>
      <c r="GZ133" s="47"/>
      <c r="HA133" s="43"/>
      <c r="HC133" s="42">
        <v>0</v>
      </c>
      <c r="HD133" s="44"/>
      <c r="HE133" s="43"/>
      <c r="HI133" s="42">
        <v>0</v>
      </c>
      <c r="HJ133" s="47"/>
      <c r="HK133" s="46">
        <v>753</v>
      </c>
      <c r="HL133">
        <v>750</v>
      </c>
      <c r="HM133">
        <v>698</v>
      </c>
      <c r="HN133">
        <v>693</v>
      </c>
      <c r="HO133" s="42">
        <v>8</v>
      </c>
      <c r="HP133" s="44"/>
      <c r="HR133">
        <v>496</v>
      </c>
      <c r="HS133">
        <v>500</v>
      </c>
      <c r="HT133">
        <v>852</v>
      </c>
      <c r="HU133">
        <v>850</v>
      </c>
      <c r="HV133" s="42">
        <v>-2</v>
      </c>
      <c r="HW133" s="44"/>
      <c r="HX133" s="46">
        <v>597</v>
      </c>
      <c r="HY133">
        <v>600</v>
      </c>
      <c r="HZ133">
        <v>521</v>
      </c>
      <c r="IA133">
        <v>520</v>
      </c>
      <c r="IB133" s="42">
        <v>-2</v>
      </c>
      <c r="IC133" s="44"/>
      <c r="ID133">
        <v>352</v>
      </c>
      <c r="IE133">
        <v>350</v>
      </c>
      <c r="IF133">
        <v>480</v>
      </c>
      <c r="IG133">
        <v>486</v>
      </c>
      <c r="IH133" s="42">
        <v>-4</v>
      </c>
      <c r="II133" s="47"/>
      <c r="IN133" s="42">
        <v>0</v>
      </c>
      <c r="IO133" s="47"/>
      <c r="IP133">
        <v>528</v>
      </c>
      <c r="IQ133">
        <v>530</v>
      </c>
      <c r="IR133">
        <v>402</v>
      </c>
      <c r="IS133">
        <v>400</v>
      </c>
      <c r="IT133" s="42">
        <v>0</v>
      </c>
      <c r="IU133" s="47"/>
      <c r="IV133">
        <v>897</v>
      </c>
      <c r="IW133">
        <v>900</v>
      </c>
      <c r="IX133">
        <v>600</v>
      </c>
      <c r="IY133">
        <v>600</v>
      </c>
      <c r="IZ133" s="42">
        <v>-3</v>
      </c>
      <c r="JA133" s="44"/>
      <c r="JB133">
        <v>119</v>
      </c>
      <c r="JC133">
        <v>118</v>
      </c>
      <c r="JD133" s="42">
        <v>1</v>
      </c>
      <c r="JE133" s="44"/>
      <c r="JF133">
        <v>255</v>
      </c>
      <c r="JG133">
        <v>250</v>
      </c>
      <c r="JH133">
        <v>239</v>
      </c>
      <c r="JI133">
        <v>239</v>
      </c>
      <c r="JJ133" s="42">
        <v>5</v>
      </c>
      <c r="JK133" s="44"/>
      <c r="JL133" s="46">
        <v>1085</v>
      </c>
      <c r="JM133" s="40">
        <v>1100</v>
      </c>
      <c r="JN133" s="39">
        <v>-15</v>
      </c>
      <c r="JO133" s="44">
        <v>15</v>
      </c>
      <c r="JP133">
        <v>103</v>
      </c>
      <c r="JQ133">
        <v>100</v>
      </c>
      <c r="JR133">
        <v>301</v>
      </c>
      <c r="JS133">
        <v>300</v>
      </c>
      <c r="JT133" s="42">
        <v>4</v>
      </c>
      <c r="JU133" s="44"/>
      <c r="JV133">
        <v>355</v>
      </c>
      <c r="JW133">
        <v>350</v>
      </c>
      <c r="JZ133" s="42">
        <v>5</v>
      </c>
      <c r="KA133" s="47"/>
      <c r="KB133">
        <v>306</v>
      </c>
      <c r="KC133">
        <v>300</v>
      </c>
      <c r="KD133">
        <v>476</v>
      </c>
      <c r="KE133">
        <v>470</v>
      </c>
      <c r="KF133" s="42">
        <v>12</v>
      </c>
      <c r="KG133" s="44"/>
      <c r="KH133">
        <v>357</v>
      </c>
      <c r="KI133">
        <v>350</v>
      </c>
      <c r="KJ133">
        <v>353</v>
      </c>
      <c r="KK133">
        <v>350</v>
      </c>
      <c r="KL133" s="42">
        <v>10</v>
      </c>
      <c r="KM133" s="47"/>
      <c r="KN133" s="46">
        <v>208</v>
      </c>
      <c r="KO133">
        <v>210</v>
      </c>
      <c r="KP133">
        <v>472</v>
      </c>
      <c r="KQ133">
        <v>470</v>
      </c>
      <c r="KR133">
        <v>211</v>
      </c>
      <c r="KS133">
        <v>220</v>
      </c>
      <c r="KT133" s="39">
        <v>-9</v>
      </c>
      <c r="KU133" s="47">
        <v>9</v>
      </c>
      <c r="KV133" s="40">
        <v>524.58799999999997</v>
      </c>
      <c r="KW133" s="40">
        <v>520</v>
      </c>
      <c r="KX133" s="40">
        <v>727.56100000000004</v>
      </c>
      <c r="KY133" s="40">
        <v>730</v>
      </c>
      <c r="KZ133" s="42">
        <v>2.1489999999998868</v>
      </c>
      <c r="LA133" s="47"/>
      <c r="LB133" s="40">
        <v>101.495</v>
      </c>
      <c r="LC133" s="40">
        <v>100</v>
      </c>
      <c r="LD133" s="40">
        <v>109.041</v>
      </c>
      <c r="LE133" s="40">
        <v>110</v>
      </c>
      <c r="LF133" s="42">
        <v>0.53600000000000136</v>
      </c>
      <c r="LG133" s="47"/>
      <c r="LH133" s="45">
        <v>408.005</v>
      </c>
      <c r="LI133" s="40">
        <v>404</v>
      </c>
      <c r="LJ133" s="42">
        <v>4.0049999999999946</v>
      </c>
      <c r="LK133" s="47"/>
      <c r="LL133" s="45">
        <v>409.327</v>
      </c>
      <c r="LM133" s="40">
        <v>400</v>
      </c>
      <c r="LN133" s="40">
        <v>395.95299999999997</v>
      </c>
      <c r="LO133" s="40">
        <v>400</v>
      </c>
      <c r="LP133" s="42">
        <v>5.2799999999999727</v>
      </c>
      <c r="LQ133" s="47"/>
      <c r="LR133" s="45">
        <v>513.33000000000004</v>
      </c>
      <c r="LS133" s="40">
        <v>510</v>
      </c>
      <c r="LT133" s="40">
        <v>512.4</v>
      </c>
      <c r="LU133" s="40">
        <v>510</v>
      </c>
      <c r="LV133" s="42">
        <v>5.7300000000000182</v>
      </c>
      <c r="LW133" s="47"/>
      <c r="LX133" s="45">
        <v>544.66099999999994</v>
      </c>
      <c r="LY133" s="40">
        <v>550</v>
      </c>
      <c r="LZ133" s="39">
        <v>-5.3390000000000546</v>
      </c>
      <c r="MA133" s="47">
        <v>5.3390000000000546</v>
      </c>
      <c r="MB133" s="45">
        <v>202.07499999999999</v>
      </c>
      <c r="MC133" s="40">
        <v>200</v>
      </c>
      <c r="MD133" s="40">
        <v>806.37199999999996</v>
      </c>
      <c r="ME133" s="40">
        <v>800</v>
      </c>
      <c r="MF133" s="42">
        <v>8.446999999999889</v>
      </c>
      <c r="MG133" s="47"/>
      <c r="MH133" s="45">
        <v>985.63699999999994</v>
      </c>
      <c r="MI133" s="40">
        <v>980</v>
      </c>
      <c r="MJ133" s="42">
        <v>5.6369999999999436</v>
      </c>
      <c r="MK133" s="47"/>
      <c r="ML133" s="45">
        <v>92.933000000000007</v>
      </c>
      <c r="MM133" s="40">
        <v>90</v>
      </c>
      <c r="MN133" s="40">
        <v>517.29999999999995</v>
      </c>
      <c r="MO133" s="40">
        <v>510</v>
      </c>
      <c r="MP133" s="42">
        <v>10.232999999999951</v>
      </c>
      <c r="MQ133" s="47"/>
      <c r="MR133" s="40">
        <v>301.714</v>
      </c>
      <c r="MS133" s="40">
        <v>300</v>
      </c>
      <c r="MT133" s="40">
        <v>1204.2059999999999</v>
      </c>
      <c r="MU133" s="40">
        <v>1200</v>
      </c>
      <c r="MV133" s="42">
        <v>5.9199999999998454</v>
      </c>
      <c r="MW133" s="47"/>
      <c r="MX133" s="45">
        <v>254.24299999999999</v>
      </c>
      <c r="MY133" s="40">
        <v>250</v>
      </c>
      <c r="MZ133" s="40">
        <v>406.91800000000001</v>
      </c>
      <c r="NA133" s="40">
        <v>400</v>
      </c>
      <c r="NB133" s="42">
        <v>11.16100000000006</v>
      </c>
      <c r="NC133" s="47"/>
      <c r="ND133" s="45">
        <v>0</v>
      </c>
      <c r="NE133" s="30">
        <v>300</v>
      </c>
      <c r="NF133" s="40">
        <v>497.69200000000001</v>
      </c>
      <c r="NG133" s="40">
        <v>500</v>
      </c>
      <c r="NH133" s="39">
        <v>-302.30799999999999</v>
      </c>
      <c r="NI133" s="47">
        <v>302.30799999999999</v>
      </c>
      <c r="NJ133" s="45">
        <v>359.84</v>
      </c>
      <c r="NK133" s="40">
        <v>350</v>
      </c>
      <c r="NL133" s="40">
        <v>352.10700000000003</v>
      </c>
      <c r="NM133" s="40">
        <v>350</v>
      </c>
      <c r="NN133" s="42">
        <v>11.946999999999999</v>
      </c>
      <c r="NO133" s="47"/>
      <c r="NP133" s="45">
        <v>0</v>
      </c>
      <c r="NQ133" s="30">
        <v>250</v>
      </c>
      <c r="NR133" s="40">
        <v>449.97199999999998</v>
      </c>
      <c r="NS133" s="40">
        <v>450</v>
      </c>
      <c r="NT133" s="39">
        <v>-250.02799999999999</v>
      </c>
      <c r="NU133" s="47">
        <v>250.02799999999999</v>
      </c>
      <c r="NV133" s="45">
        <v>498.66500000000002</v>
      </c>
      <c r="NW133" s="40">
        <v>500</v>
      </c>
      <c r="NX133" s="40">
        <v>592.29499999999996</v>
      </c>
      <c r="NY133" s="40">
        <v>600</v>
      </c>
      <c r="NZ133" s="42">
        <v>-9.0399999999999636</v>
      </c>
      <c r="OA133" s="47"/>
      <c r="OB133" s="45">
        <v>1054.365</v>
      </c>
      <c r="OC133" s="40">
        <v>1050</v>
      </c>
      <c r="OD133" s="42">
        <v>4.3650000000000091</v>
      </c>
      <c r="OE133" s="47"/>
      <c r="OF133" s="45">
        <v>252.17400000000001</v>
      </c>
      <c r="OG133" s="40">
        <v>250</v>
      </c>
      <c r="OH133" s="40">
        <v>401.67399999999998</v>
      </c>
      <c r="OI133" s="40">
        <v>407</v>
      </c>
      <c r="OJ133" s="42">
        <v>-3.1520000000000441</v>
      </c>
      <c r="OK133" s="47"/>
      <c r="OL133" s="45">
        <v>799.721</v>
      </c>
      <c r="OM133" s="40">
        <v>800</v>
      </c>
      <c r="ON133" s="40">
        <v>633.09400000000005</v>
      </c>
      <c r="OO133" s="40">
        <v>629</v>
      </c>
      <c r="OP133" s="42">
        <v>3.815000000000055</v>
      </c>
      <c r="OQ133" s="47"/>
      <c r="OR133" s="45">
        <v>402.80200000000002</v>
      </c>
      <c r="OS133" s="40">
        <v>400</v>
      </c>
      <c r="OT133" s="40">
        <v>402.964</v>
      </c>
      <c r="OU133" s="40">
        <v>403</v>
      </c>
      <c r="OV133" s="42">
        <v>2.766000000000076</v>
      </c>
      <c r="OW133" s="47"/>
      <c r="OX133" s="40">
        <v>442.745</v>
      </c>
      <c r="OY133" s="40">
        <v>450</v>
      </c>
      <c r="OZ133" s="40">
        <v>448.17</v>
      </c>
      <c r="PA133" s="40">
        <v>450</v>
      </c>
      <c r="PB133" s="42">
        <v>-9.0850000000000364</v>
      </c>
      <c r="PC133" s="47"/>
      <c r="PD133" s="45">
        <v>492.70800000000003</v>
      </c>
      <c r="PE133" s="40">
        <v>500</v>
      </c>
      <c r="PF133" s="40">
        <v>468.46</v>
      </c>
      <c r="PG133" s="40">
        <v>460</v>
      </c>
      <c r="PH133" s="42">
        <v>1.1680000000000059</v>
      </c>
      <c r="PI133" s="47"/>
      <c r="PJ133" s="45">
        <v>302.90699999999998</v>
      </c>
      <c r="PK133" s="40">
        <v>300</v>
      </c>
      <c r="PL133" s="40">
        <v>321.27300000000002</v>
      </c>
      <c r="PM133" s="40">
        <v>324</v>
      </c>
      <c r="PN133" s="42">
        <v>0.18000000000006369</v>
      </c>
      <c r="PO133" s="47"/>
      <c r="PP133" s="43">
        <v>643.64499999999998</v>
      </c>
      <c r="PQ133" s="40">
        <v>650</v>
      </c>
      <c r="PR133" s="40">
        <v>727.99599999999998</v>
      </c>
      <c r="PS133" s="40">
        <v>731</v>
      </c>
      <c r="PT133" s="42">
        <v>-9.3589999999999236</v>
      </c>
      <c r="PU133" s="47"/>
      <c r="PV133" s="15">
        <v>404.71899999999999</v>
      </c>
      <c r="PW133" s="40">
        <v>0</v>
      </c>
      <c r="PX133" s="14">
        <v>445.26100000000002</v>
      </c>
      <c r="PY133" s="40">
        <v>0</v>
      </c>
      <c r="PZ133" s="42">
        <v>0</v>
      </c>
      <c r="QA133" s="47"/>
      <c r="QB133" s="8">
        <v>542.048</v>
      </c>
      <c r="QC133" s="40">
        <v>0</v>
      </c>
      <c r="QD133" s="42">
        <v>0</v>
      </c>
      <c r="QE133" s="47"/>
      <c r="QF133" s="8">
        <v>527.12699999999995</v>
      </c>
      <c r="QG133" s="40">
        <v>0</v>
      </c>
      <c r="QH133" s="7">
        <v>795.99400000000003</v>
      </c>
      <c r="QI133" s="40">
        <v>0</v>
      </c>
      <c r="QJ133" s="42">
        <v>0</v>
      </c>
      <c r="QK133" s="47"/>
      <c r="QL133" s="45">
        <v>0</v>
      </c>
      <c r="QM133" s="40">
        <v>0</v>
      </c>
      <c r="QN133" s="40">
        <v>0</v>
      </c>
      <c r="QO133" s="40">
        <v>0</v>
      </c>
      <c r="QP133" s="42">
        <v>0</v>
      </c>
      <c r="QQ133" s="47"/>
      <c r="QR133" s="45">
        <v>0</v>
      </c>
      <c r="QS133" s="40">
        <v>0</v>
      </c>
      <c r="QT133" s="40">
        <v>0</v>
      </c>
      <c r="QU133" s="40">
        <v>0</v>
      </c>
      <c r="QV133" s="42">
        <v>0</v>
      </c>
      <c r="QW133" s="47"/>
      <c r="QX133" s="45">
        <v>0</v>
      </c>
      <c r="QY133" s="40">
        <v>0</v>
      </c>
      <c r="QZ133" s="40">
        <v>0</v>
      </c>
      <c r="RA133" s="40">
        <v>0</v>
      </c>
      <c r="RB133" s="42">
        <v>0</v>
      </c>
      <c r="RC133" s="47"/>
      <c r="RD133" s="45">
        <v>0</v>
      </c>
      <c r="RE133" s="40">
        <v>0</v>
      </c>
      <c r="RF133" s="42">
        <v>0</v>
      </c>
      <c r="RG133" s="47"/>
    </row>
    <row r="134" spans="1:475" x14ac:dyDescent="0.25">
      <c r="A134" s="40" t="s">
        <v>423</v>
      </c>
      <c r="B134" s="41">
        <v>0.1</v>
      </c>
      <c r="N134" s="43"/>
      <c r="O134" s="48"/>
      <c r="P134" s="49">
        <v>80</v>
      </c>
      <c r="Q134" s="49">
        <v>80</v>
      </c>
      <c r="R134" s="48">
        <f t="shared" si="17"/>
        <v>0</v>
      </c>
      <c r="S134" s="44"/>
      <c r="T134" s="43"/>
      <c r="U134" s="48"/>
      <c r="V134" s="48"/>
      <c r="W134" s="48"/>
      <c r="X134" s="48">
        <f t="shared" si="18"/>
        <v>0</v>
      </c>
      <c r="Y134" s="44"/>
      <c r="Z134" s="46">
        <v>30</v>
      </c>
      <c r="AA134" s="49">
        <v>30</v>
      </c>
      <c r="AB134" s="48"/>
      <c r="AC134" s="48"/>
      <c r="AD134" s="48">
        <f t="shared" si="19"/>
        <v>0</v>
      </c>
      <c r="AE134" s="44"/>
      <c r="AF134" s="43"/>
      <c r="AG134" s="48"/>
      <c r="AH134" s="48"/>
      <c r="AI134" s="48"/>
      <c r="AJ134" s="48">
        <f t="shared" si="20"/>
        <v>0</v>
      </c>
      <c r="AK134" s="44"/>
      <c r="AL134" s="48"/>
      <c r="AN134">
        <v>50</v>
      </c>
      <c r="AO134">
        <v>50</v>
      </c>
      <c r="AP134" s="42">
        <v>0</v>
      </c>
      <c r="AQ134" s="44"/>
      <c r="AR134" s="46">
        <v>20</v>
      </c>
      <c r="AS134">
        <v>20</v>
      </c>
      <c r="AT134">
        <v>20</v>
      </c>
      <c r="AU134">
        <v>20</v>
      </c>
      <c r="AV134" s="42">
        <v>0</v>
      </c>
      <c r="AW134" s="44"/>
      <c r="BC134" s="42">
        <v>0</v>
      </c>
      <c r="BD134" s="44"/>
      <c r="BE134" s="43"/>
      <c r="BG134">
        <v>60</v>
      </c>
      <c r="BH134">
        <v>60</v>
      </c>
      <c r="BI134" s="42">
        <v>0</v>
      </c>
      <c r="BJ134" s="44"/>
      <c r="BO134" s="42">
        <v>0</v>
      </c>
      <c r="BP134" s="44"/>
      <c r="BS134" s="42">
        <v>0</v>
      </c>
      <c r="BT134" s="44"/>
      <c r="BU134" s="46">
        <v>50</v>
      </c>
      <c r="BV134">
        <v>50</v>
      </c>
      <c r="BW134">
        <v>30</v>
      </c>
      <c r="BX134">
        <v>30</v>
      </c>
      <c r="BY134" s="42">
        <v>0</v>
      </c>
      <c r="BZ134" s="44"/>
      <c r="CE134" s="42">
        <v>0</v>
      </c>
      <c r="CF134" s="44"/>
      <c r="CG134" s="43"/>
      <c r="CI134">
        <v>30</v>
      </c>
      <c r="CJ134">
        <v>30</v>
      </c>
      <c r="CK134" s="42">
        <v>0</v>
      </c>
      <c r="CL134" s="44"/>
      <c r="CM134" s="43"/>
      <c r="CQ134" s="42">
        <v>0</v>
      </c>
      <c r="CR134" s="44"/>
      <c r="CU134">
        <v>40</v>
      </c>
      <c r="CV134">
        <v>40</v>
      </c>
      <c r="CW134" s="42">
        <v>0</v>
      </c>
      <c r="CX134" s="44"/>
      <c r="CY134" s="43"/>
      <c r="DC134" s="42">
        <v>0</v>
      </c>
      <c r="DD134" s="44"/>
      <c r="DE134" s="43"/>
      <c r="DI134">
        <v>40</v>
      </c>
      <c r="DJ134">
        <v>45</v>
      </c>
      <c r="DK134" s="42">
        <v>-5</v>
      </c>
      <c r="DL134" s="44"/>
      <c r="DM134" s="43"/>
      <c r="DO134">
        <v>10</v>
      </c>
      <c r="DP134">
        <v>13</v>
      </c>
      <c r="DQ134" s="42">
        <v>-3</v>
      </c>
      <c r="DR134" s="44"/>
      <c r="DY134" s="42">
        <v>0</v>
      </c>
      <c r="DZ134" s="44"/>
      <c r="EA134" s="43"/>
      <c r="EE134" s="42">
        <v>0</v>
      </c>
      <c r="EF134" s="44"/>
      <c r="EG134" s="43"/>
      <c r="EK134" s="42">
        <v>0</v>
      </c>
      <c r="EL134" s="44"/>
      <c r="EM134" s="46">
        <v>40</v>
      </c>
      <c r="EN134">
        <v>40</v>
      </c>
      <c r="EO134">
        <v>60</v>
      </c>
      <c r="EP134">
        <v>60</v>
      </c>
      <c r="EQ134" s="42">
        <v>0</v>
      </c>
      <c r="ER134" s="44"/>
      <c r="EW134">
        <v>50</v>
      </c>
      <c r="EX134">
        <v>50</v>
      </c>
      <c r="EY134" s="42">
        <v>0</v>
      </c>
      <c r="EZ134" s="44"/>
      <c r="FE134" s="42">
        <v>0</v>
      </c>
      <c r="FF134" s="44"/>
      <c r="FG134" s="43"/>
      <c r="FI134">
        <v>40</v>
      </c>
      <c r="FJ134">
        <v>40</v>
      </c>
      <c r="FK134" s="42">
        <v>0</v>
      </c>
      <c r="FL134" s="44"/>
      <c r="FM134" s="43"/>
      <c r="FO134" s="42">
        <v>0</v>
      </c>
      <c r="FP134" s="44"/>
      <c r="FU134" s="42">
        <v>0</v>
      </c>
      <c r="FV134" s="44"/>
      <c r="FW134" s="43"/>
      <c r="GA134">
        <v>30</v>
      </c>
      <c r="GB134">
        <v>30</v>
      </c>
      <c r="GC134" s="42">
        <v>0</v>
      </c>
      <c r="GD134" s="44"/>
      <c r="GI134" s="42">
        <v>0</v>
      </c>
      <c r="GJ134" s="44"/>
      <c r="GK134" s="43"/>
      <c r="GM134">
        <v>40</v>
      </c>
      <c r="GN134">
        <v>40</v>
      </c>
      <c r="GO134" s="42">
        <v>0</v>
      </c>
      <c r="GP134" s="47"/>
      <c r="GU134" s="42">
        <v>0</v>
      </c>
      <c r="GV134" s="44"/>
      <c r="GY134" s="42">
        <v>0</v>
      </c>
      <c r="GZ134" s="47"/>
      <c r="HA134" s="46">
        <v>30</v>
      </c>
      <c r="HB134">
        <v>29</v>
      </c>
      <c r="HC134" s="42">
        <v>1</v>
      </c>
      <c r="HD134" s="44"/>
      <c r="HE134" s="43"/>
      <c r="HI134" s="42">
        <v>0</v>
      </c>
      <c r="HJ134" s="47"/>
      <c r="HK134" s="43"/>
      <c r="HO134" s="42">
        <v>0</v>
      </c>
      <c r="HP134" s="44"/>
      <c r="HT134">
        <v>40</v>
      </c>
      <c r="HU134">
        <v>40</v>
      </c>
      <c r="HV134" s="42">
        <v>0</v>
      </c>
      <c r="HW134" s="44"/>
      <c r="HX134" s="45"/>
      <c r="IB134" s="42">
        <v>0</v>
      </c>
      <c r="IC134" s="44"/>
      <c r="IH134" s="42">
        <v>0</v>
      </c>
      <c r="II134" s="47"/>
      <c r="IN134" s="42">
        <v>0</v>
      </c>
      <c r="IO134" s="47"/>
      <c r="IT134" s="42">
        <v>0</v>
      </c>
      <c r="IU134" s="47"/>
      <c r="IZ134" s="42">
        <v>0</v>
      </c>
      <c r="JA134" s="44"/>
      <c r="JD134" s="42">
        <v>0</v>
      </c>
      <c r="JE134" s="44"/>
      <c r="JF134">
        <v>70</v>
      </c>
      <c r="JG134">
        <v>70</v>
      </c>
      <c r="JH134">
        <v>60</v>
      </c>
      <c r="JI134">
        <v>58</v>
      </c>
      <c r="JJ134" s="42">
        <v>2</v>
      </c>
      <c r="JK134" s="44"/>
      <c r="JL134" s="45"/>
      <c r="JN134" s="42">
        <v>0</v>
      </c>
      <c r="JO134" s="44"/>
      <c r="JT134" s="42">
        <v>0</v>
      </c>
      <c r="JU134" s="44"/>
      <c r="JX134">
        <v>190</v>
      </c>
      <c r="JY134">
        <v>190</v>
      </c>
      <c r="JZ134" s="42">
        <v>0</v>
      </c>
      <c r="KA134" s="47"/>
      <c r="KF134" s="42">
        <v>0</v>
      </c>
      <c r="KG134" s="44"/>
      <c r="KH134" s="41"/>
      <c r="KJ134">
        <v>80</v>
      </c>
      <c r="KK134">
        <v>80</v>
      </c>
      <c r="KL134" s="42">
        <v>0</v>
      </c>
      <c r="KM134" s="47"/>
      <c r="KN134" s="45"/>
      <c r="KR134">
        <v>20</v>
      </c>
      <c r="KT134" s="42">
        <v>20</v>
      </c>
      <c r="KU134" s="47"/>
      <c r="KV134" s="40">
        <v>0</v>
      </c>
      <c r="KW134" s="40">
        <v>0</v>
      </c>
      <c r="KX134" s="40">
        <v>150</v>
      </c>
      <c r="KY134" s="40">
        <v>152</v>
      </c>
      <c r="KZ134" s="42">
        <v>-2</v>
      </c>
      <c r="LA134" s="47"/>
      <c r="LB134" s="40">
        <v>0</v>
      </c>
      <c r="LC134" s="40">
        <v>0</v>
      </c>
      <c r="LD134" s="40">
        <v>30</v>
      </c>
      <c r="LE134" s="40">
        <v>30</v>
      </c>
      <c r="LF134" s="42">
        <v>0</v>
      </c>
      <c r="LG134" s="47"/>
      <c r="LH134" s="45">
        <v>0</v>
      </c>
      <c r="LI134" s="40">
        <v>0</v>
      </c>
      <c r="LJ134" s="42">
        <v>0</v>
      </c>
      <c r="LK134" s="47"/>
      <c r="LL134" s="45">
        <v>0</v>
      </c>
      <c r="LM134" s="40">
        <v>0</v>
      </c>
      <c r="LN134" s="40">
        <v>0</v>
      </c>
      <c r="LO134" s="40">
        <v>0</v>
      </c>
      <c r="LP134" s="42">
        <v>0</v>
      </c>
      <c r="LQ134" s="47"/>
      <c r="LR134" s="45">
        <v>30</v>
      </c>
      <c r="LS134" s="40">
        <v>30</v>
      </c>
      <c r="LT134" s="40">
        <v>30</v>
      </c>
      <c r="LU134" s="40">
        <v>30</v>
      </c>
      <c r="LV134" s="42">
        <v>0</v>
      </c>
      <c r="LW134" s="47"/>
      <c r="LX134" s="45">
        <v>70</v>
      </c>
      <c r="LY134" s="40">
        <v>70</v>
      </c>
      <c r="LZ134" s="42">
        <v>0</v>
      </c>
      <c r="MA134" s="47"/>
      <c r="MB134" s="45">
        <v>0</v>
      </c>
      <c r="MC134" s="40">
        <v>0</v>
      </c>
      <c r="MD134" s="40">
        <v>0</v>
      </c>
      <c r="ME134" s="40">
        <v>0</v>
      </c>
      <c r="MF134" s="42">
        <v>0</v>
      </c>
      <c r="MG134" s="47"/>
      <c r="MH134" s="45">
        <v>170</v>
      </c>
      <c r="MI134" s="40">
        <v>175</v>
      </c>
      <c r="MJ134" s="42">
        <v>-5</v>
      </c>
      <c r="MK134" s="47"/>
      <c r="ML134" s="45">
        <v>0</v>
      </c>
      <c r="MM134" s="40">
        <v>0</v>
      </c>
      <c r="MN134" s="40">
        <v>0</v>
      </c>
      <c r="MO134" s="40">
        <v>0</v>
      </c>
      <c r="MP134" s="42">
        <v>0</v>
      </c>
      <c r="MQ134" s="47"/>
      <c r="MR134" s="40">
        <v>0</v>
      </c>
      <c r="MS134" s="40">
        <v>0</v>
      </c>
      <c r="MT134" s="40">
        <v>80</v>
      </c>
      <c r="MU134" s="40">
        <v>80</v>
      </c>
      <c r="MV134" s="42">
        <v>0</v>
      </c>
      <c r="MW134" s="47"/>
      <c r="MX134" s="45">
        <v>0</v>
      </c>
      <c r="MY134" s="40">
        <v>0</v>
      </c>
      <c r="MZ134" s="40">
        <v>100</v>
      </c>
      <c r="NA134" s="40">
        <v>100</v>
      </c>
      <c r="NB134" s="42">
        <v>0</v>
      </c>
      <c r="NC134" s="47"/>
      <c r="ND134" s="45">
        <v>0</v>
      </c>
      <c r="NE134" s="40">
        <v>0</v>
      </c>
      <c r="NF134" s="40">
        <v>0</v>
      </c>
      <c r="NG134" s="40">
        <v>0</v>
      </c>
      <c r="NH134" s="42">
        <v>0</v>
      </c>
      <c r="NI134" s="47"/>
      <c r="NJ134" s="45">
        <v>0</v>
      </c>
      <c r="NK134" s="40">
        <v>0</v>
      </c>
      <c r="NL134" s="40">
        <v>20</v>
      </c>
      <c r="NM134" s="40">
        <v>25</v>
      </c>
      <c r="NN134" s="42">
        <v>-5</v>
      </c>
      <c r="NO134" s="47"/>
      <c r="NP134" s="45">
        <v>0</v>
      </c>
      <c r="NQ134" s="40">
        <v>0</v>
      </c>
      <c r="NR134" s="40">
        <v>20</v>
      </c>
      <c r="NS134" s="40">
        <v>20</v>
      </c>
      <c r="NT134" s="42">
        <v>0</v>
      </c>
      <c r="NU134" s="47"/>
      <c r="NV134" s="45">
        <v>0</v>
      </c>
      <c r="NW134" s="40">
        <v>0</v>
      </c>
      <c r="NX134" s="40">
        <v>100</v>
      </c>
      <c r="NY134" s="40">
        <v>100</v>
      </c>
      <c r="NZ134" s="42">
        <v>0</v>
      </c>
      <c r="OA134" s="47"/>
      <c r="OB134" s="45">
        <v>80</v>
      </c>
      <c r="OC134" s="40">
        <v>80</v>
      </c>
      <c r="OD134" s="42">
        <v>0</v>
      </c>
      <c r="OE134" s="47"/>
      <c r="OF134" s="45">
        <v>0</v>
      </c>
      <c r="OG134" s="40">
        <v>0</v>
      </c>
      <c r="OH134" s="40">
        <v>0</v>
      </c>
      <c r="OI134" s="40">
        <v>0</v>
      </c>
      <c r="OJ134" s="42">
        <v>0</v>
      </c>
      <c r="OK134" s="47"/>
      <c r="OL134" s="45">
        <v>0</v>
      </c>
      <c r="OM134" s="40">
        <v>0</v>
      </c>
      <c r="ON134" s="40">
        <v>0</v>
      </c>
      <c r="OO134" s="40">
        <v>0</v>
      </c>
      <c r="OP134" s="42">
        <v>0</v>
      </c>
      <c r="OQ134" s="47"/>
      <c r="OR134" s="45">
        <v>0</v>
      </c>
      <c r="OS134" s="40">
        <v>0</v>
      </c>
      <c r="OT134" s="40">
        <v>0</v>
      </c>
      <c r="OU134" s="40">
        <v>0</v>
      </c>
      <c r="OV134" s="42">
        <v>0</v>
      </c>
      <c r="OW134" s="47"/>
      <c r="OX134" s="40">
        <v>40</v>
      </c>
      <c r="OY134" s="40">
        <v>40</v>
      </c>
      <c r="OZ134" s="40">
        <v>30</v>
      </c>
      <c r="PA134" s="40">
        <v>30</v>
      </c>
      <c r="PB134" s="42">
        <v>0</v>
      </c>
      <c r="PC134" s="47"/>
      <c r="PD134" s="45">
        <v>0</v>
      </c>
      <c r="PE134" s="40">
        <v>0</v>
      </c>
      <c r="PF134" s="14">
        <v>150</v>
      </c>
      <c r="PG134" s="40">
        <v>0</v>
      </c>
      <c r="PH134" s="42">
        <v>0</v>
      </c>
      <c r="PI134" s="47"/>
      <c r="PJ134" s="45"/>
      <c r="PO134" s="47"/>
      <c r="PP134" s="43"/>
      <c r="PU134" s="47"/>
      <c r="PV134" s="45"/>
      <c r="QA134" s="47"/>
      <c r="QB134" s="45"/>
      <c r="QE134" s="47"/>
      <c r="QF134" s="45"/>
      <c r="QK134" s="47"/>
      <c r="QL134" s="45"/>
      <c r="QQ134" s="47"/>
      <c r="QR134" s="45"/>
      <c r="QW134" s="47"/>
      <c r="QX134" s="45"/>
      <c r="RB134" s="42"/>
      <c r="RC134" s="47"/>
      <c r="RD134" s="45"/>
      <c r="RF134" s="42"/>
      <c r="RG134" s="47"/>
    </row>
    <row r="135" spans="1:475" x14ac:dyDescent="0.25">
      <c r="A135" s="40" t="s">
        <v>424</v>
      </c>
      <c r="B135" s="41">
        <v>0.4</v>
      </c>
      <c r="E135">
        <v>50</v>
      </c>
      <c r="F135">
        <v>50</v>
      </c>
      <c r="J135">
        <v>102</v>
      </c>
      <c r="K135">
        <v>100</v>
      </c>
      <c r="N135" s="43"/>
      <c r="O135" s="48"/>
      <c r="P135" s="48"/>
      <c r="Q135" s="48"/>
      <c r="R135" s="48">
        <f t="shared" si="17"/>
        <v>0</v>
      </c>
      <c r="S135" s="44"/>
      <c r="T135" s="46">
        <v>120</v>
      </c>
      <c r="U135" s="49">
        <v>120</v>
      </c>
      <c r="V135" s="49">
        <v>180</v>
      </c>
      <c r="W135" s="49">
        <v>180</v>
      </c>
      <c r="X135" s="48">
        <f t="shared" si="18"/>
        <v>0</v>
      </c>
      <c r="Y135" s="44"/>
      <c r="Z135" s="43"/>
      <c r="AA135" s="48"/>
      <c r="AB135" s="48"/>
      <c r="AC135" s="48"/>
      <c r="AD135" s="48">
        <f t="shared" si="19"/>
        <v>0</v>
      </c>
      <c r="AE135" s="44"/>
      <c r="AF135" s="46">
        <v>48</v>
      </c>
      <c r="AG135" s="49">
        <v>50</v>
      </c>
      <c r="AH135" s="49">
        <v>48</v>
      </c>
      <c r="AI135" s="49">
        <v>50</v>
      </c>
      <c r="AJ135" s="48">
        <f t="shared" si="20"/>
        <v>-4</v>
      </c>
      <c r="AK135" s="44"/>
      <c r="AL135" s="49">
        <v>102</v>
      </c>
      <c r="AM135">
        <v>100</v>
      </c>
      <c r="AN135">
        <v>102</v>
      </c>
      <c r="AO135">
        <v>100</v>
      </c>
      <c r="AP135" s="42">
        <v>4</v>
      </c>
      <c r="AQ135" s="44"/>
      <c r="AR135" s="43"/>
      <c r="AV135" s="42">
        <v>0</v>
      </c>
      <c r="AW135" s="44"/>
      <c r="AX135">
        <v>30</v>
      </c>
      <c r="AZ135">
        <v>32</v>
      </c>
      <c r="BA135">
        <v>72</v>
      </c>
      <c r="BB135">
        <v>76</v>
      </c>
      <c r="BC135" s="42">
        <v>-6</v>
      </c>
      <c r="BD135" s="44"/>
      <c r="BE135" s="46">
        <v>48</v>
      </c>
      <c r="BF135">
        <v>50</v>
      </c>
      <c r="BG135">
        <v>102</v>
      </c>
      <c r="BH135">
        <v>100</v>
      </c>
      <c r="BI135" s="42">
        <v>0</v>
      </c>
      <c r="BJ135" s="44"/>
      <c r="BO135" s="42">
        <v>0</v>
      </c>
      <c r="BP135" s="44"/>
      <c r="BS135" s="42">
        <v>0</v>
      </c>
      <c r="BT135" s="44"/>
      <c r="BU135" s="46">
        <v>60</v>
      </c>
      <c r="BV135">
        <v>60</v>
      </c>
      <c r="BW135">
        <v>252</v>
      </c>
      <c r="BX135" s="42">
        <v>250</v>
      </c>
      <c r="BY135" s="42">
        <v>2</v>
      </c>
      <c r="BZ135" s="44"/>
      <c r="CE135" s="42">
        <v>0</v>
      </c>
      <c r="CF135" s="44"/>
      <c r="CG135" s="43"/>
      <c r="CI135">
        <v>72</v>
      </c>
      <c r="CJ135">
        <v>80</v>
      </c>
      <c r="CK135" s="42">
        <v>-8</v>
      </c>
      <c r="CL135" s="44"/>
      <c r="CM135" s="46">
        <v>102</v>
      </c>
      <c r="CN135" s="42">
        <v>100</v>
      </c>
      <c r="CQ135" s="42">
        <v>2</v>
      </c>
      <c r="CR135" s="44"/>
      <c r="CW135" s="42">
        <v>0</v>
      </c>
      <c r="CX135" s="44"/>
      <c r="CY135" s="43"/>
      <c r="DC135" s="42">
        <v>0</v>
      </c>
      <c r="DD135" s="44"/>
      <c r="DE135" s="45"/>
      <c r="DK135" s="42">
        <v>0</v>
      </c>
      <c r="DL135" s="44"/>
      <c r="DM135" s="45"/>
      <c r="DQ135" s="42">
        <v>0</v>
      </c>
      <c r="DR135" s="44"/>
      <c r="DZ135" s="44"/>
      <c r="EA135" s="43"/>
      <c r="EF135" s="44"/>
      <c r="EG135" s="43"/>
      <c r="EL135" s="44"/>
      <c r="EM135" s="46"/>
      <c r="ER135" s="44"/>
      <c r="EZ135" s="44"/>
      <c r="FF135" s="44"/>
      <c r="FG135" s="43"/>
      <c r="FL135" s="44"/>
      <c r="FM135" s="43"/>
      <c r="FP135" s="44"/>
      <c r="FV135" s="44"/>
      <c r="FW135" s="43"/>
      <c r="GD135" s="44"/>
      <c r="GJ135" s="44"/>
      <c r="GK135" s="43"/>
      <c r="GP135" s="47"/>
      <c r="GV135" s="44"/>
      <c r="GZ135" s="47"/>
      <c r="HA135" s="46"/>
      <c r="HD135" s="44"/>
      <c r="HE135" s="43"/>
      <c r="HJ135" s="47"/>
      <c r="HK135" s="43"/>
      <c r="HP135" s="44"/>
      <c r="HW135" s="44"/>
      <c r="HX135" s="45"/>
      <c r="IC135" s="44"/>
      <c r="II135" s="47"/>
      <c r="IO135" s="47"/>
      <c r="IU135" s="47"/>
      <c r="JA135" s="44"/>
      <c r="JE135" s="44"/>
      <c r="JK135" s="44"/>
      <c r="JL135" s="45"/>
      <c r="JO135" s="44"/>
      <c r="JU135" s="44"/>
      <c r="KA135" s="47"/>
      <c r="KG135" s="44"/>
      <c r="KH135" s="41"/>
      <c r="KM135" s="47"/>
      <c r="KN135" s="45"/>
      <c r="KU135" s="47"/>
      <c r="LA135" s="47"/>
      <c r="LG135" s="47"/>
      <c r="LH135" s="45"/>
      <c r="LK135" s="47"/>
      <c r="LL135" s="45"/>
      <c r="LQ135" s="47"/>
      <c r="LR135" s="45"/>
      <c r="LV135" s="42"/>
      <c r="LW135" s="47"/>
      <c r="LX135" s="45"/>
      <c r="LZ135" s="42"/>
      <c r="MA135" s="47"/>
      <c r="MB135" s="45"/>
      <c r="MF135" s="42"/>
      <c r="MG135" s="47"/>
      <c r="MH135" s="45"/>
      <c r="MJ135" s="42"/>
      <c r="MK135" s="47"/>
      <c r="ML135" s="45"/>
      <c r="MP135" s="42"/>
      <c r="MQ135" s="47"/>
      <c r="MV135" s="42"/>
      <c r="MW135" s="47"/>
      <c r="MX135" s="45"/>
      <c r="NB135" s="42"/>
      <c r="NC135" s="47"/>
      <c r="ND135" s="45"/>
      <c r="NH135" s="42"/>
      <c r="NI135" s="47"/>
      <c r="NJ135" s="45"/>
      <c r="NN135" s="42"/>
      <c r="NO135" s="47"/>
      <c r="NP135" s="45"/>
      <c r="NT135" s="42"/>
      <c r="NU135" s="47"/>
      <c r="NV135" s="45"/>
      <c r="NZ135" s="42"/>
      <c r="OA135" s="47"/>
      <c r="OB135" s="45"/>
      <c r="OD135" s="42"/>
      <c r="OE135" s="47"/>
      <c r="OF135" s="45"/>
      <c r="OJ135" s="42"/>
      <c r="OK135" s="47"/>
      <c r="OL135" s="45"/>
      <c r="OP135" s="42"/>
      <c r="OQ135" s="47"/>
      <c r="OR135" s="45"/>
      <c r="OV135" s="42"/>
      <c r="OW135" s="47"/>
      <c r="PB135" s="42"/>
      <c r="PC135" s="47"/>
      <c r="PD135" s="45"/>
      <c r="PH135" s="42"/>
      <c r="PI135" s="47"/>
      <c r="PJ135" s="45"/>
      <c r="PO135" s="47"/>
      <c r="PP135" s="43"/>
      <c r="PU135" s="47"/>
      <c r="PV135" s="45"/>
      <c r="QA135" s="47"/>
      <c r="QB135" s="45"/>
      <c r="QE135" s="47"/>
      <c r="QF135" s="45"/>
      <c r="QK135" s="47"/>
      <c r="QL135" s="45"/>
      <c r="QQ135" s="47"/>
      <c r="QR135" s="45"/>
      <c r="QW135" s="47"/>
      <c r="QX135" s="45"/>
      <c r="RB135" s="42"/>
      <c r="RC135" s="47"/>
      <c r="RD135" s="45"/>
      <c r="RF135" s="42"/>
      <c r="RG135" s="47"/>
    </row>
    <row r="136" spans="1:475" x14ac:dyDescent="0.25">
      <c r="A136" s="40" t="s">
        <v>425</v>
      </c>
      <c r="B136" s="41">
        <v>1</v>
      </c>
      <c r="N136" s="43"/>
      <c r="O136" s="48"/>
      <c r="P136" s="48"/>
      <c r="Q136" s="48"/>
      <c r="R136" s="48">
        <f t="shared" si="17"/>
        <v>0</v>
      </c>
      <c r="S136" s="44"/>
      <c r="T136" s="43"/>
      <c r="U136" s="48"/>
      <c r="V136" s="48"/>
      <c r="W136" s="48"/>
      <c r="X136" s="48">
        <f t="shared" si="18"/>
        <v>0</v>
      </c>
      <c r="Y136" s="44"/>
      <c r="Z136" s="43"/>
      <c r="AA136" s="48"/>
      <c r="AB136" s="48"/>
      <c r="AC136" s="48"/>
      <c r="AD136" s="48">
        <f t="shared" si="19"/>
        <v>0</v>
      </c>
      <c r="AE136" s="44"/>
      <c r="AF136" s="43"/>
      <c r="AG136" s="48"/>
      <c r="AH136" s="48"/>
      <c r="AI136" s="48"/>
      <c r="AJ136" s="48">
        <f t="shared" si="20"/>
        <v>0</v>
      </c>
      <c r="AK136" s="44"/>
      <c r="AL136" s="48"/>
      <c r="AP136" s="42">
        <v>0</v>
      </c>
      <c r="AQ136" s="44"/>
      <c r="AR136" s="43"/>
      <c r="AV136" s="42">
        <v>0</v>
      </c>
      <c r="AW136" s="44"/>
      <c r="BC136" s="42">
        <v>0</v>
      </c>
      <c r="BD136" s="44"/>
      <c r="BE136" s="43"/>
      <c r="BI136" s="42">
        <v>0</v>
      </c>
      <c r="BJ136" s="44"/>
      <c r="BO136" s="42">
        <v>0</v>
      </c>
      <c r="BP136" s="44"/>
      <c r="BS136" s="42">
        <v>0</v>
      </c>
      <c r="BT136" s="44"/>
      <c r="BU136" s="43"/>
      <c r="BY136" s="42">
        <v>0</v>
      </c>
      <c r="BZ136" s="44"/>
      <c r="CE136" s="42">
        <v>0</v>
      </c>
      <c r="CF136" s="44"/>
      <c r="CG136" s="43"/>
      <c r="CK136" s="42">
        <v>0</v>
      </c>
      <c r="CL136" s="44"/>
      <c r="CM136" s="43"/>
      <c r="CQ136" s="42">
        <v>0</v>
      </c>
      <c r="CR136" s="44"/>
      <c r="CW136" s="42">
        <v>0</v>
      </c>
      <c r="CX136" s="44"/>
      <c r="CY136" s="43"/>
      <c r="DC136" s="42">
        <v>0</v>
      </c>
      <c r="DD136" s="44"/>
      <c r="DE136" s="43"/>
      <c r="DK136" s="42">
        <v>0</v>
      </c>
      <c r="DL136" s="44"/>
      <c r="DM136" s="43"/>
      <c r="DQ136" s="42">
        <v>0</v>
      </c>
      <c r="DR136" s="44"/>
      <c r="DY136" s="42">
        <v>0</v>
      </c>
      <c r="DZ136" s="44"/>
      <c r="EA136" s="43"/>
      <c r="EE136" s="42">
        <v>0</v>
      </c>
      <c r="EF136" s="44"/>
      <c r="EG136" s="43"/>
      <c r="EK136" s="42">
        <v>0</v>
      </c>
      <c r="EL136" s="44"/>
      <c r="EM136" s="43"/>
      <c r="EQ136" s="42">
        <v>0</v>
      </c>
      <c r="ER136" s="44"/>
      <c r="EY136" s="42">
        <v>0</v>
      </c>
      <c r="EZ136" s="44"/>
      <c r="FE136" s="42">
        <v>0</v>
      </c>
      <c r="FF136" s="44"/>
      <c r="FG136" s="43"/>
      <c r="FK136" s="42">
        <v>0</v>
      </c>
      <c r="FL136" s="44"/>
      <c r="FM136" s="43"/>
      <c r="FO136" s="42">
        <v>0</v>
      </c>
      <c r="FP136" s="44"/>
      <c r="FU136" s="42">
        <v>0</v>
      </c>
      <c r="FV136" s="44"/>
      <c r="FW136" s="43"/>
      <c r="GC136" s="42">
        <v>0</v>
      </c>
      <c r="GD136" s="44"/>
      <c r="GI136" s="42">
        <v>0</v>
      </c>
      <c r="GJ136" s="44"/>
      <c r="GK136" s="43"/>
      <c r="GO136" s="42">
        <v>0</v>
      </c>
      <c r="GP136" s="47"/>
      <c r="GU136" s="42">
        <v>0</v>
      </c>
      <c r="GV136" s="44"/>
      <c r="GY136" s="42">
        <v>0</v>
      </c>
      <c r="GZ136" s="47"/>
      <c r="HA136" s="43"/>
      <c r="HC136" s="42">
        <v>0</v>
      </c>
      <c r="HD136" s="44"/>
      <c r="HE136" s="43"/>
      <c r="HI136" s="42">
        <v>0</v>
      </c>
      <c r="HJ136" s="47"/>
      <c r="HK136" s="43"/>
      <c r="HO136" s="42">
        <v>0</v>
      </c>
      <c r="HP136" s="44"/>
      <c r="HV136" s="42">
        <v>0</v>
      </c>
      <c r="HW136" s="44"/>
      <c r="HX136" s="45"/>
      <c r="IB136" s="42">
        <v>0</v>
      </c>
      <c r="IC136" s="44"/>
      <c r="IH136" s="42">
        <v>0</v>
      </c>
      <c r="II136" s="47"/>
      <c r="IN136" s="42">
        <v>0</v>
      </c>
      <c r="IO136" s="47"/>
      <c r="IT136" s="42">
        <v>0</v>
      </c>
      <c r="IU136" s="47"/>
      <c r="IZ136" s="42">
        <v>0</v>
      </c>
      <c r="JA136" s="44"/>
      <c r="JD136" s="42">
        <v>0</v>
      </c>
      <c r="JE136" s="44"/>
      <c r="JJ136" s="42">
        <v>0</v>
      </c>
      <c r="JK136" s="44"/>
      <c r="JL136" s="45"/>
      <c r="JN136" s="42">
        <v>0</v>
      </c>
      <c r="JO136" s="44"/>
      <c r="JT136" s="42">
        <v>0</v>
      </c>
      <c r="JU136" s="44"/>
      <c r="JZ136" s="42">
        <v>0</v>
      </c>
      <c r="KA136" s="47"/>
      <c r="KF136" s="42">
        <v>0</v>
      </c>
      <c r="KG136" s="44"/>
      <c r="KH136" s="41"/>
      <c r="KL136" s="42">
        <v>0</v>
      </c>
      <c r="KM136" s="47"/>
      <c r="KN136" s="45"/>
      <c r="KT136" s="42">
        <v>0</v>
      </c>
      <c r="KU136" s="47"/>
      <c r="KV136" s="40">
        <v>0</v>
      </c>
      <c r="KW136" s="40">
        <v>0</v>
      </c>
      <c r="KX136" s="40">
        <v>0</v>
      </c>
      <c r="KY136" s="36">
        <v>131</v>
      </c>
      <c r="KZ136" s="39">
        <v>-93.807000000000002</v>
      </c>
      <c r="LA136" s="47">
        <v>93.807000000000002</v>
      </c>
      <c r="LB136" s="40">
        <v>51.451000000000001</v>
      </c>
      <c r="LC136" s="40">
        <v>50</v>
      </c>
      <c r="LD136" s="40">
        <v>49.061999999999998</v>
      </c>
      <c r="LE136" s="40">
        <v>50</v>
      </c>
      <c r="LF136" s="42">
        <v>0.51300000000000523</v>
      </c>
      <c r="LG136" s="47"/>
      <c r="LH136" s="45">
        <v>43.335999999999999</v>
      </c>
      <c r="LI136" s="40">
        <v>47</v>
      </c>
      <c r="LJ136" s="42">
        <v>-3.664000000000001</v>
      </c>
      <c r="LK136" s="47"/>
      <c r="LL136" s="45">
        <v>0</v>
      </c>
      <c r="LM136" s="40">
        <v>0</v>
      </c>
      <c r="LN136" s="40">
        <v>0</v>
      </c>
      <c r="LO136" s="40">
        <v>0</v>
      </c>
      <c r="LP136" s="42">
        <v>0</v>
      </c>
      <c r="LQ136" s="47"/>
      <c r="LR136" s="45">
        <v>0</v>
      </c>
      <c r="LS136" s="40">
        <v>0</v>
      </c>
      <c r="LT136" s="40">
        <v>44.561</v>
      </c>
      <c r="LU136" s="40">
        <v>40</v>
      </c>
      <c r="LV136" s="42">
        <v>4.5609999999999999</v>
      </c>
      <c r="LW136" s="47"/>
      <c r="LX136" s="45">
        <v>275.65300000000002</v>
      </c>
      <c r="LY136" s="40">
        <v>260</v>
      </c>
      <c r="LZ136" s="42">
        <v>15.65300000000002</v>
      </c>
      <c r="MA136" s="47"/>
      <c r="MB136" s="45">
        <v>0</v>
      </c>
      <c r="MC136" s="40">
        <v>0</v>
      </c>
      <c r="MD136" s="40">
        <v>0</v>
      </c>
      <c r="ME136" s="40">
        <v>0</v>
      </c>
      <c r="MF136" s="42">
        <v>0</v>
      </c>
      <c r="MG136" s="47"/>
      <c r="MH136" s="45">
        <v>70.195999999999998</v>
      </c>
      <c r="MI136" s="40">
        <v>70</v>
      </c>
      <c r="MJ136" s="42">
        <v>0.19599999999999801</v>
      </c>
      <c r="MK136" s="47"/>
      <c r="ML136" s="45">
        <v>0</v>
      </c>
      <c r="MM136" s="40">
        <v>0</v>
      </c>
      <c r="MN136" s="40">
        <v>174.28700000000001</v>
      </c>
      <c r="MO136" s="40">
        <v>173</v>
      </c>
      <c r="MP136" s="42">
        <v>1.2870000000000059</v>
      </c>
      <c r="MQ136" s="47"/>
      <c r="MR136" s="40">
        <v>0</v>
      </c>
      <c r="MS136" s="40">
        <v>0</v>
      </c>
      <c r="MT136" s="40">
        <v>73.415000000000006</v>
      </c>
      <c r="MU136" s="40">
        <v>85</v>
      </c>
      <c r="MV136" s="39">
        <v>-11.58499999999999</v>
      </c>
      <c r="MW136" s="47">
        <v>11.58499999999999</v>
      </c>
      <c r="MX136" s="45">
        <v>0</v>
      </c>
      <c r="MY136" s="40">
        <v>0</v>
      </c>
      <c r="MZ136" s="40">
        <v>0</v>
      </c>
      <c r="NA136" s="40">
        <v>0</v>
      </c>
      <c r="NB136" s="42">
        <v>0</v>
      </c>
      <c r="NC136" s="47"/>
      <c r="ND136" s="45">
        <v>0</v>
      </c>
      <c r="NE136" s="40">
        <v>0</v>
      </c>
      <c r="NF136" s="40">
        <v>104.893</v>
      </c>
      <c r="NG136" s="40">
        <v>109</v>
      </c>
      <c r="NH136" s="42">
        <v>-4.1069999999999993</v>
      </c>
      <c r="NI136" s="47"/>
      <c r="NJ136" s="45">
        <v>0</v>
      </c>
      <c r="NK136" s="40">
        <v>0</v>
      </c>
      <c r="NL136" s="40">
        <v>0</v>
      </c>
      <c r="NM136" s="40">
        <v>0</v>
      </c>
      <c r="NN136" s="42">
        <v>0</v>
      </c>
      <c r="NO136" s="47"/>
      <c r="NP136" s="45">
        <v>0</v>
      </c>
      <c r="NQ136" s="40">
        <v>0</v>
      </c>
      <c r="NR136" s="40">
        <v>123.684</v>
      </c>
      <c r="NS136" s="40">
        <v>130</v>
      </c>
      <c r="NT136" s="42">
        <v>-6.3160000000000034</v>
      </c>
      <c r="NU136" s="47"/>
      <c r="NV136" s="45">
        <v>0</v>
      </c>
      <c r="NW136" s="40">
        <v>0</v>
      </c>
      <c r="NX136" s="40">
        <v>92.557000000000002</v>
      </c>
      <c r="NY136" s="40">
        <v>94</v>
      </c>
      <c r="NZ136" s="42">
        <v>-1.4429999999999981</v>
      </c>
      <c r="OA136" s="47"/>
      <c r="OB136" s="45">
        <v>0</v>
      </c>
      <c r="OC136" s="40">
        <v>0</v>
      </c>
      <c r="OD136" s="42">
        <v>0</v>
      </c>
      <c r="OE136" s="47"/>
      <c r="OF136" s="45">
        <v>0</v>
      </c>
      <c r="OG136" s="40">
        <v>0</v>
      </c>
      <c r="OH136" s="40">
        <v>0</v>
      </c>
      <c r="OI136" s="40">
        <v>0</v>
      </c>
      <c r="OJ136" s="42">
        <v>0</v>
      </c>
      <c r="OK136" s="47"/>
      <c r="OL136" s="45">
        <v>0</v>
      </c>
      <c r="OM136" s="40">
        <v>0</v>
      </c>
      <c r="ON136" s="40">
        <v>0</v>
      </c>
      <c r="OO136" s="40">
        <v>0</v>
      </c>
      <c r="OP136" s="42">
        <v>0</v>
      </c>
      <c r="OQ136" s="47"/>
      <c r="OR136" s="45">
        <v>0</v>
      </c>
      <c r="OS136" s="40">
        <v>0</v>
      </c>
      <c r="OT136" s="14">
        <v>49.398000000000003</v>
      </c>
      <c r="OU136" s="40">
        <v>0</v>
      </c>
      <c r="OV136" s="42">
        <v>0</v>
      </c>
      <c r="OW136" s="47"/>
      <c r="OX136" s="14">
        <v>158.77799999999999</v>
      </c>
      <c r="OY136" s="40">
        <v>0</v>
      </c>
      <c r="OZ136" s="40">
        <v>0</v>
      </c>
      <c r="PA136" s="40">
        <v>0</v>
      </c>
      <c r="PB136" s="42">
        <v>0</v>
      </c>
      <c r="PC136" s="47"/>
      <c r="PD136" s="45"/>
      <c r="PF136" s="14"/>
      <c r="PI136" s="47"/>
      <c r="PJ136" s="45"/>
      <c r="PO136" s="47"/>
      <c r="PP136" s="43"/>
      <c r="PU136" s="47"/>
      <c r="PV136" s="45"/>
      <c r="QA136" s="47"/>
      <c r="QB136" s="45"/>
      <c r="QE136" s="47"/>
      <c r="QF136" s="45"/>
      <c r="QK136" s="47"/>
      <c r="QL136" s="45"/>
      <c r="QQ136" s="47"/>
      <c r="QR136" s="45"/>
      <c r="QW136" s="47"/>
      <c r="QX136" s="45"/>
      <c r="RB136" s="42"/>
      <c r="RC136" s="47"/>
      <c r="RD136" s="45"/>
      <c r="RF136" s="42"/>
      <c r="RG136" s="47"/>
    </row>
    <row r="137" spans="1:475" x14ac:dyDescent="0.25">
      <c r="A137" s="40" t="s">
        <v>426</v>
      </c>
      <c r="B137" s="41">
        <v>0.6</v>
      </c>
      <c r="N137" s="43"/>
      <c r="O137" s="48"/>
      <c r="P137" s="48"/>
      <c r="Q137" s="48"/>
      <c r="R137" s="48">
        <f t="shared" si="17"/>
        <v>0</v>
      </c>
      <c r="S137" s="44"/>
      <c r="T137" s="43"/>
      <c r="U137" s="48"/>
      <c r="V137" s="48"/>
      <c r="W137" s="48"/>
      <c r="X137" s="48">
        <f t="shared" si="18"/>
        <v>0</v>
      </c>
      <c r="Y137" s="44"/>
      <c r="Z137" s="43"/>
      <c r="AA137" s="48"/>
      <c r="AB137" s="48"/>
      <c r="AC137" s="48"/>
      <c r="AD137" s="48">
        <f t="shared" si="19"/>
        <v>0</v>
      </c>
      <c r="AE137" s="44"/>
      <c r="AF137" s="43"/>
      <c r="AG137" s="48"/>
      <c r="AH137" s="48"/>
      <c r="AI137" s="48"/>
      <c r="AJ137" s="48">
        <f t="shared" si="20"/>
        <v>0</v>
      </c>
      <c r="AK137" s="44"/>
      <c r="AL137" s="48"/>
      <c r="AP137" s="42">
        <v>0</v>
      </c>
      <c r="AQ137" s="44"/>
      <c r="AR137" s="43"/>
      <c r="AV137" s="42">
        <v>0</v>
      </c>
      <c r="AW137" s="44"/>
      <c r="BC137" s="42">
        <v>0</v>
      </c>
      <c r="BD137" s="44"/>
      <c r="BE137" s="43"/>
      <c r="BI137" s="42">
        <v>0</v>
      </c>
      <c r="BJ137" s="44"/>
      <c r="BO137" s="42">
        <v>0</v>
      </c>
      <c r="BP137" s="44"/>
      <c r="BS137" s="42">
        <v>0</v>
      </c>
      <c r="BT137" s="44"/>
      <c r="BU137" s="43"/>
      <c r="BY137" s="42">
        <v>0</v>
      </c>
      <c r="BZ137" s="44"/>
      <c r="CE137" s="42">
        <v>0</v>
      </c>
      <c r="CF137" s="44"/>
      <c r="CG137" s="43"/>
      <c r="CK137" s="42">
        <v>0</v>
      </c>
      <c r="CL137" s="44"/>
      <c r="CM137" s="43"/>
      <c r="CQ137" s="42">
        <v>0</v>
      </c>
      <c r="CR137" s="44"/>
      <c r="CW137" s="42">
        <v>0</v>
      </c>
      <c r="CX137" s="44"/>
      <c r="CY137" s="43"/>
      <c r="DC137" s="42">
        <v>0</v>
      </c>
      <c r="DD137" s="44"/>
      <c r="DE137" s="43"/>
      <c r="DK137" s="42">
        <v>0</v>
      </c>
      <c r="DL137" s="44"/>
      <c r="DM137" s="43"/>
      <c r="DQ137" s="42">
        <v>0</v>
      </c>
      <c r="DR137" s="44"/>
      <c r="DY137" s="42">
        <v>0</v>
      </c>
      <c r="DZ137" s="44"/>
      <c r="EA137" s="43"/>
      <c r="EE137" s="42">
        <v>0</v>
      </c>
      <c r="EF137" s="44"/>
      <c r="EG137" s="43"/>
      <c r="EK137" s="42">
        <v>0</v>
      </c>
      <c r="EL137" s="44"/>
      <c r="EM137" s="43"/>
      <c r="EQ137" s="42">
        <v>0</v>
      </c>
      <c r="ER137" s="44"/>
      <c r="EY137" s="42">
        <v>0</v>
      </c>
      <c r="EZ137" s="44"/>
      <c r="FE137" s="42">
        <v>0</v>
      </c>
      <c r="FF137" s="44"/>
      <c r="FG137" s="43"/>
      <c r="FK137" s="42">
        <v>0</v>
      </c>
      <c r="FL137" s="44"/>
      <c r="FM137" s="43"/>
      <c r="FO137" s="42">
        <v>0</v>
      </c>
      <c r="FP137" s="44"/>
      <c r="FU137" s="42">
        <v>0</v>
      </c>
      <c r="FV137" s="44"/>
      <c r="FW137" s="43"/>
      <c r="GC137" s="42">
        <v>0</v>
      </c>
      <c r="GD137" s="44"/>
      <c r="GI137" s="42">
        <v>0</v>
      </c>
      <c r="GJ137" s="44"/>
      <c r="GK137" s="43"/>
      <c r="GO137" s="42">
        <v>0</v>
      </c>
      <c r="GP137" s="47"/>
      <c r="GU137" s="42">
        <v>0</v>
      </c>
      <c r="GV137" s="44"/>
      <c r="GY137" s="42">
        <v>0</v>
      </c>
      <c r="GZ137" s="47"/>
      <c r="HA137" s="43"/>
      <c r="HC137" s="42">
        <v>0</v>
      </c>
      <c r="HD137" s="44"/>
      <c r="HE137" s="43"/>
      <c r="HI137" s="42">
        <v>0</v>
      </c>
      <c r="HJ137" s="47"/>
      <c r="HK137" s="43"/>
      <c r="HO137" s="42">
        <v>0</v>
      </c>
      <c r="HP137" s="44"/>
      <c r="HV137" s="42">
        <v>0</v>
      </c>
      <c r="HW137" s="44"/>
      <c r="HX137" s="45"/>
      <c r="IB137" s="42">
        <v>0</v>
      </c>
      <c r="IC137" s="44"/>
      <c r="IH137" s="42">
        <v>0</v>
      </c>
      <c r="II137" s="47"/>
      <c r="IN137" s="42">
        <v>0</v>
      </c>
      <c r="IO137" s="47"/>
      <c r="IT137" s="42">
        <v>0</v>
      </c>
      <c r="IU137" s="47"/>
      <c r="IV137">
        <v>112</v>
      </c>
      <c r="IW137">
        <v>150</v>
      </c>
      <c r="IX137">
        <v>120</v>
      </c>
      <c r="IY137">
        <v>120</v>
      </c>
      <c r="IZ137" s="39">
        <v>-38</v>
      </c>
      <c r="JA137" s="44">
        <v>22.8</v>
      </c>
      <c r="JB137">
        <v>16</v>
      </c>
      <c r="JC137">
        <v>16</v>
      </c>
      <c r="JD137" s="42">
        <v>0</v>
      </c>
      <c r="JE137" s="44"/>
      <c r="JF137">
        <v>48</v>
      </c>
      <c r="JG137">
        <v>53</v>
      </c>
      <c r="JJ137" s="42">
        <v>-5</v>
      </c>
      <c r="JK137" s="44"/>
      <c r="JL137" s="46">
        <v>72</v>
      </c>
      <c r="JM137" s="40">
        <v>70</v>
      </c>
      <c r="JN137" s="42">
        <v>2</v>
      </c>
      <c r="JO137" s="44"/>
      <c r="JR137">
        <v>128</v>
      </c>
      <c r="JS137">
        <v>130</v>
      </c>
      <c r="JT137" s="42">
        <v>-2</v>
      </c>
      <c r="JU137" s="44"/>
      <c r="JZ137" s="42">
        <v>0</v>
      </c>
      <c r="KA137" s="47"/>
      <c r="KD137">
        <v>200</v>
      </c>
      <c r="KE137">
        <v>200</v>
      </c>
      <c r="KF137" s="42">
        <v>0</v>
      </c>
      <c r="KG137" s="44"/>
      <c r="KH137">
        <v>48</v>
      </c>
      <c r="KI137">
        <v>50</v>
      </c>
      <c r="KJ137">
        <v>112</v>
      </c>
      <c r="KK137">
        <v>110</v>
      </c>
      <c r="KL137" s="42">
        <v>0</v>
      </c>
      <c r="KM137" s="47"/>
      <c r="KN137" s="45"/>
      <c r="KP137">
        <v>16</v>
      </c>
      <c r="KQ137">
        <v>20</v>
      </c>
      <c r="KT137" s="42">
        <v>-4</v>
      </c>
      <c r="KU137" s="47"/>
      <c r="KV137" s="40">
        <v>0</v>
      </c>
      <c r="KW137" s="40">
        <v>0</v>
      </c>
      <c r="KX137" s="40">
        <v>176</v>
      </c>
      <c r="KY137" s="40">
        <v>178</v>
      </c>
      <c r="KZ137" s="42">
        <v>-2</v>
      </c>
      <c r="LA137" s="47"/>
      <c r="LB137" s="40">
        <v>0</v>
      </c>
      <c r="LC137" s="40">
        <v>0</v>
      </c>
      <c r="LD137" s="40">
        <v>88</v>
      </c>
      <c r="LE137" s="40">
        <v>90</v>
      </c>
      <c r="LF137" s="42">
        <v>-2</v>
      </c>
      <c r="LG137" s="47"/>
      <c r="LH137" s="45">
        <v>0</v>
      </c>
      <c r="LI137" s="40">
        <v>0</v>
      </c>
      <c r="LJ137" s="42">
        <v>0</v>
      </c>
      <c r="LK137" s="47"/>
      <c r="LL137" s="45">
        <v>40</v>
      </c>
      <c r="LM137" s="40">
        <v>40</v>
      </c>
      <c r="LN137" s="40">
        <v>200</v>
      </c>
      <c r="LO137" s="40">
        <v>200</v>
      </c>
      <c r="LP137" s="42">
        <v>0</v>
      </c>
      <c r="LQ137" s="47"/>
      <c r="LR137" s="45">
        <v>48</v>
      </c>
      <c r="LS137" s="40">
        <v>50</v>
      </c>
      <c r="LT137" s="40">
        <v>80</v>
      </c>
      <c r="LU137" s="40">
        <v>80</v>
      </c>
      <c r="LV137" s="42">
        <v>-2</v>
      </c>
      <c r="LW137" s="47"/>
      <c r="LX137" s="45">
        <v>0</v>
      </c>
      <c r="LY137" s="40">
        <v>0</v>
      </c>
      <c r="LZ137" s="42">
        <v>0</v>
      </c>
      <c r="MA137" s="47"/>
      <c r="MB137" s="45">
        <v>0</v>
      </c>
      <c r="MC137" s="40">
        <v>0</v>
      </c>
      <c r="MD137" s="40">
        <v>80</v>
      </c>
      <c r="ME137" s="40">
        <v>80</v>
      </c>
      <c r="MF137" s="42">
        <v>0</v>
      </c>
      <c r="MG137" s="47"/>
      <c r="MH137" s="45">
        <v>152</v>
      </c>
      <c r="MI137" s="40">
        <v>150</v>
      </c>
      <c r="MJ137" s="42">
        <v>2</v>
      </c>
      <c r="MK137" s="47"/>
      <c r="ML137" s="45"/>
      <c r="MQ137" s="47"/>
      <c r="MW137" s="47"/>
      <c r="MX137" s="45"/>
      <c r="NC137" s="47"/>
      <c r="ND137" s="45"/>
      <c r="NI137" s="47"/>
      <c r="NJ137" s="45"/>
      <c r="NO137" s="47"/>
      <c r="NP137" s="45"/>
      <c r="NU137" s="47"/>
      <c r="NV137" s="45"/>
      <c r="OA137" s="47"/>
      <c r="OB137" s="45"/>
      <c r="OE137" s="47"/>
      <c r="OF137" s="45"/>
      <c r="OK137" s="47"/>
      <c r="OL137" s="45"/>
      <c r="OQ137" s="47"/>
      <c r="OR137" s="45"/>
      <c r="OW137" s="47"/>
      <c r="PC137" s="47"/>
      <c r="PD137" s="45"/>
      <c r="PI137" s="47"/>
      <c r="PJ137" s="45"/>
      <c r="PO137" s="47"/>
      <c r="PP137" s="43"/>
      <c r="PU137" s="47"/>
      <c r="PV137" s="45"/>
      <c r="QA137" s="47"/>
      <c r="QB137" s="45"/>
      <c r="QE137" s="47"/>
      <c r="QF137" s="45"/>
      <c r="QK137" s="47"/>
      <c r="QL137" s="45"/>
      <c r="QQ137" s="47"/>
      <c r="QR137" s="45"/>
      <c r="QW137" s="47"/>
      <c r="QX137" s="45"/>
      <c r="RB137" s="42"/>
      <c r="RC137" s="47"/>
      <c r="RD137" s="45"/>
      <c r="RF137" s="42"/>
      <c r="RG137" s="47"/>
    </row>
    <row r="138" spans="1:475" x14ac:dyDescent="0.25">
      <c r="A138" s="40" t="s">
        <v>427</v>
      </c>
      <c r="B138" s="41">
        <v>1</v>
      </c>
      <c r="N138" s="43"/>
      <c r="O138" s="48"/>
      <c r="P138" s="48"/>
      <c r="Q138" s="48"/>
      <c r="R138" s="48">
        <f t="shared" si="17"/>
        <v>0</v>
      </c>
      <c r="S138" s="44"/>
      <c r="T138" s="43"/>
      <c r="U138" s="48"/>
      <c r="V138" s="48"/>
      <c r="W138" s="48"/>
      <c r="X138" s="48">
        <f t="shared" si="18"/>
        <v>0</v>
      </c>
      <c r="Y138" s="44"/>
      <c r="Z138" s="43"/>
      <c r="AA138" s="48"/>
      <c r="AB138" s="48"/>
      <c r="AC138" s="48"/>
      <c r="AD138" s="48">
        <f t="shared" si="19"/>
        <v>0</v>
      </c>
      <c r="AE138" s="44"/>
      <c r="AF138" s="43"/>
      <c r="AG138" s="48"/>
      <c r="AH138" s="48"/>
      <c r="AI138" s="48"/>
      <c r="AJ138" s="48">
        <f t="shared" si="20"/>
        <v>0</v>
      </c>
      <c r="AK138" s="44"/>
      <c r="AL138" s="48"/>
      <c r="AP138" s="42">
        <v>0</v>
      </c>
      <c r="AQ138" s="44"/>
      <c r="AR138" s="43"/>
      <c r="AV138" s="42">
        <v>0</v>
      </c>
      <c r="AW138" s="44"/>
      <c r="BC138" s="42">
        <v>0</v>
      </c>
      <c r="BD138" s="44"/>
      <c r="BE138" s="43"/>
      <c r="BI138" s="42">
        <v>0</v>
      </c>
      <c r="BJ138" s="44"/>
      <c r="BO138" s="42">
        <v>0</v>
      </c>
      <c r="BP138" s="44"/>
      <c r="BS138" s="42">
        <v>0</v>
      </c>
      <c r="BT138" s="44"/>
      <c r="BU138" s="43"/>
      <c r="BY138" s="42">
        <v>0</v>
      </c>
      <c r="BZ138" s="44"/>
      <c r="CE138" s="42">
        <v>0</v>
      </c>
      <c r="CF138" s="44"/>
      <c r="CG138" s="43"/>
      <c r="CK138" s="42">
        <v>0</v>
      </c>
      <c r="CL138" s="44"/>
      <c r="CM138" s="43"/>
      <c r="CQ138" s="42">
        <v>0</v>
      </c>
      <c r="CR138" s="44"/>
      <c r="CW138" s="42">
        <v>0</v>
      </c>
      <c r="CX138" s="44"/>
      <c r="CY138" s="43"/>
      <c r="DC138" s="42">
        <v>0</v>
      </c>
      <c r="DD138" s="44"/>
      <c r="DE138" s="43"/>
      <c r="DK138" s="42">
        <v>0</v>
      </c>
      <c r="DL138" s="44"/>
      <c r="DM138" s="43"/>
      <c r="DQ138" s="42">
        <v>0</v>
      </c>
      <c r="DR138" s="44"/>
      <c r="DY138" s="42">
        <v>0</v>
      </c>
      <c r="DZ138" s="44"/>
      <c r="EA138" s="43"/>
      <c r="EE138" s="42">
        <v>0</v>
      </c>
      <c r="EF138" s="44"/>
      <c r="EG138" s="43"/>
      <c r="EK138" s="42">
        <v>0</v>
      </c>
      <c r="EL138" s="44"/>
      <c r="EM138" s="43"/>
      <c r="EQ138" s="42">
        <v>0</v>
      </c>
      <c r="ER138" s="44"/>
      <c r="EY138" s="42">
        <v>0</v>
      </c>
      <c r="EZ138" s="44"/>
      <c r="FE138" s="42">
        <v>0</v>
      </c>
      <c r="FF138" s="44"/>
      <c r="FG138" s="43"/>
      <c r="FK138" s="42">
        <v>0</v>
      </c>
      <c r="FL138" s="44"/>
      <c r="FM138" s="43"/>
      <c r="FO138" s="42">
        <v>0</v>
      </c>
      <c r="FP138" s="44"/>
      <c r="FS138">
        <v>32</v>
      </c>
      <c r="FT138">
        <v>30</v>
      </c>
      <c r="FU138" s="42">
        <v>2</v>
      </c>
      <c r="FV138" s="44"/>
      <c r="FW138" s="43"/>
      <c r="GA138">
        <v>51</v>
      </c>
      <c r="GB138">
        <v>52</v>
      </c>
      <c r="GC138" s="42">
        <v>-1</v>
      </c>
      <c r="GD138" s="44"/>
      <c r="GI138" s="42">
        <v>0</v>
      </c>
      <c r="GJ138" s="44"/>
      <c r="GK138" s="43"/>
      <c r="GM138">
        <v>31</v>
      </c>
      <c r="GN138">
        <v>30</v>
      </c>
      <c r="GO138" s="42">
        <v>1</v>
      </c>
      <c r="GP138" s="47"/>
      <c r="GS138">
        <v>20</v>
      </c>
      <c r="GT138">
        <v>20</v>
      </c>
      <c r="GU138" s="42">
        <v>0</v>
      </c>
      <c r="GV138" s="44"/>
      <c r="GW138">
        <v>8</v>
      </c>
      <c r="GX138" s="40">
        <v>8</v>
      </c>
      <c r="GY138" s="42">
        <v>0</v>
      </c>
      <c r="GZ138" s="47"/>
      <c r="HA138" s="43"/>
      <c r="HC138" s="42">
        <v>0</v>
      </c>
      <c r="HD138" s="44"/>
      <c r="HE138" s="43"/>
      <c r="HI138" s="42">
        <v>0</v>
      </c>
      <c r="HJ138" s="47"/>
      <c r="HK138" s="43"/>
      <c r="HM138">
        <v>31</v>
      </c>
      <c r="HN138">
        <v>30</v>
      </c>
      <c r="HO138" s="42">
        <v>1</v>
      </c>
      <c r="HP138" s="44"/>
      <c r="HT138">
        <v>70</v>
      </c>
      <c r="HU138">
        <v>70</v>
      </c>
      <c r="HV138" s="42">
        <v>0</v>
      </c>
      <c r="HW138" s="44"/>
      <c r="HX138" s="45"/>
      <c r="IB138" s="42">
        <v>0</v>
      </c>
      <c r="IC138" s="44"/>
      <c r="IH138" s="42">
        <v>0</v>
      </c>
      <c r="II138" s="47"/>
      <c r="IN138" s="42">
        <v>0</v>
      </c>
      <c r="IO138" s="47"/>
      <c r="IP138">
        <v>83</v>
      </c>
      <c r="IQ138">
        <v>80</v>
      </c>
      <c r="IR138">
        <v>71</v>
      </c>
      <c r="IS138">
        <v>70</v>
      </c>
      <c r="IT138" s="42">
        <v>4</v>
      </c>
      <c r="IU138" s="47"/>
      <c r="IZ138" s="42">
        <v>0</v>
      </c>
      <c r="JA138" s="44"/>
      <c r="JD138" s="42">
        <v>0</v>
      </c>
      <c r="JE138" s="44"/>
      <c r="JF138">
        <v>48</v>
      </c>
      <c r="JG138">
        <v>48</v>
      </c>
      <c r="JH138">
        <v>47</v>
      </c>
      <c r="JI138">
        <v>48</v>
      </c>
      <c r="JJ138" s="42">
        <v>-1</v>
      </c>
      <c r="JK138" s="44"/>
      <c r="JL138" s="45"/>
      <c r="JN138" s="42">
        <v>0</v>
      </c>
      <c r="JO138" s="44"/>
      <c r="JT138" s="42">
        <v>0</v>
      </c>
      <c r="JU138" s="44"/>
      <c r="JX138">
        <v>127</v>
      </c>
      <c r="JY138">
        <v>128</v>
      </c>
      <c r="JZ138" s="42">
        <v>-1</v>
      </c>
      <c r="KA138" s="47"/>
      <c r="KF138" s="42">
        <v>0</v>
      </c>
      <c r="KG138" s="44"/>
      <c r="KH138" s="41"/>
      <c r="KL138" s="42">
        <v>0</v>
      </c>
      <c r="KM138" s="47"/>
      <c r="KN138" s="45"/>
      <c r="KP138">
        <v>63</v>
      </c>
      <c r="KQ138">
        <v>60</v>
      </c>
      <c r="KR138">
        <v>39</v>
      </c>
      <c r="KS138">
        <v>40</v>
      </c>
      <c r="KT138" s="42">
        <v>2</v>
      </c>
      <c r="KU138" s="47"/>
      <c r="KV138" s="40">
        <v>0</v>
      </c>
      <c r="KW138" s="40">
        <v>0</v>
      </c>
      <c r="KX138" s="40">
        <v>15.647</v>
      </c>
      <c r="KY138" s="40">
        <v>16</v>
      </c>
      <c r="KZ138" s="42">
        <v>-0.35299999999999981</v>
      </c>
      <c r="LA138" s="47"/>
      <c r="LB138" s="40">
        <v>0</v>
      </c>
      <c r="LC138" s="40">
        <v>0</v>
      </c>
      <c r="LD138" s="40">
        <v>0</v>
      </c>
      <c r="LE138" s="40">
        <v>0</v>
      </c>
      <c r="LF138" s="42">
        <v>0</v>
      </c>
      <c r="LG138" s="47"/>
      <c r="LH138" s="45">
        <v>0</v>
      </c>
      <c r="LI138" s="40">
        <v>0</v>
      </c>
      <c r="LJ138" s="42">
        <v>0</v>
      </c>
      <c r="LK138" s="47"/>
      <c r="LL138" s="45">
        <v>0</v>
      </c>
      <c r="LM138" s="40">
        <v>0</v>
      </c>
      <c r="LN138" s="40">
        <v>0</v>
      </c>
      <c r="LO138" s="40">
        <v>0</v>
      </c>
      <c r="LP138" s="42">
        <v>0</v>
      </c>
      <c r="LQ138" s="47"/>
      <c r="LR138" s="45">
        <v>70.662000000000006</v>
      </c>
      <c r="LS138" s="40">
        <v>70</v>
      </c>
      <c r="LT138" s="40">
        <v>102.098</v>
      </c>
      <c r="LU138" s="40">
        <v>100</v>
      </c>
      <c r="LV138" s="42">
        <v>2.7599999999999909</v>
      </c>
      <c r="LW138" s="47"/>
      <c r="LX138" s="45">
        <v>0</v>
      </c>
      <c r="LY138" s="40">
        <v>0</v>
      </c>
      <c r="LZ138" s="42">
        <v>0</v>
      </c>
      <c r="MA138" s="47"/>
      <c r="MB138" s="45">
        <v>31.960999999999999</v>
      </c>
      <c r="MC138" s="40">
        <v>30</v>
      </c>
      <c r="MD138" s="40">
        <v>35.277999999999999</v>
      </c>
      <c r="ME138" s="40">
        <v>35</v>
      </c>
      <c r="MF138" s="42">
        <v>2.2390000000000039</v>
      </c>
      <c r="MG138" s="47"/>
      <c r="MH138" s="45">
        <v>141.542</v>
      </c>
      <c r="MI138" s="40">
        <v>140</v>
      </c>
      <c r="MJ138" s="42">
        <v>1.542000000000002</v>
      </c>
      <c r="MK138" s="47"/>
      <c r="ML138" s="45">
        <v>0</v>
      </c>
      <c r="MM138" s="40">
        <v>0</v>
      </c>
      <c r="MN138" s="40">
        <v>51.029000000000003</v>
      </c>
      <c r="MO138" s="40">
        <v>50</v>
      </c>
      <c r="MP138" s="42">
        <v>1.029000000000003</v>
      </c>
      <c r="MQ138" s="47"/>
      <c r="MR138" s="40">
        <v>0</v>
      </c>
      <c r="MS138" s="40">
        <v>0</v>
      </c>
      <c r="MT138" s="40">
        <v>62.545000000000002</v>
      </c>
      <c r="MU138" s="40">
        <v>60</v>
      </c>
      <c r="MV138" s="42">
        <v>2.5450000000000021</v>
      </c>
      <c r="MW138" s="47"/>
      <c r="MX138" s="45">
        <v>0</v>
      </c>
      <c r="MY138" s="40">
        <v>0</v>
      </c>
      <c r="MZ138" s="40">
        <v>0</v>
      </c>
      <c r="NA138" s="40">
        <v>0</v>
      </c>
      <c r="NB138" s="42">
        <v>0</v>
      </c>
      <c r="NC138" s="47"/>
      <c r="ND138" s="45">
        <v>0</v>
      </c>
      <c r="NE138" s="40">
        <v>0</v>
      </c>
      <c r="NF138" s="40">
        <v>31.821000000000002</v>
      </c>
      <c r="NG138" s="40">
        <v>30</v>
      </c>
      <c r="NH138" s="42">
        <v>1.821000000000002</v>
      </c>
      <c r="NI138" s="47"/>
      <c r="NJ138" s="45">
        <v>51.484999999999999</v>
      </c>
      <c r="NK138" s="40">
        <v>50</v>
      </c>
      <c r="NL138" s="40">
        <v>102.429</v>
      </c>
      <c r="NM138" s="40">
        <v>100</v>
      </c>
      <c r="NN138" s="42">
        <v>3.9139999999999868</v>
      </c>
      <c r="NO138" s="47"/>
      <c r="NP138" s="45">
        <v>0</v>
      </c>
      <c r="NQ138" s="40">
        <v>0</v>
      </c>
      <c r="NR138" s="40">
        <v>31.157</v>
      </c>
      <c r="NS138" s="40">
        <v>30</v>
      </c>
      <c r="NT138" s="42">
        <v>1.157</v>
      </c>
      <c r="NU138" s="47"/>
      <c r="NV138" s="45">
        <v>0</v>
      </c>
      <c r="NW138" s="40">
        <v>0</v>
      </c>
      <c r="NX138" s="40">
        <v>0</v>
      </c>
      <c r="NY138" s="40">
        <v>0</v>
      </c>
      <c r="NZ138" s="42">
        <v>0</v>
      </c>
      <c r="OA138" s="47"/>
      <c r="OB138" s="45">
        <v>39.808</v>
      </c>
      <c r="OC138" s="40">
        <v>40</v>
      </c>
      <c r="OD138" s="42">
        <v>-0.1920000000000002</v>
      </c>
      <c r="OE138" s="47"/>
      <c r="OF138" s="45">
        <v>0</v>
      </c>
      <c r="OG138" s="40">
        <v>0</v>
      </c>
      <c r="OH138" s="40">
        <v>27.542999999999999</v>
      </c>
      <c r="OI138" s="40">
        <v>28</v>
      </c>
      <c r="OJ138" s="42">
        <v>-0.45700000000000068</v>
      </c>
      <c r="OK138" s="47"/>
      <c r="OL138" s="45">
        <v>84.819000000000003</v>
      </c>
      <c r="OM138" s="40">
        <v>80</v>
      </c>
      <c r="ON138" s="40">
        <v>71.668000000000006</v>
      </c>
      <c r="OO138" s="40">
        <v>70</v>
      </c>
      <c r="OP138" s="42">
        <v>6.4870000000000232</v>
      </c>
      <c r="OQ138" s="47"/>
      <c r="OR138" s="45">
        <v>0</v>
      </c>
      <c r="OS138" s="40">
        <v>0</v>
      </c>
      <c r="OT138" s="40">
        <v>0</v>
      </c>
      <c r="OU138" s="40">
        <v>0</v>
      </c>
      <c r="OV138" s="42">
        <v>0</v>
      </c>
      <c r="OW138" s="47"/>
      <c r="OX138" s="40">
        <v>0</v>
      </c>
      <c r="OY138" s="40">
        <v>0</v>
      </c>
      <c r="OZ138" s="40">
        <v>0</v>
      </c>
      <c r="PA138" s="40">
        <v>0</v>
      </c>
      <c r="PB138" s="42">
        <v>0</v>
      </c>
      <c r="PC138" s="47"/>
      <c r="PD138" s="45">
        <v>0</v>
      </c>
      <c r="PE138" s="40">
        <v>0</v>
      </c>
      <c r="PF138" s="14">
        <v>98.069000000000003</v>
      </c>
      <c r="PG138" s="40">
        <v>0</v>
      </c>
      <c r="PH138" s="42">
        <v>0</v>
      </c>
      <c r="PI138" s="47"/>
      <c r="PJ138" s="45">
        <v>0</v>
      </c>
      <c r="PK138" s="40">
        <v>0</v>
      </c>
      <c r="PL138" s="14">
        <v>101.351</v>
      </c>
      <c r="PM138" s="40">
        <v>0</v>
      </c>
      <c r="PN138" s="42">
        <v>0</v>
      </c>
      <c r="PO138" s="47"/>
      <c r="PP138" s="19"/>
      <c r="PR138" s="14"/>
      <c r="PU138" s="47"/>
      <c r="PV138" s="15"/>
      <c r="PX138" s="14"/>
      <c r="QA138" s="47"/>
      <c r="QB138" s="8"/>
      <c r="QE138" s="47"/>
      <c r="QF138" s="8"/>
      <c r="QH138" s="7"/>
      <c r="QK138" s="47"/>
      <c r="QL138" s="45"/>
      <c r="QQ138" s="47"/>
      <c r="QR138" s="45"/>
      <c r="QW138" s="47"/>
      <c r="QX138" s="45"/>
      <c r="RB138" s="42"/>
      <c r="RC138" s="47"/>
      <c r="RD138" s="45"/>
      <c r="RF138" s="42"/>
      <c r="RG138" s="47"/>
    </row>
    <row r="139" spans="1:475" x14ac:dyDescent="0.25">
      <c r="A139" s="40" t="s">
        <v>428</v>
      </c>
      <c r="B139" s="41">
        <v>1</v>
      </c>
      <c r="N139" s="43"/>
      <c r="O139" s="48"/>
      <c r="P139" s="48"/>
      <c r="Q139" s="48"/>
      <c r="R139" s="48">
        <f t="shared" si="17"/>
        <v>0</v>
      </c>
      <c r="S139" s="44"/>
      <c r="T139" s="43"/>
      <c r="U139" s="48"/>
      <c r="V139" s="48"/>
      <c r="W139" s="48"/>
      <c r="X139" s="48">
        <f t="shared" si="18"/>
        <v>0</v>
      </c>
      <c r="Y139" s="44"/>
      <c r="Z139" s="43"/>
      <c r="AA139" s="48"/>
      <c r="AB139" s="48"/>
      <c r="AC139" s="48"/>
      <c r="AD139" s="48">
        <f t="shared" si="19"/>
        <v>0</v>
      </c>
      <c r="AE139" s="44"/>
      <c r="AF139" s="43"/>
      <c r="AG139" s="48"/>
      <c r="AH139" s="48"/>
      <c r="AI139" s="48"/>
      <c r="AJ139" s="48">
        <f t="shared" si="20"/>
        <v>0</v>
      </c>
      <c r="AK139" s="44"/>
      <c r="AL139" s="48"/>
      <c r="AP139" s="42">
        <v>0</v>
      </c>
      <c r="AQ139" s="44"/>
      <c r="AR139" s="43"/>
      <c r="AV139" s="42">
        <v>0</v>
      </c>
      <c r="AW139" s="44"/>
      <c r="BC139" s="42">
        <v>0</v>
      </c>
      <c r="BD139" s="44"/>
      <c r="BE139" s="43"/>
      <c r="BI139" s="42">
        <v>0</v>
      </c>
      <c r="BJ139" s="44"/>
      <c r="BO139" s="42">
        <v>0</v>
      </c>
      <c r="BP139" s="44"/>
      <c r="BS139" s="42">
        <v>0</v>
      </c>
      <c r="BT139" s="44"/>
      <c r="BU139" s="43"/>
      <c r="BY139" s="42">
        <v>0</v>
      </c>
      <c r="BZ139" s="44"/>
      <c r="CE139" s="42">
        <v>0</v>
      </c>
      <c r="CF139" s="44"/>
      <c r="CG139" s="43"/>
      <c r="CK139" s="42">
        <v>0</v>
      </c>
      <c r="CL139" s="44"/>
      <c r="CM139" s="43"/>
      <c r="CQ139" s="42">
        <v>0</v>
      </c>
      <c r="CR139" s="44"/>
      <c r="CW139" s="42">
        <v>0</v>
      </c>
      <c r="CX139" s="44"/>
      <c r="CY139" s="43"/>
      <c r="DC139" s="42">
        <v>0</v>
      </c>
      <c r="DD139" s="44"/>
      <c r="DE139" s="43"/>
      <c r="DK139" s="42">
        <v>0</v>
      </c>
      <c r="DL139" s="44"/>
      <c r="DM139" s="43"/>
      <c r="DQ139" s="42">
        <v>0</v>
      </c>
      <c r="DR139" s="44"/>
      <c r="DY139" s="42">
        <v>0</v>
      </c>
      <c r="DZ139" s="44"/>
      <c r="EA139" s="43"/>
      <c r="EE139" s="42">
        <v>0</v>
      </c>
      <c r="EF139" s="44"/>
      <c r="EG139" s="43"/>
      <c r="EK139" s="42">
        <v>0</v>
      </c>
      <c r="EL139" s="44"/>
      <c r="EM139" s="43"/>
      <c r="EQ139" s="42">
        <v>0</v>
      </c>
      <c r="ER139" s="44"/>
      <c r="EY139" s="42">
        <v>0</v>
      </c>
      <c r="EZ139" s="44"/>
      <c r="FE139" s="42">
        <v>0</v>
      </c>
      <c r="FF139" s="44"/>
      <c r="FG139" s="43"/>
      <c r="FK139" s="42">
        <v>0</v>
      </c>
      <c r="FL139" s="44"/>
      <c r="FM139" s="43"/>
      <c r="FO139" s="42">
        <v>0</v>
      </c>
      <c r="FP139" s="44"/>
      <c r="FU139" s="42">
        <v>0</v>
      </c>
      <c r="FV139" s="44"/>
      <c r="FW139" s="43"/>
      <c r="GC139" s="42">
        <v>0</v>
      </c>
      <c r="GD139" s="44"/>
      <c r="GG139">
        <v>20</v>
      </c>
      <c r="GH139">
        <v>18</v>
      </c>
      <c r="GI139" s="42">
        <v>2</v>
      </c>
      <c r="GJ139" s="44"/>
      <c r="GK139" s="43"/>
      <c r="GM139">
        <v>12</v>
      </c>
      <c r="GN139">
        <v>10</v>
      </c>
      <c r="GO139" s="42">
        <v>2</v>
      </c>
      <c r="GP139" s="47"/>
      <c r="GU139" s="42">
        <v>0</v>
      </c>
      <c r="GV139" s="44"/>
      <c r="GY139" s="42">
        <v>0</v>
      </c>
      <c r="GZ139" s="47"/>
      <c r="HA139" s="43"/>
      <c r="HC139" s="42">
        <v>0</v>
      </c>
      <c r="HD139" s="44"/>
      <c r="HE139" s="43"/>
      <c r="HI139" s="42">
        <v>0</v>
      </c>
      <c r="HJ139" s="47"/>
      <c r="HK139" s="43"/>
      <c r="HO139" s="42">
        <v>0</v>
      </c>
      <c r="HP139" s="44"/>
      <c r="HV139" s="42">
        <v>0</v>
      </c>
      <c r="HW139" s="44"/>
      <c r="HX139" s="45"/>
      <c r="HZ139">
        <v>24</v>
      </c>
      <c r="IA139">
        <v>23</v>
      </c>
      <c r="IB139" s="42">
        <v>1</v>
      </c>
      <c r="IC139" s="44"/>
      <c r="IH139" s="42">
        <v>0</v>
      </c>
      <c r="II139" s="47"/>
      <c r="IL139">
        <v>12</v>
      </c>
      <c r="IM139">
        <v>12</v>
      </c>
      <c r="IN139" s="42">
        <v>0</v>
      </c>
      <c r="IO139" s="47"/>
      <c r="IT139" s="42">
        <v>0</v>
      </c>
      <c r="IU139" s="47"/>
      <c r="IZ139" s="42">
        <v>0</v>
      </c>
      <c r="JA139" s="44"/>
      <c r="JD139" s="42">
        <v>0</v>
      </c>
      <c r="JE139" s="44"/>
      <c r="JH139">
        <v>31</v>
      </c>
      <c r="JI139">
        <v>32</v>
      </c>
      <c r="JJ139" s="42">
        <v>-1</v>
      </c>
      <c r="JK139" s="44"/>
      <c r="JL139" s="45"/>
      <c r="JN139" s="42">
        <v>0</v>
      </c>
      <c r="JO139" s="44"/>
      <c r="JT139" s="42">
        <v>0</v>
      </c>
      <c r="JU139" s="44"/>
      <c r="JX139">
        <v>58</v>
      </c>
      <c r="JY139">
        <v>57</v>
      </c>
      <c r="JZ139" s="42">
        <v>1</v>
      </c>
      <c r="KA139" s="47"/>
      <c r="KD139">
        <v>8</v>
      </c>
      <c r="KE139">
        <v>7</v>
      </c>
      <c r="KF139" s="42">
        <v>1</v>
      </c>
      <c r="KG139" s="44"/>
      <c r="KH139" s="41"/>
      <c r="KJ139">
        <v>24</v>
      </c>
      <c r="KK139">
        <v>22</v>
      </c>
      <c r="KL139" s="42">
        <v>2</v>
      </c>
      <c r="KM139" s="47"/>
      <c r="KN139" s="45"/>
      <c r="KP139">
        <v>12</v>
      </c>
      <c r="KQ139">
        <v>12</v>
      </c>
      <c r="KT139" s="42">
        <v>0</v>
      </c>
      <c r="KU139" s="47"/>
      <c r="KV139" s="40">
        <v>0</v>
      </c>
      <c r="KW139" s="40">
        <v>0</v>
      </c>
      <c r="KX139" s="40">
        <v>11.817</v>
      </c>
      <c r="KY139" s="40">
        <v>10</v>
      </c>
      <c r="KZ139" s="42">
        <v>1.8169999999999999</v>
      </c>
      <c r="LA139" s="47"/>
      <c r="LB139" s="40">
        <v>0</v>
      </c>
      <c r="LC139" s="40">
        <v>0</v>
      </c>
      <c r="LD139" s="40">
        <v>0</v>
      </c>
      <c r="LE139" s="40">
        <v>0</v>
      </c>
      <c r="LF139" s="42">
        <v>0</v>
      </c>
      <c r="LG139" s="47"/>
      <c r="LH139" s="45">
        <v>38.692</v>
      </c>
      <c r="LI139" s="40">
        <v>42</v>
      </c>
      <c r="LJ139" s="42">
        <v>-3.3079999999999998</v>
      </c>
      <c r="LK139" s="47"/>
      <c r="LL139" s="45">
        <v>0</v>
      </c>
      <c r="LM139" s="40">
        <v>0</v>
      </c>
      <c r="LN139" s="40">
        <v>0</v>
      </c>
      <c r="LO139" s="40">
        <v>0</v>
      </c>
      <c r="LP139" s="42">
        <v>0</v>
      </c>
      <c r="LQ139" s="47"/>
      <c r="LR139" s="45">
        <v>0</v>
      </c>
      <c r="LS139" s="40">
        <v>0</v>
      </c>
      <c r="LT139" s="40">
        <v>27.238</v>
      </c>
      <c r="LU139" s="40">
        <v>25</v>
      </c>
      <c r="LV139" s="42">
        <v>2.238</v>
      </c>
      <c r="LW139" s="47"/>
      <c r="LX139" s="45">
        <v>0</v>
      </c>
      <c r="LY139" s="40">
        <v>0</v>
      </c>
      <c r="LZ139" s="42">
        <v>0</v>
      </c>
      <c r="MA139" s="47"/>
      <c r="MB139" s="45">
        <v>11.602</v>
      </c>
      <c r="MC139" s="40">
        <v>10</v>
      </c>
      <c r="MD139" s="40">
        <v>19.603000000000002</v>
      </c>
      <c r="ME139" s="40">
        <v>20</v>
      </c>
      <c r="MF139" s="42">
        <v>1.2050000000000021</v>
      </c>
      <c r="MG139" s="47"/>
      <c r="MH139" s="45">
        <v>31.175999999999998</v>
      </c>
      <c r="MI139" s="40">
        <v>32</v>
      </c>
      <c r="MJ139" s="42">
        <v>-0.82400000000000162</v>
      </c>
      <c r="MK139" s="47"/>
      <c r="ML139" s="45">
        <v>0</v>
      </c>
      <c r="MM139" s="40">
        <v>0</v>
      </c>
      <c r="MN139" s="40">
        <v>39.515000000000001</v>
      </c>
      <c r="MO139" s="40">
        <v>40</v>
      </c>
      <c r="MP139" s="42">
        <v>-0.48499999999999938</v>
      </c>
      <c r="MQ139" s="47"/>
      <c r="MR139" s="40">
        <v>0</v>
      </c>
      <c r="MS139" s="40">
        <v>0</v>
      </c>
      <c r="MT139" s="40">
        <v>11.647</v>
      </c>
      <c r="MU139" s="40">
        <v>10</v>
      </c>
      <c r="MV139" s="42">
        <v>1.647</v>
      </c>
      <c r="MW139" s="47"/>
      <c r="MX139" s="45">
        <v>0</v>
      </c>
      <c r="MY139" s="40">
        <v>0</v>
      </c>
      <c r="MZ139" s="40">
        <v>0</v>
      </c>
      <c r="NA139" s="40">
        <v>0</v>
      </c>
      <c r="NB139" s="42">
        <v>0</v>
      </c>
      <c r="NC139" s="47"/>
      <c r="ND139" s="45">
        <v>0</v>
      </c>
      <c r="NE139" s="40">
        <v>0</v>
      </c>
      <c r="NF139" s="40">
        <v>27.608000000000001</v>
      </c>
      <c r="NG139" s="40">
        <v>25</v>
      </c>
      <c r="NH139" s="42">
        <v>2.608000000000001</v>
      </c>
      <c r="NI139" s="47"/>
      <c r="NJ139" s="45">
        <v>0</v>
      </c>
      <c r="NK139" s="40">
        <v>0</v>
      </c>
      <c r="NL139" s="40">
        <v>46.076000000000001</v>
      </c>
      <c r="NM139" s="40">
        <v>48</v>
      </c>
      <c r="NN139" s="42">
        <v>-1.923999999999999</v>
      </c>
      <c r="NO139" s="47"/>
      <c r="NP139" s="45">
        <v>0</v>
      </c>
      <c r="NQ139" s="40">
        <v>0</v>
      </c>
      <c r="NR139" s="40">
        <v>0</v>
      </c>
      <c r="NS139" s="40">
        <v>0</v>
      </c>
      <c r="NT139" s="42">
        <v>0</v>
      </c>
      <c r="NU139" s="47"/>
      <c r="NV139" s="45">
        <v>0</v>
      </c>
      <c r="NW139" s="40">
        <v>0</v>
      </c>
      <c r="NX139" s="40">
        <v>0</v>
      </c>
      <c r="NY139" s="40">
        <v>0</v>
      </c>
      <c r="NZ139" s="42">
        <v>0</v>
      </c>
      <c r="OA139" s="47"/>
      <c r="OB139" s="45">
        <v>63.15</v>
      </c>
      <c r="OC139" s="40">
        <v>60</v>
      </c>
      <c r="OD139" s="42">
        <v>3.149999999999999</v>
      </c>
      <c r="OE139" s="47"/>
      <c r="OF139" s="45">
        <v>0</v>
      </c>
      <c r="OG139" s="40">
        <v>0</v>
      </c>
      <c r="OH139" s="40">
        <v>43.271999999999998</v>
      </c>
      <c r="OI139" s="40">
        <v>43</v>
      </c>
      <c r="OJ139" s="42">
        <v>0.27199999999999852</v>
      </c>
      <c r="OK139" s="47"/>
      <c r="OL139" s="45">
        <v>0</v>
      </c>
      <c r="OM139" s="40">
        <v>0</v>
      </c>
      <c r="ON139" s="40">
        <v>19.556999999999999</v>
      </c>
      <c r="OO139" s="40">
        <v>20</v>
      </c>
      <c r="OP139" s="42">
        <v>-0.44300000000000139</v>
      </c>
      <c r="OQ139" s="47"/>
      <c r="OR139" s="45">
        <v>0</v>
      </c>
      <c r="OS139" s="40">
        <v>0</v>
      </c>
      <c r="OT139" s="40">
        <v>52.32</v>
      </c>
      <c r="OU139" s="40">
        <v>49</v>
      </c>
      <c r="OV139" s="42">
        <v>3.32</v>
      </c>
      <c r="OW139" s="47"/>
      <c r="OX139" s="14">
        <v>31.303000000000001</v>
      </c>
      <c r="OY139" s="40">
        <v>0</v>
      </c>
      <c r="OZ139" s="14">
        <v>31.08</v>
      </c>
      <c r="PA139" s="40">
        <v>0</v>
      </c>
      <c r="PB139" s="42">
        <v>0</v>
      </c>
      <c r="PC139" s="47"/>
      <c r="PD139" s="45">
        <v>0</v>
      </c>
      <c r="PE139" s="40">
        <v>0</v>
      </c>
      <c r="PF139" s="14">
        <v>35.826999999999998</v>
      </c>
      <c r="PG139" s="40">
        <v>0</v>
      </c>
      <c r="PH139" s="42">
        <v>0</v>
      </c>
      <c r="PI139" s="47"/>
      <c r="PJ139" s="45"/>
      <c r="PL139" s="14"/>
      <c r="PO139" s="47"/>
      <c r="PP139" s="19"/>
      <c r="PR139" s="14"/>
      <c r="PU139" s="47"/>
      <c r="PV139" s="15"/>
      <c r="PX139" s="14"/>
      <c r="QA139" s="47"/>
      <c r="QB139" s="8"/>
      <c r="QE139" s="47"/>
      <c r="QF139" s="8"/>
      <c r="QH139" s="7"/>
      <c r="QK139" s="47"/>
      <c r="QL139" s="45"/>
      <c r="QQ139" s="47"/>
      <c r="QR139" s="45"/>
      <c r="QW139" s="47"/>
      <c r="QX139" s="45"/>
      <c r="RB139" s="42"/>
      <c r="RC139" s="47"/>
      <c r="RD139" s="45"/>
      <c r="RF139" s="42"/>
      <c r="RG139" s="47"/>
    </row>
    <row r="140" spans="1:475" x14ac:dyDescent="0.25">
      <c r="A140" s="40" t="s">
        <v>429</v>
      </c>
      <c r="B140" s="41">
        <v>1</v>
      </c>
      <c r="N140" s="43"/>
      <c r="O140" s="48"/>
      <c r="P140" s="48"/>
      <c r="Q140" s="48"/>
      <c r="R140" s="48">
        <f t="shared" si="17"/>
        <v>0</v>
      </c>
      <c r="S140" s="44"/>
      <c r="T140" s="43"/>
      <c r="U140" s="48"/>
      <c r="V140" s="48"/>
      <c r="W140" s="48"/>
      <c r="X140" s="48">
        <f t="shared" si="18"/>
        <v>0</v>
      </c>
      <c r="Y140" s="44"/>
      <c r="Z140" s="43"/>
      <c r="AA140" s="48"/>
      <c r="AB140" s="48"/>
      <c r="AC140" s="48"/>
      <c r="AD140" s="48">
        <f t="shared" si="19"/>
        <v>0</v>
      </c>
      <c r="AE140" s="44"/>
      <c r="AF140" s="43"/>
      <c r="AG140" s="48"/>
      <c r="AH140" s="48"/>
      <c r="AI140" s="48"/>
      <c r="AJ140" s="48">
        <f t="shared" si="20"/>
        <v>0</v>
      </c>
      <c r="AK140" s="44"/>
      <c r="AL140" s="48"/>
      <c r="AP140" s="42">
        <v>0</v>
      </c>
      <c r="AQ140" s="44"/>
      <c r="AR140" s="43"/>
      <c r="AV140" s="42">
        <v>0</v>
      </c>
      <c r="AW140" s="44"/>
      <c r="BC140" s="42">
        <v>0</v>
      </c>
      <c r="BD140" s="44"/>
      <c r="BE140" s="43"/>
      <c r="BI140" s="42">
        <v>0</v>
      </c>
      <c r="BJ140" s="44"/>
      <c r="BO140" s="42">
        <v>0</v>
      </c>
      <c r="BP140" s="44"/>
      <c r="BS140" s="42">
        <v>0</v>
      </c>
      <c r="BT140" s="44"/>
      <c r="BU140" s="43"/>
      <c r="BY140" s="42">
        <v>0</v>
      </c>
      <c r="BZ140" s="44"/>
      <c r="CE140" s="42">
        <v>0</v>
      </c>
      <c r="CF140" s="44"/>
      <c r="CG140" s="43"/>
      <c r="CK140" s="42">
        <v>0</v>
      </c>
      <c r="CL140" s="44"/>
      <c r="CM140" s="43"/>
      <c r="CQ140" s="42">
        <v>0</v>
      </c>
      <c r="CR140" s="44"/>
      <c r="CW140" s="42">
        <v>0</v>
      </c>
      <c r="CX140" s="44"/>
      <c r="CY140" s="43"/>
      <c r="DC140" s="42">
        <v>0</v>
      </c>
      <c r="DD140" s="44"/>
      <c r="DE140" s="43"/>
      <c r="DK140" s="42">
        <v>0</v>
      </c>
      <c r="DL140" s="44"/>
      <c r="DM140" s="43"/>
      <c r="DQ140" s="42">
        <v>0</v>
      </c>
      <c r="DR140" s="44"/>
      <c r="DY140" s="42">
        <v>0</v>
      </c>
      <c r="DZ140" s="44"/>
      <c r="EA140" s="43"/>
      <c r="EE140" s="42">
        <v>0</v>
      </c>
      <c r="EF140" s="44"/>
      <c r="EG140" s="43"/>
      <c r="EK140" s="42">
        <v>0</v>
      </c>
      <c r="EL140" s="44"/>
      <c r="EM140" s="43"/>
      <c r="EQ140" s="42">
        <v>0</v>
      </c>
      <c r="ER140" s="44"/>
      <c r="EY140" s="42">
        <v>0</v>
      </c>
      <c r="EZ140" s="44"/>
      <c r="FE140" s="42">
        <v>0</v>
      </c>
      <c r="FF140" s="44"/>
      <c r="FG140" s="43"/>
      <c r="FK140" s="42">
        <v>0</v>
      </c>
      <c r="FL140" s="44"/>
      <c r="FM140" s="43"/>
      <c r="FO140" s="42">
        <v>0</v>
      </c>
      <c r="FP140" s="44"/>
      <c r="FU140" s="42">
        <v>0</v>
      </c>
      <c r="FV140" s="44"/>
      <c r="FW140" s="43"/>
      <c r="GC140" s="42">
        <v>0</v>
      </c>
      <c r="GD140" s="44"/>
      <c r="GI140" s="42">
        <v>0</v>
      </c>
      <c r="GJ140" s="44"/>
      <c r="GK140" s="43"/>
      <c r="GO140" s="42">
        <v>0</v>
      </c>
      <c r="GP140" s="47"/>
      <c r="GU140" s="42">
        <v>0</v>
      </c>
      <c r="GV140" s="44"/>
      <c r="GY140" s="42">
        <v>0</v>
      </c>
      <c r="GZ140" s="47"/>
      <c r="HA140" s="43"/>
      <c r="HC140" s="42">
        <v>0</v>
      </c>
      <c r="HD140" s="44"/>
      <c r="HE140" s="43"/>
      <c r="HI140" s="42">
        <v>0</v>
      </c>
      <c r="HJ140" s="47"/>
      <c r="HK140" s="43"/>
      <c r="HO140" s="42">
        <v>0</v>
      </c>
      <c r="HP140" s="44"/>
      <c r="HV140" s="42">
        <v>0</v>
      </c>
      <c r="HW140" s="44"/>
      <c r="HX140" s="45"/>
      <c r="IB140" s="42">
        <v>0</v>
      </c>
      <c r="IC140" s="44"/>
      <c r="IH140" s="42">
        <v>0</v>
      </c>
      <c r="II140" s="47"/>
      <c r="IN140" s="42">
        <v>0</v>
      </c>
      <c r="IO140" s="47"/>
      <c r="IT140" s="42">
        <v>0</v>
      </c>
      <c r="IU140" s="47"/>
      <c r="IZ140" s="42">
        <v>0</v>
      </c>
      <c r="JA140" s="44"/>
      <c r="JD140" s="42">
        <v>0</v>
      </c>
      <c r="JE140" s="44"/>
      <c r="JJ140" s="42">
        <v>0</v>
      </c>
      <c r="JK140" s="44"/>
      <c r="JL140" s="45"/>
      <c r="JN140" s="42">
        <v>0</v>
      </c>
      <c r="JO140" s="44"/>
      <c r="JT140" s="42">
        <v>0</v>
      </c>
      <c r="JU140" s="44"/>
      <c r="JZ140" s="42">
        <v>0</v>
      </c>
      <c r="KA140" s="47"/>
      <c r="KF140" s="42">
        <v>0</v>
      </c>
      <c r="KG140" s="44"/>
      <c r="KH140" s="41"/>
      <c r="KL140" s="42">
        <v>0</v>
      </c>
      <c r="KM140" s="47"/>
      <c r="KN140" s="45"/>
      <c r="KT140" s="42">
        <v>0</v>
      </c>
      <c r="KU140" s="47"/>
      <c r="KV140" s="40">
        <v>0</v>
      </c>
      <c r="KW140" s="40">
        <v>0</v>
      </c>
      <c r="KX140" s="40">
        <v>0</v>
      </c>
      <c r="KY140" s="40">
        <v>0</v>
      </c>
      <c r="KZ140" s="42">
        <v>0</v>
      </c>
      <c r="LA140" s="47"/>
      <c r="LB140" s="40">
        <v>0</v>
      </c>
      <c r="LC140" s="40">
        <v>0</v>
      </c>
      <c r="LD140" s="40">
        <v>0</v>
      </c>
      <c r="LE140" s="40">
        <v>0</v>
      </c>
      <c r="LF140" s="42">
        <v>0</v>
      </c>
      <c r="LG140" s="47"/>
      <c r="LH140" s="45">
        <v>0</v>
      </c>
      <c r="LI140" s="40">
        <v>0</v>
      </c>
      <c r="LJ140" s="42">
        <v>0</v>
      </c>
      <c r="LK140" s="47"/>
      <c r="LL140" s="45">
        <v>0</v>
      </c>
      <c r="LM140" s="40">
        <v>0</v>
      </c>
      <c r="LN140" s="40">
        <v>0</v>
      </c>
      <c r="LO140" s="36">
        <v>50</v>
      </c>
      <c r="LP140" s="42">
        <v>-2.2700000000000031</v>
      </c>
      <c r="LQ140" s="47"/>
      <c r="LR140" s="45">
        <v>199.08500000000001</v>
      </c>
      <c r="LS140" s="40">
        <v>200</v>
      </c>
      <c r="LT140" s="40">
        <v>239</v>
      </c>
      <c r="LU140" s="40">
        <v>240</v>
      </c>
      <c r="LV140" s="42">
        <v>-1.9149999999999641</v>
      </c>
      <c r="LW140" s="47"/>
      <c r="LX140" s="45">
        <v>59.72</v>
      </c>
      <c r="LY140" s="40">
        <v>60</v>
      </c>
      <c r="LZ140" s="42">
        <v>-0.28000000000000108</v>
      </c>
      <c r="MA140" s="47"/>
      <c r="MB140" s="45">
        <v>48.375</v>
      </c>
      <c r="MC140" s="40">
        <v>50</v>
      </c>
      <c r="MD140" s="40">
        <v>47.88</v>
      </c>
      <c r="ME140" s="40">
        <v>50</v>
      </c>
      <c r="MF140" s="42">
        <v>-3.745000000000005</v>
      </c>
      <c r="MG140" s="47"/>
      <c r="MH140" s="45">
        <v>59.744999999999997</v>
      </c>
      <c r="MI140" s="40">
        <v>60</v>
      </c>
      <c r="MJ140" s="42">
        <v>-0.25500000000000261</v>
      </c>
      <c r="MK140" s="47"/>
      <c r="ML140" s="45">
        <v>48.45</v>
      </c>
      <c r="MM140" s="40">
        <v>50</v>
      </c>
      <c r="MN140" s="40">
        <v>300.73500000000001</v>
      </c>
      <c r="MO140" s="40">
        <v>300</v>
      </c>
      <c r="MP140" s="42">
        <v>-0.81499999999999773</v>
      </c>
      <c r="MQ140" s="47"/>
      <c r="MR140" s="40">
        <v>0</v>
      </c>
      <c r="MS140" s="40">
        <v>0</v>
      </c>
      <c r="MT140" s="40">
        <v>107.86499999999999</v>
      </c>
      <c r="MU140" s="40">
        <v>110</v>
      </c>
      <c r="MV140" s="42">
        <v>-2.1350000000000051</v>
      </c>
      <c r="MW140" s="47"/>
      <c r="MX140" s="45">
        <v>0</v>
      </c>
      <c r="MY140" s="40">
        <v>0</v>
      </c>
      <c r="MZ140" s="40">
        <v>18.2</v>
      </c>
      <c r="NA140" s="40">
        <v>20</v>
      </c>
      <c r="NB140" s="42">
        <v>-1.8000000000000009</v>
      </c>
      <c r="NC140" s="47"/>
      <c r="ND140" s="45">
        <v>0</v>
      </c>
      <c r="NE140" s="40">
        <v>0</v>
      </c>
      <c r="NF140" s="40">
        <v>17.895</v>
      </c>
      <c r="NG140" s="40">
        <v>20</v>
      </c>
      <c r="NH140" s="42">
        <v>-2.105</v>
      </c>
      <c r="NI140" s="47"/>
      <c r="NJ140" s="45">
        <v>150.69499999999999</v>
      </c>
      <c r="NK140" s="40">
        <v>150</v>
      </c>
      <c r="NL140" s="40">
        <v>157.25</v>
      </c>
      <c r="NM140" s="40">
        <v>158</v>
      </c>
      <c r="NN140" s="42">
        <v>-5.5000000000006821E-2</v>
      </c>
      <c r="NO140" s="47"/>
      <c r="NP140" s="45">
        <v>0</v>
      </c>
      <c r="NQ140" s="40">
        <v>0</v>
      </c>
      <c r="NR140" s="40">
        <v>90.5</v>
      </c>
      <c r="NS140" s="40">
        <v>90</v>
      </c>
      <c r="NT140" s="42">
        <v>0.5</v>
      </c>
      <c r="NU140" s="47"/>
      <c r="NV140" s="45">
        <v>0</v>
      </c>
      <c r="NW140" s="40">
        <v>0</v>
      </c>
      <c r="NX140" s="40">
        <v>29.754999999999999</v>
      </c>
      <c r="NY140" s="40">
        <v>30</v>
      </c>
      <c r="NZ140" s="42">
        <v>-0.24500000000000099</v>
      </c>
      <c r="OA140" s="47"/>
      <c r="OB140" s="45">
        <v>48.55</v>
      </c>
      <c r="OC140" s="40">
        <v>50</v>
      </c>
      <c r="OD140" s="42">
        <v>-1.4500000000000031</v>
      </c>
      <c r="OE140" s="47"/>
      <c r="OF140" s="45">
        <v>0</v>
      </c>
      <c r="OG140" s="40">
        <v>0</v>
      </c>
      <c r="OH140" s="40">
        <v>0</v>
      </c>
      <c r="OI140" s="40">
        <v>0</v>
      </c>
      <c r="OJ140" s="42">
        <v>0</v>
      </c>
      <c r="OK140" s="47"/>
      <c r="OL140" s="45">
        <v>47.99</v>
      </c>
      <c r="OM140" s="40">
        <v>50</v>
      </c>
      <c r="ON140" s="40">
        <v>42.034999999999997</v>
      </c>
      <c r="OO140" s="40">
        <v>40</v>
      </c>
      <c r="OP140" s="42">
        <v>2.5000000000005681E-2</v>
      </c>
      <c r="OQ140" s="47"/>
      <c r="OR140" s="45">
        <v>102.685</v>
      </c>
      <c r="OS140" s="40">
        <v>100</v>
      </c>
      <c r="OT140" s="40">
        <v>126.02</v>
      </c>
      <c r="OU140" s="40">
        <v>125</v>
      </c>
      <c r="OV140" s="42">
        <v>3.7049999999999841</v>
      </c>
      <c r="OW140" s="47"/>
      <c r="OX140" s="40">
        <v>0</v>
      </c>
      <c r="OY140" s="40">
        <v>0</v>
      </c>
      <c r="OZ140" s="40">
        <v>0</v>
      </c>
      <c r="PA140" s="40">
        <v>0</v>
      </c>
      <c r="PB140" s="42">
        <v>0</v>
      </c>
      <c r="PC140" s="47"/>
      <c r="PD140" s="45">
        <v>0</v>
      </c>
      <c r="PE140" s="40">
        <v>0</v>
      </c>
      <c r="PF140" s="40">
        <v>0</v>
      </c>
      <c r="PG140" s="40">
        <v>0</v>
      </c>
      <c r="PH140" s="42">
        <v>0</v>
      </c>
      <c r="PI140" s="47"/>
      <c r="PJ140" s="45">
        <v>0</v>
      </c>
      <c r="PK140" s="40">
        <v>0</v>
      </c>
      <c r="PL140" s="40">
        <v>148.67500000000001</v>
      </c>
      <c r="PM140" s="40">
        <v>153</v>
      </c>
      <c r="PN140" s="42">
        <v>-4.3249999999999886</v>
      </c>
      <c r="PO140" s="47"/>
      <c r="PP140" s="19">
        <v>47.755000000000003</v>
      </c>
      <c r="PQ140" s="40">
        <v>0</v>
      </c>
      <c r="PR140" s="14">
        <v>47.9</v>
      </c>
      <c r="PS140" s="40">
        <v>0</v>
      </c>
      <c r="PT140" s="42">
        <v>0</v>
      </c>
      <c r="PU140" s="47"/>
      <c r="PV140" s="15">
        <v>138.55500000000001</v>
      </c>
      <c r="PW140" s="40">
        <v>0</v>
      </c>
      <c r="PX140" s="14">
        <v>101.565</v>
      </c>
      <c r="PY140" s="40">
        <v>0</v>
      </c>
      <c r="PZ140" s="42">
        <v>0</v>
      </c>
      <c r="QA140" s="47"/>
      <c r="QB140" s="8"/>
      <c r="QE140" s="47"/>
      <c r="QF140" s="8"/>
      <c r="QH140" s="7"/>
      <c r="QK140" s="47"/>
      <c r="QL140" s="45"/>
      <c r="QQ140" s="47"/>
      <c r="QR140" s="45"/>
      <c r="QW140" s="47"/>
      <c r="QX140" s="45"/>
      <c r="RB140" s="42"/>
      <c r="RC140" s="47"/>
      <c r="RD140" s="45"/>
      <c r="RF140" s="42"/>
      <c r="RG140" s="47"/>
    </row>
    <row r="141" spans="1:475" x14ac:dyDescent="0.25">
      <c r="A141" s="40" t="s">
        <v>430</v>
      </c>
      <c r="B141" s="41">
        <v>1</v>
      </c>
      <c r="E141">
        <v>40</v>
      </c>
      <c r="F141">
        <v>40</v>
      </c>
      <c r="J141">
        <v>43</v>
      </c>
      <c r="K141">
        <v>40</v>
      </c>
      <c r="N141" s="46">
        <v>30</v>
      </c>
      <c r="O141" s="49">
        <v>30</v>
      </c>
      <c r="P141" s="48"/>
      <c r="Q141" s="48"/>
      <c r="R141" s="48">
        <f t="shared" si="17"/>
        <v>0</v>
      </c>
      <c r="S141" s="44"/>
      <c r="T141" s="46">
        <v>42</v>
      </c>
      <c r="U141" s="49">
        <v>40</v>
      </c>
      <c r="V141" s="49">
        <v>42</v>
      </c>
      <c r="W141" s="49">
        <v>40</v>
      </c>
      <c r="X141" s="48">
        <f t="shared" si="18"/>
        <v>4</v>
      </c>
      <c r="Y141" s="44"/>
      <c r="Z141" s="43"/>
      <c r="AA141" s="48"/>
      <c r="AB141" s="49">
        <v>59</v>
      </c>
      <c r="AC141" s="49">
        <v>60</v>
      </c>
      <c r="AD141" s="48">
        <f t="shared" si="19"/>
        <v>-1</v>
      </c>
      <c r="AE141" s="44"/>
      <c r="AF141" s="46">
        <v>18</v>
      </c>
      <c r="AG141" s="49">
        <v>18</v>
      </c>
      <c r="AH141" s="48"/>
      <c r="AI141" s="48"/>
      <c r="AJ141" s="48">
        <f t="shared" si="20"/>
        <v>0</v>
      </c>
      <c r="AK141" s="44"/>
      <c r="AL141" s="48"/>
      <c r="AP141" s="42">
        <v>0</v>
      </c>
      <c r="AQ141" s="44"/>
      <c r="AR141" s="46">
        <v>43</v>
      </c>
      <c r="AS141">
        <v>40</v>
      </c>
      <c r="AT141">
        <v>60</v>
      </c>
      <c r="AU141">
        <v>60</v>
      </c>
      <c r="AV141" s="42">
        <v>3</v>
      </c>
      <c r="AW141" s="44"/>
      <c r="BA141">
        <v>37</v>
      </c>
      <c r="BB141">
        <v>40</v>
      </c>
      <c r="BC141" s="42">
        <v>-3</v>
      </c>
      <c r="BD141" s="44"/>
      <c r="BE141" s="43"/>
      <c r="BG141">
        <v>78</v>
      </c>
      <c r="BH141">
        <v>80</v>
      </c>
      <c r="BI141" s="42">
        <v>-2</v>
      </c>
      <c r="BJ141" s="44"/>
      <c r="BK141">
        <v>42</v>
      </c>
      <c r="BL141">
        <v>40</v>
      </c>
      <c r="BM141">
        <v>43</v>
      </c>
      <c r="BN141">
        <v>40</v>
      </c>
      <c r="BO141" s="42">
        <v>5</v>
      </c>
      <c r="BP141" s="44"/>
      <c r="BS141" s="42">
        <v>0</v>
      </c>
      <c r="BT141" s="44"/>
      <c r="BU141" s="46">
        <v>78</v>
      </c>
      <c r="BV141">
        <v>80</v>
      </c>
      <c r="BX141">
        <v>80</v>
      </c>
      <c r="BY141" s="39">
        <v>-82</v>
      </c>
      <c r="BZ141" s="44">
        <v>82</v>
      </c>
      <c r="CC141">
        <v>12</v>
      </c>
      <c r="CD141">
        <v>10</v>
      </c>
      <c r="CE141" s="42">
        <v>2</v>
      </c>
      <c r="CF141" s="44"/>
      <c r="CG141" s="43"/>
      <c r="CI141">
        <v>30</v>
      </c>
      <c r="CJ141">
        <v>30</v>
      </c>
      <c r="CK141" s="42">
        <v>0</v>
      </c>
      <c r="CL141" s="44"/>
      <c r="CM141" s="43"/>
      <c r="CO141">
        <v>24</v>
      </c>
      <c r="CP141">
        <v>24</v>
      </c>
      <c r="CQ141" s="42">
        <v>0</v>
      </c>
      <c r="CR141" s="44"/>
      <c r="CU141">
        <v>30</v>
      </c>
      <c r="CV141">
        <v>30</v>
      </c>
      <c r="CW141" s="42">
        <v>0</v>
      </c>
      <c r="CX141" s="44"/>
      <c r="CY141" s="43"/>
      <c r="DA141">
        <v>151</v>
      </c>
      <c r="DB141">
        <v>150</v>
      </c>
      <c r="DC141" s="42">
        <v>1</v>
      </c>
      <c r="DD141" s="44"/>
      <c r="DE141" s="43"/>
      <c r="DK141" s="42">
        <v>0</v>
      </c>
      <c r="DL141" s="44"/>
      <c r="DM141" s="43"/>
      <c r="DO141">
        <v>102</v>
      </c>
      <c r="DP141">
        <v>100</v>
      </c>
      <c r="DQ141" s="42">
        <v>2</v>
      </c>
      <c r="DR141" s="44"/>
      <c r="DU141">
        <v>133</v>
      </c>
      <c r="DV141">
        <v>130</v>
      </c>
      <c r="DY141" s="42">
        <v>3</v>
      </c>
      <c r="DZ141" s="44"/>
      <c r="EA141" s="43"/>
      <c r="EE141" s="42">
        <v>0</v>
      </c>
      <c r="EF141" s="44"/>
      <c r="EG141" s="43"/>
      <c r="EI141">
        <v>18</v>
      </c>
      <c r="EJ141">
        <v>16</v>
      </c>
      <c r="EK141" s="42">
        <v>2</v>
      </c>
      <c r="EL141" s="44"/>
      <c r="EM141" s="46">
        <v>48</v>
      </c>
      <c r="EN141">
        <v>50</v>
      </c>
      <c r="EO141">
        <v>48</v>
      </c>
      <c r="EP141">
        <v>50</v>
      </c>
      <c r="EQ141" s="42">
        <v>-4</v>
      </c>
      <c r="ER141" s="44"/>
      <c r="EU141">
        <v>30</v>
      </c>
      <c r="EV141">
        <v>30</v>
      </c>
      <c r="EW141">
        <v>79</v>
      </c>
      <c r="EX141">
        <v>80</v>
      </c>
      <c r="EY141" s="42">
        <v>-1</v>
      </c>
      <c r="EZ141" s="44"/>
      <c r="FC141">
        <v>6</v>
      </c>
      <c r="FD141">
        <v>9</v>
      </c>
      <c r="FE141" s="42">
        <v>-3</v>
      </c>
      <c r="FF141" s="44"/>
      <c r="FG141" s="43"/>
      <c r="FI141">
        <v>90</v>
      </c>
      <c r="FJ141">
        <v>90</v>
      </c>
      <c r="FK141" s="42">
        <v>0</v>
      </c>
      <c r="FL141" s="44"/>
      <c r="FM141" s="43"/>
      <c r="FO141" s="42">
        <v>0</v>
      </c>
      <c r="FP141" s="44"/>
      <c r="FS141">
        <v>109</v>
      </c>
      <c r="FT141">
        <v>110</v>
      </c>
      <c r="FU141" s="42">
        <v>-1</v>
      </c>
      <c r="FV141" s="44"/>
      <c r="FW141" s="43"/>
      <c r="GA141">
        <v>49</v>
      </c>
      <c r="GB141">
        <v>50</v>
      </c>
      <c r="GC141" s="42">
        <v>-1</v>
      </c>
      <c r="GD141" s="44"/>
      <c r="GG141">
        <v>48</v>
      </c>
      <c r="GH141">
        <v>50</v>
      </c>
      <c r="GI141" s="42">
        <v>-2</v>
      </c>
      <c r="GJ141" s="44"/>
      <c r="GK141" s="43"/>
      <c r="GO141" s="42">
        <v>0</v>
      </c>
      <c r="GP141" s="47"/>
      <c r="GS141">
        <v>91</v>
      </c>
      <c r="GT141">
        <v>90</v>
      </c>
      <c r="GU141" s="42">
        <v>1</v>
      </c>
      <c r="GV141" s="44"/>
      <c r="GW141">
        <v>109</v>
      </c>
      <c r="GX141" s="40">
        <v>111.4218</v>
      </c>
      <c r="GY141" s="42">
        <v>-2.4218000000000051</v>
      </c>
      <c r="GZ141" s="47"/>
      <c r="HA141" s="46">
        <v>31</v>
      </c>
      <c r="HB141">
        <v>31</v>
      </c>
      <c r="HC141" s="42">
        <v>0</v>
      </c>
      <c r="HD141" s="44"/>
      <c r="HE141" s="43"/>
      <c r="HG141">
        <v>54</v>
      </c>
      <c r="HH141">
        <v>53</v>
      </c>
      <c r="HI141" s="42">
        <v>1</v>
      </c>
      <c r="HJ141" s="47"/>
      <c r="HK141" s="43"/>
      <c r="HM141">
        <v>18</v>
      </c>
      <c r="HN141">
        <v>20</v>
      </c>
      <c r="HO141" s="42">
        <v>-2</v>
      </c>
      <c r="HP141" s="44"/>
      <c r="HT141">
        <v>32</v>
      </c>
      <c r="HU141">
        <v>36</v>
      </c>
      <c r="HV141" s="42">
        <v>-4</v>
      </c>
      <c r="HW141" s="44"/>
      <c r="HX141" s="45"/>
      <c r="HZ141">
        <v>102</v>
      </c>
      <c r="IA141">
        <v>105</v>
      </c>
      <c r="IB141" s="42">
        <v>-3</v>
      </c>
      <c r="IC141" s="44"/>
      <c r="IF141">
        <v>91</v>
      </c>
      <c r="IG141">
        <v>90</v>
      </c>
      <c r="IH141" s="42">
        <v>1</v>
      </c>
      <c r="II141" s="47"/>
      <c r="IL141">
        <v>73</v>
      </c>
      <c r="IM141">
        <v>70</v>
      </c>
      <c r="IN141" s="42">
        <v>3</v>
      </c>
      <c r="IO141" s="47"/>
      <c r="IP141">
        <v>42</v>
      </c>
      <c r="IQ141">
        <v>40</v>
      </c>
      <c r="IR141">
        <v>43</v>
      </c>
      <c r="IS141">
        <v>40</v>
      </c>
      <c r="IT141" s="42">
        <v>5</v>
      </c>
      <c r="IU141" s="47"/>
      <c r="IZ141" s="42">
        <v>0</v>
      </c>
      <c r="JA141" s="44"/>
      <c r="JD141" s="42">
        <v>0</v>
      </c>
      <c r="JE141" s="44"/>
      <c r="JF141">
        <v>102</v>
      </c>
      <c r="JG141">
        <v>80</v>
      </c>
      <c r="JH141">
        <v>66</v>
      </c>
      <c r="JI141">
        <v>66</v>
      </c>
      <c r="JJ141" s="42">
        <v>22</v>
      </c>
      <c r="JK141" s="44"/>
      <c r="JL141" s="45"/>
      <c r="JN141" s="42">
        <v>0</v>
      </c>
      <c r="JO141" s="44"/>
      <c r="JR141">
        <v>102</v>
      </c>
      <c r="JS141">
        <v>100</v>
      </c>
      <c r="JT141" s="42">
        <v>2</v>
      </c>
      <c r="JU141" s="44"/>
      <c r="JX141">
        <v>162</v>
      </c>
      <c r="JY141">
        <v>160</v>
      </c>
      <c r="JZ141" s="42">
        <v>2</v>
      </c>
      <c r="KA141" s="47"/>
      <c r="KD141">
        <v>78</v>
      </c>
      <c r="KE141">
        <v>80</v>
      </c>
      <c r="KF141" s="42">
        <v>-2</v>
      </c>
      <c r="KG141" s="44"/>
      <c r="KH141" s="41"/>
      <c r="KJ141">
        <v>25</v>
      </c>
      <c r="KK141">
        <v>22</v>
      </c>
      <c r="KL141" s="42">
        <v>3</v>
      </c>
      <c r="KM141" s="47"/>
      <c r="KN141" s="45"/>
      <c r="KT141" s="42">
        <v>0</v>
      </c>
      <c r="KU141" s="47"/>
      <c r="KV141" s="40">
        <v>0</v>
      </c>
      <c r="KW141" s="40">
        <v>0</v>
      </c>
      <c r="KX141" s="40">
        <v>108.5</v>
      </c>
      <c r="KY141" s="40">
        <v>110</v>
      </c>
      <c r="KZ141" s="42">
        <v>-1.5</v>
      </c>
      <c r="LA141" s="47"/>
      <c r="LB141" s="40">
        <v>0</v>
      </c>
      <c r="LC141" s="40">
        <v>0</v>
      </c>
      <c r="LD141" s="40">
        <v>0</v>
      </c>
      <c r="LE141" s="40">
        <v>0</v>
      </c>
      <c r="LF141" s="42">
        <v>0</v>
      </c>
      <c r="LG141" s="47"/>
      <c r="LH141" s="45">
        <v>0</v>
      </c>
      <c r="LI141" s="40">
        <v>0</v>
      </c>
      <c r="LJ141" s="42">
        <v>0</v>
      </c>
      <c r="LK141" s="47"/>
      <c r="LL141" s="45">
        <v>0</v>
      </c>
      <c r="LM141" s="40">
        <v>0</v>
      </c>
      <c r="LN141" s="36">
        <v>47.73</v>
      </c>
      <c r="LO141" s="40">
        <v>0</v>
      </c>
      <c r="LP141" s="42">
        <v>0</v>
      </c>
      <c r="LQ141" s="47"/>
      <c r="LR141" s="45"/>
      <c r="LW141" s="47"/>
      <c r="LX141" s="45"/>
      <c r="MA141" s="47"/>
      <c r="MB141" s="45"/>
      <c r="MG141" s="47"/>
      <c r="MH141" s="45"/>
      <c r="MK141" s="47"/>
      <c r="ML141" s="45"/>
      <c r="MQ141" s="47"/>
      <c r="MW141" s="47"/>
      <c r="MX141" s="45"/>
      <c r="NC141" s="47"/>
      <c r="ND141" s="45"/>
      <c r="NI141" s="47"/>
      <c r="NJ141" s="45"/>
      <c r="NO141" s="47"/>
      <c r="NP141" s="45"/>
      <c r="NU141" s="47"/>
      <c r="NV141" s="45"/>
      <c r="OA141" s="47"/>
      <c r="OB141" s="45"/>
      <c r="OE141" s="47"/>
      <c r="OF141" s="45"/>
      <c r="OK141" s="47"/>
      <c r="OL141" s="45"/>
      <c r="OQ141" s="47"/>
      <c r="OR141" s="45"/>
      <c r="OW141" s="47"/>
      <c r="PC141" s="47"/>
      <c r="PD141" s="45"/>
      <c r="PI141" s="47"/>
      <c r="PJ141" s="45"/>
      <c r="PO141" s="47"/>
      <c r="PP141" s="43"/>
      <c r="PU141" s="47"/>
      <c r="PV141" s="45"/>
      <c r="QA141" s="47"/>
      <c r="QB141" s="45"/>
      <c r="QE141" s="47"/>
      <c r="QF141" s="45"/>
      <c r="QK141" s="47"/>
      <c r="QL141" s="45"/>
      <c r="QQ141" s="47"/>
      <c r="QR141" s="45"/>
      <c r="QW141" s="47"/>
      <c r="QX141" s="45"/>
      <c r="RB141" s="42"/>
      <c r="RC141" s="47"/>
      <c r="RD141" s="45"/>
      <c r="RF141" s="42"/>
      <c r="RG141" s="47"/>
    </row>
    <row r="142" spans="1:475" x14ac:dyDescent="0.25">
      <c r="A142" s="40" t="s">
        <v>431</v>
      </c>
      <c r="B142" s="41">
        <v>1</v>
      </c>
      <c r="N142" s="43"/>
      <c r="O142" s="48"/>
      <c r="P142" s="48"/>
      <c r="Q142" s="48"/>
      <c r="R142" s="48">
        <f t="shared" si="17"/>
        <v>0</v>
      </c>
      <c r="S142" s="44"/>
      <c r="T142" s="43"/>
      <c r="U142" s="48"/>
      <c r="V142" s="48"/>
      <c r="W142" s="48"/>
      <c r="X142" s="48">
        <f t="shared" si="18"/>
        <v>0</v>
      </c>
      <c r="Y142" s="44"/>
      <c r="Z142" s="43"/>
      <c r="AA142" s="48"/>
      <c r="AB142" s="48"/>
      <c r="AC142" s="48"/>
      <c r="AD142" s="48">
        <f t="shared" si="19"/>
        <v>0</v>
      </c>
      <c r="AE142" s="44"/>
      <c r="AF142" s="43"/>
      <c r="AG142" s="48"/>
      <c r="AH142" s="48"/>
      <c r="AI142" s="48"/>
      <c r="AJ142" s="48">
        <f t="shared" si="20"/>
        <v>0</v>
      </c>
      <c r="AK142" s="44"/>
      <c r="AL142" s="48"/>
      <c r="AP142" s="42">
        <v>0</v>
      </c>
      <c r="AQ142" s="44"/>
      <c r="AR142" s="43"/>
      <c r="AV142" s="42">
        <v>0</v>
      </c>
      <c r="AW142" s="44"/>
      <c r="BC142" s="42">
        <v>0</v>
      </c>
      <c r="BD142" s="44"/>
      <c r="BE142" s="43"/>
      <c r="BI142" s="42">
        <v>0</v>
      </c>
      <c r="BJ142" s="44"/>
      <c r="BO142" s="42">
        <v>0</v>
      </c>
      <c r="BP142" s="44"/>
      <c r="BS142" s="42">
        <v>0</v>
      </c>
      <c r="BT142" s="44"/>
      <c r="BU142" s="43"/>
      <c r="BY142" s="42">
        <v>0</v>
      </c>
      <c r="BZ142" s="44"/>
      <c r="CE142" s="42">
        <v>0</v>
      </c>
      <c r="CF142" s="44"/>
      <c r="CG142" s="43"/>
      <c r="CK142" s="42">
        <v>0</v>
      </c>
      <c r="CL142" s="44"/>
      <c r="CM142" s="43"/>
      <c r="CQ142" s="42">
        <v>0</v>
      </c>
      <c r="CR142" s="44"/>
      <c r="CW142" s="42">
        <v>0</v>
      </c>
      <c r="CX142" s="44"/>
      <c r="CY142" s="43"/>
      <c r="DC142" s="42">
        <v>0</v>
      </c>
      <c r="DD142" s="44"/>
      <c r="DE142" s="43"/>
      <c r="DK142" s="42">
        <v>0</v>
      </c>
      <c r="DL142" s="44"/>
      <c r="DM142" s="43"/>
      <c r="DQ142" s="42">
        <v>0</v>
      </c>
      <c r="DR142" s="44"/>
      <c r="DY142" s="42">
        <v>0</v>
      </c>
      <c r="DZ142" s="44"/>
      <c r="EA142" s="43"/>
      <c r="EE142" s="42">
        <v>0</v>
      </c>
      <c r="EF142" s="44"/>
      <c r="EG142" s="43"/>
      <c r="EK142" s="42">
        <v>0</v>
      </c>
      <c r="EL142" s="44"/>
      <c r="EM142" s="43"/>
      <c r="EQ142" s="42">
        <v>0</v>
      </c>
      <c r="ER142" s="44"/>
      <c r="EY142" s="42">
        <v>0</v>
      </c>
      <c r="EZ142" s="44"/>
      <c r="FE142" s="42">
        <v>0</v>
      </c>
      <c r="FF142" s="44"/>
      <c r="FG142" s="43"/>
      <c r="FK142" s="42">
        <v>0</v>
      </c>
      <c r="FL142" s="44"/>
      <c r="FM142" s="43"/>
      <c r="FO142" s="42">
        <v>0</v>
      </c>
      <c r="FP142" s="44"/>
      <c r="FU142" s="42">
        <v>0</v>
      </c>
      <c r="FV142" s="44"/>
      <c r="FW142" s="43"/>
      <c r="GC142" s="42">
        <v>0</v>
      </c>
      <c r="GD142" s="44"/>
      <c r="GI142" s="42">
        <v>0</v>
      </c>
      <c r="GJ142" s="44"/>
      <c r="GK142" s="43"/>
      <c r="GO142" s="42">
        <v>0</v>
      </c>
      <c r="GP142" s="47"/>
      <c r="GU142" s="42">
        <v>0</v>
      </c>
      <c r="GV142" s="44"/>
      <c r="GY142" s="42">
        <v>0</v>
      </c>
      <c r="GZ142" s="47"/>
      <c r="HA142" s="43"/>
      <c r="HC142" s="42">
        <v>0</v>
      </c>
      <c r="HD142" s="44"/>
      <c r="HE142" s="43"/>
      <c r="HI142" s="42">
        <v>0</v>
      </c>
      <c r="HJ142" s="47"/>
      <c r="HK142" s="43"/>
      <c r="HO142" s="42">
        <v>0</v>
      </c>
      <c r="HP142" s="44"/>
      <c r="HV142" s="42">
        <v>0</v>
      </c>
      <c r="HW142" s="44"/>
      <c r="HX142" s="45"/>
      <c r="IB142" s="42">
        <v>0</v>
      </c>
      <c r="IC142" s="44"/>
      <c r="IH142" s="42">
        <v>0</v>
      </c>
      <c r="II142" s="47"/>
      <c r="IN142" s="42">
        <v>0</v>
      </c>
      <c r="IO142" s="47"/>
      <c r="IT142" s="42">
        <v>0</v>
      </c>
      <c r="IU142" s="47"/>
      <c r="IZ142" s="42">
        <v>0</v>
      </c>
      <c r="JA142" s="44"/>
      <c r="JD142" s="42">
        <v>0</v>
      </c>
      <c r="JE142" s="44"/>
      <c r="JJ142" s="42">
        <v>0</v>
      </c>
      <c r="JK142" s="44"/>
      <c r="JL142" s="45"/>
      <c r="JN142" s="42">
        <v>0</v>
      </c>
      <c r="JO142" s="44"/>
      <c r="JT142" s="42">
        <v>0</v>
      </c>
      <c r="JU142" s="44"/>
      <c r="JZ142" s="42">
        <v>0</v>
      </c>
      <c r="KA142" s="47"/>
      <c r="KF142" s="42">
        <v>0</v>
      </c>
      <c r="KG142" s="44"/>
      <c r="KH142" s="41"/>
      <c r="KL142" s="42">
        <v>0</v>
      </c>
      <c r="KM142" s="47"/>
      <c r="KN142" s="45"/>
      <c r="KT142" s="42">
        <v>0</v>
      </c>
      <c r="KU142" s="47"/>
      <c r="KV142" s="40">
        <v>0</v>
      </c>
      <c r="KW142" s="40">
        <v>0</v>
      </c>
      <c r="KX142" s="40">
        <v>0</v>
      </c>
      <c r="KY142" s="40">
        <v>0</v>
      </c>
      <c r="KZ142" s="42">
        <v>0</v>
      </c>
      <c r="LA142" s="47"/>
      <c r="LB142" s="40">
        <v>0</v>
      </c>
      <c r="LC142" s="40">
        <v>0</v>
      </c>
      <c r="LD142" s="40">
        <v>0</v>
      </c>
      <c r="LE142" s="40">
        <v>0</v>
      </c>
      <c r="LF142" s="42">
        <v>0</v>
      </c>
      <c r="LG142" s="47"/>
      <c r="LH142" s="45">
        <v>0</v>
      </c>
      <c r="LI142" s="40">
        <v>0</v>
      </c>
      <c r="LJ142" s="42">
        <v>0</v>
      </c>
      <c r="LK142" s="47"/>
      <c r="LL142" s="45">
        <v>0</v>
      </c>
      <c r="LM142" s="40">
        <v>0</v>
      </c>
      <c r="LN142" s="40">
        <v>0</v>
      </c>
      <c r="LO142" s="40">
        <v>0</v>
      </c>
      <c r="LP142" s="42">
        <v>0</v>
      </c>
      <c r="LQ142" s="47"/>
      <c r="LR142" s="45">
        <v>0</v>
      </c>
      <c r="LS142" s="40">
        <v>0</v>
      </c>
      <c r="LT142" s="40">
        <v>0</v>
      </c>
      <c r="LU142" s="40">
        <v>0</v>
      </c>
      <c r="LV142" s="42">
        <v>0</v>
      </c>
      <c r="LW142" s="47"/>
      <c r="LX142" s="45">
        <v>0</v>
      </c>
      <c r="LY142" s="40">
        <v>0</v>
      </c>
      <c r="LZ142" s="42">
        <v>0</v>
      </c>
      <c r="MA142" s="47"/>
      <c r="MB142" s="45">
        <v>0</v>
      </c>
      <c r="MC142" s="40">
        <v>0</v>
      </c>
      <c r="MD142" s="40">
        <v>0</v>
      </c>
      <c r="ME142" s="40">
        <v>0</v>
      </c>
      <c r="MF142" s="42">
        <v>0</v>
      </c>
      <c r="MG142" s="47"/>
      <c r="MH142" s="45">
        <v>0</v>
      </c>
      <c r="MI142" s="40">
        <v>0</v>
      </c>
      <c r="MJ142" s="42">
        <v>0</v>
      </c>
      <c r="MK142" s="47"/>
      <c r="ML142" s="45">
        <v>0</v>
      </c>
      <c r="MM142" s="40">
        <v>0</v>
      </c>
      <c r="MN142" s="40">
        <v>16.140999999999998</v>
      </c>
      <c r="MO142" s="40">
        <v>20</v>
      </c>
      <c r="MP142" s="42">
        <v>-3.8590000000000022</v>
      </c>
      <c r="MQ142" s="47"/>
      <c r="MR142" s="40">
        <v>0</v>
      </c>
      <c r="MS142" s="40">
        <v>0</v>
      </c>
      <c r="MT142" s="40">
        <v>82.599000000000004</v>
      </c>
      <c r="MU142" s="40">
        <v>80</v>
      </c>
      <c r="MV142" s="42">
        <v>2.5990000000000042</v>
      </c>
      <c r="MW142" s="47"/>
      <c r="MX142" s="45">
        <v>0</v>
      </c>
      <c r="MY142" s="40">
        <v>0</v>
      </c>
      <c r="MZ142" s="40">
        <v>99.539000000000001</v>
      </c>
      <c r="NA142" s="40">
        <v>100</v>
      </c>
      <c r="NB142" s="42">
        <v>-0.46099999999999852</v>
      </c>
      <c r="NC142" s="47"/>
      <c r="ND142" s="45">
        <v>0</v>
      </c>
      <c r="NE142" s="40">
        <v>0</v>
      </c>
      <c r="NF142" s="40">
        <v>16.408000000000001</v>
      </c>
      <c r="NG142" s="40">
        <v>15</v>
      </c>
      <c r="NH142" s="42">
        <v>1.408000000000001</v>
      </c>
      <c r="NI142" s="47"/>
      <c r="NJ142" s="45">
        <v>0</v>
      </c>
      <c r="NK142" s="40">
        <v>0</v>
      </c>
      <c r="NL142" s="40">
        <v>96.588999999999999</v>
      </c>
      <c r="NM142" s="40">
        <v>99</v>
      </c>
      <c r="NN142" s="42">
        <v>-2.4110000000000009</v>
      </c>
      <c r="NO142" s="47"/>
      <c r="NP142" s="45">
        <v>0</v>
      </c>
      <c r="NQ142" s="40">
        <v>0</v>
      </c>
      <c r="NR142" s="40">
        <v>33.134999999999998</v>
      </c>
      <c r="NS142" s="40">
        <v>30</v>
      </c>
      <c r="NT142" s="42">
        <v>3.134999999999998</v>
      </c>
      <c r="NU142" s="47"/>
      <c r="NV142" s="45">
        <v>0</v>
      </c>
      <c r="NW142" s="40">
        <v>0</v>
      </c>
      <c r="NX142" s="40">
        <v>0</v>
      </c>
      <c r="NY142" s="40">
        <v>0</v>
      </c>
      <c r="NZ142" s="42">
        <v>0</v>
      </c>
      <c r="OA142" s="47"/>
      <c r="OB142" s="45">
        <v>0</v>
      </c>
      <c r="OC142" s="40">
        <v>0</v>
      </c>
      <c r="OD142" s="42">
        <v>0</v>
      </c>
      <c r="OE142" s="47"/>
      <c r="OF142" s="45">
        <v>0</v>
      </c>
      <c r="OG142" s="40">
        <v>0</v>
      </c>
      <c r="OH142" s="40">
        <v>0</v>
      </c>
      <c r="OI142" s="40">
        <v>0</v>
      </c>
      <c r="OJ142" s="42">
        <v>0</v>
      </c>
      <c r="OK142" s="47"/>
      <c r="OL142" s="45">
        <v>0</v>
      </c>
      <c r="OM142" s="40">
        <v>0</v>
      </c>
      <c r="ON142" s="40">
        <v>48.406999999999996</v>
      </c>
      <c r="OO142" s="40">
        <v>50</v>
      </c>
      <c r="OP142" s="42">
        <v>-1.593000000000004</v>
      </c>
      <c r="OQ142" s="47"/>
      <c r="OR142" s="45">
        <v>0</v>
      </c>
      <c r="OS142" s="40">
        <v>0</v>
      </c>
      <c r="OT142" s="40">
        <v>57.466000000000001</v>
      </c>
      <c r="OU142" s="40">
        <v>60</v>
      </c>
      <c r="OV142" s="42">
        <v>-2.5339999999999989</v>
      </c>
      <c r="OW142" s="47"/>
      <c r="OX142" s="40">
        <v>0</v>
      </c>
      <c r="OY142" s="40">
        <v>0</v>
      </c>
      <c r="OZ142" s="40">
        <v>41.685000000000002</v>
      </c>
      <c r="PA142" s="40">
        <v>40</v>
      </c>
      <c r="PB142" s="42">
        <v>1.6850000000000021</v>
      </c>
      <c r="PC142" s="47"/>
      <c r="PD142" s="45"/>
      <c r="PI142" s="47"/>
      <c r="PJ142" s="45"/>
      <c r="PO142" s="47"/>
      <c r="PP142" s="43"/>
      <c r="PU142" s="47"/>
      <c r="PV142" s="45"/>
      <c r="QA142" s="47"/>
      <c r="QB142" s="45"/>
      <c r="QE142" s="47"/>
      <c r="QF142" s="45"/>
      <c r="QK142" s="47"/>
      <c r="QL142" s="45"/>
      <c r="QQ142" s="47"/>
      <c r="QR142" s="45"/>
      <c r="QW142" s="47"/>
      <c r="QX142" s="45"/>
      <c r="RB142" s="42"/>
      <c r="RC142" s="47"/>
      <c r="RD142" s="45"/>
      <c r="RF142" s="42"/>
      <c r="RG142" s="47"/>
    </row>
    <row r="143" spans="1:475" x14ac:dyDescent="0.25">
      <c r="A143" s="40" t="s">
        <v>432</v>
      </c>
      <c r="B143" s="41">
        <v>1</v>
      </c>
      <c r="N143" s="43"/>
      <c r="O143" s="48"/>
      <c r="P143" s="48"/>
      <c r="Q143" s="48"/>
      <c r="R143" s="48">
        <f t="shared" si="17"/>
        <v>0</v>
      </c>
      <c r="S143" s="44"/>
      <c r="T143" s="43"/>
      <c r="U143" s="48"/>
      <c r="V143" s="48"/>
      <c r="W143" s="48"/>
      <c r="X143" s="48">
        <f t="shared" si="18"/>
        <v>0</v>
      </c>
      <c r="Y143" s="44"/>
      <c r="Z143" s="43"/>
      <c r="AA143" s="48"/>
      <c r="AB143" s="48"/>
      <c r="AC143" s="48"/>
      <c r="AD143" s="48">
        <f t="shared" si="19"/>
        <v>0</v>
      </c>
      <c r="AE143" s="44"/>
      <c r="AF143" s="43"/>
      <c r="AG143" s="48"/>
      <c r="AH143" s="48"/>
      <c r="AI143" s="48"/>
      <c r="AJ143" s="48">
        <f t="shared" si="20"/>
        <v>0</v>
      </c>
      <c r="AK143" s="44"/>
      <c r="AL143" s="48"/>
      <c r="AP143" s="42">
        <v>0</v>
      </c>
      <c r="AQ143" s="44"/>
      <c r="AR143" s="43"/>
      <c r="AV143" s="42">
        <v>0</v>
      </c>
      <c r="AW143" s="44"/>
      <c r="BC143" s="42">
        <v>0</v>
      </c>
      <c r="BD143" s="44"/>
      <c r="BE143" s="43"/>
      <c r="BI143" s="42">
        <v>0</v>
      </c>
      <c r="BJ143" s="44"/>
      <c r="BO143" s="42">
        <v>0</v>
      </c>
      <c r="BP143" s="44"/>
      <c r="BS143" s="42">
        <v>0</v>
      </c>
      <c r="BT143" s="44"/>
      <c r="BU143" s="43"/>
      <c r="BY143" s="42">
        <v>0</v>
      </c>
      <c r="BZ143" s="44"/>
      <c r="CE143" s="42">
        <v>0</v>
      </c>
      <c r="CF143" s="44"/>
      <c r="CG143" s="43"/>
      <c r="CK143" s="42">
        <v>0</v>
      </c>
      <c r="CL143" s="44"/>
      <c r="CM143" s="43"/>
      <c r="CQ143" s="42">
        <v>0</v>
      </c>
      <c r="CR143" s="44"/>
      <c r="CW143" s="42">
        <v>0</v>
      </c>
      <c r="CX143" s="44"/>
      <c r="CY143" s="43"/>
      <c r="DC143" s="42">
        <v>0</v>
      </c>
      <c r="DD143" s="44"/>
      <c r="DE143" s="43"/>
      <c r="DK143" s="42">
        <v>0</v>
      </c>
      <c r="DL143" s="44"/>
      <c r="DM143" s="43"/>
      <c r="DQ143" s="42">
        <v>0</v>
      </c>
      <c r="DR143" s="44"/>
      <c r="DY143" s="42">
        <v>0</v>
      </c>
      <c r="DZ143" s="44"/>
      <c r="EA143" s="43"/>
      <c r="EE143" s="42">
        <v>0</v>
      </c>
      <c r="EF143" s="44"/>
      <c r="EG143" s="43"/>
      <c r="EK143" s="42">
        <v>0</v>
      </c>
      <c r="EL143" s="44"/>
      <c r="EM143" s="43"/>
      <c r="EQ143" s="42">
        <v>0</v>
      </c>
      <c r="ER143" s="44"/>
      <c r="EY143" s="42">
        <v>0</v>
      </c>
      <c r="EZ143" s="44"/>
      <c r="FE143" s="42">
        <v>0</v>
      </c>
      <c r="FF143" s="44"/>
      <c r="FG143" s="43"/>
      <c r="FK143" s="42">
        <v>0</v>
      </c>
      <c r="FL143" s="44"/>
      <c r="FM143" s="43"/>
      <c r="FN143" s="42">
        <v>20</v>
      </c>
      <c r="FO143" s="39">
        <v>-20</v>
      </c>
      <c r="FP143" s="44">
        <v>20</v>
      </c>
      <c r="FU143" s="42">
        <v>0</v>
      </c>
      <c r="FV143" s="44"/>
      <c r="FW143" s="43"/>
      <c r="GC143" s="42">
        <v>0</v>
      </c>
      <c r="GD143" s="44"/>
      <c r="GJ143" s="44"/>
      <c r="GK143" s="43"/>
      <c r="GP143" s="47"/>
      <c r="GV143" s="44"/>
      <c r="GZ143" s="47"/>
      <c r="HA143" s="43"/>
      <c r="HD143" s="44"/>
      <c r="HE143" s="43"/>
      <c r="HJ143" s="47"/>
      <c r="HK143" s="43"/>
      <c r="HP143" s="44"/>
      <c r="HW143" s="44"/>
      <c r="HX143" s="45"/>
      <c r="IC143" s="44"/>
      <c r="II143" s="47"/>
      <c r="IO143" s="47"/>
      <c r="IU143" s="47"/>
      <c r="JA143" s="44"/>
      <c r="JE143" s="44"/>
      <c r="JK143" s="44"/>
      <c r="JL143" s="45"/>
      <c r="JO143" s="44"/>
      <c r="JU143" s="44"/>
      <c r="KA143" s="47"/>
      <c r="KG143" s="44"/>
      <c r="KH143" s="41"/>
      <c r="KM143" s="47"/>
      <c r="KN143" s="45"/>
      <c r="KU143" s="47"/>
      <c r="LA143" s="47"/>
      <c r="LG143" s="47"/>
      <c r="LH143" s="45"/>
      <c r="LK143" s="47"/>
      <c r="LL143" s="45"/>
      <c r="LQ143" s="47"/>
      <c r="LR143" s="45"/>
      <c r="LW143" s="47"/>
      <c r="LX143" s="45"/>
      <c r="MA143" s="47"/>
      <c r="MB143" s="45"/>
      <c r="MG143" s="47"/>
      <c r="MH143" s="45"/>
      <c r="MK143" s="47"/>
      <c r="ML143" s="45"/>
      <c r="MQ143" s="47"/>
      <c r="MW143" s="47"/>
      <c r="MX143" s="45"/>
      <c r="NC143" s="47"/>
      <c r="ND143" s="45"/>
      <c r="NI143" s="47"/>
      <c r="NJ143" s="45"/>
      <c r="NO143" s="47"/>
      <c r="NP143" s="45"/>
      <c r="NU143" s="47"/>
      <c r="NV143" s="45"/>
      <c r="NZ143" s="42"/>
      <c r="OA143" s="47"/>
      <c r="OB143" s="45"/>
      <c r="OD143" s="42"/>
      <c r="OE143" s="47"/>
      <c r="OF143" s="45"/>
      <c r="OJ143" s="42"/>
      <c r="OK143" s="47"/>
      <c r="OL143" s="45"/>
      <c r="OP143" s="42"/>
      <c r="OQ143" s="47"/>
      <c r="OR143" s="45"/>
      <c r="OV143" s="42"/>
      <c r="OW143" s="47"/>
      <c r="PB143" s="42"/>
      <c r="PC143" s="47"/>
      <c r="PD143" s="45"/>
      <c r="PI143" s="47"/>
      <c r="PJ143" s="45"/>
      <c r="PO143" s="47"/>
      <c r="PP143" s="43"/>
      <c r="PU143" s="47"/>
      <c r="PV143" s="45"/>
      <c r="QA143" s="47"/>
      <c r="QB143" s="45"/>
      <c r="QE143" s="47"/>
      <c r="QF143" s="45"/>
      <c r="QK143" s="47"/>
      <c r="QL143" s="45"/>
      <c r="QQ143" s="47"/>
      <c r="QR143" s="45"/>
      <c r="QW143" s="47"/>
      <c r="QX143" s="45"/>
      <c r="RB143" s="42"/>
      <c r="RC143" s="47"/>
      <c r="RD143" s="45"/>
      <c r="RF143" s="42"/>
      <c r="RG143" s="47"/>
    </row>
    <row r="144" spans="1:475" x14ac:dyDescent="0.25">
      <c r="A144" s="40" t="s">
        <v>433</v>
      </c>
      <c r="B144" s="41">
        <v>1</v>
      </c>
      <c r="N144" s="43"/>
      <c r="O144" s="48"/>
      <c r="P144" s="48"/>
      <c r="Q144" s="48"/>
      <c r="R144" s="48">
        <f t="shared" si="17"/>
        <v>0</v>
      </c>
      <c r="S144" s="44"/>
      <c r="T144" s="43"/>
      <c r="U144" s="48"/>
      <c r="V144" s="48"/>
      <c r="W144" s="48"/>
      <c r="X144" s="48">
        <f t="shared" si="18"/>
        <v>0</v>
      </c>
      <c r="Y144" s="44"/>
      <c r="Z144" s="43"/>
      <c r="AA144" s="48"/>
      <c r="AB144" s="48"/>
      <c r="AC144" s="48"/>
      <c r="AD144" s="48">
        <f t="shared" si="19"/>
        <v>0</v>
      </c>
      <c r="AE144" s="44"/>
      <c r="AF144" s="43"/>
      <c r="AG144" s="48"/>
      <c r="AH144" s="48"/>
      <c r="AI144" s="48"/>
      <c r="AJ144" s="48">
        <f t="shared" si="20"/>
        <v>0</v>
      </c>
      <c r="AK144" s="44"/>
      <c r="AL144" s="48"/>
      <c r="AP144" s="42">
        <v>0</v>
      </c>
      <c r="AQ144" s="44"/>
      <c r="AR144" s="43"/>
      <c r="AV144" s="42">
        <v>0</v>
      </c>
      <c r="AW144" s="44"/>
      <c r="BC144" s="42">
        <v>0</v>
      </c>
      <c r="BD144" s="44"/>
      <c r="BE144" s="43"/>
      <c r="BI144" s="42">
        <v>0</v>
      </c>
      <c r="BJ144" s="44"/>
      <c r="BO144" s="42">
        <v>0</v>
      </c>
      <c r="BP144" s="44"/>
      <c r="BS144" s="42">
        <v>0</v>
      </c>
      <c r="BT144" s="44"/>
      <c r="BU144" s="43"/>
      <c r="BY144" s="42">
        <v>0</v>
      </c>
      <c r="BZ144" s="44"/>
      <c r="CE144" s="42">
        <v>0</v>
      </c>
      <c r="CF144" s="44"/>
      <c r="CG144" s="43"/>
      <c r="CK144" s="42">
        <v>0</v>
      </c>
      <c r="CL144" s="44"/>
      <c r="CM144" s="43"/>
      <c r="CQ144" s="42">
        <v>0</v>
      </c>
      <c r="CR144" s="44"/>
      <c r="CW144" s="42">
        <v>0</v>
      </c>
      <c r="CX144" s="44"/>
      <c r="CY144" s="43"/>
      <c r="DC144" s="42">
        <v>0</v>
      </c>
      <c r="DD144" s="44"/>
      <c r="DE144" s="43"/>
      <c r="DK144" s="42">
        <v>0</v>
      </c>
      <c r="DL144" s="44"/>
      <c r="DM144" s="43"/>
      <c r="DQ144" s="42">
        <v>0</v>
      </c>
      <c r="DR144" s="44"/>
      <c r="DY144" s="42">
        <v>0</v>
      </c>
      <c r="DZ144" s="44"/>
      <c r="EA144" s="43"/>
      <c r="EE144" s="42">
        <v>0</v>
      </c>
      <c r="EF144" s="44"/>
      <c r="EG144" s="43"/>
      <c r="EK144" s="42">
        <v>0</v>
      </c>
      <c r="EL144" s="44"/>
      <c r="EM144" s="43"/>
      <c r="EQ144" s="42">
        <v>0</v>
      </c>
      <c r="ER144" s="44"/>
      <c r="EX144">
        <v>4</v>
      </c>
      <c r="EY144" s="39">
        <v>-4</v>
      </c>
      <c r="EZ144" s="44">
        <v>4</v>
      </c>
      <c r="FC144">
        <v>4</v>
      </c>
      <c r="FD144">
        <v>5</v>
      </c>
      <c r="FE144" s="42">
        <v>-1</v>
      </c>
      <c r="FF144" s="44"/>
      <c r="FG144" s="43"/>
      <c r="FI144">
        <v>24</v>
      </c>
      <c r="FJ144">
        <v>25</v>
      </c>
      <c r="FK144" s="42">
        <v>-1</v>
      </c>
      <c r="FL144" s="44"/>
      <c r="FM144" s="43"/>
      <c r="FO144" s="42">
        <v>0</v>
      </c>
      <c r="FP144" s="44"/>
      <c r="FU144" s="42">
        <v>0</v>
      </c>
      <c r="FV144" s="44"/>
      <c r="FW144" s="43">
        <v>52</v>
      </c>
      <c r="FX144" s="42">
        <v>52</v>
      </c>
      <c r="GC144" s="42">
        <v>0</v>
      </c>
      <c r="GD144" s="44"/>
      <c r="GI144" s="42">
        <v>0</v>
      </c>
      <c r="GJ144" s="44"/>
      <c r="GK144" s="43"/>
      <c r="GP144" s="47"/>
      <c r="GV144" s="44"/>
      <c r="GZ144" s="47"/>
      <c r="HA144" s="43"/>
      <c r="HD144" s="44"/>
      <c r="HE144" s="43"/>
      <c r="HJ144" s="47"/>
      <c r="HK144" s="43"/>
      <c r="HP144" s="44"/>
      <c r="HW144" s="44"/>
      <c r="HX144" s="45"/>
      <c r="IC144" s="44"/>
      <c r="II144" s="47"/>
      <c r="IO144" s="47"/>
      <c r="IU144" s="47"/>
      <c r="JA144" s="44"/>
      <c r="JE144" s="44"/>
      <c r="JK144" s="44"/>
      <c r="JL144" s="45"/>
      <c r="JO144" s="44"/>
      <c r="JU144" s="44"/>
      <c r="KA144" s="47"/>
      <c r="KG144" s="44"/>
      <c r="KH144" s="41"/>
      <c r="KM144" s="47"/>
      <c r="KN144" s="45"/>
      <c r="KU144" s="47"/>
      <c r="LA144" s="47"/>
      <c r="LG144" s="47"/>
      <c r="LH144" s="45"/>
      <c r="LK144" s="47"/>
      <c r="LL144" s="45"/>
      <c r="LQ144" s="47"/>
      <c r="LR144" s="45"/>
      <c r="LW144" s="47"/>
      <c r="LX144" s="45"/>
      <c r="MA144" s="47"/>
      <c r="MB144" s="45"/>
      <c r="MG144" s="47"/>
      <c r="MH144" s="45"/>
      <c r="MK144" s="47"/>
      <c r="ML144" s="45"/>
      <c r="MQ144" s="47"/>
      <c r="MW144" s="47"/>
      <c r="MX144" s="45"/>
      <c r="NC144" s="47"/>
      <c r="ND144" s="45"/>
      <c r="NI144" s="47"/>
      <c r="NJ144" s="45"/>
      <c r="NO144" s="47"/>
      <c r="NP144" s="45"/>
      <c r="NU144" s="47"/>
      <c r="NV144" s="45"/>
      <c r="NZ144" s="42"/>
      <c r="OA144" s="47"/>
      <c r="OB144" s="45"/>
      <c r="OD144" s="42"/>
      <c r="OE144" s="47"/>
      <c r="OF144" s="45"/>
      <c r="OJ144" s="42"/>
      <c r="OK144" s="47"/>
      <c r="OL144" s="45"/>
      <c r="OP144" s="42"/>
      <c r="OQ144" s="47"/>
      <c r="OR144" s="45"/>
      <c r="OV144" s="42"/>
      <c r="OW144" s="47"/>
      <c r="PB144" s="42"/>
      <c r="PC144" s="47"/>
      <c r="PD144" s="45"/>
      <c r="PI144" s="47"/>
      <c r="PJ144" s="45"/>
      <c r="PO144" s="47"/>
      <c r="PP144" s="43"/>
      <c r="PU144" s="47"/>
      <c r="PV144" s="45"/>
      <c r="QA144" s="47"/>
      <c r="QB144" s="45"/>
      <c r="QE144" s="47"/>
      <c r="QF144" s="45"/>
      <c r="QK144" s="47"/>
      <c r="QL144" s="45"/>
      <c r="QQ144" s="47"/>
      <c r="QR144" s="45"/>
      <c r="QW144" s="47"/>
      <c r="QX144" s="45"/>
      <c r="RB144" s="42"/>
      <c r="RC144" s="47"/>
      <c r="RD144" s="45"/>
      <c r="RF144" s="42"/>
      <c r="RG144" s="47"/>
    </row>
    <row r="145" spans="1:475" x14ac:dyDescent="0.25">
      <c r="A145" s="40" t="s">
        <v>434</v>
      </c>
      <c r="B145" s="41">
        <v>1</v>
      </c>
      <c r="N145" s="43"/>
      <c r="O145" s="48"/>
      <c r="P145" s="48"/>
      <c r="Q145" s="48"/>
      <c r="R145" s="48">
        <f t="shared" si="17"/>
        <v>0</v>
      </c>
      <c r="S145" s="44"/>
      <c r="T145" s="43"/>
      <c r="U145" s="48"/>
      <c r="V145" s="48"/>
      <c r="W145" s="48"/>
      <c r="X145" s="48">
        <f t="shared" si="18"/>
        <v>0</v>
      </c>
      <c r="Y145" s="44"/>
      <c r="Z145" s="43"/>
      <c r="AA145" s="48"/>
      <c r="AB145" s="48"/>
      <c r="AC145" s="48"/>
      <c r="AD145" s="48">
        <f t="shared" si="19"/>
        <v>0</v>
      </c>
      <c r="AE145" s="44"/>
      <c r="AF145" s="43"/>
      <c r="AG145" s="48"/>
      <c r="AH145" s="48"/>
      <c r="AI145" s="48"/>
      <c r="AJ145" s="48">
        <f t="shared" si="20"/>
        <v>0</v>
      </c>
      <c r="AK145" s="44"/>
      <c r="AL145" s="48"/>
      <c r="AP145" s="42">
        <v>0</v>
      </c>
      <c r="AQ145" s="44"/>
      <c r="AR145" s="43"/>
      <c r="AV145" s="42">
        <v>0</v>
      </c>
      <c r="AW145" s="44"/>
      <c r="BC145" s="42">
        <v>0</v>
      </c>
      <c r="BD145" s="44"/>
      <c r="BE145" s="43"/>
      <c r="BI145" s="42">
        <v>0</v>
      </c>
      <c r="BJ145" s="44"/>
      <c r="BO145" s="42">
        <v>0</v>
      </c>
      <c r="BP145" s="44"/>
      <c r="BS145" s="42">
        <v>0</v>
      </c>
      <c r="BT145" s="44"/>
      <c r="BU145" s="43"/>
      <c r="BY145" s="42">
        <v>0</v>
      </c>
      <c r="BZ145" s="44"/>
      <c r="CE145" s="42">
        <v>0</v>
      </c>
      <c r="CF145" s="44"/>
      <c r="CG145" s="43"/>
      <c r="CK145" s="42">
        <v>0</v>
      </c>
      <c r="CL145" s="44"/>
      <c r="CM145" s="43"/>
      <c r="CQ145" s="42">
        <v>0</v>
      </c>
      <c r="CR145" s="44"/>
      <c r="CW145" s="42">
        <v>0</v>
      </c>
      <c r="CX145" s="44"/>
      <c r="CY145" s="43"/>
      <c r="DC145" s="42">
        <v>0</v>
      </c>
      <c r="DD145" s="44"/>
      <c r="DE145" s="43"/>
      <c r="DK145" s="42">
        <v>0</v>
      </c>
      <c r="DL145" s="44"/>
      <c r="DM145" s="43"/>
      <c r="DQ145" s="42">
        <v>0</v>
      </c>
      <c r="DR145" s="44"/>
      <c r="DY145" s="42">
        <v>0</v>
      </c>
      <c r="DZ145" s="44"/>
      <c r="EA145" s="43"/>
      <c r="EE145" s="42">
        <v>0</v>
      </c>
      <c r="EF145" s="44"/>
      <c r="EG145" s="43"/>
      <c r="EK145" s="42">
        <v>0</v>
      </c>
      <c r="EL145" s="44"/>
      <c r="EM145" s="43"/>
      <c r="EQ145" s="42">
        <v>0</v>
      </c>
      <c r="ER145" s="44"/>
      <c r="EY145" s="42">
        <v>0</v>
      </c>
      <c r="EZ145" s="44"/>
      <c r="FD145">
        <v>8</v>
      </c>
      <c r="FE145" s="39">
        <v>-8</v>
      </c>
      <c r="FF145" s="44">
        <v>8</v>
      </c>
      <c r="FG145" s="43"/>
      <c r="FK145" s="42">
        <v>0</v>
      </c>
      <c r="FL145" s="44"/>
      <c r="FM145" s="43"/>
      <c r="FO145" s="42">
        <v>0</v>
      </c>
      <c r="FP145" s="44"/>
      <c r="FU145" s="42">
        <v>0</v>
      </c>
      <c r="FV145" s="44"/>
      <c r="FW145" s="43"/>
      <c r="FX145" s="42">
        <v>52</v>
      </c>
      <c r="GC145" s="39">
        <v>-52</v>
      </c>
      <c r="GD145" s="44">
        <v>52</v>
      </c>
      <c r="GI145" s="42">
        <v>0</v>
      </c>
      <c r="GJ145" s="44"/>
      <c r="GK145" s="43"/>
      <c r="GP145" s="47"/>
      <c r="GV145" s="44"/>
      <c r="GZ145" s="47"/>
      <c r="HA145" s="43"/>
      <c r="HD145" s="44"/>
      <c r="HE145" s="43"/>
      <c r="HJ145" s="47"/>
      <c r="HK145" s="43"/>
      <c r="HP145" s="44"/>
      <c r="HW145" s="44"/>
      <c r="HX145" s="45"/>
      <c r="IC145" s="44"/>
      <c r="II145" s="47"/>
      <c r="IO145" s="47"/>
      <c r="IU145" s="47"/>
      <c r="JA145" s="44"/>
      <c r="JE145" s="44"/>
      <c r="JK145" s="44"/>
      <c r="JL145" s="45"/>
      <c r="JO145" s="44"/>
      <c r="JU145" s="44"/>
      <c r="KA145" s="47"/>
      <c r="KG145" s="44"/>
      <c r="KH145" s="41"/>
      <c r="KM145" s="47"/>
      <c r="KN145" s="45"/>
      <c r="KU145" s="47"/>
      <c r="LA145" s="47"/>
      <c r="LG145" s="47"/>
      <c r="LH145" s="45"/>
      <c r="LK145" s="47"/>
      <c r="LL145" s="45"/>
      <c r="LQ145" s="47"/>
      <c r="LR145" s="45"/>
      <c r="LW145" s="47"/>
      <c r="LX145" s="45"/>
      <c r="MA145" s="47"/>
      <c r="MB145" s="45"/>
      <c r="MG145" s="47"/>
      <c r="MH145" s="45"/>
      <c r="MK145" s="47"/>
      <c r="ML145" s="45"/>
      <c r="MQ145" s="47"/>
      <c r="MW145" s="47"/>
      <c r="MX145" s="45"/>
      <c r="NC145" s="47"/>
      <c r="ND145" s="45"/>
      <c r="NI145" s="47"/>
      <c r="NJ145" s="45"/>
      <c r="NO145" s="47"/>
      <c r="NP145" s="45"/>
      <c r="NU145" s="47"/>
      <c r="NV145" s="45"/>
      <c r="NZ145" s="42"/>
      <c r="OA145" s="47"/>
      <c r="OB145" s="45"/>
      <c r="OD145" s="42"/>
      <c r="OE145" s="47"/>
      <c r="OF145" s="45"/>
      <c r="OJ145" s="42"/>
      <c r="OK145" s="47"/>
      <c r="OL145" s="45"/>
      <c r="OP145" s="42"/>
      <c r="OQ145" s="47"/>
      <c r="OR145" s="45"/>
      <c r="OV145" s="42"/>
      <c r="OW145" s="47"/>
      <c r="PB145" s="42"/>
      <c r="PC145" s="47"/>
      <c r="PD145" s="45"/>
      <c r="PI145" s="47"/>
      <c r="PJ145" s="45"/>
      <c r="PO145" s="47"/>
      <c r="PP145" s="43"/>
      <c r="PU145" s="47"/>
      <c r="PV145" s="45"/>
      <c r="QA145" s="47"/>
      <c r="QB145" s="45"/>
      <c r="QE145" s="47"/>
      <c r="QF145" s="45"/>
      <c r="QK145" s="47"/>
      <c r="QL145" s="45"/>
      <c r="QQ145" s="47"/>
      <c r="QR145" s="45"/>
      <c r="QW145" s="47"/>
      <c r="QX145" s="45"/>
      <c r="RB145" s="42"/>
      <c r="RC145" s="47"/>
      <c r="RD145" s="45"/>
      <c r="RF145" s="42"/>
      <c r="RG145" s="47"/>
    </row>
    <row r="146" spans="1:475" x14ac:dyDescent="0.25">
      <c r="A146" s="40" t="s">
        <v>435</v>
      </c>
      <c r="B146" s="41">
        <v>0.4</v>
      </c>
      <c r="N146" s="43"/>
      <c r="O146" s="48"/>
      <c r="P146" s="48"/>
      <c r="Q146" s="48"/>
      <c r="R146" s="48">
        <f t="shared" si="17"/>
        <v>0</v>
      </c>
      <c r="S146" s="44"/>
      <c r="T146" s="43"/>
      <c r="U146" s="48"/>
      <c r="V146" s="48"/>
      <c r="W146" s="48"/>
      <c r="X146" s="48">
        <f t="shared" si="18"/>
        <v>0</v>
      </c>
      <c r="Y146" s="44"/>
      <c r="Z146" s="43"/>
      <c r="AA146" s="48"/>
      <c r="AB146" s="48"/>
      <c r="AC146" s="48"/>
      <c r="AD146" s="48">
        <f t="shared" si="19"/>
        <v>0</v>
      </c>
      <c r="AE146" s="44"/>
      <c r="AF146" s="43"/>
      <c r="AG146" s="48"/>
      <c r="AH146" s="48"/>
      <c r="AI146" s="48"/>
      <c r="AJ146" s="48">
        <f t="shared" si="20"/>
        <v>0</v>
      </c>
      <c r="AK146" s="44"/>
      <c r="AL146" s="48"/>
      <c r="AP146" s="42">
        <v>0</v>
      </c>
      <c r="AQ146" s="44"/>
      <c r="AR146" s="43"/>
      <c r="AV146" s="42">
        <v>0</v>
      </c>
      <c r="AW146" s="44"/>
      <c r="BC146" s="42">
        <v>0</v>
      </c>
      <c r="BD146" s="44"/>
      <c r="BE146" s="43"/>
      <c r="BI146" s="42">
        <v>0</v>
      </c>
      <c r="BJ146" s="44"/>
      <c r="BO146" s="42">
        <v>0</v>
      </c>
      <c r="BP146" s="44"/>
      <c r="BS146" s="42">
        <v>0</v>
      </c>
      <c r="BT146" s="44"/>
      <c r="BU146" s="43"/>
      <c r="BY146" s="42">
        <v>0</v>
      </c>
      <c r="BZ146" s="44"/>
      <c r="CE146" s="42">
        <v>0</v>
      </c>
      <c r="CF146" s="44"/>
      <c r="CG146" s="43"/>
      <c r="CK146" s="42">
        <v>0</v>
      </c>
      <c r="CL146" s="44"/>
      <c r="CM146" s="43"/>
      <c r="CQ146" s="42">
        <v>0</v>
      </c>
      <c r="CR146" s="44"/>
      <c r="CV146">
        <v>8</v>
      </c>
      <c r="CW146" s="42">
        <v>-8</v>
      </c>
      <c r="CX146" s="44"/>
      <c r="CY146" s="43"/>
      <c r="DB146">
        <v>8</v>
      </c>
      <c r="DC146" s="39">
        <v>-8</v>
      </c>
      <c r="DD146" s="44">
        <v>3.2</v>
      </c>
      <c r="DE146" s="43"/>
      <c r="DK146" s="42">
        <v>0</v>
      </c>
      <c r="DL146" s="44"/>
      <c r="DM146" s="43"/>
      <c r="DP146">
        <v>16</v>
      </c>
      <c r="DQ146" s="39">
        <v>-16</v>
      </c>
      <c r="DR146" s="44">
        <v>6.4</v>
      </c>
      <c r="DV146">
        <v>16</v>
      </c>
      <c r="DY146" s="39">
        <v>-16</v>
      </c>
      <c r="DZ146" s="44">
        <v>6.4</v>
      </c>
      <c r="EA146" s="43"/>
      <c r="EE146" s="42">
        <v>0</v>
      </c>
      <c r="EF146" s="44"/>
      <c r="EG146" s="43"/>
      <c r="EJ146">
        <v>36</v>
      </c>
      <c r="EK146" s="39">
        <v>-36</v>
      </c>
      <c r="EL146" s="44">
        <v>14.4</v>
      </c>
      <c r="EM146" s="43"/>
      <c r="EN146">
        <v>24</v>
      </c>
      <c r="EQ146" s="39">
        <v>-24</v>
      </c>
      <c r="ER146" s="44">
        <v>9.6000000000000014</v>
      </c>
      <c r="EX146">
        <v>24</v>
      </c>
      <c r="EY146" s="39">
        <v>-24</v>
      </c>
      <c r="EZ146" s="44">
        <v>9.6000000000000014</v>
      </c>
      <c r="FE146" s="42">
        <v>0</v>
      </c>
      <c r="FF146" s="44"/>
      <c r="FG146" s="43"/>
      <c r="FJ146">
        <v>40</v>
      </c>
      <c r="FK146" s="39">
        <v>-40</v>
      </c>
      <c r="FL146" s="44">
        <v>16</v>
      </c>
      <c r="FM146" s="43"/>
      <c r="FN146">
        <v>24</v>
      </c>
      <c r="FO146" s="39">
        <v>-24</v>
      </c>
      <c r="FP146" s="44">
        <v>9.6000000000000014</v>
      </c>
      <c r="FU146" s="42">
        <v>0</v>
      </c>
      <c r="FV146" s="44"/>
      <c r="FW146" s="43"/>
      <c r="GB146">
        <v>50</v>
      </c>
      <c r="GC146" s="39">
        <v>-50</v>
      </c>
      <c r="GD146" s="44">
        <v>20</v>
      </c>
      <c r="GI146" s="42">
        <v>0</v>
      </c>
      <c r="GJ146" s="44"/>
      <c r="GK146" s="43"/>
      <c r="GN146">
        <v>60</v>
      </c>
      <c r="GO146" s="39">
        <v>-60</v>
      </c>
      <c r="GP146" s="44">
        <v>24</v>
      </c>
      <c r="GU146" s="42">
        <v>0</v>
      </c>
      <c r="GV146" s="44"/>
      <c r="GX146" s="40">
        <v>64</v>
      </c>
      <c r="GY146" s="39">
        <v>-64</v>
      </c>
      <c r="GZ146" s="47">
        <v>25.6</v>
      </c>
      <c r="HA146" s="43"/>
      <c r="HC146" s="42">
        <v>0</v>
      </c>
      <c r="HD146" s="44"/>
      <c r="HE146" s="43"/>
      <c r="HG146">
        <v>24</v>
      </c>
      <c r="HH146">
        <v>24</v>
      </c>
      <c r="HI146" s="42">
        <v>0</v>
      </c>
      <c r="HJ146" s="47"/>
      <c r="HK146" s="43"/>
      <c r="HN146" s="42">
        <v>20</v>
      </c>
      <c r="HO146" s="39">
        <v>-20</v>
      </c>
      <c r="HP146" s="44">
        <v>8</v>
      </c>
      <c r="HV146" s="42">
        <v>0</v>
      </c>
      <c r="HW146" s="44"/>
      <c r="HX146" s="45"/>
      <c r="IC146" s="44"/>
      <c r="II146" s="47"/>
      <c r="IO146" s="47"/>
      <c r="IU146" s="47"/>
      <c r="JA146" s="44"/>
      <c r="JE146" s="44"/>
      <c r="JK146" s="44"/>
      <c r="JL146" s="45"/>
      <c r="JO146" s="44"/>
      <c r="JU146" s="44"/>
      <c r="KA146" s="47"/>
      <c r="KG146" s="44"/>
      <c r="KH146" s="41"/>
      <c r="KM146" s="47"/>
      <c r="KN146" s="45"/>
      <c r="KU146" s="47"/>
      <c r="LA146" s="47"/>
      <c r="LG146" s="47"/>
      <c r="LH146" s="45"/>
      <c r="LK146" s="47"/>
      <c r="LL146" s="45"/>
      <c r="LQ146" s="47"/>
      <c r="LR146" s="45"/>
      <c r="LW146" s="47"/>
      <c r="LX146" s="45"/>
      <c r="MA146" s="47"/>
      <c r="MB146" s="45"/>
      <c r="MG146" s="47"/>
      <c r="MH146" s="45"/>
      <c r="MK146" s="47"/>
      <c r="ML146" s="45"/>
      <c r="MQ146" s="47"/>
      <c r="MW146" s="47"/>
      <c r="MX146" s="45"/>
      <c r="NC146" s="47"/>
      <c r="ND146" s="45"/>
      <c r="NI146" s="47"/>
      <c r="NJ146" s="45"/>
      <c r="NO146" s="47"/>
      <c r="NP146" s="45"/>
      <c r="NU146" s="47"/>
      <c r="NV146" s="45"/>
      <c r="OA146" s="47"/>
      <c r="OB146" s="45"/>
      <c r="OE146" s="47"/>
      <c r="OF146" s="45"/>
      <c r="OK146" s="47"/>
      <c r="OL146" s="45"/>
      <c r="OQ146" s="47"/>
      <c r="OR146" s="45"/>
      <c r="OW146" s="47"/>
      <c r="PC146" s="47"/>
      <c r="PD146" s="45"/>
      <c r="PI146" s="47"/>
      <c r="PJ146" s="45"/>
      <c r="PO146" s="47"/>
      <c r="PP146" s="43"/>
      <c r="PU146" s="47"/>
      <c r="PV146" s="45"/>
      <c r="QA146" s="47"/>
      <c r="QB146" s="45"/>
      <c r="QE146" s="47"/>
      <c r="QF146" s="45"/>
      <c r="QK146" s="47"/>
      <c r="QL146" s="45"/>
      <c r="QQ146" s="47"/>
      <c r="QR146" s="45"/>
      <c r="QW146" s="47"/>
      <c r="QX146" s="45"/>
      <c r="RB146" s="42"/>
      <c r="RC146" s="47"/>
      <c r="RD146" s="45"/>
      <c r="RF146" s="42"/>
      <c r="RG146" s="47"/>
    </row>
    <row r="147" spans="1:475" x14ac:dyDescent="0.25">
      <c r="A147" s="40" t="s">
        <v>436</v>
      </c>
      <c r="B147" s="41">
        <v>0.41</v>
      </c>
      <c r="N147" s="43"/>
      <c r="O147" s="48"/>
      <c r="P147" s="48"/>
      <c r="Q147" s="48"/>
      <c r="R147" s="48">
        <f t="shared" si="17"/>
        <v>0</v>
      </c>
      <c r="S147" s="44"/>
      <c r="T147" s="43"/>
      <c r="U147" s="48"/>
      <c r="V147" s="48"/>
      <c r="W147" s="48"/>
      <c r="X147" s="48">
        <f t="shared" si="18"/>
        <v>0</v>
      </c>
      <c r="Y147" s="44"/>
      <c r="Z147" s="43"/>
      <c r="AA147" s="48"/>
      <c r="AB147" s="48"/>
      <c r="AC147" s="48"/>
      <c r="AD147" s="48">
        <f t="shared" si="19"/>
        <v>0</v>
      </c>
      <c r="AE147" s="44"/>
      <c r="AF147" s="43"/>
      <c r="AG147" s="48"/>
      <c r="AH147" s="48"/>
      <c r="AI147" s="48"/>
      <c r="AJ147" s="48">
        <f t="shared" si="20"/>
        <v>0</v>
      </c>
      <c r="AK147" s="44"/>
      <c r="AL147" s="48"/>
      <c r="AP147" s="42">
        <v>0</v>
      </c>
      <c r="AQ147" s="44"/>
      <c r="AR147" s="43"/>
      <c r="AV147" s="42">
        <v>0</v>
      </c>
      <c r="AW147" s="44"/>
      <c r="BC147" s="42">
        <v>0</v>
      </c>
      <c r="BD147" s="44"/>
      <c r="BE147" s="43"/>
      <c r="BI147" s="42">
        <v>0</v>
      </c>
      <c r="BJ147" s="44"/>
      <c r="BO147" s="42">
        <v>0</v>
      </c>
      <c r="BP147" s="44"/>
      <c r="BS147" s="42">
        <v>0</v>
      </c>
      <c r="BT147" s="44"/>
      <c r="BU147" s="43"/>
      <c r="BY147" s="42">
        <v>0</v>
      </c>
      <c r="BZ147" s="44"/>
      <c r="CE147" s="42">
        <v>0</v>
      </c>
      <c r="CF147" s="44"/>
      <c r="CG147" s="43"/>
      <c r="CK147" s="42">
        <v>0</v>
      </c>
      <c r="CL147" s="44"/>
      <c r="CM147" s="43"/>
      <c r="CQ147" s="42">
        <v>0</v>
      </c>
      <c r="CR147" s="44"/>
      <c r="CW147" s="42">
        <v>0</v>
      </c>
      <c r="CX147" s="44"/>
      <c r="CY147" s="43"/>
      <c r="DC147" s="42">
        <v>0</v>
      </c>
      <c r="DD147" s="44"/>
      <c r="DE147" s="43"/>
      <c r="DK147" s="42">
        <v>0</v>
      </c>
      <c r="DL147" s="44"/>
      <c r="DM147" s="43"/>
      <c r="DQ147" s="42">
        <v>0</v>
      </c>
      <c r="DR147" s="44"/>
      <c r="DY147" s="42">
        <v>0</v>
      </c>
      <c r="DZ147" s="44"/>
      <c r="EA147" s="43"/>
      <c r="EE147" s="42">
        <v>0</v>
      </c>
      <c r="EF147" s="44"/>
      <c r="EG147" s="43"/>
      <c r="EK147" s="42">
        <v>0</v>
      </c>
      <c r="EL147" s="44"/>
      <c r="EM147" s="43"/>
      <c r="EQ147" s="42">
        <v>0</v>
      </c>
      <c r="ER147" s="44"/>
      <c r="EY147" s="42">
        <v>0</v>
      </c>
      <c r="EZ147" s="44"/>
      <c r="FE147" s="42">
        <v>0</v>
      </c>
      <c r="FF147" s="44"/>
      <c r="FG147" s="43"/>
      <c r="FK147" s="42">
        <v>0</v>
      </c>
      <c r="FL147" s="44"/>
      <c r="FM147" s="43"/>
      <c r="FO147" s="42">
        <v>0</v>
      </c>
      <c r="FP147" s="44"/>
      <c r="FU147" s="42">
        <v>0</v>
      </c>
      <c r="FV147" s="44"/>
      <c r="FW147" s="43"/>
      <c r="GC147" s="42">
        <v>0</v>
      </c>
      <c r="GD147" s="44"/>
      <c r="GI147" s="42">
        <v>0</v>
      </c>
      <c r="GJ147" s="44"/>
      <c r="GK147" s="43"/>
      <c r="GO147" s="42">
        <v>0</v>
      </c>
      <c r="GP147" s="47"/>
      <c r="GU147" s="42">
        <v>0</v>
      </c>
      <c r="GV147" s="44"/>
      <c r="GY147" s="42">
        <v>0</v>
      </c>
      <c r="GZ147" s="47"/>
      <c r="HA147" s="43"/>
      <c r="HC147" s="42">
        <v>0</v>
      </c>
      <c r="HD147" s="44"/>
      <c r="HE147" s="43"/>
      <c r="HI147" s="42">
        <v>0</v>
      </c>
      <c r="HJ147" s="47"/>
      <c r="HK147" s="43"/>
      <c r="HO147" s="42">
        <v>0</v>
      </c>
      <c r="HP147" s="44"/>
      <c r="HV147" s="42">
        <v>0</v>
      </c>
      <c r="HW147" s="44"/>
      <c r="HX147" s="45"/>
      <c r="IB147" s="42">
        <v>0</v>
      </c>
      <c r="IC147" s="44"/>
      <c r="IH147" s="42">
        <v>0</v>
      </c>
      <c r="II147" s="47"/>
      <c r="IN147" s="42">
        <v>0</v>
      </c>
      <c r="IO147" s="47"/>
      <c r="IT147" s="42">
        <v>0</v>
      </c>
      <c r="IU147" s="47"/>
      <c r="IZ147" s="42">
        <v>0</v>
      </c>
      <c r="JA147" s="44"/>
      <c r="JD147" s="42">
        <v>0</v>
      </c>
      <c r="JE147" s="44"/>
      <c r="JJ147" s="42">
        <v>0</v>
      </c>
      <c r="JK147" s="44"/>
      <c r="JL147" s="45"/>
      <c r="JN147" s="42">
        <v>0</v>
      </c>
      <c r="JO147" s="44"/>
      <c r="JT147" s="42">
        <v>0</v>
      </c>
      <c r="JU147" s="44"/>
      <c r="JZ147" s="42">
        <v>0</v>
      </c>
      <c r="KA147" s="47"/>
      <c r="KF147" s="42">
        <v>0</v>
      </c>
      <c r="KG147" s="44"/>
      <c r="KH147" s="41"/>
      <c r="KL147" s="42">
        <v>0</v>
      </c>
      <c r="KM147" s="47"/>
      <c r="KN147" s="45"/>
      <c r="KT147" s="42">
        <v>0</v>
      </c>
      <c r="KU147" s="47"/>
      <c r="KV147" s="40">
        <v>0</v>
      </c>
      <c r="KW147" s="40">
        <v>0</v>
      </c>
      <c r="KX147" s="40">
        <v>0</v>
      </c>
      <c r="KY147" s="40">
        <v>0</v>
      </c>
      <c r="KZ147" s="42">
        <v>0</v>
      </c>
      <c r="LA147" s="47"/>
      <c r="LB147" s="40">
        <v>0</v>
      </c>
      <c r="LC147" s="40">
        <v>0</v>
      </c>
      <c r="LD147" s="40">
        <v>0</v>
      </c>
      <c r="LE147" s="40">
        <v>0</v>
      </c>
      <c r="LF147" s="42">
        <v>0</v>
      </c>
      <c r="LG147" s="47"/>
      <c r="LH147" s="45">
        <v>0</v>
      </c>
      <c r="LI147" s="40">
        <v>0</v>
      </c>
      <c r="LJ147" s="42">
        <v>0</v>
      </c>
      <c r="LK147" s="47"/>
      <c r="LL147" s="45">
        <v>0</v>
      </c>
      <c r="LM147" s="40">
        <v>0</v>
      </c>
      <c r="LN147" s="40">
        <v>0</v>
      </c>
      <c r="LO147" s="40">
        <v>0</v>
      </c>
      <c r="LP147" s="42">
        <v>0</v>
      </c>
      <c r="LQ147" s="47"/>
      <c r="LR147" s="45">
        <v>0</v>
      </c>
      <c r="LS147" s="40">
        <v>0</v>
      </c>
      <c r="LT147" s="40">
        <v>0</v>
      </c>
      <c r="LU147" s="40">
        <v>0</v>
      </c>
      <c r="LV147" s="42">
        <v>0</v>
      </c>
      <c r="LW147" s="47"/>
      <c r="LX147" s="45">
        <v>0</v>
      </c>
      <c r="LY147" s="40">
        <v>0</v>
      </c>
      <c r="LZ147" s="42">
        <v>0</v>
      </c>
      <c r="MA147" s="47"/>
      <c r="MB147" s="45">
        <v>0</v>
      </c>
      <c r="MC147" s="40">
        <v>0</v>
      </c>
      <c r="MD147" s="40">
        <v>0</v>
      </c>
      <c r="ME147" s="40">
        <v>0</v>
      </c>
      <c r="MF147" s="42">
        <v>0</v>
      </c>
      <c r="MG147" s="47"/>
      <c r="MH147" s="45">
        <v>0</v>
      </c>
      <c r="MI147" s="40">
        <v>0</v>
      </c>
      <c r="MJ147" s="42">
        <v>0</v>
      </c>
      <c r="MK147" s="47"/>
      <c r="ML147" s="45">
        <v>0</v>
      </c>
      <c r="MM147" s="40">
        <v>0</v>
      </c>
      <c r="MN147" s="40">
        <v>0</v>
      </c>
      <c r="MO147" s="40">
        <v>0</v>
      </c>
      <c r="MP147" s="42">
        <v>0</v>
      </c>
      <c r="MQ147" s="47"/>
      <c r="MR147" s="40">
        <v>0</v>
      </c>
      <c r="MS147" s="40">
        <v>0</v>
      </c>
      <c r="MT147" s="40">
        <v>0</v>
      </c>
      <c r="MU147" s="40">
        <v>0</v>
      </c>
      <c r="MV147" s="42">
        <v>0</v>
      </c>
      <c r="MW147" s="47"/>
      <c r="MX147" s="45">
        <v>0</v>
      </c>
      <c r="MY147" s="40">
        <v>0</v>
      </c>
      <c r="MZ147" s="40">
        <v>0</v>
      </c>
      <c r="NA147" s="40">
        <v>0</v>
      </c>
      <c r="NB147" s="42">
        <v>0</v>
      </c>
      <c r="NC147" s="47"/>
      <c r="ND147" s="45">
        <v>0</v>
      </c>
      <c r="NE147" s="40">
        <v>0</v>
      </c>
      <c r="NF147" s="40">
        <v>0</v>
      </c>
      <c r="NG147" s="40">
        <v>0</v>
      </c>
      <c r="NH147" s="42">
        <v>0</v>
      </c>
      <c r="NI147" s="47"/>
      <c r="NJ147" s="45">
        <v>0</v>
      </c>
      <c r="NK147" s="40">
        <v>0</v>
      </c>
      <c r="NL147" s="40">
        <v>0</v>
      </c>
      <c r="NM147" s="40">
        <v>0</v>
      </c>
      <c r="NN147" s="42">
        <v>0</v>
      </c>
      <c r="NO147" s="47"/>
      <c r="NP147" s="45">
        <v>0</v>
      </c>
      <c r="NQ147" s="40">
        <v>0</v>
      </c>
      <c r="NR147" s="40">
        <v>0</v>
      </c>
      <c r="NS147" s="40">
        <v>0</v>
      </c>
      <c r="NT147" s="42">
        <v>0</v>
      </c>
      <c r="NU147" s="47"/>
      <c r="NV147" s="45">
        <v>0</v>
      </c>
      <c r="NW147" s="40">
        <v>0</v>
      </c>
      <c r="NX147" s="40">
        <v>0</v>
      </c>
      <c r="NY147" s="40">
        <v>0</v>
      </c>
      <c r="NZ147" s="42">
        <v>0</v>
      </c>
      <c r="OA147" s="47"/>
      <c r="OB147" s="45">
        <v>0</v>
      </c>
      <c r="OC147" s="40">
        <v>0</v>
      </c>
      <c r="OD147" s="42">
        <v>0</v>
      </c>
      <c r="OE147" s="47"/>
      <c r="OF147" s="45">
        <v>0</v>
      </c>
      <c r="OG147" s="40">
        <v>0</v>
      </c>
      <c r="OH147" s="40">
        <v>0</v>
      </c>
      <c r="OI147" s="40">
        <v>0</v>
      </c>
      <c r="OJ147" s="42">
        <v>0</v>
      </c>
      <c r="OK147" s="47"/>
      <c r="OL147" s="45">
        <v>0</v>
      </c>
      <c r="OM147" s="40">
        <v>0</v>
      </c>
      <c r="ON147" s="40">
        <v>0</v>
      </c>
      <c r="OO147" s="40">
        <v>0</v>
      </c>
      <c r="OP147" s="42">
        <v>0</v>
      </c>
      <c r="OQ147" s="47"/>
      <c r="OR147" s="45">
        <v>0</v>
      </c>
      <c r="OS147" s="40">
        <v>0</v>
      </c>
      <c r="OT147" s="40">
        <v>0</v>
      </c>
      <c r="OU147" s="40">
        <v>0</v>
      </c>
      <c r="OV147" s="42">
        <v>0</v>
      </c>
      <c r="OW147" s="47"/>
      <c r="OX147" s="14">
        <v>280</v>
      </c>
      <c r="OY147" s="40">
        <v>0</v>
      </c>
      <c r="OZ147" s="14">
        <v>280</v>
      </c>
      <c r="PA147" s="40">
        <v>0</v>
      </c>
      <c r="PB147" s="42">
        <v>0</v>
      </c>
      <c r="PC147" s="47"/>
      <c r="PD147" s="45">
        <v>0</v>
      </c>
      <c r="PE147" s="40">
        <v>0</v>
      </c>
      <c r="PF147" s="40">
        <v>0</v>
      </c>
      <c r="PG147" s="40">
        <v>0</v>
      </c>
      <c r="PH147" s="42">
        <v>0</v>
      </c>
      <c r="PI147" s="47"/>
      <c r="PJ147" s="45">
        <v>0</v>
      </c>
      <c r="PK147" s="40">
        <v>0</v>
      </c>
      <c r="PL147" s="40">
        <v>0</v>
      </c>
      <c r="PM147" s="40">
        <v>0</v>
      </c>
      <c r="PN147" s="42">
        <v>0</v>
      </c>
      <c r="PO147" s="47"/>
      <c r="PP147" s="19">
        <v>100</v>
      </c>
      <c r="PQ147" s="40">
        <v>0</v>
      </c>
      <c r="PR147" s="14">
        <v>150</v>
      </c>
      <c r="PS147" s="40">
        <v>0</v>
      </c>
      <c r="PT147" s="42">
        <v>0</v>
      </c>
      <c r="PU147" s="47"/>
      <c r="PV147" s="15"/>
      <c r="PX147" s="14"/>
      <c r="QA147" s="47"/>
      <c r="QB147" s="8"/>
      <c r="QE147" s="47"/>
      <c r="QF147" s="8"/>
      <c r="QH147" s="7"/>
      <c r="QK147" s="47"/>
      <c r="QL147" s="45"/>
      <c r="QQ147" s="47"/>
      <c r="QR147" s="45"/>
      <c r="QW147" s="47"/>
      <c r="QX147" s="45"/>
      <c r="RB147" s="42"/>
      <c r="RC147" s="47"/>
      <c r="RD147" s="45"/>
      <c r="RF147" s="42"/>
      <c r="RG147" s="47"/>
    </row>
    <row r="148" spans="1:475" x14ac:dyDescent="0.25">
      <c r="A148" s="40" t="s">
        <v>437</v>
      </c>
      <c r="B148" s="41">
        <v>0.33</v>
      </c>
      <c r="N148" s="43"/>
      <c r="O148" s="48"/>
      <c r="P148" s="48"/>
      <c r="Q148" s="48"/>
      <c r="R148" s="48">
        <f t="shared" si="17"/>
        <v>0</v>
      </c>
      <c r="S148" s="44"/>
      <c r="T148" s="43"/>
      <c r="U148" s="48"/>
      <c r="V148" s="48"/>
      <c r="W148" s="48"/>
      <c r="X148" s="48">
        <f t="shared" si="18"/>
        <v>0</v>
      </c>
      <c r="Y148" s="44"/>
      <c r="Z148" s="43"/>
      <c r="AA148" s="48"/>
      <c r="AB148" s="48"/>
      <c r="AC148" s="48"/>
      <c r="AD148" s="48">
        <f t="shared" si="19"/>
        <v>0</v>
      </c>
      <c r="AE148" s="44"/>
      <c r="AF148" s="43"/>
      <c r="AG148" s="48"/>
      <c r="AH148" s="48"/>
      <c r="AI148" s="48"/>
      <c r="AJ148" s="48">
        <f t="shared" si="20"/>
        <v>0</v>
      </c>
      <c r="AK148" s="44"/>
      <c r="AL148" s="48"/>
      <c r="AP148" s="42">
        <v>0</v>
      </c>
      <c r="AQ148" s="44"/>
      <c r="AR148" s="43"/>
      <c r="AV148" s="42">
        <v>0</v>
      </c>
      <c r="AW148" s="44"/>
      <c r="BB148">
        <v>20</v>
      </c>
      <c r="BC148" s="42">
        <v>-2</v>
      </c>
      <c r="BD148" s="44"/>
      <c r="BE148" s="43"/>
      <c r="BH148">
        <v>50</v>
      </c>
      <c r="BI148" s="42">
        <v>-2</v>
      </c>
      <c r="BJ148" s="44"/>
      <c r="BL148">
        <v>24</v>
      </c>
      <c r="BN148">
        <v>26</v>
      </c>
      <c r="BO148" s="42">
        <v>-2</v>
      </c>
      <c r="BP148" s="44"/>
      <c r="BS148" s="42">
        <v>0</v>
      </c>
      <c r="BT148" s="44"/>
      <c r="BU148" s="43"/>
      <c r="BY148" s="42">
        <v>0</v>
      </c>
      <c r="BZ148" s="44"/>
      <c r="CE148" s="42">
        <v>0</v>
      </c>
      <c r="CF148" s="44"/>
      <c r="CG148" s="43"/>
      <c r="CK148" s="42">
        <v>0</v>
      </c>
      <c r="CL148" s="44"/>
      <c r="CM148" s="43"/>
      <c r="CQ148" s="42">
        <v>0</v>
      </c>
      <c r="CR148" s="44"/>
      <c r="CW148" s="42">
        <v>0</v>
      </c>
      <c r="CX148" s="44"/>
      <c r="CY148" s="43"/>
      <c r="DC148" s="42">
        <v>0</v>
      </c>
      <c r="DD148" s="44"/>
      <c r="DE148" s="43"/>
      <c r="DJ148">
        <v>144</v>
      </c>
      <c r="DK148" s="42">
        <v>0</v>
      </c>
      <c r="DL148" s="44"/>
      <c r="DM148" s="43"/>
      <c r="DQ148" s="42">
        <v>0</v>
      </c>
      <c r="DR148" s="44"/>
      <c r="DY148" s="42">
        <v>0</v>
      </c>
      <c r="DZ148" s="44"/>
      <c r="EA148" s="43"/>
      <c r="ED148">
        <v>123</v>
      </c>
      <c r="EE148" s="42">
        <v>-3</v>
      </c>
      <c r="EF148" s="44"/>
      <c r="EG148" s="43"/>
      <c r="EK148" s="42">
        <v>0</v>
      </c>
      <c r="EL148" s="44"/>
      <c r="EM148" s="43"/>
      <c r="EN148">
        <v>8</v>
      </c>
      <c r="EQ148" s="42">
        <v>-2</v>
      </c>
      <c r="ER148" s="44"/>
      <c r="EU148">
        <v>40</v>
      </c>
      <c r="EV148">
        <v>40</v>
      </c>
      <c r="EW148">
        <v>40</v>
      </c>
      <c r="EX148">
        <v>40</v>
      </c>
      <c r="EY148" s="42">
        <v>0</v>
      </c>
      <c r="EZ148" s="44"/>
      <c r="FC148">
        <v>32</v>
      </c>
      <c r="FD148">
        <v>31</v>
      </c>
      <c r="FE148" s="42">
        <v>1</v>
      </c>
      <c r="FF148" s="44"/>
      <c r="FG148" s="43"/>
      <c r="FI148">
        <v>48</v>
      </c>
      <c r="FJ148">
        <v>50</v>
      </c>
      <c r="FK148" s="42">
        <v>-2</v>
      </c>
      <c r="FL148" s="44"/>
      <c r="FM148" s="43"/>
      <c r="FO148" s="42">
        <v>0</v>
      </c>
      <c r="FP148" s="44"/>
      <c r="FS148">
        <v>40</v>
      </c>
      <c r="FT148">
        <v>40</v>
      </c>
      <c r="FU148" s="42">
        <v>0</v>
      </c>
      <c r="FV148" s="44"/>
      <c r="FW148" s="43"/>
      <c r="GA148">
        <v>48</v>
      </c>
      <c r="GB148">
        <v>50</v>
      </c>
      <c r="GC148" s="42">
        <v>-2</v>
      </c>
      <c r="GD148" s="44"/>
      <c r="GI148" s="42">
        <v>0</v>
      </c>
      <c r="GJ148" s="44"/>
      <c r="GK148" s="43"/>
      <c r="GM148">
        <v>16</v>
      </c>
      <c r="GN148">
        <v>20</v>
      </c>
      <c r="GO148" s="42">
        <v>-4</v>
      </c>
      <c r="GP148" s="47"/>
      <c r="GQ148">
        <v>40</v>
      </c>
      <c r="GR148">
        <v>40</v>
      </c>
      <c r="GS148">
        <v>96</v>
      </c>
      <c r="GT148">
        <v>100</v>
      </c>
      <c r="GU148" s="42">
        <v>-4</v>
      </c>
      <c r="GV148" s="44"/>
      <c r="GY148" s="42">
        <v>0</v>
      </c>
      <c r="GZ148" s="47"/>
      <c r="HA148" s="43"/>
      <c r="HC148" s="42">
        <v>0</v>
      </c>
      <c r="HD148" s="44"/>
      <c r="HE148" s="43"/>
      <c r="HI148" s="42">
        <v>0</v>
      </c>
      <c r="HJ148" s="47"/>
      <c r="HK148" s="43"/>
      <c r="HM148">
        <v>240</v>
      </c>
      <c r="HN148">
        <v>240</v>
      </c>
      <c r="HO148" s="42">
        <v>0</v>
      </c>
      <c r="HP148" s="44"/>
      <c r="HT148">
        <v>72</v>
      </c>
      <c r="HU148">
        <v>75</v>
      </c>
      <c r="HV148" s="42">
        <v>-3</v>
      </c>
      <c r="HW148" s="44"/>
      <c r="HX148" s="45"/>
      <c r="IB148" s="42">
        <v>0</v>
      </c>
      <c r="IC148" s="44"/>
      <c r="ID148">
        <v>80</v>
      </c>
      <c r="IE148">
        <v>80</v>
      </c>
      <c r="IF148">
        <v>120</v>
      </c>
      <c r="IG148">
        <v>122</v>
      </c>
      <c r="IH148" s="42">
        <v>-2</v>
      </c>
      <c r="II148" s="47"/>
      <c r="IJ148">
        <v>16</v>
      </c>
      <c r="IK148">
        <v>16</v>
      </c>
      <c r="IN148" s="42">
        <v>0</v>
      </c>
      <c r="IO148" s="47"/>
      <c r="IT148" s="42">
        <v>0</v>
      </c>
      <c r="IU148" s="47"/>
      <c r="IV148">
        <v>96</v>
      </c>
      <c r="IW148">
        <v>100</v>
      </c>
      <c r="IX148">
        <v>72</v>
      </c>
      <c r="IY148">
        <v>70</v>
      </c>
      <c r="IZ148" s="42">
        <v>-2</v>
      </c>
      <c r="JA148" s="44"/>
      <c r="JB148">
        <v>16</v>
      </c>
      <c r="JC148">
        <v>20</v>
      </c>
      <c r="JD148" s="42">
        <v>-4</v>
      </c>
      <c r="JE148" s="44"/>
      <c r="JJ148" s="42">
        <v>0</v>
      </c>
      <c r="JK148" s="44"/>
      <c r="JL148" s="46">
        <v>72</v>
      </c>
      <c r="JM148" s="40">
        <v>70</v>
      </c>
      <c r="JN148" s="42">
        <v>2</v>
      </c>
      <c r="JO148" s="44"/>
      <c r="JR148">
        <v>32</v>
      </c>
      <c r="JS148">
        <v>34</v>
      </c>
      <c r="JT148" s="42">
        <v>-2</v>
      </c>
      <c r="JU148" s="44"/>
      <c r="JV148">
        <v>72</v>
      </c>
      <c r="JW148">
        <v>70</v>
      </c>
      <c r="JZ148" s="42">
        <v>2</v>
      </c>
      <c r="KA148" s="47"/>
      <c r="KF148" s="42">
        <v>0</v>
      </c>
      <c r="KG148" s="44"/>
      <c r="KH148">
        <v>48</v>
      </c>
      <c r="KI148">
        <v>50</v>
      </c>
      <c r="KJ148">
        <v>200</v>
      </c>
      <c r="KK148">
        <v>205</v>
      </c>
      <c r="KL148" s="42">
        <v>-7</v>
      </c>
      <c r="KM148" s="47"/>
      <c r="KN148" s="45"/>
      <c r="KP148">
        <v>40</v>
      </c>
      <c r="KQ148">
        <v>40</v>
      </c>
      <c r="KT148" s="42">
        <v>0</v>
      </c>
      <c r="KU148" s="47"/>
      <c r="KV148" s="40">
        <v>0</v>
      </c>
      <c r="KW148" s="40">
        <v>0</v>
      </c>
      <c r="KX148" s="40">
        <v>120</v>
      </c>
      <c r="KY148" s="40">
        <v>118</v>
      </c>
      <c r="KZ148" s="42">
        <v>2</v>
      </c>
      <c r="LA148" s="47"/>
      <c r="LB148" s="40">
        <v>64</v>
      </c>
      <c r="LC148" s="40">
        <v>100</v>
      </c>
      <c r="LD148" s="40">
        <v>112</v>
      </c>
      <c r="LE148" s="40">
        <v>115</v>
      </c>
      <c r="LF148" s="39">
        <v>-39</v>
      </c>
      <c r="LG148" s="47">
        <v>12.87</v>
      </c>
      <c r="LH148" s="45">
        <v>0</v>
      </c>
      <c r="LI148" s="40">
        <v>0</v>
      </c>
      <c r="LJ148" s="42">
        <v>0</v>
      </c>
      <c r="LK148" s="47"/>
      <c r="LL148" s="45">
        <v>0</v>
      </c>
      <c r="LM148" s="40">
        <v>0</v>
      </c>
      <c r="LN148" s="40">
        <v>120</v>
      </c>
      <c r="LO148" s="40">
        <v>120</v>
      </c>
      <c r="LP148" s="42">
        <v>0</v>
      </c>
      <c r="LQ148" s="47"/>
      <c r="LR148" s="45">
        <v>96</v>
      </c>
      <c r="LS148" s="40">
        <v>96</v>
      </c>
      <c r="LT148" s="40">
        <v>80</v>
      </c>
      <c r="LU148" s="40">
        <v>84</v>
      </c>
      <c r="LV148" s="42">
        <v>-4</v>
      </c>
      <c r="LW148" s="47"/>
      <c r="LX148" s="45">
        <v>24</v>
      </c>
      <c r="LY148" s="40">
        <v>24</v>
      </c>
      <c r="LZ148" s="42">
        <v>0</v>
      </c>
      <c r="MA148" s="47"/>
      <c r="MB148" s="45">
        <v>0</v>
      </c>
      <c r="MC148" s="40">
        <v>0</v>
      </c>
      <c r="MD148" s="40">
        <v>152</v>
      </c>
      <c r="ME148" s="40">
        <v>150</v>
      </c>
      <c r="MF148" s="42">
        <v>2</v>
      </c>
      <c r="MG148" s="47"/>
      <c r="MH148" s="45">
        <v>40</v>
      </c>
      <c r="MI148" s="40">
        <v>40</v>
      </c>
      <c r="MJ148" s="42">
        <v>0</v>
      </c>
      <c r="MK148" s="47"/>
      <c r="ML148" s="45">
        <v>80</v>
      </c>
      <c r="MM148" s="40">
        <v>80</v>
      </c>
      <c r="MN148" s="40">
        <v>0</v>
      </c>
      <c r="MO148" s="40">
        <v>0</v>
      </c>
      <c r="MP148" s="42">
        <v>0</v>
      </c>
      <c r="MQ148" s="47"/>
      <c r="MW148" s="47"/>
      <c r="MX148" s="45"/>
      <c r="NC148" s="47"/>
      <c r="ND148" s="45"/>
      <c r="NI148" s="47"/>
      <c r="NJ148" s="45"/>
      <c r="NO148" s="47"/>
      <c r="NP148" s="45"/>
      <c r="NU148" s="47"/>
      <c r="NV148" s="45"/>
      <c r="OA148" s="47"/>
      <c r="OB148" s="45"/>
      <c r="OE148" s="47"/>
      <c r="OF148" s="45"/>
      <c r="OK148" s="47"/>
      <c r="OL148" s="45"/>
      <c r="OQ148" s="47"/>
      <c r="OR148" s="45"/>
      <c r="OW148" s="47"/>
      <c r="PC148" s="47"/>
      <c r="PD148" s="45"/>
      <c r="PI148" s="47"/>
      <c r="PJ148" s="45"/>
      <c r="PO148" s="47"/>
      <c r="PP148" s="43"/>
      <c r="PU148" s="47"/>
      <c r="PV148" s="45"/>
      <c r="QA148" s="47"/>
      <c r="QB148" s="45"/>
      <c r="QE148" s="47"/>
      <c r="QF148" s="45"/>
      <c r="QK148" s="47"/>
      <c r="QL148" s="45"/>
      <c r="QQ148" s="47"/>
      <c r="QR148" s="45"/>
      <c r="QW148" s="47"/>
      <c r="QX148" s="45"/>
      <c r="RB148" s="42"/>
      <c r="RC148" s="47"/>
      <c r="RD148" s="45"/>
      <c r="RF148" s="42"/>
      <c r="RG148" s="47"/>
    </row>
    <row r="149" spans="1:475" x14ac:dyDescent="0.25">
      <c r="A149" s="40" t="s">
        <v>438</v>
      </c>
      <c r="B149" s="41">
        <v>0.36</v>
      </c>
      <c r="N149" s="43"/>
      <c r="O149" s="48"/>
      <c r="P149" s="48"/>
      <c r="Q149" s="48"/>
      <c r="R149" s="48">
        <f t="shared" si="17"/>
        <v>0</v>
      </c>
      <c r="S149" s="44"/>
      <c r="T149" s="43"/>
      <c r="U149" s="48"/>
      <c r="V149" s="48"/>
      <c r="W149" s="48"/>
      <c r="X149" s="48">
        <f t="shared" si="18"/>
        <v>0</v>
      </c>
      <c r="Y149" s="44"/>
      <c r="Z149" s="43"/>
      <c r="AA149" s="48"/>
      <c r="AB149" s="48"/>
      <c r="AC149" s="48"/>
      <c r="AD149" s="48">
        <f t="shared" si="19"/>
        <v>0</v>
      </c>
      <c r="AE149" s="44"/>
      <c r="AF149" s="43"/>
      <c r="AG149" s="48"/>
      <c r="AH149" s="48"/>
      <c r="AI149" s="48"/>
      <c r="AJ149" s="48">
        <f t="shared" si="20"/>
        <v>0</v>
      </c>
      <c r="AK149" s="44"/>
      <c r="AL149" s="48"/>
      <c r="AP149" s="42">
        <v>0</v>
      </c>
      <c r="AQ149" s="44"/>
      <c r="AR149" s="43"/>
      <c r="AV149" s="42">
        <v>0</v>
      </c>
      <c r="AW149" s="44"/>
      <c r="BC149" s="42">
        <v>0</v>
      </c>
      <c r="BD149" s="44"/>
      <c r="BE149" s="43"/>
      <c r="BI149" s="42">
        <v>0</v>
      </c>
      <c r="BJ149" s="44"/>
      <c r="BO149" s="42">
        <v>0</v>
      </c>
      <c r="BP149" s="44"/>
      <c r="BS149" s="42">
        <v>0</v>
      </c>
      <c r="BT149" s="44"/>
      <c r="BU149" s="43"/>
      <c r="BY149" s="42">
        <v>0</v>
      </c>
      <c r="BZ149" s="44"/>
      <c r="CE149" s="42">
        <v>0</v>
      </c>
      <c r="CF149" s="44"/>
      <c r="CG149" s="43"/>
      <c r="CK149" s="42">
        <v>0</v>
      </c>
      <c r="CL149" s="44"/>
      <c r="CM149" s="43"/>
      <c r="CQ149" s="42">
        <v>0</v>
      </c>
      <c r="CR149" s="44"/>
      <c r="CW149" s="42">
        <v>0</v>
      </c>
      <c r="CX149" s="44"/>
      <c r="CY149" s="43"/>
      <c r="DC149" s="42">
        <v>0</v>
      </c>
      <c r="DD149" s="44"/>
      <c r="DE149" s="43"/>
      <c r="DK149" s="42">
        <v>0</v>
      </c>
      <c r="DL149" s="44"/>
      <c r="DM149" s="43"/>
      <c r="DQ149" s="42">
        <v>0</v>
      </c>
      <c r="DR149" s="44"/>
      <c r="DY149" s="42">
        <v>0</v>
      </c>
      <c r="DZ149" s="44"/>
      <c r="EA149" s="43"/>
      <c r="EE149" s="42">
        <v>0</v>
      </c>
      <c r="EF149" s="44"/>
      <c r="EG149" s="43"/>
      <c r="EK149" s="42">
        <v>0</v>
      </c>
      <c r="EL149" s="44"/>
      <c r="EM149" s="43"/>
      <c r="EQ149" s="42">
        <v>0</v>
      </c>
      <c r="ER149" s="44"/>
      <c r="EY149" s="42">
        <v>0</v>
      </c>
      <c r="EZ149" s="44"/>
      <c r="FE149" s="42">
        <v>0</v>
      </c>
      <c r="FF149" s="44"/>
      <c r="FG149" s="43"/>
      <c r="FK149" s="42">
        <v>0</v>
      </c>
      <c r="FL149" s="44"/>
      <c r="FM149" s="43"/>
      <c r="FO149" s="42">
        <v>0</v>
      </c>
      <c r="FP149" s="44"/>
      <c r="FU149" s="42">
        <v>0</v>
      </c>
      <c r="FV149" s="44"/>
      <c r="FW149" s="43"/>
      <c r="GC149" s="42">
        <v>0</v>
      </c>
      <c r="GD149" s="44"/>
      <c r="GI149" s="42">
        <v>0</v>
      </c>
      <c r="GJ149" s="44"/>
      <c r="GK149" s="43"/>
      <c r="GO149" s="42">
        <v>0</v>
      </c>
      <c r="GP149" s="47"/>
      <c r="GU149" s="42">
        <v>0</v>
      </c>
      <c r="GV149" s="44"/>
      <c r="GY149" s="42">
        <v>0</v>
      </c>
      <c r="GZ149" s="47"/>
      <c r="HA149" s="43"/>
      <c r="HC149" s="42">
        <v>0</v>
      </c>
      <c r="HD149" s="44"/>
      <c r="HE149" s="43"/>
      <c r="HI149" s="42">
        <v>0</v>
      </c>
      <c r="HJ149" s="47"/>
      <c r="HK149" s="43"/>
      <c r="HO149" s="42">
        <v>0</v>
      </c>
      <c r="HP149" s="44"/>
      <c r="HV149" s="42">
        <v>0</v>
      </c>
      <c r="HW149" s="44"/>
      <c r="HX149" s="45"/>
      <c r="IB149" s="42">
        <v>0</v>
      </c>
      <c r="IC149" s="44"/>
      <c r="IH149" s="42">
        <v>0</v>
      </c>
      <c r="II149" s="47"/>
      <c r="IN149" s="42">
        <v>0</v>
      </c>
      <c r="IO149" s="47"/>
      <c r="IT149" s="42">
        <v>0</v>
      </c>
      <c r="IU149" s="47"/>
      <c r="IZ149" s="42">
        <v>0</v>
      </c>
      <c r="JA149" s="44"/>
      <c r="JD149" s="42">
        <v>0</v>
      </c>
      <c r="JE149" s="44"/>
      <c r="JJ149" s="42">
        <v>0</v>
      </c>
      <c r="JK149" s="44"/>
      <c r="JL149" s="45"/>
      <c r="JN149" s="42">
        <v>0</v>
      </c>
      <c r="JO149" s="44"/>
      <c r="JT149" s="42">
        <v>0</v>
      </c>
      <c r="JU149" s="44"/>
      <c r="JZ149" s="42">
        <v>0</v>
      </c>
      <c r="KA149" s="47"/>
      <c r="KF149" s="42">
        <v>0</v>
      </c>
      <c r="KG149" s="44"/>
      <c r="KH149" s="41"/>
      <c r="KL149" s="42">
        <v>0</v>
      </c>
      <c r="KM149" s="47"/>
      <c r="KN149" s="45"/>
      <c r="KT149" s="42">
        <v>0</v>
      </c>
      <c r="KU149" s="47"/>
      <c r="KV149" s="40">
        <v>0</v>
      </c>
      <c r="KW149" s="40">
        <v>0</v>
      </c>
      <c r="KX149" s="40">
        <v>0</v>
      </c>
      <c r="KY149" s="40">
        <v>0</v>
      </c>
      <c r="KZ149" s="42">
        <v>0</v>
      </c>
      <c r="LA149" s="47"/>
      <c r="LB149" s="40">
        <v>0</v>
      </c>
      <c r="LC149" s="40">
        <v>0</v>
      </c>
      <c r="LD149" s="40">
        <v>0</v>
      </c>
      <c r="LE149" s="40">
        <v>0</v>
      </c>
      <c r="LF149" s="42">
        <v>0</v>
      </c>
      <c r="LG149" s="47"/>
      <c r="LH149" s="45">
        <v>0</v>
      </c>
      <c r="LI149" s="40">
        <v>0</v>
      </c>
      <c r="LJ149" s="42">
        <v>0</v>
      </c>
      <c r="LK149" s="47"/>
      <c r="LL149" s="45">
        <v>0</v>
      </c>
      <c r="LM149" s="40">
        <v>0</v>
      </c>
      <c r="LN149" s="40">
        <v>0</v>
      </c>
      <c r="LO149" s="40">
        <v>0</v>
      </c>
      <c r="LP149" s="42">
        <v>0</v>
      </c>
      <c r="LQ149" s="47"/>
      <c r="LR149" s="45">
        <v>0</v>
      </c>
      <c r="LS149" s="40">
        <v>0</v>
      </c>
      <c r="LT149" s="40">
        <v>0</v>
      </c>
      <c r="LU149" s="40">
        <v>0</v>
      </c>
      <c r="LV149" s="42">
        <v>0</v>
      </c>
      <c r="LW149" s="47"/>
      <c r="LX149" s="45">
        <v>0</v>
      </c>
      <c r="LY149" s="40">
        <v>100</v>
      </c>
      <c r="LZ149" s="28">
        <v>-4</v>
      </c>
      <c r="MA149" s="47"/>
      <c r="MB149" s="45">
        <v>0</v>
      </c>
      <c r="MC149" s="40">
        <v>0</v>
      </c>
      <c r="MD149" s="40">
        <v>0</v>
      </c>
      <c r="ME149" s="30">
        <v>200</v>
      </c>
      <c r="MF149" s="39">
        <v>-200</v>
      </c>
      <c r="MG149" s="47">
        <v>72</v>
      </c>
      <c r="MH149" s="45">
        <v>0</v>
      </c>
      <c r="MI149" s="40">
        <v>150</v>
      </c>
      <c r="MJ149" s="39">
        <v>-150</v>
      </c>
      <c r="MK149" s="47">
        <v>54</v>
      </c>
      <c r="ML149" s="45">
        <v>0</v>
      </c>
      <c r="MM149" s="40">
        <v>0</v>
      </c>
      <c r="MN149" s="40">
        <v>0</v>
      </c>
      <c r="MO149" s="26">
        <v>250</v>
      </c>
      <c r="MP149" s="42">
        <v>-2</v>
      </c>
      <c r="MQ149" s="47"/>
      <c r="MR149" s="40">
        <v>0</v>
      </c>
      <c r="MS149" s="40">
        <v>0</v>
      </c>
      <c r="MT149" s="40">
        <v>0</v>
      </c>
      <c r="MU149" s="26">
        <v>300</v>
      </c>
      <c r="MV149" s="42">
        <v>-4</v>
      </c>
      <c r="MW149" s="47"/>
      <c r="MX149" s="45">
        <v>0</v>
      </c>
      <c r="MY149" s="40">
        <v>0</v>
      </c>
      <c r="MZ149" s="40">
        <v>0</v>
      </c>
      <c r="NA149" s="40">
        <v>0</v>
      </c>
      <c r="NB149" s="42">
        <v>0</v>
      </c>
      <c r="NC149" s="47"/>
      <c r="ND149" s="45"/>
      <c r="NI149" s="47"/>
      <c r="NJ149" s="45"/>
      <c r="NO149" s="47"/>
      <c r="NP149" s="45"/>
      <c r="NU149" s="47"/>
      <c r="NV149" s="45"/>
      <c r="OA149" s="47"/>
      <c r="OB149" s="45"/>
      <c r="OE149" s="47"/>
      <c r="OF149" s="45"/>
      <c r="OK149" s="47"/>
      <c r="OL149" s="45"/>
      <c r="OQ149" s="47"/>
      <c r="OR149" s="45"/>
      <c r="OW149" s="47"/>
      <c r="OX149" s="14"/>
      <c r="OZ149" s="14"/>
      <c r="PC149" s="47"/>
      <c r="PD149" s="45"/>
      <c r="PI149" s="47"/>
      <c r="PJ149" s="45"/>
      <c r="PO149" s="47"/>
      <c r="PP149" s="19"/>
      <c r="PR149" s="14"/>
      <c r="PU149" s="47"/>
      <c r="PV149" s="15"/>
      <c r="PX149" s="14"/>
      <c r="QA149" s="47"/>
      <c r="QB149" s="8"/>
      <c r="QE149" s="47"/>
      <c r="QF149" s="8"/>
      <c r="QH149" s="7"/>
      <c r="QK149" s="47"/>
      <c r="QL149" s="45"/>
      <c r="QQ149" s="47"/>
      <c r="QR149" s="45"/>
      <c r="QW149" s="47"/>
      <c r="QX149" s="45"/>
      <c r="RB149" s="42"/>
      <c r="RC149" s="47"/>
      <c r="RD149" s="45"/>
      <c r="RF149" s="42"/>
      <c r="RG149" s="47"/>
    </row>
    <row r="150" spans="1:475" x14ac:dyDescent="0.25">
      <c r="A150" s="40" t="s">
        <v>439</v>
      </c>
      <c r="B150" s="41">
        <v>1</v>
      </c>
      <c r="N150" s="43"/>
      <c r="O150" s="48"/>
      <c r="P150" s="48"/>
      <c r="Q150" s="48"/>
      <c r="R150" s="48">
        <f t="shared" si="17"/>
        <v>0</v>
      </c>
      <c r="S150" s="44"/>
      <c r="T150" s="43"/>
      <c r="U150" s="48"/>
      <c r="V150" s="48"/>
      <c r="W150" s="48"/>
      <c r="X150" s="48">
        <f t="shared" si="18"/>
        <v>0</v>
      </c>
      <c r="Y150" s="44"/>
      <c r="Z150" s="43"/>
      <c r="AA150" s="48"/>
      <c r="AB150" s="48"/>
      <c r="AC150" s="48"/>
      <c r="AD150" s="48">
        <f t="shared" si="19"/>
        <v>0</v>
      </c>
      <c r="AE150" s="44"/>
      <c r="AF150" s="43"/>
      <c r="AG150" s="48"/>
      <c r="AH150" s="48"/>
      <c r="AI150" s="48"/>
      <c r="AJ150" s="48">
        <f t="shared" si="20"/>
        <v>0</v>
      </c>
      <c r="AK150" s="44"/>
      <c r="AL150" s="48"/>
      <c r="AP150" s="42">
        <v>0</v>
      </c>
      <c r="AQ150" s="44"/>
      <c r="AR150" s="43"/>
      <c r="AV150" s="42">
        <v>0</v>
      </c>
      <c r="AW150" s="44"/>
      <c r="BC150" s="42">
        <v>0</v>
      </c>
      <c r="BD150" s="44"/>
      <c r="BE150" s="43"/>
      <c r="BI150" s="42">
        <v>0</v>
      </c>
      <c r="BJ150" s="44"/>
      <c r="BO150" s="42">
        <v>0</v>
      </c>
      <c r="BP150" s="44"/>
      <c r="BS150" s="42">
        <v>0</v>
      </c>
      <c r="BT150" s="44"/>
      <c r="BU150" s="43"/>
      <c r="BY150" s="42">
        <v>0</v>
      </c>
      <c r="BZ150" s="44"/>
      <c r="CE150" s="42">
        <v>0</v>
      </c>
      <c r="CF150" s="44"/>
      <c r="CG150" s="43"/>
      <c r="CK150" s="42">
        <v>0</v>
      </c>
      <c r="CL150" s="44"/>
      <c r="CM150" s="43"/>
      <c r="CQ150" s="42">
        <v>0</v>
      </c>
      <c r="CR150" s="44"/>
      <c r="CW150" s="42">
        <v>0</v>
      </c>
      <c r="CX150" s="44"/>
      <c r="CY150" s="43"/>
      <c r="DC150" s="42">
        <v>0</v>
      </c>
      <c r="DD150" s="44"/>
      <c r="DE150" s="43"/>
      <c r="DK150" s="42">
        <v>0</v>
      </c>
      <c r="DL150" s="44"/>
      <c r="DM150" s="43"/>
      <c r="DQ150" s="42">
        <v>0</v>
      </c>
      <c r="DR150" s="44"/>
      <c r="DY150" s="42">
        <v>0</v>
      </c>
      <c r="DZ150" s="44"/>
      <c r="EA150" s="43"/>
      <c r="EE150" s="42">
        <v>0</v>
      </c>
      <c r="EF150" s="44"/>
      <c r="EG150" s="43"/>
      <c r="EK150" s="42">
        <v>0</v>
      </c>
      <c r="EL150" s="44"/>
      <c r="EM150" s="43"/>
      <c r="EQ150" s="42">
        <v>0</v>
      </c>
      <c r="ER150" s="44"/>
      <c r="EY150" s="42">
        <v>0</v>
      </c>
      <c r="EZ150" s="44"/>
      <c r="FE150" s="42">
        <v>0</v>
      </c>
      <c r="FF150" s="44"/>
      <c r="FG150" s="43"/>
      <c r="FK150" s="42">
        <v>0</v>
      </c>
      <c r="FL150" s="44"/>
      <c r="FM150" s="43"/>
      <c r="FO150" s="42">
        <v>0</v>
      </c>
      <c r="FP150" s="44"/>
      <c r="FU150" s="42">
        <v>0</v>
      </c>
      <c r="FV150" s="44"/>
      <c r="FW150" s="43"/>
      <c r="GC150" s="42">
        <v>0</v>
      </c>
      <c r="GD150" s="44"/>
      <c r="GI150" s="42">
        <v>0</v>
      </c>
      <c r="GJ150" s="44"/>
      <c r="GK150" s="43"/>
      <c r="GO150" s="42">
        <v>0</v>
      </c>
      <c r="GP150" s="47"/>
      <c r="GU150" s="42">
        <v>0</v>
      </c>
      <c r="GV150" s="44"/>
      <c r="GY150" s="42">
        <v>0</v>
      </c>
      <c r="GZ150" s="47"/>
      <c r="HA150" s="43"/>
      <c r="HC150" s="42">
        <v>0</v>
      </c>
      <c r="HD150" s="44"/>
      <c r="HE150" s="43"/>
      <c r="HI150" s="42">
        <v>0</v>
      </c>
      <c r="HJ150" s="47"/>
      <c r="HK150" s="43"/>
      <c r="HO150" s="42">
        <v>0</v>
      </c>
      <c r="HP150" s="44"/>
      <c r="HV150" s="42">
        <v>0</v>
      </c>
      <c r="HW150" s="44"/>
      <c r="HX150" s="45"/>
      <c r="IB150" s="42">
        <v>0</v>
      </c>
      <c r="IC150" s="44"/>
      <c r="IH150" s="42">
        <v>0</v>
      </c>
      <c r="II150" s="47"/>
      <c r="IN150" s="42">
        <v>0</v>
      </c>
      <c r="IO150" s="47"/>
      <c r="IQ150">
        <v>20</v>
      </c>
      <c r="IT150" s="39">
        <v>-20</v>
      </c>
      <c r="IU150" s="47">
        <v>20</v>
      </c>
      <c r="IV150">
        <v>143</v>
      </c>
      <c r="IW150">
        <v>140</v>
      </c>
      <c r="IX150">
        <v>99</v>
      </c>
      <c r="IY150">
        <v>100</v>
      </c>
      <c r="IZ150" s="42">
        <v>2</v>
      </c>
      <c r="JA150" s="44"/>
      <c r="JB150">
        <v>6</v>
      </c>
      <c r="JC150">
        <v>6</v>
      </c>
      <c r="JD150" s="42">
        <v>0</v>
      </c>
      <c r="JE150" s="44"/>
      <c r="JF150">
        <v>55</v>
      </c>
      <c r="JG150">
        <v>50</v>
      </c>
      <c r="JH150">
        <v>43</v>
      </c>
      <c r="JI150">
        <v>45</v>
      </c>
      <c r="JJ150" s="42">
        <v>3</v>
      </c>
      <c r="JK150" s="44"/>
      <c r="JL150" s="45"/>
      <c r="JN150" s="42">
        <v>0</v>
      </c>
      <c r="JO150" s="44"/>
      <c r="JT150" s="42">
        <v>0</v>
      </c>
      <c r="JU150" s="44"/>
      <c r="JX150">
        <v>316</v>
      </c>
      <c r="JY150">
        <v>315</v>
      </c>
      <c r="JZ150" s="42">
        <v>1</v>
      </c>
      <c r="KA150" s="47"/>
      <c r="KF150" s="42">
        <v>0</v>
      </c>
      <c r="KG150" s="44"/>
      <c r="KH150" s="41"/>
      <c r="KL150" s="42">
        <v>0</v>
      </c>
      <c r="KM150" s="47"/>
      <c r="KN150" s="45"/>
      <c r="KP150">
        <v>119</v>
      </c>
      <c r="KQ150">
        <v>120</v>
      </c>
      <c r="KR150">
        <v>94</v>
      </c>
      <c r="KS150">
        <v>76</v>
      </c>
      <c r="KT150" s="42">
        <v>17</v>
      </c>
      <c r="KU150" s="47"/>
      <c r="KV150" s="40">
        <v>0</v>
      </c>
      <c r="KW150" s="40">
        <v>0</v>
      </c>
      <c r="KX150" s="36">
        <v>37.192999999999998</v>
      </c>
      <c r="KY150" s="40">
        <v>0</v>
      </c>
      <c r="KZ150" s="42">
        <v>0</v>
      </c>
      <c r="LA150" s="47"/>
      <c r="LG150" s="47"/>
      <c r="LH150" s="45"/>
      <c r="LK150" s="47"/>
      <c r="LL150" s="45"/>
      <c r="LQ150" s="47"/>
      <c r="LR150" s="45"/>
      <c r="LW150" s="47"/>
      <c r="LX150" s="45"/>
      <c r="MA150" s="47"/>
      <c r="MB150" s="45"/>
      <c r="MG150" s="47"/>
      <c r="MH150" s="45"/>
      <c r="MK150" s="47"/>
      <c r="ML150" s="45"/>
      <c r="MQ150" s="47"/>
      <c r="MW150" s="47"/>
      <c r="MX150" s="45"/>
      <c r="NC150" s="47"/>
      <c r="ND150" s="45"/>
      <c r="NI150" s="47"/>
      <c r="NJ150" s="45"/>
      <c r="NO150" s="47"/>
      <c r="NP150" s="45"/>
      <c r="NU150" s="47"/>
      <c r="NV150" s="45"/>
      <c r="OA150" s="47"/>
      <c r="OB150" s="45"/>
      <c r="OE150" s="47"/>
      <c r="OF150" s="45"/>
      <c r="OK150" s="47"/>
      <c r="OL150" s="45"/>
      <c r="OQ150" s="47"/>
      <c r="OR150" s="45"/>
      <c r="OW150" s="47"/>
      <c r="PC150" s="47"/>
      <c r="PD150" s="45"/>
      <c r="PI150" s="47"/>
      <c r="PJ150" s="45"/>
      <c r="PO150" s="47"/>
      <c r="PP150" s="43"/>
      <c r="PU150" s="47"/>
      <c r="PV150" s="45"/>
      <c r="QA150" s="47"/>
      <c r="QB150" s="45"/>
      <c r="QE150" s="47"/>
      <c r="QF150" s="45"/>
      <c r="QK150" s="47"/>
      <c r="QL150" s="45"/>
      <c r="QQ150" s="47"/>
      <c r="QR150" s="45"/>
      <c r="QW150" s="47"/>
      <c r="QX150" s="45"/>
      <c r="RB150" s="42"/>
      <c r="RC150" s="47"/>
      <c r="RD150" s="45"/>
      <c r="RF150" s="42"/>
      <c r="RG150" s="47"/>
    </row>
    <row r="151" spans="1:475" x14ac:dyDescent="0.25">
      <c r="A151" s="40" t="s">
        <v>440</v>
      </c>
      <c r="B151" s="41">
        <v>1</v>
      </c>
      <c r="N151" s="43"/>
      <c r="O151" s="48"/>
      <c r="P151" s="48"/>
      <c r="Q151" s="48"/>
      <c r="R151" s="48">
        <f t="shared" si="17"/>
        <v>0</v>
      </c>
      <c r="S151" s="44"/>
      <c r="T151" s="43"/>
      <c r="U151" s="48"/>
      <c r="V151" s="48"/>
      <c r="W151" s="48"/>
      <c r="X151" s="48">
        <f t="shared" si="18"/>
        <v>0</v>
      </c>
      <c r="Y151" s="44"/>
      <c r="Z151" s="43"/>
      <c r="AA151" s="48"/>
      <c r="AB151" s="48"/>
      <c r="AC151" s="48"/>
      <c r="AD151" s="48">
        <f t="shared" si="19"/>
        <v>0</v>
      </c>
      <c r="AE151" s="44"/>
      <c r="AF151" s="43"/>
      <c r="AG151" s="48"/>
      <c r="AH151" s="48"/>
      <c r="AI151" s="48"/>
      <c r="AJ151" s="48">
        <f t="shared" si="20"/>
        <v>0</v>
      </c>
      <c r="AK151" s="44"/>
      <c r="AL151" s="48"/>
      <c r="AP151" s="42">
        <v>0</v>
      </c>
      <c r="AQ151" s="44"/>
      <c r="AR151" s="43"/>
      <c r="AV151" s="42">
        <v>0</v>
      </c>
      <c r="AW151" s="44"/>
      <c r="BC151" s="42">
        <v>0</v>
      </c>
      <c r="BD151" s="44"/>
      <c r="BE151" s="43"/>
      <c r="BI151" s="42">
        <v>0</v>
      </c>
      <c r="BJ151" s="44"/>
      <c r="BO151" s="42">
        <v>0</v>
      </c>
      <c r="BP151" s="44"/>
      <c r="BS151" s="42">
        <v>0</v>
      </c>
      <c r="BT151" s="44"/>
      <c r="BU151" s="43"/>
      <c r="BY151" s="42">
        <v>0</v>
      </c>
      <c r="BZ151" s="44"/>
      <c r="CE151" s="42">
        <v>0</v>
      </c>
      <c r="CF151" s="44"/>
      <c r="CG151" s="43"/>
      <c r="CK151" s="42">
        <v>0</v>
      </c>
      <c r="CL151" s="44"/>
      <c r="CM151" s="43"/>
      <c r="CQ151" s="42">
        <v>0</v>
      </c>
      <c r="CR151" s="44"/>
      <c r="CW151" s="42">
        <v>0</v>
      </c>
      <c r="CX151" s="44"/>
      <c r="CY151" s="43"/>
      <c r="DC151" s="42">
        <v>0</v>
      </c>
      <c r="DD151" s="44"/>
      <c r="DE151" s="43"/>
      <c r="DK151" s="42">
        <v>0</v>
      </c>
      <c r="DL151" s="44"/>
      <c r="DM151" s="43"/>
      <c r="DQ151" s="42">
        <v>0</v>
      </c>
      <c r="DR151" s="44"/>
      <c r="DY151" s="42">
        <v>0</v>
      </c>
      <c r="DZ151" s="44"/>
      <c r="EA151" s="43"/>
      <c r="EE151" s="42">
        <v>0</v>
      </c>
      <c r="EF151" s="44"/>
      <c r="EG151" s="43"/>
      <c r="EK151" s="42">
        <v>0</v>
      </c>
      <c r="EL151" s="44"/>
      <c r="EM151" s="43"/>
      <c r="EQ151" s="42">
        <v>0</v>
      </c>
      <c r="ER151" s="44"/>
      <c r="EY151" s="42">
        <v>0</v>
      </c>
      <c r="EZ151" s="44"/>
      <c r="FE151" s="42">
        <v>0</v>
      </c>
      <c r="FF151" s="44"/>
      <c r="FG151" s="43"/>
      <c r="FK151" s="42">
        <v>0</v>
      </c>
      <c r="FL151" s="44"/>
      <c r="FM151" s="43"/>
      <c r="FO151" s="42">
        <v>0</v>
      </c>
      <c r="FP151" s="44"/>
      <c r="FU151" s="42">
        <v>0</v>
      </c>
      <c r="FV151" s="44"/>
      <c r="FW151" s="43"/>
      <c r="GC151" s="42">
        <v>0</v>
      </c>
      <c r="GD151" s="44"/>
      <c r="GI151" s="42">
        <v>0</v>
      </c>
      <c r="GJ151" s="44"/>
      <c r="GK151" s="43"/>
      <c r="GO151" s="42">
        <v>0</v>
      </c>
      <c r="GP151" s="47"/>
      <c r="GU151" s="42">
        <v>0</v>
      </c>
      <c r="GV151" s="44"/>
      <c r="GY151" s="42">
        <v>0</v>
      </c>
      <c r="GZ151" s="47"/>
      <c r="HA151" s="43"/>
      <c r="HC151" s="42">
        <v>0</v>
      </c>
      <c r="HD151" s="44"/>
      <c r="HE151" s="43"/>
      <c r="HI151" s="42">
        <v>0</v>
      </c>
      <c r="HJ151" s="47"/>
      <c r="HK151" s="43"/>
      <c r="HO151" s="42">
        <v>0</v>
      </c>
      <c r="HP151" s="44"/>
      <c r="HV151" s="42">
        <v>0</v>
      </c>
      <c r="HW151" s="44"/>
      <c r="HX151" s="45"/>
      <c r="IB151" s="42">
        <v>0</v>
      </c>
      <c r="IC151" s="44"/>
      <c r="IH151" s="42">
        <v>0</v>
      </c>
      <c r="II151" s="47"/>
      <c r="IN151" s="42">
        <v>0</v>
      </c>
      <c r="IO151" s="47"/>
      <c r="IP151">
        <v>282</v>
      </c>
      <c r="IQ151">
        <v>280</v>
      </c>
      <c r="IR151">
        <v>217</v>
      </c>
      <c r="IS151">
        <v>220</v>
      </c>
      <c r="IT151" s="42">
        <v>-1</v>
      </c>
      <c r="IU151" s="47"/>
      <c r="IV151">
        <v>199</v>
      </c>
      <c r="IW151">
        <v>200</v>
      </c>
      <c r="IX151">
        <v>199</v>
      </c>
      <c r="IY151">
        <v>200</v>
      </c>
      <c r="IZ151" s="42">
        <v>-2</v>
      </c>
      <c r="JA151" s="44"/>
      <c r="JB151">
        <v>200</v>
      </c>
      <c r="JC151">
        <v>198</v>
      </c>
      <c r="JD151" s="42">
        <v>2</v>
      </c>
      <c r="JE151" s="44"/>
      <c r="JF151">
        <v>146</v>
      </c>
      <c r="JG151">
        <v>150</v>
      </c>
      <c r="JH151">
        <v>117</v>
      </c>
      <c r="JI151">
        <v>119</v>
      </c>
      <c r="JJ151" s="42">
        <v>-6</v>
      </c>
      <c r="JK151" s="44"/>
      <c r="JL151" s="45"/>
      <c r="JN151" s="42">
        <v>0</v>
      </c>
      <c r="JO151" s="44"/>
      <c r="JR151">
        <v>24</v>
      </c>
      <c r="JS151">
        <v>24</v>
      </c>
      <c r="JT151" s="42">
        <v>0</v>
      </c>
      <c r="JU151" s="44"/>
      <c r="JX151">
        <v>490</v>
      </c>
      <c r="JY151">
        <v>493</v>
      </c>
      <c r="JZ151" s="42">
        <v>-3</v>
      </c>
      <c r="KA151" s="47"/>
      <c r="KF151" s="42">
        <v>0</v>
      </c>
      <c r="KG151" s="44"/>
      <c r="KH151" s="41"/>
      <c r="KL151" s="42">
        <v>0</v>
      </c>
      <c r="KM151" s="47"/>
      <c r="KN151" s="46">
        <v>146</v>
      </c>
      <c r="KO151" s="40">
        <v>150</v>
      </c>
      <c r="KP151">
        <v>224</v>
      </c>
      <c r="KQ151">
        <v>230</v>
      </c>
      <c r="KR151">
        <v>198</v>
      </c>
      <c r="KS151">
        <v>102</v>
      </c>
      <c r="KT151" s="42">
        <v>86</v>
      </c>
      <c r="KU151" s="47"/>
      <c r="LA151" s="47"/>
      <c r="LG151" s="47"/>
      <c r="LH151" s="45"/>
      <c r="LK151" s="47"/>
      <c r="LL151" s="45"/>
      <c r="LQ151" s="47"/>
      <c r="LR151" s="45"/>
      <c r="LW151" s="47"/>
      <c r="LX151" s="45"/>
      <c r="MA151" s="47"/>
      <c r="MB151" s="45"/>
      <c r="MG151" s="47"/>
      <c r="MH151" s="45"/>
      <c r="MK151" s="47"/>
      <c r="ML151" s="45"/>
      <c r="MQ151" s="47"/>
      <c r="MW151" s="47"/>
      <c r="MX151" s="45"/>
      <c r="NC151" s="47"/>
      <c r="ND151" s="45"/>
      <c r="NI151" s="47"/>
      <c r="NJ151" s="45"/>
      <c r="NO151" s="47"/>
      <c r="NP151" s="45"/>
      <c r="NU151" s="47"/>
      <c r="NV151" s="45"/>
      <c r="OA151" s="47"/>
      <c r="OB151" s="45"/>
      <c r="OE151" s="47"/>
      <c r="OF151" s="45"/>
      <c r="OK151" s="47"/>
      <c r="OL151" s="45"/>
      <c r="OQ151" s="47"/>
      <c r="OR151" s="45"/>
      <c r="OW151" s="47"/>
      <c r="PC151" s="47"/>
      <c r="PD151" s="45"/>
      <c r="PI151" s="47"/>
      <c r="PJ151" s="45"/>
      <c r="PO151" s="47"/>
      <c r="PP151" s="43"/>
      <c r="PU151" s="47"/>
      <c r="PV151" s="45"/>
      <c r="QA151" s="47"/>
      <c r="QB151" s="45"/>
      <c r="QE151" s="47"/>
      <c r="QF151" s="45"/>
      <c r="QK151" s="47"/>
      <c r="QL151" s="45"/>
      <c r="QQ151" s="47"/>
      <c r="QR151" s="45"/>
      <c r="QW151" s="47"/>
      <c r="QX151" s="45"/>
      <c r="RB151" s="42"/>
      <c r="RC151" s="47"/>
      <c r="RD151" s="45"/>
      <c r="RF151" s="42"/>
      <c r="RG151" s="47"/>
    </row>
    <row r="152" spans="1:475" x14ac:dyDescent="0.25">
      <c r="A152" s="40" t="s">
        <v>441</v>
      </c>
      <c r="B152" s="41">
        <v>1</v>
      </c>
      <c r="N152" s="43"/>
      <c r="O152" s="48"/>
      <c r="P152" s="48"/>
      <c r="Q152" s="48"/>
      <c r="R152" s="48">
        <f t="shared" si="17"/>
        <v>0</v>
      </c>
      <c r="S152" s="44"/>
      <c r="T152" s="43"/>
      <c r="U152" s="48"/>
      <c r="V152" s="48"/>
      <c r="W152" s="48"/>
      <c r="X152" s="48">
        <f t="shared" si="18"/>
        <v>0</v>
      </c>
      <c r="Y152" s="44"/>
      <c r="Z152" s="43"/>
      <c r="AA152" s="48"/>
      <c r="AB152" s="48"/>
      <c r="AC152" s="48"/>
      <c r="AD152" s="48">
        <f t="shared" si="19"/>
        <v>0</v>
      </c>
      <c r="AE152" s="44"/>
      <c r="AF152" s="43"/>
      <c r="AG152" s="48"/>
      <c r="AH152" s="48"/>
      <c r="AI152" s="48"/>
      <c r="AJ152" s="48">
        <f t="shared" si="20"/>
        <v>0</v>
      </c>
      <c r="AK152" s="44"/>
      <c r="AL152" s="48"/>
      <c r="AP152" s="42">
        <v>0</v>
      </c>
      <c r="AQ152" s="44"/>
      <c r="AR152" s="43"/>
      <c r="AV152" s="42">
        <v>0</v>
      </c>
      <c r="AW152" s="44"/>
      <c r="BC152" s="42">
        <v>0</v>
      </c>
      <c r="BD152" s="44"/>
      <c r="BE152" s="43"/>
      <c r="BI152" s="42">
        <v>0</v>
      </c>
      <c r="BJ152" s="44"/>
      <c r="BO152" s="42">
        <v>0</v>
      </c>
      <c r="BP152" s="44"/>
      <c r="BS152" s="42">
        <v>0</v>
      </c>
      <c r="BT152" s="44"/>
      <c r="BU152" s="43"/>
      <c r="BY152" s="42">
        <v>0</v>
      </c>
      <c r="BZ152" s="44"/>
      <c r="CE152" s="42">
        <v>0</v>
      </c>
      <c r="CF152" s="44"/>
      <c r="CG152" s="43"/>
      <c r="CK152" s="42">
        <v>0</v>
      </c>
      <c r="CL152" s="44"/>
      <c r="CM152" s="43"/>
      <c r="CQ152" s="42">
        <v>0</v>
      </c>
      <c r="CR152" s="44"/>
      <c r="CW152" s="42">
        <v>0</v>
      </c>
      <c r="CX152" s="44"/>
      <c r="CY152" s="43"/>
      <c r="DC152" s="42">
        <v>0</v>
      </c>
      <c r="DD152" s="44"/>
      <c r="DE152" s="43"/>
      <c r="DK152" s="42">
        <v>0</v>
      </c>
      <c r="DL152" s="44"/>
      <c r="DM152" s="43"/>
      <c r="DQ152" s="42">
        <v>0</v>
      </c>
      <c r="DR152" s="44"/>
      <c r="DY152" s="42">
        <v>0</v>
      </c>
      <c r="DZ152" s="44"/>
      <c r="EA152" s="43"/>
      <c r="EE152" s="42">
        <v>0</v>
      </c>
      <c r="EF152" s="44"/>
      <c r="EG152" s="43"/>
      <c r="EK152" s="42">
        <v>0</v>
      </c>
      <c r="EL152" s="44"/>
      <c r="EM152" s="43"/>
      <c r="EQ152" s="42">
        <v>0</v>
      </c>
      <c r="ER152" s="44"/>
      <c r="EY152" s="42">
        <v>0</v>
      </c>
      <c r="EZ152" s="44"/>
      <c r="FE152" s="42">
        <v>0</v>
      </c>
      <c r="FF152" s="44"/>
      <c r="FG152" s="43"/>
      <c r="FK152" s="42">
        <v>0</v>
      </c>
      <c r="FL152" s="44"/>
      <c r="FM152" s="43"/>
      <c r="FO152" s="42">
        <v>0</v>
      </c>
      <c r="FP152" s="44"/>
      <c r="FU152" s="42">
        <v>0</v>
      </c>
      <c r="FV152" s="44"/>
      <c r="FW152" s="43"/>
      <c r="GC152" s="42">
        <v>0</v>
      </c>
      <c r="GD152" s="44"/>
      <c r="GI152" s="42">
        <v>0</v>
      </c>
      <c r="GJ152" s="44"/>
      <c r="GK152" s="43"/>
      <c r="GO152" s="42">
        <v>0</v>
      </c>
      <c r="GP152" s="47"/>
      <c r="GU152" s="42">
        <v>0</v>
      </c>
      <c r="GV152" s="44"/>
      <c r="GY152" s="42">
        <v>0</v>
      </c>
      <c r="GZ152" s="47"/>
      <c r="HA152" s="43"/>
      <c r="HC152" s="42">
        <v>0</v>
      </c>
      <c r="HD152" s="44"/>
      <c r="HE152" s="43"/>
      <c r="HI152" s="42">
        <v>0</v>
      </c>
      <c r="HJ152" s="47"/>
      <c r="HK152" s="43"/>
      <c r="HO152" s="42">
        <v>0</v>
      </c>
      <c r="HP152" s="44"/>
      <c r="HV152" s="42">
        <v>0</v>
      </c>
      <c r="HW152" s="44"/>
      <c r="HX152" s="45"/>
      <c r="IB152" s="42">
        <v>0</v>
      </c>
      <c r="IC152" s="44"/>
      <c r="IH152" s="42">
        <v>0</v>
      </c>
      <c r="II152" s="47"/>
      <c r="IN152" s="42">
        <v>0</v>
      </c>
      <c r="IO152" s="47"/>
      <c r="IP152">
        <v>203</v>
      </c>
      <c r="IQ152">
        <v>200</v>
      </c>
      <c r="IR152">
        <v>188</v>
      </c>
      <c r="IS152">
        <v>180</v>
      </c>
      <c r="IT152" s="42">
        <v>11</v>
      </c>
      <c r="IU152" s="47"/>
      <c r="IV152">
        <v>354</v>
      </c>
      <c r="IW152">
        <v>350</v>
      </c>
      <c r="IX152">
        <v>272</v>
      </c>
      <c r="IY152">
        <v>270</v>
      </c>
      <c r="IZ152" s="42">
        <v>6</v>
      </c>
      <c r="JA152" s="44"/>
      <c r="JB152">
        <v>123</v>
      </c>
      <c r="JC152">
        <v>116</v>
      </c>
      <c r="JD152" s="42">
        <v>7</v>
      </c>
      <c r="JE152" s="44"/>
      <c r="JF152">
        <v>136</v>
      </c>
      <c r="JG152">
        <v>130</v>
      </c>
      <c r="JH152">
        <v>118</v>
      </c>
      <c r="JI152">
        <v>117</v>
      </c>
      <c r="JJ152" s="42">
        <v>7</v>
      </c>
      <c r="JK152" s="44"/>
      <c r="JL152" s="46">
        <v>155</v>
      </c>
      <c r="JM152" s="40">
        <v>150</v>
      </c>
      <c r="JN152" s="42">
        <v>5</v>
      </c>
      <c r="JO152" s="44"/>
      <c r="JR152">
        <v>389</v>
      </c>
      <c r="JS152">
        <v>380</v>
      </c>
      <c r="JT152" s="42">
        <v>9</v>
      </c>
      <c r="JU152" s="44"/>
      <c r="JX152">
        <v>269</v>
      </c>
      <c r="JY152">
        <v>264</v>
      </c>
      <c r="JZ152" s="42">
        <v>5</v>
      </c>
      <c r="KA152" s="47"/>
      <c r="KF152" s="42">
        <v>0</v>
      </c>
      <c r="KG152" s="44"/>
      <c r="KH152">
        <v>50</v>
      </c>
      <c r="KI152" s="40">
        <v>50</v>
      </c>
      <c r="KJ152">
        <v>155</v>
      </c>
      <c r="KK152" s="40">
        <v>156</v>
      </c>
      <c r="KL152" s="42">
        <v>-1</v>
      </c>
      <c r="KM152" s="47"/>
      <c r="KN152" s="45"/>
      <c r="KR152" s="37">
        <v>87</v>
      </c>
      <c r="KT152" s="42">
        <v>87</v>
      </c>
      <c r="KU152" s="47"/>
      <c r="LA152" s="47"/>
      <c r="LG152" s="47"/>
      <c r="LH152" s="45"/>
      <c r="LK152" s="47"/>
      <c r="LL152" s="45"/>
      <c r="LQ152" s="47"/>
      <c r="LR152" s="45"/>
      <c r="LW152" s="47"/>
      <c r="LX152" s="45"/>
      <c r="MA152" s="47"/>
      <c r="MB152" s="45"/>
      <c r="MG152" s="47"/>
      <c r="MH152" s="45"/>
      <c r="MK152" s="47"/>
      <c r="ML152" s="45"/>
      <c r="MQ152" s="47"/>
      <c r="MW152" s="47"/>
      <c r="MX152" s="45"/>
      <c r="NC152" s="47"/>
      <c r="ND152" s="45"/>
      <c r="NI152" s="47"/>
      <c r="NJ152" s="45"/>
      <c r="NO152" s="47"/>
      <c r="NP152" s="45"/>
      <c r="NU152" s="47"/>
      <c r="NV152" s="45"/>
      <c r="OA152" s="47"/>
      <c r="OB152" s="45"/>
      <c r="OE152" s="47"/>
      <c r="OF152" s="45"/>
      <c r="OK152" s="47"/>
      <c r="OL152" s="45"/>
      <c r="OQ152" s="47"/>
      <c r="OR152" s="45"/>
      <c r="OW152" s="47"/>
      <c r="PC152" s="47"/>
      <c r="PD152" s="45"/>
      <c r="PI152" s="47"/>
      <c r="PJ152" s="45"/>
      <c r="PO152" s="47"/>
      <c r="PP152" s="43"/>
      <c r="PU152" s="47"/>
      <c r="PV152" s="45"/>
      <c r="QA152" s="47"/>
      <c r="QB152" s="45"/>
      <c r="QE152" s="47"/>
      <c r="QF152" s="45"/>
      <c r="QK152" s="47"/>
      <c r="QL152" s="45"/>
      <c r="QQ152" s="47"/>
      <c r="QR152" s="45"/>
      <c r="QW152" s="47"/>
      <c r="QX152" s="45"/>
      <c r="RB152" s="42"/>
      <c r="RC152" s="47"/>
      <c r="RD152" s="45"/>
      <c r="RF152" s="42"/>
      <c r="RG152" s="47"/>
    </row>
    <row r="153" spans="1:475" x14ac:dyDescent="0.25">
      <c r="A153" s="40" t="s">
        <v>442</v>
      </c>
      <c r="B153" s="41">
        <v>1</v>
      </c>
      <c r="N153" s="43"/>
      <c r="O153" s="48"/>
      <c r="P153" s="48"/>
      <c r="Q153" s="48"/>
      <c r="R153" s="48">
        <f t="shared" si="17"/>
        <v>0</v>
      </c>
      <c r="S153" s="44"/>
      <c r="T153" s="43"/>
      <c r="U153" s="48"/>
      <c r="V153" s="48"/>
      <c r="W153" s="48"/>
      <c r="X153" s="48">
        <f t="shared" si="18"/>
        <v>0</v>
      </c>
      <c r="Y153" s="44"/>
      <c r="Z153" s="43"/>
      <c r="AA153" s="48"/>
      <c r="AB153" s="48"/>
      <c r="AC153" s="48"/>
      <c r="AD153" s="48">
        <f t="shared" si="19"/>
        <v>0</v>
      </c>
      <c r="AE153" s="44"/>
      <c r="AF153" s="43"/>
      <c r="AG153" s="48"/>
      <c r="AH153" s="48"/>
      <c r="AI153" s="48"/>
      <c r="AJ153" s="48">
        <f t="shared" si="20"/>
        <v>0</v>
      </c>
      <c r="AK153" s="44"/>
      <c r="AL153" s="48"/>
      <c r="AP153" s="42">
        <v>0</v>
      </c>
      <c r="AQ153" s="44"/>
      <c r="AR153" s="43"/>
      <c r="AV153" s="42">
        <v>0</v>
      </c>
      <c r="AW153" s="44"/>
      <c r="BC153" s="42">
        <v>0</v>
      </c>
      <c r="BD153" s="44"/>
      <c r="BE153" s="43"/>
      <c r="BI153" s="42">
        <v>0</v>
      </c>
      <c r="BJ153" s="44"/>
      <c r="BO153" s="42">
        <v>0</v>
      </c>
      <c r="BP153" s="44"/>
      <c r="BS153" s="42">
        <v>0</v>
      </c>
      <c r="BT153" s="44"/>
      <c r="BU153" s="43"/>
      <c r="BY153" s="42">
        <v>0</v>
      </c>
      <c r="BZ153" s="44"/>
      <c r="CE153" s="42">
        <v>0</v>
      </c>
      <c r="CF153" s="44"/>
      <c r="CG153" s="43"/>
      <c r="CK153" s="42">
        <v>0</v>
      </c>
      <c r="CL153" s="44"/>
      <c r="CM153" s="43"/>
      <c r="CQ153" s="42">
        <v>0</v>
      </c>
      <c r="CR153" s="44"/>
      <c r="CW153" s="42">
        <v>0</v>
      </c>
      <c r="CX153" s="44"/>
      <c r="CY153" s="43"/>
      <c r="DC153" s="42">
        <v>0</v>
      </c>
      <c r="DD153" s="44"/>
      <c r="DE153" s="43"/>
      <c r="DK153" s="42">
        <v>0</v>
      </c>
      <c r="DL153" s="44"/>
      <c r="DM153" s="43"/>
      <c r="DQ153" s="42">
        <v>0</v>
      </c>
      <c r="DR153" s="44"/>
      <c r="DY153" s="42">
        <v>0</v>
      </c>
      <c r="DZ153" s="44"/>
      <c r="EA153" s="43"/>
      <c r="EE153" s="42">
        <v>0</v>
      </c>
      <c r="EF153" s="44"/>
      <c r="EG153" s="43"/>
      <c r="EK153" s="42">
        <v>0</v>
      </c>
      <c r="EL153" s="44"/>
      <c r="EM153" s="43"/>
      <c r="EQ153" s="42">
        <v>0</v>
      </c>
      <c r="ER153" s="44"/>
      <c r="EY153" s="42">
        <v>0</v>
      </c>
      <c r="EZ153" s="44"/>
      <c r="FE153" s="42">
        <v>0</v>
      </c>
      <c r="FF153" s="44"/>
      <c r="FG153" s="43"/>
      <c r="FK153" s="42">
        <v>0</v>
      </c>
      <c r="FL153" s="44"/>
      <c r="FM153" s="43"/>
      <c r="FO153" s="42">
        <v>0</v>
      </c>
      <c r="FP153" s="44"/>
      <c r="FU153" s="42">
        <v>0</v>
      </c>
      <c r="FV153" s="44"/>
      <c r="FW153" s="43"/>
      <c r="GC153" s="42">
        <v>0</v>
      </c>
      <c r="GD153" s="44"/>
      <c r="GI153" s="42">
        <v>0</v>
      </c>
      <c r="GJ153" s="44"/>
      <c r="GK153" s="43"/>
      <c r="GO153" s="42">
        <v>0</v>
      </c>
      <c r="GP153" s="47"/>
      <c r="GU153" s="42">
        <v>0</v>
      </c>
      <c r="GV153" s="44"/>
      <c r="GY153" s="42">
        <v>0</v>
      </c>
      <c r="GZ153" s="47"/>
      <c r="HA153" s="43"/>
      <c r="HC153" s="42">
        <v>0</v>
      </c>
      <c r="HD153" s="44"/>
      <c r="HE153" s="43"/>
      <c r="HI153" s="42">
        <v>0</v>
      </c>
      <c r="HJ153" s="47"/>
      <c r="HK153" s="43"/>
      <c r="HO153" s="42">
        <v>0</v>
      </c>
      <c r="HP153" s="44"/>
      <c r="HV153" s="42">
        <v>0</v>
      </c>
      <c r="HW153" s="44"/>
      <c r="HX153" s="45"/>
      <c r="IB153" s="42">
        <v>0</v>
      </c>
      <c r="IC153" s="44"/>
      <c r="IH153" s="42">
        <v>0</v>
      </c>
      <c r="II153" s="47"/>
      <c r="IN153" s="42">
        <v>0</v>
      </c>
      <c r="IO153" s="47"/>
      <c r="IT153" s="42">
        <v>0</v>
      </c>
      <c r="IU153" s="47"/>
      <c r="IZ153" s="42">
        <v>0</v>
      </c>
      <c r="JA153" s="44"/>
      <c r="JD153" s="42">
        <v>0</v>
      </c>
      <c r="JE153" s="44"/>
      <c r="JJ153" s="42">
        <v>0</v>
      </c>
      <c r="JK153" s="44"/>
      <c r="JL153" s="45"/>
      <c r="JN153" s="42">
        <v>0</v>
      </c>
      <c r="JO153" s="44"/>
      <c r="JT153" s="42">
        <v>0</v>
      </c>
      <c r="JU153" s="44"/>
      <c r="JZ153" s="42">
        <v>0</v>
      </c>
      <c r="KA153" s="47"/>
      <c r="KF153" s="42">
        <v>0</v>
      </c>
      <c r="KG153" s="44"/>
      <c r="KH153" s="41"/>
      <c r="KL153" s="42">
        <v>0</v>
      </c>
      <c r="KM153" s="47"/>
      <c r="KN153" s="45"/>
      <c r="KR153" s="37">
        <v>378</v>
      </c>
      <c r="KT153" s="42">
        <v>378</v>
      </c>
      <c r="KU153" s="47"/>
      <c r="LA153" s="47"/>
      <c r="LG153" s="47"/>
      <c r="LH153" s="45"/>
      <c r="LK153" s="47"/>
      <c r="LL153" s="45"/>
      <c r="LQ153" s="47"/>
      <c r="LR153" s="45"/>
      <c r="LW153" s="47"/>
      <c r="LX153" s="45"/>
      <c r="MA153" s="47"/>
      <c r="MB153" s="45"/>
      <c r="MG153" s="47"/>
      <c r="MH153" s="45"/>
      <c r="MK153" s="47"/>
      <c r="ML153" s="45"/>
      <c r="MQ153" s="47"/>
      <c r="MW153" s="47"/>
      <c r="MX153" s="45"/>
      <c r="NC153" s="47"/>
      <c r="ND153" s="45"/>
      <c r="NI153" s="47"/>
      <c r="NJ153" s="45"/>
      <c r="NO153" s="47"/>
      <c r="NP153" s="45"/>
      <c r="NU153" s="47"/>
      <c r="NV153" s="45"/>
      <c r="OA153" s="47"/>
      <c r="OB153" s="45"/>
      <c r="OE153" s="47"/>
      <c r="OF153" s="45"/>
      <c r="OK153" s="47"/>
      <c r="OL153" s="45"/>
      <c r="OQ153" s="47"/>
      <c r="OR153" s="45"/>
      <c r="OW153" s="47"/>
      <c r="PC153" s="47"/>
      <c r="PD153" s="45"/>
      <c r="PI153" s="47"/>
      <c r="PJ153" s="45"/>
      <c r="PO153" s="47"/>
      <c r="PP153" s="43"/>
      <c r="PU153" s="47"/>
      <c r="PV153" s="45"/>
      <c r="QA153" s="47"/>
      <c r="QB153" s="45"/>
      <c r="QE153" s="47"/>
      <c r="QF153" s="45"/>
      <c r="QK153" s="47"/>
      <c r="QL153" s="45"/>
      <c r="QQ153" s="47"/>
      <c r="QR153" s="45"/>
      <c r="QW153" s="47"/>
      <c r="QX153" s="45"/>
      <c r="RB153" s="42"/>
      <c r="RC153" s="47"/>
      <c r="RD153" s="45"/>
      <c r="RF153" s="42"/>
      <c r="RG153" s="47"/>
    </row>
    <row r="154" spans="1:475" x14ac:dyDescent="0.25">
      <c r="A154" s="40" t="s">
        <v>443</v>
      </c>
      <c r="B154" s="41">
        <v>0.25</v>
      </c>
      <c r="E154">
        <v>50</v>
      </c>
      <c r="F154">
        <v>50</v>
      </c>
      <c r="J154">
        <v>8</v>
      </c>
      <c r="K154">
        <v>8</v>
      </c>
      <c r="N154" s="43"/>
      <c r="O154" s="48"/>
      <c r="P154" s="48"/>
      <c r="Q154" s="48"/>
      <c r="R154" s="48">
        <f t="shared" si="17"/>
        <v>0</v>
      </c>
      <c r="S154" s="44"/>
      <c r="T154" s="46">
        <v>32</v>
      </c>
      <c r="U154" s="49">
        <v>32</v>
      </c>
      <c r="V154" s="49">
        <v>16</v>
      </c>
      <c r="W154" s="49">
        <v>18</v>
      </c>
      <c r="X154" s="48">
        <f t="shared" si="18"/>
        <v>-2</v>
      </c>
      <c r="Y154" s="44"/>
      <c r="Z154" s="43"/>
      <c r="AA154" s="48"/>
      <c r="AB154" s="48"/>
      <c r="AC154" s="48"/>
      <c r="AD154" s="48">
        <f t="shared" si="19"/>
        <v>0</v>
      </c>
      <c r="AE154" s="44"/>
      <c r="AF154" s="46">
        <v>48</v>
      </c>
      <c r="AG154" s="48">
        <v>50</v>
      </c>
      <c r="AH154" s="48"/>
      <c r="AI154" s="48"/>
      <c r="AJ154" s="48">
        <f t="shared" si="20"/>
        <v>-2</v>
      </c>
      <c r="AK154" s="44"/>
      <c r="AL154" s="48"/>
      <c r="AN154" s="42">
        <v>200</v>
      </c>
      <c r="AP154" s="42">
        <v>200</v>
      </c>
      <c r="AQ154" s="44"/>
      <c r="AR154" s="43"/>
      <c r="AV154" s="42">
        <v>0</v>
      </c>
      <c r="AW154" s="44"/>
      <c r="BC154" s="42">
        <v>0</v>
      </c>
      <c r="BD154" s="44"/>
      <c r="BE154" s="43"/>
      <c r="BG154" s="40"/>
      <c r="BI154" s="42">
        <v>0</v>
      </c>
      <c r="BJ154" s="44"/>
      <c r="BP154" s="44"/>
      <c r="BT154" s="44"/>
      <c r="BU154" s="43"/>
      <c r="BZ154" s="44"/>
      <c r="CF154" s="44"/>
      <c r="CG154" s="43"/>
      <c r="CL154" s="44"/>
      <c r="CM154" s="43"/>
      <c r="CR154" s="44"/>
      <c r="CX154" s="44"/>
      <c r="CY154" s="43"/>
      <c r="DD154" s="44"/>
      <c r="DE154" s="43"/>
      <c r="DL154" s="44"/>
      <c r="DM154" s="43"/>
      <c r="DR154" s="44"/>
      <c r="DZ154" s="44"/>
      <c r="EA154" s="43"/>
      <c r="EF154" s="44"/>
      <c r="EG154" s="43"/>
      <c r="EL154" s="44"/>
      <c r="EM154" s="43"/>
      <c r="ER154" s="44"/>
      <c r="EZ154" s="44"/>
      <c r="FF154" s="44"/>
      <c r="FG154" s="43"/>
      <c r="FL154" s="44"/>
      <c r="FM154" s="43"/>
      <c r="FN154" s="42"/>
      <c r="FO154" s="42"/>
      <c r="FP154" s="44"/>
      <c r="FT154" s="42"/>
      <c r="FU154" s="42"/>
      <c r="FV154" s="44"/>
      <c r="FW154" s="43"/>
      <c r="FZ154" s="42"/>
      <c r="GD154" s="44"/>
      <c r="GJ154" s="44"/>
      <c r="GK154" s="43"/>
      <c r="GP154" s="47"/>
      <c r="GV154" s="44"/>
      <c r="GZ154" s="47"/>
      <c r="HA154" s="43"/>
      <c r="HD154" s="44"/>
      <c r="HE154" s="43"/>
      <c r="HH154" s="42"/>
      <c r="HI154" s="42"/>
      <c r="HJ154" s="47"/>
      <c r="HK154" s="43"/>
      <c r="HN154" s="42"/>
      <c r="HO154" s="42"/>
      <c r="HP154" s="44"/>
      <c r="HT154" s="42"/>
      <c r="HW154" s="44"/>
      <c r="HX154" s="45"/>
      <c r="HZ154" s="42"/>
      <c r="IC154" s="44"/>
      <c r="II154" s="47"/>
      <c r="IO154" s="47"/>
      <c r="IT154" s="42"/>
      <c r="IU154" s="47"/>
      <c r="JA154" s="44"/>
      <c r="JE154" s="44"/>
      <c r="JK154" s="44"/>
      <c r="JL154" s="45"/>
      <c r="JO154" s="44"/>
      <c r="JU154" s="44"/>
      <c r="JZ154" s="42"/>
      <c r="KA154" s="47"/>
      <c r="KF154" s="42"/>
      <c r="KG154" s="44"/>
      <c r="KH154" s="41"/>
      <c r="KJ154" s="42"/>
      <c r="KL154" s="42"/>
      <c r="KM154" s="47"/>
      <c r="KN154" s="45"/>
      <c r="KT154" s="42"/>
      <c r="KU154" s="47"/>
      <c r="LA154" s="47"/>
      <c r="LG154" s="47"/>
      <c r="LH154" s="45"/>
      <c r="LK154" s="47"/>
      <c r="LL154" s="45"/>
      <c r="LQ154" s="47"/>
      <c r="LR154" s="45"/>
      <c r="LW154" s="47"/>
      <c r="LX154" s="45"/>
      <c r="MA154" s="47"/>
      <c r="MB154" s="45"/>
      <c r="MG154" s="47"/>
      <c r="MH154" s="45"/>
      <c r="MK154" s="47"/>
      <c r="ML154" s="45"/>
      <c r="MQ154" s="47"/>
      <c r="MW154" s="47"/>
      <c r="MX154" s="45"/>
      <c r="NC154" s="47"/>
      <c r="ND154" s="45"/>
      <c r="NI154" s="47"/>
      <c r="NJ154" s="45"/>
      <c r="NO154" s="47"/>
      <c r="NP154" s="45"/>
      <c r="NU154" s="47"/>
      <c r="NV154" s="45"/>
      <c r="OA154" s="47"/>
      <c r="OB154" s="45"/>
      <c r="OE154" s="47"/>
      <c r="OF154" s="45"/>
      <c r="OK154" s="47"/>
      <c r="OL154" s="45"/>
      <c r="OQ154" s="47"/>
      <c r="OR154" s="45"/>
      <c r="OW154" s="47"/>
      <c r="PC154" s="47"/>
      <c r="PD154" s="45"/>
      <c r="PI154" s="47"/>
      <c r="PJ154" s="45"/>
      <c r="PO154" s="47"/>
      <c r="PP154" s="43"/>
      <c r="PU154" s="47"/>
      <c r="PV154" s="45"/>
      <c r="QA154" s="47"/>
      <c r="QB154" s="45"/>
      <c r="QE154" s="47"/>
      <c r="QF154" s="45"/>
      <c r="QK154" s="47"/>
      <c r="QL154" s="45"/>
      <c r="QQ154" s="47"/>
      <c r="QR154" s="45"/>
      <c r="QW154" s="47"/>
      <c r="QX154" s="45"/>
      <c r="RB154" s="42"/>
      <c r="RC154" s="47"/>
      <c r="RD154" s="45"/>
      <c r="RF154" s="42"/>
      <c r="RG154" s="47"/>
    </row>
    <row r="155" spans="1:475" x14ac:dyDescent="0.25">
      <c r="A155" s="40" t="s">
        <v>444</v>
      </c>
      <c r="B155" s="41">
        <v>1</v>
      </c>
      <c r="E155">
        <v>30</v>
      </c>
      <c r="N155" s="46">
        <v>84</v>
      </c>
      <c r="O155" s="49">
        <v>80</v>
      </c>
      <c r="P155" s="49">
        <v>105</v>
      </c>
      <c r="Q155" s="49">
        <v>100</v>
      </c>
      <c r="R155" s="48">
        <f t="shared" si="17"/>
        <v>9</v>
      </c>
      <c r="S155" s="44"/>
      <c r="T155" s="46">
        <v>62</v>
      </c>
      <c r="U155" s="49">
        <v>60</v>
      </c>
      <c r="V155" s="49">
        <v>62</v>
      </c>
      <c r="W155" s="49">
        <v>60</v>
      </c>
      <c r="X155" s="48">
        <f t="shared" si="18"/>
        <v>4</v>
      </c>
      <c r="Y155" s="44"/>
      <c r="Z155" s="46">
        <v>31</v>
      </c>
      <c r="AA155" s="49">
        <v>30</v>
      </c>
      <c r="AB155" s="48"/>
      <c r="AC155" s="48"/>
      <c r="AD155" s="48">
        <f t="shared" si="19"/>
        <v>1</v>
      </c>
      <c r="AE155" s="44"/>
      <c r="AF155" s="43"/>
      <c r="AG155" s="48"/>
      <c r="AH155" s="49">
        <v>157</v>
      </c>
      <c r="AI155" s="49">
        <v>150</v>
      </c>
      <c r="AJ155" s="48">
        <f t="shared" si="20"/>
        <v>7</v>
      </c>
      <c r="AK155" s="44"/>
      <c r="AL155" s="49">
        <v>25</v>
      </c>
      <c r="AM155">
        <v>24</v>
      </c>
      <c r="AP155" s="42">
        <v>1</v>
      </c>
      <c r="AQ155" s="44"/>
      <c r="AR155" s="43"/>
      <c r="AV155" s="42">
        <v>0</v>
      </c>
      <c r="AW155" s="44"/>
      <c r="AX155">
        <v>107</v>
      </c>
      <c r="AZ155">
        <v>100</v>
      </c>
      <c r="BA155">
        <v>156</v>
      </c>
      <c r="BB155">
        <v>150</v>
      </c>
      <c r="BC155" s="42">
        <v>13</v>
      </c>
      <c r="BD155" s="44"/>
      <c r="BE155" s="43"/>
      <c r="BI155" s="42">
        <v>0</v>
      </c>
      <c r="BJ155" s="44"/>
      <c r="BK155">
        <v>105</v>
      </c>
      <c r="BL155">
        <v>100</v>
      </c>
      <c r="BO155" s="42">
        <v>5</v>
      </c>
      <c r="BP155" s="44"/>
      <c r="BS155" s="42">
        <v>0</v>
      </c>
      <c r="BT155" s="44"/>
      <c r="BU155" s="46">
        <v>263</v>
      </c>
      <c r="BV155">
        <v>250</v>
      </c>
      <c r="BW155">
        <v>105</v>
      </c>
      <c r="BX155">
        <v>100</v>
      </c>
      <c r="BY155" s="42">
        <v>18</v>
      </c>
      <c r="BZ155" s="44"/>
      <c r="CA155">
        <v>52</v>
      </c>
      <c r="CB155">
        <v>50</v>
      </c>
      <c r="CC155">
        <v>52</v>
      </c>
      <c r="CD155">
        <v>50</v>
      </c>
      <c r="CE155" s="42">
        <v>4</v>
      </c>
      <c r="CF155" s="44"/>
      <c r="CG155" s="43"/>
      <c r="CK155" s="42">
        <v>0</v>
      </c>
      <c r="CL155" s="44"/>
      <c r="CM155" s="43"/>
      <c r="CO155">
        <v>351</v>
      </c>
      <c r="CP155">
        <v>337</v>
      </c>
      <c r="CQ155" s="42">
        <v>14</v>
      </c>
      <c r="CR155" s="44"/>
      <c r="CU155">
        <v>40</v>
      </c>
      <c r="CV155">
        <v>37</v>
      </c>
      <c r="CW155" s="42">
        <v>3</v>
      </c>
      <c r="CX155" s="44"/>
      <c r="CY155" s="43"/>
      <c r="DA155">
        <v>155</v>
      </c>
      <c r="DB155">
        <v>150</v>
      </c>
      <c r="DC155" s="42">
        <v>5</v>
      </c>
      <c r="DD155" s="44"/>
      <c r="DE155" s="43"/>
      <c r="DI155">
        <v>63</v>
      </c>
      <c r="DJ155">
        <v>60</v>
      </c>
      <c r="DK155" s="42">
        <v>3</v>
      </c>
      <c r="DL155" s="44"/>
      <c r="DM155" s="46">
        <v>126</v>
      </c>
      <c r="DN155">
        <v>120</v>
      </c>
      <c r="DO155">
        <v>125</v>
      </c>
      <c r="DP155">
        <v>120</v>
      </c>
      <c r="DQ155" s="42">
        <v>11</v>
      </c>
      <c r="DR155" s="44"/>
      <c r="DS155">
        <v>106</v>
      </c>
      <c r="DT155">
        <v>100</v>
      </c>
      <c r="DU155">
        <v>94</v>
      </c>
      <c r="DV155">
        <v>90</v>
      </c>
      <c r="DW155">
        <v>105</v>
      </c>
      <c r="DX155">
        <v>100</v>
      </c>
      <c r="DY155" s="42">
        <v>15</v>
      </c>
      <c r="DZ155" s="44"/>
      <c r="EA155" s="43"/>
      <c r="EE155" s="42">
        <v>0</v>
      </c>
      <c r="EF155" s="44"/>
      <c r="EG155" s="46">
        <v>85</v>
      </c>
      <c r="EH155">
        <v>80</v>
      </c>
      <c r="EI155">
        <v>107</v>
      </c>
      <c r="EJ155">
        <v>100</v>
      </c>
      <c r="EK155" s="42">
        <v>12</v>
      </c>
      <c r="EL155" s="44"/>
      <c r="EM155" s="46">
        <v>146</v>
      </c>
      <c r="EN155">
        <v>140</v>
      </c>
      <c r="EO155">
        <v>137</v>
      </c>
      <c r="EP155">
        <v>130</v>
      </c>
      <c r="EQ155" s="42">
        <v>13</v>
      </c>
      <c r="ER155" s="44"/>
      <c r="EY155" s="42">
        <v>0</v>
      </c>
      <c r="EZ155" s="44"/>
      <c r="FC155">
        <v>135</v>
      </c>
      <c r="FD155">
        <v>131</v>
      </c>
      <c r="FE155" s="42">
        <v>4</v>
      </c>
      <c r="FF155" s="44"/>
      <c r="FG155" s="46">
        <v>105</v>
      </c>
      <c r="FH155">
        <v>100</v>
      </c>
      <c r="FI155">
        <v>125</v>
      </c>
      <c r="FJ155">
        <v>120</v>
      </c>
      <c r="FK155" s="42">
        <v>10</v>
      </c>
      <c r="FL155" s="44"/>
      <c r="FM155" s="46">
        <v>16</v>
      </c>
      <c r="FN155">
        <v>13</v>
      </c>
      <c r="FO155" s="42">
        <v>3</v>
      </c>
      <c r="FP155" s="44"/>
      <c r="FS155">
        <v>44</v>
      </c>
      <c r="FT155">
        <v>40</v>
      </c>
      <c r="FU155" s="42">
        <v>4</v>
      </c>
      <c r="FV155" s="44"/>
      <c r="FW155" s="46">
        <v>53</v>
      </c>
      <c r="FX155">
        <v>50</v>
      </c>
      <c r="FY155">
        <v>53</v>
      </c>
      <c r="FZ155">
        <v>50</v>
      </c>
      <c r="GA155">
        <v>52</v>
      </c>
      <c r="GB155">
        <v>50</v>
      </c>
      <c r="GC155" s="42">
        <v>8</v>
      </c>
      <c r="GD155" s="44"/>
      <c r="GG155">
        <v>103</v>
      </c>
      <c r="GH155">
        <v>100</v>
      </c>
      <c r="GI155" s="42">
        <v>3</v>
      </c>
      <c r="GJ155" s="44"/>
      <c r="GK155" s="43"/>
      <c r="GM155">
        <v>22</v>
      </c>
      <c r="GN155">
        <v>20</v>
      </c>
      <c r="GO155" s="42">
        <v>2</v>
      </c>
      <c r="GP155" s="47"/>
      <c r="GS155">
        <v>167</v>
      </c>
      <c r="GT155">
        <v>160</v>
      </c>
      <c r="GU155" s="42">
        <v>7</v>
      </c>
      <c r="GV155" s="44"/>
      <c r="GW155">
        <v>274</v>
      </c>
      <c r="GX155" s="40">
        <v>266.78219999999999</v>
      </c>
      <c r="GY155" s="42">
        <v>7.2178000000000111</v>
      </c>
      <c r="GZ155" s="47"/>
      <c r="HA155" s="46">
        <v>19</v>
      </c>
      <c r="HB155">
        <v>16</v>
      </c>
      <c r="HC155" s="42">
        <v>3</v>
      </c>
      <c r="HD155" s="44"/>
      <c r="HE155" s="43"/>
      <c r="HG155">
        <v>53</v>
      </c>
      <c r="HH155">
        <v>50</v>
      </c>
      <c r="HI155" s="42">
        <v>3</v>
      </c>
      <c r="HJ155" s="47"/>
      <c r="HK155" s="43"/>
      <c r="HM155">
        <v>98</v>
      </c>
      <c r="HN155">
        <v>90</v>
      </c>
      <c r="HO155" s="42">
        <v>8</v>
      </c>
      <c r="HP155" s="44"/>
      <c r="HR155">
        <v>110</v>
      </c>
      <c r="HS155">
        <v>100</v>
      </c>
      <c r="HT155">
        <v>184</v>
      </c>
      <c r="HU155">
        <v>170</v>
      </c>
      <c r="HV155" s="42">
        <v>24</v>
      </c>
      <c r="HW155" s="44"/>
      <c r="HX155" s="46">
        <v>56</v>
      </c>
      <c r="HY155">
        <v>50</v>
      </c>
      <c r="IB155" s="42">
        <v>6</v>
      </c>
      <c r="IC155" s="44"/>
      <c r="ID155">
        <v>130</v>
      </c>
      <c r="IE155">
        <v>120</v>
      </c>
      <c r="IF155">
        <v>228</v>
      </c>
      <c r="IG155">
        <v>210</v>
      </c>
      <c r="IH155" s="42">
        <v>28</v>
      </c>
      <c r="II155" s="47"/>
      <c r="IJ155" s="42">
        <v>129</v>
      </c>
      <c r="IK155" s="42">
        <v>120</v>
      </c>
      <c r="IN155" s="42">
        <v>9</v>
      </c>
      <c r="IO155" s="47"/>
      <c r="IT155" s="42">
        <v>0</v>
      </c>
      <c r="IU155" s="47"/>
      <c r="JA155" s="44"/>
      <c r="JE155" s="44"/>
      <c r="JK155" s="44"/>
      <c r="JL155" s="45"/>
      <c r="JO155" s="44"/>
      <c r="JU155" s="44"/>
      <c r="KA155" s="47"/>
      <c r="KG155" s="44"/>
      <c r="KH155" s="41"/>
      <c r="KM155" s="47"/>
      <c r="KN155" s="45"/>
      <c r="KU155" s="47"/>
      <c r="LA155" s="47"/>
      <c r="LG155" s="47"/>
      <c r="LH155" s="45"/>
      <c r="LK155" s="47"/>
      <c r="LL155" s="45"/>
      <c r="LQ155" s="47"/>
      <c r="LR155" s="45"/>
      <c r="LW155" s="47"/>
      <c r="LX155" s="45"/>
      <c r="MA155" s="47"/>
      <c r="MB155" s="45"/>
      <c r="MG155" s="47"/>
      <c r="MH155" s="45"/>
      <c r="MK155" s="47"/>
      <c r="ML155" s="45"/>
      <c r="MQ155" s="47"/>
      <c r="MW155" s="47"/>
      <c r="MX155" s="45"/>
      <c r="NC155" s="47"/>
      <c r="ND155" s="45"/>
      <c r="NI155" s="47"/>
      <c r="NJ155" s="45"/>
      <c r="NO155" s="47"/>
      <c r="NP155" s="45"/>
      <c r="NU155" s="47"/>
      <c r="NV155" s="45"/>
      <c r="OA155" s="47"/>
      <c r="OB155" s="45"/>
      <c r="OE155" s="47"/>
      <c r="OF155" s="45"/>
      <c r="OK155" s="47"/>
      <c r="OL155" s="45"/>
      <c r="OQ155" s="47"/>
      <c r="OR155" s="45"/>
      <c r="OW155" s="47"/>
      <c r="PC155" s="47"/>
      <c r="PD155" s="45"/>
      <c r="PI155" s="47"/>
      <c r="PJ155" s="45"/>
      <c r="PO155" s="47"/>
      <c r="PP155" s="43"/>
      <c r="PT155" s="42"/>
      <c r="PU155" s="47"/>
      <c r="PV155" s="45"/>
      <c r="QA155" s="47"/>
      <c r="QB155" s="45"/>
      <c r="QE155" s="47"/>
      <c r="QF155" s="45"/>
      <c r="QK155" s="47"/>
      <c r="QL155" s="45"/>
      <c r="QQ155" s="47"/>
      <c r="QR155" s="45"/>
      <c r="QW155" s="47"/>
      <c r="QX155" s="45"/>
      <c r="RB155" s="42"/>
      <c r="RC155" s="47"/>
      <c r="RD155" s="45"/>
      <c r="RF155" s="42"/>
      <c r="RG155" s="47"/>
    </row>
    <row r="156" spans="1:475" x14ac:dyDescent="0.25">
      <c r="A156" s="40" t="s">
        <v>445</v>
      </c>
      <c r="B156" s="41">
        <v>0.41</v>
      </c>
      <c r="E156">
        <v>250</v>
      </c>
      <c r="F156">
        <v>250</v>
      </c>
      <c r="I156">
        <v>250</v>
      </c>
      <c r="J156">
        <v>240</v>
      </c>
      <c r="K156">
        <v>247</v>
      </c>
      <c r="N156" s="46">
        <v>300</v>
      </c>
      <c r="O156" s="49">
        <v>300</v>
      </c>
      <c r="P156" s="49">
        <v>310</v>
      </c>
      <c r="Q156" s="49">
        <v>316</v>
      </c>
      <c r="R156" s="48">
        <f t="shared" si="17"/>
        <v>-6</v>
      </c>
      <c r="S156" s="44"/>
      <c r="T156" s="46">
        <v>330</v>
      </c>
      <c r="U156" s="49">
        <v>330</v>
      </c>
      <c r="V156" s="49">
        <v>370</v>
      </c>
      <c r="W156" s="49">
        <v>370</v>
      </c>
      <c r="X156" s="48">
        <f t="shared" si="18"/>
        <v>0</v>
      </c>
      <c r="Y156" s="44"/>
      <c r="Z156" s="46">
        <v>250</v>
      </c>
      <c r="AA156" s="49">
        <v>250</v>
      </c>
      <c r="AB156" s="49">
        <v>350</v>
      </c>
      <c r="AC156" s="49">
        <v>350</v>
      </c>
      <c r="AD156" s="48">
        <f t="shared" si="19"/>
        <v>0</v>
      </c>
      <c r="AE156" s="44"/>
      <c r="AF156" s="46">
        <v>240</v>
      </c>
      <c r="AG156" s="49">
        <v>241</v>
      </c>
      <c r="AH156" s="48"/>
      <c r="AI156" s="48"/>
      <c r="AJ156" s="48">
        <f t="shared" si="20"/>
        <v>-1</v>
      </c>
      <c r="AK156" s="44"/>
      <c r="AL156" s="49">
        <v>400</v>
      </c>
      <c r="AM156">
        <v>400</v>
      </c>
      <c r="AN156">
        <v>310</v>
      </c>
      <c r="AO156">
        <v>313</v>
      </c>
      <c r="AP156" s="42">
        <v>-3</v>
      </c>
      <c r="AQ156" s="44"/>
      <c r="AR156" s="46">
        <v>200</v>
      </c>
      <c r="AS156">
        <v>200</v>
      </c>
      <c r="AT156">
        <v>50</v>
      </c>
      <c r="AU156">
        <v>50</v>
      </c>
      <c r="AV156" s="42">
        <v>0</v>
      </c>
      <c r="AW156" s="44"/>
      <c r="AX156">
        <v>150</v>
      </c>
      <c r="AZ156">
        <v>150</v>
      </c>
      <c r="BA156">
        <v>150</v>
      </c>
      <c r="BB156">
        <v>150</v>
      </c>
      <c r="BC156" s="42">
        <v>0</v>
      </c>
      <c r="BD156" s="44"/>
      <c r="BE156" s="46">
        <v>400</v>
      </c>
      <c r="BF156">
        <v>400</v>
      </c>
      <c r="BG156">
        <v>420</v>
      </c>
      <c r="BH156">
        <v>427</v>
      </c>
      <c r="BI156" s="42">
        <v>-7</v>
      </c>
      <c r="BJ156" s="44"/>
      <c r="BK156">
        <v>200</v>
      </c>
      <c r="BL156">
        <v>200</v>
      </c>
      <c r="BM156">
        <v>100</v>
      </c>
      <c r="BN156">
        <v>100</v>
      </c>
      <c r="BO156" s="42">
        <v>0</v>
      </c>
      <c r="BP156" s="44"/>
      <c r="BS156" s="42">
        <v>0</v>
      </c>
      <c r="BT156" s="44"/>
      <c r="BU156" s="46">
        <v>520</v>
      </c>
      <c r="BV156">
        <v>562</v>
      </c>
      <c r="BW156">
        <v>1530</v>
      </c>
      <c r="BX156">
        <v>1533</v>
      </c>
      <c r="BY156" s="39">
        <v>-45</v>
      </c>
      <c r="BZ156" s="44">
        <v>18.45</v>
      </c>
      <c r="CA156">
        <v>50</v>
      </c>
      <c r="CB156">
        <v>50</v>
      </c>
      <c r="CC156">
        <v>70</v>
      </c>
      <c r="CD156">
        <v>70</v>
      </c>
      <c r="CE156" s="42">
        <v>0</v>
      </c>
      <c r="CF156" s="44"/>
      <c r="CG156" s="46">
        <v>400</v>
      </c>
      <c r="CH156">
        <v>400</v>
      </c>
      <c r="CJ156">
        <v>273</v>
      </c>
      <c r="CK156" s="39">
        <v>-273</v>
      </c>
      <c r="CL156" s="44">
        <v>111.93</v>
      </c>
      <c r="CM156" s="46">
        <v>400</v>
      </c>
      <c r="CN156">
        <v>400</v>
      </c>
      <c r="CO156">
        <v>900</v>
      </c>
      <c r="CP156">
        <v>900</v>
      </c>
      <c r="CQ156" s="42">
        <v>0</v>
      </c>
      <c r="CR156" s="44"/>
      <c r="CS156">
        <v>150</v>
      </c>
      <c r="CT156">
        <v>150</v>
      </c>
      <c r="CU156">
        <v>200</v>
      </c>
      <c r="CV156">
        <v>200</v>
      </c>
      <c r="CW156" s="42">
        <v>0</v>
      </c>
      <c r="CX156" s="44"/>
      <c r="CY156" s="46">
        <v>350</v>
      </c>
      <c r="CZ156">
        <v>350</v>
      </c>
      <c r="DA156">
        <v>600</v>
      </c>
      <c r="DB156">
        <v>606</v>
      </c>
      <c r="DC156" s="42">
        <v>-6</v>
      </c>
      <c r="DD156" s="44"/>
      <c r="DE156" s="46">
        <v>200</v>
      </c>
      <c r="DF156">
        <v>200</v>
      </c>
      <c r="DG156">
        <v>300</v>
      </c>
      <c r="DH156">
        <v>300</v>
      </c>
      <c r="DJ156">
        <v>274</v>
      </c>
      <c r="DK156" s="39">
        <v>-274</v>
      </c>
      <c r="DL156" s="44">
        <v>112.34</v>
      </c>
      <c r="DM156" s="46">
        <v>120</v>
      </c>
      <c r="DN156">
        <v>120</v>
      </c>
      <c r="DO156">
        <v>90</v>
      </c>
      <c r="DP156">
        <v>90</v>
      </c>
      <c r="DQ156" s="42">
        <v>0</v>
      </c>
      <c r="DR156" s="44"/>
      <c r="DS156">
        <v>270</v>
      </c>
      <c r="DT156">
        <v>270</v>
      </c>
      <c r="DU156">
        <v>400</v>
      </c>
      <c r="DV156">
        <v>400</v>
      </c>
      <c r="DW156">
        <v>600</v>
      </c>
      <c r="DX156">
        <v>600</v>
      </c>
      <c r="DY156" s="42">
        <v>0</v>
      </c>
      <c r="DZ156" s="44"/>
      <c r="EA156" s="43"/>
      <c r="EE156" s="42">
        <v>0</v>
      </c>
      <c r="EF156" s="44"/>
      <c r="EG156" s="46">
        <v>200</v>
      </c>
      <c r="EH156">
        <v>200</v>
      </c>
      <c r="EI156">
        <v>220</v>
      </c>
      <c r="EJ156">
        <v>200</v>
      </c>
      <c r="EK156" s="42">
        <v>20</v>
      </c>
      <c r="EL156" s="44"/>
      <c r="EM156" s="46">
        <v>560</v>
      </c>
      <c r="EN156">
        <v>550</v>
      </c>
      <c r="EO156">
        <v>500</v>
      </c>
      <c r="EP156">
        <v>500</v>
      </c>
      <c r="EQ156" s="42">
        <v>10</v>
      </c>
      <c r="ER156" s="44"/>
      <c r="EY156" s="42">
        <v>0</v>
      </c>
      <c r="EZ156" s="44"/>
      <c r="FA156">
        <v>250</v>
      </c>
      <c r="FB156">
        <v>250</v>
      </c>
      <c r="FC156">
        <v>250</v>
      </c>
      <c r="FD156">
        <v>250</v>
      </c>
      <c r="FE156" s="42">
        <v>0</v>
      </c>
      <c r="FF156" s="44"/>
      <c r="FG156" s="46">
        <v>300</v>
      </c>
      <c r="FH156">
        <v>300</v>
      </c>
      <c r="FI156">
        <v>560</v>
      </c>
      <c r="FJ156">
        <v>561</v>
      </c>
      <c r="FK156" s="42">
        <v>-1</v>
      </c>
      <c r="FL156" s="44"/>
      <c r="FM156" s="46">
        <v>60</v>
      </c>
      <c r="FN156">
        <v>63</v>
      </c>
      <c r="FO156" s="42">
        <v>-3</v>
      </c>
      <c r="FP156" s="44"/>
      <c r="FS156">
        <v>70</v>
      </c>
      <c r="FT156">
        <v>70</v>
      </c>
      <c r="FU156" s="42">
        <v>0</v>
      </c>
      <c r="FV156" s="44"/>
      <c r="FW156" s="46">
        <v>200</v>
      </c>
      <c r="FX156">
        <v>200</v>
      </c>
      <c r="FY156">
        <v>200</v>
      </c>
      <c r="FZ156">
        <v>200</v>
      </c>
      <c r="GA156">
        <v>200</v>
      </c>
      <c r="GB156">
        <v>200</v>
      </c>
      <c r="GC156" s="42">
        <v>0</v>
      </c>
      <c r="GD156" s="44"/>
      <c r="GE156">
        <v>500</v>
      </c>
      <c r="GF156">
        <v>500</v>
      </c>
      <c r="GG156">
        <v>320</v>
      </c>
      <c r="GH156">
        <v>320</v>
      </c>
      <c r="GI156" s="42">
        <v>0</v>
      </c>
      <c r="GJ156" s="44"/>
      <c r="GK156" s="43"/>
      <c r="GM156">
        <v>280</v>
      </c>
      <c r="GN156">
        <v>280</v>
      </c>
      <c r="GO156" s="42">
        <v>0</v>
      </c>
      <c r="GP156" s="47"/>
      <c r="GQ156">
        <v>350</v>
      </c>
      <c r="GR156">
        <v>350</v>
      </c>
      <c r="GS156">
        <v>350</v>
      </c>
      <c r="GT156">
        <v>350</v>
      </c>
      <c r="GU156" s="42">
        <v>0</v>
      </c>
      <c r="GV156" s="44"/>
      <c r="GW156">
        <v>140</v>
      </c>
      <c r="GX156" s="40">
        <v>140</v>
      </c>
      <c r="GY156" s="42">
        <v>0</v>
      </c>
      <c r="GZ156" s="47"/>
      <c r="HA156" s="43"/>
      <c r="HC156" s="42">
        <v>0</v>
      </c>
      <c r="HD156" s="44"/>
      <c r="HE156" s="46">
        <v>550</v>
      </c>
      <c r="HF156">
        <v>550</v>
      </c>
      <c r="HG156">
        <v>600</v>
      </c>
      <c r="HH156">
        <v>600</v>
      </c>
      <c r="HI156" s="42">
        <v>0</v>
      </c>
      <c r="HJ156" s="47"/>
      <c r="HK156" s="43"/>
      <c r="HM156">
        <v>50</v>
      </c>
      <c r="HN156">
        <v>50</v>
      </c>
      <c r="HO156" s="42">
        <v>0</v>
      </c>
      <c r="HP156" s="44"/>
      <c r="HQ156">
        <v>60</v>
      </c>
      <c r="HT156">
        <v>370</v>
      </c>
      <c r="HU156">
        <v>370</v>
      </c>
      <c r="HV156" s="42">
        <v>60</v>
      </c>
      <c r="HW156" s="44"/>
      <c r="HX156" s="46">
        <v>340</v>
      </c>
      <c r="HY156">
        <v>350</v>
      </c>
      <c r="HZ156">
        <v>350</v>
      </c>
      <c r="IA156">
        <v>350</v>
      </c>
      <c r="IB156" s="39">
        <v>-10</v>
      </c>
      <c r="IC156" s="44">
        <v>4.0999999999999996</v>
      </c>
      <c r="ID156">
        <v>100</v>
      </c>
      <c r="IE156">
        <v>100</v>
      </c>
      <c r="IF156">
        <v>130</v>
      </c>
      <c r="IG156">
        <v>130</v>
      </c>
      <c r="IH156" s="42">
        <v>0</v>
      </c>
      <c r="II156" s="47"/>
      <c r="IJ156" s="42">
        <v>10</v>
      </c>
      <c r="IK156" s="42">
        <v>10</v>
      </c>
      <c r="IN156" s="42">
        <v>0</v>
      </c>
      <c r="IO156" s="47"/>
      <c r="IT156" s="42">
        <v>0</v>
      </c>
      <c r="IU156" s="47"/>
      <c r="JA156" s="44"/>
      <c r="JE156" s="44"/>
      <c r="JK156" s="44"/>
      <c r="JL156" s="45"/>
      <c r="JO156" s="44"/>
      <c r="JU156" s="44"/>
      <c r="KA156" s="47"/>
      <c r="KG156" s="44"/>
      <c r="KH156" s="41"/>
      <c r="KM156" s="47"/>
      <c r="KN156" s="45"/>
      <c r="KU156" s="47"/>
      <c r="LA156" s="47"/>
      <c r="LG156" s="47"/>
      <c r="LH156" s="45"/>
      <c r="LK156" s="47"/>
      <c r="LL156" s="45"/>
      <c r="LQ156" s="47"/>
      <c r="LR156" s="45"/>
      <c r="LW156" s="47"/>
      <c r="LX156" s="45"/>
      <c r="MA156" s="47"/>
      <c r="MB156" s="45"/>
      <c r="MG156" s="47"/>
      <c r="MH156" s="45"/>
      <c r="MK156" s="47"/>
      <c r="ML156" s="45"/>
      <c r="MQ156" s="47"/>
      <c r="MW156" s="47"/>
      <c r="MX156" s="45"/>
      <c r="NC156" s="47"/>
      <c r="ND156" s="45"/>
      <c r="NI156" s="47"/>
      <c r="NJ156" s="45"/>
      <c r="NO156" s="47"/>
      <c r="NP156" s="45"/>
      <c r="NU156" s="47"/>
      <c r="NV156" s="45"/>
      <c r="OA156" s="47"/>
      <c r="OB156" s="45"/>
      <c r="OE156" s="47"/>
      <c r="OF156" s="45"/>
      <c r="OK156" s="47"/>
      <c r="OL156" s="45"/>
      <c r="OQ156" s="47"/>
      <c r="OR156" s="45"/>
      <c r="OW156" s="47"/>
      <c r="PC156" s="47"/>
      <c r="PD156" s="45"/>
      <c r="PI156" s="47"/>
      <c r="PJ156" s="45"/>
      <c r="PO156" s="47"/>
      <c r="PP156" s="43"/>
      <c r="PT156" s="42"/>
      <c r="PU156" s="47"/>
      <c r="PV156" s="45"/>
      <c r="QA156" s="47"/>
      <c r="QB156" s="45"/>
      <c r="QE156" s="47"/>
      <c r="QF156" s="45"/>
      <c r="QK156" s="47"/>
      <c r="QL156" s="45"/>
      <c r="QQ156" s="47"/>
      <c r="QR156" s="45"/>
      <c r="QW156" s="47"/>
      <c r="QX156" s="45"/>
      <c r="RB156" s="42"/>
      <c r="RC156" s="47"/>
      <c r="RD156" s="45"/>
      <c r="RF156" s="42"/>
      <c r="RG156" s="47"/>
    </row>
    <row r="157" spans="1:475" x14ac:dyDescent="0.25">
      <c r="A157" s="40" t="s">
        <v>446</v>
      </c>
      <c r="B157" s="41">
        <v>1</v>
      </c>
      <c r="E157">
        <v>280</v>
      </c>
      <c r="F157">
        <v>261</v>
      </c>
      <c r="J157">
        <v>106</v>
      </c>
      <c r="K157">
        <v>100</v>
      </c>
      <c r="N157" s="43"/>
      <c r="O157" s="48"/>
      <c r="P157" s="48"/>
      <c r="Q157" s="48"/>
      <c r="R157" s="48">
        <f t="shared" si="17"/>
        <v>0</v>
      </c>
      <c r="S157" s="44"/>
      <c r="T157" s="46">
        <v>331</v>
      </c>
      <c r="U157" s="49">
        <v>320</v>
      </c>
      <c r="V157" s="49">
        <v>395</v>
      </c>
      <c r="W157" s="49">
        <v>380</v>
      </c>
      <c r="X157" s="48">
        <f t="shared" si="18"/>
        <v>26</v>
      </c>
      <c r="Y157" s="44"/>
      <c r="Z157" s="46">
        <v>208</v>
      </c>
      <c r="AA157" s="49">
        <v>200</v>
      </c>
      <c r="AB157" s="49">
        <v>104</v>
      </c>
      <c r="AC157" s="49">
        <v>100</v>
      </c>
      <c r="AD157" s="48">
        <f t="shared" si="19"/>
        <v>12</v>
      </c>
      <c r="AE157" s="44"/>
      <c r="AF157" s="43"/>
      <c r="AG157" s="48"/>
      <c r="AH157" s="49">
        <v>382</v>
      </c>
      <c r="AI157" s="49">
        <v>364</v>
      </c>
      <c r="AJ157" s="48">
        <f t="shared" si="20"/>
        <v>18</v>
      </c>
      <c r="AK157" s="44"/>
      <c r="AL157" s="49">
        <v>238</v>
      </c>
      <c r="AM157">
        <v>230</v>
      </c>
      <c r="AN157">
        <v>239</v>
      </c>
      <c r="AO157">
        <v>234</v>
      </c>
      <c r="AP157" s="42">
        <v>13</v>
      </c>
      <c r="AQ157" s="44"/>
      <c r="AR157" s="46">
        <v>107</v>
      </c>
      <c r="AS157">
        <v>100</v>
      </c>
      <c r="AT157">
        <v>106</v>
      </c>
      <c r="AU157">
        <v>100</v>
      </c>
      <c r="AV157" s="42">
        <v>13</v>
      </c>
      <c r="AW157" s="44"/>
      <c r="AX157">
        <v>155</v>
      </c>
      <c r="AZ157">
        <v>150</v>
      </c>
      <c r="BA157">
        <v>153</v>
      </c>
      <c r="BB157">
        <v>150</v>
      </c>
      <c r="BC157" s="42">
        <v>8</v>
      </c>
      <c r="BD157" s="44"/>
      <c r="BE157" s="43"/>
      <c r="BF157">
        <v>250</v>
      </c>
      <c r="BG157">
        <v>285</v>
      </c>
      <c r="BH157">
        <v>274</v>
      </c>
      <c r="BI157" s="39">
        <v>-239</v>
      </c>
      <c r="BJ157" s="44">
        <v>239</v>
      </c>
      <c r="BK157">
        <v>206</v>
      </c>
      <c r="BL157">
        <v>200</v>
      </c>
      <c r="BM157">
        <v>105</v>
      </c>
      <c r="BN157">
        <v>100</v>
      </c>
      <c r="BO157" s="42">
        <v>11</v>
      </c>
      <c r="BP157" s="44"/>
      <c r="BQ157">
        <v>156</v>
      </c>
      <c r="BR157">
        <v>150</v>
      </c>
      <c r="BS157" s="42">
        <v>6</v>
      </c>
      <c r="BT157" s="44"/>
      <c r="BU157" s="46">
        <v>325</v>
      </c>
      <c r="BV157">
        <v>316</v>
      </c>
      <c r="BW157">
        <v>483</v>
      </c>
      <c r="BX157">
        <v>468</v>
      </c>
      <c r="BY157" s="42">
        <v>24</v>
      </c>
      <c r="BZ157" s="44"/>
      <c r="CA157">
        <v>265</v>
      </c>
      <c r="CB157">
        <v>250</v>
      </c>
      <c r="CC157">
        <v>263</v>
      </c>
      <c r="CD157">
        <v>250</v>
      </c>
      <c r="CE157" s="42">
        <v>28</v>
      </c>
      <c r="CF157" s="44"/>
      <c r="CG157" s="43"/>
      <c r="CK157" s="42">
        <v>0</v>
      </c>
      <c r="CL157" s="44"/>
      <c r="CM157" s="46">
        <v>204</v>
      </c>
      <c r="CN157">
        <v>200</v>
      </c>
      <c r="CO157">
        <v>605</v>
      </c>
      <c r="CP157">
        <v>580</v>
      </c>
      <c r="CQ157" s="42">
        <v>29</v>
      </c>
      <c r="CR157" s="44"/>
      <c r="CS157">
        <v>50</v>
      </c>
      <c r="CT157">
        <v>50</v>
      </c>
      <c r="CW157" s="42">
        <v>0</v>
      </c>
      <c r="CX157" s="44"/>
      <c r="CY157" s="46">
        <v>146</v>
      </c>
      <c r="CZ157">
        <v>140</v>
      </c>
      <c r="DC157" s="42">
        <v>6</v>
      </c>
      <c r="DD157" s="44"/>
      <c r="DE157" s="46">
        <v>204</v>
      </c>
      <c r="DF157">
        <v>200</v>
      </c>
      <c r="DG157">
        <v>418</v>
      </c>
      <c r="DH157">
        <v>400</v>
      </c>
      <c r="DI157">
        <v>237</v>
      </c>
      <c r="DJ157">
        <v>230</v>
      </c>
      <c r="DK157" s="42">
        <v>29</v>
      </c>
      <c r="DL157" s="44"/>
      <c r="DM157" s="46">
        <v>136</v>
      </c>
      <c r="DN157">
        <v>130</v>
      </c>
      <c r="DO157">
        <v>107</v>
      </c>
      <c r="DP157">
        <v>100</v>
      </c>
      <c r="DQ157" s="42">
        <v>13</v>
      </c>
      <c r="DR157" s="44"/>
      <c r="DY157" s="42">
        <v>0</v>
      </c>
      <c r="DZ157" s="44"/>
      <c r="EA157" s="46">
        <v>106</v>
      </c>
      <c r="EB157">
        <v>100</v>
      </c>
      <c r="EC157">
        <v>232</v>
      </c>
      <c r="ED157">
        <v>230</v>
      </c>
      <c r="EE157" s="42">
        <v>8</v>
      </c>
      <c r="EF157" s="44"/>
      <c r="EG157" s="46">
        <v>415</v>
      </c>
      <c r="EH157">
        <v>400</v>
      </c>
      <c r="EI157">
        <v>453</v>
      </c>
      <c r="EJ157">
        <v>440</v>
      </c>
      <c r="EK157" s="42">
        <v>28</v>
      </c>
      <c r="EL157" s="44"/>
      <c r="EM157" s="43"/>
      <c r="EQ157" s="42">
        <v>0</v>
      </c>
      <c r="ER157" s="44"/>
      <c r="ES157">
        <v>152</v>
      </c>
      <c r="ET157">
        <v>150</v>
      </c>
      <c r="EU157">
        <v>203</v>
      </c>
      <c r="EV157">
        <v>200</v>
      </c>
      <c r="EW157">
        <v>215</v>
      </c>
      <c r="EX157">
        <v>210</v>
      </c>
      <c r="EY157" s="42">
        <v>10</v>
      </c>
      <c r="EZ157" s="44"/>
      <c r="FA157">
        <v>204</v>
      </c>
      <c r="FB157">
        <v>200</v>
      </c>
      <c r="FC157">
        <v>203</v>
      </c>
      <c r="FD157">
        <v>200</v>
      </c>
      <c r="FE157" s="42">
        <v>7</v>
      </c>
      <c r="FF157" s="44"/>
      <c r="FG157" s="46">
        <v>106</v>
      </c>
      <c r="FH157">
        <v>100</v>
      </c>
      <c r="FI157">
        <v>122</v>
      </c>
      <c r="FJ157">
        <v>119</v>
      </c>
      <c r="FK157" s="42">
        <v>9</v>
      </c>
      <c r="FL157" s="44"/>
      <c r="FM157" s="43"/>
      <c r="FO157" s="42">
        <v>0</v>
      </c>
      <c r="FP157" s="44"/>
      <c r="FQ157">
        <v>107</v>
      </c>
      <c r="FR157">
        <v>100</v>
      </c>
      <c r="FS157">
        <v>208</v>
      </c>
      <c r="FT157">
        <v>200</v>
      </c>
      <c r="FU157" s="42">
        <v>15</v>
      </c>
      <c r="FV157" s="44"/>
      <c r="FW157" s="46">
        <v>106</v>
      </c>
      <c r="FX157">
        <v>100</v>
      </c>
      <c r="FY157">
        <v>105</v>
      </c>
      <c r="FZ157">
        <v>100</v>
      </c>
      <c r="GA157">
        <v>168</v>
      </c>
      <c r="GB157">
        <v>160</v>
      </c>
      <c r="GC157" s="42">
        <v>19</v>
      </c>
      <c r="GD157" s="44"/>
      <c r="GE157">
        <v>207</v>
      </c>
      <c r="GF157">
        <v>200</v>
      </c>
      <c r="GG157">
        <v>185</v>
      </c>
      <c r="GH157">
        <v>180</v>
      </c>
      <c r="GI157" s="42">
        <v>12</v>
      </c>
      <c r="GJ157" s="44"/>
      <c r="GK157" s="46">
        <v>155</v>
      </c>
      <c r="GL157">
        <v>150</v>
      </c>
      <c r="GM157">
        <v>218</v>
      </c>
      <c r="GN157">
        <v>210</v>
      </c>
      <c r="GO157" s="42">
        <v>13</v>
      </c>
      <c r="GP157" s="47"/>
      <c r="GS157">
        <v>188</v>
      </c>
      <c r="GT157">
        <v>180</v>
      </c>
      <c r="GU157" s="42">
        <v>8</v>
      </c>
      <c r="GV157" s="44"/>
      <c r="GW157">
        <v>346</v>
      </c>
      <c r="GX157" s="40">
        <v>335.68220000000002</v>
      </c>
      <c r="GY157" s="42">
        <v>10.317799999999981</v>
      </c>
      <c r="GZ157" s="47"/>
      <c r="HA157" s="46">
        <v>234</v>
      </c>
      <c r="HB157">
        <v>230</v>
      </c>
      <c r="HC157" s="42">
        <v>4</v>
      </c>
      <c r="HD157" s="44"/>
      <c r="HE157" s="43"/>
      <c r="HG157">
        <v>74</v>
      </c>
      <c r="HH157">
        <v>70</v>
      </c>
      <c r="HI157" s="42">
        <v>4</v>
      </c>
      <c r="HJ157" s="47"/>
      <c r="HK157" s="43"/>
      <c r="HM157">
        <v>297</v>
      </c>
      <c r="HN157">
        <v>290</v>
      </c>
      <c r="HO157" s="42">
        <v>7</v>
      </c>
      <c r="HP157" s="44"/>
      <c r="HR157">
        <v>238</v>
      </c>
      <c r="HS157">
        <v>220</v>
      </c>
      <c r="HT157">
        <v>240</v>
      </c>
      <c r="HU157">
        <v>230</v>
      </c>
      <c r="HV157" s="42">
        <v>28</v>
      </c>
      <c r="HW157" s="44"/>
      <c r="HX157" s="46">
        <v>49</v>
      </c>
      <c r="HY157">
        <v>50</v>
      </c>
      <c r="HZ157">
        <v>49</v>
      </c>
      <c r="IA157">
        <v>50</v>
      </c>
      <c r="IB157" s="42">
        <v>-2</v>
      </c>
      <c r="IC157" s="44"/>
      <c r="ID157">
        <v>154</v>
      </c>
      <c r="IE157">
        <v>150</v>
      </c>
      <c r="IF157">
        <v>258</v>
      </c>
      <c r="IG157">
        <v>250</v>
      </c>
      <c r="IH157" s="42">
        <v>12</v>
      </c>
      <c r="II157" s="47"/>
      <c r="IJ157" s="42">
        <v>50</v>
      </c>
      <c r="IK157" s="42">
        <v>50</v>
      </c>
      <c r="IN157" s="42">
        <v>0</v>
      </c>
      <c r="IO157" s="47"/>
      <c r="IT157" s="42">
        <v>0</v>
      </c>
      <c r="IU157" s="47"/>
      <c r="JA157" s="44"/>
      <c r="JE157" s="44"/>
      <c r="JK157" s="44"/>
      <c r="JL157" s="45"/>
      <c r="JO157" s="44"/>
      <c r="JU157" s="44"/>
      <c r="KA157" s="47"/>
      <c r="KG157" s="44"/>
      <c r="KH157" s="41"/>
      <c r="KM157" s="47"/>
      <c r="KN157" s="45"/>
      <c r="KU157" s="47"/>
      <c r="LA157" s="47"/>
      <c r="LG157" s="47"/>
      <c r="LH157" s="45"/>
      <c r="LK157" s="47"/>
      <c r="LL157" s="45"/>
      <c r="LQ157" s="47"/>
      <c r="LR157" s="45"/>
      <c r="LW157" s="47"/>
      <c r="LX157" s="45"/>
      <c r="MA157" s="47"/>
      <c r="MB157" s="45"/>
      <c r="MG157" s="47"/>
      <c r="MH157" s="45"/>
      <c r="MK157" s="47"/>
      <c r="ML157" s="45"/>
      <c r="MQ157" s="47"/>
      <c r="MW157" s="47"/>
      <c r="MX157" s="45"/>
      <c r="NC157" s="47"/>
      <c r="ND157" s="45"/>
      <c r="NI157" s="47"/>
      <c r="NJ157" s="45"/>
      <c r="NO157" s="47"/>
      <c r="NP157" s="45"/>
      <c r="NU157" s="47"/>
      <c r="NV157" s="45"/>
      <c r="OA157" s="47"/>
      <c r="OB157" s="45"/>
      <c r="OE157" s="47"/>
      <c r="OF157" s="45"/>
      <c r="OK157" s="47"/>
      <c r="OL157" s="45"/>
      <c r="OQ157" s="47"/>
      <c r="OR157" s="45"/>
      <c r="OW157" s="47"/>
      <c r="PC157" s="47"/>
      <c r="PD157" s="45"/>
      <c r="PI157" s="47"/>
      <c r="PJ157" s="45"/>
      <c r="PO157" s="47"/>
      <c r="PP157" s="43"/>
      <c r="PT157" s="42"/>
      <c r="PU157" s="47"/>
      <c r="PV157" s="45"/>
      <c r="QA157" s="47"/>
      <c r="QB157" s="45"/>
      <c r="QE157" s="47"/>
      <c r="QF157" s="45"/>
      <c r="QK157" s="47"/>
      <c r="QL157" s="45"/>
      <c r="QQ157" s="47"/>
      <c r="QR157" s="45"/>
      <c r="QW157" s="47"/>
      <c r="QX157" s="45"/>
      <c r="RB157" s="42"/>
      <c r="RC157" s="47"/>
      <c r="RD157" s="45"/>
      <c r="RF157" s="42"/>
      <c r="RG157" s="47"/>
    </row>
    <row r="158" spans="1:475" x14ac:dyDescent="0.25">
      <c r="A158" s="40" t="s">
        <v>447</v>
      </c>
      <c r="B158" s="41">
        <v>0.35</v>
      </c>
      <c r="N158" s="46">
        <v>80</v>
      </c>
      <c r="O158" s="49">
        <v>80</v>
      </c>
      <c r="P158" s="49">
        <v>120</v>
      </c>
      <c r="Q158" s="49">
        <v>120</v>
      </c>
      <c r="R158" s="48">
        <f t="shared" si="17"/>
        <v>0</v>
      </c>
      <c r="S158" s="44"/>
      <c r="T158" s="43"/>
      <c r="U158" s="48"/>
      <c r="V158" s="48"/>
      <c r="W158" s="48"/>
      <c r="X158" s="48">
        <f t="shared" si="18"/>
        <v>0</v>
      </c>
      <c r="Y158" s="44"/>
      <c r="Z158" s="43"/>
      <c r="AA158" s="48"/>
      <c r="AB158" s="49">
        <v>96</v>
      </c>
      <c r="AC158" s="49">
        <v>100</v>
      </c>
      <c r="AD158" s="48">
        <f t="shared" si="19"/>
        <v>-4</v>
      </c>
      <c r="AE158" s="44"/>
      <c r="AF158" s="46">
        <v>32</v>
      </c>
      <c r="AG158" s="49">
        <v>33</v>
      </c>
      <c r="AH158" s="48"/>
      <c r="AI158" s="48"/>
      <c r="AJ158" s="48">
        <f t="shared" si="20"/>
        <v>-1</v>
      </c>
      <c r="AK158" s="44"/>
      <c r="AL158" s="48"/>
      <c r="AP158" s="42">
        <v>0</v>
      </c>
      <c r="AQ158" s="44"/>
      <c r="AR158" s="43"/>
      <c r="AV158" s="42">
        <v>0</v>
      </c>
      <c r="AW158" s="44"/>
      <c r="BC158" s="42">
        <v>0</v>
      </c>
      <c r="BD158" s="44"/>
      <c r="BE158" s="43"/>
      <c r="BI158" s="42">
        <v>0</v>
      </c>
      <c r="BJ158" s="44"/>
      <c r="BK158">
        <v>136</v>
      </c>
      <c r="BL158">
        <v>140</v>
      </c>
      <c r="BM158">
        <v>136</v>
      </c>
      <c r="BN158">
        <v>140</v>
      </c>
      <c r="BO158" s="42">
        <v>-8</v>
      </c>
      <c r="BP158" s="44"/>
      <c r="BS158" s="42">
        <v>0</v>
      </c>
      <c r="BT158" s="44"/>
      <c r="BU158" s="43"/>
      <c r="BY158" s="42">
        <v>0</v>
      </c>
      <c r="BZ158" s="44"/>
      <c r="CA158">
        <v>88</v>
      </c>
      <c r="CB158">
        <v>90</v>
      </c>
      <c r="CC158">
        <v>160</v>
      </c>
      <c r="CD158">
        <v>160</v>
      </c>
      <c r="CE158" s="42">
        <v>-2</v>
      </c>
      <c r="CF158" s="44"/>
      <c r="CG158" s="43"/>
      <c r="CK158" s="42">
        <v>0</v>
      </c>
      <c r="CL158" s="44"/>
      <c r="CM158" s="43"/>
      <c r="CO158">
        <v>48</v>
      </c>
      <c r="CP158">
        <v>50</v>
      </c>
      <c r="CQ158" s="42">
        <v>-2</v>
      </c>
      <c r="CR158" s="44"/>
      <c r="CS158">
        <v>80</v>
      </c>
      <c r="CT158">
        <v>80</v>
      </c>
      <c r="CU158">
        <v>120</v>
      </c>
      <c r="CV158">
        <v>120</v>
      </c>
      <c r="CW158" s="42">
        <v>0</v>
      </c>
      <c r="CX158" s="44"/>
      <c r="CY158" s="46">
        <v>16</v>
      </c>
      <c r="CZ158">
        <v>20</v>
      </c>
      <c r="DC158" s="42">
        <v>-4</v>
      </c>
      <c r="DD158" s="44"/>
      <c r="DE158" s="43"/>
      <c r="DI158">
        <v>96</v>
      </c>
      <c r="DJ158">
        <v>100</v>
      </c>
      <c r="DK158" s="42">
        <v>-4</v>
      </c>
      <c r="DL158" s="44"/>
      <c r="DM158" s="43"/>
      <c r="DO158">
        <v>48</v>
      </c>
      <c r="DP158">
        <v>50</v>
      </c>
      <c r="DQ158" s="42">
        <v>-2</v>
      </c>
      <c r="DR158" s="44"/>
      <c r="DU158">
        <v>96</v>
      </c>
      <c r="DV158">
        <v>100</v>
      </c>
      <c r="DY158" s="42">
        <v>-4</v>
      </c>
      <c r="DZ158" s="44"/>
      <c r="EA158" s="43"/>
      <c r="EE158" s="42">
        <v>0</v>
      </c>
      <c r="EF158" s="44"/>
      <c r="EG158" s="43"/>
      <c r="EI158">
        <v>56</v>
      </c>
      <c r="EJ158">
        <v>60</v>
      </c>
      <c r="EK158" s="42">
        <v>-4</v>
      </c>
      <c r="EL158" s="44"/>
      <c r="EM158" s="46">
        <v>136</v>
      </c>
      <c r="EN158">
        <v>140</v>
      </c>
      <c r="EO158">
        <v>160</v>
      </c>
      <c r="EP158">
        <v>160</v>
      </c>
      <c r="EQ158" s="42">
        <v>-4</v>
      </c>
      <c r="ER158" s="44"/>
      <c r="ES158">
        <v>48</v>
      </c>
      <c r="ET158">
        <v>50</v>
      </c>
      <c r="EU158">
        <v>72</v>
      </c>
      <c r="EV158">
        <v>70</v>
      </c>
      <c r="EW158">
        <v>88</v>
      </c>
      <c r="EX158">
        <v>100</v>
      </c>
      <c r="EY158" s="42">
        <v>-12</v>
      </c>
      <c r="EZ158" s="44"/>
      <c r="FC158">
        <v>96</v>
      </c>
      <c r="FD158">
        <v>100</v>
      </c>
      <c r="FE158" s="42">
        <v>-4</v>
      </c>
      <c r="FF158" s="44"/>
      <c r="FG158" s="43"/>
      <c r="FI158">
        <v>96</v>
      </c>
      <c r="FJ158">
        <v>100</v>
      </c>
      <c r="FK158" s="42">
        <v>-4</v>
      </c>
      <c r="FL158" s="44"/>
      <c r="FM158" s="46">
        <v>136</v>
      </c>
      <c r="FN158">
        <v>140</v>
      </c>
      <c r="FO158" s="42">
        <v>-4</v>
      </c>
      <c r="FP158" s="44"/>
      <c r="FS158">
        <v>120</v>
      </c>
      <c r="FT158">
        <v>120</v>
      </c>
      <c r="FU158" s="42">
        <v>0</v>
      </c>
      <c r="FV158" s="44"/>
      <c r="FW158" s="46">
        <v>96</v>
      </c>
      <c r="FX158">
        <v>100</v>
      </c>
      <c r="GA158">
        <v>96</v>
      </c>
      <c r="GB158">
        <v>100</v>
      </c>
      <c r="GC158" s="42">
        <v>-8</v>
      </c>
      <c r="GD158" s="44"/>
      <c r="GG158">
        <v>120</v>
      </c>
      <c r="GH158">
        <v>120</v>
      </c>
      <c r="GI158" s="42">
        <v>0</v>
      </c>
      <c r="GJ158" s="44"/>
      <c r="GK158" s="43"/>
      <c r="GM158">
        <v>392</v>
      </c>
      <c r="GN158">
        <v>410</v>
      </c>
      <c r="GO158" s="39">
        <v>-18</v>
      </c>
      <c r="GP158" s="44">
        <v>6.3</v>
      </c>
      <c r="GS158">
        <v>152</v>
      </c>
      <c r="GT158">
        <v>150</v>
      </c>
      <c r="GU158" s="42">
        <v>2</v>
      </c>
      <c r="GV158" s="44"/>
      <c r="GW158">
        <v>168</v>
      </c>
      <c r="GX158" s="40">
        <v>170</v>
      </c>
      <c r="GY158" s="42">
        <v>-2</v>
      </c>
      <c r="GZ158" s="47"/>
      <c r="HA158" s="46">
        <v>200</v>
      </c>
      <c r="HB158">
        <v>200</v>
      </c>
      <c r="HC158" s="42">
        <v>0</v>
      </c>
      <c r="HD158" s="44"/>
      <c r="HE158" s="46">
        <v>152</v>
      </c>
      <c r="HF158">
        <v>150</v>
      </c>
      <c r="HG158">
        <v>160</v>
      </c>
      <c r="HH158">
        <v>160</v>
      </c>
      <c r="HI158" s="42">
        <v>2</v>
      </c>
      <c r="HJ158" s="47"/>
      <c r="HK158" s="43"/>
      <c r="HO158" s="42">
        <v>0</v>
      </c>
      <c r="HP158" s="44"/>
      <c r="HR158">
        <v>200</v>
      </c>
      <c r="HS158">
        <v>200</v>
      </c>
      <c r="HT158">
        <v>192</v>
      </c>
      <c r="HU158">
        <v>190</v>
      </c>
      <c r="HV158" s="42">
        <v>2</v>
      </c>
      <c r="HW158" s="44"/>
      <c r="HX158" s="46">
        <v>48</v>
      </c>
      <c r="HY158">
        <v>50</v>
      </c>
      <c r="IB158" s="42">
        <v>-2</v>
      </c>
      <c r="IC158" s="44"/>
      <c r="IF158">
        <v>96</v>
      </c>
      <c r="IG158">
        <v>100</v>
      </c>
      <c r="IH158" s="42">
        <v>-4</v>
      </c>
      <c r="II158" s="47"/>
      <c r="IJ158" s="42">
        <v>200</v>
      </c>
      <c r="IK158" s="42">
        <v>200</v>
      </c>
      <c r="IN158" s="42">
        <v>0</v>
      </c>
      <c r="IO158" s="47"/>
      <c r="IT158" s="42">
        <v>0</v>
      </c>
      <c r="IU158" s="47"/>
      <c r="JA158" s="44"/>
      <c r="JE158" s="44"/>
      <c r="JK158" s="44"/>
      <c r="JL158" s="45"/>
      <c r="JO158" s="44"/>
      <c r="JU158" s="44"/>
      <c r="KA158" s="47"/>
      <c r="KG158" s="44"/>
      <c r="KH158" s="41"/>
      <c r="KM158" s="47"/>
      <c r="KN158" s="45"/>
      <c r="KU158" s="47"/>
      <c r="LA158" s="47"/>
      <c r="LG158" s="47"/>
      <c r="LH158" s="45"/>
      <c r="LK158" s="47"/>
      <c r="LL158" s="45"/>
      <c r="LQ158" s="47"/>
      <c r="LR158" s="45"/>
      <c r="LW158" s="47"/>
      <c r="LX158" s="45"/>
      <c r="MA158" s="47"/>
      <c r="MB158" s="45"/>
      <c r="MG158" s="47"/>
      <c r="MH158" s="45"/>
      <c r="MK158" s="47"/>
      <c r="ML158" s="45"/>
      <c r="MQ158" s="47"/>
      <c r="MW158" s="47"/>
      <c r="MX158" s="45"/>
      <c r="NC158" s="47"/>
      <c r="ND158" s="45"/>
      <c r="NI158" s="47"/>
      <c r="NJ158" s="45"/>
      <c r="NO158" s="47"/>
      <c r="NP158" s="45"/>
      <c r="NU158" s="47"/>
      <c r="NV158" s="45"/>
      <c r="OA158" s="47"/>
      <c r="OB158" s="45"/>
      <c r="OE158" s="47"/>
      <c r="OF158" s="45"/>
      <c r="OK158" s="47"/>
      <c r="OL158" s="45"/>
      <c r="OQ158" s="47"/>
      <c r="OR158" s="45"/>
      <c r="OW158" s="47"/>
      <c r="PC158" s="47"/>
      <c r="PD158" s="45"/>
      <c r="PI158" s="47"/>
      <c r="PJ158" s="45"/>
      <c r="PO158" s="47"/>
      <c r="PP158" s="43"/>
      <c r="PT158" s="42"/>
      <c r="PU158" s="47"/>
      <c r="PV158" s="45"/>
      <c r="QA158" s="47"/>
      <c r="QB158" s="45"/>
      <c r="QE158" s="47"/>
      <c r="QF158" s="45"/>
      <c r="QK158" s="47"/>
      <c r="QL158" s="45"/>
      <c r="QQ158" s="47"/>
      <c r="QR158" s="45"/>
      <c r="QW158" s="47"/>
      <c r="QX158" s="45"/>
      <c r="RB158" s="42"/>
      <c r="RC158" s="47"/>
      <c r="RD158" s="45"/>
      <c r="RF158" s="42"/>
      <c r="RG158" s="47"/>
    </row>
    <row r="159" spans="1:475" x14ac:dyDescent="0.25">
      <c r="A159" s="40" t="s">
        <v>448</v>
      </c>
      <c r="B159" s="41">
        <v>1</v>
      </c>
      <c r="E159">
        <v>40</v>
      </c>
      <c r="F159">
        <v>40</v>
      </c>
      <c r="J159">
        <v>81</v>
      </c>
      <c r="K159">
        <v>80</v>
      </c>
      <c r="N159" s="43"/>
      <c r="O159" s="48"/>
      <c r="P159" s="49">
        <v>62</v>
      </c>
      <c r="Q159" s="49">
        <v>60</v>
      </c>
      <c r="R159" s="48">
        <f t="shared" si="17"/>
        <v>2</v>
      </c>
      <c r="S159" s="44"/>
      <c r="T159" s="46">
        <v>50</v>
      </c>
      <c r="U159" s="49">
        <v>50</v>
      </c>
      <c r="V159" s="49">
        <v>49</v>
      </c>
      <c r="W159" s="49">
        <v>50</v>
      </c>
      <c r="X159" s="48">
        <f t="shared" si="18"/>
        <v>-1</v>
      </c>
      <c r="Y159" s="44"/>
      <c r="Z159" s="43"/>
      <c r="AA159" s="48"/>
      <c r="AB159" s="49">
        <v>105</v>
      </c>
      <c r="AC159" s="49">
        <v>100</v>
      </c>
      <c r="AD159" s="48">
        <f t="shared" si="19"/>
        <v>5</v>
      </c>
      <c r="AE159" s="44"/>
      <c r="AF159" s="46">
        <v>50</v>
      </c>
      <c r="AG159" s="49">
        <v>50</v>
      </c>
      <c r="AH159" s="49">
        <v>38</v>
      </c>
      <c r="AI159" s="49">
        <v>37</v>
      </c>
      <c r="AJ159" s="48">
        <f t="shared" si="20"/>
        <v>1</v>
      </c>
      <c r="AK159" s="44"/>
      <c r="AL159" s="48"/>
      <c r="AP159" s="42">
        <v>0</v>
      </c>
      <c r="AQ159" s="44"/>
      <c r="AR159" s="43"/>
      <c r="AV159" s="42">
        <v>0</v>
      </c>
      <c r="AW159" s="44"/>
      <c r="BC159" s="42">
        <v>0</v>
      </c>
      <c r="BD159" s="44"/>
      <c r="BE159" s="46">
        <v>156</v>
      </c>
      <c r="BF159">
        <v>150</v>
      </c>
      <c r="BG159">
        <v>251</v>
      </c>
      <c r="BH159">
        <v>238</v>
      </c>
      <c r="BI159" s="42">
        <v>19</v>
      </c>
      <c r="BJ159" s="44"/>
      <c r="BL159">
        <v>50</v>
      </c>
      <c r="BO159" s="39">
        <v>-50</v>
      </c>
      <c r="BP159" s="44">
        <v>50</v>
      </c>
      <c r="BS159" s="42">
        <v>0</v>
      </c>
      <c r="BT159" s="44"/>
      <c r="BU159" s="43"/>
      <c r="BW159">
        <v>267</v>
      </c>
      <c r="BX159">
        <v>258</v>
      </c>
      <c r="BY159" s="42">
        <v>9</v>
      </c>
      <c r="BZ159" s="44"/>
      <c r="CC159">
        <v>105</v>
      </c>
      <c r="CD159">
        <v>100</v>
      </c>
      <c r="CE159" s="42">
        <v>5</v>
      </c>
      <c r="CF159" s="44"/>
      <c r="CG159" s="43"/>
      <c r="CI159">
        <v>75</v>
      </c>
      <c r="CJ159">
        <v>70</v>
      </c>
      <c r="CK159" s="42">
        <v>5</v>
      </c>
      <c r="CL159" s="44"/>
      <c r="CM159" s="43"/>
      <c r="CO159">
        <v>131</v>
      </c>
      <c r="CP159">
        <v>126</v>
      </c>
      <c r="CQ159" s="42">
        <v>5</v>
      </c>
      <c r="CR159" s="44"/>
      <c r="CU159">
        <v>6</v>
      </c>
      <c r="CV159">
        <v>4</v>
      </c>
      <c r="CW159" s="42">
        <v>2</v>
      </c>
      <c r="CX159" s="44"/>
      <c r="CY159" s="46">
        <v>51</v>
      </c>
      <c r="CZ159">
        <v>50</v>
      </c>
      <c r="DA159">
        <v>111</v>
      </c>
      <c r="DB159">
        <v>107</v>
      </c>
      <c r="DC159" s="42">
        <v>5</v>
      </c>
      <c r="DD159" s="44"/>
      <c r="DE159" s="43"/>
      <c r="DG159">
        <v>63</v>
      </c>
      <c r="DH159">
        <v>60</v>
      </c>
      <c r="DI159">
        <v>43</v>
      </c>
      <c r="DJ159">
        <v>40</v>
      </c>
      <c r="DK159" s="42">
        <v>6</v>
      </c>
      <c r="DL159" s="44"/>
      <c r="DM159" s="46">
        <v>43</v>
      </c>
      <c r="DN159">
        <v>40</v>
      </c>
      <c r="DO159">
        <v>43</v>
      </c>
      <c r="DP159">
        <v>40</v>
      </c>
      <c r="DQ159" s="42">
        <v>6</v>
      </c>
      <c r="DR159" s="44"/>
      <c r="DY159" s="42">
        <v>0</v>
      </c>
      <c r="DZ159" s="44"/>
      <c r="EA159" s="43"/>
      <c r="EC159">
        <v>172</v>
      </c>
      <c r="ED159">
        <v>170</v>
      </c>
      <c r="EE159" s="42">
        <v>2</v>
      </c>
      <c r="EF159" s="44"/>
      <c r="EG159" s="43"/>
      <c r="EK159" s="42">
        <v>0</v>
      </c>
      <c r="EL159" s="44"/>
      <c r="EM159" s="46">
        <v>113</v>
      </c>
      <c r="EN159">
        <v>110</v>
      </c>
      <c r="EO159">
        <v>125</v>
      </c>
      <c r="EP159">
        <v>120</v>
      </c>
      <c r="EQ159" s="42">
        <v>8</v>
      </c>
      <c r="ER159" s="44"/>
      <c r="EU159">
        <v>75</v>
      </c>
      <c r="EV159">
        <v>70</v>
      </c>
      <c r="EW159">
        <v>76</v>
      </c>
      <c r="EX159">
        <v>70</v>
      </c>
      <c r="EY159" s="42">
        <v>11</v>
      </c>
      <c r="EZ159" s="44"/>
      <c r="FE159" s="42">
        <v>0</v>
      </c>
      <c r="FF159" s="44"/>
      <c r="FG159" s="43"/>
      <c r="FI159">
        <v>56</v>
      </c>
      <c r="FJ159">
        <v>56</v>
      </c>
      <c r="FK159" s="42">
        <v>0</v>
      </c>
      <c r="FL159" s="44"/>
      <c r="FM159" s="46">
        <v>25</v>
      </c>
      <c r="FN159">
        <v>22</v>
      </c>
      <c r="FO159" s="42">
        <v>3</v>
      </c>
      <c r="FP159" s="44"/>
      <c r="FS159">
        <v>25</v>
      </c>
      <c r="FT159">
        <v>25</v>
      </c>
      <c r="FU159" s="42">
        <v>0</v>
      </c>
      <c r="FV159" s="44"/>
      <c r="FW159" s="46">
        <v>49</v>
      </c>
      <c r="FX159">
        <v>50</v>
      </c>
      <c r="GA159">
        <v>104</v>
      </c>
      <c r="GB159">
        <v>100</v>
      </c>
      <c r="GC159" s="42">
        <v>3</v>
      </c>
      <c r="GD159" s="44"/>
      <c r="GE159">
        <v>106</v>
      </c>
      <c r="GF159">
        <v>100</v>
      </c>
      <c r="GG159">
        <v>74</v>
      </c>
      <c r="GH159">
        <v>70</v>
      </c>
      <c r="GI159" s="42">
        <v>10</v>
      </c>
      <c r="GJ159" s="44"/>
      <c r="GK159" s="46">
        <v>106</v>
      </c>
      <c r="GL159">
        <v>100</v>
      </c>
      <c r="GM159">
        <v>183</v>
      </c>
      <c r="GN159">
        <v>180</v>
      </c>
      <c r="GO159" s="42">
        <v>9</v>
      </c>
      <c r="GP159" s="47"/>
      <c r="GU159" s="42">
        <v>0</v>
      </c>
      <c r="GV159" s="44"/>
      <c r="GW159">
        <v>322</v>
      </c>
      <c r="GX159" s="40">
        <v>312.65879999999999</v>
      </c>
      <c r="GY159" s="42">
        <v>9.3412000000000148</v>
      </c>
      <c r="GZ159" s="47"/>
      <c r="HA159" s="46">
        <v>106</v>
      </c>
      <c r="HB159">
        <v>100</v>
      </c>
      <c r="HC159" s="42">
        <v>6</v>
      </c>
      <c r="HD159" s="44"/>
      <c r="HE159" s="43"/>
      <c r="HG159">
        <v>104</v>
      </c>
      <c r="HH159">
        <v>100</v>
      </c>
      <c r="HI159" s="42">
        <v>4</v>
      </c>
      <c r="HJ159" s="47"/>
      <c r="HK159" s="43"/>
      <c r="HO159" s="42">
        <v>0</v>
      </c>
      <c r="HP159" s="44"/>
      <c r="HR159">
        <v>106</v>
      </c>
      <c r="HS159">
        <v>100</v>
      </c>
      <c r="HT159">
        <v>206</v>
      </c>
      <c r="HU159">
        <v>200</v>
      </c>
      <c r="HV159" s="42">
        <v>12</v>
      </c>
      <c r="HW159" s="44"/>
      <c r="HX159" s="45"/>
      <c r="IB159" s="42">
        <v>0</v>
      </c>
      <c r="IC159" s="44"/>
      <c r="ID159">
        <v>50</v>
      </c>
      <c r="IE159">
        <v>50</v>
      </c>
      <c r="IF159">
        <v>105</v>
      </c>
      <c r="IG159">
        <v>100</v>
      </c>
      <c r="IH159" s="42">
        <v>5</v>
      </c>
      <c r="II159" s="47"/>
      <c r="IJ159">
        <v>80</v>
      </c>
      <c r="IK159" s="42">
        <v>80</v>
      </c>
      <c r="IL159" s="42">
        <v>75</v>
      </c>
      <c r="IM159" s="42">
        <v>70</v>
      </c>
      <c r="IN159" s="42">
        <v>5</v>
      </c>
      <c r="IO159" s="47"/>
      <c r="IT159" s="42">
        <v>0</v>
      </c>
      <c r="IU159" s="47"/>
      <c r="JA159" s="44"/>
      <c r="JE159" s="44"/>
      <c r="JK159" s="44"/>
      <c r="JL159" s="45"/>
      <c r="JO159" s="44"/>
      <c r="JU159" s="44"/>
      <c r="KA159" s="47"/>
      <c r="KG159" s="44"/>
      <c r="KH159" s="41"/>
      <c r="KM159" s="47"/>
      <c r="KN159" s="45"/>
      <c r="KU159" s="47"/>
      <c r="LA159" s="47"/>
      <c r="LG159" s="47"/>
      <c r="LH159" s="45"/>
      <c r="LK159" s="47"/>
      <c r="LL159" s="45"/>
      <c r="LQ159" s="47"/>
      <c r="LR159" s="45"/>
      <c r="LW159" s="47"/>
      <c r="LX159" s="45"/>
      <c r="MA159" s="47"/>
      <c r="MB159" s="45"/>
      <c r="MG159" s="47"/>
      <c r="MH159" s="45"/>
      <c r="MK159" s="47"/>
      <c r="ML159" s="45"/>
      <c r="MQ159" s="47"/>
      <c r="MW159" s="47"/>
      <c r="MX159" s="45"/>
      <c r="NC159" s="47"/>
      <c r="ND159" s="45"/>
      <c r="NI159" s="47"/>
      <c r="NJ159" s="45"/>
      <c r="NO159" s="47"/>
      <c r="NP159" s="45"/>
      <c r="NU159" s="47"/>
      <c r="NV159" s="45"/>
      <c r="OA159" s="47"/>
      <c r="OB159" s="45"/>
      <c r="OE159" s="47"/>
      <c r="OF159" s="45"/>
      <c r="OK159" s="47"/>
      <c r="OL159" s="45"/>
      <c r="OQ159" s="47"/>
      <c r="OR159" s="45"/>
      <c r="OW159" s="47"/>
      <c r="PC159" s="47"/>
      <c r="PD159" s="45"/>
      <c r="PI159" s="47"/>
      <c r="PJ159" s="45"/>
      <c r="PO159" s="47"/>
      <c r="PP159" s="43"/>
      <c r="PT159" s="42"/>
      <c r="PU159" s="47"/>
      <c r="PV159" s="45"/>
      <c r="QA159" s="47"/>
      <c r="QB159" s="45"/>
      <c r="QE159" s="47"/>
      <c r="QF159" s="45"/>
      <c r="QK159" s="47"/>
      <c r="QL159" s="45"/>
      <c r="QQ159" s="47"/>
      <c r="QR159" s="45"/>
      <c r="QW159" s="47"/>
      <c r="QX159" s="45"/>
      <c r="RB159" s="42"/>
      <c r="RC159" s="47"/>
      <c r="RD159" s="45"/>
      <c r="RF159" s="42"/>
      <c r="RG159" s="47"/>
    </row>
    <row r="160" spans="1:475" x14ac:dyDescent="0.25">
      <c r="A160" s="40" t="s">
        <v>449</v>
      </c>
      <c r="B160" s="41">
        <v>0.4</v>
      </c>
      <c r="I160">
        <v>276</v>
      </c>
      <c r="N160" s="46">
        <v>250</v>
      </c>
      <c r="O160" s="49">
        <v>250</v>
      </c>
      <c r="P160" s="49">
        <v>280</v>
      </c>
      <c r="Q160" s="49">
        <v>287</v>
      </c>
      <c r="R160" s="48">
        <f t="shared" si="17"/>
        <v>-7</v>
      </c>
      <c r="S160" s="44"/>
      <c r="T160" s="46">
        <v>280</v>
      </c>
      <c r="U160" s="49">
        <v>280</v>
      </c>
      <c r="V160" s="49">
        <v>320</v>
      </c>
      <c r="W160" s="49">
        <v>320</v>
      </c>
      <c r="X160" s="48">
        <f t="shared" si="18"/>
        <v>0</v>
      </c>
      <c r="Y160" s="44"/>
      <c r="Z160" s="46">
        <v>200</v>
      </c>
      <c r="AA160" s="49">
        <v>200</v>
      </c>
      <c r="AB160" s="49">
        <v>150</v>
      </c>
      <c r="AC160" s="49">
        <v>150</v>
      </c>
      <c r="AD160" s="48">
        <f t="shared" si="19"/>
        <v>0</v>
      </c>
      <c r="AE160" s="44"/>
      <c r="AF160" s="46">
        <v>300</v>
      </c>
      <c r="AG160" s="49">
        <v>300</v>
      </c>
      <c r="AH160" s="49">
        <v>130</v>
      </c>
      <c r="AI160" s="49">
        <v>131</v>
      </c>
      <c r="AJ160" s="48">
        <f t="shared" si="20"/>
        <v>-1</v>
      </c>
      <c r="AK160" s="44"/>
      <c r="AL160" s="49">
        <v>260</v>
      </c>
      <c r="AM160">
        <v>260</v>
      </c>
      <c r="AN160">
        <v>270</v>
      </c>
      <c r="AO160">
        <v>269</v>
      </c>
      <c r="AP160" s="42">
        <v>1</v>
      </c>
      <c r="AQ160" s="44"/>
      <c r="AR160" s="46">
        <v>100</v>
      </c>
      <c r="AS160">
        <v>100</v>
      </c>
      <c r="AV160" s="42">
        <v>0</v>
      </c>
      <c r="AW160" s="44"/>
      <c r="AX160">
        <v>100</v>
      </c>
      <c r="AZ160">
        <v>100</v>
      </c>
      <c r="BA160">
        <v>100</v>
      </c>
      <c r="BB160">
        <v>100</v>
      </c>
      <c r="BC160" s="42">
        <v>0</v>
      </c>
      <c r="BD160" s="44"/>
      <c r="BE160" s="46">
        <v>400</v>
      </c>
      <c r="BF160">
        <v>400</v>
      </c>
      <c r="BG160">
        <v>590</v>
      </c>
      <c r="BH160">
        <v>594</v>
      </c>
      <c r="BI160" s="42">
        <v>-4</v>
      </c>
      <c r="BJ160" s="44"/>
      <c r="BO160" s="42">
        <v>0</v>
      </c>
      <c r="BP160" s="44"/>
      <c r="BS160" s="42">
        <v>0</v>
      </c>
      <c r="BT160" s="44"/>
      <c r="BU160" s="46">
        <v>820</v>
      </c>
      <c r="BV160">
        <v>826</v>
      </c>
      <c r="BW160">
        <v>550</v>
      </c>
      <c r="BX160">
        <v>549</v>
      </c>
      <c r="BY160" s="42">
        <v>-5</v>
      </c>
      <c r="BZ160" s="44"/>
      <c r="CC160">
        <v>60</v>
      </c>
      <c r="CD160">
        <v>60</v>
      </c>
      <c r="CE160" s="42">
        <v>0</v>
      </c>
      <c r="CF160" s="44"/>
      <c r="CG160" s="46">
        <v>150</v>
      </c>
      <c r="CH160">
        <v>150</v>
      </c>
      <c r="CI160">
        <v>350</v>
      </c>
      <c r="CJ160">
        <v>350</v>
      </c>
      <c r="CK160" s="42">
        <v>0</v>
      </c>
      <c r="CL160" s="44"/>
      <c r="CM160" s="43"/>
      <c r="CO160">
        <v>350</v>
      </c>
      <c r="CP160">
        <v>350</v>
      </c>
      <c r="CQ160" s="42">
        <v>0</v>
      </c>
      <c r="CR160" s="44"/>
      <c r="CS160">
        <v>30</v>
      </c>
      <c r="CT160">
        <v>32</v>
      </c>
      <c r="CU160">
        <v>70</v>
      </c>
      <c r="CV160">
        <v>68</v>
      </c>
      <c r="CW160" s="42">
        <v>0</v>
      </c>
      <c r="CX160" s="44"/>
      <c r="CY160" s="46">
        <v>200</v>
      </c>
      <c r="CZ160">
        <v>200</v>
      </c>
      <c r="DA160">
        <v>180</v>
      </c>
      <c r="DB160">
        <v>181</v>
      </c>
      <c r="DC160" s="42">
        <v>-1</v>
      </c>
      <c r="DD160" s="44"/>
      <c r="DE160" s="43"/>
      <c r="DF160">
        <v>200</v>
      </c>
      <c r="DH160">
        <v>500</v>
      </c>
      <c r="DJ160">
        <v>302</v>
      </c>
      <c r="DK160" s="39">
        <v>-1002</v>
      </c>
      <c r="DL160" s="44">
        <v>400.8</v>
      </c>
      <c r="DM160" s="43"/>
      <c r="DQ160" s="42">
        <v>0</v>
      </c>
      <c r="DR160" s="44"/>
      <c r="DY160" s="42">
        <v>0</v>
      </c>
      <c r="DZ160" s="44"/>
      <c r="EA160" s="46">
        <v>300</v>
      </c>
      <c r="EB160">
        <v>300</v>
      </c>
      <c r="EC160">
        <v>800</v>
      </c>
      <c r="ED160">
        <v>800</v>
      </c>
      <c r="EE160" s="42">
        <v>0</v>
      </c>
      <c r="EF160" s="44"/>
      <c r="EG160" s="43"/>
      <c r="EK160" s="42">
        <v>0</v>
      </c>
      <c r="EL160" s="44"/>
      <c r="EM160" s="43"/>
      <c r="EN160">
        <v>230</v>
      </c>
      <c r="EO160">
        <v>220</v>
      </c>
      <c r="EP160">
        <v>220</v>
      </c>
      <c r="EQ160" s="39">
        <v>-230</v>
      </c>
      <c r="ER160" s="44">
        <v>92</v>
      </c>
      <c r="ES160">
        <v>150</v>
      </c>
      <c r="ET160">
        <v>150</v>
      </c>
      <c r="EU160">
        <v>200</v>
      </c>
      <c r="EV160">
        <v>200</v>
      </c>
      <c r="EW160">
        <v>220</v>
      </c>
      <c r="EX160">
        <v>220</v>
      </c>
      <c r="EY160" s="42">
        <v>0</v>
      </c>
      <c r="EZ160" s="44"/>
      <c r="FC160">
        <v>160</v>
      </c>
      <c r="FD160">
        <v>160</v>
      </c>
      <c r="FE160" s="42">
        <v>0</v>
      </c>
      <c r="FF160" s="44"/>
      <c r="FG160" s="46">
        <v>150</v>
      </c>
      <c r="FH160">
        <v>150</v>
      </c>
      <c r="FI160">
        <v>320</v>
      </c>
      <c r="FJ160">
        <v>319</v>
      </c>
      <c r="FK160" s="42">
        <v>1</v>
      </c>
      <c r="FL160" s="44"/>
      <c r="FM160" s="46">
        <v>90</v>
      </c>
      <c r="FN160">
        <v>94</v>
      </c>
      <c r="FO160" s="42">
        <v>-4</v>
      </c>
      <c r="FP160" s="44"/>
      <c r="FU160" s="42">
        <v>0</v>
      </c>
      <c r="FV160" s="44"/>
      <c r="FW160" s="46">
        <v>100</v>
      </c>
      <c r="FX160">
        <v>100</v>
      </c>
      <c r="FY160">
        <v>100</v>
      </c>
      <c r="FZ160">
        <v>100</v>
      </c>
      <c r="GA160">
        <v>150</v>
      </c>
      <c r="GB160">
        <v>150</v>
      </c>
      <c r="GC160" s="42">
        <v>0</v>
      </c>
      <c r="GD160" s="44"/>
      <c r="GE160">
        <v>420</v>
      </c>
      <c r="GF160">
        <v>420</v>
      </c>
      <c r="GG160">
        <v>350</v>
      </c>
      <c r="GH160">
        <v>350</v>
      </c>
      <c r="GI160" s="42">
        <v>0</v>
      </c>
      <c r="GJ160" s="44"/>
      <c r="GK160" s="43"/>
      <c r="GO160" s="42">
        <v>0</v>
      </c>
      <c r="GP160" s="47"/>
      <c r="GQ160">
        <v>200</v>
      </c>
      <c r="GR160">
        <v>200</v>
      </c>
      <c r="GS160">
        <v>200</v>
      </c>
      <c r="GT160">
        <v>200</v>
      </c>
      <c r="GU160" s="42">
        <v>0</v>
      </c>
      <c r="GV160" s="44"/>
      <c r="GW160">
        <v>490</v>
      </c>
      <c r="GX160" s="40">
        <v>490</v>
      </c>
      <c r="GY160" s="42">
        <v>0</v>
      </c>
      <c r="GZ160" s="47"/>
      <c r="HA160" s="43"/>
      <c r="HC160" s="42">
        <v>0</v>
      </c>
      <c r="HD160" s="44"/>
      <c r="HE160" s="46">
        <v>200</v>
      </c>
      <c r="HF160">
        <v>200</v>
      </c>
      <c r="HG160">
        <v>280</v>
      </c>
      <c r="HH160">
        <v>280</v>
      </c>
      <c r="HI160" s="42">
        <v>0</v>
      </c>
      <c r="HJ160" s="47"/>
      <c r="HK160" s="43"/>
      <c r="HO160" s="42">
        <v>0</v>
      </c>
      <c r="HP160" s="44"/>
      <c r="HR160">
        <v>200</v>
      </c>
      <c r="HS160">
        <v>200</v>
      </c>
      <c r="HT160">
        <v>400</v>
      </c>
      <c r="HU160">
        <v>400</v>
      </c>
      <c r="HV160" s="42">
        <v>0</v>
      </c>
      <c r="HW160" s="44"/>
      <c r="HX160" s="45"/>
      <c r="IB160" s="42">
        <v>0</v>
      </c>
      <c r="IC160" s="44"/>
      <c r="IF160">
        <v>130</v>
      </c>
      <c r="IG160">
        <v>130</v>
      </c>
      <c r="IH160" s="42">
        <v>0</v>
      </c>
      <c r="II160" s="47"/>
      <c r="IJ160">
        <v>230</v>
      </c>
      <c r="IK160" s="42">
        <v>350</v>
      </c>
      <c r="IL160" s="42">
        <v>250</v>
      </c>
      <c r="IM160" s="42">
        <v>250</v>
      </c>
      <c r="IN160" s="39">
        <v>-120</v>
      </c>
      <c r="IO160" s="47">
        <v>48</v>
      </c>
      <c r="IT160" s="42">
        <v>0</v>
      </c>
      <c r="IU160" s="47"/>
      <c r="JA160" s="44"/>
      <c r="JE160" s="44"/>
      <c r="JK160" s="44"/>
      <c r="JL160" s="45"/>
      <c r="JO160" s="44"/>
      <c r="JU160" s="44"/>
      <c r="KA160" s="47"/>
      <c r="KG160" s="44"/>
      <c r="KH160" s="41"/>
      <c r="KM160" s="47"/>
      <c r="KN160" s="45"/>
      <c r="KU160" s="47"/>
      <c r="LA160" s="47"/>
      <c r="LG160" s="47"/>
      <c r="LH160" s="45"/>
      <c r="LK160" s="47"/>
      <c r="LL160" s="45"/>
      <c r="LQ160" s="47"/>
      <c r="LR160" s="45"/>
      <c r="LW160" s="47"/>
      <c r="LX160" s="45"/>
      <c r="MA160" s="47"/>
      <c r="MB160" s="45"/>
      <c r="MG160" s="47"/>
      <c r="MH160" s="45"/>
      <c r="MK160" s="47"/>
      <c r="ML160" s="45"/>
      <c r="MQ160" s="47"/>
      <c r="MW160" s="47"/>
      <c r="MX160" s="45"/>
      <c r="NC160" s="47"/>
      <c r="ND160" s="45"/>
      <c r="NI160" s="47"/>
      <c r="NJ160" s="45"/>
      <c r="NO160" s="47"/>
      <c r="NP160" s="45"/>
      <c r="NU160" s="47"/>
      <c r="NV160" s="45"/>
      <c r="OA160" s="47"/>
      <c r="OB160" s="45"/>
      <c r="OE160" s="47"/>
      <c r="OF160" s="45"/>
      <c r="OK160" s="47"/>
      <c r="OL160" s="45"/>
      <c r="OQ160" s="47"/>
      <c r="OR160" s="45"/>
      <c r="OW160" s="47"/>
      <c r="PC160" s="47"/>
      <c r="PD160" s="45"/>
      <c r="PI160" s="47"/>
      <c r="PJ160" s="45"/>
      <c r="PO160" s="47"/>
      <c r="PP160" s="43"/>
      <c r="PT160" s="42"/>
      <c r="PU160" s="47"/>
      <c r="PV160" s="45"/>
      <c r="QA160" s="47"/>
      <c r="QB160" s="45"/>
      <c r="QE160" s="47"/>
      <c r="QF160" s="45"/>
      <c r="QK160" s="47"/>
      <c r="QL160" s="45"/>
      <c r="QQ160" s="47"/>
      <c r="QR160" s="45"/>
      <c r="QW160" s="47"/>
      <c r="QX160" s="45"/>
      <c r="RB160" s="42"/>
      <c r="RC160" s="47"/>
      <c r="RD160" s="45"/>
      <c r="RF160" s="42"/>
      <c r="RG160" s="47"/>
    </row>
    <row r="161" spans="1:475" x14ac:dyDescent="0.25">
      <c r="A161" s="40" t="s">
        <v>450</v>
      </c>
      <c r="B161" s="41">
        <v>0.41</v>
      </c>
      <c r="E161">
        <v>200</v>
      </c>
      <c r="F161">
        <v>124</v>
      </c>
      <c r="I161">
        <v>190</v>
      </c>
      <c r="N161" s="46">
        <v>350</v>
      </c>
      <c r="O161" s="49">
        <v>350</v>
      </c>
      <c r="P161" s="49">
        <v>360</v>
      </c>
      <c r="Q161" s="49">
        <v>367</v>
      </c>
      <c r="R161" s="48">
        <f t="shared" si="17"/>
        <v>-7</v>
      </c>
      <c r="S161" s="44"/>
      <c r="T161" s="46">
        <v>320</v>
      </c>
      <c r="U161" s="49">
        <v>320</v>
      </c>
      <c r="V161" s="49">
        <v>380</v>
      </c>
      <c r="W161" s="49">
        <v>380</v>
      </c>
      <c r="X161" s="48">
        <f t="shared" si="18"/>
        <v>0</v>
      </c>
      <c r="Y161" s="44"/>
      <c r="Z161" s="46">
        <v>150</v>
      </c>
      <c r="AA161" s="49">
        <v>150</v>
      </c>
      <c r="AB161" s="49">
        <v>150</v>
      </c>
      <c r="AC161" s="49">
        <v>150</v>
      </c>
      <c r="AD161" s="48">
        <f t="shared" si="19"/>
        <v>0</v>
      </c>
      <c r="AE161" s="44"/>
      <c r="AF161" s="46">
        <v>300</v>
      </c>
      <c r="AG161" s="49">
        <v>300</v>
      </c>
      <c r="AH161" s="49">
        <v>100</v>
      </c>
      <c r="AI161" s="49">
        <v>98</v>
      </c>
      <c r="AJ161" s="48">
        <f t="shared" si="20"/>
        <v>2</v>
      </c>
      <c r="AK161" s="44"/>
      <c r="AL161" s="49">
        <v>400</v>
      </c>
      <c r="AM161">
        <v>400</v>
      </c>
      <c r="AN161">
        <v>400</v>
      </c>
      <c r="AO161">
        <v>403</v>
      </c>
      <c r="AP161" s="42">
        <v>-3</v>
      </c>
      <c r="AQ161" s="44"/>
      <c r="AR161" s="46">
        <v>200</v>
      </c>
      <c r="AS161">
        <v>200</v>
      </c>
      <c r="AT161">
        <v>100</v>
      </c>
      <c r="AU161">
        <v>100</v>
      </c>
      <c r="AV161" s="42">
        <v>0</v>
      </c>
      <c r="AW161" s="44"/>
      <c r="BA161">
        <v>10</v>
      </c>
      <c r="BB161">
        <v>8</v>
      </c>
      <c r="BC161" s="42">
        <v>2</v>
      </c>
      <c r="BD161" s="44"/>
      <c r="BE161" s="43"/>
      <c r="BI161" s="42">
        <v>0</v>
      </c>
      <c r="BJ161" s="44"/>
      <c r="BK161">
        <v>700</v>
      </c>
      <c r="BL161">
        <v>700</v>
      </c>
      <c r="BM161">
        <v>640</v>
      </c>
      <c r="BN161">
        <v>646</v>
      </c>
      <c r="BO161" s="42">
        <v>-6</v>
      </c>
      <c r="BP161" s="44"/>
      <c r="BS161" s="42">
        <v>0</v>
      </c>
      <c r="BT161" s="44"/>
      <c r="BU161" s="46">
        <v>640</v>
      </c>
      <c r="BV161">
        <v>644</v>
      </c>
      <c r="BW161">
        <v>550</v>
      </c>
      <c r="BX161">
        <v>554</v>
      </c>
      <c r="BY161" s="42">
        <v>-8</v>
      </c>
      <c r="BZ161" s="44"/>
      <c r="CA161">
        <v>350</v>
      </c>
      <c r="CB161">
        <v>350</v>
      </c>
      <c r="CC161">
        <v>350</v>
      </c>
      <c r="CD161">
        <v>350</v>
      </c>
      <c r="CE161" s="42">
        <v>0</v>
      </c>
      <c r="CF161" s="44"/>
      <c r="CG161" s="46">
        <v>350</v>
      </c>
      <c r="CH161">
        <v>350</v>
      </c>
      <c r="CI161">
        <v>280</v>
      </c>
      <c r="CJ161">
        <v>279</v>
      </c>
      <c r="CK161" s="42">
        <v>1</v>
      </c>
      <c r="CL161" s="44"/>
      <c r="CM161" s="46">
        <v>190</v>
      </c>
      <c r="CN161">
        <v>190</v>
      </c>
      <c r="CO161">
        <v>640</v>
      </c>
      <c r="CP161">
        <v>640</v>
      </c>
      <c r="CQ161" s="42">
        <v>0</v>
      </c>
      <c r="CR161" s="44"/>
      <c r="CS161">
        <v>150</v>
      </c>
      <c r="CT161">
        <v>150</v>
      </c>
      <c r="CU161">
        <v>250</v>
      </c>
      <c r="CV161">
        <v>250</v>
      </c>
      <c r="CW161" s="42">
        <v>0</v>
      </c>
      <c r="CX161" s="44"/>
      <c r="CY161" s="46">
        <v>300</v>
      </c>
      <c r="CZ161">
        <v>300</v>
      </c>
      <c r="DA161">
        <v>490</v>
      </c>
      <c r="DB161">
        <v>491</v>
      </c>
      <c r="DC161" s="42">
        <v>-1</v>
      </c>
      <c r="DD161" s="44"/>
      <c r="DE161" s="43"/>
      <c r="DG161">
        <v>100</v>
      </c>
      <c r="DH161">
        <v>100</v>
      </c>
      <c r="DI161">
        <v>190</v>
      </c>
      <c r="DJ161">
        <v>192</v>
      </c>
      <c r="DK161" s="42">
        <v>-2</v>
      </c>
      <c r="DL161" s="44"/>
      <c r="DM161" s="46">
        <v>250</v>
      </c>
      <c r="DN161">
        <v>250</v>
      </c>
      <c r="DO161">
        <v>250</v>
      </c>
      <c r="DP161">
        <v>250</v>
      </c>
      <c r="DQ161" s="42">
        <v>0</v>
      </c>
      <c r="DR161" s="44"/>
      <c r="DS161">
        <v>300</v>
      </c>
      <c r="DT161">
        <v>300</v>
      </c>
      <c r="DU161">
        <v>350</v>
      </c>
      <c r="DV161">
        <v>356</v>
      </c>
      <c r="DW161">
        <v>400</v>
      </c>
      <c r="DX161">
        <v>400</v>
      </c>
      <c r="DY161" s="42">
        <v>-6</v>
      </c>
      <c r="DZ161" s="44"/>
      <c r="EA161" s="43"/>
      <c r="EE161" s="42">
        <v>0</v>
      </c>
      <c r="EF161" s="44"/>
      <c r="EG161" s="46">
        <v>210</v>
      </c>
      <c r="EH161">
        <v>200</v>
      </c>
      <c r="EI161">
        <v>200</v>
      </c>
      <c r="EJ161">
        <v>200</v>
      </c>
      <c r="EK161" s="42">
        <v>10</v>
      </c>
      <c r="EL161" s="44"/>
      <c r="EM161" s="46">
        <v>490</v>
      </c>
      <c r="EN161">
        <v>500</v>
      </c>
      <c r="EO161">
        <v>500</v>
      </c>
      <c r="EP161">
        <v>500</v>
      </c>
      <c r="EQ161" s="39">
        <v>-10</v>
      </c>
      <c r="ER161" s="44">
        <v>4.0999999999999996</v>
      </c>
      <c r="EY161" s="42">
        <v>0</v>
      </c>
      <c r="EZ161" s="44"/>
      <c r="FA161">
        <v>280</v>
      </c>
      <c r="FB161">
        <v>280</v>
      </c>
      <c r="FC161">
        <v>300</v>
      </c>
      <c r="FD161">
        <v>300</v>
      </c>
      <c r="FE161" s="42">
        <v>0</v>
      </c>
      <c r="FF161" s="44"/>
      <c r="FG161" s="46">
        <v>200</v>
      </c>
      <c r="FH161">
        <v>200</v>
      </c>
      <c r="FI161">
        <v>450</v>
      </c>
      <c r="FJ161">
        <v>456</v>
      </c>
      <c r="FK161" s="42">
        <v>-6</v>
      </c>
      <c r="FL161" s="44"/>
      <c r="FM161" s="43"/>
      <c r="FO161" s="42">
        <v>0</v>
      </c>
      <c r="FP161" s="44"/>
      <c r="FU161" s="42">
        <v>0</v>
      </c>
      <c r="FV161" s="44"/>
      <c r="FW161" s="46">
        <v>100</v>
      </c>
      <c r="FX161">
        <v>100</v>
      </c>
      <c r="FY161">
        <v>100</v>
      </c>
      <c r="FZ161">
        <v>100</v>
      </c>
      <c r="GA161">
        <v>100</v>
      </c>
      <c r="GB161">
        <v>100</v>
      </c>
      <c r="GC161" s="42">
        <v>0</v>
      </c>
      <c r="GD161" s="44"/>
      <c r="GE161">
        <v>270</v>
      </c>
      <c r="GF161">
        <v>270</v>
      </c>
      <c r="GG161">
        <v>200</v>
      </c>
      <c r="GH161">
        <v>200</v>
      </c>
      <c r="GI161" s="42">
        <v>0</v>
      </c>
      <c r="GJ161" s="44"/>
      <c r="GK161" s="46">
        <v>100</v>
      </c>
      <c r="GL161">
        <v>100</v>
      </c>
      <c r="GM161">
        <v>170</v>
      </c>
      <c r="GN161">
        <v>170</v>
      </c>
      <c r="GO161" s="42">
        <v>0</v>
      </c>
      <c r="GP161" s="47"/>
      <c r="GQ161">
        <v>250</v>
      </c>
      <c r="GR161">
        <v>250</v>
      </c>
      <c r="GS161">
        <v>300</v>
      </c>
      <c r="GT161">
        <v>300</v>
      </c>
      <c r="GU161" s="42">
        <v>0</v>
      </c>
      <c r="GV161" s="44"/>
      <c r="GY161" s="42">
        <v>0</v>
      </c>
      <c r="GZ161" s="47"/>
      <c r="HA161" s="43"/>
      <c r="HC161" s="42">
        <v>0</v>
      </c>
      <c r="HD161" s="44"/>
      <c r="HE161" s="46">
        <v>500</v>
      </c>
      <c r="HF161">
        <v>500</v>
      </c>
      <c r="HG161">
        <v>580</v>
      </c>
      <c r="HH161">
        <v>580</v>
      </c>
      <c r="HI161" s="42">
        <v>0</v>
      </c>
      <c r="HJ161" s="47"/>
      <c r="HK161" s="43"/>
      <c r="HM161">
        <v>40</v>
      </c>
      <c r="HN161">
        <v>40</v>
      </c>
      <c r="HO161" s="42">
        <v>0</v>
      </c>
      <c r="HP161" s="44"/>
      <c r="HT161">
        <v>300</v>
      </c>
      <c r="HU161">
        <v>300</v>
      </c>
      <c r="HV161" s="42">
        <v>0</v>
      </c>
      <c r="HW161" s="44"/>
      <c r="HX161" s="46">
        <v>250</v>
      </c>
      <c r="HY161">
        <v>250</v>
      </c>
      <c r="HZ161">
        <v>250</v>
      </c>
      <c r="IA161">
        <v>250</v>
      </c>
      <c r="IB161" s="42">
        <v>0</v>
      </c>
      <c r="IC161" s="44"/>
      <c r="ID161">
        <v>100</v>
      </c>
      <c r="IE161">
        <v>100</v>
      </c>
      <c r="IF161">
        <v>150</v>
      </c>
      <c r="IG161">
        <v>150</v>
      </c>
      <c r="IH161" s="42">
        <v>0</v>
      </c>
      <c r="II161" s="47"/>
      <c r="IJ161" s="42">
        <v>50</v>
      </c>
      <c r="IK161" s="42">
        <v>50</v>
      </c>
      <c r="IN161" s="42">
        <v>0</v>
      </c>
      <c r="IO161" s="47"/>
      <c r="IT161" s="42">
        <v>0</v>
      </c>
      <c r="IU161" s="47"/>
      <c r="JA161" s="44"/>
      <c r="JE161" s="44"/>
      <c r="JK161" s="44"/>
      <c r="JL161" s="45"/>
      <c r="JO161" s="44"/>
      <c r="JU161" s="44"/>
      <c r="KA161" s="47"/>
      <c r="KG161" s="44"/>
      <c r="KH161" s="41"/>
      <c r="KM161" s="47"/>
      <c r="KN161" s="45"/>
      <c r="KU161" s="47"/>
      <c r="LA161" s="47"/>
      <c r="LG161" s="47"/>
      <c r="LH161" s="45"/>
      <c r="LK161" s="47"/>
      <c r="LL161" s="45"/>
      <c r="LQ161" s="47"/>
      <c r="LR161" s="45"/>
      <c r="LW161" s="47"/>
      <c r="LX161" s="45"/>
      <c r="MA161" s="47"/>
      <c r="MB161" s="45"/>
      <c r="MG161" s="47"/>
      <c r="MH161" s="45"/>
      <c r="MK161" s="47"/>
      <c r="ML161" s="45"/>
      <c r="MQ161" s="47"/>
      <c r="MW161" s="47"/>
      <c r="MX161" s="45"/>
      <c r="NC161" s="47"/>
      <c r="ND161" s="45"/>
      <c r="NI161" s="47"/>
      <c r="NJ161" s="45"/>
      <c r="NO161" s="47"/>
      <c r="NP161" s="45"/>
      <c r="NU161" s="47"/>
      <c r="NV161" s="45"/>
      <c r="OA161" s="47"/>
      <c r="OB161" s="45"/>
      <c r="OE161" s="47"/>
      <c r="OF161" s="45"/>
      <c r="OK161" s="47"/>
      <c r="OL161" s="45"/>
      <c r="OQ161" s="47"/>
      <c r="OR161" s="45"/>
      <c r="OW161" s="47"/>
      <c r="PC161" s="47"/>
      <c r="PD161" s="45"/>
      <c r="PI161" s="47"/>
      <c r="PJ161" s="45"/>
      <c r="PO161" s="47"/>
      <c r="PP161" s="43"/>
      <c r="PT161" s="42"/>
      <c r="PU161" s="47"/>
      <c r="PV161" s="45"/>
      <c r="QA161" s="47"/>
      <c r="QB161" s="45"/>
      <c r="QE161" s="47"/>
      <c r="QF161" s="45"/>
      <c r="QK161" s="47"/>
      <c r="QL161" s="45"/>
      <c r="QQ161" s="47"/>
      <c r="QR161" s="45"/>
      <c r="QW161" s="47"/>
      <c r="QX161" s="45"/>
      <c r="RB161" s="42"/>
      <c r="RC161" s="47"/>
      <c r="RD161" s="45"/>
      <c r="RF161" s="42"/>
      <c r="RG161" s="47"/>
    </row>
    <row r="162" spans="1:475" x14ac:dyDescent="0.25">
      <c r="A162" s="40" t="s">
        <v>451</v>
      </c>
      <c r="B162" s="41">
        <v>1</v>
      </c>
      <c r="E162">
        <v>150</v>
      </c>
      <c r="F162">
        <v>150</v>
      </c>
      <c r="I162">
        <v>143</v>
      </c>
      <c r="N162" s="43"/>
      <c r="O162" s="48"/>
      <c r="P162" s="48"/>
      <c r="Q162" s="48"/>
      <c r="R162" s="48">
        <f t="shared" si="17"/>
        <v>0</v>
      </c>
      <c r="S162" s="44"/>
      <c r="T162" s="46">
        <v>207</v>
      </c>
      <c r="U162" s="49">
        <v>200</v>
      </c>
      <c r="V162" s="49">
        <v>154</v>
      </c>
      <c r="W162" s="49">
        <v>150</v>
      </c>
      <c r="X162" s="48">
        <f t="shared" si="18"/>
        <v>11</v>
      </c>
      <c r="Y162" s="44"/>
      <c r="Z162" s="46">
        <v>157</v>
      </c>
      <c r="AA162" s="49">
        <v>150</v>
      </c>
      <c r="AB162" s="49">
        <v>264</v>
      </c>
      <c r="AC162" s="49">
        <v>250</v>
      </c>
      <c r="AD162" s="48">
        <f t="shared" si="19"/>
        <v>21</v>
      </c>
      <c r="AE162" s="44"/>
      <c r="AF162" s="46">
        <v>208</v>
      </c>
      <c r="AG162" s="49">
        <v>200</v>
      </c>
      <c r="AH162" s="49">
        <v>108</v>
      </c>
      <c r="AI162" s="49">
        <v>104</v>
      </c>
      <c r="AJ162" s="48">
        <f t="shared" si="20"/>
        <v>12</v>
      </c>
      <c r="AK162" s="44"/>
      <c r="AL162" s="49">
        <v>157</v>
      </c>
      <c r="AM162">
        <v>150</v>
      </c>
      <c r="AN162">
        <v>105</v>
      </c>
      <c r="AO162">
        <v>104</v>
      </c>
      <c r="AP162" s="42">
        <v>8</v>
      </c>
      <c r="AQ162" s="44"/>
      <c r="AR162" s="46">
        <v>105</v>
      </c>
      <c r="AS162">
        <v>100</v>
      </c>
      <c r="AT162">
        <v>50</v>
      </c>
      <c r="AU162">
        <v>50</v>
      </c>
      <c r="AV162" s="42">
        <v>5</v>
      </c>
      <c r="AW162" s="44"/>
      <c r="AX162">
        <v>50</v>
      </c>
      <c r="AZ162">
        <v>50</v>
      </c>
      <c r="BA162">
        <v>50</v>
      </c>
      <c r="BB162">
        <v>50</v>
      </c>
      <c r="BC162" s="42">
        <v>0</v>
      </c>
      <c r="BD162" s="44"/>
      <c r="BE162" s="46">
        <v>262</v>
      </c>
      <c r="BF162">
        <v>250</v>
      </c>
      <c r="BG162">
        <v>382</v>
      </c>
      <c r="BH162">
        <v>368</v>
      </c>
      <c r="BI162" s="42">
        <v>26</v>
      </c>
      <c r="BJ162" s="44"/>
      <c r="BK162">
        <v>126</v>
      </c>
      <c r="BL162">
        <v>120</v>
      </c>
      <c r="BM162">
        <v>69</v>
      </c>
      <c r="BN162">
        <v>64</v>
      </c>
      <c r="BO162" s="42">
        <v>11</v>
      </c>
      <c r="BP162" s="44"/>
      <c r="BS162" s="42">
        <v>0</v>
      </c>
      <c r="BT162" s="44"/>
      <c r="BU162" s="43"/>
      <c r="BW162">
        <v>431</v>
      </c>
      <c r="BX162">
        <v>403</v>
      </c>
      <c r="BY162" s="42">
        <v>28</v>
      </c>
      <c r="BZ162" s="44"/>
      <c r="CA162">
        <v>208</v>
      </c>
      <c r="CB162">
        <v>200</v>
      </c>
      <c r="CC162">
        <v>469</v>
      </c>
      <c r="CD162">
        <v>450</v>
      </c>
      <c r="CE162" s="42">
        <v>27</v>
      </c>
      <c r="CF162" s="44"/>
      <c r="CG162" s="43"/>
      <c r="CI162">
        <v>50</v>
      </c>
      <c r="CJ162">
        <v>50</v>
      </c>
      <c r="CK162" s="42">
        <v>0</v>
      </c>
      <c r="CL162" s="44"/>
      <c r="CM162" s="43"/>
      <c r="CO162">
        <v>418</v>
      </c>
      <c r="CP162">
        <v>410</v>
      </c>
      <c r="CQ162" s="42">
        <v>8</v>
      </c>
      <c r="CR162" s="44"/>
      <c r="CS162">
        <v>49</v>
      </c>
      <c r="CT162">
        <v>50</v>
      </c>
      <c r="CU162">
        <v>106</v>
      </c>
      <c r="CV162">
        <v>100</v>
      </c>
      <c r="CW162" s="42">
        <v>5</v>
      </c>
      <c r="CX162" s="44"/>
      <c r="CY162" s="46">
        <v>144</v>
      </c>
      <c r="CZ162">
        <v>140</v>
      </c>
      <c r="DC162" s="42">
        <v>4</v>
      </c>
      <c r="DD162" s="44"/>
      <c r="DE162" s="43"/>
      <c r="DG162">
        <v>418</v>
      </c>
      <c r="DH162">
        <v>400</v>
      </c>
      <c r="DI162">
        <v>295</v>
      </c>
      <c r="DJ162">
        <v>280</v>
      </c>
      <c r="DK162" s="42">
        <v>33</v>
      </c>
      <c r="DL162" s="44"/>
      <c r="DM162" s="43"/>
      <c r="DO162">
        <v>81</v>
      </c>
      <c r="DP162">
        <v>80</v>
      </c>
      <c r="DQ162" s="42">
        <v>1</v>
      </c>
      <c r="DR162" s="44"/>
      <c r="DS162">
        <v>106</v>
      </c>
      <c r="DT162">
        <v>100</v>
      </c>
      <c r="DU162">
        <v>105</v>
      </c>
      <c r="DV162">
        <v>100</v>
      </c>
      <c r="DW162">
        <v>204</v>
      </c>
      <c r="DX162">
        <v>200</v>
      </c>
      <c r="DY162" s="42">
        <v>15</v>
      </c>
      <c r="DZ162" s="44"/>
      <c r="EA162" s="46">
        <v>105</v>
      </c>
      <c r="EB162">
        <v>100</v>
      </c>
      <c r="EC162">
        <v>262</v>
      </c>
      <c r="ED162">
        <v>250</v>
      </c>
      <c r="EE162" s="42">
        <v>17</v>
      </c>
      <c r="EF162" s="44"/>
      <c r="EG162" s="46">
        <v>205</v>
      </c>
      <c r="EH162">
        <v>200</v>
      </c>
      <c r="EI162">
        <v>249</v>
      </c>
      <c r="EJ162">
        <v>240</v>
      </c>
      <c r="EK162" s="42">
        <v>14</v>
      </c>
      <c r="EL162" s="44"/>
      <c r="EM162" s="43"/>
      <c r="EQ162" s="42">
        <v>0</v>
      </c>
      <c r="ER162" s="44"/>
      <c r="ES162">
        <v>207</v>
      </c>
      <c r="ET162">
        <v>200</v>
      </c>
      <c r="EU162">
        <v>203</v>
      </c>
      <c r="EV162">
        <v>200</v>
      </c>
      <c r="EW162">
        <v>237</v>
      </c>
      <c r="EX162">
        <v>230</v>
      </c>
      <c r="EY162" s="42">
        <v>17</v>
      </c>
      <c r="EZ162" s="44"/>
      <c r="FA162">
        <v>204</v>
      </c>
      <c r="FB162">
        <v>200</v>
      </c>
      <c r="FC162">
        <v>204</v>
      </c>
      <c r="FD162">
        <v>200</v>
      </c>
      <c r="FE162" s="42">
        <v>8</v>
      </c>
      <c r="FF162" s="44"/>
      <c r="FG162" s="46">
        <v>50</v>
      </c>
      <c r="FH162">
        <v>50</v>
      </c>
      <c r="FI162">
        <v>75</v>
      </c>
      <c r="FJ162">
        <v>70</v>
      </c>
      <c r="FK162" s="42">
        <v>5</v>
      </c>
      <c r="FL162" s="44"/>
      <c r="FM162" s="43"/>
      <c r="FO162" s="42">
        <v>0</v>
      </c>
      <c r="FP162" s="44"/>
      <c r="FQ162">
        <v>108</v>
      </c>
      <c r="FR162">
        <v>100</v>
      </c>
      <c r="FS162">
        <v>335</v>
      </c>
      <c r="FT162">
        <v>320</v>
      </c>
      <c r="FU162" s="42">
        <v>23</v>
      </c>
      <c r="FV162" s="44"/>
      <c r="FW162" s="46">
        <v>156</v>
      </c>
      <c r="FX162">
        <v>150</v>
      </c>
      <c r="GA162">
        <v>205</v>
      </c>
      <c r="GB162">
        <v>200</v>
      </c>
      <c r="GC162" s="42">
        <v>11</v>
      </c>
      <c r="GD162" s="44"/>
      <c r="GE162">
        <v>81</v>
      </c>
      <c r="GF162">
        <v>80</v>
      </c>
      <c r="GG162">
        <v>73</v>
      </c>
      <c r="GH162">
        <v>70</v>
      </c>
      <c r="GI162" s="42">
        <v>4</v>
      </c>
      <c r="GJ162" s="44"/>
      <c r="GK162" s="46">
        <v>157</v>
      </c>
      <c r="GL162">
        <v>150</v>
      </c>
      <c r="GM162">
        <v>157</v>
      </c>
      <c r="GN162">
        <v>150</v>
      </c>
      <c r="GO162" s="42">
        <v>14</v>
      </c>
      <c r="GP162" s="47"/>
      <c r="GQ162">
        <v>155</v>
      </c>
      <c r="GR162">
        <v>150</v>
      </c>
      <c r="GS162">
        <v>159</v>
      </c>
      <c r="GT162">
        <v>150</v>
      </c>
      <c r="GU162" s="42">
        <v>14</v>
      </c>
      <c r="GV162" s="44"/>
      <c r="GX162" s="40">
        <v>161.8888</v>
      </c>
      <c r="GY162" s="39">
        <v>-161.8888</v>
      </c>
      <c r="GZ162" s="47">
        <v>161.8888</v>
      </c>
      <c r="HA162" s="46">
        <v>105</v>
      </c>
      <c r="HB162">
        <v>100</v>
      </c>
      <c r="HC162" s="42">
        <v>5</v>
      </c>
      <c r="HD162" s="44"/>
      <c r="HE162" s="43"/>
      <c r="HI162" s="42">
        <v>0</v>
      </c>
      <c r="HJ162" s="47"/>
      <c r="HK162" s="46">
        <v>207</v>
      </c>
      <c r="HL162">
        <v>200</v>
      </c>
      <c r="HM162">
        <v>619</v>
      </c>
      <c r="HN162">
        <v>600</v>
      </c>
      <c r="HO162" s="42">
        <v>26</v>
      </c>
      <c r="HP162" s="44"/>
      <c r="HR162">
        <v>99</v>
      </c>
      <c r="HS162">
        <v>100</v>
      </c>
      <c r="HT162">
        <v>155</v>
      </c>
      <c r="HU162">
        <v>150</v>
      </c>
      <c r="HV162" s="42">
        <v>4</v>
      </c>
      <c r="HW162" s="44"/>
      <c r="HX162" s="46">
        <v>107</v>
      </c>
      <c r="HY162">
        <v>100</v>
      </c>
      <c r="HZ162">
        <v>105</v>
      </c>
      <c r="IA162">
        <v>100</v>
      </c>
      <c r="IB162" s="42">
        <v>12</v>
      </c>
      <c r="IC162" s="44"/>
      <c r="ID162">
        <v>105</v>
      </c>
      <c r="IE162">
        <v>100</v>
      </c>
      <c r="IF162">
        <v>265</v>
      </c>
      <c r="IG162">
        <v>250</v>
      </c>
      <c r="IH162" s="42">
        <v>20</v>
      </c>
      <c r="II162" s="47"/>
      <c r="IJ162">
        <v>52</v>
      </c>
      <c r="IK162" s="42">
        <v>50</v>
      </c>
      <c r="IL162" s="42">
        <v>49</v>
      </c>
      <c r="IM162" s="42">
        <v>50</v>
      </c>
      <c r="IN162" s="42">
        <v>1</v>
      </c>
      <c r="IO162" s="47"/>
      <c r="IT162" s="42">
        <v>0</v>
      </c>
      <c r="IU162" s="47"/>
      <c r="JA162" s="44"/>
      <c r="JE162" s="44"/>
      <c r="JK162" s="44"/>
      <c r="JL162" s="45"/>
      <c r="JO162" s="44"/>
      <c r="JU162" s="44"/>
      <c r="KA162" s="47"/>
      <c r="KG162" s="44"/>
      <c r="KH162" s="41"/>
      <c r="KM162" s="47"/>
      <c r="KN162" s="45"/>
      <c r="KU162" s="47"/>
      <c r="LA162" s="47"/>
      <c r="LG162" s="47"/>
      <c r="LH162" s="45"/>
      <c r="LK162" s="47"/>
      <c r="LL162" s="45"/>
      <c r="LQ162" s="47"/>
      <c r="LR162" s="45"/>
      <c r="LW162" s="47"/>
      <c r="LX162" s="45"/>
      <c r="MA162" s="47"/>
      <c r="MB162" s="45"/>
      <c r="MG162" s="47"/>
      <c r="MH162" s="45"/>
      <c r="MK162" s="47"/>
      <c r="ML162" s="45"/>
      <c r="MQ162" s="47"/>
      <c r="MW162" s="47"/>
      <c r="MX162" s="45"/>
      <c r="NC162" s="47"/>
      <c r="ND162" s="45"/>
      <c r="NI162" s="47"/>
      <c r="NJ162" s="45"/>
      <c r="NO162" s="47"/>
      <c r="NP162" s="45"/>
      <c r="NU162" s="47"/>
      <c r="NV162" s="45"/>
      <c r="OA162" s="47"/>
      <c r="OB162" s="45"/>
      <c r="OE162" s="47"/>
      <c r="OF162" s="45"/>
      <c r="OK162" s="47"/>
      <c r="OL162" s="45"/>
      <c r="OQ162" s="47"/>
      <c r="OR162" s="45"/>
      <c r="OW162" s="47"/>
      <c r="PC162" s="47"/>
      <c r="PD162" s="45"/>
      <c r="PI162" s="47"/>
      <c r="PJ162" s="45"/>
      <c r="PO162" s="47"/>
      <c r="PP162" s="43"/>
      <c r="PT162" s="42"/>
      <c r="PU162" s="47"/>
      <c r="PV162" s="45"/>
      <c r="QA162" s="47"/>
      <c r="QB162" s="45"/>
      <c r="QE162" s="47"/>
      <c r="QF162" s="45"/>
      <c r="QK162" s="47"/>
      <c r="QL162" s="45"/>
      <c r="QQ162" s="47"/>
      <c r="QR162" s="45"/>
      <c r="QW162" s="47"/>
      <c r="QX162" s="45"/>
      <c r="RB162" s="42"/>
      <c r="RC162" s="47"/>
      <c r="RD162" s="45"/>
      <c r="RF162" s="42"/>
      <c r="RG162" s="47"/>
    </row>
    <row r="163" spans="1:475" x14ac:dyDescent="0.25">
      <c r="A163" s="40" t="s">
        <v>452</v>
      </c>
      <c r="B163" s="41">
        <v>0.3</v>
      </c>
      <c r="E163">
        <v>90</v>
      </c>
      <c r="F163">
        <v>90</v>
      </c>
      <c r="J163">
        <v>48</v>
      </c>
      <c r="K163">
        <v>50</v>
      </c>
      <c r="N163" s="43"/>
      <c r="O163" s="48"/>
      <c r="P163" s="48"/>
      <c r="Q163" s="48"/>
      <c r="R163" s="48">
        <f t="shared" si="17"/>
        <v>0</v>
      </c>
      <c r="S163" s="44"/>
      <c r="T163" s="46">
        <v>42</v>
      </c>
      <c r="U163" s="49">
        <v>40</v>
      </c>
      <c r="V163" s="49">
        <v>78</v>
      </c>
      <c r="W163" s="49">
        <v>80</v>
      </c>
      <c r="X163" s="48">
        <f t="shared" si="18"/>
        <v>0</v>
      </c>
      <c r="Y163" s="44"/>
      <c r="Z163" s="43"/>
      <c r="AA163" s="48"/>
      <c r="AB163" s="49">
        <v>102</v>
      </c>
      <c r="AC163" s="49">
        <v>100</v>
      </c>
      <c r="AD163" s="48">
        <f t="shared" si="19"/>
        <v>2</v>
      </c>
      <c r="AE163" s="44"/>
      <c r="AF163" s="43"/>
      <c r="AG163" s="48"/>
      <c r="AH163" s="48"/>
      <c r="AI163" s="48"/>
      <c r="AJ163" s="48">
        <f t="shared" si="20"/>
        <v>0</v>
      </c>
      <c r="AK163" s="44"/>
      <c r="AL163" s="49">
        <v>60</v>
      </c>
      <c r="AM163">
        <v>60</v>
      </c>
      <c r="AN163">
        <v>60</v>
      </c>
      <c r="AO163">
        <v>60</v>
      </c>
      <c r="AP163" s="42">
        <v>0</v>
      </c>
      <c r="AQ163" s="44"/>
      <c r="AR163" s="43"/>
      <c r="AT163">
        <v>72</v>
      </c>
      <c r="AU163">
        <v>70</v>
      </c>
      <c r="AV163" s="42">
        <v>2</v>
      </c>
      <c r="AW163" s="44"/>
      <c r="BA163">
        <v>48</v>
      </c>
      <c r="BB163">
        <v>50</v>
      </c>
      <c r="BC163" s="42">
        <v>-2</v>
      </c>
      <c r="BD163" s="44"/>
      <c r="BE163" s="43"/>
      <c r="BI163" s="42">
        <v>0</v>
      </c>
      <c r="BJ163" s="44"/>
      <c r="BK163">
        <v>102</v>
      </c>
      <c r="BL163">
        <v>100</v>
      </c>
      <c r="BM163">
        <v>102</v>
      </c>
      <c r="BN163">
        <v>100</v>
      </c>
      <c r="BO163" s="42">
        <v>4</v>
      </c>
      <c r="BP163" s="44"/>
      <c r="BS163" s="42">
        <v>0</v>
      </c>
      <c r="BT163" s="44"/>
      <c r="BU163" s="46">
        <v>72</v>
      </c>
      <c r="BV163">
        <v>80</v>
      </c>
      <c r="BW163">
        <v>48</v>
      </c>
      <c r="BX163">
        <v>50</v>
      </c>
      <c r="BY163" s="39">
        <v>-10</v>
      </c>
      <c r="BZ163" s="44">
        <v>3</v>
      </c>
      <c r="CC163">
        <v>96</v>
      </c>
      <c r="CD163">
        <v>100</v>
      </c>
      <c r="CE163" s="42">
        <v>-4</v>
      </c>
      <c r="CF163" s="44"/>
      <c r="CG163" s="43"/>
      <c r="CI163">
        <v>78</v>
      </c>
      <c r="CJ163">
        <v>80</v>
      </c>
      <c r="CK163" s="42">
        <v>-2</v>
      </c>
      <c r="CL163" s="44"/>
      <c r="CM163" s="43"/>
      <c r="CQ163" s="42">
        <v>0</v>
      </c>
      <c r="CR163" s="44"/>
      <c r="CS163">
        <v>48</v>
      </c>
      <c r="CT163">
        <v>48</v>
      </c>
      <c r="CU163">
        <v>102</v>
      </c>
      <c r="CV163">
        <v>102</v>
      </c>
      <c r="CW163" s="42">
        <v>0</v>
      </c>
      <c r="CX163" s="44"/>
      <c r="CY163" s="43"/>
      <c r="DA163">
        <v>150</v>
      </c>
      <c r="DB163">
        <v>150</v>
      </c>
      <c r="DC163" s="42">
        <v>0</v>
      </c>
      <c r="DD163" s="44"/>
      <c r="DE163" s="43"/>
      <c r="DK163" s="42">
        <v>0</v>
      </c>
      <c r="DL163" s="44"/>
      <c r="DM163" s="43"/>
      <c r="DO163">
        <v>30</v>
      </c>
      <c r="DP163">
        <v>30</v>
      </c>
      <c r="DQ163" s="42">
        <v>0</v>
      </c>
      <c r="DR163" s="44"/>
      <c r="DU163">
        <v>120</v>
      </c>
      <c r="DV163">
        <v>120</v>
      </c>
      <c r="DW163">
        <v>102</v>
      </c>
      <c r="DX163">
        <v>100</v>
      </c>
      <c r="DY163" s="42">
        <v>2</v>
      </c>
      <c r="DZ163" s="44"/>
      <c r="EA163" s="43"/>
      <c r="EE163" s="42">
        <v>0</v>
      </c>
      <c r="EF163" s="44"/>
      <c r="EG163" s="43"/>
      <c r="EK163" s="42">
        <v>0</v>
      </c>
      <c r="EL163" s="44"/>
      <c r="EM163" s="46">
        <v>72</v>
      </c>
      <c r="EN163">
        <v>70</v>
      </c>
      <c r="EO163">
        <v>72</v>
      </c>
      <c r="EP163">
        <v>75</v>
      </c>
      <c r="EQ163" s="42">
        <v>-1</v>
      </c>
      <c r="ER163" s="44"/>
      <c r="EY163" s="42">
        <v>0</v>
      </c>
      <c r="EZ163" s="44"/>
      <c r="FA163">
        <v>72</v>
      </c>
      <c r="FB163">
        <v>75</v>
      </c>
      <c r="FE163" s="42">
        <v>-3</v>
      </c>
      <c r="FF163" s="44"/>
      <c r="FG163" s="43"/>
      <c r="FI163">
        <v>150</v>
      </c>
      <c r="FJ163">
        <v>150</v>
      </c>
      <c r="FK163" s="42">
        <v>0</v>
      </c>
      <c r="FL163" s="44"/>
      <c r="FM163" s="43"/>
      <c r="FO163" s="42">
        <v>0</v>
      </c>
      <c r="FP163" s="44"/>
      <c r="FS163">
        <v>12</v>
      </c>
      <c r="FT163">
        <v>10</v>
      </c>
      <c r="FU163" s="42">
        <v>2</v>
      </c>
      <c r="FV163" s="44"/>
      <c r="FW163" s="46">
        <v>48</v>
      </c>
      <c r="FX163">
        <v>50</v>
      </c>
      <c r="GA163">
        <v>102</v>
      </c>
      <c r="GB163">
        <v>100</v>
      </c>
      <c r="GC163" s="42">
        <v>0</v>
      </c>
      <c r="GD163" s="44"/>
      <c r="GG163">
        <v>18</v>
      </c>
      <c r="GH163">
        <v>20</v>
      </c>
      <c r="GI163" s="42">
        <v>-2</v>
      </c>
      <c r="GJ163" s="44"/>
      <c r="GK163" s="43"/>
      <c r="GM163">
        <v>48</v>
      </c>
      <c r="GN163">
        <v>50</v>
      </c>
      <c r="GO163" s="42">
        <v>-2</v>
      </c>
      <c r="GP163" s="47"/>
      <c r="GQ163">
        <v>60</v>
      </c>
      <c r="GR163">
        <v>60</v>
      </c>
      <c r="GS163">
        <v>102</v>
      </c>
      <c r="GT163">
        <v>100</v>
      </c>
      <c r="GU163" s="42">
        <v>2</v>
      </c>
      <c r="GV163" s="44"/>
      <c r="GY163" s="42">
        <v>0</v>
      </c>
      <c r="GZ163" s="47"/>
      <c r="HA163" s="43"/>
      <c r="HC163" s="42">
        <v>0</v>
      </c>
      <c r="HD163" s="44"/>
      <c r="HE163" s="46">
        <v>78</v>
      </c>
      <c r="HF163">
        <v>80</v>
      </c>
      <c r="HG163">
        <v>78</v>
      </c>
      <c r="HH163">
        <v>80</v>
      </c>
      <c r="HI163" s="42">
        <v>-4</v>
      </c>
      <c r="HJ163" s="47"/>
      <c r="HK163" s="43"/>
      <c r="HM163">
        <v>48</v>
      </c>
      <c r="HN163">
        <v>50</v>
      </c>
      <c r="HO163" s="42">
        <v>-2</v>
      </c>
      <c r="HP163" s="44"/>
      <c r="HT163">
        <v>132</v>
      </c>
      <c r="HU163">
        <v>130</v>
      </c>
      <c r="HV163" s="42">
        <v>2</v>
      </c>
      <c r="HW163" s="44"/>
      <c r="HX163" s="46">
        <v>42</v>
      </c>
      <c r="HY163">
        <v>40</v>
      </c>
      <c r="IA163" s="37">
        <v>40</v>
      </c>
      <c r="IB163" s="42">
        <v>4</v>
      </c>
      <c r="IC163" s="44"/>
      <c r="IF163">
        <v>30</v>
      </c>
      <c r="IG163">
        <v>30</v>
      </c>
      <c r="IH163" s="42">
        <v>0</v>
      </c>
      <c r="II163" s="47"/>
      <c r="IJ163">
        <v>42</v>
      </c>
      <c r="IK163" s="42">
        <v>40</v>
      </c>
      <c r="IL163" s="42">
        <v>42</v>
      </c>
      <c r="IM163" s="42">
        <v>40</v>
      </c>
      <c r="IN163" s="42">
        <v>4</v>
      </c>
      <c r="IO163" s="47"/>
      <c r="IT163" s="42">
        <v>0</v>
      </c>
      <c r="IU163" s="47"/>
      <c r="JA163" s="44"/>
      <c r="JE163" s="44"/>
      <c r="JK163" s="44"/>
      <c r="JL163" s="45"/>
      <c r="JO163" s="44"/>
      <c r="JU163" s="44"/>
      <c r="KA163" s="47"/>
      <c r="KG163" s="44"/>
      <c r="KH163" s="41"/>
      <c r="KM163" s="47"/>
      <c r="KN163" s="45"/>
      <c r="KU163" s="47"/>
      <c r="LA163" s="47"/>
      <c r="LG163" s="47"/>
      <c r="LH163" s="45"/>
      <c r="LK163" s="47"/>
      <c r="LL163" s="45"/>
      <c r="LQ163" s="47"/>
      <c r="LR163" s="45"/>
      <c r="LW163" s="47"/>
      <c r="LX163" s="45"/>
      <c r="MA163" s="47"/>
      <c r="MB163" s="45"/>
      <c r="MG163" s="47"/>
      <c r="MH163" s="45"/>
      <c r="MK163" s="47"/>
      <c r="ML163" s="45"/>
      <c r="MQ163" s="47"/>
      <c r="MW163" s="47"/>
      <c r="MX163" s="45"/>
      <c r="NC163" s="47"/>
      <c r="ND163" s="45"/>
      <c r="NI163" s="47"/>
      <c r="NJ163" s="45"/>
      <c r="NO163" s="47"/>
      <c r="NP163" s="45"/>
      <c r="NU163" s="47"/>
      <c r="NV163" s="45"/>
      <c r="OA163" s="47"/>
      <c r="OB163" s="45"/>
      <c r="OE163" s="47"/>
      <c r="OF163" s="45"/>
      <c r="OK163" s="47"/>
      <c r="OL163" s="45"/>
      <c r="OQ163" s="47"/>
      <c r="OR163" s="45"/>
      <c r="OW163" s="47"/>
      <c r="PC163" s="47"/>
      <c r="PD163" s="45"/>
      <c r="PI163" s="47"/>
      <c r="PJ163" s="45"/>
      <c r="PO163" s="47"/>
      <c r="PP163" s="43"/>
      <c r="PT163" s="42"/>
      <c r="PU163" s="47"/>
      <c r="PV163" s="45"/>
      <c r="QA163" s="47"/>
      <c r="QB163" s="45"/>
      <c r="QE163" s="47"/>
      <c r="QF163" s="45"/>
      <c r="QK163" s="47"/>
      <c r="QL163" s="45"/>
      <c r="QQ163" s="47"/>
      <c r="QR163" s="45"/>
      <c r="QW163" s="47"/>
      <c r="QX163" s="45"/>
      <c r="RB163" s="42"/>
      <c r="RC163" s="47"/>
      <c r="RD163" s="45"/>
      <c r="RF163" s="42"/>
      <c r="RG163" s="47"/>
    </row>
    <row r="164" spans="1:475" x14ac:dyDescent="0.25">
      <c r="A164" s="40" t="s">
        <v>453</v>
      </c>
      <c r="B164" s="41">
        <v>0.14000000000000001</v>
      </c>
      <c r="N164" s="43"/>
      <c r="O164" s="48"/>
      <c r="P164" s="48"/>
      <c r="Q164" s="48"/>
      <c r="R164" s="48">
        <f t="shared" si="17"/>
        <v>0</v>
      </c>
      <c r="S164" s="44"/>
      <c r="T164" s="46">
        <v>80</v>
      </c>
      <c r="U164" s="49">
        <v>80</v>
      </c>
      <c r="V164" s="49">
        <v>120</v>
      </c>
      <c r="W164" s="49">
        <v>120</v>
      </c>
      <c r="X164" s="48">
        <f t="shared" si="18"/>
        <v>0</v>
      </c>
      <c r="Y164" s="44"/>
      <c r="Z164" s="46">
        <v>30</v>
      </c>
      <c r="AA164" s="49">
        <v>30</v>
      </c>
      <c r="AB164" s="49">
        <v>20</v>
      </c>
      <c r="AC164" s="49">
        <v>20</v>
      </c>
      <c r="AD164" s="48">
        <f t="shared" si="19"/>
        <v>0</v>
      </c>
      <c r="AE164" s="44"/>
      <c r="AF164" s="43"/>
      <c r="AG164" s="48"/>
      <c r="AH164" s="48"/>
      <c r="AI164" s="48"/>
      <c r="AJ164" s="48">
        <f t="shared" si="20"/>
        <v>0</v>
      </c>
      <c r="AK164" s="44"/>
      <c r="AL164" s="48"/>
      <c r="AP164" s="42">
        <v>0</v>
      </c>
      <c r="AQ164" s="44"/>
      <c r="AR164" s="43"/>
      <c r="AT164">
        <v>50</v>
      </c>
      <c r="AU164">
        <v>50</v>
      </c>
      <c r="AV164" s="42">
        <v>0</v>
      </c>
      <c r="AW164" s="44"/>
      <c r="AX164">
        <v>40</v>
      </c>
      <c r="AZ164">
        <v>40</v>
      </c>
      <c r="BC164" s="42">
        <v>0</v>
      </c>
      <c r="BD164" s="44"/>
      <c r="BE164" s="46">
        <v>50</v>
      </c>
      <c r="BF164">
        <v>50</v>
      </c>
      <c r="BI164" s="42">
        <v>0</v>
      </c>
      <c r="BJ164" s="44"/>
      <c r="BM164">
        <v>150</v>
      </c>
      <c r="BN164">
        <v>150</v>
      </c>
      <c r="BO164" s="42">
        <v>0</v>
      </c>
      <c r="BP164" s="44"/>
      <c r="BS164" s="42">
        <v>0</v>
      </c>
      <c r="BT164" s="44"/>
      <c r="BU164" s="46">
        <v>270</v>
      </c>
      <c r="BV164">
        <v>271</v>
      </c>
      <c r="BY164" s="42">
        <v>-1</v>
      </c>
      <c r="BZ164" s="44"/>
      <c r="CC164">
        <v>50</v>
      </c>
      <c r="CD164" s="42">
        <v>50</v>
      </c>
      <c r="CE164" s="42">
        <v>0</v>
      </c>
      <c r="CF164" s="44"/>
      <c r="CG164" s="46">
        <v>50</v>
      </c>
      <c r="CH164">
        <v>50</v>
      </c>
      <c r="CI164">
        <v>100</v>
      </c>
      <c r="CJ164">
        <v>104</v>
      </c>
      <c r="CK164" s="42">
        <v>-4</v>
      </c>
      <c r="CL164" s="44"/>
      <c r="CM164" s="46">
        <v>100</v>
      </c>
      <c r="CN164" s="42">
        <v>100</v>
      </c>
      <c r="CQ164" s="42">
        <v>0</v>
      </c>
      <c r="CR164" s="44"/>
      <c r="CW164" s="42">
        <v>0</v>
      </c>
      <c r="CX164" s="44"/>
      <c r="CY164" s="43"/>
      <c r="DC164" s="42">
        <v>0</v>
      </c>
      <c r="DD164" s="44"/>
      <c r="DE164" s="43"/>
      <c r="DK164" s="42">
        <v>0</v>
      </c>
      <c r="DL164" s="44"/>
      <c r="DM164" s="43"/>
      <c r="DQ164" s="42">
        <v>0</v>
      </c>
      <c r="DR164" s="44"/>
      <c r="DZ164" s="44"/>
      <c r="EA164" s="43"/>
      <c r="EF164" s="44"/>
      <c r="EG164" s="43"/>
      <c r="EL164" s="44"/>
      <c r="EM164" s="46"/>
      <c r="ER164" s="44"/>
      <c r="EZ164" s="44"/>
      <c r="FF164" s="44"/>
      <c r="FG164" s="43"/>
      <c r="FL164" s="44"/>
      <c r="FM164" s="43"/>
      <c r="FP164" s="44"/>
      <c r="FV164" s="44"/>
      <c r="FW164" s="46"/>
      <c r="GD164" s="44"/>
      <c r="GJ164" s="44"/>
      <c r="GK164" s="43"/>
      <c r="GP164" s="47"/>
      <c r="GV164" s="44"/>
      <c r="GZ164" s="47"/>
      <c r="HA164" s="43"/>
      <c r="HD164" s="44"/>
      <c r="HE164" s="46"/>
      <c r="HJ164" s="47"/>
      <c r="HK164" s="43"/>
      <c r="HP164" s="44"/>
      <c r="HW164" s="44"/>
      <c r="HX164" s="46"/>
      <c r="IA164" s="37"/>
      <c r="IC164" s="44"/>
      <c r="II164" s="47"/>
      <c r="IO164" s="47"/>
      <c r="IU164" s="47"/>
      <c r="JA164" s="44"/>
      <c r="JE164" s="44"/>
      <c r="JK164" s="44"/>
      <c r="JL164" s="45"/>
      <c r="JO164" s="44"/>
      <c r="JU164" s="44"/>
      <c r="KA164" s="47"/>
      <c r="KG164" s="44"/>
      <c r="KH164" s="41"/>
      <c r="KM164" s="47"/>
      <c r="KN164" s="45"/>
      <c r="KU164" s="47"/>
      <c r="LA164" s="47"/>
      <c r="LG164" s="47"/>
      <c r="LH164" s="45"/>
      <c r="LK164" s="47"/>
      <c r="LL164" s="45"/>
      <c r="LQ164" s="47"/>
      <c r="LR164" s="45"/>
      <c r="LW164" s="47"/>
      <c r="LX164" s="45"/>
      <c r="MA164" s="47"/>
      <c r="MB164" s="45"/>
      <c r="MG164" s="47"/>
      <c r="MH164" s="45"/>
      <c r="MK164" s="47"/>
      <c r="ML164" s="45"/>
      <c r="MQ164" s="47"/>
      <c r="MW164" s="47"/>
      <c r="MX164" s="45"/>
      <c r="NC164" s="47"/>
      <c r="ND164" s="45"/>
      <c r="NI164" s="47"/>
      <c r="NJ164" s="45"/>
      <c r="NO164" s="47"/>
      <c r="NP164" s="45"/>
      <c r="NU164" s="47"/>
      <c r="NV164" s="45"/>
      <c r="OA164" s="47"/>
      <c r="OB164" s="45"/>
      <c r="OE164" s="47"/>
      <c r="OF164" s="45"/>
      <c r="OK164" s="47"/>
      <c r="OL164" s="45"/>
      <c r="OQ164" s="47"/>
      <c r="OR164" s="45"/>
      <c r="OW164" s="47"/>
      <c r="PC164" s="47"/>
      <c r="PD164" s="45"/>
      <c r="PI164" s="47"/>
      <c r="PJ164" s="45"/>
      <c r="PO164" s="47"/>
      <c r="PP164" s="43"/>
      <c r="PT164" s="42"/>
      <c r="PU164" s="47"/>
      <c r="PV164" s="45"/>
      <c r="QA164" s="47"/>
      <c r="QB164" s="45"/>
      <c r="QE164" s="47"/>
      <c r="QF164" s="45"/>
      <c r="QK164" s="47"/>
      <c r="QL164" s="45"/>
      <c r="QQ164" s="47"/>
      <c r="QR164" s="45"/>
      <c r="QW164" s="47"/>
      <c r="QX164" s="45"/>
      <c r="RB164" s="42"/>
      <c r="RC164" s="47"/>
      <c r="RD164" s="45"/>
      <c r="RF164" s="42"/>
      <c r="RG164" s="47"/>
    </row>
    <row r="165" spans="1:475" x14ac:dyDescent="0.25">
      <c r="A165" s="40" t="s">
        <v>454</v>
      </c>
      <c r="B165" s="41">
        <v>1</v>
      </c>
      <c r="E165">
        <v>100</v>
      </c>
      <c r="F165">
        <v>127</v>
      </c>
      <c r="N165" s="46">
        <v>100</v>
      </c>
      <c r="O165" s="49">
        <v>100</v>
      </c>
      <c r="P165" s="49">
        <v>120</v>
      </c>
      <c r="Q165" s="49">
        <v>125</v>
      </c>
      <c r="R165" s="48">
        <f t="shared" si="17"/>
        <v>-5</v>
      </c>
      <c r="S165" s="44"/>
      <c r="T165" s="46">
        <v>120</v>
      </c>
      <c r="U165" s="49">
        <v>120</v>
      </c>
      <c r="V165" s="49">
        <v>160</v>
      </c>
      <c r="W165" s="49">
        <v>160</v>
      </c>
      <c r="X165" s="48">
        <f t="shared" si="18"/>
        <v>0</v>
      </c>
      <c r="Y165" s="44"/>
      <c r="Z165" s="43"/>
      <c r="AA165" s="48"/>
      <c r="AB165" s="48"/>
      <c r="AC165" s="48"/>
      <c r="AD165" s="48">
        <f t="shared" si="19"/>
        <v>0</v>
      </c>
      <c r="AE165" s="44"/>
      <c r="AF165" s="43"/>
      <c r="AG165" s="48"/>
      <c r="AH165" s="49">
        <v>210</v>
      </c>
      <c r="AI165" s="49">
        <v>210</v>
      </c>
      <c r="AJ165" s="48">
        <f t="shared" si="20"/>
        <v>0</v>
      </c>
      <c r="AK165" s="44"/>
      <c r="AL165" s="49">
        <v>120</v>
      </c>
      <c r="AM165">
        <v>120</v>
      </c>
      <c r="AN165">
        <v>130</v>
      </c>
      <c r="AO165">
        <v>130</v>
      </c>
      <c r="AP165" s="42">
        <v>0</v>
      </c>
      <c r="AQ165" s="44"/>
      <c r="AR165" s="43"/>
      <c r="AV165" s="42">
        <v>0</v>
      </c>
      <c r="AW165" s="44"/>
      <c r="BC165" s="42">
        <v>0</v>
      </c>
      <c r="BD165" s="44"/>
      <c r="BE165" s="46">
        <v>100</v>
      </c>
      <c r="BF165">
        <v>100</v>
      </c>
      <c r="BG165">
        <v>80</v>
      </c>
      <c r="BH165">
        <v>82</v>
      </c>
      <c r="BI165" s="42">
        <v>-2</v>
      </c>
      <c r="BJ165" s="44"/>
      <c r="BK165">
        <v>140</v>
      </c>
      <c r="BL165">
        <v>140</v>
      </c>
      <c r="BM165">
        <v>110</v>
      </c>
      <c r="BN165">
        <v>117</v>
      </c>
      <c r="BO165" s="42">
        <v>-7</v>
      </c>
      <c r="BP165" s="44"/>
      <c r="BS165" s="42">
        <v>0</v>
      </c>
      <c r="BT165" s="44"/>
      <c r="BU165" s="43"/>
      <c r="BV165">
        <v>50</v>
      </c>
      <c r="BW165">
        <v>520</v>
      </c>
      <c r="BX165">
        <v>527</v>
      </c>
      <c r="BY165" s="39">
        <v>-57</v>
      </c>
      <c r="BZ165" s="44">
        <v>57</v>
      </c>
      <c r="CC165">
        <v>80</v>
      </c>
      <c r="CD165">
        <v>84</v>
      </c>
      <c r="CE165" s="42">
        <v>-4</v>
      </c>
      <c r="CF165" s="44"/>
      <c r="CG165" s="43"/>
      <c r="CI165">
        <v>100</v>
      </c>
      <c r="CJ165">
        <v>100</v>
      </c>
      <c r="CK165" s="42">
        <v>0</v>
      </c>
      <c r="CL165" s="44"/>
      <c r="CM165" s="43"/>
      <c r="CO165">
        <v>260</v>
      </c>
      <c r="CP165">
        <v>260</v>
      </c>
      <c r="CQ165" s="42">
        <v>0</v>
      </c>
      <c r="CR165" s="44"/>
      <c r="CS165">
        <v>50</v>
      </c>
      <c r="CT165">
        <v>50</v>
      </c>
      <c r="CU165">
        <v>100</v>
      </c>
      <c r="CV165">
        <v>100</v>
      </c>
      <c r="CW165" s="42">
        <v>0</v>
      </c>
      <c r="CX165" s="44"/>
      <c r="CY165" s="43"/>
      <c r="DA165">
        <v>140</v>
      </c>
      <c r="DB165">
        <v>140</v>
      </c>
      <c r="DC165" s="42">
        <v>0</v>
      </c>
      <c r="DD165" s="44"/>
      <c r="DE165" s="43"/>
      <c r="DI165">
        <v>100</v>
      </c>
      <c r="DJ165">
        <v>100</v>
      </c>
      <c r="DK165" s="42">
        <v>0</v>
      </c>
      <c r="DL165" s="44"/>
      <c r="DM165" s="43"/>
      <c r="DO165">
        <v>250</v>
      </c>
      <c r="DP165">
        <v>250</v>
      </c>
      <c r="DQ165" s="42">
        <v>0</v>
      </c>
      <c r="DR165" s="44"/>
      <c r="DU165">
        <v>120</v>
      </c>
      <c r="DV165">
        <v>120</v>
      </c>
      <c r="DW165">
        <v>100</v>
      </c>
      <c r="DX165">
        <v>100</v>
      </c>
      <c r="DY165" s="42">
        <v>0</v>
      </c>
      <c r="DZ165" s="44"/>
      <c r="EA165" s="43"/>
      <c r="EC165">
        <v>90</v>
      </c>
      <c r="ED165">
        <v>92</v>
      </c>
      <c r="EE165" s="42">
        <v>-2</v>
      </c>
      <c r="EF165" s="44"/>
      <c r="EG165" s="43"/>
      <c r="EK165" s="42">
        <v>0</v>
      </c>
      <c r="EL165" s="44"/>
      <c r="EM165" s="46">
        <v>20</v>
      </c>
      <c r="EN165">
        <v>20</v>
      </c>
      <c r="EQ165" s="42">
        <v>0</v>
      </c>
      <c r="ER165" s="44"/>
      <c r="ES165">
        <v>80</v>
      </c>
      <c r="ET165">
        <v>80</v>
      </c>
      <c r="EU165">
        <v>100</v>
      </c>
      <c r="EV165">
        <v>100</v>
      </c>
      <c r="EW165">
        <v>140</v>
      </c>
      <c r="EX165">
        <v>140</v>
      </c>
      <c r="EY165" s="42">
        <v>0</v>
      </c>
      <c r="EZ165" s="44"/>
      <c r="FC165">
        <v>40</v>
      </c>
      <c r="FD165">
        <v>40</v>
      </c>
      <c r="FE165" s="42">
        <v>0</v>
      </c>
      <c r="FF165" s="44"/>
      <c r="FG165" s="43"/>
      <c r="FK165" s="42">
        <v>0</v>
      </c>
      <c r="FL165" s="44"/>
      <c r="FM165" s="43"/>
      <c r="FO165" s="42">
        <v>0</v>
      </c>
      <c r="FP165" s="44"/>
      <c r="FS165">
        <v>180</v>
      </c>
      <c r="FT165">
        <v>180</v>
      </c>
      <c r="FU165" s="42">
        <v>0</v>
      </c>
      <c r="FV165" s="44"/>
      <c r="FW165" s="43"/>
      <c r="GA165">
        <v>50</v>
      </c>
      <c r="GB165">
        <v>49</v>
      </c>
      <c r="GC165" s="42">
        <v>1</v>
      </c>
      <c r="GD165" s="44"/>
      <c r="GG165">
        <v>50</v>
      </c>
      <c r="GH165">
        <v>50</v>
      </c>
      <c r="GI165" s="42">
        <v>0</v>
      </c>
      <c r="GJ165" s="44"/>
      <c r="GK165" s="43"/>
      <c r="GM165">
        <v>140</v>
      </c>
      <c r="GN165">
        <v>140</v>
      </c>
      <c r="GO165" s="42">
        <v>0</v>
      </c>
      <c r="GP165" s="47"/>
      <c r="GS165">
        <v>90</v>
      </c>
      <c r="GT165">
        <v>90</v>
      </c>
      <c r="GU165" s="42">
        <v>0</v>
      </c>
      <c r="GV165" s="44"/>
      <c r="GY165" s="42">
        <v>0</v>
      </c>
      <c r="GZ165" s="47"/>
      <c r="HA165" s="43"/>
      <c r="HC165" s="42">
        <v>0</v>
      </c>
      <c r="HD165" s="44"/>
      <c r="HE165" s="43"/>
      <c r="HI165" s="42">
        <v>0</v>
      </c>
      <c r="HJ165" s="47"/>
      <c r="HK165" s="43"/>
      <c r="HM165">
        <v>130</v>
      </c>
      <c r="HN165">
        <v>130</v>
      </c>
      <c r="HO165" s="42">
        <v>0</v>
      </c>
      <c r="HP165" s="44"/>
      <c r="HT165">
        <v>200</v>
      </c>
      <c r="HU165">
        <v>200</v>
      </c>
      <c r="HV165" s="42">
        <v>0</v>
      </c>
      <c r="HW165" s="44"/>
      <c r="HX165" s="46">
        <v>200</v>
      </c>
      <c r="HY165">
        <v>200</v>
      </c>
      <c r="HZ165">
        <v>180</v>
      </c>
      <c r="IA165">
        <v>180</v>
      </c>
      <c r="IB165" s="42">
        <v>0</v>
      </c>
      <c r="IC165" s="44"/>
      <c r="IH165" s="42">
        <v>0</v>
      </c>
      <c r="II165" s="47"/>
      <c r="IN165" s="42">
        <v>0</v>
      </c>
      <c r="IO165" s="47"/>
      <c r="IP165">
        <v>200</v>
      </c>
      <c r="IQ165">
        <v>200</v>
      </c>
      <c r="IR165">
        <v>150</v>
      </c>
      <c r="IS165">
        <v>150</v>
      </c>
      <c r="IT165" s="42">
        <v>0</v>
      </c>
      <c r="IU165" s="47"/>
      <c r="IX165" s="42">
        <v>90</v>
      </c>
      <c r="IY165" s="42">
        <v>100</v>
      </c>
      <c r="IZ165" s="39">
        <v>-10</v>
      </c>
      <c r="JA165" s="44">
        <v>10</v>
      </c>
      <c r="JE165" s="44"/>
      <c r="JK165" s="44"/>
      <c r="JL165" s="45"/>
      <c r="JO165" s="44"/>
      <c r="JU165" s="44"/>
      <c r="KA165" s="47"/>
      <c r="KG165" s="44"/>
      <c r="KH165" s="41"/>
      <c r="KM165" s="47"/>
      <c r="KN165" s="45"/>
      <c r="KU165" s="47"/>
      <c r="LA165" s="47"/>
      <c r="LG165" s="47"/>
      <c r="LH165" s="45"/>
      <c r="LK165" s="47"/>
      <c r="LL165" s="45"/>
      <c r="LQ165" s="47"/>
      <c r="LR165" s="45"/>
      <c r="LW165" s="47"/>
      <c r="LX165" s="45"/>
      <c r="MA165" s="47"/>
      <c r="MB165" s="45"/>
      <c r="MG165" s="47"/>
      <c r="MH165" s="45"/>
      <c r="MK165" s="47"/>
      <c r="ML165" s="45"/>
      <c r="MQ165" s="47"/>
      <c r="MW165" s="47"/>
      <c r="MX165" s="45"/>
      <c r="NC165" s="47"/>
      <c r="ND165" s="45"/>
      <c r="NI165" s="47"/>
      <c r="NJ165" s="45"/>
      <c r="NO165" s="47"/>
      <c r="NP165" s="45"/>
      <c r="NU165" s="47"/>
      <c r="NV165" s="45"/>
      <c r="OA165" s="47"/>
      <c r="OB165" s="45"/>
      <c r="OE165" s="47"/>
      <c r="OF165" s="45"/>
      <c r="OK165" s="47"/>
      <c r="OL165" s="45"/>
      <c r="OQ165" s="47"/>
      <c r="OR165" s="45"/>
      <c r="OW165" s="47"/>
      <c r="PC165" s="47"/>
      <c r="PD165" s="45"/>
      <c r="PI165" s="47"/>
      <c r="PJ165" s="45"/>
      <c r="PO165" s="47"/>
      <c r="PP165" s="43"/>
      <c r="PU165" s="47"/>
      <c r="PV165" s="45"/>
      <c r="PZ165" s="42"/>
      <c r="QA165" s="47"/>
      <c r="QB165" s="45"/>
      <c r="QE165" s="47"/>
      <c r="QF165" s="45"/>
      <c r="QK165" s="47"/>
      <c r="QL165" s="45"/>
      <c r="QQ165" s="47"/>
      <c r="QR165" s="45"/>
      <c r="QW165" s="47"/>
      <c r="QX165" s="45"/>
      <c r="RB165" s="42"/>
      <c r="RC165" s="47"/>
      <c r="RD165" s="45"/>
      <c r="RF165" s="42"/>
      <c r="RG165" s="47"/>
    </row>
    <row r="166" spans="1:475" x14ac:dyDescent="0.25">
      <c r="A166" s="40" t="s">
        <v>455</v>
      </c>
      <c r="B166" s="41">
        <v>1</v>
      </c>
      <c r="N166" s="43"/>
      <c r="O166" s="48"/>
      <c r="P166" s="48"/>
      <c r="Q166" s="48"/>
      <c r="R166" s="48">
        <f t="shared" si="17"/>
        <v>0</v>
      </c>
      <c r="S166" s="44"/>
      <c r="T166" s="43"/>
      <c r="U166" s="48"/>
      <c r="V166" s="48"/>
      <c r="W166" s="48"/>
      <c r="X166" s="48">
        <f t="shared" si="18"/>
        <v>0</v>
      </c>
      <c r="Y166" s="44"/>
      <c r="Z166" s="43"/>
      <c r="AA166" s="48"/>
      <c r="AB166" s="48"/>
      <c r="AC166" s="48"/>
      <c r="AD166" s="48">
        <f t="shared" si="19"/>
        <v>0</v>
      </c>
      <c r="AE166" s="44"/>
      <c r="AF166" s="43"/>
      <c r="AG166" s="48"/>
      <c r="AH166" s="48"/>
      <c r="AI166" s="48"/>
      <c r="AJ166" s="48">
        <f t="shared" si="20"/>
        <v>0</v>
      </c>
      <c r="AK166" s="44"/>
      <c r="AL166" s="48"/>
      <c r="AP166" s="42">
        <v>0</v>
      </c>
      <c r="AQ166" s="44"/>
      <c r="AR166" s="43"/>
      <c r="AV166" s="42">
        <v>0</v>
      </c>
      <c r="AW166" s="44"/>
      <c r="BC166" s="42">
        <v>0</v>
      </c>
      <c r="BD166" s="44"/>
      <c r="BE166" s="43"/>
      <c r="BI166" s="42">
        <v>0</v>
      </c>
      <c r="BJ166" s="44"/>
      <c r="BO166" s="42">
        <v>0</v>
      </c>
      <c r="BP166" s="44"/>
      <c r="BS166" s="42">
        <v>0</v>
      </c>
      <c r="BT166" s="44"/>
      <c r="BU166" s="43"/>
      <c r="BY166" s="42">
        <v>0</v>
      </c>
      <c r="BZ166" s="44"/>
      <c r="CE166" s="42">
        <v>0</v>
      </c>
      <c r="CF166" s="44"/>
      <c r="CG166" s="43"/>
      <c r="CK166" s="42">
        <v>0</v>
      </c>
      <c r="CL166" s="44"/>
      <c r="CM166" s="43"/>
      <c r="CQ166" s="42">
        <v>0</v>
      </c>
      <c r="CR166" s="44"/>
      <c r="CS166">
        <v>20</v>
      </c>
      <c r="CT166">
        <v>20</v>
      </c>
      <c r="CV166">
        <v>30</v>
      </c>
      <c r="CW166" s="39">
        <v>-30</v>
      </c>
      <c r="CX166" s="44">
        <v>30</v>
      </c>
      <c r="CY166" s="43"/>
      <c r="DC166" s="42">
        <v>0</v>
      </c>
      <c r="DD166" s="44"/>
      <c r="DE166" s="43"/>
      <c r="DH166">
        <v>60</v>
      </c>
      <c r="DJ166">
        <v>57</v>
      </c>
      <c r="DK166" s="39">
        <v>-117</v>
      </c>
      <c r="DL166" s="44">
        <v>117</v>
      </c>
      <c r="DM166" s="43"/>
      <c r="DO166">
        <v>45</v>
      </c>
      <c r="DP166">
        <v>50</v>
      </c>
      <c r="DQ166" s="42">
        <v>-5</v>
      </c>
      <c r="DR166" s="44"/>
      <c r="DU166">
        <v>48</v>
      </c>
      <c r="DV166">
        <v>46</v>
      </c>
      <c r="DY166" s="42">
        <v>2</v>
      </c>
      <c r="DZ166" s="44"/>
      <c r="EA166" s="43"/>
      <c r="EC166">
        <v>49</v>
      </c>
      <c r="ED166">
        <v>49</v>
      </c>
      <c r="EE166" s="42">
        <v>0</v>
      </c>
      <c r="EF166" s="44"/>
      <c r="EG166" s="43"/>
      <c r="EK166" s="42">
        <v>0</v>
      </c>
      <c r="EL166" s="44"/>
      <c r="EM166" s="46">
        <v>32</v>
      </c>
      <c r="EN166">
        <v>30</v>
      </c>
      <c r="EO166">
        <v>28</v>
      </c>
      <c r="EP166">
        <v>29</v>
      </c>
      <c r="EQ166" s="42">
        <v>1</v>
      </c>
      <c r="ER166" s="44"/>
      <c r="EU166">
        <v>20</v>
      </c>
      <c r="EV166">
        <v>20</v>
      </c>
      <c r="EW166">
        <v>20</v>
      </c>
      <c r="EX166">
        <v>20</v>
      </c>
      <c r="EY166" s="42">
        <v>0</v>
      </c>
      <c r="EZ166" s="44"/>
      <c r="FE166" s="42">
        <v>0</v>
      </c>
      <c r="FF166" s="44"/>
      <c r="FG166" s="43"/>
      <c r="FI166">
        <v>61</v>
      </c>
      <c r="FJ166">
        <v>61</v>
      </c>
      <c r="FK166" s="42">
        <v>0</v>
      </c>
      <c r="FL166" s="44"/>
      <c r="FM166" s="43"/>
      <c r="FO166" s="42">
        <v>0</v>
      </c>
      <c r="FP166" s="44"/>
      <c r="FS166">
        <v>32</v>
      </c>
      <c r="FT166">
        <v>32</v>
      </c>
      <c r="FU166" s="42">
        <v>0</v>
      </c>
      <c r="FV166" s="44"/>
      <c r="FW166" s="43"/>
      <c r="GA166">
        <v>40</v>
      </c>
      <c r="GB166">
        <v>40</v>
      </c>
      <c r="GC166" s="42">
        <v>0</v>
      </c>
      <c r="GD166" s="44"/>
      <c r="GI166" s="42">
        <v>0</v>
      </c>
      <c r="GJ166" s="44"/>
      <c r="GK166" s="43"/>
      <c r="GO166" s="42">
        <v>0</v>
      </c>
      <c r="GP166" s="47"/>
      <c r="GS166">
        <v>48</v>
      </c>
      <c r="GT166">
        <v>48</v>
      </c>
      <c r="GU166" s="42">
        <v>0</v>
      </c>
      <c r="GV166" s="44"/>
      <c r="GW166">
        <v>49</v>
      </c>
      <c r="GX166" s="40">
        <v>50</v>
      </c>
      <c r="GY166" s="42">
        <v>-1</v>
      </c>
      <c r="GZ166" s="47"/>
      <c r="HA166" s="43"/>
      <c r="HC166" s="42">
        <v>0</v>
      </c>
      <c r="HD166" s="44"/>
      <c r="HE166" s="43"/>
      <c r="HI166" s="42">
        <v>0</v>
      </c>
      <c r="HJ166" s="47"/>
      <c r="HK166" s="43"/>
      <c r="HM166">
        <v>61</v>
      </c>
      <c r="HN166">
        <v>60</v>
      </c>
      <c r="HO166" s="42">
        <v>1</v>
      </c>
      <c r="HP166" s="44"/>
      <c r="HV166" s="42">
        <v>0</v>
      </c>
      <c r="HW166" s="44"/>
      <c r="HX166" s="45"/>
      <c r="HZ166" s="42">
        <v>20</v>
      </c>
      <c r="IA166" s="42">
        <v>20</v>
      </c>
      <c r="IB166" s="42">
        <v>0</v>
      </c>
      <c r="IC166" s="44"/>
      <c r="IG166" s="36">
        <v>40</v>
      </c>
      <c r="IH166" s="42">
        <v>0</v>
      </c>
      <c r="II166" s="47"/>
      <c r="IN166" s="42">
        <v>0</v>
      </c>
      <c r="IO166" s="47"/>
      <c r="IU166" s="47"/>
      <c r="JA166" s="44"/>
      <c r="JE166" s="44"/>
      <c r="JK166" s="44"/>
      <c r="JL166" s="45"/>
      <c r="JO166" s="44"/>
      <c r="JU166" s="44"/>
      <c r="KA166" s="47"/>
      <c r="KG166" s="44"/>
      <c r="KH166" s="41"/>
      <c r="KM166" s="47"/>
      <c r="KN166" s="45"/>
      <c r="KU166" s="47"/>
      <c r="LA166" s="47"/>
      <c r="LG166" s="47"/>
      <c r="LH166" s="45"/>
      <c r="LK166" s="47"/>
      <c r="LL166" s="45"/>
      <c r="LQ166" s="47"/>
      <c r="LR166" s="45"/>
      <c r="LW166" s="47"/>
      <c r="LX166" s="45"/>
      <c r="MA166" s="47"/>
      <c r="MB166" s="45"/>
      <c r="MG166" s="47"/>
      <c r="MH166" s="45"/>
      <c r="MK166" s="47"/>
      <c r="ML166" s="45"/>
      <c r="MQ166" s="47"/>
      <c r="MW166" s="47"/>
      <c r="MX166" s="45"/>
      <c r="NC166" s="47"/>
      <c r="ND166" s="45"/>
      <c r="NI166" s="47"/>
      <c r="NJ166" s="45"/>
      <c r="NO166" s="47"/>
      <c r="NP166" s="45"/>
      <c r="NU166" s="47"/>
      <c r="NV166" s="45"/>
      <c r="OA166" s="47"/>
      <c r="OB166" s="45"/>
      <c r="OE166" s="47"/>
      <c r="OF166" s="45"/>
      <c r="OK166" s="47"/>
      <c r="OL166" s="45"/>
      <c r="OQ166" s="47"/>
      <c r="OR166" s="45"/>
      <c r="OW166" s="47"/>
      <c r="PC166" s="47"/>
      <c r="PD166" s="45"/>
      <c r="PI166" s="47"/>
      <c r="PJ166" s="45"/>
      <c r="PO166" s="47"/>
      <c r="PP166" s="43"/>
      <c r="PU166" s="47"/>
      <c r="PV166" s="45"/>
      <c r="PZ166" s="42"/>
      <c r="QA166" s="47"/>
      <c r="QB166" s="45"/>
      <c r="QE166" s="47"/>
      <c r="QF166" s="45"/>
      <c r="QK166" s="47"/>
      <c r="QL166" s="45"/>
      <c r="QQ166" s="47"/>
      <c r="QR166" s="45"/>
      <c r="QW166" s="47"/>
      <c r="QX166" s="45"/>
      <c r="RB166" s="42"/>
      <c r="RC166" s="47"/>
      <c r="RD166" s="45"/>
      <c r="RF166" s="42"/>
      <c r="RG166" s="47"/>
    </row>
    <row r="167" spans="1:475" x14ac:dyDescent="0.25">
      <c r="A167" s="40" t="s">
        <v>456</v>
      </c>
      <c r="B167" s="41">
        <v>0.4</v>
      </c>
      <c r="K167">
        <v>30</v>
      </c>
      <c r="N167" s="43"/>
      <c r="O167" s="48"/>
      <c r="P167" s="48"/>
      <c r="Q167" s="48"/>
      <c r="R167" s="48">
        <f t="shared" si="17"/>
        <v>0</v>
      </c>
      <c r="S167" s="44"/>
      <c r="T167" s="43"/>
      <c r="U167" s="48"/>
      <c r="V167" s="48"/>
      <c r="W167" s="49">
        <v>50</v>
      </c>
      <c r="X167" s="53">
        <f t="shared" si="18"/>
        <v>-50</v>
      </c>
      <c r="Y167" s="44">
        <f>-1*X167*B167</f>
        <v>20</v>
      </c>
      <c r="Z167" s="43"/>
      <c r="AA167" s="48"/>
      <c r="AB167" s="48"/>
      <c r="AC167" s="48"/>
      <c r="AD167" s="48">
        <f t="shared" si="19"/>
        <v>0</v>
      </c>
      <c r="AE167" s="44"/>
      <c r="AF167" s="43"/>
      <c r="AG167" s="48"/>
      <c r="AH167" s="48"/>
      <c r="AI167" s="49">
        <v>122</v>
      </c>
      <c r="AJ167" s="53">
        <f t="shared" si="20"/>
        <v>-122</v>
      </c>
      <c r="AK167" s="44">
        <f>-1*AJ167*B167</f>
        <v>48.800000000000004</v>
      </c>
      <c r="AL167" s="48"/>
      <c r="AN167">
        <v>48</v>
      </c>
      <c r="AO167">
        <v>50</v>
      </c>
      <c r="AP167" s="42">
        <v>-2</v>
      </c>
      <c r="AQ167" s="44"/>
      <c r="AR167" s="43"/>
      <c r="AV167" s="42">
        <v>0</v>
      </c>
      <c r="AW167" s="44"/>
      <c r="BC167" s="42">
        <v>0</v>
      </c>
      <c r="BD167" s="44"/>
      <c r="BE167" s="46">
        <v>32</v>
      </c>
      <c r="BF167">
        <v>32</v>
      </c>
      <c r="BG167">
        <v>64</v>
      </c>
      <c r="BH167">
        <v>68</v>
      </c>
      <c r="BI167" s="42">
        <v>-4</v>
      </c>
      <c r="BJ167" s="44"/>
      <c r="BN167">
        <v>12</v>
      </c>
      <c r="BO167" s="39">
        <v>-12</v>
      </c>
      <c r="BP167" s="44">
        <v>4.8000000000000007</v>
      </c>
      <c r="BS167" s="42">
        <v>0</v>
      </c>
      <c r="BT167" s="44"/>
      <c r="BU167" s="43"/>
      <c r="BV167">
        <v>19</v>
      </c>
      <c r="BW167">
        <v>96</v>
      </c>
      <c r="BX167">
        <v>100</v>
      </c>
      <c r="BY167" s="39">
        <v>-23</v>
      </c>
      <c r="BZ167" s="44">
        <v>9.2000000000000011</v>
      </c>
      <c r="CC167">
        <v>56</v>
      </c>
      <c r="CD167">
        <v>58</v>
      </c>
      <c r="CE167" s="42">
        <v>-2</v>
      </c>
      <c r="CF167" s="44"/>
      <c r="CG167" s="43"/>
      <c r="CI167">
        <v>32</v>
      </c>
      <c r="CJ167">
        <v>30</v>
      </c>
      <c r="CK167" s="42">
        <v>2</v>
      </c>
      <c r="CL167" s="44"/>
      <c r="CM167" s="43"/>
      <c r="CO167">
        <v>48</v>
      </c>
      <c r="CP167">
        <v>47</v>
      </c>
      <c r="CQ167" s="42">
        <v>1</v>
      </c>
      <c r="CR167" s="44"/>
      <c r="CW167" s="42">
        <v>0</v>
      </c>
      <c r="CX167" s="44"/>
      <c r="CY167" s="43"/>
      <c r="DA167">
        <v>128</v>
      </c>
      <c r="DB167">
        <v>130</v>
      </c>
      <c r="DC167" s="42">
        <v>-2</v>
      </c>
      <c r="DD167" s="44"/>
      <c r="DE167" s="43"/>
      <c r="DI167">
        <v>80</v>
      </c>
      <c r="DJ167">
        <v>85</v>
      </c>
      <c r="DK167" s="42">
        <v>-5</v>
      </c>
      <c r="DL167" s="44"/>
      <c r="DM167" s="43"/>
      <c r="DQ167" s="42">
        <v>0</v>
      </c>
      <c r="DR167" s="44"/>
      <c r="DU167">
        <v>120</v>
      </c>
      <c r="DV167">
        <v>120</v>
      </c>
      <c r="DY167" s="42">
        <v>0</v>
      </c>
      <c r="DZ167" s="44"/>
      <c r="EA167" s="43"/>
      <c r="EE167" s="42">
        <v>0</v>
      </c>
      <c r="EF167" s="44"/>
      <c r="EG167" s="43"/>
      <c r="EK167" s="42">
        <v>0</v>
      </c>
      <c r="EL167" s="44"/>
      <c r="EM167" s="46">
        <v>40</v>
      </c>
      <c r="EN167">
        <v>40</v>
      </c>
      <c r="EO167">
        <v>48</v>
      </c>
      <c r="EP167">
        <v>48</v>
      </c>
      <c r="EQ167" s="42">
        <v>0</v>
      </c>
      <c r="ER167" s="44"/>
      <c r="EW167">
        <v>32</v>
      </c>
      <c r="EX167">
        <v>32</v>
      </c>
      <c r="EY167" s="42">
        <v>0</v>
      </c>
      <c r="EZ167" s="44"/>
      <c r="FE167" s="42">
        <v>0</v>
      </c>
      <c r="FF167" s="44"/>
      <c r="FG167" s="43"/>
      <c r="FI167">
        <v>88</v>
      </c>
      <c r="FJ167">
        <v>86</v>
      </c>
      <c r="FK167" s="42">
        <v>2</v>
      </c>
      <c r="FL167" s="44"/>
      <c r="FM167" s="43"/>
      <c r="FO167" s="42">
        <v>0</v>
      </c>
      <c r="FP167" s="44"/>
      <c r="FS167">
        <v>16</v>
      </c>
      <c r="FT167">
        <v>16</v>
      </c>
      <c r="FU167" s="42">
        <v>0</v>
      </c>
      <c r="FV167" s="44"/>
      <c r="FW167" s="43"/>
      <c r="GA167">
        <v>8</v>
      </c>
      <c r="GB167">
        <v>7</v>
      </c>
      <c r="GC167" s="42">
        <v>1</v>
      </c>
      <c r="GD167" s="44"/>
      <c r="GG167">
        <v>80</v>
      </c>
      <c r="GH167">
        <v>80</v>
      </c>
      <c r="GI167" s="42">
        <v>0</v>
      </c>
      <c r="GJ167" s="44"/>
      <c r="GK167" s="43"/>
      <c r="GO167" s="42">
        <v>0</v>
      </c>
      <c r="GP167" s="47"/>
      <c r="GS167">
        <v>16</v>
      </c>
      <c r="GT167">
        <v>16</v>
      </c>
      <c r="GU167" s="42">
        <v>0</v>
      </c>
      <c r="GV167" s="44"/>
      <c r="GW167">
        <v>64</v>
      </c>
      <c r="GX167" s="40">
        <v>64</v>
      </c>
      <c r="GY167" s="42">
        <v>0</v>
      </c>
      <c r="GZ167" s="47"/>
      <c r="HA167" s="43"/>
      <c r="HC167" s="42">
        <v>0</v>
      </c>
      <c r="HD167" s="44"/>
      <c r="HE167" s="43"/>
      <c r="HI167" s="42">
        <v>0</v>
      </c>
      <c r="HJ167" s="47"/>
      <c r="HK167" s="43"/>
      <c r="HM167">
        <v>56</v>
      </c>
      <c r="HN167">
        <v>60</v>
      </c>
      <c r="HO167" s="42">
        <v>-4</v>
      </c>
      <c r="HP167" s="44"/>
      <c r="HT167">
        <v>48</v>
      </c>
      <c r="HU167" s="42">
        <v>50</v>
      </c>
      <c r="HV167" s="42">
        <v>-2</v>
      </c>
      <c r="HW167" s="44"/>
      <c r="HX167" s="45"/>
      <c r="HZ167" s="42">
        <v>16</v>
      </c>
      <c r="IA167">
        <v>20</v>
      </c>
      <c r="IB167" s="42">
        <v>-4</v>
      </c>
      <c r="IC167" s="44"/>
      <c r="IG167" s="36">
        <v>24</v>
      </c>
      <c r="IH167" s="42">
        <v>0</v>
      </c>
      <c r="II167" s="47"/>
      <c r="IN167" s="42">
        <v>0</v>
      </c>
      <c r="IO167" s="47"/>
      <c r="IU167" s="47"/>
      <c r="JA167" s="44"/>
      <c r="JE167" s="44"/>
      <c r="JK167" s="44"/>
      <c r="JL167" s="45"/>
      <c r="JO167" s="44"/>
      <c r="JU167" s="44"/>
      <c r="KA167" s="47"/>
      <c r="KG167" s="44"/>
      <c r="KH167" s="41"/>
      <c r="KM167" s="47"/>
      <c r="KN167" s="45"/>
      <c r="KU167" s="47"/>
      <c r="LA167" s="47"/>
      <c r="LG167" s="47"/>
      <c r="LH167" s="45"/>
      <c r="LK167" s="47"/>
      <c r="LL167" s="45"/>
      <c r="LQ167" s="47"/>
      <c r="LR167" s="45"/>
      <c r="LW167" s="47"/>
      <c r="LX167" s="45"/>
      <c r="MA167" s="47"/>
      <c r="MB167" s="45"/>
      <c r="MG167" s="47"/>
      <c r="MH167" s="45"/>
      <c r="MK167" s="47"/>
      <c r="ML167" s="45"/>
      <c r="MQ167" s="47"/>
      <c r="MW167" s="47"/>
      <c r="MX167" s="45"/>
      <c r="NC167" s="47"/>
      <c r="ND167" s="45"/>
      <c r="NI167" s="47"/>
      <c r="NJ167" s="45"/>
      <c r="NO167" s="47"/>
      <c r="NP167" s="45"/>
      <c r="NU167" s="47"/>
      <c r="NV167" s="45"/>
      <c r="OA167" s="47"/>
      <c r="OB167" s="45"/>
      <c r="OE167" s="47"/>
      <c r="OF167" s="45"/>
      <c r="OK167" s="47"/>
      <c r="OL167" s="45"/>
      <c r="OQ167" s="47"/>
      <c r="OR167" s="45"/>
      <c r="OW167" s="47"/>
      <c r="PC167" s="47"/>
      <c r="PD167" s="45"/>
      <c r="PI167" s="47"/>
      <c r="PJ167" s="45"/>
      <c r="PO167" s="47"/>
      <c r="PP167" s="43"/>
      <c r="PU167" s="47"/>
      <c r="PV167" s="45"/>
      <c r="PZ167" s="42"/>
      <c r="QA167" s="47"/>
      <c r="QB167" s="45"/>
      <c r="QE167" s="47"/>
      <c r="QF167" s="45"/>
      <c r="QK167" s="47"/>
      <c r="QL167" s="45"/>
      <c r="QQ167" s="47"/>
      <c r="QR167" s="45"/>
      <c r="QW167" s="47"/>
      <c r="QX167" s="45"/>
      <c r="RB167" s="42"/>
      <c r="RC167" s="47"/>
      <c r="RD167" s="45"/>
      <c r="RF167" s="42"/>
      <c r="RG167" s="47"/>
    </row>
    <row r="168" spans="1:475" x14ac:dyDescent="0.25">
      <c r="A168" s="40" t="s">
        <v>457</v>
      </c>
      <c r="B168" s="41">
        <v>1</v>
      </c>
      <c r="E168">
        <v>30</v>
      </c>
      <c r="F168">
        <v>30</v>
      </c>
      <c r="J168">
        <v>50</v>
      </c>
      <c r="K168">
        <v>50</v>
      </c>
      <c r="N168" s="43"/>
      <c r="O168" s="48"/>
      <c r="P168" s="48"/>
      <c r="Q168" s="48"/>
      <c r="R168" s="48">
        <f t="shared" si="17"/>
        <v>0</v>
      </c>
      <c r="S168" s="44"/>
      <c r="T168" s="46">
        <v>41</v>
      </c>
      <c r="U168" s="49">
        <v>40</v>
      </c>
      <c r="V168" s="49">
        <v>61</v>
      </c>
      <c r="W168" s="49">
        <v>60</v>
      </c>
      <c r="X168" s="48">
        <f t="shared" si="18"/>
        <v>2</v>
      </c>
      <c r="Y168" s="44"/>
      <c r="Z168" s="43"/>
      <c r="AA168" s="48"/>
      <c r="AB168" s="49">
        <v>152</v>
      </c>
      <c r="AC168" s="49">
        <v>150</v>
      </c>
      <c r="AD168" s="48">
        <f t="shared" si="19"/>
        <v>2</v>
      </c>
      <c r="AE168" s="44"/>
      <c r="AF168" s="46">
        <v>15</v>
      </c>
      <c r="AG168" s="49">
        <v>13</v>
      </c>
      <c r="AH168" s="48"/>
      <c r="AI168" s="48"/>
      <c r="AJ168" s="48">
        <f t="shared" si="20"/>
        <v>2</v>
      </c>
      <c r="AK168" s="44"/>
      <c r="AL168" s="49">
        <v>51</v>
      </c>
      <c r="AM168">
        <v>50</v>
      </c>
      <c r="AN168">
        <v>51</v>
      </c>
      <c r="AO168">
        <v>50</v>
      </c>
      <c r="AP168" s="42">
        <v>2</v>
      </c>
      <c r="AQ168" s="44"/>
      <c r="AR168" s="43"/>
      <c r="AV168" s="42">
        <v>0</v>
      </c>
      <c r="AW168" s="44"/>
      <c r="AZ168">
        <v>50</v>
      </c>
      <c r="BA168">
        <v>153</v>
      </c>
      <c r="BB168">
        <v>150</v>
      </c>
      <c r="BC168" s="39">
        <v>-47</v>
      </c>
      <c r="BD168" s="44">
        <v>47</v>
      </c>
      <c r="BE168" s="46">
        <v>25</v>
      </c>
      <c r="BF168">
        <v>24</v>
      </c>
      <c r="BI168" s="42">
        <v>1</v>
      </c>
      <c r="BJ168" s="44"/>
      <c r="BM168">
        <v>51</v>
      </c>
      <c r="BN168">
        <v>50</v>
      </c>
      <c r="BO168" s="42">
        <v>1</v>
      </c>
      <c r="BP168" s="44"/>
      <c r="BS168" s="42">
        <v>0</v>
      </c>
      <c r="BT168" s="44"/>
      <c r="BU168" s="43"/>
      <c r="BW168">
        <v>153</v>
      </c>
      <c r="BX168">
        <v>150</v>
      </c>
      <c r="BY168" s="42">
        <v>3</v>
      </c>
      <c r="BZ168" s="44"/>
      <c r="CE168" s="42">
        <v>0</v>
      </c>
      <c r="CF168" s="44"/>
      <c r="CG168" s="43"/>
      <c r="CI168">
        <v>50</v>
      </c>
      <c r="CJ168">
        <v>50</v>
      </c>
      <c r="CK168" s="42">
        <v>0</v>
      </c>
      <c r="CL168" s="44"/>
      <c r="CM168" s="43"/>
      <c r="CO168">
        <v>87</v>
      </c>
      <c r="CP168">
        <v>87</v>
      </c>
      <c r="CQ168" s="42">
        <v>0</v>
      </c>
      <c r="CR168" s="44"/>
      <c r="CW168" s="42">
        <v>0</v>
      </c>
      <c r="CX168" s="44"/>
      <c r="CY168" s="43"/>
      <c r="DA168">
        <v>51</v>
      </c>
      <c r="DB168">
        <v>50</v>
      </c>
      <c r="DC168" s="42">
        <v>1</v>
      </c>
      <c r="DD168" s="44"/>
      <c r="DE168" s="43"/>
      <c r="DI168">
        <v>87</v>
      </c>
      <c r="DJ168">
        <v>84</v>
      </c>
      <c r="DK168" s="42">
        <v>3</v>
      </c>
      <c r="DL168" s="44"/>
      <c r="DM168" s="43"/>
      <c r="DO168">
        <v>30</v>
      </c>
      <c r="DP168">
        <v>30</v>
      </c>
      <c r="DQ168" s="42">
        <v>0</v>
      </c>
      <c r="DR168" s="44"/>
      <c r="DU168">
        <v>102</v>
      </c>
      <c r="DV168">
        <v>100</v>
      </c>
      <c r="DY168" s="42">
        <v>2</v>
      </c>
      <c r="DZ168" s="44"/>
      <c r="EA168" s="43"/>
      <c r="EE168" s="42">
        <v>0</v>
      </c>
      <c r="EF168" s="44"/>
      <c r="EG168" s="43"/>
      <c r="EK168" s="42">
        <v>0</v>
      </c>
      <c r="EL168" s="44"/>
      <c r="EM168" s="46">
        <v>41</v>
      </c>
      <c r="EN168">
        <v>40</v>
      </c>
      <c r="EO168">
        <v>40</v>
      </c>
      <c r="EP168">
        <v>40</v>
      </c>
      <c r="EQ168" s="42">
        <v>1</v>
      </c>
      <c r="ER168" s="44"/>
      <c r="EW168">
        <v>20</v>
      </c>
      <c r="EX168">
        <v>20</v>
      </c>
      <c r="EY168" s="42">
        <v>0</v>
      </c>
      <c r="EZ168" s="44"/>
      <c r="FE168" s="42">
        <v>0</v>
      </c>
      <c r="FF168" s="44"/>
      <c r="FG168" s="43"/>
      <c r="FI168">
        <v>71</v>
      </c>
      <c r="FJ168">
        <v>68</v>
      </c>
      <c r="FK168" s="42">
        <v>3</v>
      </c>
      <c r="FL168" s="44"/>
      <c r="FM168" s="43"/>
      <c r="FO168" s="42">
        <v>0</v>
      </c>
      <c r="FP168" s="44"/>
      <c r="FS168">
        <v>20</v>
      </c>
      <c r="FT168">
        <v>20</v>
      </c>
      <c r="FU168" s="42">
        <v>0</v>
      </c>
      <c r="FV168" s="44"/>
      <c r="FW168" s="43"/>
      <c r="GA168">
        <v>46</v>
      </c>
      <c r="GB168">
        <v>44</v>
      </c>
      <c r="GC168" s="42">
        <v>2</v>
      </c>
      <c r="GD168" s="44"/>
      <c r="GG168">
        <v>20</v>
      </c>
      <c r="GH168">
        <v>20</v>
      </c>
      <c r="GI168" s="42">
        <v>0</v>
      </c>
      <c r="GJ168" s="44"/>
      <c r="GK168" s="43"/>
      <c r="GO168" s="42">
        <v>0</v>
      </c>
      <c r="GP168" s="47"/>
      <c r="GS168">
        <v>72</v>
      </c>
      <c r="GT168">
        <v>70</v>
      </c>
      <c r="GU168" s="42">
        <v>2</v>
      </c>
      <c r="GV168" s="44"/>
      <c r="GW168">
        <v>20</v>
      </c>
      <c r="GX168" s="40">
        <v>20</v>
      </c>
      <c r="GY168" s="42">
        <v>0</v>
      </c>
      <c r="GZ168" s="47"/>
      <c r="HA168" s="43"/>
      <c r="HC168" s="42">
        <v>0</v>
      </c>
      <c r="HD168" s="44"/>
      <c r="HE168" s="43"/>
      <c r="HG168">
        <v>50</v>
      </c>
      <c r="HH168" s="42">
        <v>50</v>
      </c>
      <c r="HI168" s="42">
        <v>0</v>
      </c>
      <c r="HJ168" s="47"/>
      <c r="HK168" s="43"/>
      <c r="HO168" s="42">
        <v>0</v>
      </c>
      <c r="HP168" s="44"/>
      <c r="HV168" s="42">
        <v>0</v>
      </c>
      <c r="HW168" s="44"/>
      <c r="HX168" s="45"/>
      <c r="IC168" s="44"/>
      <c r="II168" s="47"/>
      <c r="IO168" s="47"/>
      <c r="IU168" s="47"/>
      <c r="JA168" s="44"/>
      <c r="JE168" s="44"/>
      <c r="JK168" s="44"/>
      <c r="JL168" s="45"/>
      <c r="JO168" s="44"/>
      <c r="JU168" s="44"/>
      <c r="KA168" s="47"/>
      <c r="KG168" s="44"/>
      <c r="KH168" s="41"/>
      <c r="KM168" s="47"/>
      <c r="KN168" s="45"/>
      <c r="KU168" s="47"/>
      <c r="LA168" s="47"/>
      <c r="LG168" s="47"/>
      <c r="LH168" s="45"/>
      <c r="LK168" s="47"/>
      <c r="LL168" s="45"/>
      <c r="LQ168" s="47"/>
      <c r="LR168" s="45"/>
      <c r="LW168" s="47"/>
      <c r="LX168" s="45"/>
      <c r="MA168" s="47"/>
      <c r="MB168" s="45"/>
      <c r="MG168" s="47"/>
      <c r="MH168" s="45"/>
      <c r="MK168" s="47"/>
      <c r="ML168" s="45"/>
      <c r="MQ168" s="47"/>
      <c r="MW168" s="47"/>
      <c r="MX168" s="45"/>
      <c r="NC168" s="47"/>
      <c r="ND168" s="45"/>
      <c r="NI168" s="47"/>
      <c r="NJ168" s="45"/>
      <c r="NO168" s="47"/>
      <c r="NP168" s="45"/>
      <c r="NU168" s="47"/>
      <c r="NV168" s="45"/>
      <c r="OA168" s="47"/>
      <c r="OB168" s="45"/>
      <c r="OE168" s="47"/>
      <c r="OF168" s="45"/>
      <c r="OK168" s="47"/>
      <c r="OL168" s="45"/>
      <c r="OQ168" s="47"/>
      <c r="OR168" s="45"/>
      <c r="OW168" s="47"/>
      <c r="PB168" s="42"/>
      <c r="PC168" s="47"/>
      <c r="PD168" s="45"/>
      <c r="PI168" s="47"/>
      <c r="PJ168" s="45"/>
      <c r="PO168" s="47"/>
      <c r="PP168" s="43"/>
      <c r="PU168" s="47"/>
      <c r="PV168" s="45"/>
      <c r="PZ168" s="42"/>
      <c r="QA168" s="47"/>
      <c r="QB168" s="45"/>
      <c r="QE168" s="47"/>
      <c r="QF168" s="45"/>
      <c r="QK168" s="47"/>
      <c r="QL168" s="45"/>
      <c r="QQ168" s="47"/>
      <c r="QR168" s="45"/>
      <c r="QW168" s="47"/>
      <c r="QX168" s="45"/>
      <c r="RB168" s="42"/>
      <c r="RC168" s="47"/>
      <c r="RD168" s="45"/>
      <c r="RF168" s="42"/>
      <c r="RG168" s="47"/>
    </row>
    <row r="169" spans="1:475" x14ac:dyDescent="0.25">
      <c r="A169" s="40" t="s">
        <v>458</v>
      </c>
      <c r="B169" s="41">
        <v>1</v>
      </c>
      <c r="N169" s="43"/>
      <c r="O169" s="48"/>
      <c r="P169" s="48"/>
      <c r="Q169" s="48"/>
      <c r="R169" s="48">
        <f t="shared" si="17"/>
        <v>0</v>
      </c>
      <c r="S169" s="44"/>
      <c r="T169" s="43"/>
      <c r="U169" s="48"/>
      <c r="V169" s="48"/>
      <c r="W169" s="48"/>
      <c r="X169" s="48">
        <f t="shared" si="18"/>
        <v>0</v>
      </c>
      <c r="Y169" s="44"/>
      <c r="Z169" s="43"/>
      <c r="AA169" s="48"/>
      <c r="AB169" s="48"/>
      <c r="AC169" s="48"/>
      <c r="AD169" s="48">
        <f t="shared" si="19"/>
        <v>0</v>
      </c>
      <c r="AE169" s="44"/>
      <c r="AF169" s="43"/>
      <c r="AG169" s="48"/>
      <c r="AH169" s="48"/>
      <c r="AI169" s="48"/>
      <c r="AJ169" s="48">
        <f t="shared" si="20"/>
        <v>0</v>
      </c>
      <c r="AK169" s="44"/>
      <c r="AL169" s="48"/>
      <c r="AP169" s="42">
        <v>0</v>
      </c>
      <c r="AQ169" s="44"/>
      <c r="AR169" s="43"/>
      <c r="AV169" s="42">
        <v>0</v>
      </c>
      <c r="AW169" s="44"/>
      <c r="BC169" s="42">
        <v>0</v>
      </c>
      <c r="BD169" s="44"/>
      <c r="BE169" s="43"/>
      <c r="BI169" s="42">
        <v>0</v>
      </c>
      <c r="BJ169" s="44"/>
      <c r="BO169" s="42">
        <v>0</v>
      </c>
      <c r="BP169" s="44"/>
      <c r="BS169" s="42">
        <v>0</v>
      </c>
      <c r="BT169" s="44"/>
      <c r="BU169" s="43"/>
      <c r="BY169" s="42">
        <v>0</v>
      </c>
      <c r="BZ169" s="44"/>
      <c r="CE169" s="42">
        <v>0</v>
      </c>
      <c r="CF169" s="44"/>
      <c r="CG169" s="43"/>
      <c r="CK169" s="42">
        <v>0</v>
      </c>
      <c r="CL169" s="44"/>
      <c r="CM169" s="43"/>
      <c r="CQ169" s="42">
        <v>0</v>
      </c>
      <c r="CR169" s="44"/>
      <c r="CW169" s="42">
        <v>0</v>
      </c>
      <c r="CX169" s="44"/>
      <c r="CY169" s="43"/>
      <c r="DC169" s="42">
        <v>0</v>
      </c>
      <c r="DD169" s="44"/>
      <c r="DE169" s="43"/>
      <c r="DK169" s="42">
        <v>0</v>
      </c>
      <c r="DL169" s="44"/>
      <c r="DM169" s="43"/>
      <c r="DQ169" s="42">
        <v>0</v>
      </c>
      <c r="DR169" s="44"/>
      <c r="DY169" s="42">
        <v>0</v>
      </c>
      <c r="DZ169" s="44"/>
      <c r="EA169" s="43"/>
      <c r="EE169" s="42">
        <v>0</v>
      </c>
      <c r="EF169" s="44"/>
      <c r="EG169" s="43"/>
      <c r="EK169" s="42">
        <v>0</v>
      </c>
      <c r="EL169" s="44"/>
      <c r="EM169" s="43"/>
      <c r="EQ169" s="42">
        <v>0</v>
      </c>
      <c r="ER169" s="44"/>
      <c r="EY169" s="42">
        <v>0</v>
      </c>
      <c r="EZ169" s="44"/>
      <c r="FE169" s="42">
        <v>0</v>
      </c>
      <c r="FF169" s="44"/>
      <c r="FG169" s="43"/>
      <c r="FK169" s="42">
        <v>0</v>
      </c>
      <c r="FL169" s="44"/>
      <c r="FM169" s="43"/>
      <c r="FO169" s="42">
        <v>0</v>
      </c>
      <c r="FP169" s="44"/>
      <c r="FU169" s="42">
        <v>0</v>
      </c>
      <c r="FV169" s="44"/>
      <c r="FW169" s="43"/>
      <c r="GC169" s="42">
        <v>0</v>
      </c>
      <c r="GD169" s="44"/>
      <c r="GI169" s="42">
        <v>0</v>
      </c>
      <c r="GJ169" s="44"/>
      <c r="GK169" s="43"/>
      <c r="GM169">
        <v>20</v>
      </c>
      <c r="GN169" s="42">
        <v>20</v>
      </c>
      <c r="GO169" s="42">
        <v>0</v>
      </c>
      <c r="GP169" s="47"/>
      <c r="GU169" s="42">
        <v>0</v>
      </c>
      <c r="GV169" s="44"/>
      <c r="GY169" s="42">
        <v>0</v>
      </c>
      <c r="GZ169" s="47"/>
      <c r="HA169" s="43"/>
      <c r="HC169" s="42">
        <v>0</v>
      </c>
      <c r="HD169" s="44"/>
      <c r="HE169" s="43"/>
      <c r="HI169" s="42">
        <v>0</v>
      </c>
      <c r="HJ169" s="47"/>
      <c r="HK169" s="43"/>
      <c r="HO169" s="42">
        <v>0</v>
      </c>
      <c r="HP169" s="44"/>
      <c r="HW169" s="44"/>
      <c r="HX169" s="45"/>
      <c r="IC169" s="44"/>
      <c r="II169" s="47"/>
      <c r="IO169" s="47"/>
      <c r="IU169" s="47"/>
      <c r="JA169" s="44"/>
      <c r="JE169" s="44"/>
      <c r="JK169" s="44"/>
      <c r="JL169" s="45"/>
      <c r="JO169" s="44"/>
      <c r="JU169" s="44"/>
      <c r="KA169" s="47"/>
      <c r="KG169" s="44"/>
      <c r="KH169" s="41"/>
      <c r="KM169" s="47"/>
      <c r="KN169" s="45"/>
      <c r="KU169" s="47"/>
      <c r="LA169" s="47"/>
      <c r="LG169" s="47"/>
      <c r="LH169" s="45"/>
      <c r="LK169" s="47"/>
      <c r="LL169" s="45"/>
      <c r="LQ169" s="47"/>
      <c r="LR169" s="45"/>
      <c r="LW169" s="47"/>
      <c r="LX169" s="45"/>
      <c r="MA169" s="47"/>
      <c r="MB169" s="45"/>
      <c r="MG169" s="47"/>
      <c r="MH169" s="45"/>
      <c r="MK169" s="47"/>
      <c r="ML169" s="45"/>
      <c r="MQ169" s="47"/>
      <c r="MW169" s="47"/>
      <c r="MX169" s="45"/>
      <c r="NC169" s="47"/>
      <c r="ND169" s="45"/>
      <c r="NI169" s="47"/>
      <c r="NJ169" s="45"/>
      <c r="NO169" s="47"/>
      <c r="NP169" s="45"/>
      <c r="NU169" s="47"/>
      <c r="NV169" s="45"/>
      <c r="OA169" s="47"/>
      <c r="OB169" s="45"/>
      <c r="OE169" s="47"/>
      <c r="OF169" s="45"/>
      <c r="OK169" s="47"/>
      <c r="OL169" s="45"/>
      <c r="OQ169" s="47"/>
      <c r="OR169" s="45"/>
      <c r="OW169" s="47"/>
      <c r="PB169" s="42"/>
      <c r="PC169" s="47"/>
      <c r="PD169" s="45"/>
      <c r="PI169" s="47"/>
      <c r="PJ169" s="45"/>
      <c r="PO169" s="47"/>
      <c r="PP169" s="43"/>
      <c r="PU169" s="47"/>
      <c r="PV169" s="45"/>
      <c r="PZ169" s="42"/>
      <c r="QA169" s="47"/>
      <c r="QB169" s="45"/>
      <c r="QE169" s="47"/>
      <c r="QF169" s="45"/>
      <c r="QK169" s="47"/>
      <c r="QL169" s="45"/>
      <c r="QQ169" s="47"/>
      <c r="QR169" s="45"/>
      <c r="QW169" s="47"/>
      <c r="QX169" s="45"/>
      <c r="RB169" s="42"/>
      <c r="RC169" s="47"/>
      <c r="RD169" s="45"/>
      <c r="RF169" s="42"/>
      <c r="RG169" s="47"/>
    </row>
    <row r="170" spans="1:475" x14ac:dyDescent="0.25">
      <c r="A170" s="40" t="s">
        <v>459</v>
      </c>
      <c r="B170" s="41">
        <v>0.84</v>
      </c>
      <c r="N170" s="43"/>
      <c r="O170" s="48"/>
      <c r="P170" s="48"/>
      <c r="Q170" s="48"/>
      <c r="R170" s="48">
        <f t="shared" si="17"/>
        <v>0</v>
      </c>
      <c r="S170" s="44"/>
      <c r="T170" s="43"/>
      <c r="U170" s="48"/>
      <c r="V170" s="48"/>
      <c r="W170" s="48"/>
      <c r="X170" s="48">
        <f t="shared" si="18"/>
        <v>0</v>
      </c>
      <c r="Y170" s="44"/>
      <c r="Z170" s="43"/>
      <c r="AA170" s="48"/>
      <c r="AB170" s="48"/>
      <c r="AC170" s="48"/>
      <c r="AD170" s="48">
        <f t="shared" si="19"/>
        <v>0</v>
      </c>
      <c r="AE170" s="44"/>
      <c r="AF170" s="43"/>
      <c r="AG170" s="48"/>
      <c r="AH170" s="48"/>
      <c r="AI170" s="48"/>
      <c r="AJ170" s="48">
        <f t="shared" si="20"/>
        <v>0</v>
      </c>
      <c r="AK170" s="44"/>
      <c r="AL170" s="48"/>
      <c r="AP170" s="42">
        <v>0</v>
      </c>
      <c r="AQ170" s="44"/>
      <c r="AR170" s="43"/>
      <c r="AV170" s="42">
        <v>0</v>
      </c>
      <c r="AW170" s="44"/>
      <c r="BC170" s="42">
        <v>0</v>
      </c>
      <c r="BD170" s="44"/>
      <c r="BE170" s="43"/>
      <c r="BI170" s="42">
        <v>0</v>
      </c>
      <c r="BJ170" s="44"/>
      <c r="BO170" s="42">
        <v>0</v>
      </c>
      <c r="BP170" s="44"/>
      <c r="BS170" s="42">
        <v>0</v>
      </c>
      <c r="BT170" s="44"/>
      <c r="BU170" s="43"/>
      <c r="BY170" s="42">
        <v>0</v>
      </c>
      <c r="BZ170" s="44"/>
      <c r="CE170" s="42">
        <v>0</v>
      </c>
      <c r="CF170" s="44"/>
      <c r="CG170" s="43"/>
      <c r="CK170" s="42">
        <v>0</v>
      </c>
      <c r="CL170" s="44"/>
      <c r="CM170" s="43"/>
      <c r="CQ170" s="42">
        <v>0</v>
      </c>
      <c r="CR170" s="44"/>
      <c r="CW170" s="42">
        <v>0</v>
      </c>
      <c r="CX170" s="44"/>
      <c r="CY170" s="43"/>
      <c r="DC170" s="42">
        <v>0</v>
      </c>
      <c r="DD170" s="44"/>
      <c r="DE170" s="43"/>
      <c r="DK170" s="42">
        <v>0</v>
      </c>
      <c r="DL170" s="44"/>
      <c r="DM170" s="43"/>
      <c r="DQ170" s="42">
        <v>0</v>
      </c>
      <c r="DR170" s="44"/>
      <c r="DY170" s="42">
        <v>0</v>
      </c>
      <c r="DZ170" s="44"/>
      <c r="EA170" s="43"/>
      <c r="EE170" s="42">
        <v>0</v>
      </c>
      <c r="EF170" s="44"/>
      <c r="EG170" s="43"/>
      <c r="EK170" s="42">
        <v>0</v>
      </c>
      <c r="EL170" s="44"/>
      <c r="EM170" s="43"/>
      <c r="EQ170" s="42">
        <v>0</v>
      </c>
      <c r="ER170" s="44"/>
      <c r="EY170" s="42">
        <v>0</v>
      </c>
      <c r="EZ170" s="44"/>
      <c r="FE170" s="42">
        <v>0</v>
      </c>
      <c r="FF170" s="44"/>
      <c r="FG170" s="43"/>
      <c r="FK170" s="42">
        <v>0</v>
      </c>
      <c r="FL170" s="44"/>
      <c r="FM170" s="43"/>
      <c r="FO170" s="42">
        <v>0</v>
      </c>
      <c r="FP170" s="44"/>
      <c r="FU170" s="42">
        <v>0</v>
      </c>
      <c r="FV170" s="44"/>
      <c r="FW170" s="43"/>
      <c r="GC170" s="42">
        <v>0</v>
      </c>
      <c r="GD170" s="44"/>
      <c r="GI170" s="42">
        <v>0</v>
      </c>
      <c r="GJ170" s="44"/>
      <c r="GK170" s="43"/>
      <c r="GN170">
        <v>13</v>
      </c>
      <c r="GO170" s="39">
        <v>-13</v>
      </c>
      <c r="GP170" s="44">
        <v>10.92</v>
      </c>
      <c r="GT170" s="42">
        <v>7</v>
      </c>
      <c r="GU170" s="39">
        <v>-7</v>
      </c>
      <c r="GV170" s="44">
        <v>5.88</v>
      </c>
      <c r="GY170" s="42">
        <v>0</v>
      </c>
      <c r="GZ170" s="47"/>
      <c r="HA170" s="43"/>
      <c r="HC170" s="42">
        <v>0</v>
      </c>
      <c r="HD170" s="44"/>
      <c r="HE170" s="43"/>
      <c r="HG170">
        <v>12</v>
      </c>
      <c r="HH170" s="42">
        <v>12</v>
      </c>
      <c r="HI170" s="42">
        <v>0</v>
      </c>
      <c r="HJ170" s="47"/>
      <c r="HK170" s="43"/>
      <c r="HO170" s="42">
        <v>0</v>
      </c>
      <c r="HP170" s="44"/>
      <c r="HV170" s="42">
        <v>0</v>
      </c>
      <c r="HW170" s="44"/>
      <c r="HX170" s="45"/>
      <c r="IC170" s="44"/>
      <c r="II170" s="47"/>
      <c r="IO170" s="47"/>
      <c r="IU170" s="47"/>
      <c r="JA170" s="44"/>
      <c r="JE170" s="44"/>
      <c r="JK170" s="44"/>
      <c r="JL170" s="45"/>
      <c r="JO170" s="44"/>
      <c r="JU170" s="44"/>
      <c r="KA170" s="47"/>
      <c r="KG170" s="44"/>
      <c r="KH170" s="41"/>
      <c r="KM170" s="47"/>
      <c r="KN170" s="45"/>
      <c r="KU170" s="47"/>
      <c r="LA170" s="47"/>
      <c r="LG170" s="47"/>
      <c r="LH170" s="45"/>
      <c r="LK170" s="47"/>
      <c r="LL170" s="45"/>
      <c r="LQ170" s="47"/>
      <c r="LR170" s="45"/>
      <c r="LW170" s="47"/>
      <c r="LX170" s="45"/>
      <c r="MA170" s="47"/>
      <c r="MB170" s="45"/>
      <c r="MG170" s="47"/>
      <c r="MH170" s="45"/>
      <c r="MK170" s="47"/>
      <c r="ML170" s="45"/>
      <c r="MQ170" s="47"/>
      <c r="MW170" s="47"/>
      <c r="MX170" s="45"/>
      <c r="NC170" s="47"/>
      <c r="ND170" s="45"/>
      <c r="NI170" s="47"/>
      <c r="NJ170" s="45"/>
      <c r="NO170" s="47"/>
      <c r="NP170" s="45"/>
      <c r="NU170" s="47"/>
      <c r="NV170" s="45"/>
      <c r="OA170" s="47"/>
      <c r="OB170" s="45"/>
      <c r="OE170" s="47"/>
      <c r="OF170" s="45"/>
      <c r="OK170" s="47"/>
      <c r="OL170" s="45"/>
      <c r="OQ170" s="47"/>
      <c r="OR170" s="45"/>
      <c r="OW170" s="47"/>
      <c r="PB170" s="42"/>
      <c r="PC170" s="47"/>
      <c r="PD170" s="45"/>
      <c r="PI170" s="47"/>
      <c r="PJ170" s="45"/>
      <c r="PO170" s="47"/>
      <c r="PP170" s="43"/>
      <c r="PU170" s="47"/>
      <c r="PV170" s="45"/>
      <c r="PZ170" s="42"/>
      <c r="QA170" s="47"/>
      <c r="QB170" s="45"/>
      <c r="QE170" s="47"/>
      <c r="QF170" s="45"/>
      <c r="QK170" s="47"/>
      <c r="QL170" s="45"/>
      <c r="QQ170" s="47"/>
      <c r="QR170" s="45"/>
      <c r="QW170" s="47"/>
      <c r="QX170" s="45"/>
      <c r="RB170" s="42"/>
      <c r="RC170" s="47"/>
      <c r="RD170" s="45"/>
      <c r="RF170" s="42"/>
      <c r="RG170" s="47"/>
    </row>
    <row r="171" spans="1:475" x14ac:dyDescent="0.25">
      <c r="A171" s="40" t="s">
        <v>460</v>
      </c>
      <c r="B171" s="41">
        <v>0.84</v>
      </c>
      <c r="N171" s="43"/>
      <c r="O171" s="48"/>
      <c r="P171" s="48"/>
      <c r="Q171" s="48"/>
      <c r="R171" s="48">
        <f t="shared" si="17"/>
        <v>0</v>
      </c>
      <c r="S171" s="44"/>
      <c r="T171" s="43"/>
      <c r="U171" s="48"/>
      <c r="V171" s="48"/>
      <c r="W171" s="48"/>
      <c r="X171" s="48">
        <f t="shared" si="18"/>
        <v>0</v>
      </c>
      <c r="Y171" s="44"/>
      <c r="Z171" s="43"/>
      <c r="AA171" s="48"/>
      <c r="AB171" s="48"/>
      <c r="AC171" s="48"/>
      <c r="AD171" s="48">
        <f t="shared" si="19"/>
        <v>0</v>
      </c>
      <c r="AE171" s="44"/>
      <c r="AF171" s="43"/>
      <c r="AG171" s="48"/>
      <c r="AH171" s="48"/>
      <c r="AI171" s="48"/>
      <c r="AJ171" s="48">
        <f t="shared" si="20"/>
        <v>0</v>
      </c>
      <c r="AK171" s="44"/>
      <c r="AL171" s="48"/>
      <c r="AP171" s="42">
        <v>0</v>
      </c>
      <c r="AQ171" s="44"/>
      <c r="AR171" s="43"/>
      <c r="AV171" s="42">
        <v>0</v>
      </c>
      <c r="AW171" s="44"/>
      <c r="BC171" s="42">
        <v>0</v>
      </c>
      <c r="BD171" s="44"/>
      <c r="BE171" s="43"/>
      <c r="BI171" s="42">
        <v>0</v>
      </c>
      <c r="BJ171" s="44"/>
      <c r="BO171" s="42">
        <v>0</v>
      </c>
      <c r="BP171" s="44"/>
      <c r="BS171" s="42">
        <v>0</v>
      </c>
      <c r="BT171" s="44"/>
      <c r="BU171" s="43"/>
      <c r="BY171" s="42">
        <v>0</v>
      </c>
      <c r="BZ171" s="44"/>
      <c r="CE171" s="42">
        <v>0</v>
      </c>
      <c r="CF171" s="44"/>
      <c r="CG171" s="43"/>
      <c r="CK171" s="42">
        <v>0</v>
      </c>
      <c r="CL171" s="44"/>
      <c r="CM171" s="43"/>
      <c r="CQ171" s="42">
        <v>0</v>
      </c>
      <c r="CR171" s="44"/>
      <c r="CW171" s="42">
        <v>0</v>
      </c>
      <c r="CX171" s="44"/>
      <c r="CY171" s="43"/>
      <c r="DC171" s="42">
        <v>0</v>
      </c>
      <c r="DD171" s="44"/>
      <c r="DE171" s="43"/>
      <c r="DK171" s="42">
        <v>0</v>
      </c>
      <c r="DL171" s="44"/>
      <c r="DM171" s="43"/>
      <c r="DQ171" s="42">
        <v>0</v>
      </c>
      <c r="DR171" s="44"/>
      <c r="DY171" s="42">
        <v>0</v>
      </c>
      <c r="DZ171" s="44"/>
      <c r="EA171" s="43"/>
      <c r="EE171" s="42">
        <v>0</v>
      </c>
      <c r="EF171" s="44"/>
      <c r="EG171" s="43"/>
      <c r="EK171" s="42">
        <v>0</v>
      </c>
      <c r="EL171" s="44"/>
      <c r="EM171" s="43"/>
      <c r="EQ171" s="42">
        <v>0</v>
      </c>
      <c r="ER171" s="44"/>
      <c r="EY171" s="42">
        <v>0</v>
      </c>
      <c r="EZ171" s="44"/>
      <c r="FE171" s="42">
        <v>0</v>
      </c>
      <c r="FF171" s="44"/>
      <c r="FG171" s="43"/>
      <c r="FK171" s="42">
        <v>0</v>
      </c>
      <c r="FL171" s="44"/>
      <c r="FM171" s="43"/>
      <c r="FO171" s="42">
        <v>0</v>
      </c>
      <c r="FP171" s="44"/>
      <c r="FU171" s="42">
        <v>0</v>
      </c>
      <c r="FV171" s="44"/>
      <c r="FW171" s="43"/>
      <c r="GC171" s="42">
        <v>0</v>
      </c>
      <c r="GD171" s="44"/>
      <c r="GI171" s="42">
        <v>0</v>
      </c>
      <c r="GJ171" s="44"/>
      <c r="GK171" s="43"/>
      <c r="GN171">
        <v>50</v>
      </c>
      <c r="GO171" s="39">
        <v>-50</v>
      </c>
      <c r="GP171" s="44">
        <v>42</v>
      </c>
      <c r="GU171" s="42">
        <v>0</v>
      </c>
      <c r="GV171" s="44"/>
      <c r="GX171" s="40">
        <v>60</v>
      </c>
      <c r="GY171" s="39">
        <v>-60</v>
      </c>
      <c r="GZ171" s="47">
        <v>50.4</v>
      </c>
      <c r="HA171" s="43"/>
      <c r="HC171" s="42">
        <v>0</v>
      </c>
      <c r="HD171" s="44"/>
      <c r="HE171" s="43"/>
      <c r="HI171" s="42">
        <v>0</v>
      </c>
      <c r="HJ171" s="47"/>
      <c r="HK171" s="43"/>
      <c r="HO171" s="42">
        <v>0</v>
      </c>
      <c r="HP171" s="44"/>
      <c r="HW171" s="44"/>
      <c r="HX171" s="45"/>
      <c r="IC171" s="44"/>
      <c r="II171" s="47"/>
      <c r="IO171" s="47"/>
      <c r="IU171" s="47"/>
      <c r="JA171" s="44"/>
      <c r="JE171" s="44"/>
      <c r="JK171" s="44"/>
      <c r="JL171" s="45"/>
      <c r="JO171" s="44"/>
      <c r="JU171" s="44"/>
      <c r="KA171" s="47"/>
      <c r="KG171" s="44"/>
      <c r="KH171" s="41"/>
      <c r="KM171" s="47"/>
      <c r="KN171" s="45"/>
      <c r="KU171" s="47"/>
      <c r="LA171" s="47"/>
      <c r="LG171" s="47"/>
      <c r="LH171" s="45"/>
      <c r="LK171" s="47"/>
      <c r="LL171" s="45"/>
      <c r="LQ171" s="47"/>
      <c r="LR171" s="45"/>
      <c r="LW171" s="47"/>
      <c r="LX171" s="45"/>
      <c r="MA171" s="47"/>
      <c r="MB171" s="45"/>
      <c r="MG171" s="47"/>
      <c r="MH171" s="45"/>
      <c r="MK171" s="47"/>
      <c r="ML171" s="45"/>
      <c r="MQ171" s="47"/>
      <c r="MW171" s="47"/>
      <c r="MX171" s="45"/>
      <c r="NC171" s="47"/>
      <c r="ND171" s="45"/>
      <c r="NI171" s="47"/>
      <c r="NJ171" s="45"/>
      <c r="NO171" s="47"/>
      <c r="NP171" s="45"/>
      <c r="NU171" s="47"/>
      <c r="NV171" s="45"/>
      <c r="OA171" s="47"/>
      <c r="OB171" s="45"/>
      <c r="OE171" s="47"/>
      <c r="OF171" s="45"/>
      <c r="OK171" s="47"/>
      <c r="OL171" s="45"/>
      <c r="OQ171" s="47"/>
      <c r="OR171" s="45"/>
      <c r="OW171" s="47"/>
      <c r="PB171" s="42"/>
      <c r="PC171" s="47"/>
      <c r="PD171" s="45"/>
      <c r="PI171" s="47"/>
      <c r="PJ171" s="45"/>
      <c r="PO171" s="47"/>
      <c r="PP171" s="43"/>
      <c r="PU171" s="47"/>
      <c r="PV171" s="45"/>
      <c r="PZ171" s="42"/>
      <c r="QA171" s="47"/>
      <c r="QB171" s="45"/>
      <c r="QE171" s="47"/>
      <c r="QF171" s="45"/>
      <c r="QK171" s="47"/>
      <c r="QL171" s="45"/>
      <c r="QQ171" s="47"/>
      <c r="QR171" s="45"/>
      <c r="QW171" s="47"/>
      <c r="QX171" s="45"/>
      <c r="RB171" s="42"/>
      <c r="RC171" s="47"/>
      <c r="RD171" s="45"/>
      <c r="RF171" s="42"/>
      <c r="RG171" s="47"/>
    </row>
    <row r="172" spans="1:475" x14ac:dyDescent="0.25">
      <c r="A172" s="40" t="s">
        <v>461</v>
      </c>
      <c r="B172" s="41">
        <v>0.33</v>
      </c>
      <c r="N172" s="43"/>
      <c r="O172" s="48"/>
      <c r="P172" s="48"/>
      <c r="Q172" s="48"/>
      <c r="R172" s="48">
        <f t="shared" si="17"/>
        <v>0</v>
      </c>
      <c r="S172" s="44"/>
      <c r="T172" s="43"/>
      <c r="U172" s="48"/>
      <c r="V172" s="48"/>
      <c r="W172" s="48"/>
      <c r="X172" s="48">
        <f t="shared" si="18"/>
        <v>0</v>
      </c>
      <c r="Y172" s="44"/>
      <c r="Z172" s="43"/>
      <c r="AA172" s="48"/>
      <c r="AB172" s="48"/>
      <c r="AC172" s="48"/>
      <c r="AD172" s="48">
        <f t="shared" si="19"/>
        <v>0</v>
      </c>
      <c r="AE172" s="44"/>
      <c r="AF172" s="43"/>
      <c r="AG172" s="48"/>
      <c r="AH172" s="48"/>
      <c r="AI172" s="48"/>
      <c r="AJ172" s="48">
        <f t="shared" si="20"/>
        <v>0</v>
      </c>
      <c r="AK172" s="44"/>
      <c r="AL172" s="48"/>
      <c r="AP172" s="42">
        <v>0</v>
      </c>
      <c r="AQ172" s="44"/>
      <c r="AR172" s="43"/>
      <c r="AV172" s="42">
        <v>0</v>
      </c>
      <c r="AW172" s="44"/>
      <c r="BC172" s="42">
        <v>0</v>
      </c>
      <c r="BD172" s="44"/>
      <c r="BE172" s="43"/>
      <c r="BI172" s="42">
        <v>0</v>
      </c>
      <c r="BJ172" s="44"/>
      <c r="BO172" s="42">
        <v>0</v>
      </c>
      <c r="BP172" s="44"/>
      <c r="BS172" s="42">
        <v>0</v>
      </c>
      <c r="BT172" s="44"/>
      <c r="BU172" s="43"/>
      <c r="BY172" s="42">
        <v>0</v>
      </c>
      <c r="BZ172" s="44"/>
      <c r="CE172" s="42">
        <v>0</v>
      </c>
      <c r="CF172" s="44"/>
      <c r="CG172" s="43"/>
      <c r="CK172" s="42">
        <v>0</v>
      </c>
      <c r="CL172" s="44"/>
      <c r="CM172" s="43"/>
      <c r="CQ172" s="42">
        <v>0</v>
      </c>
      <c r="CR172" s="44"/>
      <c r="CW172" s="42">
        <v>0</v>
      </c>
      <c r="CX172" s="44"/>
      <c r="CY172" s="43"/>
      <c r="DA172">
        <v>24</v>
      </c>
      <c r="DB172">
        <v>25</v>
      </c>
      <c r="DC172" s="42">
        <v>-1</v>
      </c>
      <c r="DD172" s="44"/>
      <c r="DE172" s="43"/>
      <c r="DK172" s="42">
        <v>0</v>
      </c>
      <c r="DL172" s="44"/>
      <c r="DM172" s="43"/>
      <c r="DO172">
        <v>8</v>
      </c>
      <c r="DP172">
        <v>8</v>
      </c>
      <c r="DQ172" s="42">
        <v>0</v>
      </c>
      <c r="DR172" s="44"/>
      <c r="DU172">
        <v>16</v>
      </c>
      <c r="DV172">
        <v>16</v>
      </c>
      <c r="DY172" s="42">
        <v>0</v>
      </c>
      <c r="DZ172" s="44"/>
      <c r="EA172" s="43"/>
      <c r="EC172">
        <v>8</v>
      </c>
      <c r="ED172">
        <v>8</v>
      </c>
      <c r="EE172" s="42">
        <v>0</v>
      </c>
      <c r="EF172" s="44"/>
      <c r="EG172" s="43"/>
      <c r="EI172">
        <v>8</v>
      </c>
      <c r="EJ172">
        <v>13</v>
      </c>
      <c r="EK172" s="42">
        <v>-5</v>
      </c>
      <c r="EL172" s="44"/>
      <c r="EM172" s="43"/>
      <c r="EQ172" s="42">
        <v>0</v>
      </c>
      <c r="ER172" s="44"/>
      <c r="EY172" s="42">
        <v>0</v>
      </c>
      <c r="EZ172" s="44"/>
      <c r="FC172">
        <v>16</v>
      </c>
      <c r="FD172">
        <v>16</v>
      </c>
      <c r="FE172" s="42">
        <v>0</v>
      </c>
      <c r="FF172" s="44"/>
      <c r="FG172" s="43"/>
      <c r="FK172" s="42">
        <v>0</v>
      </c>
      <c r="FL172" s="44"/>
      <c r="FM172" s="43"/>
      <c r="FO172" s="42">
        <v>0</v>
      </c>
      <c r="FP172" s="44"/>
      <c r="FU172" s="42">
        <v>0</v>
      </c>
      <c r="FV172" s="44"/>
      <c r="FW172" s="43"/>
      <c r="GA172">
        <v>40</v>
      </c>
      <c r="GB172">
        <v>40</v>
      </c>
      <c r="GC172" s="42">
        <v>0</v>
      </c>
      <c r="GD172" s="44"/>
      <c r="GH172" s="42">
        <v>8</v>
      </c>
      <c r="GI172" s="39">
        <v>-8</v>
      </c>
      <c r="GJ172" s="44">
        <v>2.64</v>
      </c>
      <c r="GK172" s="43"/>
      <c r="GO172" s="42">
        <v>0</v>
      </c>
      <c r="GP172" s="47"/>
      <c r="GU172" s="42">
        <v>0</v>
      </c>
      <c r="GV172" s="44"/>
      <c r="GY172" s="42">
        <v>0</v>
      </c>
      <c r="GZ172" s="47"/>
      <c r="HA172" s="43"/>
      <c r="HC172" s="42">
        <v>0</v>
      </c>
      <c r="HD172" s="44"/>
      <c r="HE172" s="43"/>
      <c r="HG172" s="40">
        <v>56</v>
      </c>
      <c r="HH172" s="42">
        <v>60</v>
      </c>
      <c r="HI172" s="42">
        <v>-4</v>
      </c>
      <c r="HJ172" s="47"/>
      <c r="HK172" s="43"/>
      <c r="HO172" s="42">
        <v>0</v>
      </c>
      <c r="HP172" s="44"/>
      <c r="HV172" s="42">
        <v>0</v>
      </c>
      <c r="HW172" s="44"/>
      <c r="HX172" s="45"/>
      <c r="IC172" s="44"/>
      <c r="II172" s="47"/>
      <c r="IO172" s="47"/>
      <c r="IU172" s="47"/>
      <c r="JA172" s="44"/>
      <c r="JE172" s="44"/>
      <c r="JK172" s="44"/>
      <c r="JL172" s="45"/>
      <c r="JO172" s="44"/>
      <c r="JU172" s="44"/>
      <c r="KA172" s="47"/>
      <c r="KG172" s="44"/>
      <c r="KH172" s="41"/>
      <c r="KM172" s="47"/>
      <c r="KN172" s="45"/>
      <c r="KU172" s="47"/>
      <c r="LA172" s="47"/>
      <c r="LG172" s="47"/>
      <c r="LH172" s="45"/>
      <c r="LK172" s="47"/>
      <c r="LL172" s="45"/>
      <c r="LQ172" s="47"/>
      <c r="LR172" s="45"/>
      <c r="LW172" s="47"/>
      <c r="LX172" s="45"/>
      <c r="MA172" s="47"/>
      <c r="MB172" s="45"/>
      <c r="MG172" s="47"/>
      <c r="MH172" s="45"/>
      <c r="MK172" s="47"/>
      <c r="ML172" s="45"/>
      <c r="MQ172" s="47"/>
      <c r="MW172" s="47"/>
      <c r="MX172" s="45"/>
      <c r="NC172" s="47"/>
      <c r="ND172" s="45"/>
      <c r="NI172" s="47"/>
      <c r="NJ172" s="45"/>
      <c r="NO172" s="47"/>
      <c r="NP172" s="45"/>
      <c r="NU172" s="47"/>
      <c r="NV172" s="45"/>
      <c r="OA172" s="47"/>
      <c r="OB172" s="45"/>
      <c r="OE172" s="47"/>
      <c r="OF172" s="45"/>
      <c r="OK172" s="47"/>
      <c r="OL172" s="45"/>
      <c r="OQ172" s="47"/>
      <c r="OR172" s="45"/>
      <c r="OW172" s="47"/>
      <c r="PB172" s="42"/>
      <c r="PC172" s="47"/>
      <c r="PD172" s="45"/>
      <c r="PI172" s="47"/>
      <c r="PJ172" s="45"/>
      <c r="PO172" s="47"/>
      <c r="PP172" s="43"/>
      <c r="PU172" s="47"/>
      <c r="PV172" s="45"/>
      <c r="PZ172" s="42"/>
      <c r="QA172" s="47"/>
      <c r="QB172" s="45"/>
      <c r="QE172" s="47"/>
      <c r="QF172" s="45"/>
      <c r="QK172" s="47"/>
      <c r="QL172" s="45"/>
      <c r="QQ172" s="47"/>
      <c r="QR172" s="45"/>
      <c r="QW172" s="47"/>
      <c r="QX172" s="45"/>
      <c r="RB172" s="42"/>
      <c r="RC172" s="47"/>
      <c r="RD172" s="45"/>
      <c r="RF172" s="42"/>
      <c r="RG172" s="47"/>
    </row>
    <row r="173" spans="1:475" x14ac:dyDescent="0.25">
      <c r="A173" s="40" t="s">
        <v>462</v>
      </c>
      <c r="B173" s="41">
        <v>1</v>
      </c>
      <c r="N173" s="43"/>
      <c r="O173" s="48"/>
      <c r="P173" s="48"/>
      <c r="Q173" s="48"/>
      <c r="R173" s="48">
        <f t="shared" si="17"/>
        <v>0</v>
      </c>
      <c r="S173" s="44"/>
      <c r="T173" s="43"/>
      <c r="U173" s="48"/>
      <c r="V173" s="48"/>
      <c r="W173" s="48"/>
      <c r="X173" s="48">
        <f t="shared" si="18"/>
        <v>0</v>
      </c>
      <c r="Y173" s="44"/>
      <c r="Z173" s="43"/>
      <c r="AA173" s="48"/>
      <c r="AB173" s="48"/>
      <c r="AC173" s="48"/>
      <c r="AD173" s="48">
        <f t="shared" si="19"/>
        <v>0</v>
      </c>
      <c r="AE173" s="44"/>
      <c r="AF173" s="43"/>
      <c r="AG173" s="48"/>
      <c r="AH173" s="48"/>
      <c r="AI173" s="48"/>
      <c r="AJ173" s="48">
        <f t="shared" si="20"/>
        <v>0</v>
      </c>
      <c r="AK173" s="44"/>
      <c r="AL173" s="48"/>
      <c r="AP173" s="42">
        <v>0</v>
      </c>
      <c r="AQ173" s="44"/>
      <c r="AR173" s="43"/>
      <c r="AV173" s="42">
        <v>0</v>
      </c>
      <c r="AW173" s="44"/>
      <c r="BC173" s="42">
        <v>0</v>
      </c>
      <c r="BD173" s="44"/>
      <c r="BE173" s="43"/>
      <c r="BI173" s="42">
        <v>0</v>
      </c>
      <c r="BJ173" s="44"/>
      <c r="BO173" s="42">
        <v>0</v>
      </c>
      <c r="BP173" s="44"/>
      <c r="BS173" s="42">
        <v>0</v>
      </c>
      <c r="BT173" s="44"/>
      <c r="BU173" s="43"/>
      <c r="BY173" s="42">
        <v>0</v>
      </c>
      <c r="BZ173" s="44"/>
      <c r="CE173" s="42">
        <v>0</v>
      </c>
      <c r="CF173" s="44"/>
      <c r="CG173" s="43"/>
      <c r="CK173" s="42">
        <v>0</v>
      </c>
      <c r="CL173" s="44"/>
      <c r="CM173" s="43"/>
      <c r="CQ173" s="42">
        <v>0</v>
      </c>
      <c r="CR173" s="44"/>
      <c r="CW173" s="42">
        <v>0</v>
      </c>
      <c r="CX173" s="44"/>
      <c r="CY173" s="43"/>
      <c r="DC173" s="42">
        <v>0</v>
      </c>
      <c r="DD173" s="44"/>
      <c r="DE173" s="43"/>
      <c r="DK173" s="42">
        <v>0</v>
      </c>
      <c r="DL173" s="44"/>
      <c r="DM173" s="43"/>
      <c r="DO173">
        <v>10</v>
      </c>
      <c r="DP173">
        <v>12</v>
      </c>
      <c r="DQ173" s="42">
        <v>-2</v>
      </c>
      <c r="DR173" s="44"/>
      <c r="DY173" s="42">
        <v>0</v>
      </c>
      <c r="DZ173" s="44"/>
      <c r="EA173" s="43"/>
      <c r="ED173">
        <v>20</v>
      </c>
      <c r="EE173" s="39">
        <v>-20</v>
      </c>
      <c r="EF173" s="44">
        <v>20</v>
      </c>
      <c r="EG173" s="43"/>
      <c r="EI173">
        <v>5</v>
      </c>
      <c r="EJ173">
        <v>5</v>
      </c>
      <c r="EK173" s="42">
        <v>0</v>
      </c>
      <c r="EL173" s="44"/>
      <c r="EM173" s="43"/>
      <c r="EQ173" s="42">
        <v>0</v>
      </c>
      <c r="ER173" s="44"/>
      <c r="EY173" s="42">
        <v>0</v>
      </c>
      <c r="EZ173" s="44"/>
      <c r="FE173" s="42">
        <v>0</v>
      </c>
      <c r="FF173" s="44"/>
      <c r="FG173" s="43"/>
      <c r="FI173">
        <v>20</v>
      </c>
      <c r="FJ173">
        <v>21</v>
      </c>
      <c r="FK173" s="42">
        <v>-1</v>
      </c>
      <c r="FL173" s="44"/>
      <c r="FM173" s="43"/>
      <c r="FO173" s="42">
        <v>0</v>
      </c>
      <c r="FP173" s="44"/>
      <c r="FS173">
        <v>15</v>
      </c>
      <c r="FT173">
        <v>16</v>
      </c>
      <c r="FU173" s="42">
        <v>-1</v>
      </c>
      <c r="FV173" s="44"/>
      <c r="FW173" s="43"/>
      <c r="GA173">
        <v>10</v>
      </c>
      <c r="GB173">
        <v>10</v>
      </c>
      <c r="GC173" s="42">
        <v>0</v>
      </c>
      <c r="GD173" s="44"/>
      <c r="GI173" s="42">
        <v>0</v>
      </c>
      <c r="GJ173" s="44"/>
      <c r="GK173" s="43"/>
      <c r="GM173">
        <v>10</v>
      </c>
      <c r="GN173">
        <v>12</v>
      </c>
      <c r="GO173" s="42">
        <v>-2</v>
      </c>
      <c r="GP173" s="47"/>
      <c r="GS173">
        <v>5</v>
      </c>
      <c r="GT173" s="42">
        <v>4</v>
      </c>
      <c r="GU173" s="42">
        <v>1</v>
      </c>
      <c r="GV173" s="44"/>
      <c r="GY173" s="42">
        <v>0</v>
      </c>
      <c r="GZ173" s="47"/>
      <c r="HA173" s="43"/>
      <c r="HC173" s="42">
        <v>0</v>
      </c>
      <c r="HD173" s="44"/>
      <c r="HE173" s="43"/>
      <c r="HG173">
        <v>10</v>
      </c>
      <c r="HH173" s="42">
        <v>8</v>
      </c>
      <c r="HI173" s="42">
        <v>2</v>
      </c>
      <c r="HJ173" s="47"/>
      <c r="HK173" s="43"/>
      <c r="HO173" s="42">
        <v>0</v>
      </c>
      <c r="HP173" s="44"/>
      <c r="HV173" s="42">
        <v>0</v>
      </c>
      <c r="HW173" s="44"/>
      <c r="HX173" s="45"/>
      <c r="IC173" s="44"/>
      <c r="II173" s="47"/>
      <c r="IO173" s="47"/>
      <c r="IU173" s="47"/>
      <c r="JA173" s="44"/>
      <c r="JE173" s="44"/>
      <c r="JK173" s="44"/>
      <c r="JL173" s="45"/>
      <c r="JO173" s="44"/>
      <c r="JU173" s="44"/>
      <c r="KA173" s="47"/>
      <c r="KG173" s="44"/>
      <c r="KH173" s="41"/>
      <c r="KM173" s="47"/>
      <c r="KN173" s="45"/>
      <c r="KU173" s="47"/>
      <c r="LA173" s="47"/>
      <c r="LG173" s="47"/>
      <c r="LH173" s="45"/>
      <c r="LK173" s="47"/>
      <c r="LL173" s="45"/>
      <c r="LQ173" s="47"/>
      <c r="LR173" s="45"/>
      <c r="LW173" s="47"/>
      <c r="LX173" s="45"/>
      <c r="MA173" s="47"/>
      <c r="MB173" s="45"/>
      <c r="MG173" s="47"/>
      <c r="MH173" s="45"/>
      <c r="MK173" s="47"/>
      <c r="ML173" s="45"/>
      <c r="MQ173" s="47"/>
      <c r="MW173" s="47"/>
      <c r="MX173" s="45"/>
      <c r="NC173" s="47"/>
      <c r="ND173" s="45"/>
      <c r="NI173" s="47"/>
      <c r="NJ173" s="45"/>
      <c r="NO173" s="47"/>
      <c r="NP173" s="45"/>
      <c r="NU173" s="47"/>
      <c r="NV173" s="45"/>
      <c r="OA173" s="47"/>
      <c r="OB173" s="45"/>
      <c r="OE173" s="47"/>
      <c r="OF173" s="45"/>
      <c r="OK173" s="47"/>
      <c r="OL173" s="45"/>
      <c r="OQ173" s="47"/>
      <c r="OR173" s="45"/>
      <c r="OW173" s="47"/>
      <c r="PB173" s="42"/>
      <c r="PC173" s="47"/>
      <c r="PD173" s="45"/>
      <c r="PI173" s="47"/>
      <c r="PJ173" s="45"/>
      <c r="PO173" s="47"/>
      <c r="PP173" s="43"/>
      <c r="PU173" s="47"/>
      <c r="PV173" s="45"/>
      <c r="PZ173" s="42"/>
      <c r="QA173" s="47"/>
      <c r="QB173" s="45"/>
      <c r="QE173" s="47"/>
      <c r="QF173" s="45"/>
      <c r="QK173" s="47"/>
      <c r="QL173" s="45"/>
      <c r="QQ173" s="47"/>
      <c r="QR173" s="45"/>
      <c r="QW173" s="47"/>
      <c r="QX173" s="45"/>
      <c r="RB173" s="42"/>
      <c r="RC173" s="47"/>
      <c r="RD173" s="45"/>
      <c r="RF173" s="42"/>
      <c r="RG173" s="47"/>
    </row>
    <row r="174" spans="1:475" x14ac:dyDescent="0.25">
      <c r="A174" s="40" t="s">
        <v>463</v>
      </c>
      <c r="B174" s="41">
        <v>0.22</v>
      </c>
      <c r="J174">
        <v>8</v>
      </c>
      <c r="K174">
        <v>20</v>
      </c>
      <c r="N174" s="43"/>
      <c r="O174" s="48"/>
      <c r="P174" s="49">
        <v>16</v>
      </c>
      <c r="Q174" s="49">
        <v>20</v>
      </c>
      <c r="R174" s="48">
        <f t="shared" si="17"/>
        <v>-4</v>
      </c>
      <c r="S174" s="44"/>
      <c r="T174" s="43"/>
      <c r="U174" s="48"/>
      <c r="V174" s="48"/>
      <c r="W174" s="49">
        <v>16</v>
      </c>
      <c r="X174" s="53">
        <f t="shared" si="18"/>
        <v>-16</v>
      </c>
      <c r="Y174" s="44">
        <f>-1*X174*B174</f>
        <v>3.52</v>
      </c>
      <c r="Z174" s="43"/>
      <c r="AA174" s="48"/>
      <c r="AB174" s="48"/>
      <c r="AC174" s="49">
        <v>16</v>
      </c>
      <c r="AD174" s="53">
        <f t="shared" si="19"/>
        <v>-16</v>
      </c>
      <c r="AE174" s="44">
        <f>-1*AD174*B174</f>
        <v>3.52</v>
      </c>
      <c r="AF174" s="43"/>
      <c r="AG174" s="48"/>
      <c r="AH174" s="48"/>
      <c r="AI174" s="48"/>
      <c r="AJ174" s="48">
        <f t="shared" si="20"/>
        <v>0</v>
      </c>
      <c r="AK174" s="44"/>
      <c r="AL174" s="48"/>
      <c r="AM174">
        <v>8</v>
      </c>
      <c r="AP174" s="39">
        <v>-8</v>
      </c>
      <c r="AQ174" s="44">
        <v>1.76</v>
      </c>
      <c r="AR174" s="43"/>
      <c r="AV174" s="42">
        <v>0</v>
      </c>
      <c r="AW174" s="44"/>
      <c r="BA174">
        <v>16</v>
      </c>
      <c r="BB174">
        <v>16</v>
      </c>
      <c r="BC174" s="42">
        <v>0</v>
      </c>
      <c r="BD174" s="44"/>
      <c r="BE174" s="43"/>
      <c r="BI174" s="42">
        <v>0</v>
      </c>
      <c r="BJ174" s="44"/>
      <c r="BL174">
        <v>50</v>
      </c>
      <c r="BO174" s="39">
        <v>-50</v>
      </c>
      <c r="BP174" s="44">
        <v>11</v>
      </c>
      <c r="BS174" s="42">
        <v>0</v>
      </c>
      <c r="BT174" s="44"/>
      <c r="BU174" s="43"/>
      <c r="BV174">
        <v>50</v>
      </c>
      <c r="BW174">
        <v>32</v>
      </c>
      <c r="BX174">
        <v>30</v>
      </c>
      <c r="BY174" s="39">
        <v>-48</v>
      </c>
      <c r="BZ174" s="44">
        <v>10.56</v>
      </c>
      <c r="CE174" s="42">
        <v>0</v>
      </c>
      <c r="CF174" s="44"/>
      <c r="CG174" s="43"/>
      <c r="CJ174">
        <v>16</v>
      </c>
      <c r="CK174" s="39">
        <v>-16</v>
      </c>
      <c r="CL174" s="44">
        <v>3.52</v>
      </c>
      <c r="CM174" s="43"/>
      <c r="CQ174" s="42">
        <v>0</v>
      </c>
      <c r="CR174" s="44"/>
      <c r="CU174">
        <v>40</v>
      </c>
      <c r="CV174">
        <v>40</v>
      </c>
      <c r="CW174" s="42">
        <v>0</v>
      </c>
      <c r="CX174" s="44"/>
      <c r="CY174" s="43"/>
      <c r="DA174">
        <v>40</v>
      </c>
      <c r="DB174">
        <v>40</v>
      </c>
      <c r="DC174" s="42">
        <v>0</v>
      </c>
      <c r="DD174" s="44"/>
      <c r="DE174" s="43"/>
      <c r="DI174">
        <v>48</v>
      </c>
      <c r="DJ174">
        <v>50</v>
      </c>
      <c r="DK174" s="42">
        <v>-2</v>
      </c>
      <c r="DL174" s="44"/>
      <c r="DM174" s="43"/>
      <c r="DP174">
        <v>50</v>
      </c>
      <c r="DQ174" s="39">
        <v>-50</v>
      </c>
      <c r="DR174" s="44">
        <v>11</v>
      </c>
      <c r="DV174">
        <v>60</v>
      </c>
      <c r="DY174" s="39">
        <v>-60</v>
      </c>
      <c r="DZ174" s="44">
        <v>13.2</v>
      </c>
      <c r="EA174" s="43"/>
      <c r="EE174" s="42">
        <v>0</v>
      </c>
      <c r="EF174" s="44"/>
      <c r="EG174" s="43"/>
      <c r="EJ174">
        <v>100</v>
      </c>
      <c r="EK174" s="39">
        <v>-100</v>
      </c>
      <c r="EL174" s="44">
        <v>22</v>
      </c>
      <c r="EM174" s="43"/>
      <c r="EO174">
        <v>32</v>
      </c>
      <c r="EP174">
        <v>32</v>
      </c>
      <c r="EQ174" s="42">
        <v>0</v>
      </c>
      <c r="ER174" s="44"/>
      <c r="EU174">
        <v>56</v>
      </c>
      <c r="EV174" s="42">
        <v>56</v>
      </c>
      <c r="EW174">
        <v>64</v>
      </c>
      <c r="EX174" s="42">
        <v>64</v>
      </c>
      <c r="EY174" s="42">
        <v>0</v>
      </c>
      <c r="EZ174" s="44"/>
      <c r="FA174">
        <v>32</v>
      </c>
      <c r="FB174" s="42">
        <v>30</v>
      </c>
      <c r="FE174" s="42">
        <v>2</v>
      </c>
      <c r="FF174" s="44"/>
      <c r="FG174" s="43"/>
      <c r="FI174">
        <v>120</v>
      </c>
      <c r="FK174" s="42">
        <v>120</v>
      </c>
      <c r="FL174" s="44"/>
      <c r="FM174" s="43"/>
      <c r="FO174" s="42">
        <v>0</v>
      </c>
      <c r="FP174" s="44"/>
      <c r="FV174" s="44"/>
      <c r="FW174" s="43"/>
      <c r="GD174" s="44"/>
      <c r="GJ174" s="44"/>
      <c r="GK174" s="43"/>
      <c r="GP174" s="47"/>
      <c r="GV174" s="44"/>
      <c r="GZ174" s="47"/>
      <c r="HA174" s="43"/>
      <c r="HD174" s="44"/>
      <c r="HE174" s="43"/>
      <c r="HJ174" s="47"/>
      <c r="HK174" s="43"/>
      <c r="HP174" s="44"/>
      <c r="HW174" s="44"/>
      <c r="HX174" s="45"/>
      <c r="IC174" s="44"/>
      <c r="II174" s="47"/>
      <c r="IO174" s="47"/>
      <c r="IU174" s="47"/>
      <c r="JA174" s="44"/>
      <c r="JE174" s="44"/>
      <c r="JK174" s="44"/>
      <c r="JL174" s="45"/>
      <c r="JO174" s="44"/>
      <c r="JU174" s="44"/>
      <c r="KA174" s="47"/>
      <c r="KG174" s="44"/>
      <c r="KH174" s="41"/>
      <c r="KM174" s="47"/>
      <c r="KN174" s="45"/>
      <c r="KU174" s="47"/>
      <c r="LA174" s="47"/>
      <c r="LG174" s="47"/>
      <c r="LH174" s="45"/>
      <c r="LK174" s="47"/>
      <c r="LL174" s="45"/>
      <c r="LQ174" s="47"/>
      <c r="LR174" s="45"/>
      <c r="LW174" s="47"/>
      <c r="LX174" s="45"/>
      <c r="MA174" s="47"/>
      <c r="MB174" s="45"/>
      <c r="MG174" s="47"/>
      <c r="MH174" s="45"/>
      <c r="MK174" s="47"/>
      <c r="ML174" s="45"/>
      <c r="MQ174" s="47"/>
      <c r="MW174" s="47"/>
      <c r="MX174" s="45"/>
      <c r="NC174" s="47"/>
      <c r="ND174" s="45"/>
      <c r="NI174" s="47"/>
      <c r="NJ174" s="45"/>
      <c r="NO174" s="47"/>
      <c r="NP174" s="45"/>
      <c r="NU174" s="47"/>
      <c r="NV174" s="45"/>
      <c r="OA174" s="47"/>
      <c r="OB174" s="45"/>
      <c r="OE174" s="47"/>
      <c r="OF174" s="45"/>
      <c r="OK174" s="47"/>
      <c r="OL174" s="45"/>
      <c r="OQ174" s="47"/>
      <c r="OR174" s="45"/>
      <c r="OW174" s="47"/>
      <c r="PB174" s="42"/>
      <c r="PC174" s="47"/>
      <c r="PD174" s="45"/>
      <c r="PI174" s="47"/>
      <c r="PJ174" s="45"/>
      <c r="PO174" s="47"/>
      <c r="PP174" s="43"/>
      <c r="PU174" s="47"/>
      <c r="PV174" s="45"/>
      <c r="PZ174" s="42"/>
      <c r="QA174" s="47"/>
      <c r="QB174" s="45"/>
      <c r="QE174" s="47"/>
      <c r="QF174" s="45"/>
      <c r="QK174" s="47"/>
      <c r="QL174" s="45"/>
      <c r="QQ174" s="47"/>
      <c r="QR174" s="45"/>
      <c r="QW174" s="47"/>
      <c r="QX174" s="45"/>
      <c r="RB174" s="42"/>
      <c r="RC174" s="47"/>
      <c r="RD174" s="45"/>
      <c r="RF174" s="42"/>
      <c r="RG174" s="47"/>
    </row>
    <row r="175" spans="1:475" x14ac:dyDescent="0.25">
      <c r="A175" s="40" t="s">
        <v>464</v>
      </c>
      <c r="B175" s="41">
        <v>0.84</v>
      </c>
      <c r="F175">
        <v>40</v>
      </c>
      <c r="J175">
        <v>29</v>
      </c>
      <c r="K175">
        <v>30</v>
      </c>
      <c r="N175" s="46">
        <v>42</v>
      </c>
      <c r="O175" s="49">
        <v>40</v>
      </c>
      <c r="P175" s="48"/>
      <c r="Q175" s="48"/>
      <c r="R175" s="48">
        <f t="shared" si="17"/>
        <v>2</v>
      </c>
      <c r="S175" s="44"/>
      <c r="T175" s="46">
        <v>30</v>
      </c>
      <c r="U175" s="49">
        <v>30</v>
      </c>
      <c r="V175" s="49">
        <v>18</v>
      </c>
      <c r="W175" s="49">
        <v>20</v>
      </c>
      <c r="X175" s="48">
        <f t="shared" si="18"/>
        <v>-2</v>
      </c>
      <c r="Y175" s="44"/>
      <c r="Z175" s="46">
        <v>18</v>
      </c>
      <c r="AA175" s="49">
        <v>20</v>
      </c>
      <c r="AB175" s="48"/>
      <c r="AC175" s="48"/>
      <c r="AD175" s="48">
        <f t="shared" si="19"/>
        <v>-2</v>
      </c>
      <c r="AE175" s="44"/>
      <c r="AF175" s="46">
        <v>30</v>
      </c>
      <c r="AG175" s="49">
        <v>30</v>
      </c>
      <c r="AH175" s="48"/>
      <c r="AI175" s="48"/>
      <c r="AJ175" s="48">
        <f t="shared" si="20"/>
        <v>0</v>
      </c>
      <c r="AK175" s="44"/>
      <c r="AL175" s="48"/>
      <c r="AN175">
        <v>60</v>
      </c>
      <c r="AO175">
        <v>60</v>
      </c>
      <c r="AP175" s="42">
        <v>0</v>
      </c>
      <c r="AQ175" s="44"/>
      <c r="AR175" s="43"/>
      <c r="AV175" s="42">
        <v>0</v>
      </c>
      <c r="AW175" s="44"/>
      <c r="BA175">
        <v>48</v>
      </c>
      <c r="BB175">
        <v>50</v>
      </c>
      <c r="BC175" s="42">
        <v>-2</v>
      </c>
      <c r="BD175" s="44"/>
      <c r="BE175" s="46">
        <v>18</v>
      </c>
      <c r="BF175">
        <v>20</v>
      </c>
      <c r="BI175" s="42">
        <v>-2</v>
      </c>
      <c r="BJ175" s="44"/>
      <c r="BK175">
        <v>30</v>
      </c>
      <c r="BL175">
        <v>30</v>
      </c>
      <c r="BM175">
        <v>18</v>
      </c>
      <c r="BN175">
        <v>20</v>
      </c>
      <c r="BO175" s="42">
        <v>-2</v>
      </c>
      <c r="BP175" s="44"/>
      <c r="BS175" s="42">
        <v>0</v>
      </c>
      <c r="BT175" s="44"/>
      <c r="BU175" s="46">
        <v>90</v>
      </c>
      <c r="BV175">
        <v>90</v>
      </c>
      <c r="BY175" s="42">
        <v>0</v>
      </c>
      <c r="BZ175" s="44"/>
      <c r="CC175">
        <v>72</v>
      </c>
      <c r="CD175">
        <v>70</v>
      </c>
      <c r="CE175" s="42">
        <v>2</v>
      </c>
      <c r="CF175" s="44"/>
      <c r="CG175" s="43"/>
      <c r="CK175" s="42">
        <v>0</v>
      </c>
      <c r="CL175" s="44"/>
      <c r="CM175" s="43"/>
      <c r="CO175">
        <v>24</v>
      </c>
      <c r="CP175">
        <v>25</v>
      </c>
      <c r="CQ175" s="42">
        <v>-1</v>
      </c>
      <c r="CR175" s="44"/>
      <c r="CS175">
        <v>48</v>
      </c>
      <c r="CT175">
        <v>50</v>
      </c>
      <c r="CU175">
        <v>90</v>
      </c>
      <c r="CV175">
        <v>90</v>
      </c>
      <c r="CW175" s="42">
        <v>-2</v>
      </c>
      <c r="CX175" s="44"/>
      <c r="CY175" s="43"/>
      <c r="DC175" s="42">
        <v>0</v>
      </c>
      <c r="DD175" s="44"/>
      <c r="DE175" s="43"/>
      <c r="DI175">
        <v>54</v>
      </c>
      <c r="DJ175">
        <v>53</v>
      </c>
      <c r="DK175" s="42">
        <v>1</v>
      </c>
      <c r="DL175" s="44"/>
      <c r="DM175" s="43"/>
      <c r="DO175">
        <v>72</v>
      </c>
      <c r="DP175">
        <v>70</v>
      </c>
      <c r="DQ175" s="42">
        <v>2</v>
      </c>
      <c r="DR175" s="44"/>
      <c r="DY175" s="42">
        <v>0</v>
      </c>
      <c r="DZ175" s="44"/>
      <c r="EA175" s="43"/>
      <c r="EE175" s="42">
        <v>0</v>
      </c>
      <c r="EF175" s="44"/>
      <c r="EG175" s="43"/>
      <c r="EI175">
        <v>102</v>
      </c>
      <c r="EJ175">
        <v>100</v>
      </c>
      <c r="EK175" s="42">
        <v>2</v>
      </c>
      <c r="EL175" s="44"/>
      <c r="EM175" s="43"/>
      <c r="EO175">
        <v>18</v>
      </c>
      <c r="EP175">
        <v>20</v>
      </c>
      <c r="EQ175" s="42">
        <v>-2</v>
      </c>
      <c r="ER175" s="44"/>
      <c r="EW175">
        <v>18</v>
      </c>
      <c r="EX175">
        <v>16</v>
      </c>
      <c r="EY175" s="42">
        <v>2</v>
      </c>
      <c r="EZ175" s="44"/>
      <c r="FC175">
        <v>42</v>
      </c>
      <c r="FD175">
        <v>45</v>
      </c>
      <c r="FE175" s="42">
        <v>-3</v>
      </c>
      <c r="FF175" s="44"/>
      <c r="FG175" s="43"/>
      <c r="FI175">
        <v>54</v>
      </c>
      <c r="FJ175">
        <v>55</v>
      </c>
      <c r="FK175" s="42">
        <v>-1</v>
      </c>
      <c r="FL175" s="44"/>
      <c r="FM175" s="43"/>
      <c r="FO175" s="42">
        <v>0</v>
      </c>
      <c r="FP175" s="44"/>
      <c r="FS175">
        <v>60</v>
      </c>
      <c r="FT175">
        <v>60</v>
      </c>
      <c r="FU175" s="42">
        <v>0</v>
      </c>
      <c r="FV175" s="44"/>
      <c r="FW175" s="43"/>
      <c r="GA175">
        <v>102</v>
      </c>
      <c r="GB175">
        <v>100</v>
      </c>
      <c r="GC175" s="42">
        <v>2</v>
      </c>
      <c r="GD175" s="44"/>
      <c r="GI175" s="42">
        <v>0</v>
      </c>
      <c r="GJ175" s="44"/>
      <c r="GK175" s="43"/>
      <c r="GM175">
        <v>90</v>
      </c>
      <c r="GN175">
        <v>90</v>
      </c>
      <c r="GO175" s="42">
        <v>0</v>
      </c>
      <c r="GP175" s="47"/>
      <c r="GS175">
        <v>90</v>
      </c>
      <c r="GT175">
        <v>90</v>
      </c>
      <c r="GU175" s="42">
        <v>0</v>
      </c>
      <c r="GV175" s="44"/>
      <c r="GW175">
        <v>48</v>
      </c>
      <c r="GX175" s="40">
        <v>50</v>
      </c>
      <c r="GY175" s="42">
        <v>-2</v>
      </c>
      <c r="GZ175" s="47"/>
      <c r="HA175" s="43"/>
      <c r="HC175" s="42">
        <v>0</v>
      </c>
      <c r="HD175" s="44"/>
      <c r="HE175" s="43"/>
      <c r="HG175">
        <v>102</v>
      </c>
      <c r="HH175" s="40">
        <v>100</v>
      </c>
      <c r="HI175" s="42">
        <v>2</v>
      </c>
      <c r="HJ175" s="47"/>
      <c r="HK175" s="43"/>
      <c r="HM175">
        <v>18</v>
      </c>
      <c r="HN175" s="42">
        <v>20</v>
      </c>
      <c r="HO175" s="42">
        <v>-2</v>
      </c>
      <c r="HP175" s="44"/>
      <c r="HV175" s="42">
        <v>0</v>
      </c>
      <c r="HW175" s="44"/>
      <c r="HX175" s="45"/>
      <c r="IC175" s="44"/>
      <c r="II175" s="47"/>
      <c r="IO175" s="47"/>
      <c r="IU175" s="47"/>
      <c r="JA175" s="44"/>
      <c r="JE175" s="44"/>
      <c r="JK175" s="44"/>
      <c r="JL175" s="45"/>
      <c r="JO175" s="44"/>
      <c r="JU175" s="44"/>
      <c r="KA175" s="47"/>
      <c r="KG175" s="44"/>
      <c r="KH175" s="41"/>
      <c r="KM175" s="47"/>
      <c r="KN175" s="45"/>
      <c r="KU175" s="47"/>
      <c r="LA175" s="47"/>
      <c r="LG175" s="47"/>
      <c r="LH175" s="45"/>
      <c r="LK175" s="47"/>
      <c r="LL175" s="45"/>
      <c r="LQ175" s="47"/>
      <c r="LR175" s="45"/>
      <c r="LW175" s="47"/>
      <c r="LX175" s="45"/>
      <c r="MA175" s="47"/>
      <c r="MB175" s="45"/>
      <c r="MG175" s="47"/>
      <c r="MH175" s="45"/>
      <c r="MK175" s="47"/>
      <c r="ML175" s="45"/>
      <c r="MQ175" s="47"/>
      <c r="MW175" s="47"/>
      <c r="MX175" s="45"/>
      <c r="NC175" s="47"/>
      <c r="ND175" s="45"/>
      <c r="NI175" s="47"/>
      <c r="NJ175" s="45"/>
      <c r="NO175" s="47"/>
      <c r="NP175" s="45"/>
      <c r="NU175" s="47"/>
      <c r="NV175" s="45"/>
      <c r="OA175" s="47"/>
      <c r="OB175" s="45"/>
      <c r="OE175" s="47"/>
      <c r="OF175" s="45"/>
      <c r="OK175" s="47"/>
      <c r="OL175" s="45"/>
      <c r="OQ175" s="47"/>
      <c r="OR175" s="45"/>
      <c r="OW175" s="47"/>
      <c r="PC175" s="47"/>
      <c r="PD175" s="45"/>
      <c r="PI175" s="47"/>
      <c r="PJ175" s="45"/>
      <c r="PO175" s="47"/>
      <c r="PP175" s="43"/>
      <c r="PU175" s="47"/>
      <c r="PV175" s="45"/>
      <c r="PZ175" s="42"/>
      <c r="QA175" s="47"/>
      <c r="QB175" s="45"/>
      <c r="QE175" s="47"/>
      <c r="QF175" s="45"/>
      <c r="QK175" s="47"/>
      <c r="QL175" s="45"/>
      <c r="QQ175" s="47"/>
      <c r="QR175" s="45"/>
      <c r="QW175" s="47"/>
      <c r="QX175" s="45"/>
      <c r="RB175" s="42"/>
      <c r="RC175" s="47"/>
      <c r="RD175" s="45"/>
      <c r="RF175" s="42"/>
      <c r="RG175" s="47"/>
    </row>
    <row r="176" spans="1:475" x14ac:dyDescent="0.25">
      <c r="A176" s="40" t="s">
        <v>465</v>
      </c>
      <c r="B176" s="41">
        <v>1</v>
      </c>
      <c r="N176" s="43"/>
      <c r="O176" s="48"/>
      <c r="P176" s="48"/>
      <c r="Q176" s="48"/>
      <c r="R176" s="48">
        <f t="shared" si="17"/>
        <v>0</v>
      </c>
      <c r="S176" s="44"/>
      <c r="T176" s="43"/>
      <c r="U176" s="48"/>
      <c r="V176" s="48"/>
      <c r="W176" s="48"/>
      <c r="X176" s="48">
        <f t="shared" si="18"/>
        <v>0</v>
      </c>
      <c r="Y176" s="44"/>
      <c r="Z176" s="43"/>
      <c r="AA176" s="48"/>
      <c r="AB176" s="48"/>
      <c r="AC176" s="48"/>
      <c r="AD176" s="48">
        <f t="shared" si="19"/>
        <v>0</v>
      </c>
      <c r="AE176" s="44"/>
      <c r="AF176" s="43"/>
      <c r="AG176" s="48"/>
      <c r="AH176" s="48"/>
      <c r="AI176" s="48"/>
      <c r="AJ176" s="48">
        <f t="shared" si="20"/>
        <v>0</v>
      </c>
      <c r="AK176" s="44"/>
      <c r="AL176" s="48"/>
      <c r="AP176" s="42">
        <v>0</v>
      </c>
      <c r="AQ176" s="44"/>
      <c r="AR176" s="43"/>
      <c r="AV176" s="42">
        <v>0</v>
      </c>
      <c r="AW176" s="44"/>
      <c r="BC176" s="42">
        <v>0</v>
      </c>
      <c r="BD176" s="44"/>
      <c r="BE176" s="43"/>
      <c r="BI176" s="42">
        <v>0</v>
      </c>
      <c r="BJ176" s="44"/>
      <c r="BO176" s="42">
        <v>0</v>
      </c>
      <c r="BP176" s="44"/>
      <c r="BS176" s="42">
        <v>0</v>
      </c>
      <c r="BT176" s="44"/>
      <c r="BU176" s="43"/>
      <c r="BY176" s="42">
        <v>0</v>
      </c>
      <c r="BZ176" s="44"/>
      <c r="CE176" s="42">
        <v>0</v>
      </c>
      <c r="CF176" s="44"/>
      <c r="CG176" s="43"/>
      <c r="CK176" s="42">
        <v>0</v>
      </c>
      <c r="CL176" s="44"/>
      <c r="CM176" s="43"/>
      <c r="CQ176" s="42">
        <v>0</v>
      </c>
      <c r="CR176" s="44"/>
      <c r="CV176">
        <v>4</v>
      </c>
      <c r="CW176" s="42">
        <v>-4</v>
      </c>
      <c r="CX176" s="44"/>
      <c r="CY176" s="43"/>
      <c r="DB176">
        <v>11</v>
      </c>
      <c r="DC176" s="39">
        <v>-11</v>
      </c>
      <c r="DD176" s="44">
        <v>11</v>
      </c>
      <c r="DE176" s="43"/>
      <c r="DK176" s="42">
        <v>0</v>
      </c>
      <c r="DL176" s="44"/>
      <c r="DM176" s="43"/>
      <c r="DP176">
        <v>20</v>
      </c>
      <c r="DQ176" s="39">
        <v>-20</v>
      </c>
      <c r="DR176" s="44">
        <v>20</v>
      </c>
      <c r="DY176" s="42">
        <v>0</v>
      </c>
      <c r="DZ176" s="44"/>
      <c r="EA176" s="43"/>
      <c r="EE176" s="42">
        <v>0</v>
      </c>
      <c r="EF176" s="44"/>
      <c r="EG176" s="43"/>
      <c r="EI176">
        <v>20</v>
      </c>
      <c r="EJ176" s="42">
        <v>20</v>
      </c>
      <c r="EK176" s="42">
        <v>0</v>
      </c>
      <c r="EL176" s="44"/>
      <c r="EM176" s="43">
        <v>20</v>
      </c>
      <c r="EN176" s="42">
        <v>20</v>
      </c>
      <c r="EQ176" s="42">
        <v>0</v>
      </c>
      <c r="ER176" s="44"/>
      <c r="EY176" s="42">
        <v>0</v>
      </c>
      <c r="EZ176" s="44"/>
      <c r="FE176" s="42">
        <v>0</v>
      </c>
      <c r="FF176" s="44"/>
      <c r="FG176" s="45"/>
      <c r="FK176" s="42">
        <v>0</v>
      </c>
      <c r="FL176" s="44"/>
      <c r="FM176" s="45"/>
      <c r="FO176" s="42">
        <v>0</v>
      </c>
      <c r="FP176" s="44"/>
      <c r="FV176" s="44"/>
      <c r="FW176" s="43"/>
      <c r="GD176" s="44"/>
      <c r="GJ176" s="44"/>
      <c r="GK176" s="43"/>
      <c r="GP176" s="47"/>
      <c r="GV176" s="44"/>
      <c r="GZ176" s="47"/>
      <c r="HA176" s="43"/>
      <c r="HD176" s="44"/>
      <c r="HE176" s="43"/>
      <c r="HJ176" s="47"/>
      <c r="HK176" s="43"/>
      <c r="HP176" s="44"/>
      <c r="HW176" s="44"/>
      <c r="HX176" s="45"/>
      <c r="IC176" s="44"/>
      <c r="II176" s="47"/>
      <c r="IO176" s="47"/>
      <c r="IU176" s="47"/>
      <c r="JA176" s="44"/>
      <c r="JE176" s="44"/>
      <c r="JK176" s="44"/>
      <c r="JL176" s="45"/>
      <c r="JO176" s="44"/>
      <c r="JU176" s="44"/>
      <c r="KA176" s="47"/>
      <c r="KG176" s="44"/>
      <c r="KH176" s="41"/>
      <c r="KM176" s="47"/>
      <c r="KN176" s="45"/>
      <c r="KU176" s="47"/>
      <c r="LA176" s="47"/>
      <c r="LG176" s="47"/>
      <c r="LH176" s="45"/>
      <c r="LK176" s="47"/>
      <c r="LL176" s="45"/>
      <c r="LQ176" s="47"/>
      <c r="LR176" s="45"/>
      <c r="LW176" s="47"/>
      <c r="LX176" s="45"/>
      <c r="MA176" s="47"/>
      <c r="MB176" s="45"/>
      <c r="MG176" s="47"/>
      <c r="MH176" s="45"/>
      <c r="MK176" s="47"/>
      <c r="ML176" s="45"/>
      <c r="MQ176" s="47"/>
      <c r="MW176" s="47"/>
      <c r="MX176" s="45"/>
      <c r="NC176" s="47"/>
      <c r="ND176" s="45"/>
      <c r="NG176" s="42"/>
      <c r="NI176" s="47"/>
      <c r="NJ176" s="45"/>
      <c r="NO176" s="47"/>
      <c r="NP176" s="45"/>
      <c r="NU176" s="47"/>
      <c r="NV176" s="45"/>
      <c r="OA176" s="47"/>
      <c r="OB176" s="45"/>
      <c r="OE176" s="47"/>
      <c r="OF176" s="45"/>
      <c r="OK176" s="47"/>
      <c r="OL176" s="45"/>
      <c r="OQ176" s="47"/>
      <c r="OR176" s="45"/>
      <c r="OW176" s="47"/>
      <c r="PC176" s="47"/>
      <c r="PD176" s="45"/>
      <c r="PI176" s="47"/>
      <c r="PJ176" s="45"/>
      <c r="PO176" s="47"/>
      <c r="PP176" s="43"/>
      <c r="PU176" s="47"/>
      <c r="PV176" s="45"/>
      <c r="PZ176" s="42"/>
      <c r="QA176" s="47"/>
      <c r="QB176" s="45"/>
      <c r="QE176" s="47"/>
      <c r="QF176" s="45"/>
      <c r="QK176" s="47"/>
      <c r="QL176" s="45"/>
      <c r="QQ176" s="47"/>
      <c r="QR176" s="45"/>
      <c r="QW176" s="47"/>
      <c r="QX176" s="45"/>
      <c r="RB176" s="42"/>
      <c r="RC176" s="47"/>
      <c r="RD176" s="45"/>
      <c r="RF176" s="42"/>
      <c r="RG176" s="47"/>
    </row>
    <row r="177" spans="1:475" x14ac:dyDescent="0.25">
      <c r="A177" s="40" t="s">
        <v>466</v>
      </c>
      <c r="B177" s="41">
        <v>0.35</v>
      </c>
      <c r="E177">
        <v>200</v>
      </c>
      <c r="F177">
        <v>200</v>
      </c>
      <c r="I177">
        <v>100</v>
      </c>
      <c r="J177">
        <v>136</v>
      </c>
      <c r="K177">
        <v>138</v>
      </c>
      <c r="N177" s="46">
        <v>320</v>
      </c>
      <c r="O177" s="49">
        <v>320</v>
      </c>
      <c r="P177" s="49">
        <v>352</v>
      </c>
      <c r="Q177" s="49">
        <v>350</v>
      </c>
      <c r="R177" s="48">
        <f t="shared" si="17"/>
        <v>2</v>
      </c>
      <c r="S177" s="44"/>
      <c r="T177" s="46">
        <v>352</v>
      </c>
      <c r="U177" s="49">
        <v>350</v>
      </c>
      <c r="V177" s="49">
        <v>448</v>
      </c>
      <c r="W177" s="49">
        <v>450</v>
      </c>
      <c r="X177" s="48">
        <f t="shared" si="18"/>
        <v>0</v>
      </c>
      <c r="Y177" s="44"/>
      <c r="Z177" s="46">
        <v>152</v>
      </c>
      <c r="AA177" s="49">
        <v>150</v>
      </c>
      <c r="AB177" s="48"/>
      <c r="AC177" s="48"/>
      <c r="AD177" s="48">
        <f t="shared" si="19"/>
        <v>2</v>
      </c>
      <c r="AE177" s="44"/>
      <c r="AF177" s="43"/>
      <c r="AG177" s="48"/>
      <c r="AH177" s="49">
        <v>544</v>
      </c>
      <c r="AI177" s="49">
        <v>547</v>
      </c>
      <c r="AJ177" s="48">
        <f t="shared" si="20"/>
        <v>-3</v>
      </c>
      <c r="AK177" s="44"/>
      <c r="AL177" s="49">
        <v>360</v>
      </c>
      <c r="AM177">
        <v>360</v>
      </c>
      <c r="AN177">
        <v>384</v>
      </c>
      <c r="AO177">
        <v>385</v>
      </c>
      <c r="AP177" s="42">
        <v>-1</v>
      </c>
      <c r="AQ177" s="44"/>
      <c r="AR177" s="43"/>
      <c r="AT177">
        <v>152</v>
      </c>
      <c r="AU177">
        <v>150</v>
      </c>
      <c r="AV177" s="42">
        <v>2</v>
      </c>
      <c r="AW177" s="44"/>
      <c r="AX177">
        <v>248</v>
      </c>
      <c r="AZ177">
        <v>250</v>
      </c>
      <c r="BA177">
        <v>344</v>
      </c>
      <c r="BB177">
        <v>350</v>
      </c>
      <c r="BC177" s="42">
        <v>-8</v>
      </c>
      <c r="BD177" s="44"/>
      <c r="BE177" s="43"/>
      <c r="BI177" s="42">
        <v>0</v>
      </c>
      <c r="BJ177" s="44"/>
      <c r="BK177">
        <v>448</v>
      </c>
      <c r="BL177">
        <v>450</v>
      </c>
      <c r="BM177">
        <v>416</v>
      </c>
      <c r="BN177">
        <v>421</v>
      </c>
      <c r="BO177" s="42">
        <v>-7</v>
      </c>
      <c r="BP177" s="44"/>
      <c r="BS177" s="42">
        <v>0</v>
      </c>
      <c r="BT177" s="44"/>
      <c r="BU177" s="46">
        <v>608</v>
      </c>
      <c r="BV177">
        <v>621</v>
      </c>
      <c r="BW177">
        <v>328</v>
      </c>
      <c r="BX177">
        <v>332</v>
      </c>
      <c r="BY177" s="39">
        <v>-17</v>
      </c>
      <c r="BZ177" s="44">
        <v>5.9499999999999993</v>
      </c>
      <c r="CA177">
        <v>296</v>
      </c>
      <c r="CB177">
        <v>300</v>
      </c>
      <c r="CC177">
        <v>600</v>
      </c>
      <c r="CD177">
        <v>600</v>
      </c>
      <c r="CE177" s="42">
        <v>-4</v>
      </c>
      <c r="CF177" s="44"/>
      <c r="CG177" s="46">
        <v>128</v>
      </c>
      <c r="CH177">
        <v>130</v>
      </c>
      <c r="CI177">
        <v>272</v>
      </c>
      <c r="CJ177">
        <v>270</v>
      </c>
      <c r="CK177" s="42">
        <v>0</v>
      </c>
      <c r="CL177" s="44"/>
      <c r="CM177" s="46">
        <v>96</v>
      </c>
      <c r="CN177">
        <v>100</v>
      </c>
      <c r="CO177">
        <v>400</v>
      </c>
      <c r="CP177">
        <v>404</v>
      </c>
      <c r="CQ177" s="42">
        <v>-8</v>
      </c>
      <c r="CR177" s="44"/>
      <c r="CW177" s="42">
        <v>0</v>
      </c>
      <c r="CX177" s="44"/>
      <c r="CY177" s="46">
        <v>248</v>
      </c>
      <c r="CZ177">
        <v>250</v>
      </c>
      <c r="DA177">
        <v>256</v>
      </c>
      <c r="DB177">
        <v>260</v>
      </c>
      <c r="DC177" s="42">
        <v>-6</v>
      </c>
      <c r="DD177" s="44"/>
      <c r="DE177" s="46">
        <v>96</v>
      </c>
      <c r="DF177">
        <v>100</v>
      </c>
      <c r="DG177">
        <v>400</v>
      </c>
      <c r="DH177">
        <v>400</v>
      </c>
      <c r="DI177">
        <v>368</v>
      </c>
      <c r="DJ177">
        <v>368</v>
      </c>
      <c r="DK177" s="42">
        <v>-4</v>
      </c>
      <c r="DL177" s="44"/>
      <c r="DM177" s="43"/>
      <c r="DQ177" s="42">
        <v>0</v>
      </c>
      <c r="DR177" s="44"/>
      <c r="DS177">
        <v>296</v>
      </c>
      <c r="DT177">
        <v>300</v>
      </c>
      <c r="DU177">
        <v>352</v>
      </c>
      <c r="DV177">
        <v>350</v>
      </c>
      <c r="DW177">
        <v>296</v>
      </c>
      <c r="DX177">
        <v>300</v>
      </c>
      <c r="DY177" s="42">
        <v>-6</v>
      </c>
      <c r="DZ177" s="44"/>
      <c r="EA177" s="43"/>
      <c r="EE177" s="42">
        <v>0</v>
      </c>
      <c r="EF177" s="44"/>
      <c r="EG177" s="46">
        <v>96</v>
      </c>
      <c r="EH177">
        <v>100</v>
      </c>
      <c r="EI177">
        <v>96</v>
      </c>
      <c r="EJ177">
        <v>100</v>
      </c>
      <c r="EK177" s="42">
        <v>-8</v>
      </c>
      <c r="EL177" s="44"/>
      <c r="EM177" s="46">
        <v>352</v>
      </c>
      <c r="EN177">
        <v>350</v>
      </c>
      <c r="EO177">
        <v>408</v>
      </c>
      <c r="EP177">
        <v>407</v>
      </c>
      <c r="EQ177" s="42">
        <v>3</v>
      </c>
      <c r="ER177" s="44"/>
      <c r="EW177">
        <v>48</v>
      </c>
      <c r="EX177">
        <v>50</v>
      </c>
      <c r="EY177" s="42">
        <v>-2</v>
      </c>
      <c r="EZ177" s="44"/>
      <c r="FA177">
        <v>96</v>
      </c>
      <c r="FB177">
        <v>100</v>
      </c>
      <c r="FC177">
        <v>96</v>
      </c>
      <c r="FD177">
        <v>100</v>
      </c>
      <c r="FE177" s="42">
        <v>-8</v>
      </c>
      <c r="FF177" s="44"/>
      <c r="FG177" s="46">
        <v>248</v>
      </c>
      <c r="FH177">
        <v>250</v>
      </c>
      <c r="FI177">
        <v>552</v>
      </c>
      <c r="FJ177">
        <v>550</v>
      </c>
      <c r="FK177" s="42">
        <v>0</v>
      </c>
      <c r="FL177" s="44"/>
      <c r="FM177" s="43"/>
      <c r="FO177" s="42">
        <v>0</v>
      </c>
      <c r="FP177" s="44"/>
      <c r="FS177">
        <v>48</v>
      </c>
      <c r="FT177">
        <v>50</v>
      </c>
      <c r="FU177" s="42">
        <v>-2</v>
      </c>
      <c r="FV177" s="44"/>
      <c r="FW177" s="46">
        <v>400</v>
      </c>
      <c r="FX177">
        <v>400</v>
      </c>
      <c r="GA177">
        <v>400</v>
      </c>
      <c r="GB177">
        <v>400</v>
      </c>
      <c r="GC177" s="42">
        <v>0</v>
      </c>
      <c r="GD177" s="44"/>
      <c r="GG177">
        <v>72</v>
      </c>
      <c r="GH177">
        <v>70</v>
      </c>
      <c r="GI177" s="42">
        <v>2</v>
      </c>
      <c r="GJ177" s="44"/>
      <c r="GK177" s="43"/>
      <c r="GM177">
        <v>216</v>
      </c>
      <c r="GN177">
        <v>220</v>
      </c>
      <c r="GO177" s="42">
        <v>-4</v>
      </c>
      <c r="GP177" s="47"/>
      <c r="GQ177">
        <v>352</v>
      </c>
      <c r="GR177">
        <v>350</v>
      </c>
      <c r="GS177">
        <v>432</v>
      </c>
      <c r="GT177">
        <v>430</v>
      </c>
      <c r="GU177" s="42">
        <v>4</v>
      </c>
      <c r="GV177" s="44"/>
      <c r="GW177">
        <v>240</v>
      </c>
      <c r="GX177" s="40">
        <v>240</v>
      </c>
      <c r="GY177" s="42">
        <v>0</v>
      </c>
      <c r="GZ177" s="47"/>
      <c r="HA177" s="43"/>
      <c r="HC177" s="42">
        <v>0</v>
      </c>
      <c r="HD177" s="44"/>
      <c r="HE177" s="46">
        <v>200</v>
      </c>
      <c r="HF177" s="40">
        <v>200</v>
      </c>
      <c r="HG177">
        <v>248</v>
      </c>
      <c r="HH177" s="40">
        <v>250</v>
      </c>
      <c r="HI177" s="42">
        <v>-2</v>
      </c>
      <c r="HJ177" s="47"/>
      <c r="HK177" s="46">
        <v>248</v>
      </c>
      <c r="HL177" s="42">
        <v>250</v>
      </c>
      <c r="HM177">
        <v>248</v>
      </c>
      <c r="HN177" s="42">
        <v>250</v>
      </c>
      <c r="HO177" s="42">
        <v>-4</v>
      </c>
      <c r="HP177" s="44"/>
      <c r="HV177" s="42">
        <v>0</v>
      </c>
      <c r="HW177" s="44"/>
      <c r="HX177" s="45"/>
      <c r="IC177" s="44"/>
      <c r="II177" s="47"/>
      <c r="IO177" s="47"/>
      <c r="IU177" s="47"/>
      <c r="JA177" s="44"/>
      <c r="JE177" s="44"/>
      <c r="JK177" s="44"/>
      <c r="JL177" s="45"/>
      <c r="JO177" s="44"/>
      <c r="JU177" s="44"/>
      <c r="KA177" s="47"/>
      <c r="KG177" s="44"/>
      <c r="KH177" s="41"/>
      <c r="KM177" s="47"/>
      <c r="KN177" s="45"/>
      <c r="KU177" s="47"/>
      <c r="LA177" s="47"/>
      <c r="LG177" s="47"/>
      <c r="LH177" s="45"/>
      <c r="LK177" s="47"/>
      <c r="LL177" s="45"/>
      <c r="LQ177" s="47"/>
      <c r="LR177" s="45"/>
      <c r="LW177" s="47"/>
      <c r="LX177" s="45"/>
      <c r="MA177" s="47"/>
      <c r="MB177" s="45"/>
      <c r="MG177" s="47"/>
      <c r="MH177" s="45"/>
      <c r="MK177" s="47"/>
      <c r="ML177" s="45"/>
      <c r="MQ177" s="47"/>
      <c r="MW177" s="47"/>
      <c r="MX177" s="45"/>
      <c r="NC177" s="47"/>
      <c r="ND177" s="45"/>
      <c r="NI177" s="47"/>
      <c r="NJ177" s="45"/>
      <c r="NO177" s="47"/>
      <c r="NP177" s="45"/>
      <c r="NU177" s="47"/>
      <c r="NV177" s="45"/>
      <c r="OA177" s="47"/>
      <c r="OB177" s="45"/>
      <c r="OE177" s="47"/>
      <c r="OF177" s="45"/>
      <c r="OK177" s="47"/>
      <c r="OL177" s="45"/>
      <c r="OQ177" s="47"/>
      <c r="OR177" s="45"/>
      <c r="OW177" s="47"/>
      <c r="PC177" s="47"/>
      <c r="PD177" s="45"/>
      <c r="PI177" s="47"/>
      <c r="PJ177" s="45"/>
      <c r="PO177" s="47"/>
      <c r="PP177" s="43"/>
      <c r="PU177" s="47"/>
      <c r="PV177" s="45"/>
      <c r="PZ177" s="42"/>
      <c r="QA177" s="47"/>
      <c r="QB177" s="45"/>
      <c r="QE177" s="47"/>
      <c r="QF177" s="45"/>
      <c r="QK177" s="47"/>
      <c r="QL177" s="45"/>
      <c r="QQ177" s="47"/>
      <c r="QR177" s="45"/>
      <c r="QW177" s="47"/>
      <c r="QX177" s="45"/>
      <c r="RB177" s="42"/>
      <c r="RC177" s="47"/>
      <c r="RD177" s="45"/>
      <c r="RF177" s="42"/>
      <c r="RG177" s="47"/>
    </row>
    <row r="178" spans="1:475" x14ac:dyDescent="0.25">
      <c r="A178" s="40" t="s">
        <v>467</v>
      </c>
      <c r="B178" s="41">
        <v>1</v>
      </c>
      <c r="J178">
        <v>109</v>
      </c>
      <c r="K178">
        <v>100</v>
      </c>
      <c r="N178" s="46">
        <v>224</v>
      </c>
      <c r="O178" s="49">
        <v>200</v>
      </c>
      <c r="P178" s="49">
        <v>248</v>
      </c>
      <c r="Q178" s="49">
        <v>220</v>
      </c>
      <c r="R178" s="48">
        <f t="shared" si="17"/>
        <v>52</v>
      </c>
      <c r="S178" s="44"/>
      <c r="T178" s="43"/>
      <c r="U178" s="48"/>
      <c r="V178" s="49">
        <v>55</v>
      </c>
      <c r="W178" s="49">
        <v>50</v>
      </c>
      <c r="X178" s="48">
        <f t="shared" si="18"/>
        <v>5</v>
      </c>
      <c r="Y178" s="44"/>
      <c r="Z178" s="46">
        <v>86</v>
      </c>
      <c r="AA178" s="49">
        <v>80</v>
      </c>
      <c r="AB178" s="49">
        <v>22</v>
      </c>
      <c r="AC178" s="49">
        <v>20</v>
      </c>
      <c r="AD178" s="48">
        <f t="shared" si="19"/>
        <v>8</v>
      </c>
      <c r="AE178" s="44"/>
      <c r="AF178" s="43">
        <v>113</v>
      </c>
      <c r="AG178" s="48">
        <v>100</v>
      </c>
      <c r="AH178" s="48"/>
      <c r="AI178" s="54"/>
      <c r="AJ178" s="48">
        <f t="shared" si="20"/>
        <v>13</v>
      </c>
      <c r="AK178" s="44"/>
      <c r="AL178" s="48"/>
      <c r="AM178" s="40"/>
      <c r="AO178" s="40"/>
      <c r="AP178" s="42">
        <v>0</v>
      </c>
      <c r="AQ178" s="44"/>
      <c r="AR178" s="43"/>
      <c r="AU178" s="40"/>
      <c r="AV178" s="42">
        <v>0</v>
      </c>
      <c r="AW178" s="44"/>
      <c r="AZ178" s="40"/>
      <c r="BB178" s="40"/>
      <c r="BC178" s="42">
        <v>0</v>
      </c>
      <c r="BD178" s="44"/>
      <c r="BE178" s="43"/>
      <c r="BG178" s="40"/>
      <c r="BI178" s="42">
        <v>0</v>
      </c>
      <c r="BJ178" s="44"/>
      <c r="BL178" s="40"/>
      <c r="BM178" s="40"/>
      <c r="BN178" s="40"/>
      <c r="BP178" s="44"/>
      <c r="BT178" s="44"/>
      <c r="BU178" s="46"/>
      <c r="BV178" s="40"/>
      <c r="BW178" s="40"/>
      <c r="BX178" s="40"/>
      <c r="BZ178" s="44"/>
      <c r="CA178" s="40"/>
      <c r="CB178" s="40"/>
      <c r="CC178" s="40"/>
      <c r="CD178" s="40"/>
      <c r="CF178" s="44"/>
      <c r="CG178" s="46"/>
      <c r="CI178" s="40"/>
      <c r="CL178" s="44"/>
      <c r="CM178" s="46"/>
      <c r="CR178" s="44"/>
      <c r="CX178" s="44"/>
      <c r="CY178" s="46"/>
      <c r="CZ178" s="40"/>
      <c r="DD178" s="44"/>
      <c r="DE178" s="46"/>
      <c r="DL178" s="44"/>
      <c r="DM178" s="43"/>
      <c r="DR178" s="44"/>
      <c r="DZ178" s="44"/>
      <c r="EA178" s="43"/>
      <c r="EF178" s="44"/>
      <c r="EG178" s="46"/>
      <c r="EL178" s="44"/>
      <c r="EM178" s="46"/>
      <c r="ER178" s="44"/>
      <c r="EZ178" s="44"/>
      <c r="FF178" s="44"/>
      <c r="FG178" s="46"/>
      <c r="FL178" s="44"/>
      <c r="FM178" s="43"/>
      <c r="FN178" s="42"/>
      <c r="FO178" s="42"/>
      <c r="FP178" s="44"/>
      <c r="FU178" s="42"/>
      <c r="FV178" s="44"/>
      <c r="FW178" s="46"/>
      <c r="FZ178" s="42"/>
      <c r="GD178" s="44"/>
      <c r="GJ178" s="44"/>
      <c r="GK178" s="43"/>
      <c r="GP178" s="47"/>
      <c r="GV178" s="44"/>
      <c r="GZ178" s="47"/>
      <c r="HA178" s="43"/>
      <c r="HD178" s="44"/>
      <c r="HE178" s="46"/>
      <c r="HI178" s="42"/>
      <c r="HJ178" s="47"/>
      <c r="HK178" s="46"/>
      <c r="HN178" s="42"/>
      <c r="HO178" s="42"/>
      <c r="HP178" s="44"/>
      <c r="HT178" s="42"/>
      <c r="HW178" s="44"/>
      <c r="HX178" s="45"/>
      <c r="HZ178" s="42"/>
      <c r="IC178" s="44"/>
      <c r="II178" s="47"/>
      <c r="IO178" s="47"/>
      <c r="IT178" s="42"/>
      <c r="IU178" s="47"/>
      <c r="JA178" s="44"/>
      <c r="JE178" s="44"/>
      <c r="JK178" s="44"/>
      <c r="JL178" s="45"/>
      <c r="JO178" s="44"/>
      <c r="JU178" s="44"/>
      <c r="JZ178" s="42"/>
      <c r="KA178" s="47"/>
      <c r="KF178" s="42"/>
      <c r="KG178" s="44"/>
      <c r="KH178" s="41"/>
      <c r="KJ178" s="42"/>
      <c r="KM178" s="47"/>
      <c r="KN178" s="45"/>
      <c r="KU178" s="47"/>
      <c r="LA178" s="47"/>
      <c r="LG178" s="47"/>
      <c r="LH178" s="45"/>
      <c r="LK178" s="47"/>
      <c r="LL178" s="45"/>
      <c r="LQ178" s="47"/>
      <c r="LR178" s="45"/>
      <c r="LW178" s="47"/>
      <c r="LX178" s="45"/>
      <c r="MA178" s="47"/>
      <c r="MB178" s="45"/>
      <c r="MG178" s="47"/>
      <c r="MH178" s="45"/>
      <c r="MK178" s="47"/>
      <c r="ML178" s="45"/>
      <c r="MQ178" s="47"/>
      <c r="MW178" s="47"/>
      <c r="MX178" s="45"/>
      <c r="NC178" s="47"/>
      <c r="ND178" s="45"/>
      <c r="NI178" s="47"/>
      <c r="NJ178" s="45"/>
      <c r="NO178" s="47"/>
      <c r="NP178" s="45"/>
      <c r="NU178" s="47"/>
      <c r="NV178" s="45"/>
      <c r="OA178" s="47"/>
      <c r="OB178" s="45"/>
      <c r="OE178" s="47"/>
      <c r="OF178" s="45"/>
      <c r="OK178" s="47"/>
      <c r="OL178" s="45"/>
      <c r="OQ178" s="47"/>
      <c r="OR178" s="45"/>
      <c r="OW178" s="47"/>
      <c r="PC178" s="47"/>
      <c r="PD178" s="45"/>
      <c r="PI178" s="47"/>
      <c r="PJ178" s="45"/>
      <c r="PO178" s="47"/>
      <c r="PP178" s="43"/>
      <c r="PU178" s="47"/>
      <c r="PV178" s="45"/>
      <c r="PZ178" s="42"/>
      <c r="QA178" s="47"/>
      <c r="QB178" s="45"/>
      <c r="QE178" s="47"/>
      <c r="QF178" s="45"/>
      <c r="QK178" s="47"/>
      <c r="QL178" s="45"/>
      <c r="QQ178" s="47"/>
      <c r="QR178" s="45"/>
      <c r="QW178" s="47"/>
      <c r="QX178" s="45"/>
      <c r="RB178" s="42"/>
      <c r="RC178" s="47"/>
      <c r="RD178" s="45"/>
      <c r="RF178" s="42"/>
      <c r="RG178" s="47"/>
    </row>
    <row r="179" spans="1:475" x14ac:dyDescent="0.25">
      <c r="A179" s="40" t="s">
        <v>468</v>
      </c>
      <c r="B179" s="41">
        <v>1</v>
      </c>
      <c r="E179">
        <v>120</v>
      </c>
      <c r="F179">
        <v>80</v>
      </c>
      <c r="I179">
        <v>200</v>
      </c>
      <c r="J179">
        <v>210</v>
      </c>
      <c r="K179">
        <v>215</v>
      </c>
      <c r="N179" s="46">
        <v>101</v>
      </c>
      <c r="O179" s="49">
        <v>103</v>
      </c>
      <c r="P179" s="48"/>
      <c r="Q179" s="48"/>
      <c r="R179" s="48">
        <f t="shared" si="17"/>
        <v>-2</v>
      </c>
      <c r="S179" s="44"/>
      <c r="T179" s="46">
        <v>201</v>
      </c>
      <c r="U179" s="49">
        <v>200</v>
      </c>
      <c r="V179" s="49">
        <v>355</v>
      </c>
      <c r="W179" s="49">
        <v>350</v>
      </c>
      <c r="X179" s="48">
        <f t="shared" si="18"/>
        <v>6</v>
      </c>
      <c r="Y179" s="44"/>
      <c r="Z179" s="46">
        <v>152</v>
      </c>
      <c r="AA179" s="49">
        <v>150</v>
      </c>
      <c r="AB179" s="49">
        <v>130</v>
      </c>
      <c r="AC179" s="49">
        <v>130</v>
      </c>
      <c r="AD179" s="48">
        <f t="shared" si="19"/>
        <v>2</v>
      </c>
      <c r="AE179" s="44"/>
      <c r="AF179" s="46">
        <v>218</v>
      </c>
      <c r="AG179" s="49">
        <v>218</v>
      </c>
      <c r="AH179" s="48"/>
      <c r="AI179" s="48"/>
      <c r="AJ179" s="48">
        <f t="shared" si="20"/>
        <v>0</v>
      </c>
      <c r="AK179" s="44"/>
      <c r="AL179" s="49">
        <v>283</v>
      </c>
      <c r="AM179">
        <v>280</v>
      </c>
      <c r="AN179">
        <v>298</v>
      </c>
      <c r="AO179">
        <v>299</v>
      </c>
      <c r="AP179" s="42">
        <v>2</v>
      </c>
      <c r="AQ179" s="44"/>
      <c r="AR179" s="43"/>
      <c r="AV179" s="42">
        <v>0</v>
      </c>
      <c r="AW179" s="44"/>
      <c r="AX179">
        <v>248</v>
      </c>
      <c r="AZ179">
        <v>250</v>
      </c>
      <c r="BA179">
        <v>247</v>
      </c>
      <c r="BB179">
        <v>250</v>
      </c>
      <c r="BC179" s="42">
        <v>-5</v>
      </c>
      <c r="BD179" s="44"/>
      <c r="BE179" s="46">
        <v>253</v>
      </c>
      <c r="BF179">
        <v>250</v>
      </c>
      <c r="BG179">
        <v>427</v>
      </c>
      <c r="BH179">
        <v>426</v>
      </c>
      <c r="BI179" s="42">
        <v>4</v>
      </c>
      <c r="BJ179" s="44"/>
      <c r="BK179">
        <v>50</v>
      </c>
      <c r="BL179">
        <v>50</v>
      </c>
      <c r="BO179" s="42">
        <v>0</v>
      </c>
      <c r="BP179" s="44"/>
      <c r="BQ179">
        <v>152</v>
      </c>
      <c r="BR179">
        <v>150</v>
      </c>
      <c r="BS179" s="42">
        <v>2</v>
      </c>
      <c r="BT179" s="44"/>
      <c r="BU179" s="46">
        <v>438</v>
      </c>
      <c r="BV179">
        <v>435</v>
      </c>
      <c r="BW179">
        <v>434</v>
      </c>
      <c r="BX179">
        <v>429</v>
      </c>
      <c r="BY179" s="42">
        <v>8</v>
      </c>
      <c r="BZ179" s="44"/>
      <c r="CE179" s="42">
        <v>0</v>
      </c>
      <c r="CF179" s="44"/>
      <c r="CG179" s="46">
        <v>204</v>
      </c>
      <c r="CH179">
        <v>200</v>
      </c>
      <c r="CI179">
        <v>321</v>
      </c>
      <c r="CJ179">
        <v>321</v>
      </c>
      <c r="CK179" s="42">
        <v>4</v>
      </c>
      <c r="CL179" s="44"/>
      <c r="CM179" s="43"/>
      <c r="CO179">
        <v>422</v>
      </c>
      <c r="CP179">
        <v>420</v>
      </c>
      <c r="CQ179" s="42">
        <v>2</v>
      </c>
      <c r="CR179" s="44"/>
      <c r="CW179" s="42">
        <v>0</v>
      </c>
      <c r="CX179" s="44"/>
      <c r="CY179" s="46">
        <v>153</v>
      </c>
      <c r="CZ179">
        <v>150</v>
      </c>
      <c r="DA179">
        <v>204</v>
      </c>
      <c r="DB179">
        <v>199</v>
      </c>
      <c r="DC179" s="42">
        <v>8</v>
      </c>
      <c r="DD179" s="44"/>
      <c r="DE179" s="43"/>
      <c r="DG179">
        <v>402</v>
      </c>
      <c r="DH179">
        <v>400</v>
      </c>
      <c r="DI179">
        <v>384</v>
      </c>
      <c r="DJ179">
        <v>380</v>
      </c>
      <c r="DK179" s="42">
        <v>6</v>
      </c>
      <c r="DL179" s="44"/>
      <c r="DM179" s="46">
        <v>102</v>
      </c>
      <c r="DN179">
        <v>100</v>
      </c>
      <c r="DO179">
        <v>205</v>
      </c>
      <c r="DP179">
        <v>200</v>
      </c>
      <c r="DQ179" s="42">
        <v>7</v>
      </c>
      <c r="DR179" s="44"/>
      <c r="DU179">
        <v>130</v>
      </c>
      <c r="DV179">
        <v>130</v>
      </c>
      <c r="DW179">
        <v>202</v>
      </c>
      <c r="DX179">
        <v>200</v>
      </c>
      <c r="DY179" s="42">
        <v>2</v>
      </c>
      <c r="DZ179" s="44"/>
      <c r="EA179" s="43"/>
      <c r="EC179">
        <v>358</v>
      </c>
      <c r="ED179">
        <v>353</v>
      </c>
      <c r="EE179" s="42">
        <v>5</v>
      </c>
      <c r="EF179" s="44"/>
      <c r="EG179" s="43"/>
      <c r="EK179" s="42">
        <v>0</v>
      </c>
      <c r="EL179" s="44"/>
      <c r="EM179" s="46">
        <v>256</v>
      </c>
      <c r="EN179">
        <v>250</v>
      </c>
      <c r="EO179">
        <v>306</v>
      </c>
      <c r="EP179">
        <v>300</v>
      </c>
      <c r="EQ179" s="42">
        <v>12</v>
      </c>
      <c r="ER179" s="44"/>
      <c r="ES179">
        <v>102</v>
      </c>
      <c r="ET179">
        <v>100</v>
      </c>
      <c r="EU179">
        <v>102</v>
      </c>
      <c r="EV179">
        <v>100</v>
      </c>
      <c r="EW179">
        <v>180</v>
      </c>
      <c r="EX179">
        <v>180</v>
      </c>
      <c r="EY179" s="42">
        <v>4</v>
      </c>
      <c r="EZ179" s="44"/>
      <c r="FA179">
        <v>79</v>
      </c>
      <c r="FB179">
        <v>80</v>
      </c>
      <c r="FC179">
        <v>102</v>
      </c>
      <c r="FD179">
        <v>100</v>
      </c>
      <c r="FE179" s="42">
        <v>1</v>
      </c>
      <c r="FF179" s="44"/>
      <c r="FG179" s="46">
        <v>180</v>
      </c>
      <c r="FH179">
        <v>180</v>
      </c>
      <c r="FI179">
        <v>332</v>
      </c>
      <c r="FJ179">
        <v>329</v>
      </c>
      <c r="FK179" s="42">
        <v>3</v>
      </c>
      <c r="FL179" s="44"/>
      <c r="FM179" s="43"/>
      <c r="FO179" s="42">
        <v>0</v>
      </c>
      <c r="FP179" s="44"/>
      <c r="FS179">
        <v>153</v>
      </c>
      <c r="FT179">
        <v>150</v>
      </c>
      <c r="FU179" s="42">
        <v>3</v>
      </c>
      <c r="FV179" s="44"/>
      <c r="FW179" s="46">
        <v>306</v>
      </c>
      <c r="FX179">
        <v>300</v>
      </c>
      <c r="GA179">
        <v>300</v>
      </c>
      <c r="GB179">
        <v>300</v>
      </c>
      <c r="GC179" s="42">
        <v>6</v>
      </c>
      <c r="GD179" s="44"/>
      <c r="GI179" s="42">
        <v>0</v>
      </c>
      <c r="GJ179" s="44"/>
      <c r="GK179" s="43"/>
      <c r="GM179">
        <v>304</v>
      </c>
      <c r="GN179">
        <v>300</v>
      </c>
      <c r="GO179" s="42">
        <v>4</v>
      </c>
      <c r="GP179" s="47"/>
      <c r="GQ179">
        <v>151</v>
      </c>
      <c r="GR179">
        <v>150</v>
      </c>
      <c r="GS179">
        <v>171</v>
      </c>
      <c r="GT179">
        <v>170</v>
      </c>
      <c r="GU179" s="42">
        <v>2</v>
      </c>
      <c r="GV179" s="44"/>
      <c r="GY179" s="42">
        <v>0</v>
      </c>
      <c r="GZ179" s="47"/>
      <c r="HA179" s="43"/>
      <c r="HC179" s="42">
        <v>0</v>
      </c>
      <c r="HD179" s="44"/>
      <c r="HE179" s="43"/>
      <c r="HI179" s="42">
        <v>0</v>
      </c>
      <c r="HJ179" s="47"/>
      <c r="HK179" s="46">
        <v>251</v>
      </c>
      <c r="HL179" s="42">
        <v>250</v>
      </c>
      <c r="HM179" s="42">
        <v>196</v>
      </c>
      <c r="HN179" s="42">
        <v>200</v>
      </c>
      <c r="HO179" s="42">
        <v>-3</v>
      </c>
      <c r="HP179" s="44"/>
      <c r="HV179" s="42">
        <v>0</v>
      </c>
      <c r="HW179" s="44"/>
      <c r="HX179" s="45"/>
      <c r="IC179" s="44"/>
      <c r="II179" s="47"/>
      <c r="IO179" s="47"/>
      <c r="IU179" s="47"/>
      <c r="JA179" s="44"/>
      <c r="JE179" s="44"/>
      <c r="JK179" s="44"/>
      <c r="JL179" s="45"/>
      <c r="JO179" s="44"/>
      <c r="JU179" s="44"/>
      <c r="KA179" s="47"/>
      <c r="KG179" s="44"/>
      <c r="KH179" s="41"/>
      <c r="KM179" s="47"/>
      <c r="KN179" s="45"/>
      <c r="KU179" s="47"/>
      <c r="LA179" s="47"/>
      <c r="LG179" s="47"/>
      <c r="LH179" s="45"/>
      <c r="LK179" s="47"/>
      <c r="LL179" s="45"/>
      <c r="LQ179" s="47"/>
      <c r="LR179" s="45"/>
      <c r="LW179" s="47"/>
      <c r="LX179" s="45"/>
      <c r="MA179" s="47"/>
      <c r="MB179" s="45"/>
      <c r="MG179" s="47"/>
      <c r="MH179" s="45"/>
      <c r="MK179" s="47"/>
      <c r="ML179" s="45"/>
      <c r="MQ179" s="47"/>
      <c r="MW179" s="47"/>
      <c r="MX179" s="45"/>
      <c r="NC179" s="47"/>
      <c r="ND179" s="45"/>
      <c r="NI179" s="47"/>
      <c r="NJ179" s="45"/>
      <c r="NO179" s="47"/>
      <c r="NP179" s="45"/>
      <c r="NU179" s="47"/>
      <c r="NV179" s="45"/>
      <c r="OA179" s="47"/>
      <c r="OB179" s="45"/>
      <c r="OE179" s="47"/>
      <c r="OF179" s="45"/>
      <c r="OK179" s="47"/>
      <c r="OL179" s="45"/>
      <c r="OQ179" s="47"/>
      <c r="OR179" s="45"/>
      <c r="OW179" s="47"/>
      <c r="PC179" s="47"/>
      <c r="PD179" s="45"/>
      <c r="PI179" s="47"/>
      <c r="PJ179" s="45"/>
      <c r="PO179" s="47"/>
      <c r="PP179" s="43"/>
      <c r="PU179" s="47"/>
      <c r="PV179" s="45"/>
      <c r="PZ179" s="42"/>
      <c r="QA179" s="47"/>
      <c r="QB179" s="45"/>
      <c r="QE179" s="47"/>
      <c r="QF179" s="45"/>
      <c r="QK179" s="47"/>
      <c r="QL179" s="45"/>
      <c r="QQ179" s="47"/>
      <c r="QR179" s="45"/>
      <c r="QW179" s="47"/>
      <c r="QX179" s="45"/>
      <c r="RB179" s="42"/>
      <c r="RC179" s="47"/>
      <c r="RD179" s="45"/>
      <c r="RF179" s="42"/>
      <c r="RG179" s="47"/>
    </row>
    <row r="180" spans="1:475" x14ac:dyDescent="0.25">
      <c r="A180" s="40" t="s">
        <v>469</v>
      </c>
      <c r="B180" s="41">
        <v>0.35</v>
      </c>
      <c r="E180">
        <v>400</v>
      </c>
      <c r="F180">
        <v>200</v>
      </c>
      <c r="I180">
        <v>200</v>
      </c>
      <c r="J180">
        <v>192</v>
      </c>
      <c r="K180">
        <v>191</v>
      </c>
      <c r="N180" s="46">
        <v>168</v>
      </c>
      <c r="O180" s="49">
        <v>170</v>
      </c>
      <c r="P180" s="49">
        <v>208</v>
      </c>
      <c r="Q180" s="49">
        <v>206</v>
      </c>
      <c r="R180" s="48">
        <f t="shared" si="17"/>
        <v>0</v>
      </c>
      <c r="S180" s="44"/>
      <c r="T180" s="46">
        <v>400</v>
      </c>
      <c r="U180" s="49">
        <v>400</v>
      </c>
      <c r="V180" s="49">
        <v>448</v>
      </c>
      <c r="W180" s="49">
        <v>450</v>
      </c>
      <c r="X180" s="48">
        <f t="shared" si="18"/>
        <v>-2</v>
      </c>
      <c r="Y180" s="44"/>
      <c r="Z180" s="46">
        <v>160</v>
      </c>
      <c r="AA180" s="49">
        <v>160</v>
      </c>
      <c r="AB180" s="48"/>
      <c r="AC180" s="48"/>
      <c r="AD180" s="48">
        <f t="shared" si="19"/>
        <v>0</v>
      </c>
      <c r="AE180" s="44"/>
      <c r="AF180" s="46">
        <v>352</v>
      </c>
      <c r="AG180" s="49">
        <v>350</v>
      </c>
      <c r="AH180" s="49">
        <v>208</v>
      </c>
      <c r="AI180" s="49">
        <v>208</v>
      </c>
      <c r="AJ180" s="48">
        <f t="shared" si="20"/>
        <v>2</v>
      </c>
      <c r="AK180" s="44"/>
      <c r="AL180" s="49">
        <v>400</v>
      </c>
      <c r="AM180">
        <v>400</v>
      </c>
      <c r="AN180">
        <v>408</v>
      </c>
      <c r="AO180">
        <v>410</v>
      </c>
      <c r="AP180" s="42">
        <v>-2</v>
      </c>
      <c r="AQ180" s="44"/>
      <c r="AR180" s="43"/>
      <c r="AT180">
        <v>352</v>
      </c>
      <c r="AU180">
        <v>350</v>
      </c>
      <c r="AV180" s="42">
        <v>2</v>
      </c>
      <c r="AW180" s="44"/>
      <c r="AX180">
        <v>96</v>
      </c>
      <c r="AZ180">
        <v>100</v>
      </c>
      <c r="BA180">
        <v>296</v>
      </c>
      <c r="BB180">
        <v>300</v>
      </c>
      <c r="BC180" s="42">
        <v>-8</v>
      </c>
      <c r="BD180" s="44"/>
      <c r="BE180" s="46">
        <v>352</v>
      </c>
      <c r="BF180">
        <v>350</v>
      </c>
      <c r="BG180">
        <v>360</v>
      </c>
      <c r="BH180">
        <v>360</v>
      </c>
      <c r="BI180" s="42">
        <v>2</v>
      </c>
      <c r="BJ180" s="44"/>
      <c r="BO180" s="42">
        <v>0</v>
      </c>
      <c r="BP180" s="44"/>
      <c r="BS180" s="42">
        <v>0</v>
      </c>
      <c r="BT180" s="44"/>
      <c r="BU180" s="46">
        <v>504</v>
      </c>
      <c r="BV180">
        <v>516</v>
      </c>
      <c r="BW180">
        <v>1200</v>
      </c>
      <c r="BX180">
        <v>1204</v>
      </c>
      <c r="BY180" s="39">
        <v>-16</v>
      </c>
      <c r="BZ180" s="44">
        <v>5.6</v>
      </c>
      <c r="CA180">
        <v>248</v>
      </c>
      <c r="CB180">
        <v>250</v>
      </c>
      <c r="CC180">
        <v>296</v>
      </c>
      <c r="CD180">
        <v>300</v>
      </c>
      <c r="CE180" s="42">
        <v>-6</v>
      </c>
      <c r="CF180" s="44"/>
      <c r="CG180" s="46">
        <v>352</v>
      </c>
      <c r="CH180">
        <v>350</v>
      </c>
      <c r="CI180">
        <v>392</v>
      </c>
      <c r="CJ180">
        <v>397</v>
      </c>
      <c r="CK180" s="42">
        <v>-3</v>
      </c>
      <c r="CL180" s="44"/>
      <c r="CM180" s="46">
        <v>200</v>
      </c>
      <c r="CN180">
        <v>190</v>
      </c>
      <c r="CO180">
        <v>512</v>
      </c>
      <c r="CP180">
        <v>510</v>
      </c>
      <c r="CQ180" s="42">
        <v>12</v>
      </c>
      <c r="CR180" s="44"/>
      <c r="CS180">
        <v>32</v>
      </c>
      <c r="CT180">
        <v>32</v>
      </c>
      <c r="CU180">
        <v>64</v>
      </c>
      <c r="CV180">
        <v>68</v>
      </c>
      <c r="CW180" s="42">
        <v>-4</v>
      </c>
      <c r="CX180" s="44"/>
      <c r="CY180" s="46">
        <v>320</v>
      </c>
      <c r="CZ180">
        <v>320</v>
      </c>
      <c r="DA180">
        <v>504</v>
      </c>
      <c r="DB180">
        <v>504</v>
      </c>
      <c r="DC180" s="42">
        <v>0</v>
      </c>
      <c r="DD180" s="44"/>
      <c r="DE180" s="43"/>
      <c r="DG180">
        <v>496</v>
      </c>
      <c r="DH180">
        <v>500</v>
      </c>
      <c r="DI180">
        <v>296</v>
      </c>
      <c r="DJ180">
        <v>299</v>
      </c>
      <c r="DK180" s="42">
        <v>-7</v>
      </c>
      <c r="DL180" s="44"/>
      <c r="DM180" s="46">
        <v>96</v>
      </c>
      <c r="DN180">
        <v>100</v>
      </c>
      <c r="DO180">
        <v>248</v>
      </c>
      <c r="DP180">
        <v>250</v>
      </c>
      <c r="DQ180" s="42">
        <v>-6</v>
      </c>
      <c r="DR180" s="44"/>
      <c r="DS180">
        <v>296</v>
      </c>
      <c r="DT180">
        <v>300</v>
      </c>
      <c r="DU180">
        <v>376</v>
      </c>
      <c r="DV180">
        <v>380</v>
      </c>
      <c r="DW180">
        <v>400</v>
      </c>
      <c r="DX180">
        <v>400</v>
      </c>
      <c r="DY180" s="42">
        <v>-8</v>
      </c>
      <c r="DZ180" s="44"/>
      <c r="EA180" s="43"/>
      <c r="EC180">
        <v>360</v>
      </c>
      <c r="ED180">
        <v>359</v>
      </c>
      <c r="EE180" s="42">
        <v>1</v>
      </c>
      <c r="EF180" s="44"/>
      <c r="EG180" s="43"/>
      <c r="EI180">
        <v>352</v>
      </c>
      <c r="EJ180">
        <v>350</v>
      </c>
      <c r="EK180" s="42">
        <v>2</v>
      </c>
      <c r="EL180" s="44"/>
      <c r="EM180" s="46">
        <v>200</v>
      </c>
      <c r="EN180">
        <v>200</v>
      </c>
      <c r="EO180">
        <v>496</v>
      </c>
      <c r="EP180">
        <v>500</v>
      </c>
      <c r="EQ180" s="42">
        <v>-4</v>
      </c>
      <c r="ER180" s="44"/>
      <c r="ES180">
        <v>152</v>
      </c>
      <c r="ET180">
        <v>150</v>
      </c>
      <c r="EU180">
        <v>200</v>
      </c>
      <c r="EV180">
        <v>200</v>
      </c>
      <c r="EW180">
        <v>240</v>
      </c>
      <c r="EX180">
        <v>240</v>
      </c>
      <c r="EY180" s="42">
        <v>2</v>
      </c>
      <c r="EZ180" s="44"/>
      <c r="FA180">
        <v>200</v>
      </c>
      <c r="FB180">
        <v>200</v>
      </c>
      <c r="FC180">
        <v>200</v>
      </c>
      <c r="FD180">
        <v>200</v>
      </c>
      <c r="FE180" s="42">
        <v>0</v>
      </c>
      <c r="FF180" s="44"/>
      <c r="FG180" s="46">
        <v>248</v>
      </c>
      <c r="FH180">
        <v>250</v>
      </c>
      <c r="FI180">
        <v>552</v>
      </c>
      <c r="FJ180">
        <v>550</v>
      </c>
      <c r="FK180" s="42">
        <v>0</v>
      </c>
      <c r="FL180" s="44"/>
      <c r="FM180" s="43"/>
      <c r="FO180" s="42">
        <v>0</v>
      </c>
      <c r="FP180" s="44"/>
      <c r="FQ180">
        <v>152</v>
      </c>
      <c r="FR180">
        <v>150</v>
      </c>
      <c r="FS180">
        <v>200</v>
      </c>
      <c r="FT180">
        <v>200</v>
      </c>
      <c r="FU180" s="42">
        <v>2</v>
      </c>
      <c r="FV180" s="44"/>
      <c r="FW180" s="46">
        <v>496</v>
      </c>
      <c r="FX180">
        <v>500</v>
      </c>
      <c r="GA180">
        <v>496</v>
      </c>
      <c r="GB180">
        <v>500</v>
      </c>
      <c r="GC180" s="42">
        <v>-8</v>
      </c>
      <c r="GD180" s="44"/>
      <c r="GG180">
        <v>112</v>
      </c>
      <c r="GH180">
        <v>110</v>
      </c>
      <c r="GI180" s="42">
        <v>2</v>
      </c>
      <c r="GJ180" s="44"/>
      <c r="GK180" s="46">
        <v>96</v>
      </c>
      <c r="GL180">
        <v>100</v>
      </c>
      <c r="GM180">
        <v>96</v>
      </c>
      <c r="GN180">
        <v>100</v>
      </c>
      <c r="GO180" s="42">
        <v>-8</v>
      </c>
      <c r="GP180" s="47"/>
      <c r="GQ180">
        <v>400</v>
      </c>
      <c r="GR180">
        <v>400</v>
      </c>
      <c r="GS180">
        <v>448</v>
      </c>
      <c r="GT180">
        <v>450</v>
      </c>
      <c r="GU180" s="42">
        <v>-2</v>
      </c>
      <c r="GV180" s="44"/>
      <c r="GW180">
        <v>120</v>
      </c>
      <c r="GX180" s="40">
        <v>120</v>
      </c>
      <c r="GY180" s="42">
        <v>0</v>
      </c>
      <c r="GZ180" s="47"/>
      <c r="HA180" s="43"/>
      <c r="HC180" s="42">
        <v>0</v>
      </c>
      <c r="HD180" s="44"/>
      <c r="HE180" s="46">
        <v>200</v>
      </c>
      <c r="HF180" s="40">
        <v>200</v>
      </c>
      <c r="HG180">
        <v>248</v>
      </c>
      <c r="HH180" s="40">
        <v>250</v>
      </c>
      <c r="HI180" s="42">
        <v>-2</v>
      </c>
      <c r="HJ180" s="47"/>
      <c r="HK180" s="46">
        <v>200</v>
      </c>
      <c r="HL180" s="42">
        <v>200</v>
      </c>
      <c r="HM180">
        <v>248</v>
      </c>
      <c r="HN180" s="42">
        <v>250</v>
      </c>
      <c r="HO180" s="42">
        <v>-2</v>
      </c>
      <c r="HP180" s="44"/>
      <c r="HV180" s="42">
        <v>0</v>
      </c>
      <c r="HW180" s="44"/>
      <c r="HX180" s="45"/>
      <c r="IC180" s="44"/>
      <c r="II180" s="47"/>
      <c r="IO180" s="47"/>
      <c r="IU180" s="47"/>
      <c r="JA180" s="44"/>
      <c r="JE180" s="44"/>
      <c r="JK180" s="44"/>
      <c r="JL180" s="45"/>
      <c r="JO180" s="44"/>
      <c r="JU180" s="44"/>
      <c r="KA180" s="47"/>
      <c r="KG180" s="44"/>
      <c r="KH180" s="41"/>
      <c r="KM180" s="47"/>
      <c r="KN180" s="45"/>
      <c r="KU180" s="47"/>
      <c r="LA180" s="47"/>
      <c r="LG180" s="47"/>
      <c r="LH180" s="45"/>
      <c r="LK180" s="47"/>
      <c r="LL180" s="45"/>
      <c r="LQ180" s="47"/>
      <c r="LR180" s="45"/>
      <c r="LW180" s="47"/>
      <c r="LX180" s="45"/>
      <c r="MA180" s="47"/>
      <c r="MB180" s="45"/>
      <c r="MG180" s="47"/>
      <c r="MH180" s="45"/>
      <c r="MK180" s="47"/>
      <c r="ML180" s="45"/>
      <c r="MQ180" s="47"/>
      <c r="MW180" s="47"/>
      <c r="MX180" s="45"/>
      <c r="NC180" s="47"/>
      <c r="ND180" s="45"/>
      <c r="NI180" s="47"/>
      <c r="NJ180" s="45"/>
      <c r="NO180" s="47"/>
      <c r="NP180" s="45"/>
      <c r="NU180" s="47"/>
      <c r="NV180" s="45"/>
      <c r="OA180" s="47"/>
      <c r="OB180" s="45"/>
      <c r="OE180" s="47"/>
      <c r="OF180" s="45"/>
      <c r="OK180" s="47"/>
      <c r="OL180" s="45"/>
      <c r="OQ180" s="47"/>
      <c r="OR180" s="45"/>
      <c r="OW180" s="47"/>
      <c r="PC180" s="47"/>
      <c r="PD180" s="45"/>
      <c r="PI180" s="47"/>
      <c r="PJ180" s="45"/>
      <c r="PO180" s="47"/>
      <c r="PP180" s="43"/>
      <c r="PU180" s="47"/>
      <c r="PV180" s="45"/>
      <c r="PZ180" s="42"/>
      <c r="QA180" s="47"/>
      <c r="QB180" s="45"/>
      <c r="QE180" s="47"/>
      <c r="QF180" s="45"/>
      <c r="QK180" s="47"/>
      <c r="QL180" s="45"/>
      <c r="QQ180" s="47"/>
      <c r="QR180" s="45"/>
      <c r="QW180" s="47"/>
      <c r="QX180" s="45"/>
      <c r="RB180" s="42"/>
      <c r="RC180" s="47"/>
      <c r="RD180" s="45"/>
      <c r="RF180" s="42"/>
      <c r="RG180" s="47"/>
    </row>
    <row r="181" spans="1:475" x14ac:dyDescent="0.25">
      <c r="A181" s="40" t="s">
        <v>470</v>
      </c>
      <c r="B181" s="41">
        <v>0.28000000000000003</v>
      </c>
      <c r="N181" s="43"/>
      <c r="O181" s="48"/>
      <c r="P181" s="48"/>
      <c r="Q181" s="48"/>
      <c r="R181" s="48">
        <f t="shared" si="17"/>
        <v>0</v>
      </c>
      <c r="S181" s="44"/>
      <c r="T181" s="43"/>
      <c r="U181" s="48"/>
      <c r="V181" s="48"/>
      <c r="W181" s="48"/>
      <c r="X181" s="48">
        <f t="shared" si="18"/>
        <v>0</v>
      </c>
      <c r="Y181" s="44"/>
      <c r="Z181" s="43"/>
      <c r="AA181" s="48"/>
      <c r="AB181" s="48"/>
      <c r="AC181" s="48"/>
      <c r="AD181" s="48">
        <f t="shared" si="19"/>
        <v>0</v>
      </c>
      <c r="AE181" s="44"/>
      <c r="AF181" s="43"/>
      <c r="AG181" s="48"/>
      <c r="AH181" s="48"/>
      <c r="AI181" s="48"/>
      <c r="AJ181" s="48">
        <f t="shared" si="20"/>
        <v>0</v>
      </c>
      <c r="AK181" s="44"/>
      <c r="AL181" s="48"/>
      <c r="AP181" s="42">
        <v>0</v>
      </c>
      <c r="AQ181" s="44"/>
      <c r="AR181" s="43"/>
      <c r="AV181" s="42">
        <v>0</v>
      </c>
      <c r="AW181" s="44"/>
      <c r="BC181" s="42">
        <v>0</v>
      </c>
      <c r="BD181" s="44"/>
      <c r="BE181" s="43"/>
      <c r="BI181" s="42">
        <v>0</v>
      </c>
      <c r="BJ181" s="44"/>
      <c r="BO181" s="42">
        <v>0</v>
      </c>
      <c r="BP181" s="44"/>
      <c r="BS181" s="42">
        <v>0</v>
      </c>
      <c r="BT181" s="44"/>
      <c r="BU181" s="43"/>
      <c r="BY181" s="42">
        <v>0</v>
      </c>
      <c r="BZ181" s="44"/>
      <c r="CE181" s="42">
        <v>0</v>
      </c>
      <c r="CF181" s="44"/>
      <c r="CG181" s="43"/>
      <c r="CK181" s="42">
        <v>0</v>
      </c>
      <c r="CL181" s="44"/>
      <c r="CM181" s="43"/>
      <c r="CQ181" s="42">
        <v>0</v>
      </c>
      <c r="CR181" s="44"/>
      <c r="CW181" s="42">
        <v>0</v>
      </c>
      <c r="CX181" s="44"/>
      <c r="CY181" s="43"/>
      <c r="DC181" s="42">
        <v>0</v>
      </c>
      <c r="DD181" s="44"/>
      <c r="DE181" s="43"/>
      <c r="DK181" s="42">
        <v>0</v>
      </c>
      <c r="DL181" s="44"/>
      <c r="DM181" s="43"/>
      <c r="DQ181" s="42">
        <v>0</v>
      </c>
      <c r="DR181" s="44"/>
      <c r="DY181" s="42">
        <v>0</v>
      </c>
      <c r="DZ181" s="44"/>
      <c r="EA181" s="43"/>
      <c r="EE181" s="42">
        <v>0</v>
      </c>
      <c r="EF181" s="44"/>
      <c r="EG181" s="43"/>
      <c r="EK181" s="42">
        <v>0</v>
      </c>
      <c r="EL181" s="44"/>
      <c r="EM181" s="43"/>
      <c r="EQ181" s="42">
        <v>0</v>
      </c>
      <c r="ER181" s="44"/>
      <c r="EY181" s="42">
        <v>0</v>
      </c>
      <c r="EZ181" s="44"/>
      <c r="FE181" s="42">
        <v>0</v>
      </c>
      <c r="FF181" s="44"/>
      <c r="FG181" s="43"/>
      <c r="FK181" s="42">
        <v>0</v>
      </c>
      <c r="FL181" s="44"/>
      <c r="FM181" s="43"/>
      <c r="FO181" s="42">
        <v>0</v>
      </c>
      <c r="FP181" s="44"/>
      <c r="FU181" s="42">
        <v>0</v>
      </c>
      <c r="FV181" s="44"/>
      <c r="FW181" s="43"/>
      <c r="GB181">
        <v>48</v>
      </c>
      <c r="GC181" s="42">
        <v>0</v>
      </c>
      <c r="GD181" s="44"/>
      <c r="GF181" s="37">
        <v>300</v>
      </c>
      <c r="GH181" s="37">
        <v>350</v>
      </c>
      <c r="GI181" s="42">
        <v>-2</v>
      </c>
      <c r="GJ181" s="44"/>
      <c r="GK181" s="43"/>
      <c r="GM181">
        <v>72</v>
      </c>
      <c r="GN181">
        <v>70</v>
      </c>
      <c r="GO181" s="42">
        <v>2</v>
      </c>
      <c r="GP181" s="47"/>
      <c r="GU181" s="42">
        <v>0</v>
      </c>
      <c r="GV181" s="44"/>
      <c r="GW181">
        <v>632</v>
      </c>
      <c r="GX181" s="40">
        <v>630</v>
      </c>
      <c r="GY181" s="42">
        <v>2</v>
      </c>
      <c r="GZ181" s="47"/>
      <c r="HA181" s="43"/>
      <c r="HC181" s="42">
        <v>0</v>
      </c>
      <c r="HD181" s="44"/>
      <c r="HE181" s="43"/>
      <c r="HF181" s="40">
        <v>400</v>
      </c>
      <c r="HG181">
        <v>400</v>
      </c>
      <c r="HH181" s="40">
        <v>400</v>
      </c>
      <c r="HI181" s="39">
        <v>-400</v>
      </c>
      <c r="HJ181" s="47">
        <v>112</v>
      </c>
      <c r="HK181" s="43"/>
      <c r="HO181" s="42">
        <v>0</v>
      </c>
      <c r="HP181" s="44"/>
      <c r="HV181" s="42">
        <v>0</v>
      </c>
      <c r="HW181" s="44"/>
      <c r="HX181" s="45"/>
      <c r="IC181" s="44"/>
      <c r="II181" s="47"/>
      <c r="IO181" s="47"/>
      <c r="IU181" s="47"/>
      <c r="JA181" s="44"/>
      <c r="JE181" s="44"/>
      <c r="JK181" s="44"/>
      <c r="JL181" s="45"/>
      <c r="JO181" s="44"/>
      <c r="JU181" s="44"/>
      <c r="KA181" s="47"/>
      <c r="KG181" s="44"/>
      <c r="KH181" s="41"/>
      <c r="KM181" s="47"/>
      <c r="KN181" s="45"/>
      <c r="KU181" s="47"/>
      <c r="LA181" s="47"/>
      <c r="LG181" s="47"/>
      <c r="LH181" s="45"/>
      <c r="LK181" s="47"/>
      <c r="LL181" s="45"/>
      <c r="LQ181" s="47"/>
      <c r="LR181" s="45"/>
      <c r="LW181" s="47"/>
      <c r="LX181" s="45"/>
      <c r="MA181" s="47"/>
      <c r="MB181" s="45"/>
      <c r="MG181" s="47"/>
      <c r="MH181" s="45"/>
      <c r="MK181" s="47"/>
      <c r="ML181" s="45"/>
      <c r="MQ181" s="47"/>
      <c r="MW181" s="47"/>
      <c r="MX181" s="45"/>
      <c r="NC181" s="47"/>
      <c r="ND181" s="45"/>
      <c r="NI181" s="47"/>
      <c r="NJ181" s="45"/>
      <c r="NO181" s="47"/>
      <c r="NP181" s="45"/>
      <c r="NU181" s="47"/>
      <c r="NV181" s="45"/>
      <c r="OA181" s="47"/>
      <c r="OB181" s="45"/>
      <c r="OE181" s="47"/>
      <c r="OF181" s="45"/>
      <c r="OK181" s="47"/>
      <c r="OL181" s="45"/>
      <c r="OQ181" s="47"/>
      <c r="OR181" s="45"/>
      <c r="OW181" s="47"/>
      <c r="PC181" s="47"/>
      <c r="PD181" s="45"/>
      <c r="PI181" s="47"/>
      <c r="PJ181" s="45"/>
      <c r="PO181" s="47"/>
      <c r="PP181" s="43"/>
      <c r="PU181" s="47"/>
      <c r="PV181" s="45"/>
      <c r="PZ181" s="42"/>
      <c r="QA181" s="47"/>
      <c r="QB181" s="45"/>
      <c r="QE181" s="47"/>
      <c r="QF181" s="45"/>
      <c r="QK181" s="47"/>
      <c r="QL181" s="45"/>
      <c r="QQ181" s="47"/>
      <c r="QR181" s="45"/>
      <c r="QW181" s="47"/>
      <c r="QX181" s="45"/>
      <c r="RB181" s="42"/>
      <c r="RC181" s="47"/>
      <c r="RD181" s="45"/>
      <c r="RF181" s="42"/>
      <c r="RG181" s="47"/>
    </row>
    <row r="182" spans="1:475" x14ac:dyDescent="0.25">
      <c r="A182" s="40" t="s">
        <v>471</v>
      </c>
      <c r="B182" s="41">
        <v>0.3</v>
      </c>
      <c r="J182">
        <v>78</v>
      </c>
      <c r="K182">
        <v>80</v>
      </c>
      <c r="N182" s="43"/>
      <c r="O182" s="48"/>
      <c r="P182" s="49">
        <v>102</v>
      </c>
      <c r="Q182" s="49">
        <v>100</v>
      </c>
      <c r="R182" s="48">
        <f t="shared" si="17"/>
        <v>2</v>
      </c>
      <c r="S182" s="44"/>
      <c r="T182" s="43"/>
      <c r="U182" s="48"/>
      <c r="V182" s="48"/>
      <c r="W182" s="48"/>
      <c r="X182" s="48">
        <f t="shared" si="18"/>
        <v>0</v>
      </c>
      <c r="Y182" s="44"/>
      <c r="Z182" s="46">
        <v>48</v>
      </c>
      <c r="AA182" s="49">
        <v>50</v>
      </c>
      <c r="AB182" s="48"/>
      <c r="AC182" s="48"/>
      <c r="AD182" s="48">
        <f t="shared" si="19"/>
        <v>-2</v>
      </c>
      <c r="AE182" s="44"/>
      <c r="AF182" s="43"/>
      <c r="AG182" s="48"/>
      <c r="AH182" s="49">
        <v>150</v>
      </c>
      <c r="AI182" s="49">
        <v>151</v>
      </c>
      <c r="AJ182" s="48">
        <f t="shared" si="20"/>
        <v>-1</v>
      </c>
      <c r="AK182" s="44"/>
      <c r="AL182" s="48"/>
      <c r="AP182" s="42">
        <v>0</v>
      </c>
      <c r="AQ182" s="44"/>
      <c r="AR182" s="43"/>
      <c r="AV182" s="42">
        <v>0</v>
      </c>
      <c r="AW182" s="44"/>
      <c r="BA182">
        <v>150</v>
      </c>
      <c r="BB182">
        <v>150</v>
      </c>
      <c r="BC182" s="42">
        <v>0</v>
      </c>
      <c r="BD182" s="44"/>
      <c r="BE182" s="46">
        <v>30</v>
      </c>
      <c r="BF182">
        <v>30</v>
      </c>
      <c r="BI182" s="42">
        <v>0</v>
      </c>
      <c r="BJ182" s="44"/>
      <c r="BK182">
        <v>48</v>
      </c>
      <c r="BL182">
        <v>50</v>
      </c>
      <c r="BO182" s="42">
        <v>-2</v>
      </c>
      <c r="BP182" s="44"/>
      <c r="BS182" s="42">
        <v>0</v>
      </c>
      <c r="BT182" s="44"/>
      <c r="BU182" s="46">
        <v>72</v>
      </c>
      <c r="BV182">
        <v>80</v>
      </c>
      <c r="BX182">
        <v>50</v>
      </c>
      <c r="BY182" s="39">
        <v>-58</v>
      </c>
      <c r="BZ182" s="44">
        <v>17.399999999999999</v>
      </c>
      <c r="CE182" s="42">
        <v>0</v>
      </c>
      <c r="CF182" s="44"/>
      <c r="CG182" s="43"/>
      <c r="CI182">
        <v>48</v>
      </c>
      <c r="CJ182">
        <v>50</v>
      </c>
      <c r="CK182" s="42">
        <v>-2</v>
      </c>
      <c r="CL182" s="44"/>
      <c r="CM182" s="43"/>
      <c r="CP182">
        <v>150</v>
      </c>
      <c r="CQ182" s="39">
        <v>-150</v>
      </c>
      <c r="CR182" s="44">
        <v>45</v>
      </c>
      <c r="CW182" s="42">
        <v>0</v>
      </c>
      <c r="CX182" s="44"/>
      <c r="CY182" s="43"/>
      <c r="DC182" s="42">
        <v>0</v>
      </c>
      <c r="DD182" s="44"/>
      <c r="DE182" s="43"/>
      <c r="DI182">
        <v>102</v>
      </c>
      <c r="DJ182">
        <v>100</v>
      </c>
      <c r="DK182" s="42">
        <v>2</v>
      </c>
      <c r="DL182" s="44"/>
      <c r="DM182" s="43"/>
      <c r="DO182">
        <v>30</v>
      </c>
      <c r="DP182">
        <v>30</v>
      </c>
      <c r="DQ182" s="42">
        <v>0</v>
      </c>
      <c r="DR182" s="44"/>
      <c r="DY182" s="42">
        <v>0</v>
      </c>
      <c r="DZ182" s="44"/>
      <c r="EA182" s="43"/>
      <c r="EC182">
        <v>138</v>
      </c>
      <c r="ED182">
        <v>140</v>
      </c>
      <c r="EE182" s="42">
        <v>-2</v>
      </c>
      <c r="EF182" s="44"/>
      <c r="EG182" s="43"/>
      <c r="EK182" s="42">
        <v>0</v>
      </c>
      <c r="EL182" s="44"/>
      <c r="EM182" s="43"/>
      <c r="EO182">
        <v>18</v>
      </c>
      <c r="EP182">
        <v>20</v>
      </c>
      <c r="EQ182" s="42">
        <v>-2</v>
      </c>
      <c r="ER182" s="44"/>
      <c r="EW182">
        <v>90</v>
      </c>
      <c r="EX182">
        <v>90</v>
      </c>
      <c r="EY182" s="42">
        <v>0</v>
      </c>
      <c r="EZ182" s="44"/>
      <c r="FE182" s="42">
        <v>0</v>
      </c>
      <c r="FF182" s="44"/>
      <c r="FG182" s="43"/>
      <c r="FI182">
        <v>48</v>
      </c>
      <c r="FJ182">
        <v>49</v>
      </c>
      <c r="FK182" s="42">
        <v>-1</v>
      </c>
      <c r="FL182" s="44"/>
      <c r="FM182" s="43"/>
      <c r="FO182" s="42">
        <v>0</v>
      </c>
      <c r="FP182" s="44"/>
      <c r="FU182" s="42">
        <v>0</v>
      </c>
      <c r="FV182" s="44"/>
      <c r="FW182" s="43">
        <v>42</v>
      </c>
      <c r="FX182" s="42">
        <v>42</v>
      </c>
      <c r="GC182" s="42">
        <v>0</v>
      </c>
      <c r="GD182" s="44"/>
      <c r="GI182" s="42">
        <v>0</v>
      </c>
      <c r="GJ182" s="44"/>
      <c r="GK182" s="43"/>
      <c r="GP182" s="47"/>
      <c r="GV182" s="44"/>
      <c r="GZ182" s="47"/>
      <c r="HA182" s="43"/>
      <c r="HD182" s="44"/>
      <c r="HE182" s="43"/>
      <c r="HJ182" s="47"/>
      <c r="HK182" s="43"/>
      <c r="HP182" s="44"/>
      <c r="HW182" s="44"/>
      <c r="HX182" s="45"/>
      <c r="IC182" s="44"/>
      <c r="II182" s="47"/>
      <c r="IO182" s="47"/>
      <c r="IU182" s="47"/>
      <c r="JA182" s="44"/>
      <c r="JE182" s="44"/>
      <c r="JK182" s="44"/>
      <c r="JL182" s="45"/>
      <c r="JO182" s="44"/>
      <c r="JU182" s="44"/>
      <c r="KA182" s="47"/>
      <c r="KG182" s="44"/>
      <c r="KH182" s="41"/>
      <c r="KM182" s="47"/>
      <c r="KN182" s="45"/>
      <c r="KU182" s="47"/>
      <c r="LA182" s="47"/>
      <c r="LG182" s="47"/>
      <c r="LH182" s="45"/>
      <c r="LK182" s="47"/>
      <c r="LL182" s="45"/>
      <c r="LQ182" s="47"/>
      <c r="LR182" s="45"/>
      <c r="LW182" s="47"/>
      <c r="LX182" s="45"/>
      <c r="MA182" s="47"/>
      <c r="MB182" s="45"/>
      <c r="MG182" s="47"/>
      <c r="MH182" s="45"/>
      <c r="MK182" s="47"/>
      <c r="ML182" s="45"/>
      <c r="MQ182" s="47"/>
      <c r="MW182" s="47"/>
      <c r="MX182" s="45"/>
      <c r="NC182" s="47"/>
      <c r="ND182" s="45"/>
      <c r="NI182" s="47"/>
      <c r="NJ182" s="45"/>
      <c r="NO182" s="47"/>
      <c r="NP182" s="45"/>
      <c r="NU182" s="47"/>
      <c r="NV182" s="45"/>
      <c r="NZ182" s="42"/>
      <c r="OA182" s="47"/>
      <c r="OB182" s="45"/>
      <c r="OE182" s="47"/>
      <c r="OF182" s="45"/>
      <c r="OK182" s="47"/>
      <c r="OL182" s="45"/>
      <c r="OQ182" s="47"/>
      <c r="OR182" s="45"/>
      <c r="OW182" s="47"/>
      <c r="PC182" s="47"/>
      <c r="PD182" s="45"/>
      <c r="PI182" s="47"/>
      <c r="PJ182" s="45"/>
      <c r="PO182" s="47"/>
      <c r="PP182" s="43"/>
      <c r="PU182" s="47"/>
      <c r="PV182" s="45"/>
      <c r="PZ182" s="42"/>
      <c r="QA182" s="47"/>
      <c r="QB182" s="45"/>
      <c r="QE182" s="47"/>
      <c r="QF182" s="45"/>
      <c r="QK182" s="47"/>
      <c r="QL182" s="45"/>
      <c r="QQ182" s="47"/>
      <c r="QR182" s="45"/>
      <c r="QW182" s="47"/>
      <c r="QX182" s="45"/>
      <c r="RB182" s="42"/>
      <c r="RC182" s="47"/>
      <c r="RD182" s="45"/>
      <c r="RF182" s="42"/>
      <c r="RG182" s="47"/>
    </row>
    <row r="183" spans="1:475" x14ac:dyDescent="0.25">
      <c r="A183" s="40" t="s">
        <v>472</v>
      </c>
      <c r="B183" s="41">
        <v>0.18</v>
      </c>
      <c r="N183" s="43"/>
      <c r="O183" s="48"/>
      <c r="P183" s="48"/>
      <c r="Q183" s="48"/>
      <c r="R183" s="48">
        <f t="shared" si="17"/>
        <v>0</v>
      </c>
      <c r="S183" s="44"/>
      <c r="T183" s="43"/>
      <c r="U183" s="48"/>
      <c r="V183" s="48"/>
      <c r="W183" s="48"/>
      <c r="X183" s="48">
        <f t="shared" si="18"/>
        <v>0</v>
      </c>
      <c r="Y183" s="44"/>
      <c r="Z183" s="43"/>
      <c r="AA183" s="48"/>
      <c r="AB183" s="48"/>
      <c r="AC183" s="48"/>
      <c r="AD183" s="48">
        <f t="shared" si="19"/>
        <v>0</v>
      </c>
      <c r="AE183" s="44"/>
      <c r="AF183" s="43"/>
      <c r="AG183" s="48"/>
      <c r="AH183" s="48"/>
      <c r="AI183" s="48"/>
      <c r="AJ183" s="48">
        <f t="shared" si="20"/>
        <v>0</v>
      </c>
      <c r="AK183" s="44"/>
      <c r="AL183" s="48"/>
      <c r="AM183">
        <v>20</v>
      </c>
      <c r="AP183" s="39">
        <v>-20</v>
      </c>
      <c r="AQ183" s="44">
        <v>3.6</v>
      </c>
      <c r="AR183" s="43"/>
      <c r="AU183">
        <v>20</v>
      </c>
      <c r="AV183" s="39">
        <v>-20</v>
      </c>
      <c r="AW183" s="44">
        <v>3.6</v>
      </c>
      <c r="BB183">
        <v>50</v>
      </c>
      <c r="BC183" s="39">
        <v>-50</v>
      </c>
      <c r="BD183" s="44">
        <v>9</v>
      </c>
      <c r="BE183" s="43"/>
      <c r="BI183" s="42">
        <v>0</v>
      </c>
      <c r="BJ183" s="44"/>
      <c r="BN183">
        <v>50</v>
      </c>
      <c r="BO183" s="39">
        <v>-50</v>
      </c>
      <c r="BP183" s="44">
        <v>9</v>
      </c>
      <c r="BS183" s="42">
        <v>0</v>
      </c>
      <c r="BT183" s="44"/>
      <c r="BU183" s="43"/>
      <c r="BX183">
        <v>20</v>
      </c>
      <c r="BY183" s="39">
        <v>-20</v>
      </c>
      <c r="BZ183" s="44">
        <v>3.6</v>
      </c>
      <c r="CE183" s="42">
        <v>0</v>
      </c>
      <c r="CF183" s="44"/>
      <c r="CG183" s="43"/>
      <c r="CH183">
        <v>20</v>
      </c>
      <c r="CK183" s="39">
        <v>-20</v>
      </c>
      <c r="CL183" s="44">
        <v>3.6</v>
      </c>
      <c r="CM183" s="43"/>
      <c r="CQ183" s="42">
        <v>0</v>
      </c>
      <c r="CR183" s="44"/>
      <c r="CV183">
        <v>30</v>
      </c>
      <c r="CW183" s="39">
        <v>-30</v>
      </c>
      <c r="CX183" s="44">
        <v>5.3999999999999986</v>
      </c>
      <c r="CY183" s="43"/>
      <c r="DC183" s="42">
        <v>0</v>
      </c>
      <c r="DD183" s="44"/>
      <c r="DE183" s="43"/>
      <c r="DJ183">
        <v>50</v>
      </c>
      <c r="DK183" s="39">
        <v>-50</v>
      </c>
      <c r="DL183" s="44">
        <v>9</v>
      </c>
      <c r="DM183" s="43"/>
      <c r="DP183">
        <v>40</v>
      </c>
      <c r="DQ183" s="39">
        <v>-40</v>
      </c>
      <c r="DR183" s="44">
        <v>7.1999999999999993</v>
      </c>
      <c r="DY183" s="42">
        <v>0</v>
      </c>
      <c r="DZ183" s="44"/>
      <c r="EA183" s="43"/>
      <c r="EE183" s="42">
        <v>0</v>
      </c>
      <c r="EF183" s="44"/>
      <c r="EG183" s="43"/>
      <c r="EJ183">
        <v>100</v>
      </c>
      <c r="EK183" s="39">
        <v>-100</v>
      </c>
      <c r="EL183" s="44">
        <v>18</v>
      </c>
      <c r="EM183" s="43"/>
      <c r="EP183">
        <v>20</v>
      </c>
      <c r="EQ183" s="39">
        <v>-20</v>
      </c>
      <c r="ER183" s="44">
        <v>3.6</v>
      </c>
      <c r="ET183" s="42">
        <v>40</v>
      </c>
      <c r="EV183" s="42">
        <v>50</v>
      </c>
      <c r="EX183" s="42">
        <v>50</v>
      </c>
      <c r="EY183" s="39">
        <v>-140</v>
      </c>
      <c r="EZ183" s="44">
        <v>25.2</v>
      </c>
      <c r="FB183" s="42">
        <v>30</v>
      </c>
      <c r="FE183" s="39">
        <v>-30</v>
      </c>
      <c r="FF183" s="44">
        <v>5.3999999999999986</v>
      </c>
      <c r="FG183" s="43"/>
      <c r="FI183">
        <v>120</v>
      </c>
      <c r="FK183" s="42">
        <v>120</v>
      </c>
      <c r="FL183" s="44"/>
      <c r="FM183" s="43"/>
      <c r="FO183" s="42">
        <v>0</v>
      </c>
      <c r="FP183" s="44"/>
      <c r="FV183" s="44"/>
      <c r="FW183" s="43"/>
      <c r="GD183" s="44"/>
      <c r="GJ183" s="44"/>
      <c r="GK183" s="43"/>
      <c r="GP183" s="47"/>
      <c r="GV183" s="44"/>
      <c r="GZ183" s="47"/>
      <c r="HA183" s="43"/>
      <c r="HD183" s="44"/>
      <c r="HE183" s="43"/>
      <c r="HJ183" s="47"/>
      <c r="HK183" s="43"/>
      <c r="HP183" s="44"/>
      <c r="HW183" s="44"/>
      <c r="HX183" s="45"/>
      <c r="IC183" s="44"/>
      <c r="II183" s="47"/>
      <c r="IO183" s="47"/>
      <c r="IU183" s="47"/>
      <c r="JA183" s="44"/>
      <c r="JE183" s="44"/>
      <c r="JK183" s="44"/>
      <c r="JL183" s="45"/>
      <c r="JO183" s="44"/>
      <c r="JU183" s="44"/>
      <c r="KA183" s="47"/>
      <c r="KG183" s="44"/>
      <c r="KH183" s="41"/>
      <c r="KM183" s="47"/>
      <c r="KN183" s="45"/>
      <c r="KU183" s="47"/>
      <c r="LA183" s="47"/>
      <c r="LG183" s="47"/>
      <c r="LH183" s="45"/>
      <c r="LK183" s="47"/>
      <c r="LL183" s="45"/>
      <c r="LQ183" s="47"/>
      <c r="LR183" s="45"/>
      <c r="LW183" s="47"/>
      <c r="LX183" s="45"/>
      <c r="MA183" s="47"/>
      <c r="MB183" s="45"/>
      <c r="MG183" s="47"/>
      <c r="MH183" s="45"/>
      <c r="MK183" s="47"/>
      <c r="ML183" s="45"/>
      <c r="MQ183" s="47"/>
      <c r="MW183" s="47"/>
      <c r="MX183" s="45"/>
      <c r="NC183" s="47"/>
      <c r="ND183" s="45"/>
      <c r="NI183" s="47"/>
      <c r="NJ183" s="45"/>
      <c r="NO183" s="47"/>
      <c r="NP183" s="45"/>
      <c r="NU183" s="47"/>
      <c r="NV183" s="45"/>
      <c r="NZ183" s="42"/>
      <c r="OA183" s="47"/>
      <c r="OB183" s="45"/>
      <c r="OE183" s="47"/>
      <c r="OF183" s="45"/>
      <c r="OK183" s="47"/>
      <c r="OL183" s="45"/>
      <c r="OQ183" s="47"/>
      <c r="OR183" s="45"/>
      <c r="OW183" s="47"/>
      <c r="PC183" s="47"/>
      <c r="PD183" s="45"/>
      <c r="PI183" s="47"/>
      <c r="PJ183" s="45"/>
      <c r="PO183" s="47"/>
      <c r="PP183" s="43"/>
      <c r="PU183" s="47"/>
      <c r="PV183" s="45"/>
      <c r="PZ183" s="42"/>
      <c r="QA183" s="47"/>
      <c r="QB183" s="45"/>
      <c r="QE183" s="47"/>
      <c r="QF183" s="45"/>
      <c r="QK183" s="47"/>
      <c r="QL183" s="45"/>
      <c r="QQ183" s="47"/>
      <c r="QR183" s="45"/>
      <c r="QW183" s="47"/>
      <c r="QX183" s="45"/>
      <c r="RB183" s="42"/>
      <c r="RC183" s="47"/>
      <c r="RD183" s="45"/>
      <c r="RF183" s="42"/>
      <c r="RG183" s="47"/>
    </row>
    <row r="184" spans="1:475" x14ac:dyDescent="0.25">
      <c r="A184" s="40" t="s">
        <v>473</v>
      </c>
      <c r="B184" s="41">
        <v>0.18</v>
      </c>
      <c r="K184">
        <v>20</v>
      </c>
      <c r="N184" s="43"/>
      <c r="O184" s="48"/>
      <c r="P184" s="48"/>
      <c r="Q184" s="48"/>
      <c r="R184" s="48">
        <f t="shared" si="17"/>
        <v>0</v>
      </c>
      <c r="S184" s="44"/>
      <c r="T184" s="43"/>
      <c r="U184" s="49">
        <v>20</v>
      </c>
      <c r="V184" s="48"/>
      <c r="W184" s="49">
        <v>30</v>
      </c>
      <c r="X184" s="53">
        <f t="shared" si="18"/>
        <v>-50</v>
      </c>
      <c r="Y184" s="44">
        <f>-1*X184*B184</f>
        <v>9</v>
      </c>
      <c r="Z184" s="43"/>
      <c r="AA184" s="48"/>
      <c r="AB184" s="48"/>
      <c r="AC184" s="49">
        <v>20</v>
      </c>
      <c r="AD184" s="53">
        <f t="shared" si="19"/>
        <v>-20</v>
      </c>
      <c r="AE184" s="44">
        <f>-1*AD184*B184</f>
        <v>3.5999999999999996</v>
      </c>
      <c r="AF184" s="43"/>
      <c r="AG184" s="49">
        <v>20</v>
      </c>
      <c r="AH184" s="48"/>
      <c r="AI184" s="48"/>
      <c r="AJ184" s="53">
        <f t="shared" si="20"/>
        <v>-20</v>
      </c>
      <c r="AK184" s="44">
        <f>-1*AJ184*B184</f>
        <v>3.5999999999999996</v>
      </c>
      <c r="AL184" s="48"/>
      <c r="AM184">
        <v>20</v>
      </c>
      <c r="AP184" s="39">
        <v>-20</v>
      </c>
      <c r="AQ184" s="44">
        <v>3.6</v>
      </c>
      <c r="AR184" s="43"/>
      <c r="AU184">
        <v>20</v>
      </c>
      <c r="AV184" s="39">
        <v>-20</v>
      </c>
      <c r="AW184" s="44">
        <v>3.6</v>
      </c>
      <c r="BB184">
        <v>50</v>
      </c>
      <c r="BC184" s="39">
        <v>-50</v>
      </c>
      <c r="BD184" s="44">
        <v>9</v>
      </c>
      <c r="BE184" s="43"/>
      <c r="BI184" s="42">
        <v>0</v>
      </c>
      <c r="BJ184" s="44"/>
      <c r="BN184">
        <v>50</v>
      </c>
      <c r="BO184" s="39">
        <v>-50</v>
      </c>
      <c r="BP184" s="44">
        <v>9</v>
      </c>
      <c r="BS184" s="42">
        <v>0</v>
      </c>
      <c r="BT184" s="44"/>
      <c r="BU184" s="43"/>
      <c r="BX184">
        <v>20</v>
      </c>
      <c r="BY184" s="39">
        <v>-20</v>
      </c>
      <c r="BZ184" s="44">
        <v>3.6</v>
      </c>
      <c r="CE184" s="42">
        <v>0</v>
      </c>
      <c r="CF184" s="44"/>
      <c r="CG184" s="43"/>
      <c r="CH184">
        <v>20</v>
      </c>
      <c r="CK184" s="39">
        <v>-20</v>
      </c>
      <c r="CL184" s="44">
        <v>3.6</v>
      </c>
      <c r="CM184" s="43"/>
      <c r="CQ184" s="42">
        <v>0</v>
      </c>
      <c r="CR184" s="44"/>
      <c r="CV184">
        <v>30</v>
      </c>
      <c r="CW184" s="39">
        <v>-30</v>
      </c>
      <c r="CX184" s="44">
        <v>5.3999999999999986</v>
      </c>
      <c r="CY184" s="43"/>
      <c r="DB184">
        <v>30</v>
      </c>
      <c r="DC184" s="39">
        <v>-30</v>
      </c>
      <c r="DD184" s="44">
        <v>5.3999999999999986</v>
      </c>
      <c r="DE184" s="43"/>
      <c r="DJ184">
        <v>50</v>
      </c>
      <c r="DK184" s="39">
        <v>-50</v>
      </c>
      <c r="DL184" s="44">
        <v>9</v>
      </c>
      <c r="DM184" s="43"/>
      <c r="DP184">
        <v>40</v>
      </c>
      <c r="DQ184" s="39">
        <v>-40</v>
      </c>
      <c r="DR184" s="44">
        <v>7.1999999999999993</v>
      </c>
      <c r="DY184" s="42">
        <v>0</v>
      </c>
      <c r="DZ184" s="44"/>
      <c r="EA184" s="43"/>
      <c r="EE184" s="42">
        <v>0</v>
      </c>
      <c r="EF184" s="44"/>
      <c r="EG184" s="43"/>
      <c r="EJ184">
        <v>70</v>
      </c>
      <c r="EK184" s="39">
        <v>-70</v>
      </c>
      <c r="EL184" s="44">
        <v>12.6</v>
      </c>
      <c r="EM184" s="43"/>
      <c r="EP184">
        <v>69</v>
      </c>
      <c r="EQ184" s="39">
        <v>-69</v>
      </c>
      <c r="ER184" s="44">
        <v>12.42</v>
      </c>
      <c r="ET184" s="42">
        <v>30</v>
      </c>
      <c r="EV184" s="42">
        <v>40</v>
      </c>
      <c r="EX184" s="42">
        <v>50</v>
      </c>
      <c r="EY184" s="39">
        <v>-120</v>
      </c>
      <c r="EZ184" s="44">
        <v>21.6</v>
      </c>
      <c r="FA184">
        <v>32</v>
      </c>
      <c r="FB184" s="42">
        <v>30</v>
      </c>
      <c r="FE184" s="42">
        <v>2</v>
      </c>
      <c r="FF184" s="44"/>
      <c r="FG184" s="43"/>
      <c r="FI184">
        <v>120</v>
      </c>
      <c r="FK184" s="42">
        <v>120</v>
      </c>
      <c r="FL184" s="44"/>
      <c r="FM184" s="43"/>
      <c r="FO184" s="42">
        <v>0</v>
      </c>
      <c r="FP184" s="44"/>
      <c r="FV184" s="44"/>
      <c r="FW184" s="43"/>
      <c r="GD184" s="44"/>
      <c r="GJ184" s="44"/>
      <c r="GK184" s="43"/>
      <c r="GP184" s="47"/>
      <c r="GV184" s="44"/>
      <c r="GZ184" s="47"/>
      <c r="HA184" s="43"/>
      <c r="HD184" s="44"/>
      <c r="HE184" s="43"/>
      <c r="HJ184" s="47"/>
      <c r="HK184" s="43"/>
      <c r="HP184" s="44"/>
      <c r="HW184" s="44"/>
      <c r="HX184" s="45"/>
      <c r="IC184" s="44"/>
      <c r="II184" s="47"/>
      <c r="IO184" s="47"/>
      <c r="IU184" s="47"/>
      <c r="JA184" s="44"/>
      <c r="JE184" s="44"/>
      <c r="JK184" s="44"/>
      <c r="JL184" s="45"/>
      <c r="JO184" s="44"/>
      <c r="JU184" s="44"/>
      <c r="KA184" s="47"/>
      <c r="KG184" s="44"/>
      <c r="KH184" s="41"/>
      <c r="KM184" s="47"/>
      <c r="KN184" s="45"/>
      <c r="KU184" s="47"/>
      <c r="LA184" s="47"/>
      <c r="LG184" s="47"/>
      <c r="LH184" s="45"/>
      <c r="LK184" s="47"/>
      <c r="LL184" s="45"/>
      <c r="LQ184" s="47"/>
      <c r="LR184" s="45"/>
      <c r="LW184" s="47"/>
      <c r="LX184" s="45"/>
      <c r="MA184" s="47"/>
      <c r="MB184" s="45"/>
      <c r="MG184" s="47"/>
      <c r="MH184" s="45"/>
      <c r="MK184" s="47"/>
      <c r="ML184" s="45"/>
      <c r="MQ184" s="47"/>
      <c r="MW184" s="47"/>
      <c r="MX184" s="45"/>
      <c r="NC184" s="47"/>
      <c r="ND184" s="45"/>
      <c r="NI184" s="47"/>
      <c r="NJ184" s="45"/>
      <c r="NO184" s="47"/>
      <c r="NP184" s="45"/>
      <c r="NU184" s="47"/>
      <c r="NV184" s="45"/>
      <c r="NZ184" s="42"/>
      <c r="OA184" s="47"/>
      <c r="OB184" s="45"/>
      <c r="OE184" s="47"/>
      <c r="OF184" s="45"/>
      <c r="OK184" s="47"/>
      <c r="OL184" s="45"/>
      <c r="OQ184" s="47"/>
      <c r="OR184" s="45"/>
      <c r="OW184" s="47"/>
      <c r="PC184" s="47"/>
      <c r="PD184" s="45"/>
      <c r="PI184" s="47"/>
      <c r="PJ184" s="45"/>
      <c r="PO184" s="47"/>
      <c r="PP184" s="43"/>
      <c r="PU184" s="47"/>
      <c r="PV184" s="45"/>
      <c r="PZ184" s="42"/>
      <c r="QA184" s="47"/>
      <c r="QB184" s="45"/>
      <c r="QE184" s="47"/>
      <c r="QF184" s="45"/>
      <c r="QK184" s="47"/>
      <c r="QL184" s="45"/>
      <c r="QQ184" s="47"/>
      <c r="QR184" s="45"/>
      <c r="QW184" s="47"/>
      <c r="QX184" s="45"/>
      <c r="RB184" s="42"/>
      <c r="RC184" s="47"/>
      <c r="RD184" s="45"/>
      <c r="RF184" s="42"/>
      <c r="RG184" s="47"/>
    </row>
    <row r="185" spans="1:475" x14ac:dyDescent="0.25">
      <c r="A185" s="40" t="s">
        <v>474</v>
      </c>
      <c r="B185" s="41">
        <v>0.18</v>
      </c>
      <c r="N185" s="43"/>
      <c r="O185" s="48"/>
      <c r="P185" s="48"/>
      <c r="Q185" s="48"/>
      <c r="R185" s="48">
        <f t="shared" si="17"/>
        <v>0</v>
      </c>
      <c r="S185" s="44"/>
      <c r="T185" s="43"/>
      <c r="U185" s="48"/>
      <c r="V185" s="48"/>
      <c r="W185" s="48"/>
      <c r="X185" s="48">
        <f t="shared" si="18"/>
        <v>0</v>
      </c>
      <c r="Y185" s="44"/>
      <c r="Z185" s="43"/>
      <c r="AA185" s="48"/>
      <c r="AB185" s="48"/>
      <c r="AC185" s="48"/>
      <c r="AD185" s="48">
        <f t="shared" si="19"/>
        <v>0</v>
      </c>
      <c r="AE185" s="44"/>
      <c r="AF185" s="43"/>
      <c r="AG185" s="48"/>
      <c r="AH185" s="48"/>
      <c r="AI185" s="48"/>
      <c r="AJ185" s="48">
        <f t="shared" si="20"/>
        <v>0</v>
      </c>
      <c r="AK185" s="44"/>
      <c r="AL185" s="49">
        <v>16</v>
      </c>
      <c r="AM185">
        <v>20</v>
      </c>
      <c r="AP185" s="42">
        <v>-4</v>
      </c>
      <c r="AQ185" s="44"/>
      <c r="AR185" s="43"/>
      <c r="AT185">
        <v>16</v>
      </c>
      <c r="AU185">
        <v>20</v>
      </c>
      <c r="AV185" s="42">
        <v>-4</v>
      </c>
      <c r="AW185" s="44"/>
      <c r="BB185">
        <v>50</v>
      </c>
      <c r="BC185" s="39">
        <v>-50</v>
      </c>
      <c r="BD185" s="44">
        <v>9</v>
      </c>
      <c r="BE185" s="43"/>
      <c r="BI185" s="42">
        <v>0</v>
      </c>
      <c r="BJ185" s="44"/>
      <c r="BN185">
        <v>50</v>
      </c>
      <c r="BO185" s="39">
        <v>-50</v>
      </c>
      <c r="BP185" s="44">
        <v>9</v>
      </c>
      <c r="BS185" s="42">
        <v>0</v>
      </c>
      <c r="BT185" s="44"/>
      <c r="BU185" s="43"/>
      <c r="BW185">
        <v>16</v>
      </c>
      <c r="BX185">
        <v>20</v>
      </c>
      <c r="BY185" s="42">
        <v>-4</v>
      </c>
      <c r="BZ185" s="44"/>
      <c r="CE185" s="42">
        <v>0</v>
      </c>
      <c r="CF185" s="44"/>
      <c r="CG185" s="43"/>
      <c r="CH185">
        <v>20</v>
      </c>
      <c r="CK185" s="39">
        <v>-20</v>
      </c>
      <c r="CL185" s="44">
        <v>3.6</v>
      </c>
      <c r="CM185" s="43"/>
      <c r="CQ185" s="42">
        <v>0</v>
      </c>
      <c r="CR185" s="44"/>
      <c r="CV185">
        <v>30</v>
      </c>
      <c r="CW185" s="39">
        <v>-30</v>
      </c>
      <c r="CX185" s="44">
        <v>5.3999999999999986</v>
      </c>
      <c r="CY185" s="43"/>
      <c r="DB185">
        <v>30</v>
      </c>
      <c r="DC185" s="39">
        <v>-30</v>
      </c>
      <c r="DD185" s="44">
        <v>5.3999999999999986</v>
      </c>
      <c r="DE185" s="43"/>
      <c r="DJ185">
        <v>50</v>
      </c>
      <c r="DK185" s="39">
        <v>-50</v>
      </c>
      <c r="DL185" s="44">
        <v>9</v>
      </c>
      <c r="DM185" s="43"/>
      <c r="DP185">
        <v>40</v>
      </c>
      <c r="DQ185" s="39">
        <v>-40</v>
      </c>
      <c r="DR185" s="44">
        <v>7.1999999999999993</v>
      </c>
      <c r="DY185" s="42">
        <v>0</v>
      </c>
      <c r="DZ185" s="44"/>
      <c r="EA185" s="43"/>
      <c r="EE185" s="42">
        <v>0</v>
      </c>
      <c r="EF185" s="44"/>
      <c r="EG185" s="43"/>
      <c r="EJ185">
        <v>60</v>
      </c>
      <c r="EK185" s="39">
        <v>-60</v>
      </c>
      <c r="EL185" s="44">
        <v>10.8</v>
      </c>
      <c r="EM185" s="43"/>
      <c r="EN185">
        <v>60</v>
      </c>
      <c r="EP185">
        <v>77</v>
      </c>
      <c r="EQ185" s="39">
        <v>-137</v>
      </c>
      <c r="ER185" s="44">
        <v>24.66</v>
      </c>
      <c r="EX185" s="42">
        <v>30</v>
      </c>
      <c r="EY185" s="39">
        <v>-30</v>
      </c>
      <c r="EZ185" s="44">
        <v>5.3999999999999986</v>
      </c>
      <c r="FB185" s="42">
        <v>30</v>
      </c>
      <c r="FE185" s="39">
        <v>-30</v>
      </c>
      <c r="FF185" s="44">
        <v>5.3999999999999986</v>
      </c>
      <c r="FG185" s="43"/>
      <c r="FI185">
        <v>120</v>
      </c>
      <c r="FK185" s="42">
        <v>120</v>
      </c>
      <c r="FL185" s="44"/>
      <c r="FM185" s="43"/>
      <c r="FO185" s="42">
        <v>0</v>
      </c>
      <c r="FP185" s="44"/>
      <c r="FV185" s="44"/>
      <c r="FW185" s="43"/>
      <c r="GD185" s="44"/>
      <c r="GJ185" s="44"/>
      <c r="GK185" s="43"/>
      <c r="GP185" s="47"/>
      <c r="GV185" s="44"/>
      <c r="GZ185" s="47"/>
      <c r="HA185" s="43"/>
      <c r="HD185" s="44"/>
      <c r="HE185" s="43"/>
      <c r="HJ185" s="47"/>
      <c r="HK185" s="43"/>
      <c r="HP185" s="44"/>
      <c r="HW185" s="44"/>
      <c r="HX185" s="45"/>
      <c r="IC185" s="44"/>
      <c r="II185" s="47"/>
      <c r="IO185" s="47"/>
      <c r="IU185" s="47"/>
      <c r="JA185" s="44"/>
      <c r="JE185" s="44"/>
      <c r="JK185" s="44"/>
      <c r="JL185" s="45"/>
      <c r="JO185" s="44"/>
      <c r="JU185" s="44"/>
      <c r="KA185" s="47"/>
      <c r="KG185" s="44"/>
      <c r="KH185" s="41"/>
      <c r="KM185" s="47"/>
      <c r="KN185" s="45"/>
      <c r="KU185" s="47"/>
      <c r="LA185" s="47"/>
      <c r="LG185" s="47"/>
      <c r="LH185" s="45"/>
      <c r="LK185" s="47"/>
      <c r="LL185" s="45"/>
      <c r="LQ185" s="47"/>
      <c r="LR185" s="45"/>
      <c r="LW185" s="47"/>
      <c r="LX185" s="45"/>
      <c r="MA185" s="47"/>
      <c r="MB185" s="45"/>
      <c r="MG185" s="47"/>
      <c r="MH185" s="45"/>
      <c r="MK185" s="47"/>
      <c r="ML185" s="45"/>
      <c r="MQ185" s="47"/>
      <c r="MW185" s="47"/>
      <c r="MX185" s="45"/>
      <c r="NC185" s="47"/>
      <c r="ND185" s="45"/>
      <c r="NI185" s="47"/>
      <c r="NJ185" s="45"/>
      <c r="NO185" s="47"/>
      <c r="NP185" s="45"/>
      <c r="NU185" s="47"/>
      <c r="NV185" s="45"/>
      <c r="NZ185" s="42"/>
      <c r="OA185" s="47"/>
      <c r="OB185" s="45"/>
      <c r="OE185" s="47"/>
      <c r="OF185" s="45"/>
      <c r="OK185" s="47"/>
      <c r="OL185" s="45"/>
      <c r="OQ185" s="47"/>
      <c r="OR185" s="45"/>
      <c r="OW185" s="47"/>
      <c r="PC185" s="47"/>
      <c r="PD185" s="45"/>
      <c r="PI185" s="47"/>
      <c r="PJ185" s="45"/>
      <c r="PO185" s="47"/>
      <c r="PP185" s="43"/>
      <c r="PU185" s="47"/>
      <c r="PV185" s="45"/>
      <c r="PZ185" s="42"/>
      <c r="QA185" s="47"/>
      <c r="QB185" s="45"/>
      <c r="QE185" s="47"/>
      <c r="QF185" s="45"/>
      <c r="QK185" s="47"/>
      <c r="QL185" s="45"/>
      <c r="QQ185" s="47"/>
      <c r="QR185" s="45"/>
      <c r="QW185" s="47"/>
      <c r="QX185" s="45"/>
      <c r="RB185" s="42"/>
      <c r="RC185" s="47"/>
      <c r="RD185" s="45"/>
      <c r="RF185" s="42"/>
      <c r="RG185" s="47"/>
    </row>
    <row r="186" spans="1:475" x14ac:dyDescent="0.25">
      <c r="A186" s="40" t="s">
        <v>475</v>
      </c>
      <c r="B186" s="41">
        <v>0.18</v>
      </c>
      <c r="N186" s="43"/>
      <c r="O186" s="48"/>
      <c r="P186" s="48"/>
      <c r="Q186" s="48"/>
      <c r="R186" s="48">
        <f t="shared" si="17"/>
        <v>0</v>
      </c>
      <c r="S186" s="44"/>
      <c r="T186" s="43"/>
      <c r="U186" s="48"/>
      <c r="V186" s="48"/>
      <c r="W186" s="48"/>
      <c r="X186" s="48">
        <f t="shared" si="18"/>
        <v>0</v>
      </c>
      <c r="Y186" s="44"/>
      <c r="Z186" s="43"/>
      <c r="AA186" s="48"/>
      <c r="AB186" s="48"/>
      <c r="AC186" s="48"/>
      <c r="AD186" s="48">
        <f t="shared" si="19"/>
        <v>0</v>
      </c>
      <c r="AE186" s="44"/>
      <c r="AF186" s="43"/>
      <c r="AG186" s="48"/>
      <c r="AH186" s="48"/>
      <c r="AI186" s="48"/>
      <c r="AJ186" s="48">
        <f t="shared" si="20"/>
        <v>0</v>
      </c>
      <c r="AK186" s="44"/>
      <c r="AL186" s="48"/>
      <c r="AM186">
        <v>20</v>
      </c>
      <c r="AP186" s="39">
        <v>-20</v>
      </c>
      <c r="AQ186" s="44">
        <v>3.6</v>
      </c>
      <c r="AR186" s="43"/>
      <c r="AU186">
        <v>20</v>
      </c>
      <c r="AV186" s="39">
        <v>-20</v>
      </c>
      <c r="AW186" s="44">
        <v>3.6</v>
      </c>
      <c r="BB186">
        <v>50</v>
      </c>
      <c r="BC186" s="39">
        <v>-50</v>
      </c>
      <c r="BD186" s="44">
        <v>9</v>
      </c>
      <c r="BE186" s="43"/>
      <c r="BI186" s="42">
        <v>0</v>
      </c>
      <c r="BJ186" s="44"/>
      <c r="BN186">
        <v>50</v>
      </c>
      <c r="BO186" s="39">
        <v>-50</v>
      </c>
      <c r="BP186" s="44">
        <v>9</v>
      </c>
      <c r="BS186" s="42">
        <v>0</v>
      </c>
      <c r="BT186" s="44"/>
      <c r="BU186" s="43"/>
      <c r="BX186">
        <v>20</v>
      </c>
      <c r="BY186" s="39">
        <v>-20</v>
      </c>
      <c r="BZ186" s="44">
        <v>3.6</v>
      </c>
      <c r="CE186" s="42">
        <v>0</v>
      </c>
      <c r="CF186" s="44"/>
      <c r="CG186" s="43"/>
      <c r="CH186">
        <v>20</v>
      </c>
      <c r="CK186" s="39">
        <v>-20</v>
      </c>
      <c r="CL186" s="44">
        <v>3.6</v>
      </c>
      <c r="CM186" s="43"/>
      <c r="CQ186" s="42">
        <v>0</v>
      </c>
      <c r="CR186" s="44"/>
      <c r="CV186">
        <v>30</v>
      </c>
      <c r="CW186" s="39">
        <v>-30</v>
      </c>
      <c r="CX186" s="44">
        <v>5.3999999999999986</v>
      </c>
      <c r="CY186" s="43"/>
      <c r="DB186">
        <v>30</v>
      </c>
      <c r="DC186" s="39">
        <v>-30</v>
      </c>
      <c r="DD186" s="44">
        <v>5.3999999999999986</v>
      </c>
      <c r="DE186" s="43"/>
      <c r="DJ186">
        <v>50</v>
      </c>
      <c r="DK186" s="39">
        <v>-50</v>
      </c>
      <c r="DL186" s="44">
        <v>9</v>
      </c>
      <c r="DM186" s="43"/>
      <c r="DP186">
        <v>40</v>
      </c>
      <c r="DQ186" s="39">
        <v>-40</v>
      </c>
      <c r="DR186" s="44">
        <v>7.1999999999999993</v>
      </c>
      <c r="DY186" s="42">
        <v>0</v>
      </c>
      <c r="DZ186" s="44"/>
      <c r="EA186" s="43"/>
      <c r="EE186" s="42">
        <v>0</v>
      </c>
      <c r="EF186" s="44"/>
      <c r="EG186" s="43"/>
      <c r="EJ186">
        <v>100</v>
      </c>
      <c r="EK186" s="39">
        <v>-100</v>
      </c>
      <c r="EL186" s="44">
        <v>18</v>
      </c>
      <c r="EM186" s="43"/>
      <c r="EP186">
        <v>50</v>
      </c>
      <c r="EQ186" s="39">
        <v>-50</v>
      </c>
      <c r="ER186" s="44">
        <v>9</v>
      </c>
      <c r="EY186" s="42">
        <v>0</v>
      </c>
      <c r="EZ186" s="44"/>
      <c r="FB186" s="42">
        <v>30</v>
      </c>
      <c r="FE186" s="39">
        <v>-30</v>
      </c>
      <c r="FF186" s="44">
        <v>5.3999999999999986</v>
      </c>
      <c r="FG186" s="43"/>
      <c r="FK186" s="42">
        <v>0</v>
      </c>
      <c r="FL186" s="44"/>
      <c r="FM186" s="43"/>
      <c r="FO186" s="42">
        <v>0</v>
      </c>
      <c r="FP186" s="44"/>
      <c r="FV186" s="44"/>
      <c r="FW186" s="43"/>
      <c r="GD186" s="44"/>
      <c r="GJ186" s="44"/>
      <c r="GK186" s="43"/>
      <c r="GP186" s="47"/>
      <c r="GV186" s="44"/>
      <c r="GZ186" s="47"/>
      <c r="HA186" s="43"/>
      <c r="HD186" s="44"/>
      <c r="HE186" s="43"/>
      <c r="HJ186" s="47"/>
      <c r="HK186" s="43"/>
      <c r="HP186" s="44"/>
      <c r="HW186" s="44"/>
      <c r="HX186" s="45"/>
      <c r="IC186" s="44"/>
      <c r="II186" s="47"/>
      <c r="IO186" s="47"/>
      <c r="IU186" s="47"/>
      <c r="JA186" s="44"/>
      <c r="JE186" s="44"/>
      <c r="JK186" s="44"/>
      <c r="JL186" s="45"/>
      <c r="JO186" s="44"/>
      <c r="JU186" s="44"/>
      <c r="KA186" s="47"/>
      <c r="KG186" s="44"/>
      <c r="KH186" s="41"/>
      <c r="KM186" s="47"/>
      <c r="KN186" s="45"/>
      <c r="KU186" s="47"/>
      <c r="LA186" s="47"/>
      <c r="LG186" s="47"/>
      <c r="LH186" s="45"/>
      <c r="LK186" s="47"/>
      <c r="LL186" s="45"/>
      <c r="LQ186" s="47"/>
      <c r="LR186" s="45"/>
      <c r="LW186" s="47"/>
      <c r="LX186" s="45"/>
      <c r="MA186" s="47"/>
      <c r="MB186" s="45"/>
      <c r="MG186" s="47"/>
      <c r="MH186" s="45"/>
      <c r="MK186" s="47"/>
      <c r="ML186" s="45"/>
      <c r="MQ186" s="47"/>
      <c r="MW186" s="47"/>
      <c r="MX186" s="45"/>
      <c r="NC186" s="47"/>
      <c r="ND186" s="45"/>
      <c r="NI186" s="47"/>
      <c r="NJ186" s="45"/>
      <c r="NO186" s="47"/>
      <c r="NP186" s="45"/>
      <c r="NU186" s="47"/>
      <c r="NV186" s="45"/>
      <c r="NZ186" s="42"/>
      <c r="OA186" s="47"/>
      <c r="OB186" s="45"/>
      <c r="OE186" s="47"/>
      <c r="OF186" s="45"/>
      <c r="OK186" s="47"/>
      <c r="OL186" s="45"/>
      <c r="OQ186" s="47"/>
      <c r="OR186" s="45"/>
      <c r="OW186" s="47"/>
      <c r="PC186" s="47"/>
      <c r="PD186" s="45"/>
      <c r="PI186" s="47"/>
      <c r="PJ186" s="45"/>
      <c r="PO186" s="47"/>
      <c r="PP186" s="43"/>
      <c r="PU186" s="47"/>
      <c r="PV186" s="45"/>
      <c r="PZ186" s="42"/>
      <c r="QA186" s="47"/>
      <c r="QB186" s="45"/>
      <c r="QE186" s="47"/>
      <c r="QF186" s="45"/>
      <c r="QK186" s="47"/>
      <c r="QL186" s="45"/>
      <c r="QQ186" s="47"/>
      <c r="QR186" s="45"/>
      <c r="QW186" s="47"/>
      <c r="QX186" s="45"/>
      <c r="RB186" s="42"/>
      <c r="RC186" s="47"/>
      <c r="RD186" s="45"/>
      <c r="RF186" s="42"/>
      <c r="RG186" s="47"/>
    </row>
    <row r="187" spans="1:475" x14ac:dyDescent="0.25">
      <c r="A187" s="40" t="s">
        <v>476</v>
      </c>
      <c r="B187" s="41">
        <v>0.18</v>
      </c>
      <c r="N187" s="43"/>
      <c r="O187" s="48"/>
      <c r="P187" s="48"/>
      <c r="Q187" s="48"/>
      <c r="R187" s="48">
        <f t="shared" si="17"/>
        <v>0</v>
      </c>
      <c r="S187" s="44"/>
      <c r="T187" s="43"/>
      <c r="U187" s="48"/>
      <c r="V187" s="48"/>
      <c r="W187" s="48"/>
      <c r="X187" s="48">
        <f t="shared" si="18"/>
        <v>0</v>
      </c>
      <c r="Y187" s="44"/>
      <c r="Z187" s="43"/>
      <c r="AA187" s="48"/>
      <c r="AB187" s="48"/>
      <c r="AC187" s="48"/>
      <c r="AD187" s="48">
        <f t="shared" si="19"/>
        <v>0</v>
      </c>
      <c r="AE187" s="44"/>
      <c r="AF187" s="43"/>
      <c r="AG187" s="48"/>
      <c r="AH187" s="48"/>
      <c r="AI187" s="48"/>
      <c r="AJ187" s="48">
        <f t="shared" si="20"/>
        <v>0</v>
      </c>
      <c r="AK187" s="44"/>
      <c r="AL187" s="48"/>
      <c r="AP187" s="42">
        <v>0</v>
      </c>
      <c r="AQ187" s="44"/>
      <c r="AR187" s="43"/>
      <c r="AV187" s="42">
        <v>0</v>
      </c>
      <c r="AW187" s="44"/>
      <c r="BC187" s="42">
        <v>0</v>
      </c>
      <c r="BD187" s="44"/>
      <c r="BE187" s="43"/>
      <c r="BI187" s="42">
        <v>0</v>
      </c>
      <c r="BJ187" s="44"/>
      <c r="BL187">
        <v>20</v>
      </c>
      <c r="BO187" s="39">
        <v>-20</v>
      </c>
      <c r="BP187" s="44">
        <v>3.6</v>
      </c>
      <c r="BS187" s="42">
        <v>0</v>
      </c>
      <c r="BT187" s="44"/>
      <c r="BU187" s="46">
        <v>16</v>
      </c>
      <c r="BV187">
        <v>20</v>
      </c>
      <c r="BY187" s="42">
        <v>-4</v>
      </c>
      <c r="BZ187" s="44"/>
      <c r="CD187">
        <v>20</v>
      </c>
      <c r="CE187" s="39">
        <v>-20</v>
      </c>
      <c r="CF187" s="44">
        <v>3.6</v>
      </c>
      <c r="CG187" s="43"/>
      <c r="CK187" s="42">
        <v>0</v>
      </c>
      <c r="CL187" s="44"/>
      <c r="CM187" s="43"/>
      <c r="CQ187" s="42">
        <v>0</v>
      </c>
      <c r="CR187" s="44"/>
      <c r="CU187">
        <v>32</v>
      </c>
      <c r="CV187">
        <v>30</v>
      </c>
      <c r="CW187" s="42">
        <v>2</v>
      </c>
      <c r="CX187" s="44"/>
      <c r="CY187" s="43"/>
      <c r="DB187">
        <v>50</v>
      </c>
      <c r="DC187" s="39">
        <v>-50</v>
      </c>
      <c r="DD187" s="44">
        <v>9</v>
      </c>
      <c r="DE187" s="43"/>
      <c r="DJ187">
        <v>50</v>
      </c>
      <c r="DK187" s="39">
        <v>-50</v>
      </c>
      <c r="DL187" s="44">
        <v>9</v>
      </c>
      <c r="DM187" s="43"/>
      <c r="DP187">
        <v>50</v>
      </c>
      <c r="DQ187" s="39">
        <v>-50</v>
      </c>
      <c r="DR187" s="44">
        <v>9</v>
      </c>
      <c r="DV187">
        <v>24</v>
      </c>
      <c r="DY187" s="39">
        <v>-24</v>
      </c>
      <c r="DZ187" s="44">
        <v>4.32</v>
      </c>
      <c r="EA187" s="43"/>
      <c r="EE187" s="42">
        <v>0</v>
      </c>
      <c r="EF187" s="44"/>
      <c r="EG187" s="43"/>
      <c r="EJ187" s="42">
        <v>100</v>
      </c>
      <c r="EK187" s="39">
        <v>-100</v>
      </c>
      <c r="EL187" s="44">
        <v>18</v>
      </c>
      <c r="EM187" s="43">
        <v>48</v>
      </c>
      <c r="EN187" s="42">
        <v>50</v>
      </c>
      <c r="EQ187" s="42">
        <v>-2</v>
      </c>
      <c r="ER187" s="44"/>
      <c r="EY187" s="42">
        <v>0</v>
      </c>
      <c r="EZ187" s="44"/>
      <c r="FE187" s="42">
        <v>0</v>
      </c>
      <c r="FF187" s="44"/>
      <c r="FG187" s="45"/>
      <c r="FK187" s="42">
        <v>0</v>
      </c>
      <c r="FL187" s="44"/>
      <c r="FM187" s="45"/>
      <c r="FO187" s="42">
        <v>0</v>
      </c>
      <c r="FP187" s="44"/>
      <c r="FV187" s="44"/>
      <c r="FW187" s="43"/>
      <c r="GD187" s="44"/>
      <c r="GJ187" s="44"/>
      <c r="GK187" s="43"/>
      <c r="GP187" s="47"/>
      <c r="GV187" s="44"/>
      <c r="GZ187" s="47"/>
      <c r="HA187" s="43"/>
      <c r="HD187" s="44"/>
      <c r="HE187" s="43"/>
      <c r="HJ187" s="47"/>
      <c r="HK187" s="43"/>
      <c r="HP187" s="44"/>
      <c r="HW187" s="44"/>
      <c r="HX187" s="45"/>
      <c r="IC187" s="44"/>
      <c r="II187" s="47"/>
      <c r="IO187" s="47"/>
      <c r="IU187" s="47"/>
      <c r="JA187" s="44"/>
      <c r="JE187" s="44"/>
      <c r="JK187" s="44"/>
      <c r="JL187" s="45"/>
      <c r="JO187" s="44"/>
      <c r="JU187" s="44"/>
      <c r="KA187" s="47"/>
      <c r="KG187" s="44"/>
      <c r="KH187" s="41"/>
      <c r="KM187" s="47"/>
      <c r="KN187" s="45"/>
      <c r="KU187" s="47"/>
      <c r="LA187" s="47"/>
      <c r="LG187" s="47"/>
      <c r="LH187" s="45"/>
      <c r="LK187" s="47"/>
      <c r="LL187" s="45"/>
      <c r="LQ187" s="47"/>
      <c r="LR187" s="45"/>
      <c r="LW187" s="47"/>
      <c r="LX187" s="45"/>
      <c r="MA187" s="47"/>
      <c r="MB187" s="45"/>
      <c r="MG187" s="47"/>
      <c r="MH187" s="45"/>
      <c r="MK187" s="47"/>
      <c r="ML187" s="45"/>
      <c r="MQ187" s="47"/>
      <c r="MW187" s="47"/>
      <c r="MX187" s="45"/>
      <c r="NC187" s="47"/>
      <c r="ND187" s="45"/>
      <c r="NG187" s="42"/>
      <c r="NI187" s="47"/>
      <c r="NJ187" s="45"/>
      <c r="NO187" s="47"/>
      <c r="NP187" s="45"/>
      <c r="NU187" s="47"/>
      <c r="NV187" s="45"/>
      <c r="NZ187" s="42"/>
      <c r="OA187" s="47"/>
      <c r="OB187" s="45"/>
      <c r="OE187" s="47"/>
      <c r="OF187" s="45"/>
      <c r="OK187" s="47"/>
      <c r="OL187" s="45"/>
      <c r="OQ187" s="47"/>
      <c r="OR187" s="45"/>
      <c r="OW187" s="47"/>
      <c r="PC187" s="47"/>
      <c r="PD187" s="45"/>
      <c r="PI187" s="47"/>
      <c r="PJ187" s="45"/>
      <c r="PO187" s="47"/>
      <c r="PP187" s="43"/>
      <c r="PU187" s="47"/>
      <c r="PV187" s="45"/>
      <c r="PZ187" s="42"/>
      <c r="QA187" s="47"/>
      <c r="QB187" s="45"/>
      <c r="QE187" s="47"/>
      <c r="QF187" s="45"/>
      <c r="QK187" s="47"/>
      <c r="QL187" s="45"/>
      <c r="QQ187" s="47"/>
      <c r="QR187" s="45"/>
      <c r="QW187" s="47"/>
      <c r="QX187" s="45"/>
      <c r="RB187" s="42"/>
      <c r="RC187" s="47"/>
      <c r="RD187" s="45"/>
      <c r="RF187" s="42"/>
      <c r="RG187" s="47"/>
    </row>
    <row r="188" spans="1:475" x14ac:dyDescent="0.25">
      <c r="A188" s="40" t="s">
        <v>477</v>
      </c>
      <c r="B188" s="41">
        <v>0.3</v>
      </c>
      <c r="N188" s="43"/>
      <c r="O188" s="48"/>
      <c r="P188" s="49">
        <v>48</v>
      </c>
      <c r="Q188" s="49">
        <v>48</v>
      </c>
      <c r="R188" s="48">
        <f t="shared" si="17"/>
        <v>0</v>
      </c>
      <c r="S188" s="44"/>
      <c r="T188" s="43"/>
      <c r="U188" s="48"/>
      <c r="V188" s="48"/>
      <c r="W188" s="48"/>
      <c r="X188" s="48">
        <f t="shared" si="18"/>
        <v>0</v>
      </c>
      <c r="Y188" s="44"/>
      <c r="Z188" s="43"/>
      <c r="AA188" s="48"/>
      <c r="AB188" s="48"/>
      <c r="AC188" s="48"/>
      <c r="AD188" s="48">
        <f t="shared" si="19"/>
        <v>0</v>
      </c>
      <c r="AE188" s="44"/>
      <c r="AF188" s="43"/>
      <c r="AG188" s="48"/>
      <c r="AH188" s="49">
        <v>64</v>
      </c>
      <c r="AI188" s="49">
        <v>64</v>
      </c>
      <c r="AJ188" s="48">
        <f t="shared" si="20"/>
        <v>0</v>
      </c>
      <c r="AK188" s="44"/>
      <c r="AL188" s="48"/>
      <c r="AP188" s="42">
        <v>0</v>
      </c>
      <c r="AQ188" s="44"/>
      <c r="AR188" s="43"/>
      <c r="AT188">
        <v>32</v>
      </c>
      <c r="AU188">
        <v>32</v>
      </c>
      <c r="AV188" s="42">
        <v>0</v>
      </c>
      <c r="AW188" s="44"/>
      <c r="BA188">
        <v>16</v>
      </c>
      <c r="BB188">
        <v>17</v>
      </c>
      <c r="BC188" s="42">
        <v>-1</v>
      </c>
      <c r="BD188" s="44"/>
      <c r="BE188" s="43"/>
      <c r="BI188" s="42">
        <v>0</v>
      </c>
      <c r="BJ188" s="44"/>
      <c r="BL188">
        <v>20</v>
      </c>
      <c r="BO188" s="39">
        <v>-20</v>
      </c>
      <c r="BP188" s="44">
        <v>6</v>
      </c>
      <c r="BS188" s="42">
        <v>0</v>
      </c>
      <c r="BT188" s="44"/>
      <c r="BU188" s="46">
        <v>56</v>
      </c>
      <c r="BV188">
        <v>56</v>
      </c>
      <c r="BW188">
        <v>32</v>
      </c>
      <c r="BX188" s="42">
        <v>36</v>
      </c>
      <c r="BY188" s="42">
        <v>-4</v>
      </c>
      <c r="BZ188" s="44"/>
      <c r="CE188" s="42">
        <v>0</v>
      </c>
      <c r="CF188" s="44"/>
      <c r="CG188" s="43"/>
      <c r="CK188" s="42">
        <v>0</v>
      </c>
      <c r="CL188" s="44"/>
      <c r="CM188" s="46">
        <v>96</v>
      </c>
      <c r="CN188" s="42">
        <v>100</v>
      </c>
      <c r="CQ188" s="42">
        <v>-4</v>
      </c>
      <c r="CR188" s="44"/>
      <c r="CW188" s="42">
        <v>0</v>
      </c>
      <c r="CX188" s="44"/>
      <c r="CY188" s="43"/>
      <c r="DC188" s="42">
        <v>0</v>
      </c>
      <c r="DD188" s="44"/>
      <c r="DE188" s="43"/>
      <c r="DK188" s="42">
        <v>0</v>
      </c>
      <c r="DL188" s="44"/>
      <c r="DM188" s="43"/>
      <c r="DQ188" s="42">
        <v>0</v>
      </c>
      <c r="DR188" s="44"/>
      <c r="DY188" s="39"/>
      <c r="DZ188" s="44"/>
      <c r="EA188" s="43"/>
      <c r="EF188" s="44"/>
      <c r="EG188" s="43"/>
      <c r="EK188" s="39"/>
      <c r="EL188" s="44"/>
      <c r="EM188" s="43"/>
      <c r="ER188" s="44"/>
      <c r="EZ188" s="44"/>
      <c r="FF188" s="44"/>
      <c r="FG188" s="45"/>
      <c r="FL188" s="44"/>
      <c r="FM188" s="45"/>
      <c r="FP188" s="44"/>
      <c r="FV188" s="44"/>
      <c r="FW188" s="43"/>
      <c r="GD188" s="44"/>
      <c r="GJ188" s="44"/>
      <c r="GK188" s="43"/>
      <c r="GP188" s="47"/>
      <c r="GV188" s="44"/>
      <c r="GZ188" s="47"/>
      <c r="HA188" s="43"/>
      <c r="HD188" s="44"/>
      <c r="HE188" s="43"/>
      <c r="HJ188" s="47"/>
      <c r="HK188" s="43"/>
      <c r="HP188" s="44"/>
      <c r="HW188" s="44"/>
      <c r="HX188" s="45"/>
      <c r="IC188" s="44"/>
      <c r="II188" s="47"/>
      <c r="IO188" s="47"/>
      <c r="IU188" s="47"/>
      <c r="JA188" s="44"/>
      <c r="JE188" s="44"/>
      <c r="JK188" s="44"/>
      <c r="JL188" s="45"/>
      <c r="JO188" s="44"/>
      <c r="JU188" s="44"/>
      <c r="KA188" s="47"/>
      <c r="KG188" s="44"/>
      <c r="KH188" s="41"/>
      <c r="KM188" s="47"/>
      <c r="KN188" s="45"/>
      <c r="KU188" s="47"/>
      <c r="LA188" s="47"/>
      <c r="LG188" s="47"/>
      <c r="LH188" s="45"/>
      <c r="LK188" s="47"/>
      <c r="LL188" s="45"/>
      <c r="LQ188" s="47"/>
      <c r="LR188" s="45"/>
      <c r="LW188" s="47"/>
      <c r="LX188" s="45"/>
      <c r="MA188" s="47"/>
      <c r="MB188" s="45"/>
      <c r="MG188" s="47"/>
      <c r="MH188" s="45"/>
      <c r="MK188" s="47"/>
      <c r="ML188" s="45"/>
      <c r="MQ188" s="47"/>
      <c r="MW188" s="47"/>
      <c r="MX188" s="45"/>
      <c r="NC188" s="47"/>
      <c r="ND188" s="45"/>
      <c r="NG188" s="42"/>
      <c r="NI188" s="47"/>
      <c r="NJ188" s="45"/>
      <c r="NO188" s="47"/>
      <c r="NP188" s="45"/>
      <c r="NU188" s="47"/>
      <c r="NV188" s="45"/>
      <c r="NZ188" s="42"/>
      <c r="OA188" s="47"/>
      <c r="OB188" s="45"/>
      <c r="OE188" s="47"/>
      <c r="OF188" s="45"/>
      <c r="OK188" s="47"/>
      <c r="OL188" s="45"/>
      <c r="OQ188" s="47"/>
      <c r="OR188" s="45"/>
      <c r="OW188" s="47"/>
      <c r="PC188" s="47"/>
      <c r="PD188" s="45"/>
      <c r="PI188" s="47"/>
      <c r="PJ188" s="45"/>
      <c r="PO188" s="47"/>
      <c r="PP188" s="43"/>
      <c r="PU188" s="47"/>
      <c r="PV188" s="45"/>
      <c r="PZ188" s="42"/>
      <c r="QA188" s="47"/>
      <c r="QB188" s="45"/>
      <c r="QE188" s="47"/>
      <c r="QF188" s="45"/>
      <c r="QK188" s="47"/>
      <c r="QL188" s="45"/>
      <c r="QQ188" s="47"/>
      <c r="QR188" s="45"/>
      <c r="QW188" s="47"/>
      <c r="QX188" s="45"/>
      <c r="RB188" s="42"/>
      <c r="RC188" s="47"/>
      <c r="RD188" s="45"/>
      <c r="RF188" s="42"/>
      <c r="RG188" s="47"/>
    </row>
    <row r="189" spans="1:475" x14ac:dyDescent="0.25">
      <c r="A189" s="40" t="s">
        <v>478</v>
      </c>
      <c r="B189" s="41">
        <v>0.28000000000000003</v>
      </c>
      <c r="E189">
        <v>350</v>
      </c>
      <c r="F189">
        <v>441</v>
      </c>
      <c r="I189">
        <v>200</v>
      </c>
      <c r="J189">
        <v>272</v>
      </c>
      <c r="K189">
        <v>272</v>
      </c>
      <c r="N189" s="46">
        <v>144</v>
      </c>
      <c r="O189" s="49">
        <v>148</v>
      </c>
      <c r="P189" s="48"/>
      <c r="Q189" s="48"/>
      <c r="R189" s="48">
        <f t="shared" si="17"/>
        <v>-4</v>
      </c>
      <c r="S189" s="44"/>
      <c r="T189" s="46">
        <v>320</v>
      </c>
      <c r="U189" s="49">
        <v>320</v>
      </c>
      <c r="V189" s="49">
        <v>432</v>
      </c>
      <c r="W189" s="49">
        <v>430</v>
      </c>
      <c r="X189" s="48">
        <f t="shared" si="18"/>
        <v>2</v>
      </c>
      <c r="Y189" s="44"/>
      <c r="Z189" s="46">
        <v>160</v>
      </c>
      <c r="AA189" s="49">
        <v>160</v>
      </c>
      <c r="AB189" s="49">
        <v>136</v>
      </c>
      <c r="AC189" s="49">
        <v>140</v>
      </c>
      <c r="AD189" s="48">
        <f t="shared" si="19"/>
        <v>-4</v>
      </c>
      <c r="AE189" s="44"/>
      <c r="AF189" s="46">
        <v>176</v>
      </c>
      <c r="AG189" s="49">
        <v>180</v>
      </c>
      <c r="AH189" s="49">
        <v>72</v>
      </c>
      <c r="AI189" s="49">
        <v>70</v>
      </c>
      <c r="AJ189" s="48">
        <f t="shared" si="20"/>
        <v>-2</v>
      </c>
      <c r="AK189" s="44"/>
      <c r="AL189" s="49">
        <v>256</v>
      </c>
      <c r="AM189">
        <v>260</v>
      </c>
      <c r="AN189">
        <v>272</v>
      </c>
      <c r="AO189">
        <v>274</v>
      </c>
      <c r="AP189" s="42">
        <v>-6</v>
      </c>
      <c r="AQ189" s="44"/>
      <c r="AR189" s="46">
        <v>200</v>
      </c>
      <c r="AS189">
        <v>200</v>
      </c>
      <c r="AT189">
        <v>296</v>
      </c>
      <c r="AU189">
        <v>300</v>
      </c>
      <c r="AV189" s="42">
        <v>-4</v>
      </c>
      <c r="AW189" s="44"/>
      <c r="BA189">
        <v>144</v>
      </c>
      <c r="BB189">
        <v>150</v>
      </c>
      <c r="BC189" s="42">
        <v>-6</v>
      </c>
      <c r="BD189" s="44"/>
      <c r="BE189" s="46">
        <v>280</v>
      </c>
      <c r="BF189">
        <v>282</v>
      </c>
      <c r="BI189" s="42">
        <v>-2</v>
      </c>
      <c r="BJ189" s="44"/>
      <c r="BK189">
        <v>352</v>
      </c>
      <c r="BL189">
        <v>350</v>
      </c>
      <c r="BM189">
        <v>368</v>
      </c>
      <c r="BN189">
        <v>368</v>
      </c>
      <c r="BO189" s="42">
        <v>2</v>
      </c>
      <c r="BP189" s="44"/>
      <c r="BS189" s="42">
        <v>0</v>
      </c>
      <c r="BT189" s="44"/>
      <c r="BU189" s="46">
        <v>520</v>
      </c>
      <c r="BV189">
        <v>522</v>
      </c>
      <c r="BW189">
        <v>656</v>
      </c>
      <c r="BX189">
        <v>654</v>
      </c>
      <c r="BY189" s="42">
        <v>0</v>
      </c>
      <c r="BZ189" s="44"/>
      <c r="CA189">
        <v>200</v>
      </c>
      <c r="CB189">
        <v>200</v>
      </c>
      <c r="CC189">
        <v>232</v>
      </c>
      <c r="CD189">
        <v>230</v>
      </c>
      <c r="CE189" s="42">
        <v>2</v>
      </c>
      <c r="CF189" s="44"/>
      <c r="CG189" s="46">
        <v>328</v>
      </c>
      <c r="CH189">
        <v>330</v>
      </c>
      <c r="CI189">
        <v>432</v>
      </c>
      <c r="CJ189">
        <v>436</v>
      </c>
      <c r="CK189" s="42">
        <v>-6</v>
      </c>
      <c r="CL189" s="44"/>
      <c r="CM189" s="43"/>
      <c r="CO189">
        <v>456</v>
      </c>
      <c r="CP189">
        <v>460</v>
      </c>
      <c r="CQ189" s="42">
        <v>-4</v>
      </c>
      <c r="CR189" s="44"/>
      <c r="CS189">
        <v>160</v>
      </c>
      <c r="CT189">
        <v>160</v>
      </c>
      <c r="CU189">
        <v>192</v>
      </c>
      <c r="CV189">
        <v>190</v>
      </c>
      <c r="CW189" s="42">
        <v>2</v>
      </c>
      <c r="CX189" s="44"/>
      <c r="CY189" s="46">
        <v>96</v>
      </c>
      <c r="CZ189">
        <v>100</v>
      </c>
      <c r="DA189">
        <v>72</v>
      </c>
      <c r="DB189">
        <v>70</v>
      </c>
      <c r="DC189" s="42">
        <v>-2</v>
      </c>
      <c r="DD189" s="44"/>
      <c r="DE189" s="43"/>
      <c r="DG189">
        <v>400</v>
      </c>
      <c r="DH189">
        <v>400</v>
      </c>
      <c r="DI189">
        <v>256</v>
      </c>
      <c r="DJ189">
        <v>259</v>
      </c>
      <c r="DK189" s="42">
        <v>-3</v>
      </c>
      <c r="DL189" s="44"/>
      <c r="DM189" s="43"/>
      <c r="DO189">
        <v>216</v>
      </c>
      <c r="DP189">
        <v>220</v>
      </c>
      <c r="DQ189" s="42">
        <v>-4</v>
      </c>
      <c r="DR189" s="44"/>
      <c r="DS189">
        <v>296</v>
      </c>
      <c r="DT189">
        <v>300</v>
      </c>
      <c r="DU189">
        <v>272</v>
      </c>
      <c r="DV189">
        <v>270</v>
      </c>
      <c r="DW189">
        <v>296</v>
      </c>
      <c r="DX189">
        <v>300</v>
      </c>
      <c r="DY189" s="42">
        <v>-6</v>
      </c>
      <c r="DZ189" s="44"/>
      <c r="EA189" s="43"/>
      <c r="EC189">
        <v>416</v>
      </c>
      <c r="ED189">
        <v>420</v>
      </c>
      <c r="EE189" s="42">
        <v>-4</v>
      </c>
      <c r="EF189" s="44"/>
      <c r="EG189" s="46">
        <v>208</v>
      </c>
      <c r="EH189">
        <v>200</v>
      </c>
      <c r="EI189">
        <v>312</v>
      </c>
      <c r="EJ189">
        <v>310</v>
      </c>
      <c r="EK189" s="42">
        <v>10</v>
      </c>
      <c r="EL189" s="44"/>
      <c r="EM189" s="43"/>
      <c r="EO189">
        <v>80</v>
      </c>
      <c r="EP189">
        <v>80</v>
      </c>
      <c r="EQ189" s="42">
        <v>0</v>
      </c>
      <c r="ER189" s="44"/>
      <c r="ES189">
        <v>152</v>
      </c>
      <c r="ET189">
        <v>150</v>
      </c>
      <c r="EU189">
        <v>200</v>
      </c>
      <c r="EV189">
        <v>200</v>
      </c>
      <c r="EW189">
        <v>208</v>
      </c>
      <c r="EX189">
        <v>210</v>
      </c>
      <c r="EY189" s="42">
        <v>0</v>
      </c>
      <c r="EZ189" s="44"/>
      <c r="FC189">
        <v>576</v>
      </c>
      <c r="FD189">
        <v>580</v>
      </c>
      <c r="FE189" s="42">
        <v>-4</v>
      </c>
      <c r="FF189" s="44"/>
      <c r="FG189" s="43"/>
      <c r="FK189" s="42">
        <v>0</v>
      </c>
      <c r="FL189" s="44"/>
      <c r="FM189" s="46">
        <v>248</v>
      </c>
      <c r="FN189">
        <v>246</v>
      </c>
      <c r="FO189" s="42">
        <v>2</v>
      </c>
      <c r="FP189" s="44"/>
      <c r="FQ189">
        <v>176</v>
      </c>
      <c r="FR189">
        <v>180</v>
      </c>
      <c r="FS189">
        <v>720</v>
      </c>
      <c r="FT189">
        <v>718</v>
      </c>
      <c r="FU189" s="42">
        <v>-2</v>
      </c>
      <c r="FV189" s="44"/>
      <c r="FW189" s="43"/>
      <c r="GA189">
        <v>48</v>
      </c>
      <c r="GC189" s="42">
        <v>0</v>
      </c>
      <c r="GD189" s="44"/>
      <c r="GE189" s="37">
        <v>296</v>
      </c>
      <c r="GG189" s="36">
        <v>352</v>
      </c>
      <c r="GI189" s="42">
        <v>0</v>
      </c>
      <c r="GJ189" s="44"/>
      <c r="GK189" s="43"/>
      <c r="GP189" s="44"/>
      <c r="GV189" s="44"/>
      <c r="GZ189" s="47"/>
      <c r="HA189" s="43"/>
      <c r="HD189" s="44"/>
      <c r="HE189" s="43"/>
      <c r="HJ189" s="47"/>
      <c r="HK189" s="43"/>
      <c r="HP189" s="44"/>
      <c r="HW189" s="44"/>
      <c r="HX189" s="45"/>
      <c r="IC189" s="44"/>
      <c r="II189" s="47"/>
      <c r="IO189" s="47"/>
      <c r="IU189" s="47"/>
      <c r="JA189" s="44"/>
      <c r="JE189" s="44"/>
      <c r="JK189" s="44"/>
      <c r="JL189" s="45"/>
      <c r="JO189" s="44"/>
      <c r="JU189" s="44"/>
      <c r="KA189" s="47"/>
      <c r="KG189" s="44"/>
      <c r="KH189" s="41"/>
      <c r="KM189" s="47"/>
      <c r="KN189" s="45"/>
      <c r="KU189" s="47"/>
      <c r="LA189" s="47"/>
      <c r="LG189" s="47"/>
      <c r="LH189" s="45"/>
      <c r="LK189" s="47"/>
      <c r="LL189" s="45"/>
      <c r="LQ189" s="47"/>
      <c r="LR189" s="45"/>
      <c r="LW189" s="47"/>
      <c r="LX189" s="45"/>
      <c r="MA189" s="47"/>
      <c r="MB189" s="45"/>
      <c r="MG189" s="47"/>
      <c r="MH189" s="45"/>
      <c r="MK189" s="47"/>
      <c r="ML189" s="45"/>
      <c r="MQ189" s="47"/>
      <c r="MW189" s="47"/>
      <c r="MX189" s="45"/>
      <c r="NC189" s="47"/>
      <c r="ND189" s="45"/>
      <c r="NI189" s="47"/>
      <c r="NJ189" s="45"/>
      <c r="NO189" s="47"/>
      <c r="NP189" s="45"/>
      <c r="NU189" s="47"/>
      <c r="NV189" s="45"/>
      <c r="NZ189" s="42"/>
      <c r="OA189" s="47"/>
      <c r="OB189" s="45"/>
      <c r="OE189" s="47"/>
      <c r="OF189" s="45"/>
      <c r="OK189" s="47"/>
      <c r="OL189" s="45"/>
      <c r="OQ189" s="47"/>
      <c r="OR189" s="45"/>
      <c r="OW189" s="47"/>
      <c r="PC189" s="47"/>
      <c r="PD189" s="45"/>
      <c r="PI189" s="47"/>
      <c r="PJ189" s="45"/>
      <c r="PO189" s="47"/>
      <c r="PP189" s="43"/>
      <c r="PU189" s="47"/>
      <c r="PV189" s="45"/>
      <c r="PZ189" s="42"/>
      <c r="QA189" s="47"/>
      <c r="QB189" s="45"/>
      <c r="QE189" s="47"/>
      <c r="QF189" s="45"/>
      <c r="QK189" s="47"/>
      <c r="QL189" s="45"/>
      <c r="QQ189" s="47"/>
      <c r="QR189" s="45"/>
      <c r="QW189" s="47"/>
      <c r="QX189" s="45"/>
      <c r="RB189" s="42"/>
      <c r="RC189" s="47"/>
      <c r="RD189" s="45"/>
      <c r="RF189" s="42"/>
      <c r="RG189" s="47"/>
    </row>
    <row r="190" spans="1:475" x14ac:dyDescent="0.25">
      <c r="A190" s="40" t="s">
        <v>479</v>
      </c>
      <c r="B190" s="41">
        <v>0.28000000000000003</v>
      </c>
      <c r="E190">
        <v>450</v>
      </c>
      <c r="F190">
        <v>533</v>
      </c>
      <c r="I190">
        <v>100</v>
      </c>
      <c r="J190">
        <v>152</v>
      </c>
      <c r="K190">
        <v>150</v>
      </c>
      <c r="N190" s="46">
        <v>352</v>
      </c>
      <c r="O190" s="49">
        <v>350</v>
      </c>
      <c r="P190" s="49">
        <v>368</v>
      </c>
      <c r="Q190" s="49">
        <v>372</v>
      </c>
      <c r="R190" s="48">
        <f t="shared" si="17"/>
        <v>-2</v>
      </c>
      <c r="S190" s="44"/>
      <c r="T190" s="46">
        <v>200</v>
      </c>
      <c r="U190" s="49">
        <v>200</v>
      </c>
      <c r="V190" s="49">
        <v>296</v>
      </c>
      <c r="W190" s="49">
        <v>300</v>
      </c>
      <c r="X190" s="48">
        <f t="shared" si="18"/>
        <v>-4</v>
      </c>
      <c r="Y190" s="44"/>
      <c r="Z190" s="46">
        <v>248</v>
      </c>
      <c r="AA190" s="49">
        <v>250</v>
      </c>
      <c r="AB190" s="49">
        <v>200</v>
      </c>
      <c r="AC190" s="49">
        <v>200</v>
      </c>
      <c r="AD190" s="48">
        <f t="shared" si="19"/>
        <v>-2</v>
      </c>
      <c r="AE190" s="44"/>
      <c r="AF190" s="43"/>
      <c r="AG190" s="48"/>
      <c r="AH190" s="49">
        <v>480</v>
      </c>
      <c r="AI190" s="49">
        <v>500</v>
      </c>
      <c r="AJ190" s="53">
        <f t="shared" si="20"/>
        <v>-20</v>
      </c>
      <c r="AK190" s="44">
        <f>-1*AJ190*B190</f>
        <v>5.6000000000000005</v>
      </c>
      <c r="AL190" s="49">
        <v>272</v>
      </c>
      <c r="AM190">
        <v>270</v>
      </c>
      <c r="AN190">
        <v>280</v>
      </c>
      <c r="AO190">
        <v>280</v>
      </c>
      <c r="AP190" s="42">
        <v>2</v>
      </c>
      <c r="AQ190" s="44"/>
      <c r="AR190" s="43"/>
      <c r="AT190">
        <v>200</v>
      </c>
      <c r="AU190">
        <v>200</v>
      </c>
      <c r="AV190" s="42">
        <v>0</v>
      </c>
      <c r="AW190" s="44"/>
      <c r="BA190">
        <v>896</v>
      </c>
      <c r="BB190">
        <v>900</v>
      </c>
      <c r="BC190" s="42">
        <v>-4</v>
      </c>
      <c r="BD190" s="44"/>
      <c r="BE190" s="43"/>
      <c r="BI190" s="42">
        <v>0</v>
      </c>
      <c r="BJ190" s="44"/>
      <c r="BK190">
        <v>200</v>
      </c>
      <c r="BL190">
        <v>200</v>
      </c>
      <c r="BM190">
        <v>152</v>
      </c>
      <c r="BN190">
        <v>150</v>
      </c>
      <c r="BO190" s="42">
        <v>2</v>
      </c>
      <c r="BP190" s="44"/>
      <c r="BS190" s="42">
        <v>0</v>
      </c>
      <c r="BT190" s="44"/>
      <c r="BU190" s="46">
        <v>1200</v>
      </c>
      <c r="BV190">
        <v>1200</v>
      </c>
      <c r="BW190">
        <v>152</v>
      </c>
      <c r="BX190">
        <v>150</v>
      </c>
      <c r="BY190" s="42">
        <v>2</v>
      </c>
      <c r="BZ190" s="44"/>
      <c r="CA190">
        <v>248</v>
      </c>
      <c r="CB190">
        <v>250</v>
      </c>
      <c r="CC190">
        <v>368</v>
      </c>
      <c r="CD190">
        <v>370</v>
      </c>
      <c r="CE190" s="42">
        <v>-4</v>
      </c>
      <c r="CF190" s="44"/>
      <c r="CG190" s="46">
        <v>248</v>
      </c>
      <c r="CH190">
        <v>250</v>
      </c>
      <c r="CI190">
        <v>400</v>
      </c>
      <c r="CJ190">
        <v>400</v>
      </c>
      <c r="CK190" s="42">
        <v>-2</v>
      </c>
      <c r="CL190" s="44"/>
      <c r="CM190" s="43"/>
      <c r="CO190">
        <v>480</v>
      </c>
      <c r="CP190">
        <v>480</v>
      </c>
      <c r="CQ190" s="42">
        <v>0</v>
      </c>
      <c r="CR190" s="44"/>
      <c r="CS190">
        <v>152</v>
      </c>
      <c r="CT190">
        <v>150</v>
      </c>
      <c r="CU190">
        <v>248</v>
      </c>
      <c r="CV190">
        <v>250</v>
      </c>
      <c r="CW190" s="42">
        <v>0</v>
      </c>
      <c r="CX190" s="44"/>
      <c r="CY190" s="46">
        <v>96</v>
      </c>
      <c r="CZ190">
        <v>100</v>
      </c>
      <c r="DA190">
        <v>352</v>
      </c>
      <c r="DB190">
        <v>350</v>
      </c>
      <c r="DC190" s="42">
        <v>-2</v>
      </c>
      <c r="DD190" s="44"/>
      <c r="DE190" s="43"/>
      <c r="DG190">
        <v>200</v>
      </c>
      <c r="DH190">
        <v>200</v>
      </c>
      <c r="DI190">
        <v>152</v>
      </c>
      <c r="DJ190">
        <v>150</v>
      </c>
      <c r="DK190" s="42">
        <v>2</v>
      </c>
      <c r="DL190" s="44"/>
      <c r="DM190" s="43"/>
      <c r="DO190">
        <v>128</v>
      </c>
      <c r="DP190">
        <v>130</v>
      </c>
      <c r="DQ190" s="42">
        <v>-2</v>
      </c>
      <c r="DR190" s="44"/>
      <c r="DS190">
        <v>296</v>
      </c>
      <c r="DT190">
        <v>300</v>
      </c>
      <c r="DU190">
        <v>296</v>
      </c>
      <c r="DV190">
        <v>300</v>
      </c>
      <c r="DW190">
        <v>400</v>
      </c>
      <c r="DX190">
        <v>400</v>
      </c>
      <c r="DY190" s="42">
        <v>-8</v>
      </c>
      <c r="DZ190" s="44"/>
      <c r="EA190" s="43"/>
      <c r="EC190">
        <v>208</v>
      </c>
      <c r="ED190">
        <v>210</v>
      </c>
      <c r="EE190" s="42">
        <v>-2</v>
      </c>
      <c r="EF190" s="44"/>
      <c r="EG190" s="46">
        <v>200</v>
      </c>
      <c r="EH190">
        <v>200</v>
      </c>
      <c r="EI190">
        <v>256</v>
      </c>
      <c r="EJ190">
        <v>260</v>
      </c>
      <c r="EK190" s="42">
        <v>-4</v>
      </c>
      <c r="EL190" s="44"/>
      <c r="EM190" s="46">
        <v>152</v>
      </c>
      <c r="EN190">
        <v>150</v>
      </c>
      <c r="EO190">
        <v>144</v>
      </c>
      <c r="EP190">
        <v>148</v>
      </c>
      <c r="EQ190" s="42">
        <v>-2</v>
      </c>
      <c r="ER190" s="44"/>
      <c r="EU190">
        <v>240</v>
      </c>
      <c r="EV190">
        <v>250</v>
      </c>
      <c r="EW190">
        <v>296</v>
      </c>
      <c r="EX190">
        <v>300</v>
      </c>
      <c r="EY190" s="39">
        <v>-14</v>
      </c>
      <c r="EZ190" s="44">
        <v>3.92</v>
      </c>
      <c r="FE190" s="42">
        <v>0</v>
      </c>
      <c r="FF190" s="44"/>
      <c r="FG190" s="43"/>
      <c r="FI190">
        <v>16</v>
      </c>
      <c r="FJ190">
        <v>14</v>
      </c>
      <c r="FK190" s="42">
        <v>2</v>
      </c>
      <c r="FL190" s="44"/>
      <c r="FM190" s="46">
        <v>1040</v>
      </c>
      <c r="FO190" s="42">
        <v>0</v>
      </c>
      <c r="FP190" s="44"/>
      <c r="FS190">
        <v>568</v>
      </c>
      <c r="FU190" s="42">
        <v>0</v>
      </c>
      <c r="FV190" s="44"/>
      <c r="FW190" s="46">
        <v>200</v>
      </c>
      <c r="FY190">
        <v>200</v>
      </c>
      <c r="GA190">
        <v>200</v>
      </c>
      <c r="GC190" s="42">
        <v>0</v>
      </c>
      <c r="GD190" s="44"/>
      <c r="GJ190" s="44"/>
      <c r="GK190" s="43"/>
      <c r="GP190" s="44"/>
      <c r="GV190" s="44"/>
      <c r="GZ190" s="47"/>
      <c r="HA190" s="43"/>
      <c r="HD190" s="44"/>
      <c r="HE190" s="43"/>
      <c r="HJ190" s="47"/>
      <c r="HK190" s="43"/>
      <c r="HP190" s="44"/>
      <c r="HW190" s="44"/>
      <c r="HX190" s="45"/>
      <c r="IC190" s="44"/>
      <c r="II190" s="47"/>
      <c r="IO190" s="47"/>
      <c r="IU190" s="47"/>
      <c r="JA190" s="44"/>
      <c r="JE190" s="44"/>
      <c r="JK190" s="44"/>
      <c r="JL190" s="45"/>
      <c r="JO190" s="44"/>
      <c r="JU190" s="44"/>
      <c r="KA190" s="47"/>
      <c r="KG190" s="44"/>
      <c r="KH190" s="41"/>
      <c r="KM190" s="47"/>
      <c r="KN190" s="45"/>
      <c r="KU190" s="47"/>
      <c r="LA190" s="47"/>
      <c r="LG190" s="47"/>
      <c r="LH190" s="45"/>
      <c r="LK190" s="47"/>
      <c r="LL190" s="45"/>
      <c r="LQ190" s="47"/>
      <c r="LR190" s="45"/>
      <c r="LW190" s="47"/>
      <c r="LX190" s="45"/>
      <c r="MA190" s="47"/>
      <c r="MB190" s="45"/>
      <c r="MG190" s="47"/>
      <c r="MH190" s="45"/>
      <c r="MK190" s="47"/>
      <c r="ML190" s="45"/>
      <c r="MQ190" s="47"/>
      <c r="MW190" s="47"/>
      <c r="MX190" s="45"/>
      <c r="NC190" s="47"/>
      <c r="ND190" s="45"/>
      <c r="NI190" s="47"/>
      <c r="NJ190" s="45"/>
      <c r="NO190" s="47"/>
      <c r="NP190" s="45"/>
      <c r="NT190" s="42"/>
      <c r="NU190" s="47"/>
      <c r="NV190" s="45"/>
      <c r="NZ190" s="42"/>
      <c r="OA190" s="47"/>
      <c r="OB190" s="45"/>
      <c r="OE190" s="47"/>
      <c r="OF190" s="45"/>
      <c r="OK190" s="47"/>
      <c r="OL190" s="45"/>
      <c r="OQ190" s="47"/>
      <c r="OR190" s="45"/>
      <c r="OW190" s="47"/>
      <c r="PC190" s="47"/>
      <c r="PD190" s="45"/>
      <c r="PI190" s="47"/>
      <c r="PJ190" s="45"/>
      <c r="PO190" s="47"/>
      <c r="PP190" s="43"/>
      <c r="PU190" s="47"/>
      <c r="PV190" s="45"/>
      <c r="PZ190" s="42"/>
      <c r="QA190" s="47"/>
      <c r="QB190" s="45"/>
      <c r="QE190" s="47"/>
      <c r="QF190" s="45"/>
      <c r="QK190" s="47"/>
      <c r="QL190" s="45"/>
      <c r="QQ190" s="47"/>
      <c r="QR190" s="45"/>
      <c r="QW190" s="47"/>
      <c r="QX190" s="45"/>
      <c r="RB190" s="42"/>
      <c r="RC190" s="47"/>
      <c r="RD190" s="45"/>
      <c r="RF190" s="42"/>
      <c r="RG190" s="47"/>
    </row>
    <row r="191" spans="1:475" x14ac:dyDescent="0.25">
      <c r="A191" s="40" t="s">
        <v>480</v>
      </c>
      <c r="B191" s="41">
        <v>0.28000000000000003</v>
      </c>
      <c r="E191">
        <v>120</v>
      </c>
      <c r="F191">
        <v>130</v>
      </c>
      <c r="J191">
        <v>152</v>
      </c>
      <c r="K191">
        <v>150</v>
      </c>
      <c r="N191" s="43"/>
      <c r="O191" s="48"/>
      <c r="P191" s="48"/>
      <c r="Q191" s="48"/>
      <c r="R191" s="48">
        <f t="shared" si="17"/>
        <v>0</v>
      </c>
      <c r="S191" s="44"/>
      <c r="T191" s="43"/>
      <c r="U191" s="48"/>
      <c r="V191" s="49">
        <v>120</v>
      </c>
      <c r="W191" s="49">
        <v>120</v>
      </c>
      <c r="X191" s="48">
        <f t="shared" si="18"/>
        <v>0</v>
      </c>
      <c r="Y191" s="44"/>
      <c r="Z191" s="43"/>
      <c r="AA191" s="48"/>
      <c r="AB191" s="49">
        <v>200</v>
      </c>
      <c r="AC191" s="49">
        <v>200</v>
      </c>
      <c r="AD191" s="48">
        <f t="shared" si="19"/>
        <v>0</v>
      </c>
      <c r="AE191" s="44"/>
      <c r="AF191" s="46">
        <v>40</v>
      </c>
      <c r="AG191" s="49">
        <v>40</v>
      </c>
      <c r="AH191" s="49">
        <v>32</v>
      </c>
      <c r="AI191" s="49">
        <v>30</v>
      </c>
      <c r="AJ191" s="48">
        <f t="shared" si="20"/>
        <v>2</v>
      </c>
      <c r="AK191" s="44"/>
      <c r="AL191" s="49">
        <v>72</v>
      </c>
      <c r="AM191">
        <v>70</v>
      </c>
      <c r="AN191">
        <v>80</v>
      </c>
      <c r="AO191">
        <v>80</v>
      </c>
      <c r="AP191" s="42">
        <v>2</v>
      </c>
      <c r="AQ191" s="44"/>
      <c r="AR191" s="43"/>
      <c r="AT191">
        <v>152</v>
      </c>
      <c r="AU191">
        <v>150</v>
      </c>
      <c r="AV191" s="42">
        <v>2</v>
      </c>
      <c r="AW191" s="44"/>
      <c r="BA191">
        <v>200</v>
      </c>
      <c r="BB191">
        <v>200</v>
      </c>
      <c r="BC191" s="42">
        <v>0</v>
      </c>
      <c r="BD191" s="44"/>
      <c r="BE191" s="46">
        <v>48</v>
      </c>
      <c r="BF191">
        <v>50</v>
      </c>
      <c r="BI191" s="42">
        <v>-2</v>
      </c>
      <c r="BJ191" s="44"/>
      <c r="BK191">
        <v>96</v>
      </c>
      <c r="BL191">
        <v>100</v>
      </c>
      <c r="BM191">
        <v>152</v>
      </c>
      <c r="BN191">
        <v>150</v>
      </c>
      <c r="BO191" s="42">
        <v>-2</v>
      </c>
      <c r="BP191" s="44"/>
      <c r="BS191" s="42">
        <v>0</v>
      </c>
      <c r="BT191" s="44"/>
      <c r="BU191" s="46">
        <v>96</v>
      </c>
      <c r="BV191">
        <v>100</v>
      </c>
      <c r="BW191">
        <v>88</v>
      </c>
      <c r="BX191">
        <v>86</v>
      </c>
      <c r="BY191" s="42">
        <v>-2</v>
      </c>
      <c r="BZ191" s="44"/>
      <c r="CC191">
        <v>352</v>
      </c>
      <c r="CD191">
        <v>350</v>
      </c>
      <c r="CE191" s="42">
        <v>2</v>
      </c>
      <c r="CF191" s="44"/>
      <c r="CG191" s="43"/>
      <c r="CK191" s="42">
        <v>0</v>
      </c>
      <c r="CL191" s="44"/>
      <c r="CM191" s="43"/>
      <c r="CO191">
        <v>232</v>
      </c>
      <c r="CP191">
        <v>230</v>
      </c>
      <c r="CQ191" s="42">
        <v>2</v>
      </c>
      <c r="CR191" s="44"/>
      <c r="CS191">
        <v>96</v>
      </c>
      <c r="CT191">
        <v>100</v>
      </c>
      <c r="CU191">
        <v>152</v>
      </c>
      <c r="CV191">
        <v>150</v>
      </c>
      <c r="CW191" s="42">
        <v>-2</v>
      </c>
      <c r="CX191" s="44"/>
      <c r="CY191" s="43"/>
      <c r="DA191">
        <v>56</v>
      </c>
      <c r="DB191">
        <v>60</v>
      </c>
      <c r="DC191" s="42">
        <v>-4</v>
      </c>
      <c r="DD191" s="44"/>
      <c r="DE191" s="43"/>
      <c r="DI191">
        <v>152</v>
      </c>
      <c r="DJ191">
        <v>150</v>
      </c>
      <c r="DK191" s="42">
        <v>2</v>
      </c>
      <c r="DL191" s="44"/>
      <c r="DM191" s="43"/>
      <c r="DQ191" s="42">
        <v>0</v>
      </c>
      <c r="DR191" s="44"/>
      <c r="DU191">
        <v>168</v>
      </c>
      <c r="DV191">
        <v>170</v>
      </c>
      <c r="DW191">
        <v>96</v>
      </c>
      <c r="DX191">
        <v>100</v>
      </c>
      <c r="DY191" s="42">
        <v>-6</v>
      </c>
      <c r="DZ191" s="44"/>
      <c r="EA191" s="43"/>
      <c r="EC191">
        <v>216</v>
      </c>
      <c r="ED191">
        <v>217</v>
      </c>
      <c r="EE191" s="42">
        <v>-1</v>
      </c>
      <c r="EF191" s="44"/>
      <c r="EG191" s="43"/>
      <c r="EI191">
        <v>56</v>
      </c>
      <c r="EJ191">
        <v>54</v>
      </c>
      <c r="EK191" s="42">
        <v>2</v>
      </c>
      <c r="EL191" s="44"/>
      <c r="EM191" s="43"/>
      <c r="EQ191" s="42">
        <v>0</v>
      </c>
      <c r="ER191" s="44"/>
      <c r="EU191">
        <v>160</v>
      </c>
      <c r="EV191">
        <v>160</v>
      </c>
      <c r="EW191">
        <v>168</v>
      </c>
      <c r="EX191">
        <v>170</v>
      </c>
      <c r="EY191" s="42">
        <v>-2</v>
      </c>
      <c r="EZ191" s="44"/>
      <c r="FA191">
        <v>96</v>
      </c>
      <c r="FB191">
        <v>100</v>
      </c>
      <c r="FC191">
        <v>120</v>
      </c>
      <c r="FD191">
        <v>123</v>
      </c>
      <c r="FE191" s="42">
        <v>-7</v>
      </c>
      <c r="FF191" s="44"/>
      <c r="FG191" s="43"/>
      <c r="FK191" s="42">
        <v>0</v>
      </c>
      <c r="FL191" s="44"/>
      <c r="FM191" s="46">
        <v>112</v>
      </c>
      <c r="FN191">
        <v>110</v>
      </c>
      <c r="FO191" s="42">
        <v>2</v>
      </c>
      <c r="FP191" s="44"/>
      <c r="FS191">
        <v>304</v>
      </c>
      <c r="FT191">
        <v>330</v>
      </c>
      <c r="FU191" s="39">
        <v>-26</v>
      </c>
      <c r="FV191" s="44">
        <v>7.2800000000000011</v>
      </c>
      <c r="FW191" s="46">
        <v>48</v>
      </c>
      <c r="GA191">
        <v>48</v>
      </c>
      <c r="GC191" s="42">
        <v>0</v>
      </c>
      <c r="GD191" s="44"/>
      <c r="GE191" s="37">
        <v>240</v>
      </c>
      <c r="GG191" s="36">
        <v>240</v>
      </c>
      <c r="GI191" s="42">
        <v>0</v>
      </c>
      <c r="GJ191" s="44"/>
      <c r="GK191" s="43"/>
      <c r="GP191" s="44"/>
      <c r="GV191" s="44"/>
      <c r="GZ191" s="47"/>
      <c r="HA191" s="43"/>
      <c r="HD191" s="44"/>
      <c r="HE191" s="43"/>
      <c r="HJ191" s="47"/>
      <c r="HK191" s="43"/>
      <c r="HP191" s="44"/>
      <c r="HW191" s="44"/>
      <c r="HX191" s="45"/>
      <c r="IC191" s="44"/>
      <c r="II191" s="47"/>
      <c r="IO191" s="47"/>
      <c r="IU191" s="47"/>
      <c r="JA191" s="44"/>
      <c r="JE191" s="44"/>
      <c r="JK191" s="44"/>
      <c r="JL191" s="45"/>
      <c r="JO191" s="44"/>
      <c r="JU191" s="44"/>
      <c r="KA191" s="47"/>
      <c r="KG191" s="44"/>
      <c r="KH191" s="41"/>
      <c r="KM191" s="47"/>
      <c r="KN191" s="45"/>
      <c r="KU191" s="47"/>
      <c r="LA191" s="47"/>
      <c r="LG191" s="47"/>
      <c r="LH191" s="45"/>
      <c r="LK191" s="47"/>
      <c r="LL191" s="45"/>
      <c r="LQ191" s="47"/>
      <c r="LR191" s="45"/>
      <c r="LW191" s="47"/>
      <c r="LX191" s="45"/>
      <c r="MA191" s="47"/>
      <c r="MB191" s="45"/>
      <c r="MG191" s="47"/>
      <c r="MH191" s="45"/>
      <c r="MK191" s="47"/>
      <c r="ML191" s="45"/>
      <c r="MQ191" s="47"/>
      <c r="MW191" s="47"/>
      <c r="MX191" s="45"/>
      <c r="NC191" s="47"/>
      <c r="ND191" s="45"/>
      <c r="NI191" s="47"/>
      <c r="NJ191" s="45"/>
      <c r="NO191" s="47"/>
      <c r="NP191" s="45"/>
      <c r="NU191" s="47"/>
      <c r="NV191" s="45"/>
      <c r="NZ191" s="42"/>
      <c r="OA191" s="47"/>
      <c r="OB191" s="45"/>
      <c r="OE191" s="47"/>
      <c r="OF191" s="45"/>
      <c r="OK191" s="47"/>
      <c r="OL191" s="45"/>
      <c r="OQ191" s="47"/>
      <c r="OR191" s="45"/>
      <c r="OW191" s="47"/>
      <c r="PC191" s="47"/>
      <c r="PD191" s="45"/>
      <c r="PI191" s="47"/>
      <c r="PJ191" s="45"/>
      <c r="PO191" s="47"/>
      <c r="PP191" s="43"/>
      <c r="PU191" s="47"/>
      <c r="PV191" s="45"/>
      <c r="PZ191" s="42"/>
      <c r="QA191" s="47"/>
      <c r="QB191" s="45"/>
      <c r="QE191" s="47"/>
      <c r="QF191" s="45"/>
      <c r="QK191" s="47"/>
      <c r="QL191" s="45"/>
      <c r="QQ191" s="47"/>
      <c r="QR191" s="45"/>
      <c r="QW191" s="47"/>
      <c r="QX191" s="45"/>
      <c r="RB191" s="42"/>
      <c r="RC191" s="47"/>
      <c r="RD191" s="45"/>
      <c r="RF191" s="42"/>
      <c r="RG191" s="47"/>
    </row>
    <row r="192" spans="1:475" x14ac:dyDescent="0.25">
      <c r="A192" s="40" t="s">
        <v>481</v>
      </c>
      <c r="B192" s="41">
        <v>0.28000000000000003</v>
      </c>
      <c r="E192">
        <v>220</v>
      </c>
      <c r="F192">
        <v>230</v>
      </c>
      <c r="J192">
        <v>152</v>
      </c>
      <c r="K192">
        <v>150</v>
      </c>
      <c r="N192" s="46">
        <v>248</v>
      </c>
      <c r="O192" s="49">
        <v>250</v>
      </c>
      <c r="P192" s="49">
        <v>304</v>
      </c>
      <c r="Q192" s="49">
        <v>304</v>
      </c>
      <c r="R192" s="48">
        <f t="shared" si="17"/>
        <v>-2</v>
      </c>
      <c r="S192" s="44"/>
      <c r="T192" s="46">
        <v>80</v>
      </c>
      <c r="U192" s="49">
        <v>80</v>
      </c>
      <c r="V192" s="49">
        <v>120</v>
      </c>
      <c r="W192" s="49">
        <v>120</v>
      </c>
      <c r="X192" s="48">
        <f t="shared" si="18"/>
        <v>0</v>
      </c>
      <c r="Y192" s="44"/>
      <c r="Z192" s="43"/>
      <c r="AA192" s="48"/>
      <c r="AB192" s="49">
        <v>352</v>
      </c>
      <c r="AC192" s="49">
        <v>350</v>
      </c>
      <c r="AD192" s="48">
        <f t="shared" si="19"/>
        <v>2</v>
      </c>
      <c r="AE192" s="44"/>
      <c r="AF192" s="46">
        <v>128</v>
      </c>
      <c r="AG192" s="49">
        <v>130</v>
      </c>
      <c r="AH192" s="49">
        <v>72</v>
      </c>
      <c r="AI192" s="49">
        <v>70</v>
      </c>
      <c r="AJ192" s="48">
        <f t="shared" si="20"/>
        <v>0</v>
      </c>
      <c r="AK192" s="44"/>
      <c r="AL192" s="49">
        <v>136</v>
      </c>
      <c r="AM192">
        <v>140</v>
      </c>
      <c r="AN192">
        <v>160</v>
      </c>
      <c r="AO192">
        <v>160</v>
      </c>
      <c r="AP192" s="42">
        <v>-4</v>
      </c>
      <c r="AQ192" s="44"/>
      <c r="AR192" s="43"/>
      <c r="AT192">
        <v>200</v>
      </c>
      <c r="AU192">
        <v>200</v>
      </c>
      <c r="AV192" s="42">
        <v>0</v>
      </c>
      <c r="AW192" s="44"/>
      <c r="BA192">
        <v>592</v>
      </c>
      <c r="BB192">
        <v>600</v>
      </c>
      <c r="BC192" s="42">
        <v>-8</v>
      </c>
      <c r="BD192" s="44"/>
      <c r="BE192" s="43"/>
      <c r="BI192" s="42">
        <v>0</v>
      </c>
      <c r="BJ192" s="44"/>
      <c r="BK192">
        <v>296</v>
      </c>
      <c r="BL192">
        <v>300</v>
      </c>
      <c r="BM192">
        <v>296</v>
      </c>
      <c r="BN192">
        <v>300</v>
      </c>
      <c r="BO192" s="42">
        <v>-8</v>
      </c>
      <c r="BP192" s="44"/>
      <c r="BS192" s="42">
        <v>0</v>
      </c>
      <c r="BT192" s="44"/>
      <c r="BU192" s="43"/>
      <c r="BW192">
        <v>352</v>
      </c>
      <c r="BX192">
        <v>350</v>
      </c>
      <c r="BY192" s="42">
        <v>2</v>
      </c>
      <c r="BZ192" s="44"/>
      <c r="CA192">
        <v>200</v>
      </c>
      <c r="CB192">
        <v>200</v>
      </c>
      <c r="CC192">
        <v>400</v>
      </c>
      <c r="CD192">
        <v>400</v>
      </c>
      <c r="CE192" s="42">
        <v>0</v>
      </c>
      <c r="CF192" s="44"/>
      <c r="CG192" s="43"/>
      <c r="CI192">
        <v>96</v>
      </c>
      <c r="CJ192">
        <v>100</v>
      </c>
      <c r="CK192" s="42">
        <v>-4</v>
      </c>
      <c r="CL192" s="44"/>
      <c r="CM192" s="46">
        <v>96</v>
      </c>
      <c r="CN192">
        <v>100</v>
      </c>
      <c r="CO192">
        <v>432</v>
      </c>
      <c r="CP192">
        <v>430</v>
      </c>
      <c r="CQ192" s="42">
        <v>-2</v>
      </c>
      <c r="CR192" s="44"/>
      <c r="CS192">
        <v>96</v>
      </c>
      <c r="CT192">
        <v>100</v>
      </c>
      <c r="CU192">
        <v>200</v>
      </c>
      <c r="CV192">
        <v>200</v>
      </c>
      <c r="CW192" s="42">
        <v>-4</v>
      </c>
      <c r="CX192" s="44"/>
      <c r="CY192" s="43"/>
      <c r="DC192" s="42">
        <v>0</v>
      </c>
      <c r="DD192" s="44"/>
      <c r="DE192" s="43"/>
      <c r="DG192">
        <v>200</v>
      </c>
      <c r="DH192">
        <v>200</v>
      </c>
      <c r="DI192">
        <v>152</v>
      </c>
      <c r="DJ192">
        <v>150</v>
      </c>
      <c r="DK192" s="42">
        <v>2</v>
      </c>
      <c r="DL192" s="44"/>
      <c r="DM192" s="43"/>
      <c r="DQ192" s="42">
        <v>0</v>
      </c>
      <c r="DR192" s="44"/>
      <c r="DS192">
        <v>208</v>
      </c>
      <c r="DT192">
        <v>200</v>
      </c>
      <c r="DU192">
        <v>232</v>
      </c>
      <c r="DV192">
        <v>235</v>
      </c>
      <c r="DW192">
        <v>200</v>
      </c>
      <c r="DX192">
        <v>200</v>
      </c>
      <c r="DY192" s="42">
        <v>5</v>
      </c>
      <c r="DZ192" s="44"/>
      <c r="EA192" s="43"/>
      <c r="EC192">
        <v>240</v>
      </c>
      <c r="ED192">
        <v>240</v>
      </c>
      <c r="EE192" s="42">
        <v>0</v>
      </c>
      <c r="EF192" s="44"/>
      <c r="EG192" s="46">
        <v>96</v>
      </c>
      <c r="EH192">
        <v>100</v>
      </c>
      <c r="EI192">
        <v>200</v>
      </c>
      <c r="EJ192">
        <v>200</v>
      </c>
      <c r="EK192" s="42">
        <v>-4</v>
      </c>
      <c r="EL192" s="44"/>
      <c r="EM192" s="46">
        <v>96</v>
      </c>
      <c r="EN192">
        <v>100</v>
      </c>
      <c r="EO192">
        <v>96</v>
      </c>
      <c r="EP192">
        <v>100</v>
      </c>
      <c r="EQ192" s="42">
        <v>-8</v>
      </c>
      <c r="ER192" s="44"/>
      <c r="EU192">
        <v>176</v>
      </c>
      <c r="EV192">
        <v>180</v>
      </c>
      <c r="EW192">
        <v>200</v>
      </c>
      <c r="EX192">
        <v>200</v>
      </c>
      <c r="EY192" s="42">
        <v>-4</v>
      </c>
      <c r="EZ192" s="44"/>
      <c r="FC192">
        <v>80</v>
      </c>
      <c r="FD192">
        <v>78</v>
      </c>
      <c r="FE192" s="42">
        <v>2</v>
      </c>
      <c r="FF192" s="44"/>
      <c r="FG192" s="43"/>
      <c r="FK192" s="42">
        <v>0</v>
      </c>
      <c r="FL192" s="44"/>
      <c r="FM192" s="43"/>
      <c r="FO192" s="42">
        <v>0</v>
      </c>
      <c r="FP192" s="44"/>
      <c r="FQ192">
        <v>176</v>
      </c>
      <c r="FR192">
        <v>180</v>
      </c>
      <c r="FS192">
        <v>560</v>
      </c>
      <c r="FT192">
        <v>559</v>
      </c>
      <c r="FU192" s="42">
        <v>-3</v>
      </c>
      <c r="FV192" s="44"/>
      <c r="FW192" s="46">
        <v>96</v>
      </c>
      <c r="FY192">
        <v>48</v>
      </c>
      <c r="GA192">
        <v>96</v>
      </c>
      <c r="GC192" s="42">
        <v>0</v>
      </c>
      <c r="GD192" s="44"/>
      <c r="GE192" s="37">
        <v>184</v>
      </c>
      <c r="GG192" s="36">
        <v>192</v>
      </c>
      <c r="GI192" s="42">
        <v>0</v>
      </c>
      <c r="GJ192" s="44"/>
      <c r="GK192" s="43"/>
      <c r="GP192" s="44"/>
      <c r="GV192" s="44"/>
      <c r="GZ192" s="47"/>
      <c r="HA192" s="43"/>
      <c r="HD192" s="44"/>
      <c r="HE192" s="43"/>
      <c r="HJ192" s="47"/>
      <c r="HK192" s="43"/>
      <c r="HP192" s="44"/>
      <c r="HW192" s="44"/>
      <c r="HX192" s="45"/>
      <c r="IC192" s="44"/>
      <c r="II192" s="47"/>
      <c r="IO192" s="47"/>
      <c r="IU192" s="47"/>
      <c r="JA192" s="44"/>
      <c r="JE192" s="44"/>
      <c r="JK192" s="44"/>
      <c r="JL192" s="45"/>
      <c r="JO192" s="44"/>
      <c r="JU192" s="44"/>
      <c r="KA192" s="47"/>
      <c r="KG192" s="44"/>
      <c r="KH192" s="41"/>
      <c r="KM192" s="47"/>
      <c r="KN192" s="45"/>
      <c r="KU192" s="47"/>
      <c r="LA192" s="47"/>
      <c r="LG192" s="47"/>
      <c r="LH192" s="45"/>
      <c r="LK192" s="47"/>
      <c r="LL192" s="45"/>
      <c r="LQ192" s="47"/>
      <c r="LR192" s="45"/>
      <c r="LW192" s="47"/>
      <c r="LX192" s="45"/>
      <c r="MA192" s="47"/>
      <c r="MB192" s="45"/>
      <c r="MG192" s="47"/>
      <c r="MH192" s="45"/>
      <c r="MK192" s="47"/>
      <c r="ML192" s="45"/>
      <c r="MQ192" s="47"/>
      <c r="MW192" s="47"/>
      <c r="MX192" s="45"/>
      <c r="NC192" s="47"/>
      <c r="ND192" s="45"/>
      <c r="NI192" s="47"/>
      <c r="NJ192" s="45"/>
      <c r="NO192" s="47"/>
      <c r="NP192" s="45"/>
      <c r="NU192" s="47"/>
      <c r="NV192" s="45"/>
      <c r="NZ192" s="42"/>
      <c r="OA192" s="47"/>
      <c r="OB192" s="45"/>
      <c r="OE192" s="47"/>
      <c r="OF192" s="45"/>
      <c r="OK192" s="47"/>
      <c r="OL192" s="45"/>
      <c r="OQ192" s="47"/>
      <c r="OR192" s="45"/>
      <c r="OW192" s="47"/>
      <c r="PC192" s="47"/>
      <c r="PD192" s="45"/>
      <c r="PI192" s="47"/>
      <c r="PJ192" s="45"/>
      <c r="PO192" s="47"/>
      <c r="PP192" s="43"/>
      <c r="PU192" s="47"/>
      <c r="PV192" s="45"/>
      <c r="PZ192" s="42"/>
      <c r="QA192" s="47"/>
      <c r="QB192" s="45"/>
      <c r="QE192" s="47"/>
      <c r="QF192" s="45"/>
      <c r="QK192" s="47"/>
      <c r="QL192" s="45"/>
      <c r="QQ192" s="47"/>
      <c r="QR192" s="45"/>
      <c r="QW192" s="47"/>
      <c r="QX192" s="45"/>
      <c r="RB192" s="42"/>
      <c r="RC192" s="47"/>
      <c r="RD192" s="45"/>
      <c r="RF192" s="42"/>
      <c r="RG192" s="47"/>
    </row>
    <row r="193" spans="1:475" x14ac:dyDescent="0.25">
      <c r="A193" s="40" t="s">
        <v>482</v>
      </c>
      <c r="B193" s="41">
        <v>0.33</v>
      </c>
      <c r="N193" s="43"/>
      <c r="O193" s="48"/>
      <c r="P193" s="48"/>
      <c r="Q193" s="48"/>
      <c r="R193" s="48">
        <f t="shared" si="17"/>
        <v>0</v>
      </c>
      <c r="S193" s="44"/>
      <c r="T193" s="43"/>
      <c r="U193" s="48"/>
      <c r="V193" s="48"/>
      <c r="W193" s="48"/>
      <c r="X193" s="48">
        <f t="shared" si="18"/>
        <v>0</v>
      </c>
      <c r="Y193" s="44"/>
      <c r="Z193" s="43"/>
      <c r="AA193" s="48"/>
      <c r="AB193" s="48"/>
      <c r="AC193" s="48"/>
      <c r="AD193" s="48">
        <f t="shared" si="19"/>
        <v>0</v>
      </c>
      <c r="AE193" s="44"/>
      <c r="AF193" s="43"/>
      <c r="AG193" s="48"/>
      <c r="AH193" s="48"/>
      <c r="AI193" s="48"/>
      <c r="AJ193" s="48">
        <f t="shared" si="20"/>
        <v>0</v>
      </c>
      <c r="AK193" s="44"/>
      <c r="AL193" s="48"/>
      <c r="AP193" s="42">
        <v>0</v>
      </c>
      <c r="AQ193" s="44"/>
      <c r="AR193" s="43"/>
      <c r="AV193" s="42">
        <v>0</v>
      </c>
      <c r="AW193" s="44"/>
      <c r="BC193" s="42">
        <v>0</v>
      </c>
      <c r="BD193" s="44"/>
      <c r="BE193" s="43"/>
      <c r="BI193" s="42">
        <v>0</v>
      </c>
      <c r="BJ193" s="44"/>
      <c r="BO193" s="42">
        <v>0</v>
      </c>
      <c r="BP193" s="44"/>
      <c r="BS193" s="42">
        <v>0</v>
      </c>
      <c r="BT193" s="44"/>
      <c r="BU193" s="43"/>
      <c r="BY193" s="42">
        <v>0</v>
      </c>
      <c r="BZ193" s="44"/>
      <c r="CE193" s="42">
        <v>0</v>
      </c>
      <c r="CF193" s="44"/>
      <c r="CG193" s="43"/>
      <c r="CK193" s="42">
        <v>0</v>
      </c>
      <c r="CL193" s="44"/>
      <c r="CM193" s="43"/>
      <c r="CQ193" s="42">
        <v>0</v>
      </c>
      <c r="CR193" s="44"/>
      <c r="CS193">
        <v>40</v>
      </c>
      <c r="CT193">
        <v>40</v>
      </c>
      <c r="CU193">
        <v>56</v>
      </c>
      <c r="CV193">
        <v>60</v>
      </c>
      <c r="CW193" s="42">
        <v>-4</v>
      </c>
      <c r="CX193" s="44"/>
      <c r="CY193" s="46">
        <v>40</v>
      </c>
      <c r="CZ193">
        <v>40</v>
      </c>
      <c r="DA193">
        <v>56</v>
      </c>
      <c r="DB193">
        <v>60</v>
      </c>
      <c r="DC193" s="42">
        <v>-4</v>
      </c>
      <c r="DD193" s="44"/>
      <c r="DE193" s="43"/>
      <c r="DG193">
        <v>96</v>
      </c>
      <c r="DH193">
        <v>100</v>
      </c>
      <c r="DI193">
        <v>96</v>
      </c>
      <c r="DJ193">
        <v>100</v>
      </c>
      <c r="DK193" s="42">
        <v>-8</v>
      </c>
      <c r="DL193" s="44"/>
      <c r="DM193" s="43"/>
      <c r="DQ193" s="42">
        <v>0</v>
      </c>
      <c r="DR193" s="44"/>
      <c r="DY193" s="42">
        <v>0</v>
      </c>
      <c r="DZ193" s="44"/>
      <c r="EA193" s="43"/>
      <c r="EC193">
        <v>216</v>
      </c>
      <c r="ED193">
        <v>220</v>
      </c>
      <c r="EE193" s="42">
        <v>-4</v>
      </c>
      <c r="EF193" s="44"/>
      <c r="EG193" s="43"/>
      <c r="EK193" s="42">
        <v>0</v>
      </c>
      <c r="EL193" s="44"/>
      <c r="EM193" s="46">
        <v>40</v>
      </c>
      <c r="EN193">
        <v>40</v>
      </c>
      <c r="EO193">
        <v>40</v>
      </c>
      <c r="EP193">
        <v>40</v>
      </c>
      <c r="EQ193" s="42">
        <v>0</v>
      </c>
      <c r="ER193" s="44"/>
      <c r="EU193">
        <v>48</v>
      </c>
      <c r="EV193">
        <v>48</v>
      </c>
      <c r="EW193">
        <v>48</v>
      </c>
      <c r="EX193">
        <v>52</v>
      </c>
      <c r="EY193" s="42">
        <v>-4</v>
      </c>
      <c r="EZ193" s="44"/>
      <c r="FE193" s="42">
        <v>0</v>
      </c>
      <c r="FF193" s="44"/>
      <c r="FG193" s="43"/>
      <c r="FI193">
        <v>48</v>
      </c>
      <c r="FJ193" s="42">
        <v>50</v>
      </c>
      <c r="FK193" s="42">
        <v>-2</v>
      </c>
      <c r="FL193" s="44"/>
      <c r="FM193" s="43"/>
      <c r="FO193" s="42">
        <v>0</v>
      </c>
      <c r="FP193" s="44"/>
      <c r="FV193" s="44"/>
      <c r="FW193" s="46"/>
      <c r="GD193" s="44"/>
      <c r="GJ193" s="44"/>
      <c r="GK193" s="43"/>
      <c r="GP193" s="44"/>
      <c r="GV193" s="44"/>
      <c r="GZ193" s="47"/>
      <c r="HA193" s="43"/>
      <c r="HD193" s="44"/>
      <c r="HE193" s="43"/>
      <c r="HJ193" s="47"/>
      <c r="HK193" s="43"/>
      <c r="HP193" s="44"/>
      <c r="HW193" s="44"/>
      <c r="HX193" s="45"/>
      <c r="IC193" s="44"/>
      <c r="II193" s="47"/>
      <c r="IO193" s="47"/>
      <c r="IU193" s="47"/>
      <c r="JA193" s="44"/>
      <c r="JE193" s="44"/>
      <c r="JK193" s="44"/>
      <c r="JL193" s="45"/>
      <c r="JO193" s="44"/>
      <c r="JU193" s="44"/>
      <c r="KA193" s="47"/>
      <c r="KG193" s="44"/>
      <c r="KH193" s="41"/>
      <c r="KM193" s="47"/>
      <c r="KN193" s="45"/>
      <c r="KU193" s="47"/>
      <c r="LA193" s="47"/>
      <c r="LG193" s="47"/>
      <c r="LH193" s="45"/>
      <c r="LK193" s="47"/>
      <c r="LL193" s="45"/>
      <c r="LQ193" s="47"/>
      <c r="LR193" s="45"/>
      <c r="LW193" s="47"/>
      <c r="LX193" s="45"/>
      <c r="MA193" s="47"/>
      <c r="MB193" s="45"/>
      <c r="MG193" s="47"/>
      <c r="MH193" s="45"/>
      <c r="MK193" s="47"/>
      <c r="ML193" s="45"/>
      <c r="MQ193" s="47"/>
      <c r="MR193" s="42"/>
      <c r="MW193" s="47"/>
      <c r="MX193" s="45"/>
      <c r="NC193" s="47"/>
      <c r="ND193" s="45"/>
      <c r="NI193" s="47"/>
      <c r="NJ193" s="45"/>
      <c r="NN193" s="42"/>
      <c r="NO193" s="47"/>
      <c r="NP193" s="45"/>
      <c r="NU193" s="47"/>
      <c r="NV193" s="45"/>
      <c r="NZ193" s="42"/>
      <c r="OA193" s="47"/>
      <c r="OB193" s="45"/>
      <c r="OE193" s="47"/>
      <c r="OF193" s="45"/>
      <c r="OK193" s="47"/>
      <c r="OL193" s="45"/>
      <c r="OQ193" s="47"/>
      <c r="OR193" s="45"/>
      <c r="OW193" s="47"/>
      <c r="PC193" s="47"/>
      <c r="PD193" s="45"/>
      <c r="PI193" s="47"/>
      <c r="PJ193" s="45"/>
      <c r="PO193" s="47"/>
      <c r="PP193" s="43"/>
      <c r="PU193" s="47"/>
      <c r="PV193" s="45"/>
      <c r="PZ193" s="42"/>
      <c r="QA193" s="47"/>
      <c r="QB193" s="45"/>
      <c r="QE193" s="47"/>
      <c r="QF193" s="45"/>
      <c r="QK193" s="47"/>
      <c r="QL193" s="45"/>
      <c r="QQ193" s="47"/>
      <c r="QR193" s="45"/>
      <c r="QW193" s="47"/>
      <c r="QX193" s="45"/>
      <c r="RB193" s="42"/>
      <c r="RC193" s="47"/>
      <c r="RD193" s="45"/>
      <c r="RF193" s="42"/>
      <c r="RG193" s="47"/>
    </row>
    <row r="194" spans="1:475" x14ac:dyDescent="0.25">
      <c r="A194" s="40" t="s">
        <v>483</v>
      </c>
      <c r="B194" s="41">
        <v>1</v>
      </c>
      <c r="N194" s="43"/>
      <c r="O194" s="48"/>
      <c r="P194" s="48"/>
      <c r="Q194" s="48"/>
      <c r="R194" s="48">
        <f t="shared" si="17"/>
        <v>0</v>
      </c>
      <c r="S194" s="44"/>
      <c r="T194" s="43"/>
      <c r="U194" s="48"/>
      <c r="V194" s="48"/>
      <c r="W194" s="48"/>
      <c r="X194" s="48">
        <f t="shared" si="18"/>
        <v>0</v>
      </c>
      <c r="Y194" s="44"/>
      <c r="Z194" s="43"/>
      <c r="AA194" s="48"/>
      <c r="AB194" s="48"/>
      <c r="AC194" s="48"/>
      <c r="AD194" s="48">
        <f t="shared" si="19"/>
        <v>0</v>
      </c>
      <c r="AE194" s="44"/>
      <c r="AF194" s="43"/>
      <c r="AG194" s="48"/>
      <c r="AH194" s="48"/>
      <c r="AI194" s="48"/>
      <c r="AJ194" s="48">
        <f t="shared" si="20"/>
        <v>0</v>
      </c>
      <c r="AK194" s="44"/>
      <c r="AL194" s="48"/>
      <c r="AP194" s="42">
        <v>0</v>
      </c>
      <c r="AQ194" s="44"/>
      <c r="AR194" s="43"/>
      <c r="AV194" s="42">
        <v>0</v>
      </c>
      <c r="AW194" s="44"/>
      <c r="BC194" s="42">
        <v>0</v>
      </c>
      <c r="BD194" s="44"/>
      <c r="BE194" s="43"/>
      <c r="BI194" s="42">
        <v>0</v>
      </c>
      <c r="BJ194" s="44"/>
      <c r="BO194" s="42">
        <v>0</v>
      </c>
      <c r="BP194" s="44"/>
      <c r="BS194" s="42">
        <v>0</v>
      </c>
      <c r="BT194" s="44"/>
      <c r="BU194" s="43"/>
      <c r="BY194" s="42">
        <v>0</v>
      </c>
      <c r="BZ194" s="44"/>
      <c r="CE194" s="42">
        <v>0</v>
      </c>
      <c r="CF194" s="44"/>
      <c r="CG194" s="43"/>
      <c r="CK194" s="42">
        <v>0</v>
      </c>
      <c r="CL194" s="44"/>
      <c r="CM194" s="43"/>
      <c r="CQ194" s="42">
        <v>0</v>
      </c>
      <c r="CR194" s="44"/>
      <c r="CW194" s="42">
        <v>0</v>
      </c>
      <c r="CX194" s="44"/>
      <c r="CY194" s="45"/>
      <c r="CZ194" s="40"/>
      <c r="DC194" s="42">
        <v>0</v>
      </c>
      <c r="DD194" s="44"/>
      <c r="DE194" s="43">
        <v>198</v>
      </c>
      <c r="DK194" s="42">
        <v>198</v>
      </c>
      <c r="DL194" s="44"/>
      <c r="DM194" s="43"/>
      <c r="DQ194" s="42">
        <v>0</v>
      </c>
      <c r="DR194" s="44"/>
      <c r="DZ194" s="44"/>
      <c r="EA194" s="43"/>
      <c r="EF194" s="44"/>
      <c r="EG194" s="43"/>
      <c r="EL194" s="44"/>
      <c r="EM194" s="46"/>
      <c r="ER194" s="44"/>
      <c r="EZ194" s="44"/>
      <c r="FF194" s="44"/>
      <c r="FG194" s="43"/>
      <c r="FL194" s="44"/>
      <c r="FM194" s="43"/>
      <c r="FP194" s="44"/>
      <c r="FV194" s="44"/>
      <c r="FW194" s="46"/>
      <c r="GD194" s="44"/>
      <c r="GJ194" s="44"/>
      <c r="GK194" s="43"/>
      <c r="GP194" s="44"/>
      <c r="GV194" s="44"/>
      <c r="GZ194" s="47"/>
      <c r="HA194" s="43"/>
      <c r="HD194" s="44"/>
      <c r="HE194" s="43"/>
      <c r="HJ194" s="47"/>
      <c r="HK194" s="43"/>
      <c r="HP194" s="44"/>
      <c r="HW194" s="44"/>
      <c r="HX194" s="45"/>
      <c r="IC194" s="44"/>
      <c r="II194" s="47"/>
      <c r="IO194" s="47"/>
      <c r="IU194" s="47"/>
      <c r="JA194" s="44"/>
      <c r="JE194" s="44"/>
      <c r="JK194" s="44"/>
      <c r="JL194" s="45"/>
      <c r="JO194" s="44"/>
      <c r="JU194" s="44"/>
      <c r="KA194" s="47"/>
      <c r="KG194" s="44"/>
      <c r="KH194" s="41"/>
      <c r="KM194" s="47"/>
      <c r="KN194" s="45"/>
      <c r="KU194" s="47"/>
      <c r="LA194" s="47"/>
      <c r="LG194" s="47"/>
      <c r="LH194" s="45"/>
      <c r="LK194" s="47"/>
      <c r="LL194" s="45"/>
      <c r="LO194" s="42"/>
      <c r="LQ194" s="47"/>
      <c r="LR194" s="45"/>
      <c r="LS194" s="42"/>
      <c r="LW194" s="47"/>
      <c r="LX194" s="45"/>
      <c r="MA194" s="47"/>
      <c r="MB194" s="45"/>
      <c r="MG194" s="47"/>
      <c r="MH194" s="45"/>
      <c r="MK194" s="47"/>
      <c r="ML194" s="45"/>
      <c r="MQ194" s="47"/>
      <c r="MR194" s="42"/>
      <c r="MW194" s="47"/>
      <c r="MX194" s="45"/>
      <c r="NC194" s="47"/>
      <c r="ND194" s="45"/>
      <c r="NI194" s="47"/>
      <c r="NJ194" s="45"/>
      <c r="NN194" s="42"/>
      <c r="NO194" s="47"/>
      <c r="NP194" s="45"/>
      <c r="NU194" s="47"/>
      <c r="NV194" s="45"/>
      <c r="NZ194" s="42"/>
      <c r="OA194" s="47"/>
      <c r="OB194" s="45"/>
      <c r="OE194" s="47"/>
      <c r="OF194" s="45"/>
      <c r="OK194" s="47"/>
      <c r="OL194" s="45"/>
      <c r="OQ194" s="47"/>
      <c r="OR194" s="45"/>
      <c r="OW194" s="47"/>
      <c r="PC194" s="47"/>
      <c r="PD194" s="45"/>
      <c r="PI194" s="47"/>
      <c r="PJ194" s="45"/>
      <c r="PO194" s="47"/>
      <c r="PP194" s="43"/>
      <c r="PU194" s="47"/>
      <c r="PV194" s="45"/>
      <c r="PZ194" s="42"/>
      <c r="QA194" s="47"/>
      <c r="QB194" s="45"/>
      <c r="QE194" s="47"/>
      <c r="QF194" s="45"/>
      <c r="QK194" s="47"/>
      <c r="QL194" s="45"/>
      <c r="QQ194" s="47"/>
      <c r="QR194" s="45"/>
      <c r="QW194" s="47"/>
      <c r="QX194" s="45"/>
      <c r="RB194" s="42"/>
      <c r="RC194" s="47"/>
      <c r="RD194" s="45"/>
      <c r="RF194" s="42"/>
      <c r="RG194" s="47"/>
    </row>
    <row r="195" spans="1:475" x14ac:dyDescent="0.25">
      <c r="A195" s="40" t="s">
        <v>484</v>
      </c>
      <c r="B195" s="41">
        <v>0.3</v>
      </c>
      <c r="F195">
        <v>50</v>
      </c>
      <c r="N195" s="43"/>
      <c r="O195" s="48"/>
      <c r="P195" s="48"/>
      <c r="Q195" s="48"/>
      <c r="R195" s="48">
        <f t="shared" si="17"/>
        <v>0</v>
      </c>
      <c r="S195" s="44"/>
      <c r="T195" s="43"/>
      <c r="U195" s="49">
        <v>35</v>
      </c>
      <c r="V195" s="49">
        <v>84</v>
      </c>
      <c r="W195" s="49">
        <v>85</v>
      </c>
      <c r="X195" s="53">
        <f t="shared" si="18"/>
        <v>-36</v>
      </c>
      <c r="Y195" s="44">
        <f>-1*X195*B195</f>
        <v>10.799999999999999</v>
      </c>
      <c r="Z195" s="43"/>
      <c r="AA195" s="48"/>
      <c r="AB195" s="48"/>
      <c r="AC195" s="48"/>
      <c r="AD195" s="48">
        <f t="shared" si="19"/>
        <v>0</v>
      </c>
      <c r="AE195" s="44"/>
      <c r="AF195" s="43"/>
      <c r="AG195" s="48"/>
      <c r="AH195" s="48"/>
      <c r="AI195" s="48"/>
      <c r="AJ195" s="48">
        <f t="shared" si="20"/>
        <v>0</v>
      </c>
      <c r="AK195" s="44"/>
      <c r="AL195" s="48"/>
      <c r="AN195">
        <v>49</v>
      </c>
      <c r="AO195">
        <v>50</v>
      </c>
      <c r="AP195" s="42">
        <v>-1</v>
      </c>
      <c r="AQ195" s="44"/>
      <c r="AR195" s="43"/>
      <c r="AT195">
        <v>98</v>
      </c>
      <c r="AU195">
        <v>100</v>
      </c>
      <c r="AV195" s="42">
        <v>-2</v>
      </c>
      <c r="AW195" s="44"/>
      <c r="BC195" s="42">
        <v>0</v>
      </c>
      <c r="BD195" s="44"/>
      <c r="BE195" s="43"/>
      <c r="BI195" s="42">
        <v>0</v>
      </c>
      <c r="BJ195" s="44"/>
      <c r="BM195">
        <v>56</v>
      </c>
      <c r="BN195">
        <v>60</v>
      </c>
      <c r="BO195" s="42">
        <v>-4</v>
      </c>
      <c r="BP195" s="44"/>
      <c r="BS195" s="42">
        <v>0</v>
      </c>
      <c r="BT195" s="44"/>
      <c r="BU195" s="46">
        <v>84</v>
      </c>
      <c r="BV195">
        <v>84</v>
      </c>
      <c r="BY195" s="42">
        <v>0</v>
      </c>
      <c r="BZ195" s="44"/>
      <c r="CC195">
        <v>56</v>
      </c>
      <c r="CD195">
        <v>60</v>
      </c>
      <c r="CE195" s="42">
        <v>-4</v>
      </c>
      <c r="CF195" s="44"/>
      <c r="CG195" s="43"/>
      <c r="CI195">
        <v>21</v>
      </c>
      <c r="CJ195">
        <v>20</v>
      </c>
      <c r="CK195" s="42">
        <v>1</v>
      </c>
      <c r="CL195" s="44"/>
      <c r="CM195" s="43"/>
      <c r="CQ195" s="42">
        <v>0</v>
      </c>
      <c r="CR195" s="44"/>
      <c r="CW195" s="42">
        <v>0</v>
      </c>
      <c r="CX195" s="44"/>
      <c r="CY195" s="43"/>
      <c r="DC195" s="42">
        <v>0</v>
      </c>
      <c r="DD195" s="44"/>
      <c r="DE195" s="43"/>
      <c r="DK195" s="42">
        <v>0</v>
      </c>
      <c r="DL195" s="44"/>
      <c r="DM195" s="43"/>
      <c r="DQ195" s="42">
        <v>0</v>
      </c>
      <c r="DR195" s="44"/>
      <c r="DY195" s="42">
        <v>0</v>
      </c>
      <c r="DZ195" s="44"/>
      <c r="EA195" s="43"/>
      <c r="EE195" s="42">
        <v>0</v>
      </c>
      <c r="EF195" s="44"/>
      <c r="EG195" s="43"/>
      <c r="EJ195" s="42">
        <v>150</v>
      </c>
      <c r="EK195" s="39">
        <v>-150</v>
      </c>
      <c r="EL195" s="44">
        <v>45</v>
      </c>
      <c r="EM195" s="43">
        <v>196</v>
      </c>
      <c r="EN195">
        <v>200</v>
      </c>
      <c r="EO195" s="42">
        <v>196</v>
      </c>
      <c r="EP195">
        <v>200</v>
      </c>
      <c r="EQ195" s="42">
        <v>-8</v>
      </c>
      <c r="ER195" s="44"/>
      <c r="EY195" s="42">
        <v>0</v>
      </c>
      <c r="EZ195" s="44"/>
      <c r="FE195" s="42">
        <v>0</v>
      </c>
      <c r="FF195" s="44"/>
      <c r="FG195" s="45"/>
      <c r="FK195" s="42">
        <v>0</v>
      </c>
      <c r="FL195" s="44"/>
      <c r="FM195" s="45"/>
      <c r="FO195" s="42">
        <v>0</v>
      </c>
      <c r="FP195" s="44"/>
      <c r="FV195" s="44"/>
      <c r="FW195" s="46"/>
      <c r="GD195" s="44"/>
      <c r="GJ195" s="44"/>
      <c r="GK195" s="43"/>
      <c r="GP195" s="44"/>
      <c r="GV195" s="44"/>
      <c r="GZ195" s="47"/>
      <c r="HA195" s="43"/>
      <c r="HD195" s="44"/>
      <c r="HE195" s="43"/>
      <c r="HJ195" s="47"/>
      <c r="HK195" s="43"/>
      <c r="HP195" s="44"/>
      <c r="HW195" s="44"/>
      <c r="HX195" s="45"/>
      <c r="IC195" s="44"/>
      <c r="II195" s="47"/>
      <c r="IO195" s="47"/>
      <c r="IU195" s="47"/>
      <c r="JA195" s="44"/>
      <c r="JE195" s="44"/>
      <c r="JK195" s="44"/>
      <c r="JL195" s="45"/>
      <c r="JO195" s="44"/>
      <c r="JU195" s="44"/>
      <c r="KA195" s="47"/>
      <c r="KG195" s="44"/>
      <c r="KH195" s="41"/>
      <c r="KM195" s="47"/>
      <c r="KN195" s="45"/>
      <c r="KU195" s="47"/>
      <c r="LA195" s="47"/>
      <c r="LG195" s="47"/>
      <c r="LH195" s="45"/>
      <c r="LK195" s="47"/>
      <c r="LL195" s="45"/>
      <c r="LQ195" s="47"/>
      <c r="LR195" s="45"/>
      <c r="LW195" s="47"/>
      <c r="LX195" s="45"/>
      <c r="MA195" s="47"/>
      <c r="MB195" s="45"/>
      <c r="MG195" s="47"/>
      <c r="MH195" s="45"/>
      <c r="MK195" s="47"/>
      <c r="ML195" s="45"/>
      <c r="MQ195" s="47"/>
      <c r="MR195" s="42"/>
      <c r="MW195" s="47"/>
      <c r="MX195" s="45"/>
      <c r="NC195" s="47"/>
      <c r="ND195" s="45"/>
      <c r="NG195" s="42"/>
      <c r="NI195" s="47"/>
      <c r="NJ195" s="45"/>
      <c r="NN195" s="42"/>
      <c r="NO195" s="47"/>
      <c r="NP195" s="45"/>
      <c r="NU195" s="47"/>
      <c r="NV195" s="45"/>
      <c r="NZ195" s="42"/>
      <c r="OA195" s="47"/>
      <c r="OB195" s="45"/>
      <c r="OE195" s="47"/>
      <c r="OF195" s="45"/>
      <c r="OK195" s="47"/>
      <c r="OL195" s="45"/>
      <c r="OQ195" s="47"/>
      <c r="OR195" s="45"/>
      <c r="OW195" s="47"/>
      <c r="PC195" s="47"/>
      <c r="PD195" s="45"/>
      <c r="PI195" s="47"/>
      <c r="PJ195" s="45"/>
      <c r="PO195" s="47"/>
      <c r="PP195" s="43"/>
      <c r="PU195" s="47"/>
      <c r="PV195" s="45"/>
      <c r="PZ195" s="42"/>
      <c r="QA195" s="47"/>
      <c r="QB195" s="45"/>
      <c r="QE195" s="47"/>
      <c r="QF195" s="45"/>
      <c r="QK195" s="47"/>
      <c r="QL195" s="45"/>
      <c r="QQ195" s="47"/>
      <c r="QR195" s="45"/>
      <c r="QW195" s="47"/>
      <c r="QX195" s="45"/>
      <c r="RB195" s="42"/>
      <c r="RC195" s="47"/>
      <c r="RD195" s="45"/>
      <c r="RF195" s="42"/>
      <c r="RG195" s="47"/>
    </row>
    <row r="196" spans="1:475" x14ac:dyDescent="0.25">
      <c r="A196" s="40" t="s">
        <v>485</v>
      </c>
      <c r="B196" s="41">
        <v>0.33</v>
      </c>
      <c r="F196">
        <v>50</v>
      </c>
      <c r="J196">
        <v>60</v>
      </c>
      <c r="K196">
        <v>58</v>
      </c>
      <c r="N196" s="43"/>
      <c r="O196" s="48"/>
      <c r="P196" s="48"/>
      <c r="Q196" s="48"/>
      <c r="R196" s="48">
        <f t="shared" ref="R196:R200" si="21">N196+P196-O196-Q196</f>
        <v>0</v>
      </c>
      <c r="S196" s="44"/>
      <c r="T196" s="43"/>
      <c r="U196" s="48"/>
      <c r="V196" s="49">
        <v>72</v>
      </c>
      <c r="W196" s="49">
        <v>70</v>
      </c>
      <c r="X196" s="48">
        <f t="shared" ref="X196:X200" si="22">T196+V196-U196-W196</f>
        <v>2</v>
      </c>
      <c r="Y196" s="44"/>
      <c r="Z196" s="43"/>
      <c r="AA196" s="48"/>
      <c r="AB196" s="49">
        <v>42</v>
      </c>
      <c r="AC196" s="49">
        <v>40</v>
      </c>
      <c r="AD196" s="48">
        <f t="shared" ref="AD196:AD200" si="23">Z196+AB196-AA196-AC196</f>
        <v>2</v>
      </c>
      <c r="AE196" s="44"/>
      <c r="AF196" s="43"/>
      <c r="AG196" s="48"/>
      <c r="AH196" s="48"/>
      <c r="AI196" s="48"/>
      <c r="AJ196" s="48">
        <f t="shared" ref="AJ196:AJ200" si="24">AF196+AH196-AG196-AI196</f>
        <v>0</v>
      </c>
      <c r="AK196" s="44"/>
      <c r="AL196" s="48"/>
      <c r="AN196">
        <v>30</v>
      </c>
      <c r="AO196">
        <v>32</v>
      </c>
      <c r="AP196" s="42">
        <v>-2</v>
      </c>
      <c r="AQ196" s="44"/>
      <c r="AR196" s="43"/>
      <c r="AT196">
        <v>60</v>
      </c>
      <c r="AU196">
        <v>60</v>
      </c>
      <c r="AV196" s="42">
        <v>0</v>
      </c>
      <c r="AW196" s="44"/>
      <c r="BA196">
        <v>18</v>
      </c>
      <c r="BC196" s="42">
        <v>0</v>
      </c>
      <c r="BD196" s="44"/>
      <c r="BE196" s="43"/>
      <c r="BG196">
        <v>48</v>
      </c>
      <c r="BI196" s="42">
        <v>0</v>
      </c>
      <c r="BJ196" s="44"/>
      <c r="BK196">
        <v>24</v>
      </c>
      <c r="BM196">
        <v>24</v>
      </c>
      <c r="BO196" s="42">
        <v>0</v>
      </c>
      <c r="BP196" s="44"/>
      <c r="BS196" s="42">
        <v>0</v>
      </c>
      <c r="BT196" s="44"/>
      <c r="BU196" s="43"/>
      <c r="BY196" s="42">
        <v>0</v>
      </c>
      <c r="BZ196" s="44"/>
      <c r="CE196" s="42">
        <v>0</v>
      </c>
      <c r="CF196" s="44"/>
      <c r="CG196" s="43"/>
      <c r="CK196" s="42">
        <v>0</v>
      </c>
      <c r="CL196" s="44"/>
      <c r="CM196" s="43"/>
      <c r="CQ196" s="42">
        <v>0</v>
      </c>
      <c r="CR196" s="44"/>
      <c r="CW196" s="42">
        <v>0</v>
      </c>
      <c r="CX196" s="44"/>
      <c r="CY196" s="43"/>
      <c r="DC196" s="42">
        <v>0</v>
      </c>
      <c r="DD196" s="44"/>
      <c r="DE196" s="43"/>
      <c r="DI196">
        <v>144</v>
      </c>
      <c r="DK196" s="42">
        <v>0</v>
      </c>
      <c r="DL196" s="44"/>
      <c r="DM196" s="43"/>
      <c r="DQ196" s="42">
        <v>0</v>
      </c>
      <c r="DR196" s="44"/>
      <c r="DY196" s="42">
        <v>0</v>
      </c>
      <c r="DZ196" s="44"/>
      <c r="EA196" s="43"/>
      <c r="EC196">
        <v>120</v>
      </c>
      <c r="EE196" s="42">
        <v>0</v>
      </c>
      <c r="EF196" s="44"/>
      <c r="EG196" s="43"/>
      <c r="EK196" s="42">
        <v>0</v>
      </c>
      <c r="EL196" s="44"/>
      <c r="EM196" s="43">
        <v>6</v>
      </c>
      <c r="EQ196" s="42">
        <v>0</v>
      </c>
      <c r="ER196" s="44"/>
      <c r="EY196" s="42">
        <v>0</v>
      </c>
      <c r="EZ196" s="44"/>
      <c r="FF196" s="44"/>
      <c r="FG196" s="45"/>
      <c r="FL196" s="44"/>
      <c r="FM196" s="45"/>
      <c r="FP196" s="44"/>
      <c r="FV196" s="44"/>
      <c r="FW196" s="46"/>
      <c r="GD196" s="44"/>
      <c r="GJ196" s="44"/>
      <c r="GK196" s="43"/>
      <c r="GP196" s="44"/>
      <c r="GV196" s="44"/>
      <c r="GZ196" s="47"/>
      <c r="HA196" s="43"/>
      <c r="HD196" s="44"/>
      <c r="HE196" s="43"/>
      <c r="HJ196" s="47"/>
      <c r="HK196" s="43"/>
      <c r="HP196" s="44"/>
      <c r="HW196" s="44"/>
      <c r="HX196" s="45"/>
      <c r="IC196" s="44"/>
      <c r="II196" s="47"/>
      <c r="IO196" s="47"/>
      <c r="IU196" s="47"/>
      <c r="JA196" s="44"/>
      <c r="JE196" s="44"/>
      <c r="JK196" s="44"/>
      <c r="JL196" s="45"/>
      <c r="JO196" s="44"/>
      <c r="JU196" s="44"/>
      <c r="KA196" s="47"/>
      <c r="KG196" s="44"/>
      <c r="KH196" s="41"/>
      <c r="KM196" s="47"/>
      <c r="KN196" s="45"/>
      <c r="KU196" s="47"/>
      <c r="LA196" s="47"/>
      <c r="LG196" s="47"/>
      <c r="LH196" s="45"/>
      <c r="LK196" s="47"/>
      <c r="LL196" s="45"/>
      <c r="LQ196" s="47"/>
      <c r="LR196" s="45"/>
      <c r="LW196" s="47"/>
      <c r="LX196" s="45"/>
      <c r="MA196" s="47"/>
      <c r="MB196" s="45"/>
      <c r="MG196" s="47"/>
      <c r="MH196" s="45"/>
      <c r="MK196" s="47"/>
      <c r="ML196" s="45"/>
      <c r="MQ196" s="47"/>
      <c r="MR196" s="42"/>
      <c r="MW196" s="47"/>
      <c r="MX196" s="45"/>
      <c r="NC196" s="47"/>
      <c r="ND196" s="45"/>
      <c r="NG196" s="42"/>
      <c r="NI196" s="47"/>
      <c r="NJ196" s="45"/>
      <c r="NN196" s="42"/>
      <c r="NO196" s="47"/>
      <c r="NP196" s="45"/>
      <c r="NU196" s="47"/>
      <c r="NV196" s="45"/>
      <c r="NZ196" s="42"/>
      <c r="OA196" s="47"/>
      <c r="OB196" s="45"/>
      <c r="OE196" s="47"/>
      <c r="OF196" s="45"/>
      <c r="OK196" s="47"/>
      <c r="OL196" s="45"/>
      <c r="OQ196" s="47"/>
      <c r="OR196" s="45"/>
      <c r="OW196" s="47"/>
      <c r="PC196" s="47"/>
      <c r="PD196" s="45"/>
      <c r="PI196" s="47"/>
      <c r="PJ196" s="45"/>
      <c r="PO196" s="47"/>
      <c r="PP196" s="43"/>
      <c r="PU196" s="47"/>
      <c r="PV196" s="45"/>
      <c r="PZ196" s="42"/>
      <c r="QA196" s="47"/>
      <c r="QB196" s="45"/>
      <c r="QE196" s="47"/>
      <c r="QF196" s="45"/>
      <c r="QK196" s="47"/>
      <c r="QL196" s="45"/>
      <c r="QQ196" s="47"/>
      <c r="QR196" s="45"/>
      <c r="QW196" s="47"/>
      <c r="QX196" s="45"/>
      <c r="RB196" s="42"/>
      <c r="RC196" s="47"/>
      <c r="RD196" s="45"/>
      <c r="RF196" s="42"/>
      <c r="RG196" s="47"/>
    </row>
    <row r="197" spans="1:475" x14ac:dyDescent="0.25">
      <c r="A197" s="40" t="s">
        <v>486</v>
      </c>
      <c r="B197" s="41">
        <v>0.28000000000000003</v>
      </c>
      <c r="N197" s="43"/>
      <c r="O197" s="48"/>
      <c r="P197" s="49">
        <v>72</v>
      </c>
      <c r="Q197" s="49">
        <v>70</v>
      </c>
      <c r="R197" s="48">
        <f t="shared" si="21"/>
        <v>2</v>
      </c>
      <c r="S197" s="44"/>
      <c r="T197" s="43"/>
      <c r="U197" s="48"/>
      <c r="V197" s="48"/>
      <c r="W197" s="48"/>
      <c r="X197" s="48">
        <f t="shared" si="22"/>
        <v>0</v>
      </c>
      <c r="Y197" s="44"/>
      <c r="Z197" s="43"/>
      <c r="AA197" s="48"/>
      <c r="AB197" s="49">
        <v>32</v>
      </c>
      <c r="AC197" s="49">
        <v>30</v>
      </c>
      <c r="AD197" s="48">
        <f t="shared" si="23"/>
        <v>2</v>
      </c>
      <c r="AE197" s="44"/>
      <c r="AF197" s="43">
        <v>32</v>
      </c>
      <c r="AG197" s="48">
        <v>30</v>
      </c>
      <c r="AH197" s="48"/>
      <c r="AI197" s="48"/>
      <c r="AJ197" s="48">
        <f t="shared" si="24"/>
        <v>2</v>
      </c>
      <c r="AK197" s="44"/>
      <c r="AL197" s="48"/>
      <c r="AO197" s="40"/>
      <c r="AP197" s="42">
        <v>0</v>
      </c>
      <c r="AQ197" s="44"/>
      <c r="AR197" s="43"/>
      <c r="AU197" s="40"/>
      <c r="AV197" s="42">
        <v>0</v>
      </c>
      <c r="AW197" s="44"/>
      <c r="BC197" s="42">
        <v>0</v>
      </c>
      <c r="BD197" s="44"/>
      <c r="BE197" s="43"/>
      <c r="BG197" s="40"/>
      <c r="BI197" s="42">
        <v>0</v>
      </c>
      <c r="BJ197" s="44"/>
      <c r="BM197" s="40"/>
      <c r="BP197" s="44"/>
      <c r="BT197" s="44"/>
      <c r="BU197" s="43"/>
      <c r="BZ197" s="44"/>
      <c r="CF197" s="44"/>
      <c r="CG197" s="43"/>
      <c r="CL197" s="44"/>
      <c r="CM197" s="43"/>
      <c r="CR197" s="44"/>
      <c r="CX197" s="44"/>
      <c r="CY197" s="43"/>
      <c r="DD197" s="44"/>
      <c r="DE197" s="43"/>
      <c r="DL197" s="44"/>
      <c r="DM197" s="43"/>
      <c r="DR197" s="44"/>
      <c r="DZ197" s="44"/>
      <c r="EA197" s="43"/>
      <c r="EF197" s="44"/>
      <c r="EG197" s="43"/>
      <c r="EL197" s="44"/>
      <c r="EM197" s="43"/>
      <c r="ER197" s="44"/>
      <c r="EZ197" s="44"/>
      <c r="FF197" s="44"/>
      <c r="FG197" s="45"/>
      <c r="FL197" s="44"/>
      <c r="FM197" s="45"/>
      <c r="FN197" s="42"/>
      <c r="FP197" s="44"/>
      <c r="FT197" s="42"/>
      <c r="FV197" s="44"/>
      <c r="FW197" s="46"/>
      <c r="FZ197" s="42"/>
      <c r="GD197" s="44"/>
      <c r="GJ197" s="44"/>
      <c r="GK197" s="43"/>
      <c r="GP197" s="44"/>
      <c r="GV197" s="44"/>
      <c r="GZ197" s="47"/>
      <c r="HA197" s="43"/>
      <c r="HD197" s="44"/>
      <c r="HE197" s="43"/>
      <c r="HH197" s="42"/>
      <c r="HJ197" s="47"/>
      <c r="HK197" s="43"/>
      <c r="HN197" s="42"/>
      <c r="HP197" s="44"/>
      <c r="HT197" s="42"/>
      <c r="HW197" s="44"/>
      <c r="HX197" s="45"/>
      <c r="HZ197" s="42"/>
      <c r="IC197" s="44"/>
      <c r="II197" s="47"/>
      <c r="IO197" s="47"/>
      <c r="IT197" s="42"/>
      <c r="IU197" s="47"/>
      <c r="JA197" s="44"/>
      <c r="JE197" s="44"/>
      <c r="JK197" s="44"/>
      <c r="JL197" s="45"/>
      <c r="JO197" s="44"/>
      <c r="JU197" s="44"/>
      <c r="JZ197" s="42"/>
      <c r="KA197" s="47"/>
      <c r="KF197" s="42"/>
      <c r="KG197" s="44"/>
      <c r="KH197" s="41"/>
      <c r="KJ197" s="42"/>
      <c r="KM197" s="47"/>
      <c r="KN197" s="45"/>
      <c r="KU197" s="47"/>
      <c r="LA197" s="47"/>
      <c r="LG197" s="47"/>
      <c r="LH197" s="45"/>
      <c r="LK197" s="47"/>
      <c r="LL197" s="45"/>
      <c r="LQ197" s="47"/>
      <c r="LR197" s="45"/>
      <c r="LW197" s="47"/>
      <c r="LX197" s="45"/>
      <c r="MA197" s="47"/>
      <c r="MB197" s="45"/>
      <c r="MG197" s="47"/>
      <c r="MH197" s="45"/>
      <c r="MK197" s="47"/>
      <c r="ML197" s="45"/>
      <c r="MQ197" s="47"/>
      <c r="MR197" s="42"/>
      <c r="MW197" s="47"/>
      <c r="MX197" s="45"/>
      <c r="NC197" s="47"/>
      <c r="ND197" s="45"/>
      <c r="NG197" s="42"/>
      <c r="NI197" s="47"/>
      <c r="NJ197" s="45"/>
      <c r="NN197" s="42"/>
      <c r="NO197" s="47"/>
      <c r="NP197" s="45"/>
      <c r="NU197" s="47"/>
      <c r="NV197" s="45"/>
      <c r="NZ197" s="42"/>
      <c r="OA197" s="47"/>
      <c r="OB197" s="45"/>
      <c r="OE197" s="47"/>
      <c r="OF197" s="45"/>
      <c r="OK197" s="47"/>
      <c r="OL197" s="45"/>
      <c r="OQ197" s="47"/>
      <c r="OR197" s="45"/>
      <c r="OW197" s="47"/>
      <c r="PC197" s="47"/>
      <c r="PD197" s="45"/>
      <c r="PI197" s="47"/>
      <c r="PJ197" s="45"/>
      <c r="PO197" s="47"/>
      <c r="PP197" s="43"/>
      <c r="PU197" s="47"/>
      <c r="PV197" s="45"/>
      <c r="PZ197" s="42"/>
      <c r="QA197" s="47"/>
      <c r="QB197" s="45"/>
      <c r="QE197" s="47"/>
      <c r="QF197" s="45"/>
      <c r="QK197" s="47"/>
      <c r="QL197" s="45"/>
      <c r="QQ197" s="47"/>
      <c r="QR197" s="45"/>
      <c r="QW197" s="47"/>
      <c r="QX197" s="45"/>
      <c r="RB197" s="42"/>
      <c r="RC197" s="47"/>
      <c r="RD197" s="45"/>
      <c r="RF197" s="42"/>
      <c r="RG197" s="47"/>
    </row>
    <row r="198" spans="1:475" x14ac:dyDescent="0.25">
      <c r="A198" s="40" t="s">
        <v>487</v>
      </c>
      <c r="B198" s="41">
        <v>0.28000000000000003</v>
      </c>
      <c r="N198" s="43"/>
      <c r="O198" s="48"/>
      <c r="P198" s="49">
        <v>56</v>
      </c>
      <c r="Q198" s="49">
        <v>60</v>
      </c>
      <c r="R198" s="48">
        <f t="shared" si="21"/>
        <v>-4</v>
      </c>
      <c r="S198" s="44"/>
      <c r="T198" s="43"/>
      <c r="U198" s="48"/>
      <c r="V198" s="48"/>
      <c r="W198" s="48"/>
      <c r="X198" s="48">
        <f t="shared" si="22"/>
        <v>0</v>
      </c>
      <c r="Y198" s="44"/>
      <c r="Z198" s="43"/>
      <c r="AA198" s="48"/>
      <c r="AB198" s="48"/>
      <c r="AC198" s="48"/>
      <c r="AD198" s="48">
        <f t="shared" si="23"/>
        <v>0</v>
      </c>
      <c r="AE198" s="44"/>
      <c r="AF198" s="43">
        <v>16</v>
      </c>
      <c r="AG198" s="48">
        <v>20</v>
      </c>
      <c r="AH198" s="48"/>
      <c r="AI198" s="48"/>
      <c r="AJ198" s="48">
        <f t="shared" si="24"/>
        <v>-4</v>
      </c>
      <c r="AK198" s="44"/>
      <c r="AL198" s="48"/>
      <c r="AO198" s="40"/>
      <c r="AP198" s="42">
        <v>0</v>
      </c>
      <c r="AQ198" s="44"/>
      <c r="AR198" s="43"/>
      <c r="AU198" s="40"/>
      <c r="AV198" s="42">
        <v>0</v>
      </c>
      <c r="AW198" s="44"/>
      <c r="BC198" s="42">
        <v>0</v>
      </c>
      <c r="BD198" s="44"/>
      <c r="BE198" s="43"/>
      <c r="BG198" s="40"/>
      <c r="BI198" s="42">
        <v>0</v>
      </c>
      <c r="BJ198" s="44"/>
      <c r="BM198" s="40"/>
      <c r="BP198" s="44"/>
      <c r="BT198" s="44"/>
      <c r="BU198" s="43"/>
      <c r="BZ198" s="44"/>
      <c r="CF198" s="44"/>
      <c r="CG198" s="43"/>
      <c r="CL198" s="44"/>
      <c r="CM198" s="43"/>
      <c r="CR198" s="44"/>
      <c r="CX198" s="44"/>
      <c r="CY198" s="43"/>
      <c r="DD198" s="44"/>
      <c r="DE198" s="43"/>
      <c r="DL198" s="44"/>
      <c r="DM198" s="43"/>
      <c r="DR198" s="44"/>
      <c r="DZ198" s="44"/>
      <c r="EA198" s="43"/>
      <c r="EF198" s="44"/>
      <c r="EG198" s="43"/>
      <c r="EL198" s="44"/>
      <c r="EM198" s="43"/>
      <c r="ER198" s="44"/>
      <c r="EZ198" s="44"/>
      <c r="FF198" s="44"/>
      <c r="FG198" s="45"/>
      <c r="FL198" s="44"/>
      <c r="FM198" s="45"/>
      <c r="FN198" s="42"/>
      <c r="FP198" s="44"/>
      <c r="FT198" s="42"/>
      <c r="FV198" s="44"/>
      <c r="FW198" s="46"/>
      <c r="FZ198" s="42"/>
      <c r="GD198" s="44"/>
      <c r="GJ198" s="44"/>
      <c r="GK198" s="43"/>
      <c r="GP198" s="44"/>
      <c r="GV198" s="44"/>
      <c r="GZ198" s="47"/>
      <c r="HA198" s="43"/>
      <c r="HD198" s="44"/>
      <c r="HE198" s="43"/>
      <c r="HH198" s="42"/>
      <c r="HJ198" s="47"/>
      <c r="HK198" s="43"/>
      <c r="HN198" s="42"/>
      <c r="HP198" s="44"/>
      <c r="HT198" s="42"/>
      <c r="HW198" s="44"/>
      <c r="HX198" s="45"/>
      <c r="HZ198" s="42"/>
      <c r="IC198" s="44"/>
      <c r="II198" s="47"/>
      <c r="IO198" s="47"/>
      <c r="IT198" s="42"/>
      <c r="IU198" s="47"/>
      <c r="JA198" s="44"/>
      <c r="JE198" s="44"/>
      <c r="JK198" s="44"/>
      <c r="JL198" s="45"/>
      <c r="JO198" s="44"/>
      <c r="JU198" s="44"/>
      <c r="JZ198" s="42"/>
      <c r="KA198" s="47"/>
      <c r="KF198" s="42"/>
      <c r="KG198" s="44"/>
      <c r="KH198" s="41"/>
      <c r="KJ198" s="42"/>
      <c r="KM198" s="47"/>
      <c r="KN198" s="45"/>
      <c r="KU198" s="47"/>
      <c r="LA198" s="47"/>
      <c r="LG198" s="47"/>
      <c r="LH198" s="45"/>
      <c r="LK198" s="47"/>
      <c r="LL198" s="45"/>
      <c r="LQ198" s="47"/>
      <c r="LR198" s="45"/>
      <c r="LW198" s="47"/>
      <c r="LX198" s="45"/>
      <c r="MA198" s="47"/>
      <c r="MB198" s="45"/>
      <c r="MG198" s="47"/>
      <c r="MH198" s="45"/>
      <c r="MK198" s="47"/>
      <c r="ML198" s="45"/>
      <c r="MQ198" s="47"/>
      <c r="MR198" s="42"/>
      <c r="MW198" s="47"/>
      <c r="MX198" s="45"/>
      <c r="NC198" s="47"/>
      <c r="ND198" s="45"/>
      <c r="NG198" s="42"/>
      <c r="NI198" s="47"/>
      <c r="NJ198" s="45"/>
      <c r="NN198" s="42"/>
      <c r="NO198" s="47"/>
      <c r="NP198" s="45"/>
      <c r="NU198" s="47"/>
      <c r="NV198" s="45"/>
      <c r="NZ198" s="42"/>
      <c r="OA198" s="47"/>
      <c r="OB198" s="45"/>
      <c r="OE198" s="47"/>
      <c r="OF198" s="45"/>
      <c r="OK198" s="47"/>
      <c r="OL198" s="45"/>
      <c r="OQ198" s="47"/>
      <c r="OR198" s="45"/>
      <c r="OW198" s="47"/>
      <c r="PC198" s="47"/>
      <c r="PD198" s="45"/>
      <c r="PI198" s="47"/>
      <c r="PJ198" s="45"/>
      <c r="PO198" s="47"/>
      <c r="PP198" s="43"/>
      <c r="PU198" s="47"/>
      <c r="PV198" s="45"/>
      <c r="PZ198" s="42"/>
      <c r="QA198" s="47"/>
      <c r="QB198" s="45"/>
      <c r="QE198" s="47"/>
      <c r="QF198" s="45"/>
      <c r="QK198" s="47"/>
      <c r="QL198" s="45"/>
      <c r="QQ198" s="47"/>
      <c r="QR198" s="45"/>
      <c r="QW198" s="47"/>
      <c r="QX198" s="45"/>
      <c r="RB198" s="42"/>
      <c r="RC198" s="47"/>
      <c r="RD198" s="45"/>
      <c r="RF198" s="42"/>
      <c r="RG198" s="47"/>
    </row>
    <row r="199" spans="1:475" x14ac:dyDescent="0.25">
      <c r="A199" s="40" t="s">
        <v>488</v>
      </c>
      <c r="B199" s="41">
        <v>0.4</v>
      </c>
      <c r="F199" s="42">
        <v>8</v>
      </c>
      <c r="J199" s="40"/>
      <c r="N199" s="46">
        <v>8</v>
      </c>
      <c r="O199" s="48"/>
      <c r="P199" s="54"/>
      <c r="Q199" s="54"/>
      <c r="R199" s="48">
        <v>0</v>
      </c>
      <c r="S199" s="44"/>
      <c r="T199" s="45"/>
      <c r="U199" s="48"/>
      <c r="V199" s="49">
        <v>24</v>
      </c>
      <c r="W199" s="48"/>
      <c r="X199" s="48">
        <v>0</v>
      </c>
      <c r="Y199" s="44"/>
      <c r="Z199" s="45"/>
      <c r="AA199" s="48"/>
      <c r="AB199" s="48"/>
      <c r="AC199" s="48"/>
      <c r="AD199" s="48">
        <f t="shared" si="23"/>
        <v>0</v>
      </c>
      <c r="AE199" s="44"/>
      <c r="AF199" s="43"/>
      <c r="AG199" s="48"/>
      <c r="AH199" s="48"/>
      <c r="AI199" s="48"/>
      <c r="AJ199" s="48">
        <f t="shared" si="24"/>
        <v>0</v>
      </c>
      <c r="AK199" s="44"/>
      <c r="AL199" s="48"/>
      <c r="AO199" s="40"/>
      <c r="AQ199" s="44"/>
      <c r="AR199" s="43"/>
      <c r="AU199" s="40"/>
      <c r="AW199" s="44"/>
      <c r="BD199" s="44"/>
      <c r="BE199" s="43"/>
      <c r="BG199" s="40"/>
      <c r="BJ199" s="44"/>
      <c r="BM199" s="40"/>
      <c r="BP199" s="44"/>
      <c r="BT199" s="44"/>
      <c r="BU199" s="43"/>
      <c r="BZ199" s="44"/>
      <c r="CF199" s="44"/>
      <c r="CG199" s="43"/>
      <c r="CH199" s="42"/>
      <c r="CJ199" s="42"/>
      <c r="CL199" s="44"/>
      <c r="CM199" s="43"/>
      <c r="CN199" s="40"/>
      <c r="CP199" s="40"/>
      <c r="CQ199" s="42"/>
      <c r="CR199" s="44"/>
      <c r="CS199" s="42"/>
      <c r="CW199" s="40"/>
      <c r="CX199" s="44"/>
      <c r="CY199" s="43"/>
      <c r="DA199" s="42"/>
      <c r="DB199" s="42"/>
      <c r="DC199" s="42"/>
      <c r="DD199" s="44"/>
      <c r="DE199" s="43"/>
      <c r="DF199" s="42"/>
      <c r="DH199" s="40"/>
      <c r="DL199" s="44"/>
      <c r="DM199" s="43"/>
      <c r="DN199" s="42"/>
      <c r="DR199" s="44"/>
      <c r="DZ199" s="44"/>
      <c r="EA199" s="43"/>
      <c r="EB199" s="40"/>
      <c r="ED199" s="42"/>
      <c r="EF199" s="44"/>
      <c r="EG199" s="43"/>
      <c r="EL199" s="44"/>
      <c r="EM199" s="43"/>
      <c r="EN199" s="42"/>
      <c r="ER199" s="44"/>
      <c r="EZ199" s="44"/>
      <c r="FF199" s="44"/>
      <c r="FG199" s="45"/>
      <c r="FL199" s="44"/>
      <c r="FM199" s="45"/>
      <c r="FN199" s="42"/>
      <c r="FP199" s="44"/>
      <c r="FT199" s="42"/>
      <c r="FV199" s="44"/>
      <c r="FW199" s="46"/>
      <c r="FZ199" s="42"/>
      <c r="GD199" s="44"/>
      <c r="GH199" s="42"/>
      <c r="GJ199" s="44"/>
      <c r="GK199" s="43"/>
      <c r="GP199" s="44"/>
      <c r="GV199" s="44"/>
      <c r="GZ199" s="47"/>
      <c r="HA199" s="43"/>
      <c r="HD199" s="44"/>
      <c r="HE199" s="43"/>
      <c r="HH199" s="42"/>
      <c r="HJ199" s="47"/>
      <c r="HK199" s="43"/>
      <c r="HN199" s="42"/>
      <c r="HP199" s="44"/>
      <c r="HR199" s="40"/>
      <c r="HT199" s="42"/>
      <c r="HW199" s="44"/>
      <c r="HX199" s="45"/>
      <c r="HZ199" s="42"/>
      <c r="IC199" s="44"/>
      <c r="IH199" s="42"/>
      <c r="II199" s="47"/>
      <c r="IO199" s="47"/>
      <c r="IT199" s="42"/>
      <c r="IU199" s="47"/>
      <c r="JA199" s="44"/>
      <c r="JE199" s="44"/>
      <c r="JJ199" s="42"/>
      <c r="JK199" s="44"/>
      <c r="JL199" s="45"/>
      <c r="JN199" s="42"/>
      <c r="JO199" s="44"/>
      <c r="JU199" s="44"/>
      <c r="JZ199" s="42"/>
      <c r="KA199" s="47"/>
      <c r="KF199" s="42"/>
      <c r="KG199" s="44"/>
      <c r="KH199" s="41"/>
      <c r="KJ199" s="42"/>
      <c r="KM199" s="47"/>
      <c r="KN199" s="45"/>
      <c r="KU199" s="47"/>
      <c r="LA199" s="47"/>
      <c r="LG199" s="47"/>
      <c r="LH199" s="45"/>
      <c r="LK199" s="47"/>
      <c r="LL199" s="45"/>
      <c r="LQ199" s="47"/>
      <c r="LR199" s="45"/>
      <c r="LW199" s="47"/>
      <c r="LX199" s="45"/>
      <c r="MA199" s="47"/>
      <c r="MB199" s="45"/>
      <c r="MG199" s="47"/>
      <c r="MH199" s="45"/>
      <c r="MK199" s="47"/>
      <c r="ML199" s="45"/>
      <c r="MQ199" s="47"/>
      <c r="MR199" s="42"/>
      <c r="MW199" s="47"/>
      <c r="MX199" s="45"/>
      <c r="NC199" s="47"/>
      <c r="ND199" s="45"/>
      <c r="NG199" s="42"/>
      <c r="NI199" s="47"/>
      <c r="NJ199" s="45"/>
      <c r="NN199" s="42"/>
      <c r="NO199" s="47"/>
      <c r="NP199" s="45"/>
      <c r="NU199" s="47"/>
      <c r="NV199" s="45"/>
      <c r="NZ199" s="42"/>
      <c r="OA199" s="47"/>
      <c r="OB199" s="45"/>
      <c r="OE199" s="47"/>
      <c r="OF199" s="45"/>
      <c r="OK199" s="47"/>
      <c r="OL199" s="45"/>
      <c r="OQ199" s="47"/>
      <c r="OR199" s="45"/>
      <c r="OW199" s="47"/>
      <c r="PC199" s="47"/>
      <c r="PD199" s="45"/>
      <c r="PI199" s="47"/>
      <c r="PJ199" s="45"/>
      <c r="PO199" s="47"/>
      <c r="PP199" s="43"/>
      <c r="PU199" s="47"/>
      <c r="PV199" s="45"/>
      <c r="PZ199" s="42"/>
      <c r="QA199" s="47"/>
      <c r="QB199" s="45"/>
      <c r="QE199" s="47"/>
      <c r="QF199" s="45"/>
      <c r="QK199" s="47"/>
      <c r="QL199" s="45"/>
      <c r="QQ199" s="47"/>
      <c r="QR199" s="45"/>
      <c r="QW199" s="47"/>
      <c r="QX199" s="45"/>
      <c r="RB199" s="42"/>
      <c r="RC199" s="47"/>
      <c r="RD199" s="45"/>
      <c r="RF199" s="42"/>
      <c r="RG199" s="47"/>
    </row>
    <row r="200" spans="1:475" ht="15.75" customHeight="1" thickBot="1" x14ac:dyDescent="0.3">
      <c r="A200" s="40" t="s">
        <v>489</v>
      </c>
      <c r="B200" s="41">
        <v>0.18</v>
      </c>
      <c r="N200" s="20"/>
      <c r="O200" s="17"/>
      <c r="P200" s="17"/>
      <c r="Q200" s="17"/>
      <c r="R200" s="17">
        <f t="shared" si="21"/>
        <v>0</v>
      </c>
      <c r="S200" s="32"/>
      <c r="T200" s="20"/>
      <c r="U200" s="17"/>
      <c r="V200" s="17"/>
      <c r="W200" s="17"/>
      <c r="X200" s="17">
        <f t="shared" si="22"/>
        <v>0</v>
      </c>
      <c r="Y200" s="32"/>
      <c r="Z200" s="20"/>
      <c r="AA200" s="17"/>
      <c r="AB200" s="17"/>
      <c r="AC200" s="17"/>
      <c r="AD200" s="17">
        <f t="shared" si="23"/>
        <v>0</v>
      </c>
      <c r="AE200" s="32"/>
      <c r="AF200" s="20"/>
      <c r="AG200" s="17"/>
      <c r="AH200" s="17"/>
      <c r="AI200" s="17"/>
      <c r="AJ200" s="17">
        <f t="shared" si="24"/>
        <v>0</v>
      </c>
      <c r="AK200" s="32"/>
      <c r="AL200" s="17"/>
      <c r="AM200" s="17"/>
      <c r="AN200" s="17"/>
      <c r="AO200" s="17"/>
      <c r="AP200" s="17">
        <v>0</v>
      </c>
      <c r="AQ200" s="32"/>
      <c r="AR200" s="20"/>
      <c r="AS200" s="17"/>
      <c r="AT200" s="17"/>
      <c r="AU200" s="17"/>
      <c r="AV200" s="17">
        <v>0</v>
      </c>
      <c r="AW200" s="32"/>
      <c r="AX200" s="17"/>
      <c r="AY200" s="17"/>
      <c r="AZ200" s="17"/>
      <c r="BA200" s="17"/>
      <c r="BB200" s="17"/>
      <c r="BC200" s="17">
        <v>0</v>
      </c>
      <c r="BD200" s="32"/>
      <c r="BE200" s="20"/>
      <c r="BF200" s="17"/>
      <c r="BG200" s="17"/>
      <c r="BH200" s="17"/>
      <c r="BI200" s="17">
        <v>0</v>
      </c>
      <c r="BJ200" s="32"/>
      <c r="BK200" s="17"/>
      <c r="BL200" s="17"/>
      <c r="BM200" s="17"/>
      <c r="BN200" s="17"/>
      <c r="BO200" s="17">
        <v>0</v>
      </c>
      <c r="BP200" s="32"/>
      <c r="BQ200" s="17"/>
      <c r="BR200" s="17"/>
      <c r="BS200" s="17">
        <v>0</v>
      </c>
      <c r="BT200" s="32"/>
      <c r="BU200" s="20"/>
      <c r="BV200" s="17"/>
      <c r="BW200" s="17"/>
      <c r="BX200" s="17"/>
      <c r="BY200" s="17">
        <v>0</v>
      </c>
      <c r="BZ200" s="32"/>
      <c r="CA200" s="17"/>
      <c r="CB200" s="17"/>
      <c r="CC200" s="17"/>
      <c r="CD200" s="17"/>
      <c r="CE200" s="17">
        <v>0</v>
      </c>
      <c r="CF200" s="32"/>
      <c r="CG200" s="20"/>
      <c r="CH200" s="17"/>
      <c r="CI200" s="17"/>
      <c r="CJ200" s="17"/>
      <c r="CK200" s="17">
        <v>0</v>
      </c>
      <c r="CL200" s="32"/>
      <c r="CM200" s="20"/>
      <c r="CN200" s="17"/>
      <c r="CO200" s="17"/>
      <c r="CP200" s="17"/>
      <c r="CQ200" s="17">
        <v>0</v>
      </c>
      <c r="CR200" s="32"/>
      <c r="CS200" s="17"/>
      <c r="CT200" s="17"/>
      <c r="CU200" s="17"/>
      <c r="CV200" s="17"/>
      <c r="CW200" s="17">
        <v>0</v>
      </c>
      <c r="CX200" s="32"/>
      <c r="CY200" s="20"/>
      <c r="CZ200" s="17"/>
      <c r="DA200" s="17"/>
      <c r="DB200" s="17"/>
      <c r="DC200" s="17">
        <v>0</v>
      </c>
      <c r="DD200" s="32"/>
      <c r="DE200" s="20"/>
      <c r="DF200" s="17"/>
      <c r="DG200" s="17"/>
      <c r="DH200" s="17"/>
      <c r="DI200" s="17"/>
      <c r="DJ200" s="17"/>
      <c r="DK200" s="17">
        <v>0</v>
      </c>
      <c r="DL200" s="32"/>
      <c r="DM200" s="20"/>
      <c r="DN200" s="17"/>
      <c r="DO200" s="17"/>
      <c r="DP200" s="17"/>
      <c r="DQ200" s="17">
        <v>0</v>
      </c>
      <c r="DR200" s="32"/>
      <c r="DS200" s="17"/>
      <c r="DT200" s="17"/>
      <c r="DU200" s="17"/>
      <c r="DV200" s="17"/>
      <c r="DW200" s="17"/>
      <c r="DX200" s="17"/>
      <c r="DY200" s="17">
        <v>0</v>
      </c>
      <c r="DZ200" s="32"/>
      <c r="EA200" s="20"/>
      <c r="EB200" s="17"/>
      <c r="EC200" s="17"/>
      <c r="ED200" s="17"/>
      <c r="EE200" s="17">
        <v>0</v>
      </c>
      <c r="EF200" s="32"/>
      <c r="EG200" s="20"/>
      <c r="EH200" s="17"/>
      <c r="EI200" s="17"/>
      <c r="EJ200" s="17"/>
      <c r="EK200" s="17">
        <v>0</v>
      </c>
      <c r="EL200" s="32"/>
      <c r="EM200" s="20"/>
      <c r="EN200" s="17"/>
      <c r="EO200" s="17"/>
      <c r="EP200" s="17"/>
      <c r="EQ200" s="17">
        <v>0</v>
      </c>
      <c r="ER200" s="32"/>
      <c r="ES200" s="17"/>
      <c r="ET200" s="17"/>
      <c r="EU200" s="17"/>
      <c r="EV200" s="17"/>
      <c r="EW200" s="17"/>
      <c r="EX200" s="17"/>
      <c r="EY200" s="17">
        <v>0</v>
      </c>
      <c r="EZ200" s="32"/>
      <c r="FA200" s="17"/>
      <c r="FB200" s="17"/>
      <c r="FC200" s="17"/>
      <c r="FD200" s="17"/>
      <c r="FE200" s="17">
        <v>0</v>
      </c>
      <c r="FF200" s="32"/>
      <c r="FG200" s="20"/>
      <c r="FH200" s="17"/>
      <c r="FI200" s="17"/>
      <c r="FJ200" s="17"/>
      <c r="FK200" s="17">
        <v>0</v>
      </c>
      <c r="FL200" s="32"/>
      <c r="FM200" s="20"/>
      <c r="FN200" s="17"/>
      <c r="FO200" s="17">
        <v>0</v>
      </c>
      <c r="FP200" s="32"/>
      <c r="FQ200" s="17"/>
      <c r="FR200" s="17"/>
      <c r="FS200" s="17"/>
      <c r="FT200" s="17"/>
      <c r="FU200" s="17">
        <v>0</v>
      </c>
      <c r="FV200" s="32"/>
      <c r="FW200" s="20"/>
      <c r="FX200" s="17"/>
      <c r="FY200" s="17"/>
      <c r="FZ200" s="17"/>
      <c r="GA200" s="17"/>
      <c r="GB200" s="17"/>
      <c r="GC200" s="17">
        <v>0</v>
      </c>
      <c r="GD200" s="32"/>
      <c r="GE200" s="17"/>
      <c r="GF200" s="17"/>
      <c r="GG200" s="17"/>
      <c r="GH200" s="17"/>
      <c r="GI200" s="17">
        <v>0</v>
      </c>
      <c r="GJ200" s="32"/>
      <c r="GK200" s="20"/>
      <c r="GL200" s="17"/>
      <c r="GM200" s="17"/>
      <c r="GN200" s="17"/>
      <c r="GO200" s="17">
        <v>0</v>
      </c>
      <c r="GP200" s="22"/>
      <c r="GQ200" s="17"/>
      <c r="GR200" s="17"/>
      <c r="GS200" s="17"/>
      <c r="GT200" s="17"/>
      <c r="GU200" s="17">
        <v>0</v>
      </c>
      <c r="GV200" s="32"/>
      <c r="GW200" s="17"/>
      <c r="GX200" s="17"/>
      <c r="GY200" s="17">
        <v>0</v>
      </c>
      <c r="GZ200" s="22"/>
      <c r="HA200" s="20"/>
      <c r="HB200" s="17"/>
      <c r="HC200" s="17">
        <v>0</v>
      </c>
      <c r="HD200" s="32"/>
      <c r="HE200" s="20"/>
      <c r="HF200" s="17"/>
      <c r="HG200" s="17"/>
      <c r="HH200" s="16"/>
      <c r="HI200" s="17">
        <v>0</v>
      </c>
      <c r="HJ200" s="22"/>
      <c r="HK200" s="20"/>
      <c r="HL200" s="17"/>
      <c r="HM200" s="17"/>
      <c r="HN200" s="17"/>
      <c r="HO200" s="17">
        <v>0</v>
      </c>
      <c r="HP200" s="32"/>
      <c r="HQ200" s="17"/>
      <c r="HR200" s="17"/>
      <c r="HS200" s="16"/>
      <c r="HT200" s="17"/>
      <c r="HU200" s="17"/>
      <c r="HV200" s="17">
        <v>0</v>
      </c>
      <c r="HW200" s="32"/>
      <c r="HX200" s="9"/>
      <c r="HY200" s="17"/>
      <c r="HZ200" s="16"/>
      <c r="IA200" s="17"/>
      <c r="IB200" s="17">
        <v>0</v>
      </c>
      <c r="IC200" s="32"/>
      <c r="ID200" s="17"/>
      <c r="IE200" s="16"/>
      <c r="IF200" s="17"/>
      <c r="IG200" s="17"/>
      <c r="IH200" s="17">
        <v>0</v>
      </c>
      <c r="II200" s="22"/>
      <c r="IJ200" s="17"/>
      <c r="IK200" s="17"/>
      <c r="IL200" s="16"/>
      <c r="IM200" s="17"/>
      <c r="IN200" s="17">
        <v>0</v>
      </c>
      <c r="IO200" s="22"/>
      <c r="IP200" s="17"/>
      <c r="IQ200" s="17"/>
      <c r="IR200" s="17"/>
      <c r="IS200" s="16"/>
      <c r="IT200" s="17">
        <v>0</v>
      </c>
      <c r="IU200" s="22"/>
      <c r="IV200" s="17"/>
      <c r="IW200" s="16"/>
      <c r="IX200" s="17"/>
      <c r="IY200" s="16"/>
      <c r="IZ200" s="17">
        <v>0</v>
      </c>
      <c r="JA200" s="32"/>
      <c r="JB200" s="31">
        <v>100</v>
      </c>
      <c r="JC200" s="31">
        <v>100</v>
      </c>
      <c r="JD200" s="17">
        <v>0</v>
      </c>
      <c r="JE200" s="32"/>
      <c r="JF200" s="31">
        <v>190</v>
      </c>
      <c r="JG200" s="31">
        <v>190</v>
      </c>
      <c r="JH200" s="31">
        <v>160</v>
      </c>
      <c r="JI200" s="31">
        <v>161</v>
      </c>
      <c r="JJ200" s="17">
        <v>-1</v>
      </c>
      <c r="JK200" s="32"/>
      <c r="JL200" s="33">
        <v>40</v>
      </c>
      <c r="JM200" s="16">
        <v>40</v>
      </c>
      <c r="JN200" s="17">
        <v>0</v>
      </c>
      <c r="JO200" s="32"/>
      <c r="JP200" s="17"/>
      <c r="JQ200" s="16"/>
      <c r="JR200" s="16"/>
      <c r="JS200" s="16"/>
      <c r="JT200" s="17">
        <v>0</v>
      </c>
      <c r="JU200" s="32"/>
      <c r="JV200" s="16"/>
      <c r="JW200" s="16"/>
      <c r="JX200" s="17"/>
      <c r="JY200" s="17"/>
      <c r="JZ200" s="17">
        <v>0</v>
      </c>
      <c r="KA200" s="22"/>
      <c r="KB200" s="16"/>
      <c r="KC200" s="16"/>
      <c r="KD200" s="31">
        <v>490</v>
      </c>
      <c r="KE200" s="31">
        <v>490</v>
      </c>
      <c r="KF200" s="17">
        <v>0</v>
      </c>
      <c r="KG200" s="32"/>
      <c r="KH200" s="31">
        <v>50</v>
      </c>
      <c r="KI200" s="31">
        <v>50</v>
      </c>
      <c r="KJ200" s="31">
        <v>100</v>
      </c>
      <c r="KK200" s="31">
        <v>100</v>
      </c>
      <c r="KL200" s="17">
        <v>0</v>
      </c>
      <c r="KM200" s="22"/>
      <c r="KN200" s="9"/>
      <c r="KO200" s="16"/>
      <c r="KP200" s="16"/>
      <c r="KQ200" s="16"/>
      <c r="KR200" s="31">
        <v>30</v>
      </c>
      <c r="KS200" s="16"/>
      <c r="KT200" s="17">
        <v>30</v>
      </c>
      <c r="KU200" s="22"/>
      <c r="KV200" s="16">
        <v>0</v>
      </c>
      <c r="KW200" s="16">
        <v>0</v>
      </c>
      <c r="KX200" s="16">
        <v>510</v>
      </c>
      <c r="KY200" s="16">
        <v>510</v>
      </c>
      <c r="KZ200" s="17">
        <v>0</v>
      </c>
      <c r="LA200" s="22"/>
      <c r="LB200" s="16">
        <v>0</v>
      </c>
      <c r="LC200" s="16">
        <v>0</v>
      </c>
      <c r="LD200" s="16">
        <v>0</v>
      </c>
      <c r="LE200" s="16">
        <v>0</v>
      </c>
      <c r="LF200" s="17">
        <v>0</v>
      </c>
      <c r="LG200" s="22"/>
      <c r="LH200" s="9">
        <v>0</v>
      </c>
      <c r="LI200" s="16">
        <v>0</v>
      </c>
      <c r="LJ200" s="17">
        <v>0</v>
      </c>
      <c r="LK200" s="22"/>
      <c r="LL200" s="9">
        <v>0</v>
      </c>
      <c r="LM200" s="16">
        <v>0</v>
      </c>
      <c r="LN200" s="16">
        <v>0</v>
      </c>
      <c r="LO200" s="16">
        <v>0</v>
      </c>
      <c r="LP200" s="17">
        <v>0</v>
      </c>
      <c r="LQ200" s="22"/>
      <c r="LR200" s="9">
        <v>200</v>
      </c>
      <c r="LS200" s="16">
        <v>200</v>
      </c>
      <c r="LT200" s="16">
        <v>250</v>
      </c>
      <c r="LU200" s="16">
        <v>250</v>
      </c>
      <c r="LV200" s="17">
        <v>0</v>
      </c>
      <c r="LW200" s="22"/>
      <c r="LX200" s="9">
        <v>0</v>
      </c>
      <c r="LY200" s="16">
        <v>0</v>
      </c>
      <c r="LZ200" s="17">
        <v>0</v>
      </c>
      <c r="MA200" s="22"/>
      <c r="MB200" s="9">
        <v>0</v>
      </c>
      <c r="MC200" s="16">
        <v>0</v>
      </c>
      <c r="MD200" s="16">
        <v>0</v>
      </c>
      <c r="ME200" s="16">
        <v>0</v>
      </c>
      <c r="MF200" s="17">
        <v>0</v>
      </c>
      <c r="MG200" s="22"/>
      <c r="MH200" s="9">
        <v>960</v>
      </c>
      <c r="MI200" s="16">
        <v>962</v>
      </c>
      <c r="MJ200" s="17">
        <v>-2</v>
      </c>
      <c r="MK200" s="22"/>
      <c r="ML200" s="9">
        <v>100</v>
      </c>
      <c r="MM200" s="16">
        <v>100</v>
      </c>
      <c r="MN200" s="16">
        <v>0</v>
      </c>
      <c r="MO200" s="16">
        <v>0</v>
      </c>
      <c r="MP200" s="17">
        <v>0</v>
      </c>
      <c r="MQ200" s="22"/>
      <c r="MR200" s="16">
        <v>0</v>
      </c>
      <c r="MS200" s="16">
        <v>0</v>
      </c>
      <c r="MT200" s="16">
        <v>600</v>
      </c>
      <c r="MU200" s="16">
        <v>600</v>
      </c>
      <c r="MV200" s="17">
        <v>0</v>
      </c>
      <c r="MW200" s="22"/>
      <c r="MX200" s="9">
        <v>0</v>
      </c>
      <c r="MY200" s="16">
        <v>0</v>
      </c>
      <c r="MZ200" s="16">
        <v>130</v>
      </c>
      <c r="NA200" s="16">
        <v>130</v>
      </c>
      <c r="NB200" s="17">
        <v>0</v>
      </c>
      <c r="NC200" s="22"/>
      <c r="ND200" s="9">
        <v>0</v>
      </c>
      <c r="NE200" s="21">
        <v>40</v>
      </c>
      <c r="NF200" s="16">
        <v>90</v>
      </c>
      <c r="NG200" s="16">
        <v>90</v>
      </c>
      <c r="NH200" s="10">
        <v>-40</v>
      </c>
      <c r="NI200" s="22">
        <v>7.1999999999999993</v>
      </c>
      <c r="NJ200" s="9">
        <v>100</v>
      </c>
      <c r="NK200" s="16">
        <v>100</v>
      </c>
      <c r="NL200" s="16">
        <v>150</v>
      </c>
      <c r="NM200" s="16">
        <v>150</v>
      </c>
      <c r="NN200" s="17">
        <v>0</v>
      </c>
      <c r="NO200" s="22"/>
      <c r="NP200" s="9">
        <v>0</v>
      </c>
      <c r="NQ200" s="16">
        <v>0</v>
      </c>
      <c r="NR200" s="16">
        <v>180</v>
      </c>
      <c r="NS200" s="16">
        <v>80</v>
      </c>
      <c r="NT200" s="17">
        <v>100</v>
      </c>
      <c r="NU200" s="22"/>
      <c r="NV200" s="9">
        <v>0</v>
      </c>
      <c r="NW200" s="16">
        <v>0</v>
      </c>
      <c r="NX200" s="16">
        <v>0</v>
      </c>
      <c r="NY200" s="21">
        <v>30</v>
      </c>
      <c r="NZ200" s="10">
        <v>-30</v>
      </c>
      <c r="OA200" s="22">
        <v>5.3999999999999986</v>
      </c>
      <c r="OB200" s="9">
        <v>240</v>
      </c>
      <c r="OC200" s="16">
        <v>250</v>
      </c>
      <c r="OD200" s="10">
        <v>-10</v>
      </c>
      <c r="OE200" s="22">
        <v>1.8</v>
      </c>
      <c r="OF200" s="9">
        <v>0</v>
      </c>
      <c r="OG200" s="16">
        <v>0</v>
      </c>
      <c r="OH200" s="16">
        <v>100</v>
      </c>
      <c r="OI200" s="16">
        <v>100</v>
      </c>
      <c r="OJ200" s="17">
        <v>0</v>
      </c>
      <c r="OK200" s="22"/>
      <c r="OL200" s="9">
        <v>0</v>
      </c>
      <c r="OM200" s="16">
        <v>0</v>
      </c>
      <c r="ON200" s="16">
        <v>0</v>
      </c>
      <c r="OO200" s="16">
        <v>0</v>
      </c>
      <c r="OP200" s="17">
        <v>0</v>
      </c>
      <c r="OQ200" s="22"/>
      <c r="OR200" s="9">
        <v>100</v>
      </c>
      <c r="OS200" s="16">
        <v>100</v>
      </c>
      <c r="OT200" s="16">
        <v>100</v>
      </c>
      <c r="OU200" s="16">
        <v>100</v>
      </c>
      <c r="OV200" s="17">
        <v>0</v>
      </c>
      <c r="OW200" s="22"/>
      <c r="OX200" s="16">
        <v>30</v>
      </c>
      <c r="OY200" s="16">
        <v>30</v>
      </c>
      <c r="OZ200" s="16">
        <v>20</v>
      </c>
      <c r="PA200" s="16">
        <v>20</v>
      </c>
      <c r="PB200" s="17">
        <v>0</v>
      </c>
      <c r="PC200" s="22"/>
      <c r="PD200" s="9">
        <v>0</v>
      </c>
      <c r="PE200" s="16">
        <v>0</v>
      </c>
      <c r="PF200" s="16">
        <v>50</v>
      </c>
      <c r="PG200" s="16">
        <v>50</v>
      </c>
      <c r="PH200" s="17">
        <v>0</v>
      </c>
      <c r="PI200" s="22"/>
      <c r="PJ200" s="9">
        <v>0</v>
      </c>
      <c r="PK200" s="16">
        <v>0</v>
      </c>
      <c r="PL200" s="16">
        <v>0</v>
      </c>
      <c r="PM200" s="16">
        <v>0</v>
      </c>
      <c r="PN200" s="17">
        <v>0</v>
      </c>
      <c r="PO200" s="22"/>
      <c r="PP200" s="20">
        <v>0</v>
      </c>
      <c r="PQ200" s="16">
        <v>0</v>
      </c>
      <c r="PR200" s="16">
        <v>0</v>
      </c>
      <c r="PS200" s="21">
        <v>50</v>
      </c>
      <c r="PT200" s="10">
        <v>-50</v>
      </c>
      <c r="PU200" s="22">
        <v>9</v>
      </c>
      <c r="PV200" s="9">
        <v>0</v>
      </c>
      <c r="PW200" s="16">
        <v>0</v>
      </c>
      <c r="PX200" s="16">
        <v>0</v>
      </c>
      <c r="PY200" s="16">
        <v>0</v>
      </c>
      <c r="PZ200" s="17">
        <v>0</v>
      </c>
      <c r="QA200" s="22"/>
      <c r="QB200" s="9">
        <v>0</v>
      </c>
      <c r="QC200" s="16">
        <v>50</v>
      </c>
      <c r="QD200" s="10">
        <v>-50</v>
      </c>
      <c r="QE200" s="22">
        <v>9</v>
      </c>
      <c r="QF200" s="9">
        <v>0</v>
      </c>
      <c r="QG200" s="16">
        <v>0</v>
      </c>
      <c r="QH200" s="16">
        <v>0</v>
      </c>
      <c r="QI200" s="16">
        <v>0</v>
      </c>
      <c r="QJ200" s="17">
        <v>0</v>
      </c>
      <c r="QK200" s="22"/>
      <c r="QL200" s="9">
        <v>0</v>
      </c>
      <c r="QM200" s="16">
        <v>0</v>
      </c>
      <c r="QN200" s="16">
        <v>0</v>
      </c>
      <c r="QO200" s="16">
        <v>0</v>
      </c>
      <c r="QP200" s="17">
        <v>0</v>
      </c>
      <c r="QQ200" s="22"/>
      <c r="QR200" s="9">
        <v>0</v>
      </c>
      <c r="QS200" s="16">
        <v>0</v>
      </c>
      <c r="QT200" s="16">
        <v>0</v>
      </c>
      <c r="QU200" s="16">
        <v>0</v>
      </c>
      <c r="QV200" s="17">
        <v>0</v>
      </c>
      <c r="QW200" s="22"/>
      <c r="QX200" s="9">
        <v>0</v>
      </c>
      <c r="QY200" s="16">
        <v>0</v>
      </c>
      <c r="QZ200" s="16">
        <v>0</v>
      </c>
      <c r="RA200" s="16">
        <v>0</v>
      </c>
      <c r="RB200" s="17">
        <v>0</v>
      </c>
      <c r="RC200" s="22"/>
      <c r="RD200" s="9">
        <v>0</v>
      </c>
      <c r="RE200" s="16">
        <v>0</v>
      </c>
      <c r="RF200" s="17">
        <v>0</v>
      </c>
      <c r="RG200" s="22"/>
    </row>
    <row r="201" spans="1:475" ht="15.75" customHeight="1" x14ac:dyDescent="0.25"/>
    <row r="216" spans="2:2" x14ac:dyDescent="0.25">
      <c r="B216" s="40"/>
    </row>
    <row r="217" spans="2:2" x14ac:dyDescent="0.25">
      <c r="B217" s="40"/>
    </row>
    <row r="218" spans="2:2" x14ac:dyDescent="0.25">
      <c r="B218" s="40"/>
    </row>
    <row r="219" spans="2:2" x14ac:dyDescent="0.25">
      <c r="B219" s="40"/>
    </row>
    <row r="220" spans="2:2" x14ac:dyDescent="0.25">
      <c r="B220" s="40"/>
    </row>
    <row r="221" spans="2:2" x14ac:dyDescent="0.25">
      <c r="B221" s="40"/>
    </row>
    <row r="222" spans="2:2" x14ac:dyDescent="0.25">
      <c r="B222" s="40"/>
    </row>
    <row r="223" spans="2:2" x14ac:dyDescent="0.25">
      <c r="B223" s="40"/>
    </row>
    <row r="224" spans="2:2" x14ac:dyDescent="0.25">
      <c r="B224" s="40"/>
    </row>
    <row r="225" spans="2:2" x14ac:dyDescent="0.25">
      <c r="B225" s="40"/>
    </row>
    <row r="226" spans="2:2" x14ac:dyDescent="0.25">
      <c r="B226" s="40"/>
    </row>
    <row r="227" spans="2:2" x14ac:dyDescent="0.25">
      <c r="B227" s="40"/>
    </row>
    <row r="228" spans="2:2" x14ac:dyDescent="0.25">
      <c r="B228" s="40"/>
    </row>
    <row r="229" spans="2:2" x14ac:dyDescent="0.25">
      <c r="B229" s="40"/>
    </row>
    <row r="230" spans="2:2" x14ac:dyDescent="0.25">
      <c r="B230" s="40"/>
    </row>
    <row r="231" spans="2:2" x14ac:dyDescent="0.25">
      <c r="B231" s="40"/>
    </row>
    <row r="232" spans="2:2" x14ac:dyDescent="0.25">
      <c r="B232" s="40"/>
    </row>
    <row r="233" spans="2:2" x14ac:dyDescent="0.25">
      <c r="B233" s="40"/>
    </row>
    <row r="234" spans="2:2" x14ac:dyDescent="0.25">
      <c r="B234" s="40"/>
    </row>
    <row r="235" spans="2:2" x14ac:dyDescent="0.25">
      <c r="B235" s="40"/>
    </row>
    <row r="236" spans="2:2" x14ac:dyDescent="0.25">
      <c r="B236" s="40"/>
    </row>
    <row r="237" spans="2:2" x14ac:dyDescent="0.25">
      <c r="B237" s="40"/>
    </row>
    <row r="238" spans="2:2" x14ac:dyDescent="0.25">
      <c r="B238" s="40"/>
    </row>
    <row r="239" spans="2:2" x14ac:dyDescent="0.25">
      <c r="B239" s="40"/>
    </row>
    <row r="240" spans="2:2" x14ac:dyDescent="0.25">
      <c r="B240" s="40"/>
    </row>
    <row r="241" spans="2:2" x14ac:dyDescent="0.25">
      <c r="B241" s="40"/>
    </row>
    <row r="242" spans="2:2" x14ac:dyDescent="0.25">
      <c r="B242" s="40"/>
    </row>
    <row r="243" spans="2:2" x14ac:dyDescent="0.25">
      <c r="B243" s="40"/>
    </row>
    <row r="244" spans="2:2" x14ac:dyDescent="0.25">
      <c r="B244" s="40"/>
    </row>
    <row r="245" spans="2:2" x14ac:dyDescent="0.25">
      <c r="B245" s="40"/>
    </row>
    <row r="246" spans="2:2" x14ac:dyDescent="0.25">
      <c r="B246" s="40"/>
    </row>
    <row r="247" spans="2:2" x14ac:dyDescent="0.25">
      <c r="B247" s="40"/>
    </row>
    <row r="248" spans="2:2" x14ac:dyDescent="0.25">
      <c r="B248" s="40"/>
    </row>
    <row r="249" spans="2:2" x14ac:dyDescent="0.25">
      <c r="B249" s="40"/>
    </row>
    <row r="250" spans="2:2" x14ac:dyDescent="0.25">
      <c r="B250" s="40"/>
    </row>
    <row r="251" spans="2:2" x14ac:dyDescent="0.25">
      <c r="B251" s="40"/>
    </row>
    <row r="252" spans="2:2" x14ac:dyDescent="0.25">
      <c r="B252" s="40"/>
    </row>
    <row r="253" spans="2:2" x14ac:dyDescent="0.25">
      <c r="B253" s="40"/>
    </row>
    <row r="254" spans="2:2" x14ac:dyDescent="0.25">
      <c r="B254" s="40"/>
    </row>
    <row r="255" spans="2:2" x14ac:dyDescent="0.25">
      <c r="B255" s="40"/>
    </row>
    <row r="256" spans="2:2" x14ac:dyDescent="0.25">
      <c r="B256" s="40"/>
    </row>
    <row r="257" spans="2:2" x14ac:dyDescent="0.25">
      <c r="B257" s="40"/>
    </row>
    <row r="258" spans="2:2" x14ac:dyDescent="0.25">
      <c r="B258" s="40"/>
    </row>
    <row r="259" spans="2:2" x14ac:dyDescent="0.25">
      <c r="B259" s="40"/>
    </row>
    <row r="260" spans="2:2" x14ac:dyDescent="0.25">
      <c r="B260" s="40"/>
    </row>
    <row r="261" spans="2:2" x14ac:dyDescent="0.25">
      <c r="B261" s="40"/>
    </row>
    <row r="262" spans="2:2" x14ac:dyDescent="0.25">
      <c r="B262" s="40"/>
    </row>
    <row r="263" spans="2:2" x14ac:dyDescent="0.25">
      <c r="B263" s="40"/>
    </row>
    <row r="264" spans="2:2" x14ac:dyDescent="0.25">
      <c r="B264" s="40"/>
    </row>
  </sheetData>
  <autoFilter ref="A1:JI200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Мелитополь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2025-11-07T11:14:04Z</dcterms:modified>
</cp:coreProperties>
</file>