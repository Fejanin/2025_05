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23FD9BA6-8714-4C37-8827-3B6651FC32E8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онецк" sheetId="1" r:id="rId1"/>
  </sheets>
  <definedNames>
    <definedName name="_xlnm._FilterDatabase" localSheetId="0" hidden="1">Донецк!$A$1:$DL$182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61" i="1" l="1"/>
  <c r="M128" i="1"/>
  <c r="M117" i="1"/>
  <c r="M109" i="1"/>
  <c r="M107" i="1"/>
  <c r="M79" i="1"/>
  <c r="M36" i="1"/>
  <c r="M29" i="1"/>
  <c r="M28" i="1"/>
  <c r="L154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7" i="1"/>
  <c r="L178" i="1"/>
  <c r="L179" i="1"/>
  <c r="L180" i="1"/>
  <c r="L181" i="1"/>
  <c r="L182" i="1"/>
  <c r="L3" i="1"/>
  <c r="Q173" i="1"/>
  <c r="Q167" i="1"/>
  <c r="Q161" i="1"/>
  <c r="Q128" i="1"/>
  <c r="Q109" i="1"/>
  <c r="Q107" i="1"/>
  <c r="Q60" i="1"/>
  <c r="Q29" i="1"/>
  <c r="Q28" i="1"/>
  <c r="P36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2" i="1"/>
  <c r="P3" i="1"/>
  <c r="U161" i="1"/>
  <c r="U109" i="1"/>
  <c r="U107" i="1"/>
  <c r="U79" i="1"/>
  <c r="U54" i="1"/>
  <c r="U29" i="1"/>
  <c r="U28" i="1"/>
  <c r="U26" i="1"/>
  <c r="U13" i="1"/>
  <c r="T36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2" i="1"/>
  <c r="T3" i="1"/>
  <c r="IB2" i="1" l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Q2" i="1"/>
  <c r="P2" i="1"/>
  <c r="O2" i="1"/>
  <c r="M2" i="1"/>
  <c r="L2" i="1"/>
  <c r="K2" i="1"/>
  <c r="H2" i="1"/>
  <c r="G2" i="1"/>
  <c r="F2" i="1"/>
  <c r="E2" i="1"/>
  <c r="D2" i="1"/>
  <c r="C2" i="1"/>
  <c r="R2" i="1"/>
  <c r="N2" i="1"/>
  <c r="J2" i="1"/>
  <c r="I2" i="1"/>
</calcChain>
</file>

<file path=xl/sharedStrings.xml><?xml version="1.0" encoding="utf-8"?>
<sst xmlns="http://schemas.openxmlformats.org/spreadsheetml/2006/main" count="416" uniqueCount="310">
  <si>
    <t>Номенклатура</t>
  </si>
  <si>
    <t>кооф</t>
  </si>
  <si>
    <t>05,11,пр</t>
  </si>
  <si>
    <t>04,11,пр</t>
  </si>
  <si>
    <t>29,10,пр</t>
  </si>
  <si>
    <t>21,10,пр</t>
  </si>
  <si>
    <t>разн.шт.</t>
  </si>
  <si>
    <t>недогруз вес</t>
  </si>
  <si>
    <t>10,11,</t>
  </si>
  <si>
    <t>08,11,</t>
  </si>
  <si>
    <t>03,11,</t>
  </si>
  <si>
    <t>27,10,</t>
  </si>
  <si>
    <t>20,10,</t>
  </si>
  <si>
    <t>15,10,пр</t>
  </si>
  <si>
    <t>13,10,</t>
  </si>
  <si>
    <t>07,10,пр</t>
  </si>
  <si>
    <t>06,10,</t>
  </si>
  <si>
    <t>02,10,пр</t>
  </si>
  <si>
    <t>29,09,</t>
  </si>
  <si>
    <t>24,09,пр</t>
  </si>
  <si>
    <t>22,09,</t>
  </si>
  <si>
    <t>18,09,пр</t>
  </si>
  <si>
    <t>15,09,</t>
  </si>
  <si>
    <t>10,09,пр</t>
  </si>
  <si>
    <t>08,09,</t>
  </si>
  <si>
    <t>04,09,пр</t>
  </si>
  <si>
    <t>01,09,</t>
  </si>
  <si>
    <t>05,09,пр</t>
  </si>
  <si>
    <t>30,08,</t>
  </si>
  <si>
    <t>28,08,пр</t>
  </si>
  <si>
    <t>25,08,</t>
  </si>
  <si>
    <t>21,08,пр</t>
  </si>
  <si>
    <t>18,08,</t>
  </si>
  <si>
    <t>18,08,пр</t>
  </si>
  <si>
    <t>16,08,</t>
  </si>
  <si>
    <t>14,08,пр</t>
  </si>
  <si>
    <t>11,08,</t>
  </si>
  <si>
    <t>05,08,пр</t>
  </si>
  <si>
    <t>02,08,</t>
  </si>
  <si>
    <t>31,07,пр</t>
  </si>
  <si>
    <t>28,07,</t>
  </si>
  <si>
    <t>23,07,пр</t>
  </si>
  <si>
    <t>19,07,</t>
  </si>
  <si>
    <t>18,07(2),пр</t>
  </si>
  <si>
    <t>18,07,пр</t>
  </si>
  <si>
    <t>14,07,</t>
  </si>
  <si>
    <t>12,07,пр</t>
  </si>
  <si>
    <t>07,07,</t>
  </si>
  <si>
    <t>08,07,пр</t>
  </si>
  <si>
    <t>05,07,</t>
  </si>
  <si>
    <t>02,07(2),пр</t>
  </si>
  <si>
    <t>02,07(1),пр</t>
  </si>
  <si>
    <t>30,06,</t>
  </si>
  <si>
    <t>23,06,пр</t>
  </si>
  <si>
    <t>21,06,</t>
  </si>
  <si>
    <t>16,06,пр</t>
  </si>
  <si>
    <t>14,06,</t>
  </si>
  <si>
    <t>09,06,пр</t>
  </si>
  <si>
    <t>07,06,</t>
  </si>
  <si>
    <t>05,06,пр</t>
  </si>
  <si>
    <t>02,06,</t>
  </si>
  <si>
    <t>26,05,пр</t>
  </si>
  <si>
    <t>24,05,</t>
  </si>
  <si>
    <t>19,05,пр</t>
  </si>
  <si>
    <t>17,05,</t>
  </si>
  <si>
    <t>12,05(2),пр</t>
  </si>
  <si>
    <t>12,05,пр</t>
  </si>
  <si>
    <t>10,05,</t>
  </si>
  <si>
    <t>05,05(2),пр</t>
  </si>
  <si>
    <t>05,05,пр</t>
  </si>
  <si>
    <t>03,05,</t>
  </si>
  <si>
    <t>01,05,пр</t>
  </si>
  <si>
    <t>26,04,</t>
  </si>
  <si>
    <t>23,04,(2),пр</t>
  </si>
  <si>
    <t>23,04,пр</t>
  </si>
  <si>
    <t>21,04,</t>
  </si>
  <si>
    <t>21,04,пр</t>
  </si>
  <si>
    <t>19,04,</t>
  </si>
  <si>
    <t>16,04,пр</t>
  </si>
  <si>
    <t>12,04,</t>
  </si>
  <si>
    <t>10,04,пр</t>
  </si>
  <si>
    <t>07,04,</t>
  </si>
  <si>
    <t>07,04,пр</t>
  </si>
  <si>
    <t>05,04,</t>
  </si>
  <si>
    <t>02,04,пр</t>
  </si>
  <si>
    <t>31,03,</t>
  </si>
  <si>
    <t>31,03,пр</t>
  </si>
  <si>
    <t>29,03,</t>
  </si>
  <si>
    <t>25,03,пр</t>
  </si>
  <si>
    <t>23,03,</t>
  </si>
  <si>
    <t>17,03,пр</t>
  </si>
  <si>
    <t>15,03,</t>
  </si>
  <si>
    <t>12,03,пр</t>
  </si>
  <si>
    <t>08,03,</t>
  </si>
  <si>
    <t>04,03,пр</t>
  </si>
  <si>
    <t>03,03,</t>
  </si>
  <si>
    <t>26,02,пр</t>
  </si>
  <si>
    <t>24,02,</t>
  </si>
  <si>
    <t>17,02,пр</t>
  </si>
  <si>
    <t>15,02,</t>
  </si>
  <si>
    <t>10,02,пр</t>
  </si>
  <si>
    <t>08,02,</t>
  </si>
  <si>
    <t>03,02,пр</t>
  </si>
  <si>
    <t>01,02,</t>
  </si>
  <si>
    <t>28,01,пр</t>
  </si>
  <si>
    <t>27,01,</t>
  </si>
  <si>
    <t>21,01,пр</t>
  </si>
  <si>
    <t>20,01,</t>
  </si>
  <si>
    <t>13,01,пр</t>
  </si>
  <si>
    <t>11,01,</t>
  </si>
  <si>
    <t>09,01,пр</t>
  </si>
  <si>
    <t>06,01,</t>
  </si>
  <si>
    <t>03,01,пр</t>
  </si>
  <si>
    <t>30,12,</t>
  </si>
  <si>
    <t>25,12,пр</t>
  </si>
  <si>
    <t>23,12,</t>
  </si>
  <si>
    <t>16,12,пр</t>
  </si>
  <si>
    <t>14,12,</t>
  </si>
  <si>
    <t>02,12,пр</t>
  </si>
  <si>
    <t>30,11,</t>
  </si>
  <si>
    <t>28,11,пр</t>
  </si>
  <si>
    <t>25,11,</t>
  </si>
  <si>
    <t>25,11,пр</t>
  </si>
  <si>
    <t>23,11,</t>
  </si>
  <si>
    <t>12,11,</t>
  </si>
  <si>
    <t>09,11,</t>
  </si>
  <si>
    <t>08,11,пр</t>
  </si>
  <si>
    <t>02,11,</t>
  </si>
  <si>
    <t>15,07,пр</t>
  </si>
  <si>
    <t>06,07,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</si>
  <si>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</si>
  <si>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</si>
  <si>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</si>
  <si>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</si>
  <si>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</si>
  <si>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</si>
  <si>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</si>
  <si>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</si>
  <si>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</si>
  <si>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</si>
  <si>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</si>
  <si>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</si>
  <si>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</si>
  <si>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</si>
  <si>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</si>
  <si>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</si>
  <si>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</si>
  <si>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</si>
  <si>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</si>
  <si>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</si>
  <si>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</si>
  <si>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</si>
  <si>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</si>
  <si>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</si>
  <si>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</si>
  <si>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</si>
  <si>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</si>
  <si>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</si>
  <si>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</si>
  <si>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</si>
  <si>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</si>
  <si>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</si>
  <si>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</si>
  <si>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</si>
  <si>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</si>
  <si>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</si>
  <si>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</si>
  <si>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</si>
  <si>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</si>
  <si>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</si>
  <si>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</si>
  <si>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</si>
  <si>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6213 СЕРВЕЛАТ ФИНСКИЙ СН в/к в/у 0,35кг 8шт  Останкино</t>
  </si>
  <si>
    <t>6220 ГОВЯЖЬЯ папа может вар п/о  Останкино</t>
  </si>
  <si>
    <t>6221 НЕОПОЛИТАНСКИЙ ДУЭТ с/к с/н мгс 1/90  Останкино</t>
  </si>
  <si>
    <t>6279 КОРЕЙКА ПО-ОСТ.к/в в/с с/н в/у 1/150_45с  Останкино</t>
  </si>
  <si>
    <t>6228 МЯСНОЕ АССОРТИ к/з с/н мгс 1/90 10шт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</si>
  <si>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</si>
  <si>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</si>
  <si>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</si>
  <si>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</si>
  <si>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</si>
  <si>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</si>
  <si>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</si>
  <si>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</si>
  <si>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</si>
  <si>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</si>
  <si>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</si>
  <si>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</si>
  <si>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</si>
  <si>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</si>
  <si>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</si>
  <si>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</si>
  <si>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</si>
  <si>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</si>
  <si>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</si>
  <si>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</si>
  <si>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</si>
  <si>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</si>
  <si>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</si>
  <si>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</si>
  <si>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6592 ДОКТОРСКАЯ СН вар п/о  ОСТАНКИНО</t>
  </si>
  <si>
    <t>6594 МОЛОЧНАЯ СН вар п/о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</si>
  <si>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</si>
  <si>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</si>
  <si>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</si>
  <si>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</si>
  <si>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</si>
  <si>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</si>
  <si>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</si>
  <si>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</si>
  <si>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</si>
  <si>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</si>
  <si>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</si>
  <si>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</si>
  <si>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</si>
  <si>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</si>
  <si>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</si>
  <si>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</si>
  <si>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</si>
  <si>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</si>
  <si>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</si>
  <si>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</si>
  <si>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</si>
  <si>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</si>
  <si>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</si>
  <si>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</si>
  <si>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</si>
  <si>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</si>
  <si>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</si>
  <si>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</si>
  <si>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</si>
  <si>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</si>
  <si>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</si>
  <si>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</si>
  <si>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</si>
  <si>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</si>
  <si>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</si>
  <si>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</si>
  <si>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</si>
  <si>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</si>
  <si>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</si>
  <si>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</si>
  <si>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</si>
  <si>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</si>
  <si>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</si>
  <si>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</si>
  <si>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</si>
  <si>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</si>
  <si>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</si>
  <si>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</si>
  <si>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</si>
  <si>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</si>
  <si>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</si>
  <si>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</si>
  <si>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</si>
  <si>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</si>
  <si>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</si>
  <si>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</si>
  <si>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</si>
  <si>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</si>
  <si>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</si>
  <si>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</si>
  <si>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6861 ДОМАШНИЙ РЕЦЕПТ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</si>
  <si>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</si>
  <si>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</si>
  <si>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</t>
  </si>
  <si>
    <t>6872 ШАШЛЫК ИЗ СВИНИНЫ зам.  Останкино</t>
  </si>
  <si>
    <t>6877 В ОБВЯЗКЕ вар п/о  Останкино</t>
  </si>
  <si>
    <t>6878 В ОБВЯЗКЕ СО ШПИКОМ вар п/о</t>
  </si>
  <si>
    <t>6888 С ГРУДИНКОЙ вар б/о в/у срез 0.4кг 8шт.</t>
  </si>
  <si>
    <t>6903 СОЧНЫЕ ПМ сос п/о мгс 0,41кг_osu  Останкино</t>
  </si>
  <si>
    <t>6909 ДЛЯ ДЕТЕЙ сос п/о мгс 0,33кг 8шт  Останкино</t>
  </si>
  <si>
    <t>6495 ВЕТЧ.МРАМОРНАЯ в/у срез 0,3кг 6шт_45с  Останкино</t>
  </si>
  <si>
    <t>6951 СЛИВОЧНЫЕ Папа может сос п/о мгс 1,5*4  Останкино</t>
  </si>
  <si>
    <t>6955 СОЧНЫЕ Папа может сос п/о мгс 1,5*4 А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</si>
  <si>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</si>
  <si>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</si>
  <si>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</si>
  <si>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</si>
  <si>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</si>
  <si>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</si>
  <si>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</si>
  <si>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</si>
  <si>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</si>
  <si>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</si>
  <si>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</si>
  <si>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</si>
  <si>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</si>
  <si>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</si>
  <si>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7134 САЛЯМИ ВЕНСКАЯ п/к в/у 0.84кг 6шт.</t>
  </si>
  <si>
    <t>7149 БАЛЫКОВАЯ Коровино п/к в/у 0,84кг_50с  Останкино</t>
  </si>
  <si>
    <t>7154 СЕРВЕЛАТ ЗЕРНИСТЫЙ ПМ в/к в/у 0,35кг_50с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</si>
  <si>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</si>
  <si>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</si>
  <si>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</si>
  <si>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</si>
  <si>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</si>
  <si>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</si>
  <si>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</si>
  <si>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</si>
  <si>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</si>
  <si>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</si>
  <si>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</si>
  <si>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</si>
  <si>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7276 СЛИВОЧНЫЕ ПМ сос п/о мгс 0,3кг 7шт  Останкино</t>
  </si>
  <si>
    <t>7299 НАБОР ДЛЯ ПИЦЦЫ Папа Может с/к в/у  ОСТАНКИНО</t>
  </si>
  <si>
    <t>Ароматная с/к в/у 1/250 ОСТАНКИНО</t>
  </si>
  <si>
    <t>7343 СЕЙЧАС СЕЗОН ПМ вар п/о 0,4кг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</si>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</sst>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2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164" fontId="0" fillId="0" borderId="1" xfId="0" applyNumberFormat="1" applyBorder="1"/>
    <xf numFmtId="1" fontId="1" fillId="2" borderId="1" xfId="1" applyNumberFormat="1" applyFill="1" applyBorder="1"/>
    <xf numFmtId="1" fontId="0" fillId="0" borderId="2" xfId="0" applyNumberFormat="1" applyBorder="1"/>
    <xf numFmtId="1" fontId="0" fillId="5" borderId="0" xfId="0" applyNumberFormat="1" applyFill="1"/>
    <xf numFmtId="1" fontId="1" fillId="4" borderId="4" xfId="1" applyNumberFormat="1" applyFill="1" applyBorder="1"/>
    <xf numFmtId="1" fontId="0" fillId="5" borderId="5" xfId="0" applyNumberFormat="1" applyFill="1" applyBorder="1"/>
    <xf numFmtId="1" fontId="0" fillId="0" borderId="6" xfId="0" applyNumberFormat="1" applyBorder="1"/>
    <xf numFmtId="1" fontId="0" fillId="0" borderId="7" xfId="0" applyNumberFormat="1" applyBorder="1"/>
    <xf numFmtId="164" fontId="0" fillId="0" borderId="7" xfId="0" applyNumberFormat="1" applyBorder="1"/>
    <xf numFmtId="1" fontId="0" fillId="0" borderId="8" xfId="0" applyNumberFormat="1" applyBorder="1"/>
    <xf numFmtId="1" fontId="1" fillId="4" borderId="1" xfId="1" applyNumberFormat="1" applyFill="1" applyBorder="1"/>
    <xf numFmtId="0" fontId="0" fillId="7" borderId="0" xfId="0" applyFill="1"/>
    <xf numFmtId="0" fontId="0" fillId="0" borderId="7" xfId="0" applyBorder="1"/>
    <xf numFmtId="164" fontId="0" fillId="0" borderId="8" xfId="0" applyNumberFormat="1" applyBorder="1"/>
    <xf numFmtId="165" fontId="0" fillId="0" borderId="7" xfId="0" applyNumberFormat="1" applyBorder="1"/>
    <xf numFmtId="2" fontId="0" fillId="0" borderId="0" xfId="0" applyNumberFormat="1"/>
    <xf numFmtId="164" fontId="0" fillId="0" borderId="2" xfId="0" applyNumberFormat="1" applyBorder="1"/>
    <xf numFmtId="164" fontId="0" fillId="0" borderId="6" xfId="0" applyNumberFormat="1" applyBorder="1"/>
    <xf numFmtId="0" fontId="0" fillId="6" borderId="0" xfId="0" applyFill="1"/>
    <xf numFmtId="1" fontId="1" fillId="2" borderId="0" xfId="1" applyNumberFormat="1" applyFill="1"/>
    <xf numFmtId="1" fontId="0" fillId="7" borderId="0" xfId="0" applyNumberFormat="1" applyFill="1"/>
    <xf numFmtId="164" fontId="0" fillId="7" borderId="0" xfId="0" applyNumberFormat="1" applyFill="1"/>
    <xf numFmtId="0" fontId="0" fillId="8" borderId="5" xfId="0" applyFill="1" applyBorder="1"/>
    <xf numFmtId="164" fontId="1" fillId="3" borderId="0" xfId="1" applyNumberFormat="1" applyFill="1"/>
    <xf numFmtId="164" fontId="0" fillId="6" borderId="0" xfId="0" applyNumberFormat="1" applyFill="1"/>
    <xf numFmtId="164" fontId="0" fillId="0" borderId="0" xfId="0" applyNumberFormat="1"/>
    <xf numFmtId="165" fontId="0" fillId="0" borderId="0" xfId="0" applyNumberFormat="1"/>
    <xf numFmtId="0" fontId="0" fillId="0" borderId="5" xfId="0" applyBorder="1"/>
    <xf numFmtId="164" fontId="0" fillId="0" borderId="3" xfId="0" applyNumberFormat="1" applyBorder="1"/>
    <xf numFmtId="164" fontId="0" fillId="0" borderId="5" xfId="0" applyNumberFormat="1" applyBorder="1"/>
    <xf numFmtId="1" fontId="0" fillId="0" borderId="0" xfId="0" applyNumberFormat="1"/>
    <xf numFmtId="1" fontId="0" fillId="0" borderId="3" xfId="0" applyNumberFormat="1" applyBorder="1"/>
    <xf numFmtId="165" fontId="0" fillId="0" borderId="3" xfId="0" applyNumberFormat="1" applyBorder="1"/>
    <xf numFmtId="1" fontId="0" fillId="0" borderId="5" xfId="0" applyNumberFormat="1" applyBorder="1"/>
    <xf numFmtId="164" fontId="0" fillId="0" borderId="0" xfId="0" applyNumberFormat="1" applyBorder="1"/>
    <xf numFmtId="0" fontId="0" fillId="0" borderId="0" xfId="0" applyBorder="1"/>
    <xf numFmtId="164" fontId="1" fillId="3" borderId="5" xfId="1" applyNumberFormat="1" applyFill="1" applyBorder="1"/>
    <xf numFmtId="164" fontId="1" fillId="3" borderId="0" xfId="1" applyNumberFormat="1" applyFill="1" applyBorder="1"/>
    <xf numFmtId="164" fontId="1" fillId="3" borderId="3" xfId="1" applyNumberFormat="1" applyFill="1" applyBorder="1"/>
    <xf numFmtId="164" fontId="0" fillId="6" borderId="0" xfId="0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B182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3" sqref="G3"/>
    </sheetView>
  </sheetViews>
  <sheetFormatPr defaultRowHeight="15" x14ac:dyDescent="0.25"/>
  <cols>
    <col min="1" max="1" width="62.5703125" style="26" bestFit="1" customWidth="1"/>
    <col min="2" max="2" width="6.85546875" style="27" customWidth="1"/>
    <col min="3" max="87" width="10.7109375" style="26" customWidth="1"/>
    <col min="88" max="88" width="10.7109375" style="31" customWidth="1"/>
    <col min="89" max="90" width="10.7109375" style="26" customWidth="1"/>
    <col min="91" max="91" width="10.7109375" style="31" customWidth="1"/>
    <col min="92" max="94" width="10.7109375" style="26" customWidth="1"/>
    <col min="95" max="95" width="10.7109375" style="27" customWidth="1"/>
    <col min="96" max="96" width="10.7109375" style="31" customWidth="1"/>
    <col min="97" max="98" width="10.7109375" style="26" customWidth="1"/>
    <col min="99" max="99" width="10.7109375" style="31" customWidth="1"/>
    <col min="100" max="100" width="10.7109375" style="27" customWidth="1"/>
    <col min="101" max="102" width="10.7109375" style="31" customWidth="1"/>
    <col min="103" max="103" width="10.7109375" style="26" customWidth="1"/>
    <col min="104" max="104" width="10.7109375" style="31" customWidth="1"/>
    <col min="105" max="105" width="10.7109375" style="27" customWidth="1"/>
    <col min="106" max="106" width="10.7109375" style="26" customWidth="1"/>
    <col min="107" max="107" width="10.7109375" style="27" customWidth="1"/>
    <col min="108" max="108" width="10.7109375" style="31" customWidth="1"/>
    <col min="109" max="109" width="10.7109375" style="26" customWidth="1"/>
    <col min="110" max="110" width="10.7109375" style="31" customWidth="1"/>
    <col min="111" max="111" width="10.7109375" style="26" customWidth="1"/>
    <col min="112" max="114" width="10.7109375" style="31" customWidth="1"/>
    <col min="115" max="115" width="10.7109375" style="26" customWidth="1"/>
    <col min="116" max="116" width="10.7109375" style="31" customWidth="1"/>
    <col min="117" max="118" width="10.7109375" style="26" customWidth="1"/>
    <col min="119" max="201" width="9.140625" style="26" customWidth="1"/>
    <col min="202" max="16384" width="9.140625" style="26"/>
  </cols>
  <sheetData>
    <row r="1" spans="1:236" x14ac:dyDescent="0.25">
      <c r="A1" s="26" t="s">
        <v>0</v>
      </c>
      <c r="B1" s="27" t="s">
        <v>1</v>
      </c>
      <c r="C1" s="26" t="s">
        <v>6</v>
      </c>
      <c r="D1" s="26" t="s">
        <v>7</v>
      </c>
      <c r="E1" s="20" t="s">
        <v>8</v>
      </c>
      <c r="F1" s="20" t="s">
        <v>9</v>
      </c>
      <c r="G1" s="26" t="s">
        <v>6</v>
      </c>
      <c r="H1" s="26" t="s">
        <v>7</v>
      </c>
      <c r="I1" s="5" t="s">
        <v>2</v>
      </c>
      <c r="J1" s="11" t="s">
        <v>3</v>
      </c>
      <c r="K1" s="2" t="s">
        <v>10</v>
      </c>
      <c r="L1" s="1" t="s">
        <v>6</v>
      </c>
      <c r="M1" s="17" t="s">
        <v>7</v>
      </c>
      <c r="N1" s="5" t="s">
        <v>4</v>
      </c>
      <c r="O1" s="2" t="s">
        <v>11</v>
      </c>
      <c r="P1" s="1" t="s">
        <v>6</v>
      </c>
      <c r="Q1" s="17" t="s">
        <v>7</v>
      </c>
      <c r="R1" s="5" t="s">
        <v>5</v>
      </c>
      <c r="S1" s="2" t="s">
        <v>12</v>
      </c>
      <c r="T1" s="1" t="s">
        <v>6</v>
      </c>
      <c r="U1" s="17" t="s">
        <v>7</v>
      </c>
      <c r="V1" s="11" t="s">
        <v>13</v>
      </c>
      <c r="W1" s="2" t="s">
        <v>14</v>
      </c>
      <c r="X1" s="1" t="s">
        <v>6</v>
      </c>
      <c r="Y1" s="17" t="s">
        <v>7</v>
      </c>
      <c r="Z1" s="5" t="s">
        <v>15</v>
      </c>
      <c r="AA1" s="2" t="s">
        <v>16</v>
      </c>
      <c r="AB1" s="1" t="s">
        <v>6</v>
      </c>
      <c r="AC1" s="17" t="s">
        <v>7</v>
      </c>
      <c r="AD1" s="11" t="s">
        <v>17</v>
      </c>
      <c r="AE1" s="2" t="s">
        <v>18</v>
      </c>
      <c r="AF1" s="1" t="s">
        <v>6</v>
      </c>
      <c r="AG1" s="17" t="s">
        <v>7</v>
      </c>
      <c r="AH1" s="5" t="s">
        <v>19</v>
      </c>
      <c r="AI1" s="2" t="s">
        <v>20</v>
      </c>
      <c r="AJ1" s="1" t="s">
        <v>6</v>
      </c>
      <c r="AK1" s="17" t="s">
        <v>7</v>
      </c>
      <c r="AL1" s="5" t="s">
        <v>21</v>
      </c>
      <c r="AM1" s="2" t="s">
        <v>22</v>
      </c>
      <c r="AN1" s="1" t="s">
        <v>6</v>
      </c>
      <c r="AO1" s="17" t="s">
        <v>7</v>
      </c>
      <c r="AP1" s="11" t="s">
        <v>23</v>
      </c>
      <c r="AQ1" s="2" t="s">
        <v>24</v>
      </c>
      <c r="AR1" s="1" t="s">
        <v>6</v>
      </c>
      <c r="AS1" s="17" t="s">
        <v>7</v>
      </c>
      <c r="AT1" s="5" t="s">
        <v>25</v>
      </c>
      <c r="AU1" s="2" t="s">
        <v>26</v>
      </c>
      <c r="AV1" s="11" t="s">
        <v>27</v>
      </c>
      <c r="AW1" s="2" t="s">
        <v>28</v>
      </c>
      <c r="AX1" s="1" t="s">
        <v>6</v>
      </c>
      <c r="AY1" s="17" t="s">
        <v>7</v>
      </c>
      <c r="AZ1" s="5" t="s">
        <v>29</v>
      </c>
      <c r="BA1" s="2" t="s">
        <v>30</v>
      </c>
      <c r="BB1" s="1" t="s">
        <v>6</v>
      </c>
      <c r="BC1" s="17" t="s">
        <v>7</v>
      </c>
      <c r="BD1" s="11" t="s">
        <v>31</v>
      </c>
      <c r="BE1" s="2" t="s">
        <v>32</v>
      </c>
      <c r="BF1" s="11" t="s">
        <v>33</v>
      </c>
      <c r="BG1" s="2" t="s">
        <v>34</v>
      </c>
      <c r="BH1" s="1" t="s">
        <v>6</v>
      </c>
      <c r="BI1" s="17" t="s">
        <v>7</v>
      </c>
      <c r="BJ1" s="11" t="s">
        <v>35</v>
      </c>
      <c r="BK1" s="2" t="s">
        <v>36</v>
      </c>
      <c r="BL1" s="1" t="s">
        <v>6</v>
      </c>
      <c r="BM1" s="17" t="s">
        <v>7</v>
      </c>
      <c r="BN1" s="5" t="s">
        <v>37</v>
      </c>
      <c r="BO1" s="2" t="s">
        <v>38</v>
      </c>
      <c r="BP1" s="1" t="s">
        <v>6</v>
      </c>
      <c r="BQ1" s="17" t="s">
        <v>7</v>
      </c>
      <c r="BR1" s="5" t="s">
        <v>39</v>
      </c>
      <c r="BS1" s="2" t="s">
        <v>40</v>
      </c>
      <c r="BT1" s="1" t="s">
        <v>6</v>
      </c>
      <c r="BU1" s="17" t="s">
        <v>7</v>
      </c>
      <c r="BV1" s="11" t="s">
        <v>41</v>
      </c>
      <c r="BW1" s="2" t="s">
        <v>42</v>
      </c>
      <c r="BX1" s="1" t="s">
        <v>6</v>
      </c>
      <c r="BY1" s="17" t="s">
        <v>7</v>
      </c>
      <c r="BZ1" s="5" t="s">
        <v>43</v>
      </c>
      <c r="CA1" s="11" t="s">
        <v>44</v>
      </c>
      <c r="CB1" s="2" t="s">
        <v>45</v>
      </c>
      <c r="CC1" s="1" t="s">
        <v>6</v>
      </c>
      <c r="CD1" s="17" t="s">
        <v>7</v>
      </c>
      <c r="CE1" s="5" t="s">
        <v>46</v>
      </c>
      <c r="CF1" s="2" t="s">
        <v>47</v>
      </c>
      <c r="CG1" s="11" t="s">
        <v>48</v>
      </c>
      <c r="CH1" s="2" t="s">
        <v>49</v>
      </c>
      <c r="CI1" s="1" t="s">
        <v>6</v>
      </c>
      <c r="CJ1" s="17" t="s">
        <v>7</v>
      </c>
      <c r="CK1" s="5" t="s">
        <v>50</v>
      </c>
      <c r="CL1" s="11" t="s">
        <v>51</v>
      </c>
      <c r="CM1" s="2" t="s">
        <v>52</v>
      </c>
      <c r="CN1" s="1" t="s">
        <v>6</v>
      </c>
      <c r="CO1" s="17" t="s">
        <v>7</v>
      </c>
      <c r="CP1" s="11" t="s">
        <v>53</v>
      </c>
      <c r="CQ1" s="2" t="s">
        <v>54</v>
      </c>
      <c r="CR1" s="1" t="s">
        <v>6</v>
      </c>
      <c r="CS1" s="17" t="s">
        <v>7</v>
      </c>
      <c r="CT1" s="5" t="s">
        <v>55</v>
      </c>
      <c r="CU1" s="2" t="s">
        <v>56</v>
      </c>
      <c r="CV1" s="1" t="s">
        <v>6</v>
      </c>
      <c r="CW1" s="17" t="s">
        <v>7</v>
      </c>
      <c r="CX1" s="5" t="s">
        <v>57</v>
      </c>
      <c r="CY1" s="2" t="s">
        <v>58</v>
      </c>
      <c r="CZ1" s="1" t="s">
        <v>6</v>
      </c>
      <c r="DA1" s="17" t="s">
        <v>7</v>
      </c>
      <c r="DB1" s="5" t="s">
        <v>59</v>
      </c>
      <c r="DC1" s="2" t="s">
        <v>60</v>
      </c>
      <c r="DD1" s="1" t="s">
        <v>6</v>
      </c>
      <c r="DE1" s="17" t="s">
        <v>7</v>
      </c>
      <c r="DF1" s="11" t="s">
        <v>61</v>
      </c>
      <c r="DG1" s="2" t="s">
        <v>62</v>
      </c>
      <c r="DH1" s="1" t="s">
        <v>6</v>
      </c>
      <c r="DI1" s="17" t="s">
        <v>7</v>
      </c>
      <c r="DJ1" s="11" t="s">
        <v>63</v>
      </c>
      <c r="DK1" s="2" t="s">
        <v>64</v>
      </c>
      <c r="DL1" s="1" t="s">
        <v>6</v>
      </c>
      <c r="DM1" s="17" t="s">
        <v>7</v>
      </c>
      <c r="DN1" s="5" t="s">
        <v>65</v>
      </c>
      <c r="DO1" s="11" t="s">
        <v>66</v>
      </c>
      <c r="DP1" s="2" t="s">
        <v>67</v>
      </c>
      <c r="DQ1" s="1" t="s">
        <v>6</v>
      </c>
      <c r="DR1" s="17" t="s">
        <v>7</v>
      </c>
      <c r="DS1" s="5" t="s">
        <v>68</v>
      </c>
      <c r="DT1" s="11" t="s">
        <v>69</v>
      </c>
      <c r="DU1" s="2" t="s">
        <v>70</v>
      </c>
      <c r="DV1" s="1" t="s">
        <v>6</v>
      </c>
      <c r="DW1" s="17" t="s">
        <v>7</v>
      </c>
      <c r="DX1" s="11" t="s">
        <v>71</v>
      </c>
      <c r="DY1" s="2" t="s">
        <v>72</v>
      </c>
      <c r="DZ1" s="1" t="s">
        <v>6</v>
      </c>
      <c r="EA1" s="17" t="s">
        <v>7</v>
      </c>
      <c r="EB1" s="5" t="s">
        <v>73</v>
      </c>
      <c r="EC1" s="11" t="s">
        <v>74</v>
      </c>
      <c r="ED1" s="2" t="s">
        <v>75</v>
      </c>
      <c r="EE1" s="11" t="s">
        <v>76</v>
      </c>
      <c r="EF1" s="2" t="s">
        <v>77</v>
      </c>
      <c r="EG1" s="1" t="s">
        <v>6</v>
      </c>
      <c r="EH1" s="17" t="s">
        <v>7</v>
      </c>
      <c r="EI1" s="11" t="s">
        <v>78</v>
      </c>
      <c r="EJ1" s="2" t="s">
        <v>79</v>
      </c>
      <c r="EK1" s="1" t="s">
        <v>6</v>
      </c>
      <c r="EL1" s="17" t="s">
        <v>7</v>
      </c>
      <c r="EM1" s="5" t="s">
        <v>80</v>
      </c>
      <c r="EN1" s="2" t="s">
        <v>81</v>
      </c>
      <c r="EO1" s="11" t="s">
        <v>82</v>
      </c>
      <c r="EP1" s="2" t="s">
        <v>83</v>
      </c>
      <c r="EQ1" s="1" t="s">
        <v>6</v>
      </c>
      <c r="ER1" s="17" t="s">
        <v>7</v>
      </c>
      <c r="ES1" s="11" t="s">
        <v>84</v>
      </c>
      <c r="ET1" s="2" t="s">
        <v>85</v>
      </c>
      <c r="EU1" s="5" t="s">
        <v>86</v>
      </c>
      <c r="EV1" s="2" t="s">
        <v>87</v>
      </c>
      <c r="EW1" s="1" t="s">
        <v>6</v>
      </c>
      <c r="EX1" s="17" t="s">
        <v>7</v>
      </c>
      <c r="EY1" s="11" t="s">
        <v>88</v>
      </c>
      <c r="EZ1" s="2" t="s">
        <v>89</v>
      </c>
      <c r="FA1" s="1" t="s">
        <v>6</v>
      </c>
      <c r="FB1" s="17" t="s">
        <v>7</v>
      </c>
      <c r="FC1" s="5" t="s">
        <v>90</v>
      </c>
      <c r="FD1" s="2" t="s">
        <v>91</v>
      </c>
      <c r="FE1" s="1" t="s">
        <v>6</v>
      </c>
      <c r="FF1" s="17" t="s">
        <v>7</v>
      </c>
      <c r="FG1" s="5" t="s">
        <v>92</v>
      </c>
      <c r="FH1" s="2" t="s">
        <v>93</v>
      </c>
      <c r="FI1" s="1" t="s">
        <v>6</v>
      </c>
      <c r="FJ1" s="17" t="s">
        <v>7</v>
      </c>
      <c r="FK1" s="11" t="s">
        <v>94</v>
      </c>
      <c r="FL1" s="2" t="s">
        <v>95</v>
      </c>
      <c r="FM1" s="1" t="s">
        <v>6</v>
      </c>
      <c r="FN1" s="17" t="s">
        <v>7</v>
      </c>
      <c r="FO1" s="5" t="s">
        <v>96</v>
      </c>
      <c r="FP1" s="2" t="s">
        <v>97</v>
      </c>
      <c r="FQ1" s="1" t="s">
        <v>6</v>
      </c>
      <c r="FR1" s="17" t="s">
        <v>7</v>
      </c>
      <c r="FS1" s="5" t="s">
        <v>98</v>
      </c>
      <c r="FT1" s="2" t="s">
        <v>99</v>
      </c>
      <c r="FU1" s="1" t="s">
        <v>6</v>
      </c>
      <c r="FV1" s="17" t="s">
        <v>7</v>
      </c>
      <c r="FW1" s="11" t="s">
        <v>100</v>
      </c>
      <c r="FX1" s="2" t="s">
        <v>101</v>
      </c>
      <c r="FY1" s="1" t="s">
        <v>6</v>
      </c>
      <c r="FZ1" s="17" t="s">
        <v>7</v>
      </c>
      <c r="GA1" s="11" t="s">
        <v>102</v>
      </c>
      <c r="GB1" s="2" t="s">
        <v>103</v>
      </c>
      <c r="GC1" s="1" t="s">
        <v>6</v>
      </c>
      <c r="GD1" s="17" t="s">
        <v>7</v>
      </c>
      <c r="GE1" s="11" t="s">
        <v>104</v>
      </c>
      <c r="GF1" s="2" t="s">
        <v>105</v>
      </c>
      <c r="GG1" s="1" t="s">
        <v>6</v>
      </c>
      <c r="GH1" s="3" t="s">
        <v>7</v>
      </c>
      <c r="GI1" s="11" t="s">
        <v>106</v>
      </c>
      <c r="GJ1" s="2" t="s">
        <v>107</v>
      </c>
      <c r="GK1" s="1" t="s">
        <v>6</v>
      </c>
      <c r="GL1" s="17" t="s">
        <v>7</v>
      </c>
      <c r="GM1" s="11" t="s">
        <v>108</v>
      </c>
      <c r="GN1" s="2" t="s">
        <v>109</v>
      </c>
      <c r="GO1" s="1" t="s">
        <v>6</v>
      </c>
      <c r="GP1" s="17" t="s">
        <v>7</v>
      </c>
      <c r="GQ1" s="11" t="s">
        <v>110</v>
      </c>
      <c r="GR1" s="2" t="s">
        <v>111</v>
      </c>
      <c r="GS1" s="1" t="s">
        <v>6</v>
      </c>
      <c r="GT1" s="17" t="s">
        <v>7</v>
      </c>
      <c r="GU1" s="5" t="s">
        <v>112</v>
      </c>
      <c r="GV1" s="2" t="s">
        <v>113</v>
      </c>
      <c r="GW1" s="1" t="s">
        <v>6</v>
      </c>
      <c r="GX1" s="3" t="s">
        <v>7</v>
      </c>
      <c r="GY1" s="11" t="s">
        <v>114</v>
      </c>
      <c r="GZ1" s="2" t="s">
        <v>115</v>
      </c>
      <c r="HA1" s="1" t="s">
        <v>6</v>
      </c>
      <c r="HB1" s="3" t="s">
        <v>7</v>
      </c>
      <c r="HC1" s="11" t="s">
        <v>116</v>
      </c>
      <c r="HD1" s="2" t="s">
        <v>117</v>
      </c>
      <c r="HE1" s="1" t="s">
        <v>6</v>
      </c>
      <c r="HF1" s="3" t="s">
        <v>7</v>
      </c>
      <c r="HG1" s="11" t="s">
        <v>118</v>
      </c>
      <c r="HH1" s="2" t="s">
        <v>119</v>
      </c>
      <c r="HI1" s="1" t="s">
        <v>6</v>
      </c>
      <c r="HJ1" s="3" t="s">
        <v>7</v>
      </c>
      <c r="HK1" s="11" t="s">
        <v>120</v>
      </c>
      <c r="HL1" s="2" t="s">
        <v>121</v>
      </c>
      <c r="HM1" s="11" t="s">
        <v>122</v>
      </c>
      <c r="HN1" s="2" t="s">
        <v>123</v>
      </c>
      <c r="HO1" s="1" t="s">
        <v>6</v>
      </c>
      <c r="HP1" s="3" t="s">
        <v>7</v>
      </c>
      <c r="HQ1" s="11" t="s">
        <v>124</v>
      </c>
      <c r="HR1" s="2" t="s">
        <v>125</v>
      </c>
      <c r="HS1" s="1" t="s">
        <v>6</v>
      </c>
      <c r="HT1" s="3" t="s">
        <v>7</v>
      </c>
      <c r="HU1" s="11" t="s">
        <v>126</v>
      </c>
      <c r="HV1" s="2" t="s">
        <v>127</v>
      </c>
      <c r="HW1" s="1" t="s">
        <v>6</v>
      </c>
      <c r="HX1" s="3" t="s">
        <v>7</v>
      </c>
      <c r="HY1" s="5" t="s">
        <v>128</v>
      </c>
      <c r="HZ1" s="2" t="s">
        <v>129</v>
      </c>
      <c r="IA1" s="1" t="s">
        <v>6</v>
      </c>
      <c r="IB1" s="3" t="s">
        <v>7</v>
      </c>
    </row>
    <row r="2" spans="1:236" x14ac:dyDescent="0.25">
      <c r="C2" s="24">
        <f t="shared" ref="C2:BO2" si="0">SUM(C3:C182)</f>
        <v>0</v>
      </c>
      <c r="D2" s="24">
        <f t="shared" si="0"/>
        <v>0</v>
      </c>
      <c r="E2" s="24">
        <f t="shared" si="0"/>
        <v>3568</v>
      </c>
      <c r="F2" s="24">
        <f t="shared" si="0"/>
        <v>3712</v>
      </c>
      <c r="G2" s="24">
        <f t="shared" si="0"/>
        <v>0</v>
      </c>
      <c r="H2" s="24">
        <f t="shared" si="0"/>
        <v>0</v>
      </c>
      <c r="I2" s="37">
        <f>SUM(I3:I182)</f>
        <v>26</v>
      </c>
      <c r="J2" s="38">
        <f>SUM(J3:J182)</f>
        <v>7502</v>
      </c>
      <c r="K2" s="38">
        <f t="shared" si="0"/>
        <v>7672</v>
      </c>
      <c r="L2" s="38">
        <f t="shared" si="0"/>
        <v>-144</v>
      </c>
      <c r="M2" s="39">
        <f t="shared" si="0"/>
        <v>67.670000000000016</v>
      </c>
      <c r="N2" s="37">
        <f>SUM(N3:N182)</f>
        <v>8264</v>
      </c>
      <c r="O2" s="38">
        <f t="shared" si="0"/>
        <v>8680</v>
      </c>
      <c r="P2" s="38">
        <f t="shared" si="0"/>
        <v>-416</v>
      </c>
      <c r="Q2" s="39">
        <f t="shared" si="0"/>
        <v>142.64000000000001</v>
      </c>
      <c r="R2" s="37">
        <f>SUM(R3:R182)</f>
        <v>7778</v>
      </c>
      <c r="S2" s="38">
        <f t="shared" si="0"/>
        <v>8104</v>
      </c>
      <c r="T2" s="38">
        <f t="shared" si="0"/>
        <v>-326</v>
      </c>
      <c r="U2" s="39">
        <f t="shared" si="0"/>
        <v>78.88000000000001</v>
      </c>
      <c r="V2" s="24">
        <f t="shared" si="0"/>
        <v>7096</v>
      </c>
      <c r="W2" s="24">
        <f t="shared" si="0"/>
        <v>7374</v>
      </c>
      <c r="X2" s="24">
        <f t="shared" si="0"/>
        <v>-278</v>
      </c>
      <c r="Y2" s="24">
        <f t="shared" si="0"/>
        <v>114.56</v>
      </c>
      <c r="Z2" s="24">
        <f t="shared" si="0"/>
        <v>7023</v>
      </c>
      <c r="AA2" s="24">
        <f t="shared" si="0"/>
        <v>7192</v>
      </c>
      <c r="AB2" s="24">
        <f t="shared" si="0"/>
        <v>-169</v>
      </c>
      <c r="AC2" s="24">
        <f t="shared" si="0"/>
        <v>56.120000000000005</v>
      </c>
      <c r="AD2" s="24">
        <f t="shared" si="0"/>
        <v>6649</v>
      </c>
      <c r="AE2" s="24">
        <f t="shared" si="0"/>
        <v>6750</v>
      </c>
      <c r="AF2" s="24">
        <f t="shared" si="0"/>
        <v>-101</v>
      </c>
      <c r="AG2" s="24">
        <f t="shared" si="0"/>
        <v>44.3</v>
      </c>
      <c r="AH2" s="24">
        <f t="shared" si="0"/>
        <v>5779</v>
      </c>
      <c r="AI2" s="24">
        <f t="shared" si="0"/>
        <v>5958</v>
      </c>
      <c r="AJ2" s="24">
        <f t="shared" si="0"/>
        <v>-179</v>
      </c>
      <c r="AK2" s="24">
        <f t="shared" si="0"/>
        <v>42.8</v>
      </c>
      <c r="AL2" s="24">
        <f t="shared" si="0"/>
        <v>4684</v>
      </c>
      <c r="AM2" s="24">
        <f t="shared" si="0"/>
        <v>5523</v>
      </c>
      <c r="AN2" s="24">
        <f t="shared" si="0"/>
        <v>-839</v>
      </c>
      <c r="AO2" s="24">
        <f t="shared" si="0"/>
        <v>787.4</v>
      </c>
      <c r="AP2" s="24">
        <f t="shared" si="0"/>
        <v>1018</v>
      </c>
      <c r="AQ2" s="24">
        <f t="shared" si="0"/>
        <v>1081</v>
      </c>
      <c r="AR2" s="24">
        <f t="shared" si="0"/>
        <v>-63</v>
      </c>
      <c r="AS2" s="24">
        <f t="shared" si="0"/>
        <v>37.449999999999996</v>
      </c>
      <c r="AT2" s="24">
        <f t="shared" si="0"/>
        <v>2831</v>
      </c>
      <c r="AU2" s="24">
        <f t="shared" si="0"/>
        <v>3160</v>
      </c>
      <c r="AV2" s="24">
        <f t="shared" si="0"/>
        <v>3410</v>
      </c>
      <c r="AW2" s="24">
        <f t="shared" si="0"/>
        <v>3646</v>
      </c>
      <c r="AX2" s="24">
        <f t="shared" si="0"/>
        <v>-565</v>
      </c>
      <c r="AY2" s="24">
        <f t="shared" si="0"/>
        <v>598.79</v>
      </c>
      <c r="AZ2" s="24">
        <f t="shared" si="0"/>
        <v>2462</v>
      </c>
      <c r="BA2" s="24">
        <f t="shared" si="0"/>
        <v>2571</v>
      </c>
      <c r="BB2" s="24">
        <f t="shared" si="0"/>
        <v>-109</v>
      </c>
      <c r="BC2" s="24">
        <f t="shared" si="0"/>
        <v>16.850000000000001</v>
      </c>
      <c r="BD2" s="24">
        <f t="shared" si="0"/>
        <v>863</v>
      </c>
      <c r="BE2" s="24">
        <f t="shared" si="0"/>
        <v>950</v>
      </c>
      <c r="BF2" s="24">
        <f t="shared" si="0"/>
        <v>5312</v>
      </c>
      <c r="BG2" s="24">
        <f t="shared" si="0"/>
        <v>5324</v>
      </c>
      <c r="BH2" s="24">
        <f t="shared" si="0"/>
        <v>-99</v>
      </c>
      <c r="BI2" s="24">
        <f t="shared" si="0"/>
        <v>103.39999999999999</v>
      </c>
      <c r="BJ2" s="24">
        <f t="shared" si="0"/>
        <v>2197</v>
      </c>
      <c r="BK2" s="24">
        <f t="shared" si="0"/>
        <v>2318</v>
      </c>
      <c r="BL2" s="24">
        <f t="shared" si="0"/>
        <v>-121</v>
      </c>
      <c r="BM2" s="24">
        <f t="shared" si="0"/>
        <v>13.4</v>
      </c>
      <c r="BN2" s="24">
        <f t="shared" si="0"/>
        <v>4131</v>
      </c>
      <c r="BO2" s="24">
        <f t="shared" si="0"/>
        <v>4210</v>
      </c>
      <c r="BP2" s="24">
        <f t="shared" ref="BP2:EA2" si="1">SUM(BP3:BP182)</f>
        <v>-79</v>
      </c>
      <c r="BQ2" s="24">
        <f t="shared" si="1"/>
        <v>27.27</v>
      </c>
      <c r="BR2" s="24">
        <f t="shared" si="1"/>
        <v>2999</v>
      </c>
      <c r="BS2" s="24">
        <f t="shared" si="1"/>
        <v>3128</v>
      </c>
      <c r="BT2" s="24">
        <f t="shared" si="1"/>
        <v>-129</v>
      </c>
      <c r="BU2" s="24">
        <f t="shared" si="1"/>
        <v>105.88</v>
      </c>
      <c r="BV2" s="24">
        <f t="shared" si="1"/>
        <v>3175</v>
      </c>
      <c r="BW2" s="24">
        <f t="shared" si="1"/>
        <v>3208</v>
      </c>
      <c r="BX2" s="24">
        <f t="shared" si="1"/>
        <v>-33</v>
      </c>
      <c r="BY2" s="24">
        <f t="shared" si="1"/>
        <v>8</v>
      </c>
      <c r="BZ2" s="24">
        <f t="shared" si="1"/>
        <v>2418</v>
      </c>
      <c r="CA2" s="24">
        <f t="shared" si="1"/>
        <v>39</v>
      </c>
      <c r="CB2" s="24">
        <f t="shared" si="1"/>
        <v>2481</v>
      </c>
      <c r="CC2" s="24">
        <f t="shared" si="1"/>
        <v>-24</v>
      </c>
      <c r="CD2" s="24">
        <f t="shared" si="1"/>
        <v>25.16</v>
      </c>
      <c r="CE2" s="24">
        <f t="shared" si="1"/>
        <v>433</v>
      </c>
      <c r="CF2" s="24">
        <f t="shared" si="1"/>
        <v>430</v>
      </c>
      <c r="CG2" s="24">
        <f t="shared" si="1"/>
        <v>3758</v>
      </c>
      <c r="CH2" s="24">
        <f t="shared" si="1"/>
        <v>3799</v>
      </c>
      <c r="CI2" s="24">
        <f t="shared" si="1"/>
        <v>-38</v>
      </c>
      <c r="CJ2" s="24">
        <f t="shared" si="1"/>
        <v>36.799999999999997</v>
      </c>
      <c r="CK2" s="24">
        <f t="shared" si="1"/>
        <v>4458</v>
      </c>
      <c r="CL2" s="24">
        <f t="shared" si="1"/>
        <v>12</v>
      </c>
      <c r="CM2" s="24">
        <f t="shared" si="1"/>
        <v>4579</v>
      </c>
      <c r="CN2" s="24">
        <f t="shared" si="1"/>
        <v>-109</v>
      </c>
      <c r="CO2" s="24">
        <f t="shared" si="1"/>
        <v>35.4</v>
      </c>
      <c r="CP2" s="24">
        <f t="shared" si="1"/>
        <v>4058</v>
      </c>
      <c r="CQ2" s="24">
        <f t="shared" si="1"/>
        <v>4150.0834000000013</v>
      </c>
      <c r="CR2" s="24">
        <f t="shared" si="1"/>
        <v>-92.083399999999969</v>
      </c>
      <c r="CS2" s="24">
        <f t="shared" si="1"/>
        <v>68.854599999999991</v>
      </c>
      <c r="CT2" s="24">
        <f t="shared" si="1"/>
        <v>1543</v>
      </c>
      <c r="CU2" s="24">
        <f t="shared" si="1"/>
        <v>1485.952</v>
      </c>
      <c r="CV2" s="24">
        <f t="shared" si="1"/>
        <v>57.04800000000003</v>
      </c>
      <c r="CW2" s="24">
        <f t="shared" si="1"/>
        <v>0</v>
      </c>
      <c r="CX2" s="24">
        <f t="shared" si="1"/>
        <v>2707</v>
      </c>
      <c r="CY2" s="24">
        <f t="shared" si="1"/>
        <v>2788.2868000000003</v>
      </c>
      <c r="CZ2" s="24">
        <f t="shared" si="1"/>
        <v>-81.286799999999886</v>
      </c>
      <c r="DA2" s="24">
        <f t="shared" si="1"/>
        <v>61.411799999999992</v>
      </c>
      <c r="DB2" s="24">
        <f t="shared" si="1"/>
        <v>1887</v>
      </c>
      <c r="DC2" s="24">
        <f t="shared" si="1"/>
        <v>1993</v>
      </c>
      <c r="DD2" s="24">
        <f t="shared" si="1"/>
        <v>-106</v>
      </c>
      <c r="DE2" s="24">
        <f t="shared" si="1"/>
        <v>35.540000000000006</v>
      </c>
      <c r="DF2" s="24">
        <f t="shared" si="1"/>
        <v>2874</v>
      </c>
      <c r="DG2" s="24">
        <f t="shared" si="1"/>
        <v>2929.4846000000002</v>
      </c>
      <c r="DH2" s="24">
        <f t="shared" si="1"/>
        <v>-55.484600000000178</v>
      </c>
      <c r="DI2" s="24">
        <f t="shared" si="1"/>
        <v>54.695000000000007</v>
      </c>
      <c r="DJ2" s="24">
        <f t="shared" si="1"/>
        <v>3901</v>
      </c>
      <c r="DK2" s="24">
        <f t="shared" si="1"/>
        <v>3935</v>
      </c>
      <c r="DL2" s="24">
        <f t="shared" si="1"/>
        <v>-34</v>
      </c>
      <c r="DM2" s="24">
        <f t="shared" si="1"/>
        <v>9.39</v>
      </c>
      <c r="DN2" s="24">
        <f t="shared" si="1"/>
        <v>1310</v>
      </c>
      <c r="DO2" s="24">
        <f t="shared" si="1"/>
        <v>103</v>
      </c>
      <c r="DP2" s="24">
        <f t="shared" si="1"/>
        <v>1415</v>
      </c>
      <c r="DQ2" s="24">
        <f t="shared" si="1"/>
        <v>-2</v>
      </c>
      <c r="DR2" s="24">
        <f t="shared" si="1"/>
        <v>0</v>
      </c>
      <c r="DS2" s="24">
        <f t="shared" si="1"/>
        <v>2194</v>
      </c>
      <c r="DT2" s="24">
        <f t="shared" si="1"/>
        <v>20</v>
      </c>
      <c r="DU2" s="24">
        <f t="shared" si="1"/>
        <v>2463</v>
      </c>
      <c r="DV2" s="24">
        <f t="shared" si="1"/>
        <v>-249</v>
      </c>
      <c r="DW2" s="24">
        <f t="shared" si="1"/>
        <v>226</v>
      </c>
      <c r="DX2" s="24">
        <f t="shared" si="1"/>
        <v>1511</v>
      </c>
      <c r="DY2" s="24">
        <f t="shared" si="1"/>
        <v>1536.0814000000005</v>
      </c>
      <c r="DZ2" s="24">
        <f t="shared" si="1"/>
        <v>-25.081400000000126</v>
      </c>
      <c r="EA2" s="24">
        <f t="shared" si="1"/>
        <v>0</v>
      </c>
      <c r="EB2" s="24">
        <f t="shared" ref="EB2:GM2" si="2">SUM(EB3:EB182)</f>
        <v>40</v>
      </c>
      <c r="EC2" s="24">
        <f t="shared" si="2"/>
        <v>1707</v>
      </c>
      <c r="ED2" s="24">
        <f t="shared" si="2"/>
        <v>1888</v>
      </c>
      <c r="EE2" s="24">
        <f t="shared" si="2"/>
        <v>2563</v>
      </c>
      <c r="EF2" s="24">
        <f t="shared" si="2"/>
        <v>2586</v>
      </c>
      <c r="EG2" s="24">
        <f t="shared" si="2"/>
        <v>-164</v>
      </c>
      <c r="EH2" s="24">
        <f t="shared" si="2"/>
        <v>215</v>
      </c>
      <c r="EI2" s="24">
        <f t="shared" si="2"/>
        <v>2740</v>
      </c>
      <c r="EJ2" s="24">
        <f t="shared" si="2"/>
        <v>2850.0293999999999</v>
      </c>
      <c r="EK2" s="24">
        <f t="shared" si="2"/>
        <v>-110.0294</v>
      </c>
      <c r="EL2" s="24">
        <f t="shared" si="2"/>
        <v>18.872</v>
      </c>
      <c r="EM2" s="24">
        <f t="shared" si="2"/>
        <v>413</v>
      </c>
      <c r="EN2" s="24">
        <f t="shared" si="2"/>
        <v>400</v>
      </c>
      <c r="EO2" s="24">
        <f t="shared" si="2"/>
        <v>1612</v>
      </c>
      <c r="EP2" s="24">
        <f t="shared" si="2"/>
        <v>1665</v>
      </c>
      <c r="EQ2" s="24">
        <f t="shared" si="2"/>
        <v>-40</v>
      </c>
      <c r="ER2" s="24">
        <f t="shared" si="2"/>
        <v>11.440000000000001</v>
      </c>
      <c r="ES2" s="24">
        <f t="shared" si="2"/>
        <v>1395</v>
      </c>
      <c r="ET2" s="24">
        <f t="shared" si="2"/>
        <v>1394</v>
      </c>
      <c r="EU2" s="24">
        <f t="shared" si="2"/>
        <v>2550</v>
      </c>
      <c r="EV2" s="24">
        <f t="shared" si="2"/>
        <v>2581</v>
      </c>
      <c r="EW2" s="24">
        <f t="shared" si="2"/>
        <v>-30</v>
      </c>
      <c r="EX2" s="24">
        <f t="shared" si="2"/>
        <v>11.440000000000001</v>
      </c>
      <c r="EY2" s="24">
        <f t="shared" si="2"/>
        <v>2002</v>
      </c>
      <c r="EZ2" s="24">
        <f t="shared" si="2"/>
        <v>2012.7349999999997</v>
      </c>
      <c r="FA2" s="24">
        <f t="shared" si="2"/>
        <v>-10.735000000000012</v>
      </c>
      <c r="FB2" s="24">
        <f t="shared" si="2"/>
        <v>8.24</v>
      </c>
      <c r="FC2" s="24">
        <f t="shared" si="2"/>
        <v>3168</v>
      </c>
      <c r="FD2" s="24">
        <f t="shared" si="2"/>
        <v>3135</v>
      </c>
      <c r="FE2" s="24">
        <f t="shared" si="2"/>
        <v>33</v>
      </c>
      <c r="FF2" s="24">
        <f t="shared" si="2"/>
        <v>4</v>
      </c>
      <c r="FG2" s="24">
        <f t="shared" si="2"/>
        <v>2204</v>
      </c>
      <c r="FH2" s="24">
        <f t="shared" si="2"/>
        <v>2211</v>
      </c>
      <c r="FI2" s="24">
        <f t="shared" si="2"/>
        <v>-7</v>
      </c>
      <c r="FJ2" s="24">
        <f t="shared" si="2"/>
        <v>6.7200000000000006</v>
      </c>
      <c r="FK2" s="24">
        <f t="shared" si="2"/>
        <v>1956</v>
      </c>
      <c r="FL2" s="24">
        <f t="shared" si="2"/>
        <v>1959</v>
      </c>
      <c r="FM2" s="24">
        <f t="shared" si="2"/>
        <v>-3</v>
      </c>
      <c r="FN2" s="24">
        <f t="shared" si="2"/>
        <v>0</v>
      </c>
      <c r="FO2" s="24">
        <f t="shared" si="2"/>
        <v>3080</v>
      </c>
      <c r="FP2" s="24">
        <f t="shared" si="2"/>
        <v>3297</v>
      </c>
      <c r="FQ2" s="24">
        <f t="shared" si="2"/>
        <v>-217</v>
      </c>
      <c r="FR2" s="24">
        <f t="shared" si="2"/>
        <v>81.8</v>
      </c>
      <c r="FS2" s="24">
        <f t="shared" si="2"/>
        <v>1608</v>
      </c>
      <c r="FT2" s="24">
        <f t="shared" si="2"/>
        <v>1632</v>
      </c>
      <c r="FU2" s="24">
        <f t="shared" si="2"/>
        <v>-24</v>
      </c>
      <c r="FV2" s="24">
        <f t="shared" si="2"/>
        <v>14</v>
      </c>
      <c r="FW2" s="24">
        <f t="shared" si="2"/>
        <v>1617</v>
      </c>
      <c r="FX2" s="24">
        <f t="shared" si="2"/>
        <v>1625</v>
      </c>
      <c r="FY2" s="24">
        <f t="shared" si="2"/>
        <v>-8</v>
      </c>
      <c r="FZ2" s="24">
        <f t="shared" si="2"/>
        <v>2.64</v>
      </c>
      <c r="GA2" s="24">
        <f t="shared" si="2"/>
        <v>2165</v>
      </c>
      <c r="GB2" s="24">
        <f t="shared" si="2"/>
        <v>2157</v>
      </c>
      <c r="GC2" s="24">
        <f t="shared" si="2"/>
        <v>8</v>
      </c>
      <c r="GD2" s="24">
        <f t="shared" si="2"/>
        <v>0</v>
      </c>
      <c r="GE2" s="24">
        <f t="shared" si="2"/>
        <v>1181</v>
      </c>
      <c r="GF2" s="24">
        <f t="shared" si="2"/>
        <v>1288.9999999999998</v>
      </c>
      <c r="GG2" s="24">
        <f t="shared" si="2"/>
        <v>-108.00000000000001</v>
      </c>
      <c r="GH2" s="24">
        <f t="shared" si="2"/>
        <v>82</v>
      </c>
      <c r="GI2" s="24">
        <f t="shared" si="2"/>
        <v>1759</v>
      </c>
      <c r="GJ2" s="24">
        <f t="shared" si="2"/>
        <v>1836</v>
      </c>
      <c r="GK2" s="24">
        <f t="shared" si="2"/>
        <v>-77</v>
      </c>
      <c r="GL2" s="24">
        <f t="shared" si="2"/>
        <v>34.4</v>
      </c>
      <c r="GM2" s="24">
        <f t="shared" si="2"/>
        <v>727</v>
      </c>
      <c r="GN2" s="24">
        <f t="shared" ref="GN2:IB2" si="3">SUM(GN3:GN182)</f>
        <v>781</v>
      </c>
      <c r="GO2" s="24">
        <f t="shared" si="3"/>
        <v>-54</v>
      </c>
      <c r="GP2" s="24">
        <f t="shared" si="3"/>
        <v>1.8</v>
      </c>
      <c r="GQ2" s="24">
        <f t="shared" si="3"/>
        <v>992</v>
      </c>
      <c r="GR2" s="24">
        <f t="shared" si="3"/>
        <v>1012.1845999999999</v>
      </c>
      <c r="GS2" s="24">
        <f t="shared" si="3"/>
        <v>-20.184599999999982</v>
      </c>
      <c r="GT2" s="24">
        <f t="shared" si="3"/>
        <v>0</v>
      </c>
      <c r="GU2" s="24">
        <f t="shared" si="3"/>
        <v>1355</v>
      </c>
      <c r="GV2" s="24">
        <f t="shared" si="3"/>
        <v>1344.6</v>
      </c>
      <c r="GW2" s="24">
        <f t="shared" si="3"/>
        <v>10.4</v>
      </c>
      <c r="GX2" s="24">
        <f t="shared" si="3"/>
        <v>0</v>
      </c>
      <c r="GY2" s="24">
        <f t="shared" si="3"/>
        <v>2124</v>
      </c>
      <c r="GZ2" s="24">
        <f t="shared" si="3"/>
        <v>2108</v>
      </c>
      <c r="HA2" s="24">
        <f t="shared" si="3"/>
        <v>16</v>
      </c>
      <c r="HB2" s="24">
        <f t="shared" si="3"/>
        <v>0</v>
      </c>
      <c r="HC2" s="24">
        <f t="shared" si="3"/>
        <v>609</v>
      </c>
      <c r="HD2" s="24">
        <f t="shared" si="3"/>
        <v>602</v>
      </c>
      <c r="HE2" s="24">
        <f t="shared" si="3"/>
        <v>-7</v>
      </c>
      <c r="HF2" s="24">
        <f t="shared" si="3"/>
        <v>0</v>
      </c>
      <c r="HG2" s="24">
        <f t="shared" si="3"/>
        <v>466</v>
      </c>
      <c r="HH2" s="24">
        <f t="shared" si="3"/>
        <v>469</v>
      </c>
      <c r="HI2" s="24">
        <f t="shared" si="3"/>
        <v>-3</v>
      </c>
      <c r="HJ2" s="24">
        <f t="shared" si="3"/>
        <v>0</v>
      </c>
      <c r="HK2" s="24">
        <f t="shared" si="3"/>
        <v>2807</v>
      </c>
      <c r="HL2" s="24">
        <f t="shared" si="3"/>
        <v>2886</v>
      </c>
      <c r="HM2" s="24">
        <f t="shared" si="3"/>
        <v>2724</v>
      </c>
      <c r="HN2" s="24">
        <f t="shared" si="3"/>
        <v>2778</v>
      </c>
      <c r="HO2" s="24">
        <f t="shared" si="3"/>
        <v>-133</v>
      </c>
      <c r="HP2" s="24">
        <f t="shared" si="3"/>
        <v>70</v>
      </c>
      <c r="HQ2" s="24">
        <f t="shared" si="3"/>
        <v>2922.3589999999999</v>
      </c>
      <c r="HR2" s="24">
        <f t="shared" si="3"/>
        <v>2907</v>
      </c>
      <c r="HS2" s="24">
        <f t="shared" si="3"/>
        <v>15.359000000000041</v>
      </c>
      <c r="HT2" s="24">
        <f t="shared" si="3"/>
        <v>0</v>
      </c>
      <c r="HU2" s="24">
        <f t="shared" si="3"/>
        <v>1830.2590000000002</v>
      </c>
      <c r="HV2" s="24">
        <f t="shared" si="3"/>
        <v>1812.3815999999999</v>
      </c>
      <c r="HW2" s="24">
        <f t="shared" si="3"/>
        <v>17.877399999999998</v>
      </c>
      <c r="HX2" s="24">
        <f t="shared" si="3"/>
        <v>0</v>
      </c>
      <c r="HY2" s="24">
        <f t="shared" si="3"/>
        <v>753.71799999999996</v>
      </c>
      <c r="HZ2" s="24">
        <f t="shared" si="3"/>
        <v>759.41800000000001</v>
      </c>
      <c r="IA2" s="24">
        <f t="shared" si="3"/>
        <v>-5.7000000000000099</v>
      </c>
      <c r="IB2" s="24">
        <f t="shared" si="3"/>
        <v>3.85</v>
      </c>
    </row>
    <row r="3" spans="1:236" x14ac:dyDescent="0.25">
      <c r="A3" s="26" t="s">
        <v>130</v>
      </c>
      <c r="B3" s="27">
        <v>1</v>
      </c>
      <c r="I3" s="30"/>
      <c r="J3" s="35"/>
      <c r="K3" s="35"/>
      <c r="L3" s="35">
        <f>I3+J3-K3</f>
        <v>0</v>
      </c>
      <c r="M3" s="29"/>
      <c r="N3" s="30"/>
      <c r="O3" s="35"/>
      <c r="P3" s="35">
        <f>N3-O3</f>
        <v>0</v>
      </c>
      <c r="Q3" s="29"/>
      <c r="R3" s="30"/>
      <c r="S3" s="35"/>
      <c r="T3" s="35">
        <f>R3-S3</f>
        <v>0</v>
      </c>
      <c r="U3" s="29"/>
      <c r="V3" s="35"/>
      <c r="X3" s="26">
        <v>0</v>
      </c>
      <c r="Y3" s="29"/>
      <c r="Z3" s="30"/>
      <c r="AB3" s="26">
        <v>0</v>
      </c>
      <c r="AC3" s="29"/>
      <c r="AF3" s="26">
        <v>0</v>
      </c>
      <c r="AG3" s="29"/>
      <c r="AH3" s="30"/>
      <c r="AJ3" s="26">
        <v>0</v>
      </c>
      <c r="AK3" s="29"/>
      <c r="AL3" s="30"/>
      <c r="AN3" s="26">
        <v>0</v>
      </c>
      <c r="AO3" s="29"/>
      <c r="AR3" s="26">
        <v>0</v>
      </c>
      <c r="AS3" s="29"/>
      <c r="AT3" s="30"/>
      <c r="AX3" s="26">
        <v>0</v>
      </c>
      <c r="AY3" s="29"/>
      <c r="AZ3" s="30"/>
      <c r="BB3" s="26">
        <v>0</v>
      </c>
      <c r="BC3" s="29"/>
      <c r="BH3" s="26">
        <v>0</v>
      </c>
      <c r="BI3" s="29"/>
      <c r="BL3" s="26">
        <v>0</v>
      </c>
      <c r="BM3" s="29"/>
      <c r="BN3" s="30"/>
      <c r="BP3" s="26">
        <v>0</v>
      </c>
      <c r="BQ3" s="29"/>
      <c r="BR3" s="30"/>
      <c r="BT3" s="26">
        <v>0</v>
      </c>
      <c r="BU3" s="29"/>
      <c r="BX3" s="26">
        <v>0</v>
      </c>
      <c r="BY3" s="29"/>
      <c r="BZ3" s="30"/>
      <c r="CC3" s="26">
        <v>0</v>
      </c>
      <c r="CD3" s="29"/>
      <c r="CE3" s="30"/>
      <c r="CI3" s="26">
        <v>0</v>
      </c>
      <c r="CJ3" s="29"/>
      <c r="CK3" s="30"/>
      <c r="CN3" s="26">
        <v>0</v>
      </c>
      <c r="CO3" s="29"/>
      <c r="CR3" s="26">
        <v>0</v>
      </c>
      <c r="CS3" s="29"/>
      <c r="CT3" s="34"/>
      <c r="CV3" s="26">
        <v>0</v>
      </c>
      <c r="CW3" s="29"/>
      <c r="CX3" s="30"/>
      <c r="CZ3" s="26">
        <v>0</v>
      </c>
      <c r="DA3" s="29"/>
      <c r="DB3" s="30"/>
      <c r="DD3" s="26">
        <v>0</v>
      </c>
      <c r="DE3" s="29"/>
      <c r="DH3" s="26">
        <v>0</v>
      </c>
      <c r="DI3" s="29"/>
      <c r="DL3" s="26">
        <v>0</v>
      </c>
      <c r="DM3" s="29"/>
      <c r="DN3" s="30"/>
      <c r="DQ3" s="26">
        <v>0</v>
      </c>
      <c r="DR3" s="29"/>
      <c r="DS3" s="30"/>
      <c r="DV3" s="26">
        <v>0</v>
      </c>
      <c r="DW3" s="29"/>
      <c r="DZ3" s="26">
        <v>0</v>
      </c>
      <c r="EA3" s="29"/>
      <c r="EB3" s="30"/>
      <c r="EG3" s="26">
        <v>0</v>
      </c>
      <c r="EH3" s="29"/>
      <c r="EK3" s="26">
        <v>0</v>
      </c>
      <c r="EL3" s="29"/>
      <c r="EM3" s="30"/>
      <c r="EQ3" s="26">
        <v>0</v>
      </c>
      <c r="ER3" s="29"/>
      <c r="EW3" s="26">
        <v>0</v>
      </c>
      <c r="EX3" s="29"/>
      <c r="FA3" s="26">
        <v>0</v>
      </c>
      <c r="FB3" s="29"/>
      <c r="FC3" s="30"/>
      <c r="FE3" s="26">
        <v>0</v>
      </c>
      <c r="FF3" s="29"/>
      <c r="FG3" s="30"/>
      <c r="FI3" s="26">
        <v>0</v>
      </c>
      <c r="FJ3" s="29"/>
      <c r="FM3" s="26">
        <v>0</v>
      </c>
      <c r="FN3" s="29"/>
      <c r="FO3" s="30"/>
      <c r="FQ3" s="26">
        <v>0</v>
      </c>
      <c r="FR3" s="29"/>
      <c r="FS3" s="30"/>
      <c r="FU3" s="26">
        <v>0</v>
      </c>
      <c r="FV3" s="29"/>
      <c r="FY3" s="26">
        <v>0</v>
      </c>
      <c r="FZ3" s="32"/>
      <c r="GC3" s="26">
        <v>0</v>
      </c>
      <c r="GD3" s="29"/>
      <c r="GE3" s="31">
        <v>33</v>
      </c>
      <c r="GF3" s="31">
        <v>30</v>
      </c>
      <c r="GG3" s="26">
        <v>3</v>
      </c>
      <c r="GH3" s="32"/>
      <c r="GK3" s="26">
        <v>0</v>
      </c>
      <c r="GL3" s="29"/>
      <c r="GP3" s="32"/>
      <c r="GT3" s="29"/>
      <c r="GU3" s="28"/>
      <c r="GX3" s="32"/>
      <c r="HB3" s="32"/>
      <c r="HF3" s="32"/>
      <c r="HJ3" s="29"/>
      <c r="HK3" s="27"/>
      <c r="HP3" s="32"/>
      <c r="HQ3" s="31"/>
      <c r="HR3" s="31"/>
      <c r="HT3" s="32"/>
      <c r="HU3" s="31"/>
      <c r="HV3" s="31"/>
      <c r="HX3" s="32"/>
      <c r="HY3" s="34"/>
      <c r="HZ3" s="31"/>
      <c r="IB3" s="32"/>
    </row>
    <row r="4" spans="1:236" x14ac:dyDescent="0.25">
      <c r="A4" s="26" t="s">
        <v>131</v>
      </c>
      <c r="B4" s="27">
        <v>0.4</v>
      </c>
      <c r="E4">
        <v>8</v>
      </c>
      <c r="I4" s="30"/>
      <c r="J4" s="36">
        <v>72</v>
      </c>
      <c r="K4" s="36">
        <v>71</v>
      </c>
      <c r="L4" s="35">
        <f t="shared" ref="L4:L67" si="4">I4+J4-K4</f>
        <v>1</v>
      </c>
      <c r="M4" s="29"/>
      <c r="N4" s="28">
        <v>72</v>
      </c>
      <c r="O4" s="36">
        <v>77</v>
      </c>
      <c r="P4" s="35">
        <f t="shared" ref="P4:P67" si="5">N4-O4</f>
        <v>-5</v>
      </c>
      <c r="Q4" s="29"/>
      <c r="R4" s="30"/>
      <c r="S4" s="35"/>
      <c r="T4" s="35">
        <f t="shared" ref="T4:T67" si="6">R4-S4</f>
        <v>0</v>
      </c>
      <c r="U4" s="29"/>
      <c r="V4" s="36">
        <v>88</v>
      </c>
      <c r="W4">
        <v>90</v>
      </c>
      <c r="X4" s="26">
        <v>-2</v>
      </c>
      <c r="Y4" s="29"/>
      <c r="Z4" s="28">
        <v>8</v>
      </c>
      <c r="AA4">
        <v>8</v>
      </c>
      <c r="AB4" s="26">
        <v>0</v>
      </c>
      <c r="AC4" s="29"/>
      <c r="AD4">
        <v>56</v>
      </c>
      <c r="AE4">
        <v>60</v>
      </c>
      <c r="AF4" s="26">
        <v>-4</v>
      </c>
      <c r="AG4" s="29"/>
      <c r="AH4" s="30"/>
      <c r="AJ4" s="26">
        <v>0</v>
      </c>
      <c r="AK4" s="29"/>
      <c r="AL4" s="28">
        <v>40</v>
      </c>
      <c r="AM4">
        <v>41</v>
      </c>
      <c r="AN4" s="26">
        <v>-1</v>
      </c>
      <c r="AO4" s="29"/>
      <c r="AR4" s="26">
        <v>0</v>
      </c>
      <c r="AS4" s="29"/>
      <c r="AT4" s="30"/>
      <c r="AX4" s="26">
        <v>0</v>
      </c>
      <c r="AY4" s="29"/>
      <c r="AZ4" s="28">
        <v>32</v>
      </c>
      <c r="BA4">
        <v>32</v>
      </c>
      <c r="BB4" s="26">
        <v>0</v>
      </c>
      <c r="BC4" s="29"/>
      <c r="BH4" s="26">
        <v>0</v>
      </c>
      <c r="BI4" s="29"/>
      <c r="BL4" s="26">
        <v>0</v>
      </c>
      <c r="BM4" s="29"/>
      <c r="BN4" s="30"/>
      <c r="BP4" s="26">
        <v>0</v>
      </c>
      <c r="BQ4" s="29"/>
      <c r="BR4" s="28">
        <v>8</v>
      </c>
      <c r="BS4">
        <v>8</v>
      </c>
      <c r="BT4" s="26">
        <v>0</v>
      </c>
      <c r="BU4" s="29"/>
      <c r="BX4" s="26">
        <v>0</v>
      </c>
      <c r="BY4" s="29"/>
      <c r="BZ4" s="28">
        <v>16</v>
      </c>
      <c r="CB4">
        <v>16</v>
      </c>
      <c r="CC4" s="26">
        <v>0</v>
      </c>
      <c r="CD4" s="29"/>
      <c r="CE4" s="30"/>
      <c r="CG4">
        <v>72</v>
      </c>
      <c r="CH4">
        <v>72</v>
      </c>
      <c r="CI4" s="26">
        <v>0</v>
      </c>
      <c r="CJ4" s="29"/>
      <c r="CK4" s="30"/>
      <c r="CN4" s="26">
        <v>0</v>
      </c>
      <c r="CO4" s="29"/>
      <c r="CP4">
        <v>40</v>
      </c>
      <c r="CQ4" s="26">
        <v>38.200000000000003</v>
      </c>
      <c r="CR4" s="26">
        <v>1.7999999999999969</v>
      </c>
      <c r="CS4" s="29"/>
      <c r="CT4" s="34"/>
      <c r="CV4" s="26">
        <v>0</v>
      </c>
      <c r="CW4" s="29"/>
      <c r="CX4" s="30"/>
      <c r="CZ4" s="26">
        <v>0</v>
      </c>
      <c r="DA4" s="29"/>
      <c r="DB4" s="30"/>
      <c r="DD4" s="26">
        <v>0</v>
      </c>
      <c r="DE4" s="29"/>
      <c r="DF4">
        <v>48</v>
      </c>
      <c r="DG4" s="31">
        <v>52.400000000000013</v>
      </c>
      <c r="DH4" s="26">
        <v>-4.4000000000000128</v>
      </c>
      <c r="DI4" s="29"/>
      <c r="DL4" s="26">
        <v>0</v>
      </c>
      <c r="DM4" s="29"/>
      <c r="DN4" s="30"/>
      <c r="DQ4" s="26">
        <v>0</v>
      </c>
      <c r="DR4" s="29"/>
      <c r="DS4" s="30"/>
      <c r="DV4" s="26">
        <v>0</v>
      </c>
      <c r="DW4" s="29"/>
      <c r="DX4">
        <v>40</v>
      </c>
      <c r="DY4" s="31">
        <v>38.600000000000009</v>
      </c>
      <c r="DZ4" s="26">
        <v>1.399999999999991</v>
      </c>
      <c r="EA4" s="29"/>
      <c r="EB4" s="30"/>
      <c r="EE4">
        <v>16</v>
      </c>
      <c r="EF4">
        <v>16</v>
      </c>
      <c r="EG4" s="26">
        <v>0</v>
      </c>
      <c r="EH4" s="29"/>
      <c r="EI4">
        <v>48</v>
      </c>
      <c r="EJ4" s="31">
        <v>49.899999999999991</v>
      </c>
      <c r="EK4" s="26">
        <v>-1.899999999999991</v>
      </c>
      <c r="EL4" s="29"/>
      <c r="EM4" s="30"/>
      <c r="EO4">
        <v>16</v>
      </c>
      <c r="EP4">
        <v>20</v>
      </c>
      <c r="EQ4" s="26">
        <v>-4</v>
      </c>
      <c r="ER4" s="29"/>
      <c r="EW4" s="26">
        <v>0</v>
      </c>
      <c r="EX4" s="29"/>
      <c r="EY4">
        <v>40</v>
      </c>
      <c r="EZ4" s="31">
        <v>40</v>
      </c>
      <c r="FA4" s="26">
        <v>0</v>
      </c>
      <c r="FB4" s="29"/>
      <c r="FC4" s="28">
        <v>8</v>
      </c>
      <c r="FD4">
        <v>10</v>
      </c>
      <c r="FE4" s="26">
        <v>-2</v>
      </c>
      <c r="FF4" s="29"/>
      <c r="FG4" s="30"/>
      <c r="FI4" s="26">
        <v>0</v>
      </c>
      <c r="FJ4" s="29"/>
      <c r="FK4">
        <v>40</v>
      </c>
      <c r="FL4">
        <v>40</v>
      </c>
      <c r="FM4" s="26">
        <v>0</v>
      </c>
      <c r="FN4" s="29"/>
      <c r="FO4" s="28">
        <v>24</v>
      </c>
      <c r="FP4">
        <v>29</v>
      </c>
      <c r="FQ4" s="26">
        <v>-5</v>
      </c>
      <c r="FR4" s="29"/>
      <c r="FS4" s="30"/>
      <c r="FU4" s="26">
        <v>0</v>
      </c>
      <c r="FV4" s="29"/>
      <c r="FW4">
        <v>24</v>
      </c>
      <c r="FX4">
        <v>24</v>
      </c>
      <c r="FY4" s="26">
        <v>0</v>
      </c>
      <c r="FZ4" s="32"/>
      <c r="GA4">
        <v>24</v>
      </c>
      <c r="GB4">
        <v>26</v>
      </c>
      <c r="GC4" s="26">
        <v>-2</v>
      </c>
      <c r="GD4" s="29"/>
      <c r="GG4" s="26">
        <v>0</v>
      </c>
      <c r="GH4" s="32"/>
      <c r="GI4">
        <v>32</v>
      </c>
      <c r="GJ4">
        <v>32</v>
      </c>
      <c r="GK4" s="26">
        <v>0</v>
      </c>
      <c r="GL4" s="29"/>
      <c r="GO4" s="26">
        <v>0</v>
      </c>
      <c r="GP4" s="32"/>
      <c r="GS4" s="26">
        <v>0</v>
      </c>
      <c r="GT4" s="29"/>
      <c r="GU4" s="28">
        <v>24</v>
      </c>
      <c r="GV4" s="31">
        <v>24</v>
      </c>
      <c r="GW4" s="26">
        <v>0</v>
      </c>
      <c r="GX4" s="32"/>
      <c r="HA4" s="26">
        <v>0</v>
      </c>
      <c r="HB4" s="32"/>
      <c r="HC4">
        <v>24</v>
      </c>
      <c r="HD4">
        <v>24</v>
      </c>
      <c r="HE4" s="26">
        <v>0</v>
      </c>
      <c r="HF4" s="32"/>
      <c r="HI4" s="26">
        <v>0</v>
      </c>
      <c r="HJ4" s="29"/>
      <c r="HK4" s="27"/>
      <c r="HM4">
        <v>8</v>
      </c>
      <c r="HN4">
        <v>13</v>
      </c>
      <c r="HO4" s="26">
        <v>-5</v>
      </c>
      <c r="HP4" s="32"/>
      <c r="HQ4" s="31">
        <v>120</v>
      </c>
      <c r="HR4" s="31">
        <v>120</v>
      </c>
      <c r="HS4" s="26">
        <v>0</v>
      </c>
      <c r="HT4" s="32"/>
      <c r="HU4" s="31">
        <v>0</v>
      </c>
      <c r="HV4" s="31">
        <v>0</v>
      </c>
      <c r="HW4" s="26">
        <v>0</v>
      </c>
      <c r="HX4" s="32"/>
      <c r="HY4" s="34">
        <v>0</v>
      </c>
      <c r="HZ4" s="31">
        <v>0</v>
      </c>
      <c r="IA4" s="26">
        <v>0</v>
      </c>
      <c r="IB4" s="32"/>
    </row>
    <row r="5" spans="1:236" x14ac:dyDescent="0.25">
      <c r="A5" s="26" t="s">
        <v>132</v>
      </c>
      <c r="B5" s="27">
        <v>1</v>
      </c>
      <c r="F5">
        <v>29</v>
      </c>
      <c r="I5" s="30"/>
      <c r="J5" s="36">
        <v>28</v>
      </c>
      <c r="K5" s="36">
        <v>25</v>
      </c>
      <c r="L5" s="35">
        <f t="shared" si="4"/>
        <v>3</v>
      </c>
      <c r="M5" s="29"/>
      <c r="N5" s="28">
        <v>20</v>
      </c>
      <c r="O5" s="36">
        <v>20</v>
      </c>
      <c r="P5" s="35">
        <f t="shared" si="5"/>
        <v>0</v>
      </c>
      <c r="Q5" s="29"/>
      <c r="R5" s="28">
        <v>28</v>
      </c>
      <c r="S5" s="36">
        <v>26</v>
      </c>
      <c r="T5" s="35">
        <f t="shared" si="6"/>
        <v>2</v>
      </c>
      <c r="U5" s="29"/>
      <c r="V5" s="36">
        <v>8</v>
      </c>
      <c r="W5">
        <v>9</v>
      </c>
      <c r="X5" s="26">
        <v>-1</v>
      </c>
      <c r="Y5" s="29"/>
      <c r="Z5" s="28">
        <v>12</v>
      </c>
      <c r="AA5">
        <v>10</v>
      </c>
      <c r="AB5" s="26">
        <v>2</v>
      </c>
      <c r="AC5" s="29"/>
      <c r="AD5">
        <v>23</v>
      </c>
      <c r="AE5">
        <v>22</v>
      </c>
      <c r="AF5" s="26">
        <v>1</v>
      </c>
      <c r="AG5" s="29"/>
      <c r="AH5" s="28">
        <v>4</v>
      </c>
      <c r="AI5">
        <v>4</v>
      </c>
      <c r="AJ5" s="26">
        <v>0</v>
      </c>
      <c r="AK5" s="29"/>
      <c r="AL5" s="28">
        <v>4</v>
      </c>
      <c r="AM5">
        <v>4</v>
      </c>
      <c r="AN5" s="26">
        <v>0</v>
      </c>
      <c r="AO5" s="29"/>
      <c r="AR5" s="26">
        <v>0</v>
      </c>
      <c r="AS5" s="29"/>
      <c r="AT5" s="30"/>
      <c r="AV5">
        <v>12</v>
      </c>
      <c r="AW5">
        <v>14</v>
      </c>
      <c r="AX5" s="26">
        <v>-2</v>
      </c>
      <c r="AY5" s="29"/>
      <c r="AZ5" s="30"/>
      <c r="BB5" s="26">
        <v>0</v>
      </c>
      <c r="BC5" s="29"/>
      <c r="BH5" s="26">
        <v>0</v>
      </c>
      <c r="BI5" s="29"/>
      <c r="BL5" s="26">
        <v>0</v>
      </c>
      <c r="BM5" s="29"/>
      <c r="BN5" s="30"/>
      <c r="BP5" s="26">
        <v>0</v>
      </c>
      <c r="BQ5" s="29"/>
      <c r="BR5" s="30"/>
      <c r="BT5" s="26">
        <v>0</v>
      </c>
      <c r="BU5" s="29"/>
      <c r="BX5" s="26">
        <v>0</v>
      </c>
      <c r="BY5" s="29"/>
      <c r="BZ5" s="30"/>
      <c r="CC5" s="26">
        <v>0</v>
      </c>
      <c r="CD5" s="29"/>
      <c r="CE5" s="30"/>
      <c r="CG5">
        <v>12</v>
      </c>
      <c r="CH5">
        <v>12</v>
      </c>
      <c r="CI5" s="26">
        <v>0</v>
      </c>
      <c r="CJ5" s="29"/>
      <c r="CK5" s="28">
        <v>31</v>
      </c>
      <c r="CM5">
        <v>31</v>
      </c>
      <c r="CN5" s="26">
        <v>0</v>
      </c>
      <c r="CO5" s="29"/>
      <c r="CR5" s="26">
        <v>0</v>
      </c>
      <c r="CS5" s="29"/>
      <c r="CT5" s="34"/>
      <c r="CV5" s="26">
        <v>0</v>
      </c>
      <c r="CW5" s="29"/>
      <c r="CX5" s="28">
        <v>31</v>
      </c>
      <c r="CY5" s="26">
        <v>30.504999999999999</v>
      </c>
      <c r="CZ5" s="26">
        <v>0.49500000000000099</v>
      </c>
      <c r="DA5" s="29"/>
      <c r="DB5" s="30"/>
      <c r="DD5" s="26">
        <v>0</v>
      </c>
      <c r="DE5" s="29"/>
      <c r="DH5" s="26">
        <v>0</v>
      </c>
      <c r="DI5" s="29"/>
      <c r="DL5" s="26">
        <v>0</v>
      </c>
      <c r="DM5" s="29"/>
      <c r="DN5" s="30"/>
      <c r="DQ5" s="26">
        <v>0</v>
      </c>
      <c r="DR5" s="29"/>
      <c r="DS5" s="30"/>
      <c r="DV5" s="26">
        <v>0</v>
      </c>
      <c r="DW5" s="29"/>
      <c r="DX5">
        <v>12</v>
      </c>
      <c r="DY5" s="31">
        <v>10.693199999999999</v>
      </c>
      <c r="DZ5" s="26">
        <v>1.3068000000000011</v>
      </c>
      <c r="EA5" s="29"/>
      <c r="EB5" s="30"/>
      <c r="EE5">
        <v>27</v>
      </c>
      <c r="EF5">
        <v>27</v>
      </c>
      <c r="EG5" s="26">
        <v>0</v>
      </c>
      <c r="EH5" s="29"/>
      <c r="EK5" s="26">
        <v>0</v>
      </c>
      <c r="EL5" s="29"/>
      <c r="EM5" s="30"/>
      <c r="EQ5" s="26">
        <v>0</v>
      </c>
      <c r="ER5" s="29"/>
      <c r="EW5" s="26">
        <v>0</v>
      </c>
      <c r="EX5" s="29"/>
      <c r="FA5" s="26">
        <v>0</v>
      </c>
      <c r="FB5" s="29"/>
      <c r="FC5" s="30"/>
      <c r="FE5" s="26">
        <v>0</v>
      </c>
      <c r="FF5" s="29"/>
      <c r="FG5" s="28">
        <v>27</v>
      </c>
      <c r="FH5">
        <v>24</v>
      </c>
      <c r="FI5" s="26">
        <v>3</v>
      </c>
      <c r="FJ5" s="29"/>
      <c r="FM5" s="26">
        <v>0</v>
      </c>
      <c r="FN5" s="29"/>
      <c r="FO5" s="28">
        <v>20</v>
      </c>
      <c r="FP5">
        <v>21</v>
      </c>
      <c r="FQ5" s="26">
        <v>-1</v>
      </c>
      <c r="FR5" s="29"/>
      <c r="FS5" s="30"/>
      <c r="FU5" s="26">
        <v>0</v>
      </c>
      <c r="FV5" s="29"/>
      <c r="FY5" s="26">
        <v>0</v>
      </c>
      <c r="FZ5" s="32"/>
      <c r="GC5" s="26">
        <v>0</v>
      </c>
      <c r="GD5" s="29"/>
      <c r="GG5" s="26">
        <v>0</v>
      </c>
      <c r="GH5" s="32"/>
      <c r="GK5" s="26">
        <v>0</v>
      </c>
      <c r="GL5" s="29"/>
      <c r="GM5">
        <v>20</v>
      </c>
      <c r="GN5">
        <v>20</v>
      </c>
      <c r="GO5" s="26">
        <v>0</v>
      </c>
      <c r="GP5" s="32"/>
      <c r="GQ5">
        <v>12</v>
      </c>
      <c r="GR5" s="31">
        <v>9.6679999999999957</v>
      </c>
      <c r="GS5" s="26">
        <v>2.3320000000000038</v>
      </c>
      <c r="GT5" s="29"/>
      <c r="GU5" s="34"/>
      <c r="GW5" s="26">
        <v>0</v>
      </c>
      <c r="GX5" s="32"/>
      <c r="GY5">
        <v>32</v>
      </c>
      <c r="GZ5">
        <v>30</v>
      </c>
      <c r="HA5" s="26">
        <v>2</v>
      </c>
      <c r="HB5" s="32"/>
      <c r="HE5" s="26">
        <v>0</v>
      </c>
      <c r="HF5" s="32"/>
      <c r="HI5" s="26">
        <v>0</v>
      </c>
      <c r="HJ5" s="29"/>
      <c r="HK5">
        <v>20</v>
      </c>
      <c r="HL5">
        <v>20</v>
      </c>
      <c r="HM5">
        <v>20</v>
      </c>
      <c r="HN5">
        <v>20</v>
      </c>
      <c r="HO5" s="26">
        <v>0</v>
      </c>
      <c r="HP5" s="32"/>
      <c r="HQ5" s="31">
        <v>0</v>
      </c>
      <c r="HR5" s="31">
        <v>0</v>
      </c>
      <c r="HS5" s="26">
        <v>0</v>
      </c>
      <c r="HT5" s="32"/>
      <c r="HU5" s="31">
        <v>0</v>
      </c>
      <c r="HV5" s="31">
        <v>0</v>
      </c>
      <c r="HW5" s="26">
        <v>0</v>
      </c>
      <c r="HX5" s="32"/>
      <c r="HY5" s="34">
        <v>0</v>
      </c>
      <c r="HZ5" s="31">
        <v>0</v>
      </c>
      <c r="IA5" s="26">
        <v>0</v>
      </c>
      <c r="IB5" s="32"/>
    </row>
    <row r="6" spans="1:236" x14ac:dyDescent="0.25">
      <c r="A6" s="26" t="s">
        <v>133</v>
      </c>
      <c r="B6" s="27">
        <v>1</v>
      </c>
      <c r="I6" s="30"/>
      <c r="J6" s="35"/>
      <c r="K6" s="35"/>
      <c r="L6" s="35">
        <f t="shared" si="4"/>
        <v>0</v>
      </c>
      <c r="M6" s="29"/>
      <c r="N6" s="30"/>
      <c r="O6" s="35"/>
      <c r="P6" s="35">
        <f t="shared" si="5"/>
        <v>0</v>
      </c>
      <c r="Q6" s="29"/>
      <c r="R6" s="30"/>
      <c r="S6" s="35"/>
      <c r="T6" s="35">
        <f t="shared" si="6"/>
        <v>0</v>
      </c>
      <c r="U6" s="29"/>
      <c r="V6" s="35"/>
      <c r="X6" s="26">
        <v>0</v>
      </c>
      <c r="Y6" s="29"/>
      <c r="Z6" s="30"/>
      <c r="AB6" s="26">
        <v>0</v>
      </c>
      <c r="AC6" s="29"/>
      <c r="AF6" s="26">
        <v>0</v>
      </c>
      <c r="AG6" s="29"/>
      <c r="AH6" s="30"/>
      <c r="AJ6" s="26">
        <v>0</v>
      </c>
      <c r="AK6" s="29"/>
      <c r="AL6" s="30"/>
      <c r="AN6" s="26">
        <v>0</v>
      </c>
      <c r="AO6" s="29"/>
      <c r="AR6" s="26">
        <v>0</v>
      </c>
      <c r="AS6" s="29"/>
      <c r="AT6" s="30"/>
      <c r="AX6" s="26">
        <v>0</v>
      </c>
      <c r="AY6" s="29"/>
      <c r="AZ6" s="30"/>
      <c r="BB6" s="26">
        <v>0</v>
      </c>
      <c r="BC6" s="29"/>
      <c r="BH6" s="26">
        <v>0</v>
      </c>
      <c r="BI6" s="29"/>
      <c r="BL6" s="26">
        <v>0</v>
      </c>
      <c r="BM6" s="29"/>
      <c r="BN6" s="30"/>
      <c r="BP6" s="26">
        <v>0</v>
      </c>
      <c r="BQ6" s="29"/>
      <c r="BR6" s="30"/>
      <c r="BT6" s="26">
        <v>0</v>
      </c>
      <c r="BU6" s="29"/>
      <c r="BX6" s="26">
        <v>0</v>
      </c>
      <c r="BY6" s="29"/>
      <c r="BZ6" s="30"/>
      <c r="CC6" s="26">
        <v>0</v>
      </c>
      <c r="CD6" s="29"/>
      <c r="CE6" s="30"/>
      <c r="CI6" s="26">
        <v>0</v>
      </c>
      <c r="CJ6" s="29"/>
      <c r="CK6" s="30"/>
      <c r="CN6" s="26">
        <v>0</v>
      </c>
      <c r="CO6" s="29"/>
      <c r="CR6" s="26">
        <v>0</v>
      </c>
      <c r="CS6" s="29"/>
      <c r="CT6" s="34"/>
      <c r="CV6" s="26">
        <v>0</v>
      </c>
      <c r="CW6" s="29"/>
      <c r="CX6" s="30"/>
      <c r="CZ6" s="26">
        <v>0</v>
      </c>
      <c r="DA6" s="29"/>
      <c r="DB6" s="30"/>
      <c r="DD6" s="26">
        <v>0</v>
      </c>
      <c r="DE6" s="29"/>
      <c r="DH6" s="26">
        <v>0</v>
      </c>
      <c r="DI6" s="29"/>
      <c r="DL6" s="26">
        <v>0</v>
      </c>
      <c r="DM6" s="29"/>
      <c r="DN6" s="30"/>
      <c r="DQ6" s="26">
        <v>0</v>
      </c>
      <c r="DR6" s="29"/>
      <c r="DS6" s="30"/>
      <c r="DV6" s="26">
        <v>0</v>
      </c>
      <c r="DW6" s="29"/>
      <c r="DZ6" s="26">
        <v>0</v>
      </c>
      <c r="EA6" s="29"/>
      <c r="EB6" s="30"/>
      <c r="EG6" s="26">
        <v>0</v>
      </c>
      <c r="EH6" s="29"/>
      <c r="EK6" s="26">
        <v>0</v>
      </c>
      <c r="EL6" s="29"/>
      <c r="EM6" s="30"/>
      <c r="EQ6" s="26">
        <v>0</v>
      </c>
      <c r="ER6" s="29"/>
      <c r="EW6" s="26">
        <v>0</v>
      </c>
      <c r="EX6" s="29"/>
      <c r="FA6" s="26">
        <v>0</v>
      </c>
      <c r="FB6" s="29"/>
      <c r="FC6" s="30"/>
      <c r="FE6" s="26">
        <v>0</v>
      </c>
      <c r="FF6" s="29"/>
      <c r="FG6" s="30"/>
      <c r="FI6" s="26">
        <v>0</v>
      </c>
      <c r="FJ6" s="29"/>
      <c r="FM6" s="26">
        <v>0</v>
      </c>
      <c r="FN6" s="29"/>
      <c r="FO6" s="30"/>
      <c r="FQ6" s="26">
        <v>0</v>
      </c>
      <c r="FR6" s="29"/>
      <c r="FS6" s="30"/>
      <c r="FU6" s="26">
        <v>0</v>
      </c>
      <c r="FV6" s="29"/>
      <c r="FY6" s="26">
        <v>0</v>
      </c>
      <c r="FZ6" s="32"/>
      <c r="GC6" s="26">
        <v>0</v>
      </c>
      <c r="GD6" s="29"/>
      <c r="GG6" s="26">
        <v>0</v>
      </c>
      <c r="GH6" s="32"/>
      <c r="GK6" s="26">
        <v>0</v>
      </c>
      <c r="GL6" s="29"/>
      <c r="GO6" s="26">
        <v>0</v>
      </c>
      <c r="GP6" s="32"/>
      <c r="GS6" s="26">
        <v>0</v>
      </c>
      <c r="GT6" s="29"/>
      <c r="GU6" s="34"/>
      <c r="GW6" s="26">
        <v>0</v>
      </c>
      <c r="GX6" s="32"/>
      <c r="HA6" s="26">
        <v>0</v>
      </c>
      <c r="HB6" s="32"/>
      <c r="HE6" s="26">
        <v>0</v>
      </c>
      <c r="HF6" s="32"/>
      <c r="HI6" s="26">
        <v>0</v>
      </c>
      <c r="HJ6" s="29"/>
      <c r="HK6" s="27"/>
      <c r="HM6" s="27"/>
      <c r="HO6" s="26">
        <v>0</v>
      </c>
      <c r="HP6" s="32"/>
      <c r="HQ6" s="31">
        <v>0</v>
      </c>
      <c r="HR6" s="31">
        <v>0</v>
      </c>
      <c r="HS6" s="26">
        <v>0</v>
      </c>
      <c r="HT6" s="32"/>
      <c r="HU6" s="31">
        <v>0</v>
      </c>
      <c r="HV6" s="31">
        <v>0</v>
      </c>
      <c r="HW6" s="26">
        <v>0</v>
      </c>
      <c r="HX6" s="32"/>
      <c r="HY6" s="34">
        <v>0</v>
      </c>
      <c r="HZ6" s="4">
        <v>64.418000000000006</v>
      </c>
      <c r="IA6" s="26">
        <v>1.018999999999991</v>
      </c>
      <c r="IB6" s="32"/>
    </row>
    <row r="7" spans="1:236" x14ac:dyDescent="0.25">
      <c r="A7" s="26" t="s">
        <v>134</v>
      </c>
      <c r="B7" s="27">
        <v>1</v>
      </c>
      <c r="I7" s="30"/>
      <c r="J7" s="35"/>
      <c r="K7" s="35"/>
      <c r="L7" s="35">
        <f t="shared" si="4"/>
        <v>0</v>
      </c>
      <c r="M7" s="29"/>
      <c r="N7" s="30"/>
      <c r="O7" s="35"/>
      <c r="P7" s="35">
        <f t="shared" si="5"/>
        <v>0</v>
      </c>
      <c r="Q7" s="29"/>
      <c r="R7" s="30"/>
      <c r="S7" s="35"/>
      <c r="T7" s="35">
        <f t="shared" si="6"/>
        <v>0</v>
      </c>
      <c r="U7" s="29"/>
      <c r="V7" s="35"/>
      <c r="X7" s="26">
        <v>0</v>
      </c>
      <c r="Y7" s="29"/>
      <c r="Z7" s="30"/>
      <c r="AB7" s="26">
        <v>0</v>
      </c>
      <c r="AC7" s="29"/>
      <c r="AF7" s="26">
        <v>0</v>
      </c>
      <c r="AG7" s="29"/>
      <c r="AH7" s="30"/>
      <c r="AJ7" s="26">
        <v>0</v>
      </c>
      <c r="AK7" s="29"/>
      <c r="AL7" s="30"/>
      <c r="AN7" s="26">
        <v>0</v>
      </c>
      <c r="AO7" s="29"/>
      <c r="AR7" s="26">
        <v>0</v>
      </c>
      <c r="AS7" s="29"/>
      <c r="AT7" s="30"/>
      <c r="AX7" s="26">
        <v>0</v>
      </c>
      <c r="AY7" s="29"/>
      <c r="AZ7" s="30"/>
      <c r="BB7" s="26">
        <v>0</v>
      </c>
      <c r="BC7" s="29"/>
      <c r="BH7" s="26">
        <v>0</v>
      </c>
      <c r="BI7" s="29"/>
      <c r="BL7" s="26">
        <v>0</v>
      </c>
      <c r="BM7" s="29"/>
      <c r="BN7" s="30"/>
      <c r="BP7" s="26">
        <v>0</v>
      </c>
      <c r="BQ7" s="29"/>
      <c r="BR7" s="30"/>
      <c r="BT7" s="26">
        <v>0</v>
      </c>
      <c r="BU7" s="29"/>
      <c r="BX7" s="26">
        <v>0</v>
      </c>
      <c r="BY7" s="29"/>
      <c r="BZ7" s="30"/>
      <c r="CC7" s="26">
        <v>0</v>
      </c>
      <c r="CD7" s="29"/>
      <c r="CE7" s="30"/>
      <c r="CI7" s="26">
        <v>0</v>
      </c>
      <c r="CJ7" s="29"/>
      <c r="CK7" s="30"/>
      <c r="CN7" s="26">
        <v>0</v>
      </c>
      <c r="CO7" s="29"/>
      <c r="CR7" s="26">
        <v>0</v>
      </c>
      <c r="CS7" s="29"/>
      <c r="CT7" s="34"/>
      <c r="CV7" s="26">
        <v>0</v>
      </c>
      <c r="CW7" s="29"/>
      <c r="CX7" s="30"/>
      <c r="CZ7" s="26">
        <v>0</v>
      </c>
      <c r="DA7" s="29"/>
      <c r="DB7" s="30"/>
      <c r="DD7" s="26">
        <v>0</v>
      </c>
      <c r="DE7" s="29"/>
      <c r="DH7" s="26">
        <v>0</v>
      </c>
      <c r="DI7" s="29"/>
      <c r="DL7" s="26">
        <v>0</v>
      </c>
      <c r="DM7" s="29"/>
      <c r="DN7" s="30"/>
      <c r="DQ7" s="26">
        <v>0</v>
      </c>
      <c r="DR7" s="29"/>
      <c r="DS7" s="30"/>
      <c r="DV7" s="26">
        <v>0</v>
      </c>
      <c r="DW7" s="29"/>
      <c r="DZ7" s="26">
        <v>0</v>
      </c>
      <c r="EA7" s="29"/>
      <c r="EB7" s="30"/>
      <c r="EG7" s="26">
        <v>0</v>
      </c>
      <c r="EH7" s="29"/>
      <c r="EK7" s="26">
        <v>0</v>
      </c>
      <c r="EL7" s="29"/>
      <c r="EM7" s="30"/>
      <c r="EQ7" s="26">
        <v>0</v>
      </c>
      <c r="ER7" s="29"/>
      <c r="EW7" s="26">
        <v>0</v>
      </c>
      <c r="EX7" s="29"/>
      <c r="FA7" s="26">
        <v>0</v>
      </c>
      <c r="FB7" s="29"/>
      <c r="FC7" s="30"/>
      <c r="FE7" s="26">
        <v>0</v>
      </c>
      <c r="FF7" s="29"/>
      <c r="FG7" s="30"/>
      <c r="FI7" s="26">
        <v>0</v>
      </c>
      <c r="FJ7" s="29"/>
      <c r="FM7" s="26">
        <v>0</v>
      </c>
      <c r="FN7" s="29"/>
      <c r="FO7" s="30"/>
      <c r="FQ7" s="26">
        <v>0</v>
      </c>
      <c r="FR7" s="29"/>
      <c r="FS7" s="30"/>
      <c r="FU7" s="26">
        <v>0</v>
      </c>
      <c r="FV7" s="29"/>
      <c r="FY7" s="26">
        <v>0</v>
      </c>
      <c r="FZ7" s="32"/>
      <c r="GC7" s="26">
        <v>0</v>
      </c>
      <c r="GD7" s="29"/>
      <c r="GG7" s="26">
        <v>0</v>
      </c>
      <c r="GH7" s="32"/>
      <c r="GK7" s="26">
        <v>0</v>
      </c>
      <c r="GL7" s="29"/>
      <c r="GO7" s="26">
        <v>0</v>
      </c>
      <c r="GP7" s="32"/>
      <c r="GS7" s="26">
        <v>0</v>
      </c>
      <c r="GT7" s="29"/>
      <c r="GU7" s="34"/>
      <c r="GW7" s="26">
        <v>0</v>
      </c>
      <c r="GX7" s="32"/>
      <c r="HA7" s="26">
        <v>0</v>
      </c>
      <c r="HB7" s="32"/>
      <c r="HE7" s="26">
        <v>0</v>
      </c>
      <c r="HF7" s="32"/>
      <c r="HI7" s="26">
        <v>0</v>
      </c>
      <c r="HJ7" s="29"/>
      <c r="HK7" s="27"/>
      <c r="HM7" s="27"/>
      <c r="HO7" s="26">
        <v>0</v>
      </c>
      <c r="HP7" s="32"/>
      <c r="HQ7" s="31">
        <v>0</v>
      </c>
      <c r="HR7" s="31">
        <v>0</v>
      </c>
      <c r="HS7" s="26">
        <v>0</v>
      </c>
      <c r="HT7" s="32"/>
      <c r="HU7" s="31">
        <v>0</v>
      </c>
      <c r="HV7" s="31">
        <v>0</v>
      </c>
      <c r="HW7" s="26">
        <v>0</v>
      </c>
      <c r="HX7" s="32"/>
      <c r="HY7" s="34">
        <v>12.08</v>
      </c>
      <c r="HZ7" s="31">
        <v>10</v>
      </c>
      <c r="IA7" s="26">
        <v>2.08</v>
      </c>
      <c r="IB7" s="32"/>
    </row>
    <row r="8" spans="1:236" x14ac:dyDescent="0.25">
      <c r="A8" s="26" t="s">
        <v>135</v>
      </c>
      <c r="B8" s="27">
        <v>1</v>
      </c>
      <c r="E8">
        <v>300</v>
      </c>
      <c r="F8">
        <v>236</v>
      </c>
      <c r="I8" s="30"/>
      <c r="J8" s="36">
        <v>488</v>
      </c>
      <c r="K8" s="36">
        <v>489</v>
      </c>
      <c r="L8" s="35">
        <f t="shared" si="4"/>
        <v>-1</v>
      </c>
      <c r="M8" s="29"/>
      <c r="N8" s="28">
        <v>202</v>
      </c>
      <c r="O8" s="36">
        <v>200</v>
      </c>
      <c r="P8" s="35">
        <f t="shared" si="5"/>
        <v>2</v>
      </c>
      <c r="Q8" s="29"/>
      <c r="R8" s="28">
        <v>459</v>
      </c>
      <c r="S8" s="36">
        <v>460</v>
      </c>
      <c r="T8" s="35">
        <f t="shared" si="6"/>
        <v>-1</v>
      </c>
      <c r="U8" s="29"/>
      <c r="V8" s="36">
        <v>321</v>
      </c>
      <c r="W8">
        <v>324</v>
      </c>
      <c r="X8" s="26">
        <v>-3</v>
      </c>
      <c r="Y8" s="29"/>
      <c r="Z8" s="28">
        <v>142</v>
      </c>
      <c r="AA8">
        <v>143</v>
      </c>
      <c r="AB8" s="26">
        <v>-1</v>
      </c>
      <c r="AC8" s="29"/>
      <c r="AD8">
        <v>604</v>
      </c>
      <c r="AE8">
        <v>600</v>
      </c>
      <c r="AF8" s="26">
        <v>4</v>
      </c>
      <c r="AG8" s="29"/>
      <c r="AH8" s="28">
        <v>222</v>
      </c>
      <c r="AI8">
        <v>219</v>
      </c>
      <c r="AJ8" s="26">
        <v>3</v>
      </c>
      <c r="AK8" s="29"/>
      <c r="AL8" s="30"/>
      <c r="AM8">
        <v>609</v>
      </c>
      <c r="AN8" s="25">
        <v>-609</v>
      </c>
      <c r="AO8" s="29">
        <v>609</v>
      </c>
      <c r="AR8" s="26">
        <v>0</v>
      </c>
      <c r="AS8" s="29"/>
      <c r="AT8" s="28">
        <v>151</v>
      </c>
      <c r="AU8">
        <v>150</v>
      </c>
      <c r="AV8">
        <v>113</v>
      </c>
      <c r="AW8">
        <v>112</v>
      </c>
      <c r="AX8" s="26">
        <v>2</v>
      </c>
      <c r="AY8" s="29"/>
      <c r="AZ8" s="30"/>
      <c r="BB8" s="26">
        <v>0</v>
      </c>
      <c r="BC8" s="29"/>
      <c r="BD8">
        <v>203</v>
      </c>
      <c r="BE8">
        <v>200</v>
      </c>
      <c r="BF8">
        <v>529</v>
      </c>
      <c r="BG8">
        <v>529</v>
      </c>
      <c r="BH8" s="26">
        <v>3</v>
      </c>
      <c r="BI8" s="29"/>
      <c r="BL8" s="26">
        <v>0</v>
      </c>
      <c r="BM8" s="29"/>
      <c r="BN8" s="28">
        <v>455</v>
      </c>
      <c r="BO8">
        <v>448</v>
      </c>
      <c r="BP8" s="26">
        <v>7</v>
      </c>
      <c r="BQ8" s="29"/>
      <c r="BR8" s="30"/>
      <c r="BT8" s="26">
        <v>0</v>
      </c>
      <c r="BU8" s="29"/>
      <c r="BX8" s="26">
        <v>0</v>
      </c>
      <c r="BY8" s="29"/>
      <c r="BZ8" s="28">
        <v>680</v>
      </c>
      <c r="CB8">
        <v>679</v>
      </c>
      <c r="CC8" s="26">
        <v>1</v>
      </c>
      <c r="CD8" s="29"/>
      <c r="CE8" s="28">
        <v>101</v>
      </c>
      <c r="CF8">
        <v>100</v>
      </c>
      <c r="CG8">
        <v>250</v>
      </c>
      <c r="CH8">
        <v>245</v>
      </c>
      <c r="CI8" s="26">
        <v>6</v>
      </c>
      <c r="CJ8" s="29"/>
      <c r="CK8" s="28">
        <v>194</v>
      </c>
      <c r="CM8">
        <v>193</v>
      </c>
      <c r="CN8" s="26">
        <v>1</v>
      </c>
      <c r="CO8" s="29"/>
      <c r="CP8">
        <v>380</v>
      </c>
      <c r="CQ8" s="26">
        <v>379.99</v>
      </c>
      <c r="CR8" s="26">
        <v>9.9999999999909051E-3</v>
      </c>
      <c r="CS8" s="29"/>
      <c r="CT8" s="28">
        <v>16</v>
      </c>
      <c r="CU8" s="26">
        <v>13.61199999999997</v>
      </c>
      <c r="CV8" s="26">
        <v>2.3880000000000301</v>
      </c>
      <c r="CW8" s="29"/>
      <c r="CX8" s="28">
        <v>641</v>
      </c>
      <c r="CY8" s="26">
        <v>641.1733999999999</v>
      </c>
      <c r="CZ8" s="26">
        <v>-0.17339999999990141</v>
      </c>
      <c r="DA8" s="29"/>
      <c r="DB8" s="28">
        <v>181</v>
      </c>
      <c r="DC8">
        <v>183</v>
      </c>
      <c r="DD8" s="26">
        <v>-2</v>
      </c>
      <c r="DE8" s="29"/>
      <c r="DF8">
        <v>221</v>
      </c>
      <c r="DG8" s="31">
        <v>216.81680000000009</v>
      </c>
      <c r="DH8" s="26">
        <v>4.1831999999999141</v>
      </c>
      <c r="DI8" s="29"/>
      <c r="DJ8">
        <v>189</v>
      </c>
      <c r="DK8">
        <v>186</v>
      </c>
      <c r="DL8" s="26">
        <v>3</v>
      </c>
      <c r="DM8" s="29"/>
      <c r="DN8" s="28">
        <v>49</v>
      </c>
      <c r="DP8">
        <v>47</v>
      </c>
      <c r="DQ8" s="26">
        <v>2</v>
      </c>
      <c r="DR8" s="29"/>
      <c r="DS8" s="28">
        <v>394</v>
      </c>
      <c r="DU8">
        <v>394</v>
      </c>
      <c r="DV8" s="26">
        <v>0</v>
      </c>
      <c r="DW8" s="29"/>
      <c r="DZ8" s="26">
        <v>0</v>
      </c>
      <c r="EA8" s="29"/>
      <c r="EB8" s="30"/>
      <c r="EC8">
        <v>193</v>
      </c>
      <c r="ED8">
        <v>330</v>
      </c>
      <c r="EE8">
        <v>318</v>
      </c>
      <c r="EF8">
        <v>340</v>
      </c>
      <c r="EG8" s="25">
        <v>-159</v>
      </c>
      <c r="EH8" s="29">
        <v>159</v>
      </c>
      <c r="EI8">
        <v>218</v>
      </c>
      <c r="EJ8" s="31">
        <v>217.82759999999999</v>
      </c>
      <c r="EK8" s="26">
        <v>0.1724000000000103</v>
      </c>
      <c r="EL8" s="29"/>
      <c r="EM8" s="30"/>
      <c r="EQ8" s="26">
        <v>0</v>
      </c>
      <c r="ER8" s="29"/>
      <c r="ES8">
        <v>201</v>
      </c>
      <c r="ET8">
        <v>200</v>
      </c>
      <c r="EU8">
        <v>217</v>
      </c>
      <c r="EV8">
        <v>220</v>
      </c>
      <c r="EW8" s="26">
        <v>-2</v>
      </c>
      <c r="EX8" s="29"/>
      <c r="EY8">
        <v>134</v>
      </c>
      <c r="EZ8" s="31">
        <v>132.59880000000001</v>
      </c>
      <c r="FA8" s="26">
        <v>1.4011999999999889</v>
      </c>
      <c r="FB8" s="29"/>
      <c r="FC8" s="28">
        <v>69</v>
      </c>
      <c r="FD8">
        <v>70</v>
      </c>
      <c r="FE8" s="26">
        <v>-1</v>
      </c>
      <c r="FF8" s="29"/>
      <c r="FG8" s="28">
        <v>442</v>
      </c>
      <c r="FH8">
        <v>440</v>
      </c>
      <c r="FI8" s="26">
        <v>2</v>
      </c>
      <c r="FJ8" s="29"/>
      <c r="FK8">
        <v>281</v>
      </c>
      <c r="FL8">
        <v>280</v>
      </c>
      <c r="FM8" s="26">
        <v>1</v>
      </c>
      <c r="FN8" s="29"/>
      <c r="FO8" s="28">
        <v>162</v>
      </c>
      <c r="FP8">
        <v>160</v>
      </c>
      <c r="FQ8" s="26">
        <v>2</v>
      </c>
      <c r="FR8" s="29"/>
      <c r="FS8" s="30"/>
      <c r="FU8" s="26">
        <v>0</v>
      </c>
      <c r="FV8" s="29"/>
      <c r="FY8" s="26">
        <v>0</v>
      </c>
      <c r="FZ8" s="32"/>
      <c r="GA8">
        <v>450</v>
      </c>
      <c r="GB8">
        <v>450</v>
      </c>
      <c r="GC8" s="26">
        <v>0</v>
      </c>
      <c r="GD8" s="29"/>
      <c r="GE8">
        <v>61</v>
      </c>
      <c r="GF8">
        <v>60</v>
      </c>
      <c r="GG8" s="26">
        <v>1</v>
      </c>
      <c r="GH8" s="32"/>
      <c r="GI8">
        <v>253</v>
      </c>
      <c r="GJ8">
        <v>250</v>
      </c>
      <c r="GK8" s="26">
        <v>3</v>
      </c>
      <c r="GL8" s="29"/>
      <c r="GM8">
        <v>151</v>
      </c>
      <c r="GN8">
        <v>150</v>
      </c>
      <c r="GO8" s="26">
        <v>1</v>
      </c>
      <c r="GP8" s="32"/>
      <c r="GS8" s="26">
        <v>0</v>
      </c>
      <c r="GT8" s="29"/>
      <c r="GU8" s="28">
        <v>259</v>
      </c>
      <c r="GV8" s="31">
        <v>260</v>
      </c>
      <c r="GW8" s="26">
        <v>-1</v>
      </c>
      <c r="GX8" s="32"/>
      <c r="GY8">
        <v>401</v>
      </c>
      <c r="GZ8">
        <v>400</v>
      </c>
      <c r="HA8" s="26">
        <v>1</v>
      </c>
      <c r="HB8" s="32"/>
      <c r="HE8" s="26">
        <v>0</v>
      </c>
      <c r="HF8" s="32"/>
      <c r="HI8" s="26">
        <v>0</v>
      </c>
      <c r="HJ8" s="29"/>
      <c r="HK8">
        <v>249</v>
      </c>
      <c r="HL8">
        <v>250</v>
      </c>
      <c r="HM8">
        <v>170</v>
      </c>
      <c r="HN8">
        <v>170</v>
      </c>
      <c r="HO8" s="26">
        <v>-1</v>
      </c>
      <c r="HP8" s="32"/>
      <c r="HQ8" s="31">
        <v>142.67500000000001</v>
      </c>
      <c r="HR8" s="31">
        <v>140</v>
      </c>
      <c r="HS8" s="26">
        <v>2.6750000000000109</v>
      </c>
      <c r="HT8" s="32"/>
      <c r="HU8" s="31">
        <v>237.42500000000001</v>
      </c>
      <c r="HV8" s="31">
        <v>235.91720000000001</v>
      </c>
      <c r="HW8" s="26">
        <v>1.507800000000032</v>
      </c>
      <c r="HX8" s="32"/>
      <c r="HY8" s="34">
        <v>61.026000000000003</v>
      </c>
      <c r="HZ8" s="31">
        <v>60</v>
      </c>
      <c r="IA8" s="26">
        <v>1.0260000000000029</v>
      </c>
      <c r="IB8" s="32"/>
    </row>
    <row r="9" spans="1:236" x14ac:dyDescent="0.25">
      <c r="A9" s="26" t="s">
        <v>136</v>
      </c>
      <c r="B9" s="27">
        <v>1</v>
      </c>
      <c r="I9" s="30"/>
      <c r="J9" s="35"/>
      <c r="K9" s="35"/>
      <c r="L9" s="35">
        <f t="shared" si="4"/>
        <v>0</v>
      </c>
      <c r="M9" s="29"/>
      <c r="N9" s="30"/>
      <c r="O9" s="35"/>
      <c r="P9" s="35">
        <f t="shared" si="5"/>
        <v>0</v>
      </c>
      <c r="Q9" s="29"/>
      <c r="R9" s="30"/>
      <c r="S9" s="35"/>
      <c r="T9" s="35">
        <f t="shared" si="6"/>
        <v>0</v>
      </c>
      <c r="U9" s="29"/>
      <c r="V9" s="35"/>
      <c r="X9" s="26">
        <v>0</v>
      </c>
      <c r="Y9" s="29"/>
      <c r="Z9" s="30"/>
      <c r="AB9" s="26">
        <v>0</v>
      </c>
      <c r="AC9" s="29"/>
      <c r="AF9" s="26">
        <v>0</v>
      </c>
      <c r="AG9" s="29"/>
      <c r="AH9" s="30"/>
      <c r="AJ9" s="26">
        <v>0</v>
      </c>
      <c r="AK9" s="29"/>
      <c r="AL9" s="30"/>
      <c r="AN9" s="26">
        <v>0</v>
      </c>
      <c r="AO9" s="29"/>
      <c r="AR9" s="26">
        <v>0</v>
      </c>
      <c r="AS9" s="29"/>
      <c r="AT9" s="30"/>
      <c r="AX9" s="26">
        <v>0</v>
      </c>
      <c r="AY9" s="29"/>
      <c r="AZ9" s="30"/>
      <c r="BB9" s="26">
        <v>0</v>
      </c>
      <c r="BC9" s="29"/>
      <c r="BH9" s="26">
        <v>0</v>
      </c>
      <c r="BI9" s="29"/>
      <c r="BL9" s="26">
        <v>0</v>
      </c>
      <c r="BM9" s="29"/>
      <c r="BN9" s="30"/>
      <c r="BP9" s="26">
        <v>0</v>
      </c>
      <c r="BQ9" s="29"/>
      <c r="BR9" s="30"/>
      <c r="BT9" s="26">
        <v>0</v>
      </c>
      <c r="BU9" s="29"/>
      <c r="BX9" s="26">
        <v>0</v>
      </c>
      <c r="BY9" s="29"/>
      <c r="BZ9" s="30"/>
      <c r="CC9" s="26">
        <v>0</v>
      </c>
      <c r="CD9" s="29"/>
      <c r="CE9" s="30"/>
      <c r="CI9" s="26">
        <v>0</v>
      </c>
      <c r="CJ9" s="29"/>
      <c r="CK9" s="30"/>
      <c r="CN9" s="26">
        <v>0</v>
      </c>
      <c r="CO9" s="29"/>
      <c r="CR9" s="26">
        <v>0</v>
      </c>
      <c r="CS9" s="29"/>
      <c r="CT9" s="34"/>
      <c r="CV9" s="26">
        <v>0</v>
      </c>
      <c r="CW9" s="29"/>
      <c r="CX9" s="30"/>
      <c r="CZ9" s="26">
        <v>0</v>
      </c>
      <c r="DA9" s="29"/>
      <c r="DB9" s="30"/>
      <c r="DD9" s="26">
        <v>0</v>
      </c>
      <c r="DE9" s="29"/>
      <c r="DH9" s="26">
        <v>0</v>
      </c>
      <c r="DI9" s="29"/>
      <c r="DL9" s="26">
        <v>0</v>
      </c>
      <c r="DM9" s="29"/>
      <c r="DN9" s="28">
        <v>4</v>
      </c>
      <c r="DP9">
        <v>5</v>
      </c>
      <c r="DQ9" s="26">
        <v>-1</v>
      </c>
      <c r="DR9" s="29"/>
      <c r="DS9" s="30"/>
      <c r="DV9" s="26">
        <v>0</v>
      </c>
      <c r="DW9" s="29"/>
      <c r="DZ9" s="26">
        <v>0</v>
      </c>
      <c r="EA9" s="29"/>
      <c r="EB9" s="30"/>
      <c r="EG9" s="26">
        <v>0</v>
      </c>
      <c r="EH9" s="29"/>
      <c r="EK9" s="26">
        <v>0</v>
      </c>
      <c r="EL9" s="29"/>
      <c r="EM9" s="30"/>
      <c r="EQ9" s="26">
        <v>0</v>
      </c>
      <c r="ER9" s="29"/>
      <c r="EW9" s="26">
        <v>0</v>
      </c>
      <c r="EX9" s="29"/>
      <c r="EY9">
        <v>24</v>
      </c>
      <c r="EZ9" s="31">
        <v>22.714600000000001</v>
      </c>
      <c r="FA9" s="26">
        <v>1.285399999999999</v>
      </c>
      <c r="FB9" s="29"/>
      <c r="FC9" s="30"/>
      <c r="FE9" s="26">
        <v>0</v>
      </c>
      <c r="FF9" s="29"/>
      <c r="FG9" s="28">
        <v>4</v>
      </c>
      <c r="FH9">
        <v>4</v>
      </c>
      <c r="FI9" s="26">
        <v>0</v>
      </c>
      <c r="FJ9" s="29"/>
      <c r="FM9" s="26">
        <v>0</v>
      </c>
      <c r="FN9" s="29"/>
      <c r="FO9" s="30"/>
      <c r="FQ9" s="26">
        <v>0</v>
      </c>
      <c r="FR9" s="29"/>
      <c r="FS9" s="30"/>
      <c r="FU9" s="26">
        <v>0</v>
      </c>
      <c r="FV9" s="29"/>
      <c r="FY9" s="26">
        <v>0</v>
      </c>
      <c r="FZ9" s="32"/>
      <c r="GC9" s="26">
        <v>0</v>
      </c>
      <c r="GD9" s="29"/>
      <c r="GG9" s="26">
        <v>0</v>
      </c>
      <c r="GH9" s="32"/>
      <c r="GK9" s="26">
        <v>0</v>
      </c>
      <c r="GL9" s="29"/>
      <c r="GO9" s="26">
        <v>0</v>
      </c>
      <c r="GP9" s="32"/>
      <c r="GS9" s="26">
        <v>0</v>
      </c>
      <c r="GT9" s="29"/>
      <c r="GU9" s="34"/>
      <c r="GW9" s="26">
        <v>0</v>
      </c>
      <c r="GX9" s="32"/>
      <c r="HA9" s="26">
        <v>0</v>
      </c>
      <c r="HB9" s="32"/>
      <c r="HE9" s="26">
        <v>0</v>
      </c>
      <c r="HF9" s="32"/>
      <c r="HI9" s="26">
        <v>0</v>
      </c>
      <c r="HJ9" s="29"/>
      <c r="HK9">
        <v>81</v>
      </c>
      <c r="HL9">
        <v>80</v>
      </c>
      <c r="HM9">
        <v>68</v>
      </c>
      <c r="HN9">
        <v>70</v>
      </c>
      <c r="HO9" s="26">
        <v>-1</v>
      </c>
      <c r="HP9" s="32"/>
      <c r="HQ9" s="31">
        <v>32.343000000000004</v>
      </c>
      <c r="HR9" s="31">
        <v>30</v>
      </c>
      <c r="HS9" s="26">
        <v>2.343000000000004</v>
      </c>
      <c r="HT9" s="32"/>
      <c r="HU9" s="31">
        <v>0</v>
      </c>
      <c r="HV9" s="31">
        <v>0</v>
      </c>
      <c r="HW9" s="26">
        <v>0</v>
      </c>
      <c r="HX9" s="32"/>
      <c r="HY9" s="34">
        <v>0</v>
      </c>
      <c r="HZ9" s="31">
        <v>0</v>
      </c>
      <c r="IA9" s="26">
        <v>0</v>
      </c>
      <c r="IB9" s="32"/>
    </row>
    <row r="10" spans="1:236" x14ac:dyDescent="0.25">
      <c r="A10" s="26" t="s">
        <v>137</v>
      </c>
      <c r="B10" s="27">
        <v>1</v>
      </c>
      <c r="I10" s="30"/>
      <c r="J10" s="35"/>
      <c r="K10" s="35"/>
      <c r="L10" s="35">
        <f t="shared" si="4"/>
        <v>0</v>
      </c>
      <c r="M10" s="29"/>
      <c r="N10" s="30"/>
      <c r="O10" s="35"/>
      <c r="P10" s="35">
        <f t="shared" si="5"/>
        <v>0</v>
      </c>
      <c r="Q10" s="29"/>
      <c r="R10" s="30"/>
      <c r="S10" s="35"/>
      <c r="T10" s="35">
        <f t="shared" si="6"/>
        <v>0</v>
      </c>
      <c r="U10" s="29"/>
      <c r="V10" s="35"/>
      <c r="X10" s="26">
        <v>0</v>
      </c>
      <c r="Y10" s="29"/>
      <c r="Z10" s="30"/>
      <c r="AB10" s="26">
        <v>0</v>
      </c>
      <c r="AC10" s="29"/>
      <c r="AF10" s="26">
        <v>0</v>
      </c>
      <c r="AG10" s="29"/>
      <c r="AH10" s="30"/>
      <c r="AJ10" s="26">
        <v>0</v>
      </c>
      <c r="AK10" s="29"/>
      <c r="AL10" s="30"/>
      <c r="AN10" s="26">
        <v>0</v>
      </c>
      <c r="AO10" s="29"/>
      <c r="AR10" s="26">
        <v>0</v>
      </c>
      <c r="AS10" s="29"/>
      <c r="AT10" s="30"/>
      <c r="AX10" s="26">
        <v>0</v>
      </c>
      <c r="AY10" s="29"/>
      <c r="AZ10" s="30"/>
      <c r="BB10" s="26">
        <v>0</v>
      </c>
      <c r="BC10" s="29"/>
      <c r="BH10" s="26">
        <v>0</v>
      </c>
      <c r="BI10" s="29"/>
      <c r="BL10" s="26">
        <v>0</v>
      </c>
      <c r="BM10" s="29"/>
      <c r="BN10" s="30"/>
      <c r="BP10" s="26">
        <v>0</v>
      </c>
      <c r="BQ10" s="29"/>
      <c r="BR10" s="30"/>
      <c r="BT10" s="26">
        <v>0</v>
      </c>
      <c r="BU10" s="29"/>
      <c r="BX10" s="26">
        <v>0</v>
      </c>
      <c r="BY10" s="29"/>
      <c r="BZ10" s="30"/>
      <c r="CC10" s="26">
        <v>0</v>
      </c>
      <c r="CD10" s="29"/>
      <c r="CE10" s="30"/>
      <c r="CI10" s="26">
        <v>0</v>
      </c>
      <c r="CJ10" s="29"/>
      <c r="CK10" s="30"/>
      <c r="CN10" s="26">
        <v>0</v>
      </c>
      <c r="CO10" s="29"/>
      <c r="CR10" s="26">
        <v>0</v>
      </c>
      <c r="CS10" s="29"/>
      <c r="CT10" s="34"/>
      <c r="CV10" s="26">
        <v>0</v>
      </c>
      <c r="CW10" s="29"/>
      <c r="CX10" s="30"/>
      <c r="CZ10" s="26">
        <v>0</v>
      </c>
      <c r="DA10" s="29"/>
      <c r="DB10" s="30"/>
      <c r="DD10" s="26">
        <v>0</v>
      </c>
      <c r="DE10" s="29"/>
      <c r="DH10" s="26">
        <v>0</v>
      </c>
      <c r="DI10" s="29"/>
      <c r="DL10" s="26">
        <v>0</v>
      </c>
      <c r="DM10" s="29"/>
      <c r="DN10" s="30"/>
      <c r="DQ10" s="26">
        <v>0</v>
      </c>
      <c r="DR10" s="29"/>
      <c r="DS10" s="30"/>
      <c r="DV10" s="26">
        <v>0</v>
      </c>
      <c r="DW10" s="29"/>
      <c r="DZ10" s="26">
        <v>0</v>
      </c>
      <c r="EA10" s="29"/>
      <c r="EB10" s="30"/>
      <c r="EG10" s="26">
        <v>0</v>
      </c>
      <c r="EH10" s="29"/>
      <c r="EK10" s="26">
        <v>0</v>
      </c>
      <c r="EL10" s="29"/>
      <c r="EM10" s="30"/>
      <c r="EQ10" s="26">
        <v>0</v>
      </c>
      <c r="ER10" s="29"/>
      <c r="ES10">
        <v>89</v>
      </c>
      <c r="ET10">
        <v>90</v>
      </c>
      <c r="EU10">
        <v>103</v>
      </c>
      <c r="EV10">
        <v>100</v>
      </c>
      <c r="EW10" s="26">
        <v>2</v>
      </c>
      <c r="EX10" s="29"/>
      <c r="EY10">
        <v>12</v>
      </c>
      <c r="EZ10" s="31">
        <v>10.5594</v>
      </c>
      <c r="FA10" s="26">
        <v>1.4406000000000001</v>
      </c>
      <c r="FB10" s="29"/>
      <c r="FC10" s="28">
        <v>150</v>
      </c>
      <c r="FD10">
        <v>150</v>
      </c>
      <c r="FE10" s="26">
        <v>0</v>
      </c>
      <c r="FF10" s="29"/>
      <c r="FG10" s="28">
        <v>12</v>
      </c>
      <c r="FH10">
        <v>10</v>
      </c>
      <c r="FI10" s="26">
        <v>2</v>
      </c>
      <c r="FJ10" s="29"/>
      <c r="FK10">
        <v>33</v>
      </c>
      <c r="FL10">
        <v>30</v>
      </c>
      <c r="FM10" s="26">
        <v>3</v>
      </c>
      <c r="FN10" s="29"/>
      <c r="FO10" s="28">
        <v>137</v>
      </c>
      <c r="FP10">
        <v>160</v>
      </c>
      <c r="FQ10" s="25">
        <v>-23</v>
      </c>
      <c r="FR10" s="29">
        <v>23</v>
      </c>
      <c r="FS10" s="30"/>
      <c r="FU10" s="26">
        <v>0</v>
      </c>
      <c r="FV10" s="29"/>
      <c r="FW10">
        <v>61</v>
      </c>
      <c r="FX10">
        <v>60</v>
      </c>
      <c r="FY10" s="26">
        <v>1</v>
      </c>
      <c r="FZ10" s="32"/>
      <c r="GA10">
        <v>61</v>
      </c>
      <c r="GB10">
        <v>61</v>
      </c>
      <c r="GC10" s="26">
        <v>0</v>
      </c>
      <c r="GD10" s="29"/>
      <c r="GG10" s="26">
        <v>0</v>
      </c>
      <c r="GH10" s="32"/>
      <c r="GK10" s="26">
        <v>0</v>
      </c>
      <c r="GL10" s="29"/>
      <c r="GM10">
        <v>77</v>
      </c>
      <c r="GN10">
        <v>80</v>
      </c>
      <c r="GO10" s="26">
        <v>-3</v>
      </c>
      <c r="GP10" s="32"/>
      <c r="GQ10">
        <v>86</v>
      </c>
      <c r="GR10" s="31">
        <v>83.295799999999986</v>
      </c>
      <c r="GS10" s="26">
        <v>2.7042000000000139</v>
      </c>
      <c r="GT10" s="29"/>
      <c r="GU10" s="34"/>
      <c r="GW10" s="26">
        <v>0</v>
      </c>
      <c r="GX10" s="32"/>
      <c r="GY10">
        <v>60</v>
      </c>
      <c r="GZ10">
        <v>59</v>
      </c>
      <c r="HA10" s="26">
        <v>1</v>
      </c>
      <c r="HB10" s="32"/>
      <c r="HC10">
        <v>41</v>
      </c>
      <c r="HD10">
        <v>40</v>
      </c>
      <c r="HE10" s="26">
        <v>-1</v>
      </c>
      <c r="HF10" s="32"/>
      <c r="HI10" s="26">
        <v>0</v>
      </c>
      <c r="HJ10" s="29"/>
      <c r="HK10">
        <v>48</v>
      </c>
      <c r="HL10">
        <v>50</v>
      </c>
      <c r="HM10">
        <v>48</v>
      </c>
      <c r="HN10">
        <v>50</v>
      </c>
      <c r="HO10" s="26">
        <v>-4</v>
      </c>
      <c r="HP10" s="32"/>
      <c r="HQ10" s="31">
        <v>100.88200000000001</v>
      </c>
      <c r="HR10" s="31">
        <v>100</v>
      </c>
      <c r="HS10" s="26">
        <v>0.882000000000005</v>
      </c>
      <c r="HT10" s="32"/>
      <c r="HX10" s="32"/>
      <c r="HY10" s="34"/>
      <c r="IB10" s="32"/>
    </row>
    <row r="11" spans="1:236" x14ac:dyDescent="0.25">
      <c r="A11" s="26" t="s">
        <v>138</v>
      </c>
      <c r="B11" s="27">
        <v>1</v>
      </c>
      <c r="E11">
        <v>200</v>
      </c>
      <c r="F11">
        <v>163</v>
      </c>
      <c r="I11" s="30"/>
      <c r="J11" s="36">
        <v>54</v>
      </c>
      <c r="K11" s="36">
        <v>55</v>
      </c>
      <c r="L11" s="35">
        <f t="shared" si="4"/>
        <v>-1</v>
      </c>
      <c r="M11" s="29"/>
      <c r="N11" s="28">
        <v>416</v>
      </c>
      <c r="O11" s="36">
        <v>418</v>
      </c>
      <c r="P11" s="35">
        <f t="shared" si="5"/>
        <v>-2</v>
      </c>
      <c r="Q11" s="29"/>
      <c r="R11" s="28">
        <v>133</v>
      </c>
      <c r="S11" s="36">
        <v>134</v>
      </c>
      <c r="T11" s="35">
        <f t="shared" si="6"/>
        <v>-1</v>
      </c>
      <c r="U11" s="29"/>
      <c r="V11" s="36">
        <v>165</v>
      </c>
      <c r="W11">
        <v>166</v>
      </c>
      <c r="X11" s="26">
        <v>-1</v>
      </c>
      <c r="Y11" s="29"/>
      <c r="Z11" s="28">
        <v>324</v>
      </c>
      <c r="AA11">
        <v>325</v>
      </c>
      <c r="AB11" s="26">
        <v>-1</v>
      </c>
      <c r="AC11" s="29"/>
      <c r="AF11" s="26">
        <v>0</v>
      </c>
      <c r="AG11" s="29"/>
      <c r="AH11" s="28">
        <v>340</v>
      </c>
      <c r="AI11">
        <v>338</v>
      </c>
      <c r="AJ11" s="26">
        <v>2</v>
      </c>
      <c r="AK11" s="29"/>
      <c r="AL11" s="28">
        <v>16</v>
      </c>
      <c r="AM11">
        <v>14</v>
      </c>
      <c r="AN11" s="26">
        <v>2</v>
      </c>
      <c r="AO11" s="29"/>
      <c r="AR11" s="26">
        <v>0</v>
      </c>
      <c r="AS11" s="29"/>
      <c r="AT11" s="28">
        <v>122</v>
      </c>
      <c r="AU11">
        <v>120</v>
      </c>
      <c r="AV11">
        <v>130</v>
      </c>
      <c r="AW11">
        <v>127</v>
      </c>
      <c r="AX11" s="26">
        <v>5</v>
      </c>
      <c r="AY11" s="29"/>
      <c r="AZ11" s="30"/>
      <c r="BB11" s="26">
        <v>0</v>
      </c>
      <c r="BC11" s="29"/>
      <c r="BE11">
        <v>100</v>
      </c>
      <c r="BF11">
        <v>247</v>
      </c>
      <c r="BG11">
        <v>245</v>
      </c>
      <c r="BH11" s="25">
        <v>-98</v>
      </c>
      <c r="BI11" s="29">
        <v>98</v>
      </c>
      <c r="BL11" s="26">
        <v>0</v>
      </c>
      <c r="BM11" s="29"/>
      <c r="BN11" s="28">
        <v>108</v>
      </c>
      <c r="BO11">
        <v>107</v>
      </c>
      <c r="BP11" s="26">
        <v>1</v>
      </c>
      <c r="BQ11" s="29"/>
      <c r="BR11" s="28">
        <v>122</v>
      </c>
      <c r="BS11">
        <v>121</v>
      </c>
      <c r="BT11" s="26">
        <v>1</v>
      </c>
      <c r="BU11" s="29"/>
      <c r="BV11">
        <v>153</v>
      </c>
      <c r="BW11">
        <v>155</v>
      </c>
      <c r="BX11" s="26">
        <v>-2</v>
      </c>
      <c r="BY11" s="29"/>
      <c r="BZ11" s="30"/>
      <c r="CC11" s="26">
        <v>0</v>
      </c>
      <c r="CD11" s="29"/>
      <c r="CE11" s="28">
        <v>81</v>
      </c>
      <c r="CF11">
        <v>80</v>
      </c>
      <c r="CG11">
        <v>155</v>
      </c>
      <c r="CH11">
        <v>154</v>
      </c>
      <c r="CI11" s="26">
        <v>2</v>
      </c>
      <c r="CJ11" s="29"/>
      <c r="CK11" s="28">
        <v>165</v>
      </c>
      <c r="CM11">
        <v>166</v>
      </c>
      <c r="CN11" s="26">
        <v>-1</v>
      </c>
      <c r="CO11" s="29"/>
      <c r="CP11">
        <v>117</v>
      </c>
      <c r="CQ11" s="26">
        <v>170.65459999999999</v>
      </c>
      <c r="CR11" s="25">
        <v>-53.654599999999988</v>
      </c>
      <c r="CS11" s="29">
        <v>53.654599999999988</v>
      </c>
      <c r="CT11" s="28">
        <v>20</v>
      </c>
      <c r="CU11" s="26">
        <v>17.89500000000001</v>
      </c>
      <c r="CV11" s="26">
        <v>2.1049999999999902</v>
      </c>
      <c r="CW11" s="29"/>
      <c r="CX11" s="28">
        <v>134</v>
      </c>
      <c r="CY11" s="26">
        <v>131.6874</v>
      </c>
      <c r="CZ11" s="26">
        <v>2.3126000000000029</v>
      </c>
      <c r="DA11" s="29"/>
      <c r="DB11" s="28">
        <v>92</v>
      </c>
      <c r="DC11">
        <v>93</v>
      </c>
      <c r="DD11" s="26">
        <v>-1</v>
      </c>
      <c r="DE11" s="29"/>
      <c r="DF11">
        <v>162</v>
      </c>
      <c r="DG11" s="31">
        <v>161.1116000000001</v>
      </c>
      <c r="DH11" s="26">
        <v>0.88839999999990482</v>
      </c>
      <c r="DI11" s="29"/>
      <c r="DJ11">
        <v>84</v>
      </c>
      <c r="DK11">
        <v>84</v>
      </c>
      <c r="DL11" s="26">
        <v>0</v>
      </c>
      <c r="DM11" s="29"/>
      <c r="DN11" s="28">
        <v>40</v>
      </c>
      <c r="DP11">
        <v>41</v>
      </c>
      <c r="DQ11" s="26">
        <v>-1</v>
      </c>
      <c r="DR11" s="29"/>
      <c r="DS11" s="30"/>
      <c r="DV11" s="26">
        <v>0</v>
      </c>
      <c r="DW11" s="29"/>
      <c r="DZ11" s="26">
        <v>0</v>
      </c>
      <c r="EA11" s="29"/>
      <c r="EB11" s="30"/>
      <c r="EC11">
        <v>150</v>
      </c>
      <c r="ED11">
        <v>150</v>
      </c>
      <c r="EE11">
        <v>146</v>
      </c>
      <c r="EF11">
        <v>144</v>
      </c>
      <c r="EG11" s="26">
        <v>2</v>
      </c>
      <c r="EH11" s="29"/>
      <c r="EI11">
        <v>81</v>
      </c>
      <c r="EJ11" s="31">
        <v>80.933599999999984</v>
      </c>
      <c r="EK11" s="26">
        <v>6.640000000001578E-2</v>
      </c>
      <c r="EL11" s="29"/>
      <c r="EM11" s="30"/>
      <c r="EO11">
        <v>142</v>
      </c>
      <c r="EP11">
        <v>142</v>
      </c>
      <c r="EQ11" s="26">
        <v>0</v>
      </c>
      <c r="ER11" s="29"/>
      <c r="EU11">
        <v>60</v>
      </c>
      <c r="EV11">
        <v>60</v>
      </c>
      <c r="EW11" s="26">
        <v>0</v>
      </c>
      <c r="EX11" s="29"/>
      <c r="EY11">
        <v>149</v>
      </c>
      <c r="EZ11" s="31">
        <v>151.0574</v>
      </c>
      <c r="FA11" s="26">
        <v>-2.0574000000000008</v>
      </c>
      <c r="FB11" s="29"/>
      <c r="FC11" s="28">
        <v>210</v>
      </c>
      <c r="FD11">
        <v>210</v>
      </c>
      <c r="FE11" s="26">
        <v>0</v>
      </c>
      <c r="FF11" s="29"/>
      <c r="FG11" s="28">
        <v>65</v>
      </c>
      <c r="FH11">
        <v>64</v>
      </c>
      <c r="FI11" s="26">
        <v>1</v>
      </c>
      <c r="FJ11" s="29"/>
      <c r="FK11">
        <v>49</v>
      </c>
      <c r="FL11">
        <v>50</v>
      </c>
      <c r="FM11" s="26">
        <v>-1</v>
      </c>
      <c r="FN11" s="29"/>
      <c r="FO11" s="28">
        <v>151</v>
      </c>
      <c r="FP11">
        <v>149</v>
      </c>
      <c r="FQ11" s="26">
        <v>2</v>
      </c>
      <c r="FR11" s="29"/>
      <c r="FS11" s="30"/>
      <c r="FU11" s="26">
        <v>0</v>
      </c>
      <c r="FV11" s="29"/>
      <c r="FW11">
        <v>49</v>
      </c>
      <c r="FX11">
        <v>49</v>
      </c>
      <c r="FY11" s="26">
        <v>0</v>
      </c>
      <c r="FZ11" s="32"/>
      <c r="GA11">
        <v>77</v>
      </c>
      <c r="GB11">
        <v>76</v>
      </c>
      <c r="GC11" s="26">
        <v>1</v>
      </c>
      <c r="GD11" s="29"/>
      <c r="GG11" s="26">
        <v>0</v>
      </c>
      <c r="GH11" s="32"/>
      <c r="GI11">
        <v>81</v>
      </c>
      <c r="GJ11">
        <v>80</v>
      </c>
      <c r="GK11" s="26">
        <v>1</v>
      </c>
      <c r="GL11" s="29"/>
      <c r="GO11" s="26">
        <v>0</v>
      </c>
      <c r="GP11" s="32"/>
      <c r="GS11" s="26">
        <v>0</v>
      </c>
      <c r="GT11" s="29"/>
      <c r="GU11" s="28">
        <v>109</v>
      </c>
      <c r="GV11" s="31">
        <v>110</v>
      </c>
      <c r="GW11" s="26">
        <v>-1</v>
      </c>
      <c r="GX11" s="32"/>
      <c r="GY11">
        <v>241</v>
      </c>
      <c r="GZ11">
        <v>238</v>
      </c>
      <c r="HA11" s="26">
        <v>3</v>
      </c>
      <c r="HB11" s="32"/>
      <c r="HE11" s="26">
        <v>0</v>
      </c>
      <c r="HF11" s="32"/>
      <c r="HI11" s="26">
        <v>0</v>
      </c>
      <c r="HJ11" s="29"/>
      <c r="HK11">
        <v>102</v>
      </c>
      <c r="HL11">
        <v>100</v>
      </c>
      <c r="HM11">
        <v>88</v>
      </c>
      <c r="HN11">
        <v>89</v>
      </c>
      <c r="HO11" s="26">
        <v>1</v>
      </c>
      <c r="HP11" s="32"/>
      <c r="HQ11" s="31">
        <v>129.37100000000001</v>
      </c>
      <c r="HR11" s="31">
        <v>130</v>
      </c>
      <c r="HS11" s="26">
        <v>-0.62899999999999068</v>
      </c>
      <c r="HT11" s="32"/>
      <c r="HU11" s="31">
        <v>112.304</v>
      </c>
      <c r="HV11" s="31">
        <v>110.68680000000001</v>
      </c>
      <c r="HW11" s="26">
        <v>1.6171999999999971</v>
      </c>
      <c r="HX11" s="32"/>
      <c r="HY11" s="34">
        <v>0</v>
      </c>
      <c r="HZ11" s="31">
        <v>0</v>
      </c>
      <c r="IA11" s="26">
        <v>0</v>
      </c>
      <c r="IB11" s="32"/>
    </row>
    <row r="12" spans="1:236" x14ac:dyDescent="0.25">
      <c r="A12" s="26" t="s">
        <v>139</v>
      </c>
      <c r="B12" s="27">
        <v>1</v>
      </c>
      <c r="E12">
        <v>250</v>
      </c>
      <c r="F12">
        <v>148</v>
      </c>
      <c r="I12" s="30"/>
      <c r="J12" s="36">
        <v>391</v>
      </c>
      <c r="K12" s="36">
        <v>394</v>
      </c>
      <c r="L12" s="35">
        <f t="shared" si="4"/>
        <v>-3</v>
      </c>
      <c r="M12" s="29"/>
      <c r="N12" s="28">
        <v>219</v>
      </c>
      <c r="O12" s="36">
        <v>217</v>
      </c>
      <c r="P12" s="35">
        <f t="shared" si="5"/>
        <v>2</v>
      </c>
      <c r="Q12" s="29"/>
      <c r="R12" s="28">
        <v>219</v>
      </c>
      <c r="S12" s="36">
        <v>220</v>
      </c>
      <c r="T12" s="35">
        <f t="shared" si="6"/>
        <v>-1</v>
      </c>
      <c r="U12" s="29"/>
      <c r="V12" s="36">
        <v>246</v>
      </c>
      <c r="W12">
        <v>246</v>
      </c>
      <c r="X12" s="26">
        <v>0</v>
      </c>
      <c r="Y12" s="29"/>
      <c r="Z12" s="28">
        <v>512</v>
      </c>
      <c r="AA12">
        <v>513</v>
      </c>
      <c r="AB12" s="26">
        <v>-1</v>
      </c>
      <c r="AC12" s="29"/>
      <c r="AD12">
        <v>418</v>
      </c>
      <c r="AE12">
        <v>419</v>
      </c>
      <c r="AF12" s="26">
        <v>-1</v>
      </c>
      <c r="AG12" s="29"/>
      <c r="AH12" s="28">
        <v>396</v>
      </c>
      <c r="AI12">
        <v>395</v>
      </c>
      <c r="AJ12" s="26">
        <v>1</v>
      </c>
      <c r="AK12" s="29"/>
      <c r="AL12" s="30"/>
      <c r="AM12">
        <v>86</v>
      </c>
      <c r="AN12" s="25">
        <v>-86</v>
      </c>
      <c r="AO12" s="29">
        <v>86</v>
      </c>
      <c r="AR12" s="26">
        <v>0</v>
      </c>
      <c r="AS12" s="29"/>
      <c r="AT12" s="28">
        <v>257</v>
      </c>
      <c r="AU12">
        <v>250</v>
      </c>
      <c r="AV12">
        <v>344</v>
      </c>
      <c r="AW12">
        <v>343</v>
      </c>
      <c r="AX12" s="26">
        <v>8</v>
      </c>
      <c r="AY12" s="29"/>
      <c r="AZ12" s="30"/>
      <c r="BB12" s="26">
        <v>0</v>
      </c>
      <c r="BC12" s="29"/>
      <c r="BD12">
        <v>150</v>
      </c>
      <c r="BE12">
        <v>150</v>
      </c>
      <c r="BF12">
        <v>344</v>
      </c>
      <c r="BG12">
        <v>344</v>
      </c>
      <c r="BH12" s="26">
        <v>0</v>
      </c>
      <c r="BI12" s="29"/>
      <c r="BJ12">
        <v>8</v>
      </c>
      <c r="BK12">
        <v>7</v>
      </c>
      <c r="BL12" s="26">
        <v>1</v>
      </c>
      <c r="BM12" s="29"/>
      <c r="BN12" s="28">
        <v>333</v>
      </c>
      <c r="BO12">
        <v>330</v>
      </c>
      <c r="BP12" s="26">
        <v>3</v>
      </c>
      <c r="BQ12" s="29"/>
      <c r="BR12" s="28">
        <v>199</v>
      </c>
      <c r="BS12">
        <v>199</v>
      </c>
      <c r="BT12" s="26">
        <v>0</v>
      </c>
      <c r="BU12" s="29"/>
      <c r="BV12">
        <v>174</v>
      </c>
      <c r="BW12">
        <v>172</v>
      </c>
      <c r="BX12" s="26">
        <v>2</v>
      </c>
      <c r="BY12" s="29"/>
      <c r="BZ12" s="30"/>
      <c r="CC12" s="26">
        <v>0</v>
      </c>
      <c r="CD12" s="29"/>
      <c r="CE12" s="28">
        <v>150</v>
      </c>
      <c r="CF12">
        <v>150</v>
      </c>
      <c r="CG12">
        <v>251</v>
      </c>
      <c r="CH12">
        <v>250</v>
      </c>
      <c r="CI12" s="26">
        <v>1</v>
      </c>
      <c r="CJ12" s="29"/>
      <c r="CK12" s="28">
        <v>214</v>
      </c>
      <c r="CM12">
        <v>216</v>
      </c>
      <c r="CN12" s="26">
        <v>-2</v>
      </c>
      <c r="CO12" s="29"/>
      <c r="CP12">
        <v>269</v>
      </c>
      <c r="CQ12" s="26">
        <v>270.55499999999989</v>
      </c>
      <c r="CR12" s="26">
        <v>-1.5549999999998929</v>
      </c>
      <c r="CS12" s="29"/>
      <c r="CT12" s="28">
        <v>49</v>
      </c>
      <c r="CU12" s="26">
        <v>47.744</v>
      </c>
      <c r="CV12" s="26">
        <v>1.256</v>
      </c>
      <c r="CW12" s="29"/>
      <c r="CX12" s="28">
        <v>52</v>
      </c>
      <c r="CY12" s="26">
        <v>50.623000000000019</v>
      </c>
      <c r="CZ12" s="26">
        <v>1.3769999999999809</v>
      </c>
      <c r="DA12" s="29"/>
      <c r="DB12" s="30"/>
      <c r="DD12" s="26">
        <v>0</v>
      </c>
      <c r="DE12" s="29"/>
      <c r="DF12">
        <v>219</v>
      </c>
      <c r="DG12" s="31">
        <v>219.1028</v>
      </c>
      <c r="DH12" s="26">
        <v>-0.102800000000002</v>
      </c>
      <c r="DI12" s="29"/>
      <c r="DJ12">
        <v>244</v>
      </c>
      <c r="DK12">
        <v>241</v>
      </c>
      <c r="DL12" s="26">
        <v>3</v>
      </c>
      <c r="DM12" s="29"/>
      <c r="DN12" s="28">
        <v>97</v>
      </c>
      <c r="DP12">
        <v>95</v>
      </c>
      <c r="DQ12" s="26">
        <v>2</v>
      </c>
      <c r="DR12" s="29"/>
      <c r="DS12" s="28">
        <v>92</v>
      </c>
      <c r="DU12">
        <v>92</v>
      </c>
      <c r="DV12" s="26">
        <v>0</v>
      </c>
      <c r="DW12" s="29"/>
      <c r="DX12">
        <v>158</v>
      </c>
      <c r="DY12" s="31">
        <v>157.66000000000011</v>
      </c>
      <c r="DZ12" s="26">
        <v>0.33999999999988972</v>
      </c>
      <c r="EA12" s="29"/>
      <c r="EB12" s="30"/>
      <c r="EC12">
        <v>69</v>
      </c>
      <c r="ED12">
        <v>70</v>
      </c>
      <c r="EE12">
        <v>61</v>
      </c>
      <c r="EF12">
        <v>60</v>
      </c>
      <c r="EG12" s="26">
        <v>0</v>
      </c>
      <c r="EH12" s="29"/>
      <c r="EI12">
        <v>97</v>
      </c>
      <c r="EJ12" s="31">
        <v>97.200600000000037</v>
      </c>
      <c r="EK12" s="26">
        <v>-0.200600000000037</v>
      </c>
      <c r="EL12" s="29"/>
      <c r="EM12" s="30"/>
      <c r="EO12">
        <v>182</v>
      </c>
      <c r="EP12">
        <v>181</v>
      </c>
      <c r="EQ12" s="26">
        <v>1</v>
      </c>
      <c r="ER12" s="29"/>
      <c r="ES12">
        <v>69</v>
      </c>
      <c r="ET12">
        <v>70</v>
      </c>
      <c r="EU12">
        <v>102</v>
      </c>
      <c r="EV12">
        <v>100</v>
      </c>
      <c r="EW12" s="26">
        <v>1</v>
      </c>
      <c r="EX12" s="29"/>
      <c r="EY12">
        <v>32</v>
      </c>
      <c r="EZ12" s="31">
        <v>30</v>
      </c>
      <c r="FA12" s="26">
        <v>2</v>
      </c>
      <c r="FB12" s="29"/>
      <c r="FC12" s="28">
        <v>130</v>
      </c>
      <c r="FD12">
        <v>130</v>
      </c>
      <c r="FE12" s="26">
        <v>0</v>
      </c>
      <c r="FF12" s="29"/>
      <c r="FG12" s="28">
        <v>109</v>
      </c>
      <c r="FH12">
        <v>110</v>
      </c>
      <c r="FI12" s="26">
        <v>-1</v>
      </c>
      <c r="FJ12" s="29"/>
      <c r="FM12" s="26">
        <v>0</v>
      </c>
      <c r="FN12" s="29"/>
      <c r="FO12" s="28">
        <v>270</v>
      </c>
      <c r="FP12">
        <v>270</v>
      </c>
      <c r="FQ12" s="26">
        <v>0</v>
      </c>
      <c r="FR12" s="29"/>
      <c r="FS12" s="30"/>
      <c r="FU12" s="26">
        <v>0</v>
      </c>
      <c r="FV12" s="29"/>
      <c r="FW12">
        <v>163</v>
      </c>
      <c r="FX12">
        <v>160</v>
      </c>
      <c r="FY12" s="26">
        <v>3</v>
      </c>
      <c r="FZ12" s="32"/>
      <c r="GA12">
        <v>85</v>
      </c>
      <c r="GB12">
        <v>85</v>
      </c>
      <c r="GC12" s="26">
        <v>0</v>
      </c>
      <c r="GD12" s="29"/>
      <c r="GG12" s="26">
        <v>0</v>
      </c>
      <c r="GH12" s="32"/>
      <c r="GK12" s="26">
        <v>0</v>
      </c>
      <c r="GL12" s="29"/>
      <c r="GO12" s="26">
        <v>0</v>
      </c>
      <c r="GP12" s="32"/>
      <c r="GQ12">
        <v>270</v>
      </c>
      <c r="GR12" s="31">
        <v>265.13799999999998</v>
      </c>
      <c r="GS12" s="26">
        <v>4.8620000000000232</v>
      </c>
      <c r="GT12" s="29"/>
      <c r="GU12" s="28">
        <v>122</v>
      </c>
      <c r="GV12" s="31">
        <v>120</v>
      </c>
      <c r="GW12" s="26">
        <v>2</v>
      </c>
      <c r="GX12" s="32"/>
      <c r="GY12">
        <v>114</v>
      </c>
      <c r="GZ12">
        <v>114</v>
      </c>
      <c r="HA12" s="26">
        <v>0</v>
      </c>
      <c r="HB12" s="32"/>
      <c r="HE12" s="26">
        <v>0</v>
      </c>
      <c r="HF12" s="32"/>
      <c r="HG12">
        <v>300</v>
      </c>
      <c r="HH12">
        <v>300</v>
      </c>
      <c r="HI12" s="26">
        <v>0</v>
      </c>
      <c r="HJ12" s="29"/>
      <c r="HK12">
        <v>102</v>
      </c>
      <c r="HL12">
        <v>100</v>
      </c>
      <c r="HM12">
        <v>82</v>
      </c>
      <c r="HN12">
        <v>80</v>
      </c>
      <c r="HO12" s="26">
        <v>4</v>
      </c>
      <c r="HP12" s="32"/>
      <c r="HQ12" s="31">
        <v>121.492</v>
      </c>
      <c r="HR12" s="31">
        <v>120</v>
      </c>
      <c r="HS12" s="26">
        <v>1.492000000000004</v>
      </c>
      <c r="HT12" s="32"/>
      <c r="HU12" s="31">
        <v>120.499</v>
      </c>
      <c r="HV12" s="31">
        <v>118.935</v>
      </c>
      <c r="HW12" s="26">
        <v>1.563999999999993</v>
      </c>
      <c r="HX12" s="32"/>
      <c r="HY12" s="34">
        <v>12.096</v>
      </c>
      <c r="HZ12" s="31">
        <v>10</v>
      </c>
      <c r="IA12" s="26">
        <v>2.0960000000000001</v>
      </c>
      <c r="IB12" s="32"/>
    </row>
    <row r="13" spans="1:236" x14ac:dyDescent="0.25">
      <c r="A13" s="26" t="s">
        <v>140</v>
      </c>
      <c r="B13" s="27">
        <v>0.25</v>
      </c>
      <c r="F13">
        <v>30</v>
      </c>
      <c r="I13" s="30"/>
      <c r="J13" s="36">
        <v>16</v>
      </c>
      <c r="K13" s="36">
        <v>16</v>
      </c>
      <c r="L13" s="35">
        <f t="shared" si="4"/>
        <v>0</v>
      </c>
      <c r="M13" s="29"/>
      <c r="N13" s="28">
        <v>120</v>
      </c>
      <c r="O13" s="36">
        <v>121</v>
      </c>
      <c r="P13" s="35">
        <f t="shared" si="5"/>
        <v>-1</v>
      </c>
      <c r="Q13" s="29"/>
      <c r="R13" s="30"/>
      <c r="S13" s="36">
        <v>76</v>
      </c>
      <c r="T13" s="40">
        <f t="shared" si="6"/>
        <v>-76</v>
      </c>
      <c r="U13" s="29">
        <f>-1*T13*B13</f>
        <v>19</v>
      </c>
      <c r="V13" s="35"/>
      <c r="X13" s="26">
        <v>0</v>
      </c>
      <c r="Y13" s="29"/>
      <c r="Z13" s="28">
        <v>112</v>
      </c>
      <c r="AA13">
        <v>115</v>
      </c>
      <c r="AB13" s="26">
        <v>-3</v>
      </c>
      <c r="AC13" s="29"/>
      <c r="AD13">
        <v>8</v>
      </c>
      <c r="AE13">
        <v>8</v>
      </c>
      <c r="AF13" s="26">
        <v>0</v>
      </c>
      <c r="AG13" s="29"/>
      <c r="AH13" s="28">
        <v>56</v>
      </c>
      <c r="AI13">
        <v>58</v>
      </c>
      <c r="AJ13" s="26">
        <v>-2</v>
      </c>
      <c r="AK13" s="29"/>
      <c r="AL13" s="30"/>
      <c r="AN13" s="26">
        <v>0</v>
      </c>
      <c r="AO13" s="29"/>
      <c r="AQ13">
        <v>10</v>
      </c>
      <c r="AR13" s="25">
        <v>-10</v>
      </c>
      <c r="AS13" s="29">
        <v>2.5</v>
      </c>
      <c r="AT13" s="28">
        <v>16</v>
      </c>
      <c r="AU13">
        <v>16</v>
      </c>
      <c r="AV13">
        <v>24</v>
      </c>
      <c r="AW13">
        <v>27</v>
      </c>
      <c r="AX13" s="26">
        <v>-3</v>
      </c>
      <c r="AY13" s="29"/>
      <c r="AZ13" s="30"/>
      <c r="BB13" s="26">
        <v>0</v>
      </c>
      <c r="BC13" s="29"/>
      <c r="BF13">
        <v>16</v>
      </c>
      <c r="BG13">
        <v>20</v>
      </c>
      <c r="BH13" s="26">
        <v>-4</v>
      </c>
      <c r="BI13" s="29"/>
      <c r="BJ13">
        <v>32</v>
      </c>
      <c r="BK13">
        <v>31</v>
      </c>
      <c r="BL13" s="26">
        <v>1</v>
      </c>
      <c r="BM13" s="29"/>
      <c r="BN13" s="28">
        <v>8</v>
      </c>
      <c r="BO13">
        <v>8</v>
      </c>
      <c r="BP13" s="26">
        <v>0</v>
      </c>
      <c r="BQ13" s="29"/>
      <c r="BR13" s="28">
        <v>32</v>
      </c>
      <c r="BS13">
        <v>32</v>
      </c>
      <c r="BT13" s="26">
        <v>0</v>
      </c>
      <c r="BU13" s="29"/>
      <c r="BX13" s="26">
        <v>0</v>
      </c>
      <c r="BY13" s="29"/>
      <c r="BZ13" s="30"/>
      <c r="CC13" s="26">
        <v>0</v>
      </c>
      <c r="CD13" s="29"/>
      <c r="CE13" s="30"/>
      <c r="CG13">
        <v>8</v>
      </c>
      <c r="CH13">
        <v>8</v>
      </c>
      <c r="CI13" s="26">
        <v>0</v>
      </c>
      <c r="CJ13" s="29"/>
      <c r="CK13" s="28">
        <v>40</v>
      </c>
      <c r="CM13">
        <v>44</v>
      </c>
      <c r="CN13" s="26">
        <v>-4</v>
      </c>
      <c r="CO13" s="29"/>
      <c r="CR13" s="26">
        <v>0</v>
      </c>
      <c r="CS13" s="29"/>
      <c r="CT13" s="34"/>
      <c r="CV13" s="26">
        <v>0</v>
      </c>
      <c r="CW13" s="29"/>
      <c r="CX13" s="28">
        <v>40</v>
      </c>
      <c r="CY13" s="26">
        <v>41.4</v>
      </c>
      <c r="CZ13" s="26">
        <v>-1.399999999999999</v>
      </c>
      <c r="DA13" s="29"/>
      <c r="DB13" s="30"/>
      <c r="DD13" s="26">
        <v>0</v>
      </c>
      <c r="DE13" s="29"/>
      <c r="DH13" s="26">
        <v>0</v>
      </c>
      <c r="DI13" s="29"/>
      <c r="DL13" s="26">
        <v>0</v>
      </c>
      <c r="DM13" s="29"/>
      <c r="DN13" s="30"/>
      <c r="DQ13" s="26">
        <v>0</v>
      </c>
      <c r="DR13" s="29"/>
      <c r="DS13" s="28">
        <v>16</v>
      </c>
      <c r="DU13">
        <v>21</v>
      </c>
      <c r="DV13" s="26">
        <v>-5</v>
      </c>
      <c r="DW13" s="29"/>
      <c r="DZ13" s="26">
        <v>0</v>
      </c>
      <c r="EA13" s="29"/>
      <c r="EB13" s="30"/>
      <c r="EE13">
        <v>24</v>
      </c>
      <c r="EF13">
        <v>27</v>
      </c>
      <c r="EG13" s="26">
        <v>-3</v>
      </c>
      <c r="EH13" s="29"/>
      <c r="EI13">
        <v>16</v>
      </c>
      <c r="EJ13" s="31">
        <v>15</v>
      </c>
      <c r="EK13" s="26">
        <v>1</v>
      </c>
      <c r="EL13" s="29"/>
      <c r="EM13" s="30"/>
      <c r="EQ13" s="26">
        <v>0</v>
      </c>
      <c r="ER13" s="29"/>
      <c r="EW13" s="26">
        <v>0</v>
      </c>
      <c r="EX13" s="29"/>
      <c r="FA13" s="26">
        <v>0</v>
      </c>
      <c r="FB13" s="29"/>
      <c r="FC13" s="30"/>
      <c r="FE13" s="26">
        <v>0</v>
      </c>
      <c r="FF13" s="29"/>
      <c r="FG13" s="30"/>
      <c r="FI13" s="26">
        <v>0</v>
      </c>
      <c r="FJ13" s="29"/>
      <c r="FM13" s="26">
        <v>0</v>
      </c>
      <c r="FN13" s="29"/>
      <c r="FO13" s="28">
        <v>48</v>
      </c>
      <c r="FP13">
        <v>50</v>
      </c>
      <c r="FQ13" s="26">
        <v>-2</v>
      </c>
      <c r="FR13" s="29"/>
      <c r="FS13" s="30"/>
      <c r="FU13" s="26">
        <v>0</v>
      </c>
      <c r="FV13" s="29"/>
      <c r="FY13" s="26">
        <v>0</v>
      </c>
      <c r="FZ13" s="32"/>
      <c r="GA13">
        <v>16</v>
      </c>
      <c r="GB13">
        <v>14</v>
      </c>
      <c r="GC13" s="26">
        <v>2</v>
      </c>
      <c r="GD13" s="29"/>
      <c r="GG13" s="26">
        <v>0</v>
      </c>
      <c r="GH13" s="32"/>
      <c r="GK13" s="26">
        <v>0</v>
      </c>
      <c r="GL13" s="29"/>
      <c r="GO13" s="26">
        <v>0</v>
      </c>
      <c r="GP13" s="32"/>
      <c r="GS13" s="26">
        <v>0</v>
      </c>
      <c r="GT13" s="29"/>
      <c r="GU13" s="34"/>
      <c r="GW13" s="26">
        <v>0</v>
      </c>
      <c r="GX13" s="32"/>
      <c r="HA13" s="26">
        <v>0</v>
      </c>
      <c r="HB13" s="32"/>
      <c r="HE13" s="26">
        <v>0</v>
      </c>
      <c r="HF13" s="32"/>
      <c r="HI13" s="26">
        <v>0</v>
      </c>
      <c r="HJ13" s="29"/>
      <c r="HK13">
        <v>32</v>
      </c>
      <c r="HL13">
        <v>32</v>
      </c>
      <c r="HM13">
        <v>24</v>
      </c>
      <c r="HN13">
        <v>28</v>
      </c>
      <c r="HO13" s="26">
        <v>-4</v>
      </c>
      <c r="HP13" s="32"/>
      <c r="HQ13" s="31">
        <v>48</v>
      </c>
      <c r="HR13" s="31">
        <v>50</v>
      </c>
      <c r="HS13" s="26">
        <v>-2</v>
      </c>
      <c r="HT13" s="32"/>
      <c r="HU13" s="31">
        <v>48</v>
      </c>
      <c r="HV13" s="31">
        <v>51.6</v>
      </c>
      <c r="HW13" s="26">
        <v>-3.600000000000001</v>
      </c>
      <c r="HX13" s="32"/>
      <c r="HY13" s="34">
        <v>0</v>
      </c>
      <c r="HZ13" s="31">
        <v>0</v>
      </c>
      <c r="IA13" s="26">
        <v>0</v>
      </c>
      <c r="IB13" s="32"/>
    </row>
    <row r="14" spans="1:236" x14ac:dyDescent="0.25">
      <c r="A14" s="26" t="s">
        <v>141</v>
      </c>
      <c r="B14" s="27">
        <v>0.15</v>
      </c>
      <c r="I14" s="30"/>
      <c r="J14" s="35"/>
      <c r="K14" s="35"/>
      <c r="L14" s="35">
        <f t="shared" si="4"/>
        <v>0</v>
      </c>
      <c r="M14" s="29"/>
      <c r="N14" s="30"/>
      <c r="O14" s="35"/>
      <c r="P14" s="35">
        <f t="shared" si="5"/>
        <v>0</v>
      </c>
      <c r="Q14" s="29"/>
      <c r="R14" s="30"/>
      <c r="S14" s="35"/>
      <c r="T14" s="35">
        <f t="shared" si="6"/>
        <v>0</v>
      </c>
      <c r="U14" s="29"/>
      <c r="V14" s="35"/>
      <c r="X14" s="26">
        <v>0</v>
      </c>
      <c r="Y14" s="29"/>
      <c r="Z14" s="30"/>
      <c r="AB14" s="26">
        <v>0</v>
      </c>
      <c r="AC14" s="29"/>
      <c r="AF14" s="26">
        <v>0</v>
      </c>
      <c r="AG14" s="29"/>
      <c r="AH14" s="30"/>
      <c r="AJ14" s="26">
        <v>0</v>
      </c>
      <c r="AK14" s="29"/>
      <c r="AL14" s="30"/>
      <c r="AN14" s="26">
        <v>0</v>
      </c>
      <c r="AO14" s="29"/>
      <c r="AR14" s="26">
        <v>0</v>
      </c>
      <c r="AS14" s="29"/>
      <c r="AT14" s="30"/>
      <c r="AX14" s="26">
        <v>0</v>
      </c>
      <c r="AY14" s="29"/>
      <c r="AZ14" s="30"/>
      <c r="BB14" s="26">
        <v>0</v>
      </c>
      <c r="BC14" s="29"/>
      <c r="BH14" s="26">
        <v>0</v>
      </c>
      <c r="BI14" s="29"/>
      <c r="BL14" s="26">
        <v>0</v>
      </c>
      <c r="BM14" s="29"/>
      <c r="BN14" s="30"/>
      <c r="BP14" s="26">
        <v>0</v>
      </c>
      <c r="BQ14" s="29"/>
      <c r="BR14" s="30"/>
      <c r="BT14" s="26">
        <v>0</v>
      </c>
      <c r="BU14" s="29"/>
      <c r="BX14" s="26">
        <v>0</v>
      </c>
      <c r="BY14" s="29"/>
      <c r="BZ14" s="30"/>
      <c r="CC14" s="26">
        <v>0</v>
      </c>
      <c r="CD14" s="29"/>
      <c r="CE14" s="30"/>
      <c r="CI14" s="26">
        <v>0</v>
      </c>
      <c r="CJ14" s="29"/>
      <c r="CK14" s="30"/>
      <c r="CN14" s="26">
        <v>0</v>
      </c>
      <c r="CO14" s="29"/>
      <c r="CR14" s="26">
        <v>0</v>
      </c>
      <c r="CS14" s="29"/>
      <c r="CT14" s="34"/>
      <c r="CV14" s="26">
        <v>0</v>
      </c>
      <c r="CW14" s="29"/>
      <c r="CX14" s="30"/>
      <c r="CZ14" s="26">
        <v>0</v>
      </c>
      <c r="DA14" s="29"/>
      <c r="DB14" s="30"/>
      <c r="DD14" s="26">
        <v>0</v>
      </c>
      <c r="DE14" s="29"/>
      <c r="DH14" s="26">
        <v>0</v>
      </c>
      <c r="DI14" s="29"/>
      <c r="DL14" s="26">
        <v>0</v>
      </c>
      <c r="DM14" s="29"/>
      <c r="DN14" s="30"/>
      <c r="DQ14" s="26">
        <v>0</v>
      </c>
      <c r="DR14" s="29"/>
      <c r="DS14" s="30"/>
      <c r="DV14" s="26">
        <v>0</v>
      </c>
      <c r="DW14" s="29"/>
      <c r="DZ14" s="26">
        <v>0</v>
      </c>
      <c r="EA14" s="29"/>
      <c r="EB14" s="30"/>
      <c r="EG14" s="26">
        <v>0</v>
      </c>
      <c r="EH14" s="29"/>
      <c r="EK14" s="26">
        <v>0</v>
      </c>
      <c r="EL14" s="29"/>
      <c r="EM14" s="30"/>
      <c r="EQ14" s="26">
        <v>0</v>
      </c>
      <c r="ER14" s="29"/>
      <c r="EW14" s="26">
        <v>0</v>
      </c>
      <c r="EX14" s="29"/>
      <c r="FA14" s="26">
        <v>0</v>
      </c>
      <c r="FB14" s="29"/>
      <c r="FC14" s="30"/>
      <c r="FE14" s="26">
        <v>0</v>
      </c>
      <c r="FF14" s="29"/>
      <c r="FG14" s="30"/>
      <c r="FI14" s="26">
        <v>0</v>
      </c>
      <c r="FJ14" s="29"/>
      <c r="FM14" s="26">
        <v>0</v>
      </c>
      <c r="FN14" s="29"/>
      <c r="FO14" s="30"/>
      <c r="FQ14" s="26">
        <v>0</v>
      </c>
      <c r="FR14" s="29"/>
      <c r="FS14" s="30"/>
      <c r="FU14" s="26">
        <v>0</v>
      </c>
      <c r="FV14" s="29"/>
      <c r="FY14" s="26">
        <v>0</v>
      </c>
      <c r="FZ14" s="32"/>
      <c r="GC14" s="26">
        <v>0</v>
      </c>
      <c r="GD14" s="29"/>
      <c r="GG14" s="26">
        <v>0</v>
      </c>
      <c r="GH14" s="32"/>
      <c r="GK14" s="26">
        <v>0</v>
      </c>
      <c r="GL14" s="29"/>
      <c r="GO14" s="26">
        <v>0</v>
      </c>
      <c r="GP14" s="32"/>
      <c r="GS14" s="26">
        <v>0</v>
      </c>
      <c r="GT14" s="29"/>
      <c r="GU14" s="34"/>
      <c r="GW14" s="26">
        <v>0</v>
      </c>
      <c r="GX14" s="32"/>
      <c r="HA14" s="26">
        <v>0</v>
      </c>
      <c r="HB14" s="32"/>
      <c r="HE14" s="26">
        <v>0</v>
      </c>
      <c r="HF14" s="32"/>
      <c r="HI14" s="26">
        <v>0</v>
      </c>
      <c r="HJ14" s="29"/>
      <c r="HK14" s="27"/>
      <c r="HM14" s="27"/>
      <c r="HO14" s="26">
        <v>0</v>
      </c>
      <c r="HP14" s="32"/>
      <c r="HQ14" s="31">
        <v>0</v>
      </c>
      <c r="HR14" s="31">
        <v>0</v>
      </c>
      <c r="HS14" s="26">
        <v>0</v>
      </c>
      <c r="HT14" s="32"/>
      <c r="HU14" s="31">
        <v>0</v>
      </c>
      <c r="HV14" s="31">
        <v>0</v>
      </c>
      <c r="HW14" s="26">
        <v>0</v>
      </c>
      <c r="HX14" s="32"/>
      <c r="HY14" s="34">
        <v>0</v>
      </c>
      <c r="HZ14" s="31">
        <v>0</v>
      </c>
      <c r="IA14" s="26">
        <v>0</v>
      </c>
      <c r="IB14" s="32"/>
    </row>
    <row r="15" spans="1:236" x14ac:dyDescent="0.25">
      <c r="A15" s="26" t="s">
        <v>142</v>
      </c>
      <c r="B15" s="27">
        <v>0.15</v>
      </c>
      <c r="I15" s="30"/>
      <c r="J15" s="35"/>
      <c r="K15" s="35"/>
      <c r="L15" s="35">
        <f t="shared" si="4"/>
        <v>0</v>
      </c>
      <c r="M15" s="29"/>
      <c r="N15" s="30"/>
      <c r="O15" s="35"/>
      <c r="P15" s="35">
        <f t="shared" si="5"/>
        <v>0</v>
      </c>
      <c r="Q15" s="29"/>
      <c r="R15" s="30"/>
      <c r="S15" s="35"/>
      <c r="T15" s="35">
        <f t="shared" si="6"/>
        <v>0</v>
      </c>
      <c r="U15" s="29"/>
      <c r="V15" s="35"/>
      <c r="X15" s="26">
        <v>0</v>
      </c>
      <c r="Y15" s="29"/>
      <c r="Z15" s="30"/>
      <c r="AB15" s="26">
        <v>0</v>
      </c>
      <c r="AC15" s="29"/>
      <c r="AF15" s="26">
        <v>0</v>
      </c>
      <c r="AG15" s="29"/>
      <c r="AH15" s="30"/>
      <c r="AJ15" s="26">
        <v>0</v>
      </c>
      <c r="AK15" s="29"/>
      <c r="AL15" s="30"/>
      <c r="AN15" s="26">
        <v>0</v>
      </c>
      <c r="AO15" s="29"/>
      <c r="AR15" s="26">
        <v>0</v>
      </c>
      <c r="AS15" s="29"/>
      <c r="AT15" s="30"/>
      <c r="AX15" s="26">
        <v>0</v>
      </c>
      <c r="AY15" s="29"/>
      <c r="AZ15" s="30"/>
      <c r="BB15" s="26">
        <v>0</v>
      </c>
      <c r="BC15" s="29"/>
      <c r="BH15" s="26">
        <v>0</v>
      </c>
      <c r="BI15" s="29"/>
      <c r="BL15" s="26">
        <v>0</v>
      </c>
      <c r="BM15" s="29"/>
      <c r="BN15" s="30"/>
      <c r="BP15" s="26">
        <v>0</v>
      </c>
      <c r="BQ15" s="29"/>
      <c r="BR15" s="30"/>
      <c r="BT15" s="26">
        <v>0</v>
      </c>
      <c r="BU15" s="29"/>
      <c r="BX15" s="26">
        <v>0</v>
      </c>
      <c r="BY15" s="29"/>
      <c r="BZ15" s="30"/>
      <c r="CC15" s="26">
        <v>0</v>
      </c>
      <c r="CD15" s="29"/>
      <c r="CE15" s="30"/>
      <c r="CI15" s="26">
        <v>0</v>
      </c>
      <c r="CJ15" s="29"/>
      <c r="CK15" s="30"/>
      <c r="CN15" s="26">
        <v>0</v>
      </c>
      <c r="CO15" s="29"/>
      <c r="CR15" s="26">
        <v>0</v>
      </c>
      <c r="CS15" s="29"/>
      <c r="CT15" s="34"/>
      <c r="CV15" s="26">
        <v>0</v>
      </c>
      <c r="CW15" s="29"/>
      <c r="CX15" s="30"/>
      <c r="CZ15" s="26">
        <v>0</v>
      </c>
      <c r="DA15" s="29"/>
      <c r="DB15" s="30"/>
      <c r="DD15" s="26">
        <v>0</v>
      </c>
      <c r="DE15" s="29"/>
      <c r="DH15" s="26">
        <v>0</v>
      </c>
      <c r="DI15" s="29"/>
      <c r="DL15" s="26">
        <v>0</v>
      </c>
      <c r="DM15" s="29"/>
      <c r="DN15" s="30"/>
      <c r="DQ15" s="26">
        <v>0</v>
      </c>
      <c r="DR15" s="29"/>
      <c r="DS15" s="30"/>
      <c r="DV15" s="26">
        <v>0</v>
      </c>
      <c r="DW15" s="29"/>
      <c r="DZ15" s="26">
        <v>0</v>
      </c>
      <c r="EA15" s="29"/>
      <c r="EB15" s="30"/>
      <c r="EG15" s="26">
        <v>0</v>
      </c>
      <c r="EH15" s="29"/>
      <c r="EK15" s="26">
        <v>0</v>
      </c>
      <c r="EL15" s="29"/>
      <c r="EM15" s="30"/>
      <c r="EQ15" s="26">
        <v>0</v>
      </c>
      <c r="ER15" s="29"/>
      <c r="EW15" s="26">
        <v>0</v>
      </c>
      <c r="EX15" s="29"/>
      <c r="FA15" s="26">
        <v>0</v>
      </c>
      <c r="FB15" s="29"/>
      <c r="FC15" s="30"/>
      <c r="FE15" s="26">
        <v>0</v>
      </c>
      <c r="FF15" s="29"/>
      <c r="FG15" s="30"/>
      <c r="FI15" s="26">
        <v>0</v>
      </c>
      <c r="FJ15" s="29"/>
      <c r="FM15" s="26">
        <v>0</v>
      </c>
      <c r="FN15" s="29"/>
      <c r="FO15" s="30"/>
      <c r="FQ15" s="26">
        <v>0</v>
      </c>
      <c r="FR15" s="29"/>
      <c r="FS15" s="30"/>
      <c r="FU15" s="26">
        <v>0</v>
      </c>
      <c r="FV15" s="29"/>
      <c r="FY15" s="26">
        <v>0</v>
      </c>
      <c r="FZ15" s="32"/>
      <c r="GC15" s="26">
        <v>0</v>
      </c>
      <c r="GD15" s="29"/>
      <c r="GG15" s="26">
        <v>0</v>
      </c>
      <c r="GH15" s="32"/>
      <c r="GK15" s="26">
        <v>0</v>
      </c>
      <c r="GL15" s="29"/>
      <c r="GO15" s="26">
        <v>0</v>
      </c>
      <c r="GP15" s="32"/>
      <c r="GS15" s="26">
        <v>0</v>
      </c>
      <c r="GT15" s="29"/>
      <c r="GU15" s="34"/>
      <c r="GW15" s="26">
        <v>0</v>
      </c>
      <c r="GX15" s="32"/>
      <c r="HA15" s="26">
        <v>0</v>
      </c>
      <c r="HB15" s="32"/>
      <c r="HE15" s="26">
        <v>0</v>
      </c>
      <c r="HF15" s="32"/>
      <c r="HI15" s="26">
        <v>0</v>
      </c>
      <c r="HJ15" s="29"/>
      <c r="HK15" s="27"/>
      <c r="HM15" s="27"/>
      <c r="HO15" s="26">
        <v>0</v>
      </c>
      <c r="HP15" s="32"/>
      <c r="HQ15" s="31">
        <v>0</v>
      </c>
      <c r="HR15" s="31">
        <v>0</v>
      </c>
      <c r="HS15" s="26">
        <v>0</v>
      </c>
      <c r="HT15" s="32"/>
      <c r="HU15" s="31">
        <v>0</v>
      </c>
      <c r="HV15" s="31">
        <v>0</v>
      </c>
      <c r="HW15" s="26">
        <v>0</v>
      </c>
      <c r="HX15" s="32"/>
      <c r="HY15" s="34">
        <v>0</v>
      </c>
      <c r="HZ15" s="31">
        <v>0</v>
      </c>
      <c r="IA15" s="26">
        <v>0</v>
      </c>
      <c r="IB15" s="32"/>
    </row>
    <row r="16" spans="1:236" x14ac:dyDescent="0.25">
      <c r="A16" s="26" t="s">
        <v>143</v>
      </c>
      <c r="B16" s="27">
        <v>0.15</v>
      </c>
      <c r="I16" s="30"/>
      <c r="J16" s="35"/>
      <c r="K16" s="35"/>
      <c r="L16" s="35">
        <f t="shared" si="4"/>
        <v>0</v>
      </c>
      <c r="M16" s="29"/>
      <c r="N16" s="30"/>
      <c r="O16" s="35"/>
      <c r="P16" s="35">
        <f t="shared" si="5"/>
        <v>0</v>
      </c>
      <c r="Q16" s="29"/>
      <c r="R16" s="30"/>
      <c r="S16" s="35"/>
      <c r="T16" s="35">
        <f t="shared" si="6"/>
        <v>0</v>
      </c>
      <c r="U16" s="29"/>
      <c r="V16" s="35"/>
      <c r="X16" s="26">
        <v>0</v>
      </c>
      <c r="Y16" s="29"/>
      <c r="Z16" s="30"/>
      <c r="AB16" s="26">
        <v>0</v>
      </c>
      <c r="AC16" s="29"/>
      <c r="AF16" s="26">
        <v>0</v>
      </c>
      <c r="AG16" s="29"/>
      <c r="AH16" s="30"/>
      <c r="AJ16" s="26">
        <v>0</v>
      </c>
      <c r="AK16" s="29"/>
      <c r="AL16" s="30"/>
      <c r="AN16" s="26">
        <v>0</v>
      </c>
      <c r="AO16" s="29"/>
      <c r="AR16" s="26">
        <v>0</v>
      </c>
      <c r="AS16" s="29"/>
      <c r="AT16" s="30"/>
      <c r="AX16" s="26">
        <v>0</v>
      </c>
      <c r="AY16" s="29"/>
      <c r="AZ16" s="30"/>
      <c r="BB16" s="26">
        <v>0</v>
      </c>
      <c r="BC16" s="29"/>
      <c r="BH16" s="26">
        <v>0</v>
      </c>
      <c r="BI16" s="29"/>
      <c r="BL16" s="26">
        <v>0</v>
      </c>
      <c r="BM16" s="29"/>
      <c r="BN16" s="30"/>
      <c r="BP16" s="26">
        <v>0</v>
      </c>
      <c r="BQ16" s="29"/>
      <c r="BR16" s="30"/>
      <c r="BT16" s="26">
        <v>0</v>
      </c>
      <c r="BU16" s="29"/>
      <c r="BX16" s="26">
        <v>0</v>
      </c>
      <c r="BY16" s="29"/>
      <c r="BZ16" s="30"/>
      <c r="CC16" s="26">
        <v>0</v>
      </c>
      <c r="CD16" s="29"/>
      <c r="CE16" s="30"/>
      <c r="CI16" s="26">
        <v>0</v>
      </c>
      <c r="CJ16" s="29"/>
      <c r="CK16" s="30"/>
      <c r="CN16" s="26">
        <v>0</v>
      </c>
      <c r="CO16" s="29"/>
      <c r="CR16" s="26">
        <v>0</v>
      </c>
      <c r="CS16" s="29"/>
      <c r="CT16" s="34"/>
      <c r="CV16" s="26">
        <v>0</v>
      </c>
      <c r="CW16" s="29"/>
      <c r="CX16" s="30"/>
      <c r="CZ16" s="26">
        <v>0</v>
      </c>
      <c r="DA16" s="29"/>
      <c r="DB16" s="30"/>
      <c r="DD16" s="26">
        <v>0</v>
      </c>
      <c r="DE16" s="29"/>
      <c r="DH16" s="26">
        <v>0</v>
      </c>
      <c r="DI16" s="29"/>
      <c r="DL16" s="26">
        <v>0</v>
      </c>
      <c r="DM16" s="29"/>
      <c r="DN16" s="30"/>
      <c r="DQ16" s="26">
        <v>0</v>
      </c>
      <c r="DR16" s="29"/>
      <c r="DS16" s="30"/>
      <c r="DV16" s="26">
        <v>0</v>
      </c>
      <c r="DW16" s="29"/>
      <c r="DZ16" s="26">
        <v>0</v>
      </c>
      <c r="EA16" s="29"/>
      <c r="EB16" s="30"/>
      <c r="EG16" s="26">
        <v>0</v>
      </c>
      <c r="EH16" s="29"/>
      <c r="EK16" s="26">
        <v>0</v>
      </c>
      <c r="EL16" s="29"/>
      <c r="EM16" s="30"/>
      <c r="EQ16" s="26">
        <v>0</v>
      </c>
      <c r="ER16" s="29"/>
      <c r="EW16" s="26">
        <v>0</v>
      </c>
      <c r="EX16" s="29"/>
      <c r="FA16" s="26">
        <v>0</v>
      </c>
      <c r="FB16" s="29"/>
      <c r="FC16" s="30"/>
      <c r="FE16" s="26">
        <v>0</v>
      </c>
      <c r="FF16" s="29"/>
      <c r="FG16" s="30"/>
      <c r="FI16" s="26">
        <v>0</v>
      </c>
      <c r="FJ16" s="29"/>
      <c r="FM16" s="26">
        <v>0</v>
      </c>
      <c r="FN16" s="29"/>
      <c r="FO16" s="30"/>
      <c r="FQ16" s="26">
        <v>0</v>
      </c>
      <c r="FR16" s="29"/>
      <c r="FS16" s="30"/>
      <c r="FU16" s="26">
        <v>0</v>
      </c>
      <c r="FV16" s="29"/>
      <c r="FY16" s="26">
        <v>0</v>
      </c>
      <c r="FZ16" s="32"/>
      <c r="GC16" s="26">
        <v>0</v>
      </c>
      <c r="GD16" s="29"/>
      <c r="GG16" s="26">
        <v>0</v>
      </c>
      <c r="GH16" s="32"/>
      <c r="GK16" s="26">
        <v>0</v>
      </c>
      <c r="GL16" s="29"/>
      <c r="GO16" s="26">
        <v>0</v>
      </c>
      <c r="GP16" s="32"/>
      <c r="GS16" s="26">
        <v>0</v>
      </c>
      <c r="GT16" s="29"/>
      <c r="GU16" s="34"/>
      <c r="GW16" s="26">
        <v>0</v>
      </c>
      <c r="GX16" s="32"/>
      <c r="HA16" s="26">
        <v>0</v>
      </c>
      <c r="HB16" s="32"/>
      <c r="HE16" s="26">
        <v>0</v>
      </c>
      <c r="HF16" s="32"/>
      <c r="HI16" s="26">
        <v>0</v>
      </c>
      <c r="HJ16" s="29"/>
      <c r="HK16" s="27"/>
      <c r="HM16" s="27"/>
      <c r="HO16" s="26">
        <v>0</v>
      </c>
      <c r="HP16" s="32"/>
      <c r="HQ16" s="31">
        <v>0</v>
      </c>
      <c r="HR16" s="31">
        <v>0</v>
      </c>
      <c r="HS16" s="26">
        <v>0</v>
      </c>
      <c r="HT16" s="32"/>
      <c r="HU16" s="31">
        <v>0</v>
      </c>
      <c r="HV16" s="31">
        <v>0</v>
      </c>
      <c r="HW16" s="26">
        <v>0</v>
      </c>
      <c r="HX16" s="32"/>
      <c r="HY16" s="34">
        <v>0</v>
      </c>
      <c r="HZ16" s="31">
        <v>0</v>
      </c>
      <c r="IA16" s="26">
        <v>0</v>
      </c>
      <c r="IB16" s="32"/>
    </row>
    <row r="17" spans="1:236" x14ac:dyDescent="0.25">
      <c r="A17" s="26" t="s">
        <v>144</v>
      </c>
      <c r="B17" s="27">
        <v>1</v>
      </c>
      <c r="I17" s="30"/>
      <c r="J17" s="35"/>
      <c r="K17" s="35"/>
      <c r="L17" s="35">
        <f t="shared" si="4"/>
        <v>0</v>
      </c>
      <c r="M17" s="29"/>
      <c r="N17" s="30"/>
      <c r="O17" s="35"/>
      <c r="P17" s="35">
        <f t="shared" si="5"/>
        <v>0</v>
      </c>
      <c r="Q17" s="29"/>
      <c r="R17" s="30"/>
      <c r="S17" s="35"/>
      <c r="T17" s="35">
        <f t="shared" si="6"/>
        <v>0</v>
      </c>
      <c r="U17" s="29"/>
      <c r="V17" s="35"/>
      <c r="X17" s="26">
        <v>0</v>
      </c>
      <c r="Y17" s="29"/>
      <c r="Z17" s="30"/>
      <c r="AB17" s="26">
        <v>0</v>
      </c>
      <c r="AC17" s="29"/>
      <c r="AF17" s="26">
        <v>0</v>
      </c>
      <c r="AG17" s="29"/>
      <c r="AH17" s="30"/>
      <c r="AJ17" s="26">
        <v>0</v>
      </c>
      <c r="AK17" s="29"/>
      <c r="AL17" s="30"/>
      <c r="AN17" s="26">
        <v>0</v>
      </c>
      <c r="AO17" s="29"/>
      <c r="AR17" s="26">
        <v>0</v>
      </c>
      <c r="AS17" s="29"/>
      <c r="AT17" s="30"/>
      <c r="AX17" s="26">
        <v>0</v>
      </c>
      <c r="AY17" s="29"/>
      <c r="AZ17" s="30"/>
      <c r="BB17" s="26">
        <v>0</v>
      </c>
      <c r="BC17" s="29"/>
      <c r="BH17" s="26">
        <v>0</v>
      </c>
      <c r="BI17" s="29"/>
      <c r="BL17" s="26">
        <v>0</v>
      </c>
      <c r="BM17" s="29"/>
      <c r="BN17" s="30"/>
      <c r="BP17" s="26">
        <v>0</v>
      </c>
      <c r="BQ17" s="29"/>
      <c r="BR17" s="30"/>
      <c r="BT17" s="26">
        <v>0</v>
      </c>
      <c r="BU17" s="29"/>
      <c r="BX17" s="26">
        <v>0</v>
      </c>
      <c r="BY17" s="29"/>
      <c r="BZ17" s="30"/>
      <c r="CC17" s="26">
        <v>0</v>
      </c>
      <c r="CD17" s="29"/>
      <c r="CE17" s="30"/>
      <c r="CI17" s="26">
        <v>0</v>
      </c>
      <c r="CJ17" s="29"/>
      <c r="CK17" s="30"/>
      <c r="CN17" s="26">
        <v>0</v>
      </c>
      <c r="CO17" s="29"/>
      <c r="CR17" s="26">
        <v>0</v>
      </c>
      <c r="CS17" s="29"/>
      <c r="CT17" s="34"/>
      <c r="CV17" s="26">
        <v>0</v>
      </c>
      <c r="CW17" s="29"/>
      <c r="CX17" s="30"/>
      <c r="CZ17" s="26">
        <v>0</v>
      </c>
      <c r="DA17" s="29"/>
      <c r="DB17" s="30"/>
      <c r="DD17" s="26">
        <v>0</v>
      </c>
      <c r="DE17" s="29"/>
      <c r="DH17" s="26">
        <v>0</v>
      </c>
      <c r="DI17" s="29"/>
      <c r="DL17" s="26">
        <v>0</v>
      </c>
      <c r="DM17" s="29"/>
      <c r="DN17" s="30"/>
      <c r="DQ17" s="26">
        <v>0</v>
      </c>
      <c r="DR17" s="29"/>
      <c r="DS17" s="30"/>
      <c r="DV17" s="26">
        <v>0</v>
      </c>
      <c r="DW17" s="29"/>
      <c r="DZ17" s="26">
        <v>0</v>
      </c>
      <c r="EA17" s="29"/>
      <c r="EB17" s="30"/>
      <c r="EG17" s="26">
        <v>0</v>
      </c>
      <c r="EH17" s="29"/>
      <c r="EK17" s="26">
        <v>0</v>
      </c>
      <c r="EL17" s="29"/>
      <c r="EM17" s="30"/>
      <c r="EQ17" s="26">
        <v>0</v>
      </c>
      <c r="ER17" s="29"/>
      <c r="EW17" s="26">
        <v>0</v>
      </c>
      <c r="EX17" s="29"/>
      <c r="FA17" s="26">
        <v>0</v>
      </c>
      <c r="FB17" s="29"/>
      <c r="FC17" s="30"/>
      <c r="FE17" s="26">
        <v>0</v>
      </c>
      <c r="FF17" s="29"/>
      <c r="FG17" s="30"/>
      <c r="FI17" s="26">
        <v>0</v>
      </c>
      <c r="FJ17" s="29"/>
      <c r="FM17" s="26">
        <v>0</v>
      </c>
      <c r="FN17" s="29"/>
      <c r="FO17" s="30"/>
      <c r="FQ17" s="26">
        <v>0</v>
      </c>
      <c r="FR17" s="29"/>
      <c r="FS17" s="30"/>
      <c r="FU17" s="26">
        <v>0</v>
      </c>
      <c r="FV17" s="29"/>
      <c r="FY17" s="26">
        <v>0</v>
      </c>
      <c r="FZ17" s="32"/>
      <c r="GC17" s="26">
        <v>0</v>
      </c>
      <c r="GD17" s="29"/>
      <c r="GG17" s="26">
        <v>0</v>
      </c>
      <c r="GH17" s="32"/>
      <c r="GK17" s="26">
        <v>0</v>
      </c>
      <c r="GL17" s="29"/>
      <c r="GO17" s="26">
        <v>0</v>
      </c>
      <c r="GP17" s="32"/>
      <c r="GS17" s="26">
        <v>0</v>
      </c>
      <c r="GT17" s="29"/>
      <c r="GU17" s="34"/>
      <c r="GW17" s="26">
        <v>0</v>
      </c>
      <c r="GX17" s="32"/>
      <c r="HA17" s="26">
        <v>0</v>
      </c>
      <c r="HB17" s="32"/>
      <c r="HE17" s="26">
        <v>0</v>
      </c>
      <c r="HF17" s="32"/>
      <c r="HI17" s="26">
        <v>0</v>
      </c>
      <c r="HJ17" s="29"/>
      <c r="HK17" s="27"/>
      <c r="HM17" s="27"/>
      <c r="HO17" s="26">
        <v>0</v>
      </c>
      <c r="HP17" s="32"/>
      <c r="HQ17" s="31">
        <v>0</v>
      </c>
      <c r="HR17" s="31">
        <v>0</v>
      </c>
      <c r="HS17" s="26">
        <v>0</v>
      </c>
      <c r="HT17" s="32"/>
      <c r="HU17" s="31">
        <v>0</v>
      </c>
      <c r="HV17" s="31">
        <v>0</v>
      </c>
      <c r="HW17" s="26">
        <v>0</v>
      </c>
      <c r="HX17" s="32"/>
      <c r="HY17" s="34">
        <v>0</v>
      </c>
      <c r="HZ17" s="31">
        <v>0</v>
      </c>
      <c r="IA17" s="26">
        <v>0</v>
      </c>
      <c r="IB17" s="32"/>
    </row>
    <row r="18" spans="1:236" x14ac:dyDescent="0.25">
      <c r="A18" s="26" t="s">
        <v>145</v>
      </c>
      <c r="B18" s="27">
        <v>1</v>
      </c>
      <c r="I18" s="30"/>
      <c r="J18" s="35"/>
      <c r="K18" s="35"/>
      <c r="L18" s="35">
        <f t="shared" si="4"/>
        <v>0</v>
      </c>
      <c r="M18" s="29"/>
      <c r="N18" s="30"/>
      <c r="O18" s="35"/>
      <c r="P18" s="35">
        <f t="shared" si="5"/>
        <v>0</v>
      </c>
      <c r="Q18" s="29"/>
      <c r="R18" s="30"/>
      <c r="S18" s="35"/>
      <c r="T18" s="35">
        <f t="shared" si="6"/>
        <v>0</v>
      </c>
      <c r="U18" s="29"/>
      <c r="V18" s="35"/>
      <c r="X18" s="26">
        <v>0</v>
      </c>
      <c r="Y18" s="29"/>
      <c r="Z18" s="30"/>
      <c r="AB18" s="26">
        <v>0</v>
      </c>
      <c r="AC18" s="29"/>
      <c r="AF18" s="26">
        <v>0</v>
      </c>
      <c r="AG18" s="29"/>
      <c r="AH18" s="30"/>
      <c r="AJ18" s="26">
        <v>0</v>
      </c>
      <c r="AK18" s="29"/>
      <c r="AL18" s="30"/>
      <c r="AN18" s="26">
        <v>0</v>
      </c>
      <c r="AO18" s="29"/>
      <c r="AR18" s="26">
        <v>0</v>
      </c>
      <c r="AS18" s="29"/>
      <c r="AT18" s="30"/>
      <c r="AX18" s="26">
        <v>0</v>
      </c>
      <c r="AY18" s="29"/>
      <c r="AZ18" s="30"/>
      <c r="BB18" s="26">
        <v>0</v>
      </c>
      <c r="BC18" s="29"/>
      <c r="BH18" s="26">
        <v>0</v>
      </c>
      <c r="BI18" s="29"/>
      <c r="BL18" s="26">
        <v>0</v>
      </c>
      <c r="BM18" s="29"/>
      <c r="BN18" s="30"/>
      <c r="BP18" s="26">
        <v>0</v>
      </c>
      <c r="BQ18" s="29"/>
      <c r="BR18" s="30"/>
      <c r="BT18" s="26">
        <v>0</v>
      </c>
      <c r="BU18" s="29"/>
      <c r="BX18" s="26">
        <v>0</v>
      </c>
      <c r="BY18" s="29"/>
      <c r="BZ18" s="30"/>
      <c r="CC18" s="26">
        <v>0</v>
      </c>
      <c r="CD18" s="29"/>
      <c r="CE18" s="30"/>
      <c r="CI18" s="26">
        <v>0</v>
      </c>
      <c r="CJ18" s="29"/>
      <c r="CK18" s="30"/>
      <c r="CN18" s="26">
        <v>0</v>
      </c>
      <c r="CO18" s="29"/>
      <c r="CR18" s="26">
        <v>0</v>
      </c>
      <c r="CS18" s="29"/>
      <c r="CT18" s="34"/>
      <c r="CV18" s="26">
        <v>0</v>
      </c>
      <c r="CW18" s="29"/>
      <c r="CX18" s="30"/>
      <c r="CZ18" s="26">
        <v>0</v>
      </c>
      <c r="DA18" s="29"/>
      <c r="DB18" s="30"/>
      <c r="DD18" s="26">
        <v>0</v>
      </c>
      <c r="DE18" s="29"/>
      <c r="DH18" s="26">
        <v>0</v>
      </c>
      <c r="DI18" s="29"/>
      <c r="DL18" s="26">
        <v>0</v>
      </c>
      <c r="DM18" s="29"/>
      <c r="DN18" s="30"/>
      <c r="DQ18" s="26">
        <v>0</v>
      </c>
      <c r="DR18" s="29"/>
      <c r="DS18" s="30"/>
      <c r="DV18" s="26">
        <v>0</v>
      </c>
      <c r="DW18" s="29"/>
      <c r="DZ18" s="26">
        <v>0</v>
      </c>
      <c r="EA18" s="29"/>
      <c r="EB18" s="30"/>
      <c r="EG18" s="26">
        <v>0</v>
      </c>
      <c r="EH18" s="29"/>
      <c r="EK18" s="26">
        <v>0</v>
      </c>
      <c r="EL18" s="29"/>
      <c r="EM18" s="30"/>
      <c r="EQ18" s="26">
        <v>0</v>
      </c>
      <c r="ER18" s="29"/>
      <c r="EW18" s="26">
        <v>0</v>
      </c>
      <c r="EX18" s="29"/>
      <c r="FA18" s="26">
        <v>0</v>
      </c>
      <c r="FB18" s="29"/>
      <c r="FC18" s="30"/>
      <c r="FE18" s="26">
        <v>0</v>
      </c>
      <c r="FF18" s="29"/>
      <c r="FG18" s="30"/>
      <c r="FI18" s="26">
        <v>0</v>
      </c>
      <c r="FJ18" s="29"/>
      <c r="FM18" s="26">
        <v>0</v>
      </c>
      <c r="FN18" s="29"/>
      <c r="FO18" s="30"/>
      <c r="FQ18" s="26">
        <v>0</v>
      </c>
      <c r="FR18" s="29"/>
      <c r="FS18" s="30"/>
      <c r="FU18" s="26">
        <v>0</v>
      </c>
      <c r="FV18" s="29"/>
      <c r="FY18" s="26">
        <v>0</v>
      </c>
      <c r="FZ18" s="32"/>
      <c r="GC18" s="26">
        <v>0</v>
      </c>
      <c r="GD18" s="29"/>
      <c r="GG18" s="26">
        <v>0</v>
      </c>
      <c r="GH18" s="32"/>
      <c r="GK18" s="26">
        <v>0</v>
      </c>
      <c r="GL18" s="29"/>
      <c r="GO18" s="26">
        <v>0</v>
      </c>
      <c r="GP18" s="32"/>
      <c r="GS18" s="26">
        <v>0</v>
      </c>
      <c r="GT18" s="29"/>
      <c r="GU18" s="34"/>
      <c r="GW18" s="26">
        <v>0</v>
      </c>
      <c r="GX18" s="32"/>
      <c r="HA18" s="26">
        <v>0</v>
      </c>
      <c r="HB18" s="32"/>
      <c r="HE18" s="26">
        <v>0</v>
      </c>
      <c r="HF18" s="32"/>
      <c r="HI18" s="26">
        <v>0</v>
      </c>
      <c r="HJ18" s="29"/>
      <c r="HK18" s="27"/>
      <c r="HM18" s="27"/>
      <c r="HO18" s="26">
        <v>0</v>
      </c>
      <c r="HP18" s="32"/>
      <c r="HQ18" s="31">
        <v>0</v>
      </c>
      <c r="HR18" s="31">
        <v>0</v>
      </c>
      <c r="HS18" s="26">
        <v>0</v>
      </c>
      <c r="HT18" s="32"/>
      <c r="HU18" s="31">
        <v>0</v>
      </c>
      <c r="HV18" s="31">
        <v>0</v>
      </c>
      <c r="HW18" s="26">
        <v>0</v>
      </c>
      <c r="HX18" s="32"/>
      <c r="HY18" s="34">
        <v>0</v>
      </c>
      <c r="HZ18" s="31">
        <v>0</v>
      </c>
      <c r="IA18" s="26">
        <v>0</v>
      </c>
      <c r="IB18" s="32"/>
    </row>
    <row r="19" spans="1:236" x14ac:dyDescent="0.25">
      <c r="A19" s="26" t="s">
        <v>146</v>
      </c>
      <c r="B19" s="27">
        <v>1</v>
      </c>
      <c r="I19" s="30"/>
      <c r="J19" s="35"/>
      <c r="K19" s="35"/>
      <c r="L19" s="35">
        <f t="shared" si="4"/>
        <v>0</v>
      </c>
      <c r="M19" s="29"/>
      <c r="N19" s="30"/>
      <c r="O19" s="35"/>
      <c r="P19" s="35">
        <f t="shared" si="5"/>
        <v>0</v>
      </c>
      <c r="Q19" s="29"/>
      <c r="R19" s="30"/>
      <c r="S19" s="35"/>
      <c r="T19" s="35">
        <f t="shared" si="6"/>
        <v>0</v>
      </c>
      <c r="U19" s="29"/>
      <c r="V19" s="35"/>
      <c r="X19" s="26">
        <v>0</v>
      </c>
      <c r="Y19" s="29"/>
      <c r="Z19" s="30"/>
      <c r="AB19" s="26">
        <v>0</v>
      </c>
      <c r="AC19" s="29"/>
      <c r="AF19" s="26">
        <v>0</v>
      </c>
      <c r="AG19" s="29"/>
      <c r="AH19" s="30"/>
      <c r="AJ19" s="26">
        <v>0</v>
      </c>
      <c r="AK19" s="29"/>
      <c r="AL19" s="30"/>
      <c r="AN19" s="26">
        <v>0</v>
      </c>
      <c r="AO19" s="29"/>
      <c r="AR19" s="26">
        <v>0</v>
      </c>
      <c r="AS19" s="29"/>
      <c r="AT19" s="30"/>
      <c r="AX19" s="26">
        <v>0</v>
      </c>
      <c r="AY19" s="29"/>
      <c r="AZ19" s="30"/>
      <c r="BB19" s="26">
        <v>0</v>
      </c>
      <c r="BC19" s="29"/>
      <c r="BH19" s="26">
        <v>0</v>
      </c>
      <c r="BI19" s="29"/>
      <c r="BL19" s="26">
        <v>0</v>
      </c>
      <c r="BM19" s="29"/>
      <c r="BN19" s="30"/>
      <c r="BP19" s="26">
        <v>0</v>
      </c>
      <c r="BQ19" s="29"/>
      <c r="BR19" s="30"/>
      <c r="BT19" s="26">
        <v>0</v>
      </c>
      <c r="BU19" s="29"/>
      <c r="BX19" s="26">
        <v>0</v>
      </c>
      <c r="BY19" s="29"/>
      <c r="BZ19" s="30"/>
      <c r="CC19" s="26">
        <v>0</v>
      </c>
      <c r="CD19" s="29"/>
      <c r="CE19" s="30"/>
      <c r="CI19" s="26">
        <v>0</v>
      </c>
      <c r="CJ19" s="29"/>
      <c r="CK19" s="30"/>
      <c r="CN19" s="26">
        <v>0</v>
      </c>
      <c r="CO19" s="29"/>
      <c r="CR19" s="26">
        <v>0</v>
      </c>
      <c r="CS19" s="29"/>
      <c r="CT19" s="34"/>
      <c r="CV19" s="26">
        <v>0</v>
      </c>
      <c r="CW19" s="29"/>
      <c r="CX19" s="30"/>
      <c r="CZ19" s="26">
        <v>0</v>
      </c>
      <c r="DA19" s="29"/>
      <c r="DB19" s="30"/>
      <c r="DD19" s="26">
        <v>0</v>
      </c>
      <c r="DE19" s="29"/>
      <c r="DH19" s="26">
        <v>0</v>
      </c>
      <c r="DI19" s="29"/>
      <c r="DL19" s="26">
        <v>0</v>
      </c>
      <c r="DM19" s="29"/>
      <c r="DN19" s="30"/>
      <c r="DQ19" s="26">
        <v>0</v>
      </c>
      <c r="DR19" s="29"/>
      <c r="DS19" s="30"/>
      <c r="DV19" s="26">
        <v>0</v>
      </c>
      <c r="DW19" s="29"/>
      <c r="DZ19" s="26">
        <v>0</v>
      </c>
      <c r="EA19" s="29"/>
      <c r="EB19" s="30"/>
      <c r="EG19" s="26">
        <v>0</v>
      </c>
      <c r="EH19" s="29"/>
      <c r="EK19" s="26">
        <v>0</v>
      </c>
      <c r="EL19" s="29"/>
      <c r="EM19" s="30"/>
      <c r="EQ19" s="26">
        <v>0</v>
      </c>
      <c r="ER19" s="29"/>
      <c r="EW19" s="26">
        <v>0</v>
      </c>
      <c r="EX19" s="29"/>
      <c r="FA19" s="26">
        <v>0</v>
      </c>
      <c r="FB19" s="29"/>
      <c r="FC19" s="30"/>
      <c r="FE19" s="26">
        <v>0</v>
      </c>
      <c r="FF19" s="29"/>
      <c r="FG19" s="30"/>
      <c r="FI19" s="26">
        <v>0</v>
      </c>
      <c r="FJ19" s="29"/>
      <c r="FM19" s="26">
        <v>0</v>
      </c>
      <c r="FN19" s="29"/>
      <c r="FO19" s="30"/>
      <c r="FQ19" s="26">
        <v>0</v>
      </c>
      <c r="FR19" s="29"/>
      <c r="FS19" s="30"/>
      <c r="FU19" s="26">
        <v>0</v>
      </c>
      <c r="FV19" s="29"/>
      <c r="FY19" s="26">
        <v>0</v>
      </c>
      <c r="FZ19" s="32"/>
      <c r="GC19" s="26">
        <v>0</v>
      </c>
      <c r="GD19" s="29"/>
      <c r="GG19" s="26">
        <v>0</v>
      </c>
      <c r="GH19" s="32"/>
      <c r="GK19" s="26">
        <v>0</v>
      </c>
      <c r="GL19" s="29"/>
      <c r="GO19" s="26">
        <v>0</v>
      </c>
      <c r="GP19" s="32"/>
      <c r="GS19" s="26">
        <v>0</v>
      </c>
      <c r="GT19" s="29"/>
      <c r="GU19" s="34"/>
      <c r="GW19" s="26">
        <v>0</v>
      </c>
      <c r="GX19" s="32"/>
      <c r="HA19" s="26">
        <v>0</v>
      </c>
      <c r="HB19" s="32"/>
      <c r="HE19" s="26">
        <v>0</v>
      </c>
      <c r="HF19" s="32"/>
      <c r="HI19" s="26">
        <v>0</v>
      </c>
      <c r="HJ19" s="29"/>
      <c r="HK19" s="27"/>
      <c r="HM19" s="27"/>
      <c r="HO19" s="26">
        <v>0</v>
      </c>
      <c r="HP19" s="32"/>
      <c r="HQ19" s="31">
        <v>0</v>
      </c>
      <c r="HR19" s="31">
        <v>0</v>
      </c>
      <c r="HS19" s="26">
        <v>0</v>
      </c>
      <c r="HT19" s="32"/>
      <c r="HU19" s="31">
        <v>0</v>
      </c>
      <c r="HV19" s="31">
        <v>0</v>
      </c>
      <c r="HW19" s="26">
        <v>0</v>
      </c>
      <c r="HX19" s="32"/>
      <c r="HY19" s="34">
        <v>0</v>
      </c>
      <c r="HZ19" s="31">
        <v>0</v>
      </c>
      <c r="IA19" s="26">
        <v>0</v>
      </c>
      <c r="IB19" s="32"/>
    </row>
    <row r="20" spans="1:236" x14ac:dyDescent="0.25">
      <c r="A20" s="26" t="s">
        <v>147</v>
      </c>
      <c r="B20" s="27">
        <v>1</v>
      </c>
      <c r="I20" s="30"/>
      <c r="J20" s="35"/>
      <c r="K20" s="35"/>
      <c r="L20" s="35">
        <f t="shared" si="4"/>
        <v>0</v>
      </c>
      <c r="M20" s="29"/>
      <c r="N20" s="30"/>
      <c r="O20" s="35"/>
      <c r="P20" s="35">
        <f t="shared" si="5"/>
        <v>0</v>
      </c>
      <c r="Q20" s="29"/>
      <c r="R20" s="30"/>
      <c r="S20" s="35"/>
      <c r="T20" s="35">
        <f t="shared" si="6"/>
        <v>0</v>
      </c>
      <c r="U20" s="29"/>
      <c r="V20" s="35"/>
      <c r="X20" s="26">
        <v>0</v>
      </c>
      <c r="Y20" s="29"/>
      <c r="Z20" s="30"/>
      <c r="AB20" s="26">
        <v>0</v>
      </c>
      <c r="AC20" s="29"/>
      <c r="AF20" s="26">
        <v>0</v>
      </c>
      <c r="AG20" s="29"/>
      <c r="AH20" s="30"/>
      <c r="AJ20" s="26">
        <v>0</v>
      </c>
      <c r="AK20" s="29"/>
      <c r="AL20" s="30"/>
      <c r="AN20" s="26">
        <v>0</v>
      </c>
      <c r="AO20" s="29"/>
      <c r="AR20" s="26">
        <v>0</v>
      </c>
      <c r="AS20" s="29"/>
      <c r="AT20" s="30"/>
      <c r="AX20" s="26">
        <v>0</v>
      </c>
      <c r="AY20" s="29"/>
      <c r="AZ20" s="30"/>
      <c r="BB20" s="26">
        <v>0</v>
      </c>
      <c r="BC20" s="29"/>
      <c r="BH20" s="26">
        <v>0</v>
      </c>
      <c r="BI20" s="29"/>
      <c r="BL20" s="26">
        <v>0</v>
      </c>
      <c r="BM20" s="29"/>
      <c r="BN20" s="30"/>
      <c r="BP20" s="26">
        <v>0</v>
      </c>
      <c r="BQ20" s="29"/>
      <c r="BR20" s="30"/>
      <c r="BT20" s="26">
        <v>0</v>
      </c>
      <c r="BU20" s="29"/>
      <c r="BX20" s="26">
        <v>0</v>
      </c>
      <c r="BY20" s="29"/>
      <c r="BZ20" s="30"/>
      <c r="CC20" s="26">
        <v>0</v>
      </c>
      <c r="CD20" s="29"/>
      <c r="CE20" s="30"/>
      <c r="CI20" s="26">
        <v>0</v>
      </c>
      <c r="CJ20" s="29"/>
      <c r="CK20" s="30"/>
      <c r="CN20" s="26">
        <v>0</v>
      </c>
      <c r="CO20" s="29"/>
      <c r="CR20" s="26">
        <v>0</v>
      </c>
      <c r="CS20" s="29"/>
      <c r="CT20" s="34"/>
      <c r="CV20" s="26">
        <v>0</v>
      </c>
      <c r="CW20" s="29"/>
      <c r="CX20" s="30"/>
      <c r="CZ20" s="26">
        <v>0</v>
      </c>
      <c r="DA20" s="29"/>
      <c r="DB20" s="30"/>
      <c r="DD20" s="26">
        <v>0</v>
      </c>
      <c r="DE20" s="29"/>
      <c r="DH20" s="26">
        <v>0</v>
      </c>
      <c r="DI20" s="29"/>
      <c r="DL20" s="26">
        <v>0</v>
      </c>
      <c r="DM20" s="29"/>
      <c r="DN20" s="30"/>
      <c r="DQ20" s="26">
        <v>0</v>
      </c>
      <c r="DR20" s="29"/>
      <c r="DS20" s="30"/>
      <c r="DV20" s="26">
        <v>0</v>
      </c>
      <c r="DW20" s="29"/>
      <c r="DZ20" s="26">
        <v>0</v>
      </c>
      <c r="EA20" s="29"/>
      <c r="EB20" s="30"/>
      <c r="EG20" s="26">
        <v>0</v>
      </c>
      <c r="EH20" s="29"/>
      <c r="EK20" s="26">
        <v>0</v>
      </c>
      <c r="EL20" s="29"/>
      <c r="EM20" s="30"/>
      <c r="EQ20" s="26">
        <v>0</v>
      </c>
      <c r="ER20" s="29"/>
      <c r="EW20" s="26">
        <v>0</v>
      </c>
      <c r="EX20" s="29"/>
      <c r="FA20" s="26">
        <v>0</v>
      </c>
      <c r="FB20" s="29"/>
      <c r="FC20" s="30"/>
      <c r="FE20" s="26">
        <v>0</v>
      </c>
      <c r="FF20" s="29"/>
      <c r="FG20" s="30"/>
      <c r="FI20" s="26">
        <v>0</v>
      </c>
      <c r="FJ20" s="29"/>
      <c r="FM20" s="26">
        <v>0</v>
      </c>
      <c r="FN20" s="29"/>
      <c r="FO20" s="30"/>
      <c r="FQ20" s="26">
        <v>0</v>
      </c>
      <c r="FR20" s="29"/>
      <c r="FS20" s="30"/>
      <c r="FU20" s="26">
        <v>0</v>
      </c>
      <c r="FV20" s="29"/>
      <c r="FY20" s="26">
        <v>0</v>
      </c>
      <c r="FZ20" s="32"/>
      <c r="GC20" s="26">
        <v>0</v>
      </c>
      <c r="GD20" s="29"/>
      <c r="GG20" s="26">
        <v>0</v>
      </c>
      <c r="GH20" s="32"/>
      <c r="GK20" s="26">
        <v>0</v>
      </c>
      <c r="GL20" s="29"/>
      <c r="GO20" s="26">
        <v>0</v>
      </c>
      <c r="GP20" s="32"/>
      <c r="GS20" s="26">
        <v>0</v>
      </c>
      <c r="GT20" s="29"/>
      <c r="GU20" s="34"/>
      <c r="GW20" s="26">
        <v>0</v>
      </c>
      <c r="GX20" s="32"/>
      <c r="HA20" s="26">
        <v>0</v>
      </c>
      <c r="HB20" s="32"/>
      <c r="HE20" s="26">
        <v>0</v>
      </c>
      <c r="HF20" s="32"/>
      <c r="HI20" s="26">
        <v>0</v>
      </c>
      <c r="HJ20" s="29"/>
      <c r="HK20" s="27"/>
      <c r="HM20" s="27"/>
      <c r="HO20" s="26">
        <v>0</v>
      </c>
      <c r="HP20" s="32"/>
      <c r="HQ20" s="31">
        <v>0</v>
      </c>
      <c r="HR20" s="31">
        <v>0</v>
      </c>
      <c r="HS20" s="26">
        <v>0</v>
      </c>
      <c r="HT20" s="32"/>
      <c r="HU20" s="31">
        <v>0</v>
      </c>
      <c r="HV20" s="31">
        <v>0</v>
      </c>
      <c r="HW20" s="26">
        <v>0</v>
      </c>
      <c r="HX20" s="32"/>
      <c r="HY20" s="34">
        <v>0</v>
      </c>
      <c r="HZ20" s="31">
        <v>0</v>
      </c>
      <c r="IA20" s="26">
        <v>0</v>
      </c>
      <c r="IB20" s="32"/>
    </row>
    <row r="21" spans="1:236" x14ac:dyDescent="0.25">
      <c r="A21" s="26" t="s">
        <v>148</v>
      </c>
      <c r="B21" s="27">
        <v>1</v>
      </c>
      <c r="I21" s="30"/>
      <c r="J21" s="35"/>
      <c r="K21" s="35"/>
      <c r="L21" s="35">
        <f t="shared" si="4"/>
        <v>0</v>
      </c>
      <c r="M21" s="29"/>
      <c r="N21" s="30"/>
      <c r="O21" s="35"/>
      <c r="P21" s="35">
        <f t="shared" si="5"/>
        <v>0</v>
      </c>
      <c r="Q21" s="29"/>
      <c r="R21" s="30"/>
      <c r="S21" s="35"/>
      <c r="T21" s="35">
        <f t="shared" si="6"/>
        <v>0</v>
      </c>
      <c r="U21" s="29"/>
      <c r="V21" s="35"/>
      <c r="X21" s="26">
        <v>0</v>
      </c>
      <c r="Y21" s="29"/>
      <c r="Z21" s="30"/>
      <c r="AB21" s="26">
        <v>0</v>
      </c>
      <c r="AC21" s="29"/>
      <c r="AF21" s="26">
        <v>0</v>
      </c>
      <c r="AG21" s="29"/>
      <c r="AH21" s="30"/>
      <c r="AJ21" s="26">
        <v>0</v>
      </c>
      <c r="AK21" s="29"/>
      <c r="AL21" s="30"/>
      <c r="AN21" s="26">
        <v>0</v>
      </c>
      <c r="AO21" s="29"/>
      <c r="AR21" s="26">
        <v>0</v>
      </c>
      <c r="AS21" s="29"/>
      <c r="AT21" s="30"/>
      <c r="AX21" s="26">
        <v>0</v>
      </c>
      <c r="AY21" s="29"/>
      <c r="AZ21" s="30"/>
      <c r="BB21" s="26">
        <v>0</v>
      </c>
      <c r="BC21" s="29"/>
      <c r="BH21" s="26">
        <v>0</v>
      </c>
      <c r="BI21" s="29"/>
      <c r="BL21" s="26">
        <v>0</v>
      </c>
      <c r="BM21" s="29"/>
      <c r="BN21" s="30"/>
      <c r="BP21" s="26">
        <v>0</v>
      </c>
      <c r="BQ21" s="29"/>
      <c r="BR21" s="30"/>
      <c r="BT21" s="26">
        <v>0</v>
      </c>
      <c r="BU21" s="29"/>
      <c r="BX21" s="26">
        <v>0</v>
      </c>
      <c r="BY21" s="29"/>
      <c r="BZ21" s="30"/>
      <c r="CC21" s="26">
        <v>0</v>
      </c>
      <c r="CD21" s="29"/>
      <c r="CE21" s="30"/>
      <c r="CI21" s="26">
        <v>0</v>
      </c>
      <c r="CJ21" s="29"/>
      <c r="CK21" s="30"/>
      <c r="CN21" s="26">
        <v>0</v>
      </c>
      <c r="CO21" s="29"/>
      <c r="CR21" s="26">
        <v>0</v>
      </c>
      <c r="CS21" s="29"/>
      <c r="CT21" s="34"/>
      <c r="CV21" s="26">
        <v>0</v>
      </c>
      <c r="CW21" s="29"/>
      <c r="CX21" s="30"/>
      <c r="CZ21" s="26">
        <v>0</v>
      </c>
      <c r="DA21" s="29"/>
      <c r="DB21" s="30"/>
      <c r="DD21" s="26">
        <v>0</v>
      </c>
      <c r="DE21" s="29"/>
      <c r="DH21" s="26">
        <v>0</v>
      </c>
      <c r="DI21" s="29"/>
      <c r="DL21" s="26">
        <v>0</v>
      </c>
      <c r="DM21" s="29"/>
      <c r="DN21" s="30"/>
      <c r="DQ21" s="26">
        <v>0</v>
      </c>
      <c r="DR21" s="29"/>
      <c r="DS21" s="30"/>
      <c r="DV21" s="26">
        <v>0</v>
      </c>
      <c r="DW21" s="29"/>
      <c r="DZ21" s="26">
        <v>0</v>
      </c>
      <c r="EA21" s="29"/>
      <c r="EB21" s="30"/>
      <c r="EG21" s="26">
        <v>0</v>
      </c>
      <c r="EH21" s="29"/>
      <c r="EK21" s="26">
        <v>0</v>
      </c>
      <c r="EL21" s="29"/>
      <c r="EM21" s="30"/>
      <c r="EQ21" s="26">
        <v>0</v>
      </c>
      <c r="ER21" s="29"/>
      <c r="EW21" s="26">
        <v>0</v>
      </c>
      <c r="EX21" s="29"/>
      <c r="FA21" s="26">
        <v>0</v>
      </c>
      <c r="FB21" s="29"/>
      <c r="FC21" s="30"/>
      <c r="FE21" s="26">
        <v>0</v>
      </c>
      <c r="FF21" s="29"/>
      <c r="FG21" s="30"/>
      <c r="FI21" s="26">
        <v>0</v>
      </c>
      <c r="FJ21" s="29"/>
      <c r="FM21" s="26">
        <v>0</v>
      </c>
      <c r="FN21" s="29"/>
      <c r="FO21" s="28">
        <v>22</v>
      </c>
      <c r="FP21">
        <v>20</v>
      </c>
      <c r="FQ21" s="26">
        <v>2</v>
      </c>
      <c r="FR21" s="29"/>
      <c r="FS21" s="28">
        <v>112</v>
      </c>
      <c r="FT21">
        <v>113</v>
      </c>
      <c r="FU21" s="26">
        <v>-1</v>
      </c>
      <c r="FV21" s="29"/>
      <c r="FW21">
        <v>28</v>
      </c>
      <c r="FX21">
        <v>30</v>
      </c>
      <c r="FY21" s="26">
        <v>-2</v>
      </c>
      <c r="FZ21" s="32"/>
      <c r="GA21">
        <v>96</v>
      </c>
      <c r="GB21">
        <v>97</v>
      </c>
      <c r="GC21" s="26">
        <v>-1</v>
      </c>
      <c r="GD21" s="29"/>
      <c r="GG21" s="26">
        <v>0</v>
      </c>
      <c r="GH21" s="32"/>
      <c r="GK21" s="26">
        <v>0</v>
      </c>
      <c r="GL21" s="29"/>
      <c r="GM21">
        <v>39</v>
      </c>
      <c r="GN21">
        <v>40</v>
      </c>
      <c r="GO21" s="26">
        <v>-1</v>
      </c>
      <c r="GP21" s="32"/>
      <c r="GS21" s="26">
        <v>0</v>
      </c>
      <c r="GT21" s="29"/>
      <c r="GU21" s="28">
        <v>51</v>
      </c>
      <c r="GV21" s="31">
        <v>50</v>
      </c>
      <c r="GW21" s="26">
        <v>1</v>
      </c>
      <c r="GX21" s="32"/>
      <c r="GY21">
        <v>192</v>
      </c>
      <c r="GZ21">
        <v>188</v>
      </c>
      <c r="HA21" s="26">
        <v>4</v>
      </c>
      <c r="HB21" s="32"/>
      <c r="HE21" s="26">
        <v>0</v>
      </c>
      <c r="HF21" s="32"/>
      <c r="HI21" s="26">
        <v>0</v>
      </c>
      <c r="HJ21" s="29"/>
      <c r="HK21">
        <v>178</v>
      </c>
      <c r="HL21">
        <v>180</v>
      </c>
      <c r="HM21">
        <v>129</v>
      </c>
      <c r="HN21">
        <v>127</v>
      </c>
      <c r="HO21" s="26">
        <v>0</v>
      </c>
      <c r="HP21" s="32"/>
      <c r="HQ21" s="31">
        <v>203.31299999999999</v>
      </c>
      <c r="HR21" s="31">
        <v>200</v>
      </c>
      <c r="HS21" s="26">
        <v>3.3129999999999882</v>
      </c>
      <c r="HT21" s="32"/>
      <c r="HU21" s="31">
        <v>90.265000000000001</v>
      </c>
      <c r="HV21" s="31">
        <v>91.659599999999998</v>
      </c>
      <c r="HW21" s="26">
        <v>-1.394599999999997</v>
      </c>
      <c r="HX21" s="32"/>
      <c r="HY21" s="34">
        <v>11.211</v>
      </c>
      <c r="HZ21" s="31">
        <v>10</v>
      </c>
      <c r="IA21" s="26">
        <v>1.2110000000000001</v>
      </c>
      <c r="IB21" s="32"/>
    </row>
    <row r="22" spans="1:236" x14ac:dyDescent="0.25">
      <c r="A22" s="26" t="s">
        <v>149</v>
      </c>
      <c r="B22" s="27">
        <v>1</v>
      </c>
      <c r="E22">
        <v>140</v>
      </c>
      <c r="F22">
        <v>142</v>
      </c>
      <c r="I22" s="30"/>
      <c r="J22" s="36">
        <v>36</v>
      </c>
      <c r="K22" s="36">
        <v>36</v>
      </c>
      <c r="L22" s="35">
        <f t="shared" si="4"/>
        <v>0</v>
      </c>
      <c r="M22" s="29"/>
      <c r="N22" s="28">
        <v>138</v>
      </c>
      <c r="O22" s="36">
        <v>138</v>
      </c>
      <c r="P22" s="35">
        <f t="shared" si="5"/>
        <v>0</v>
      </c>
      <c r="Q22" s="29"/>
      <c r="R22" s="30"/>
      <c r="S22" s="35"/>
      <c r="T22" s="35">
        <f t="shared" si="6"/>
        <v>0</v>
      </c>
      <c r="U22" s="29"/>
      <c r="V22" s="36">
        <v>231</v>
      </c>
      <c r="W22">
        <v>231</v>
      </c>
      <c r="X22" s="26">
        <v>0</v>
      </c>
      <c r="Y22" s="29"/>
      <c r="Z22" s="28">
        <v>86</v>
      </c>
      <c r="AA22">
        <v>86</v>
      </c>
      <c r="AB22" s="26">
        <v>0</v>
      </c>
      <c r="AC22" s="29"/>
      <c r="AD22">
        <v>69</v>
      </c>
      <c r="AE22">
        <v>70</v>
      </c>
      <c r="AF22" s="26">
        <v>-1</v>
      </c>
      <c r="AG22" s="29"/>
      <c r="AH22" s="28">
        <v>29</v>
      </c>
      <c r="AI22">
        <v>28</v>
      </c>
      <c r="AJ22" s="26">
        <v>1</v>
      </c>
      <c r="AK22" s="29"/>
      <c r="AL22" s="28">
        <v>155</v>
      </c>
      <c r="AM22">
        <v>153</v>
      </c>
      <c r="AN22" s="26">
        <v>2</v>
      </c>
      <c r="AO22" s="29"/>
      <c r="AR22" s="26">
        <v>0</v>
      </c>
      <c r="AS22" s="29"/>
      <c r="AT22" s="30"/>
      <c r="AU22">
        <v>80</v>
      </c>
      <c r="AV22">
        <v>91</v>
      </c>
      <c r="AW22">
        <v>89</v>
      </c>
      <c r="AX22" s="25">
        <v>-78</v>
      </c>
      <c r="AY22" s="29">
        <v>77</v>
      </c>
      <c r="AZ22" s="30"/>
      <c r="BB22" s="26">
        <v>0</v>
      </c>
      <c r="BC22" s="29"/>
      <c r="BF22">
        <v>209</v>
      </c>
      <c r="BG22">
        <v>205</v>
      </c>
      <c r="BH22" s="26">
        <v>4</v>
      </c>
      <c r="BI22" s="29"/>
      <c r="BJ22">
        <v>29</v>
      </c>
      <c r="BK22">
        <v>26</v>
      </c>
      <c r="BL22" s="26">
        <v>3</v>
      </c>
      <c r="BM22" s="29"/>
      <c r="BN22" s="28">
        <v>41</v>
      </c>
      <c r="BO22">
        <v>38</v>
      </c>
      <c r="BP22" s="26">
        <v>3</v>
      </c>
      <c r="BQ22" s="29"/>
      <c r="BR22" s="30"/>
      <c r="BT22" s="26">
        <v>0</v>
      </c>
      <c r="BU22" s="29"/>
      <c r="BV22">
        <v>156</v>
      </c>
      <c r="BW22">
        <v>153</v>
      </c>
      <c r="BX22" s="26">
        <v>3</v>
      </c>
      <c r="BY22" s="29"/>
      <c r="BZ22" s="28">
        <v>12</v>
      </c>
      <c r="CB22">
        <v>10</v>
      </c>
      <c r="CC22" s="26">
        <v>2</v>
      </c>
      <c r="CD22" s="29"/>
      <c r="CE22" s="30"/>
      <c r="CG22">
        <v>102</v>
      </c>
      <c r="CH22">
        <v>99</v>
      </c>
      <c r="CI22" s="26">
        <v>3</v>
      </c>
      <c r="CJ22" s="29"/>
      <c r="CK22" s="28">
        <v>41</v>
      </c>
      <c r="CM22">
        <v>40</v>
      </c>
      <c r="CN22" s="26">
        <v>1</v>
      </c>
      <c r="CO22" s="29"/>
      <c r="CP22">
        <v>29</v>
      </c>
      <c r="CQ22" s="26">
        <v>27.27200000000002</v>
      </c>
      <c r="CR22" s="26">
        <v>1.72799999999998</v>
      </c>
      <c r="CS22" s="29"/>
      <c r="CT22" s="28">
        <v>86</v>
      </c>
      <c r="CU22" s="26">
        <v>82.894000000000005</v>
      </c>
      <c r="CV22" s="26">
        <v>3.105999999999995</v>
      </c>
      <c r="CW22" s="29"/>
      <c r="CX22" s="28">
        <v>8</v>
      </c>
      <c r="CY22" s="26">
        <v>7.2147999999999968</v>
      </c>
      <c r="CZ22" s="26">
        <v>0.78520000000000323</v>
      </c>
      <c r="DA22" s="29"/>
      <c r="DB22" s="30"/>
      <c r="DD22" s="26">
        <v>0</v>
      </c>
      <c r="DE22" s="29"/>
      <c r="DF22">
        <v>98</v>
      </c>
      <c r="DG22" s="31">
        <v>94.708600000000004</v>
      </c>
      <c r="DH22" s="26">
        <v>3.2913999999999959</v>
      </c>
      <c r="DI22" s="29"/>
      <c r="DL22" s="26">
        <v>0</v>
      </c>
      <c r="DM22" s="29"/>
      <c r="DN22" s="30"/>
      <c r="DQ22" s="26">
        <v>0</v>
      </c>
      <c r="DR22" s="29"/>
      <c r="DS22" s="28">
        <v>4</v>
      </c>
      <c r="DU22">
        <v>5</v>
      </c>
      <c r="DV22" s="26">
        <v>-1</v>
      </c>
      <c r="DW22" s="29"/>
      <c r="DZ22" s="26">
        <v>0</v>
      </c>
      <c r="EA22" s="29"/>
      <c r="EB22" s="30"/>
      <c r="EC22">
        <v>69</v>
      </c>
      <c r="ED22">
        <v>70</v>
      </c>
      <c r="EE22">
        <v>84</v>
      </c>
      <c r="EF22">
        <v>84</v>
      </c>
      <c r="EG22" s="26">
        <v>-1</v>
      </c>
      <c r="EH22" s="29"/>
      <c r="EI22">
        <v>29</v>
      </c>
      <c r="EJ22" s="31">
        <v>26.68559999999999</v>
      </c>
      <c r="EK22" s="26">
        <v>2.3144000000000098</v>
      </c>
      <c r="EL22" s="29"/>
      <c r="EM22" s="30"/>
      <c r="EQ22" s="26">
        <v>0</v>
      </c>
      <c r="ER22" s="29"/>
      <c r="EW22" s="26">
        <v>0</v>
      </c>
      <c r="EX22" s="29"/>
      <c r="EY22">
        <v>150</v>
      </c>
      <c r="EZ22" s="31">
        <v>150</v>
      </c>
      <c r="FA22" s="26">
        <v>0</v>
      </c>
      <c r="FB22" s="29"/>
      <c r="FC22" s="30"/>
      <c r="FE22" s="26">
        <v>0</v>
      </c>
      <c r="FF22" s="29"/>
      <c r="FG22" s="28">
        <v>104</v>
      </c>
      <c r="FH22">
        <v>100</v>
      </c>
      <c r="FI22" s="26">
        <v>4</v>
      </c>
      <c r="FJ22" s="29"/>
      <c r="FK22">
        <v>12</v>
      </c>
      <c r="FL22">
        <v>10</v>
      </c>
      <c r="FM22" s="26">
        <v>2</v>
      </c>
      <c r="FN22" s="29"/>
      <c r="FO22" s="30"/>
      <c r="FQ22" s="26">
        <v>0</v>
      </c>
      <c r="FR22" s="29"/>
      <c r="FS22" s="28">
        <v>32</v>
      </c>
      <c r="FT22">
        <v>32</v>
      </c>
      <c r="FU22" s="26">
        <v>0</v>
      </c>
      <c r="FV22" s="29"/>
      <c r="FW22">
        <v>90</v>
      </c>
      <c r="FX22">
        <v>90</v>
      </c>
      <c r="FY22" s="26">
        <v>0</v>
      </c>
      <c r="FZ22" s="32"/>
      <c r="GA22">
        <v>73</v>
      </c>
      <c r="GB22">
        <v>73</v>
      </c>
      <c r="GC22" s="26">
        <v>0</v>
      </c>
      <c r="GD22" s="29"/>
      <c r="GG22" s="26">
        <v>0</v>
      </c>
      <c r="GH22" s="32"/>
      <c r="GK22" s="26">
        <v>0</v>
      </c>
      <c r="GL22" s="29"/>
      <c r="GM22">
        <v>28</v>
      </c>
      <c r="GN22">
        <v>30</v>
      </c>
      <c r="GO22" s="26">
        <v>-2</v>
      </c>
      <c r="GP22" s="32"/>
      <c r="GQ22">
        <v>94</v>
      </c>
      <c r="GR22" s="31">
        <v>90.531999999999996</v>
      </c>
      <c r="GS22" s="26">
        <v>3.468000000000004</v>
      </c>
      <c r="GT22" s="29"/>
      <c r="GU22" s="34"/>
      <c r="GW22" s="26">
        <v>0</v>
      </c>
      <c r="GX22" s="32"/>
      <c r="GY22">
        <v>37</v>
      </c>
      <c r="GZ22">
        <v>36</v>
      </c>
      <c r="HA22" s="26">
        <v>1</v>
      </c>
      <c r="HB22" s="32"/>
      <c r="HE22" s="26">
        <v>0</v>
      </c>
      <c r="HF22" s="32"/>
      <c r="HI22" s="26">
        <v>0</v>
      </c>
      <c r="HJ22" s="29"/>
      <c r="HK22">
        <v>100</v>
      </c>
      <c r="HL22">
        <v>100</v>
      </c>
      <c r="HM22">
        <v>60</v>
      </c>
      <c r="HN22">
        <v>60</v>
      </c>
      <c r="HO22" s="26">
        <v>0</v>
      </c>
      <c r="HP22" s="32"/>
      <c r="HQ22" s="31">
        <v>40.777000000000001</v>
      </c>
      <c r="HR22" s="31">
        <v>40</v>
      </c>
      <c r="HS22" s="26">
        <v>0.77700000000000102</v>
      </c>
      <c r="HT22" s="32"/>
      <c r="HU22" s="31">
        <v>44.72</v>
      </c>
      <c r="HV22" s="31">
        <v>42.702800000000011</v>
      </c>
      <c r="HW22" s="26">
        <v>2.0171999999999879</v>
      </c>
      <c r="HX22" s="32"/>
      <c r="HY22" s="34">
        <v>0</v>
      </c>
      <c r="HZ22" s="31">
        <v>0</v>
      </c>
      <c r="IA22" s="26">
        <v>0</v>
      </c>
      <c r="IB22" s="32"/>
    </row>
    <row r="23" spans="1:236" x14ac:dyDescent="0.25">
      <c r="A23" s="26" t="s">
        <v>150</v>
      </c>
      <c r="B23" s="27">
        <v>0.25</v>
      </c>
      <c r="I23" s="30"/>
      <c r="J23" s="36">
        <v>112</v>
      </c>
      <c r="K23" s="36">
        <v>112</v>
      </c>
      <c r="L23" s="35">
        <f t="shared" si="4"/>
        <v>0</v>
      </c>
      <c r="M23" s="29"/>
      <c r="N23" s="30"/>
      <c r="O23" s="35"/>
      <c r="P23" s="35">
        <f t="shared" si="5"/>
        <v>0</v>
      </c>
      <c r="Q23" s="29"/>
      <c r="R23" s="28">
        <v>80</v>
      </c>
      <c r="S23" s="36">
        <v>80</v>
      </c>
      <c r="T23" s="35">
        <f t="shared" si="6"/>
        <v>0</v>
      </c>
      <c r="U23" s="29"/>
      <c r="V23" s="36">
        <v>16</v>
      </c>
      <c r="W23">
        <v>16</v>
      </c>
      <c r="X23" s="26">
        <v>0</v>
      </c>
      <c r="Y23" s="29"/>
      <c r="Z23" s="28">
        <v>40</v>
      </c>
      <c r="AA23">
        <v>50</v>
      </c>
      <c r="AB23" s="25">
        <v>-10</v>
      </c>
      <c r="AC23" s="29">
        <v>2.5</v>
      </c>
      <c r="AD23">
        <v>8</v>
      </c>
      <c r="AE23">
        <v>8</v>
      </c>
      <c r="AF23" s="26">
        <v>0</v>
      </c>
      <c r="AG23" s="29"/>
      <c r="AH23" s="28">
        <v>24</v>
      </c>
      <c r="AI23">
        <v>29</v>
      </c>
      <c r="AJ23" s="26">
        <v>-5</v>
      </c>
      <c r="AK23" s="29"/>
      <c r="AL23" s="28">
        <v>8</v>
      </c>
      <c r="AM23">
        <v>8</v>
      </c>
      <c r="AN23" s="26">
        <v>0</v>
      </c>
      <c r="AO23" s="29"/>
      <c r="AR23" s="26">
        <v>0</v>
      </c>
      <c r="AS23" s="29"/>
      <c r="AT23" s="30"/>
      <c r="AV23">
        <v>24</v>
      </c>
      <c r="AW23">
        <v>31</v>
      </c>
      <c r="AX23" s="26">
        <v>-7</v>
      </c>
      <c r="AY23" s="29"/>
      <c r="AZ23" s="30"/>
      <c r="BB23" s="26">
        <v>0</v>
      </c>
      <c r="BC23" s="29"/>
      <c r="BF23">
        <v>16</v>
      </c>
      <c r="BG23">
        <v>17</v>
      </c>
      <c r="BH23" s="26">
        <v>-1</v>
      </c>
      <c r="BI23" s="29"/>
      <c r="BJ23">
        <v>8</v>
      </c>
      <c r="BK23">
        <v>9</v>
      </c>
      <c r="BL23" s="26">
        <v>-1</v>
      </c>
      <c r="BM23" s="29"/>
      <c r="BN23" s="28">
        <v>8</v>
      </c>
      <c r="BO23">
        <v>13</v>
      </c>
      <c r="BP23" s="26">
        <v>-5</v>
      </c>
      <c r="BQ23" s="29"/>
      <c r="BR23" s="28">
        <v>16</v>
      </c>
      <c r="BS23">
        <v>21</v>
      </c>
      <c r="BT23" s="26">
        <v>-5</v>
      </c>
      <c r="BU23" s="29"/>
      <c r="BX23" s="26">
        <v>0</v>
      </c>
      <c r="BY23" s="29"/>
      <c r="BZ23" s="28">
        <v>8</v>
      </c>
      <c r="CB23">
        <v>8</v>
      </c>
      <c r="CC23" s="26">
        <v>0</v>
      </c>
      <c r="CD23" s="29"/>
      <c r="CE23" s="30"/>
      <c r="CG23">
        <v>8</v>
      </c>
      <c r="CH23">
        <v>6</v>
      </c>
      <c r="CI23" s="26">
        <v>2</v>
      </c>
      <c r="CJ23" s="29"/>
      <c r="CK23" s="28">
        <v>16</v>
      </c>
      <c r="CM23">
        <v>18</v>
      </c>
      <c r="CN23" s="26">
        <v>-2</v>
      </c>
      <c r="CO23" s="29"/>
      <c r="CR23" s="26">
        <v>0</v>
      </c>
      <c r="CS23" s="29"/>
      <c r="CT23" s="34"/>
      <c r="CV23" s="26">
        <v>0</v>
      </c>
      <c r="CW23" s="29"/>
      <c r="CX23" s="28">
        <v>32</v>
      </c>
      <c r="CY23" s="26">
        <v>30.6</v>
      </c>
      <c r="CZ23" s="26">
        <v>1.399999999999999</v>
      </c>
      <c r="DA23" s="29"/>
      <c r="DB23" s="30"/>
      <c r="DD23" s="26">
        <v>0</v>
      </c>
      <c r="DE23" s="29"/>
      <c r="DF23">
        <v>16</v>
      </c>
      <c r="DG23" s="31">
        <v>14</v>
      </c>
      <c r="DH23" s="26">
        <v>2</v>
      </c>
      <c r="DI23" s="29"/>
      <c r="DK23">
        <v>7</v>
      </c>
      <c r="DL23" s="25">
        <v>-7</v>
      </c>
      <c r="DM23" s="29">
        <v>1.75</v>
      </c>
      <c r="DN23" s="28">
        <v>8</v>
      </c>
      <c r="DP23">
        <v>8</v>
      </c>
      <c r="DQ23" s="26">
        <v>0</v>
      </c>
      <c r="DR23" s="29"/>
      <c r="DS23" s="28">
        <v>8</v>
      </c>
      <c r="DU23">
        <v>6</v>
      </c>
      <c r="DV23" s="26">
        <v>2</v>
      </c>
      <c r="DW23" s="29"/>
      <c r="DZ23" s="26">
        <v>0</v>
      </c>
      <c r="EA23" s="29"/>
      <c r="EB23" s="30"/>
      <c r="EE23">
        <v>8</v>
      </c>
      <c r="EF23">
        <v>7</v>
      </c>
      <c r="EG23" s="26">
        <v>1</v>
      </c>
      <c r="EH23" s="29"/>
      <c r="EI23">
        <v>16</v>
      </c>
      <c r="EJ23" s="31">
        <v>17</v>
      </c>
      <c r="EK23" s="26">
        <v>-1</v>
      </c>
      <c r="EL23" s="29"/>
      <c r="EM23" s="30"/>
      <c r="EQ23" s="26">
        <v>0</v>
      </c>
      <c r="ER23" s="29"/>
      <c r="EW23" s="26">
        <v>0</v>
      </c>
      <c r="EX23" s="29"/>
      <c r="FA23" s="26">
        <v>0</v>
      </c>
      <c r="FB23" s="29"/>
      <c r="FC23" s="28">
        <v>8</v>
      </c>
      <c r="FD23">
        <v>8</v>
      </c>
      <c r="FE23" s="26">
        <v>0</v>
      </c>
      <c r="FF23" s="29"/>
      <c r="FG23" s="30"/>
      <c r="FI23" s="26">
        <v>0</v>
      </c>
      <c r="FJ23" s="29"/>
      <c r="FK23">
        <v>24</v>
      </c>
      <c r="FL23">
        <v>24</v>
      </c>
      <c r="FM23" s="26">
        <v>0</v>
      </c>
      <c r="FN23" s="29"/>
      <c r="FO23" s="28">
        <v>16</v>
      </c>
      <c r="FP23">
        <v>16</v>
      </c>
      <c r="FQ23" s="26">
        <v>0</v>
      </c>
      <c r="FR23" s="29"/>
      <c r="FS23" s="28">
        <v>8</v>
      </c>
      <c r="FT23">
        <v>8</v>
      </c>
      <c r="FU23" s="26">
        <v>0</v>
      </c>
      <c r="FV23" s="29"/>
      <c r="FY23" s="26">
        <v>0</v>
      </c>
      <c r="FZ23" s="32"/>
      <c r="GA23">
        <v>16</v>
      </c>
      <c r="GB23">
        <v>14</v>
      </c>
      <c r="GC23" s="26">
        <v>2</v>
      </c>
      <c r="GD23" s="29"/>
      <c r="GG23" s="26">
        <v>0</v>
      </c>
      <c r="GH23" s="32"/>
      <c r="GK23" s="26">
        <v>0</v>
      </c>
      <c r="GL23" s="29"/>
      <c r="GM23">
        <v>8</v>
      </c>
      <c r="GN23">
        <v>8</v>
      </c>
      <c r="GO23" s="26">
        <v>0</v>
      </c>
      <c r="GP23" s="32"/>
      <c r="GS23" s="26">
        <v>0</v>
      </c>
      <c r="GT23" s="29"/>
      <c r="GU23" s="28">
        <v>8</v>
      </c>
      <c r="GV23" s="31">
        <v>6</v>
      </c>
      <c r="GW23" s="26">
        <v>2</v>
      </c>
      <c r="GX23" s="32"/>
      <c r="HA23" s="26">
        <v>0</v>
      </c>
      <c r="HB23" s="32"/>
      <c r="HC23">
        <v>16</v>
      </c>
      <c r="HD23">
        <v>16</v>
      </c>
      <c r="HE23" s="26">
        <v>0</v>
      </c>
      <c r="HF23" s="32"/>
      <c r="HI23" s="26">
        <v>0</v>
      </c>
      <c r="HJ23" s="29"/>
      <c r="HK23" s="27"/>
      <c r="HM23">
        <v>48</v>
      </c>
      <c r="HN23">
        <v>50</v>
      </c>
      <c r="HO23" s="26">
        <v>-2</v>
      </c>
      <c r="HP23" s="32"/>
      <c r="HQ23" s="31">
        <v>0</v>
      </c>
      <c r="HR23" s="31">
        <v>0</v>
      </c>
      <c r="HS23" s="26">
        <v>0</v>
      </c>
      <c r="HT23" s="32"/>
      <c r="HU23" s="31">
        <v>0</v>
      </c>
      <c r="HV23" s="31">
        <v>0</v>
      </c>
      <c r="HW23" s="26">
        <v>0</v>
      </c>
      <c r="HX23" s="32"/>
      <c r="HY23" s="34">
        <v>0</v>
      </c>
      <c r="HZ23" s="31">
        <v>0</v>
      </c>
      <c r="IA23" s="26">
        <v>0</v>
      </c>
      <c r="IB23" s="32"/>
    </row>
    <row r="24" spans="1:236" x14ac:dyDescent="0.25">
      <c r="A24" s="26" t="s">
        <v>151</v>
      </c>
      <c r="B24" s="27">
        <v>0.4</v>
      </c>
      <c r="I24" s="30"/>
      <c r="J24" s="36">
        <v>132</v>
      </c>
      <c r="K24" s="36">
        <v>133</v>
      </c>
      <c r="L24" s="35">
        <f t="shared" si="4"/>
        <v>-1</v>
      </c>
      <c r="M24" s="29"/>
      <c r="N24" s="30"/>
      <c r="O24" s="35"/>
      <c r="P24" s="35">
        <f t="shared" si="5"/>
        <v>0</v>
      </c>
      <c r="Q24" s="29"/>
      <c r="R24" s="28">
        <v>120</v>
      </c>
      <c r="S24" s="36">
        <v>120</v>
      </c>
      <c r="T24" s="35">
        <f t="shared" si="6"/>
        <v>0</v>
      </c>
      <c r="U24" s="29"/>
      <c r="V24" s="36">
        <v>12</v>
      </c>
      <c r="W24">
        <v>12</v>
      </c>
      <c r="X24" s="26">
        <v>0</v>
      </c>
      <c r="Y24" s="29"/>
      <c r="Z24" s="28">
        <v>72</v>
      </c>
      <c r="AA24">
        <v>75</v>
      </c>
      <c r="AB24" s="26">
        <v>-3</v>
      </c>
      <c r="AC24" s="29"/>
      <c r="AD24">
        <v>36</v>
      </c>
      <c r="AE24">
        <v>36</v>
      </c>
      <c r="AF24" s="26">
        <v>0</v>
      </c>
      <c r="AG24" s="29"/>
      <c r="AH24" s="28">
        <v>36</v>
      </c>
      <c r="AI24">
        <v>36</v>
      </c>
      <c r="AJ24" s="26">
        <v>0</v>
      </c>
      <c r="AK24" s="29"/>
      <c r="AL24" s="30"/>
      <c r="AM24">
        <v>46</v>
      </c>
      <c r="AN24" s="25">
        <v>-46</v>
      </c>
      <c r="AO24" s="29">
        <v>18.399999999999999</v>
      </c>
      <c r="AR24" s="26">
        <v>0</v>
      </c>
      <c r="AS24" s="29"/>
      <c r="AT24" s="30"/>
      <c r="AU24">
        <v>24</v>
      </c>
      <c r="AV24">
        <v>24</v>
      </c>
      <c r="AW24">
        <v>25</v>
      </c>
      <c r="AX24" s="25">
        <v>-25</v>
      </c>
      <c r="AY24" s="29">
        <v>24.6</v>
      </c>
      <c r="AZ24" s="28">
        <v>42</v>
      </c>
      <c r="BA24">
        <v>41</v>
      </c>
      <c r="BB24" s="26">
        <v>1</v>
      </c>
      <c r="BC24" s="29"/>
      <c r="BF24">
        <v>48</v>
      </c>
      <c r="BG24">
        <v>46</v>
      </c>
      <c r="BH24" s="26">
        <v>2</v>
      </c>
      <c r="BI24" s="29"/>
      <c r="BJ24">
        <v>36</v>
      </c>
      <c r="BK24">
        <v>36</v>
      </c>
      <c r="BL24" s="26">
        <v>0</v>
      </c>
      <c r="BM24" s="29"/>
      <c r="BN24" s="30"/>
      <c r="BP24" s="26">
        <v>0</v>
      </c>
      <c r="BQ24" s="29"/>
      <c r="BR24" s="28">
        <v>72</v>
      </c>
      <c r="BS24">
        <v>71</v>
      </c>
      <c r="BT24" s="26">
        <v>1</v>
      </c>
      <c r="BU24" s="29"/>
      <c r="BX24" s="26">
        <v>0</v>
      </c>
      <c r="BY24" s="29"/>
      <c r="BZ24" s="30"/>
      <c r="CC24" s="26">
        <v>0</v>
      </c>
      <c r="CD24" s="29"/>
      <c r="CE24" s="30"/>
      <c r="CG24">
        <v>78</v>
      </c>
      <c r="CH24">
        <v>76</v>
      </c>
      <c r="CI24" s="26">
        <v>2</v>
      </c>
      <c r="CJ24" s="29"/>
      <c r="CK24" s="28">
        <v>6</v>
      </c>
      <c r="CM24">
        <v>6</v>
      </c>
      <c r="CN24" s="26">
        <v>0</v>
      </c>
      <c r="CO24" s="29"/>
      <c r="CP24">
        <v>42</v>
      </c>
      <c r="CQ24" s="26">
        <v>40.400000000000013</v>
      </c>
      <c r="CR24" s="26">
        <v>1.599999999999987</v>
      </c>
      <c r="CS24" s="29"/>
      <c r="CT24" s="28">
        <v>12</v>
      </c>
      <c r="CU24" s="26">
        <v>14</v>
      </c>
      <c r="CV24" s="26">
        <v>-2</v>
      </c>
      <c r="CW24" s="29"/>
      <c r="CX24" s="30"/>
      <c r="CZ24" s="26">
        <v>0</v>
      </c>
      <c r="DA24" s="29"/>
      <c r="DB24" s="28">
        <v>30</v>
      </c>
      <c r="DC24">
        <v>28</v>
      </c>
      <c r="DD24" s="26">
        <v>2</v>
      </c>
      <c r="DE24" s="29"/>
      <c r="DH24" s="26">
        <v>0</v>
      </c>
      <c r="DI24" s="29"/>
      <c r="DL24" s="26">
        <v>0</v>
      </c>
      <c r="DM24" s="29"/>
      <c r="DN24" s="30"/>
      <c r="DQ24" s="26">
        <v>0</v>
      </c>
      <c r="DR24" s="29"/>
      <c r="DS24" s="30"/>
      <c r="DV24" s="26">
        <v>0</v>
      </c>
      <c r="DW24" s="29"/>
      <c r="DX24">
        <v>18</v>
      </c>
      <c r="DY24" s="31">
        <v>15.60000000000001</v>
      </c>
      <c r="DZ24" s="26">
        <v>2.3999999999999901</v>
      </c>
      <c r="EA24" s="29"/>
      <c r="EB24" s="30"/>
      <c r="EE24">
        <v>42</v>
      </c>
      <c r="EF24">
        <v>41</v>
      </c>
      <c r="EG24" s="26">
        <v>1</v>
      </c>
      <c r="EH24" s="29"/>
      <c r="EI24">
        <v>42</v>
      </c>
      <c r="EJ24" s="31">
        <v>40</v>
      </c>
      <c r="EK24" s="26">
        <v>2</v>
      </c>
      <c r="EL24" s="29"/>
      <c r="EM24" s="30"/>
      <c r="EO24">
        <v>30</v>
      </c>
      <c r="EP24">
        <v>32</v>
      </c>
      <c r="EQ24" s="26">
        <v>-2</v>
      </c>
      <c r="ER24" s="29"/>
      <c r="EW24" s="26">
        <v>0</v>
      </c>
      <c r="EX24" s="29"/>
      <c r="EY24">
        <v>12</v>
      </c>
      <c r="EZ24" s="31">
        <v>10</v>
      </c>
      <c r="FA24" s="26">
        <v>2</v>
      </c>
      <c r="FB24" s="29"/>
      <c r="FC24" s="28">
        <v>42</v>
      </c>
      <c r="FD24">
        <v>40</v>
      </c>
      <c r="FE24" s="26">
        <v>2</v>
      </c>
      <c r="FF24" s="29"/>
      <c r="FG24" s="28">
        <v>12</v>
      </c>
      <c r="FH24">
        <v>12</v>
      </c>
      <c r="FI24" s="26">
        <v>0</v>
      </c>
      <c r="FJ24" s="29"/>
      <c r="FK24">
        <v>18</v>
      </c>
      <c r="FL24">
        <v>18</v>
      </c>
      <c r="FM24" s="26">
        <v>0</v>
      </c>
      <c r="FN24" s="29"/>
      <c r="FO24" s="28">
        <v>18</v>
      </c>
      <c r="FP24">
        <v>19</v>
      </c>
      <c r="FQ24" s="26">
        <v>-1</v>
      </c>
      <c r="FR24" s="29"/>
      <c r="FS24" s="30"/>
      <c r="FU24" s="26">
        <v>0</v>
      </c>
      <c r="FV24" s="29"/>
      <c r="FY24" s="26">
        <v>0</v>
      </c>
      <c r="FZ24" s="32"/>
      <c r="GA24">
        <v>12</v>
      </c>
      <c r="GB24">
        <v>13</v>
      </c>
      <c r="GC24" s="26">
        <v>-1</v>
      </c>
      <c r="GD24" s="29"/>
      <c r="GG24" s="26">
        <v>0</v>
      </c>
      <c r="GH24" s="32"/>
      <c r="GK24" s="26">
        <v>0</v>
      </c>
      <c r="GL24" s="29"/>
      <c r="GM24">
        <v>18</v>
      </c>
      <c r="GN24">
        <v>20</v>
      </c>
      <c r="GO24" s="26">
        <v>-2</v>
      </c>
      <c r="GP24" s="32"/>
      <c r="GQ24">
        <v>48</v>
      </c>
      <c r="GR24" s="31">
        <v>46</v>
      </c>
      <c r="GS24" s="26">
        <v>2</v>
      </c>
      <c r="GT24" s="29"/>
      <c r="GU24" s="34"/>
      <c r="GW24" s="26">
        <v>0</v>
      </c>
      <c r="GX24" s="32"/>
      <c r="HA24" s="26">
        <v>0</v>
      </c>
      <c r="HB24" s="32"/>
      <c r="HE24" s="26">
        <v>0</v>
      </c>
      <c r="HF24" s="32"/>
      <c r="HI24" s="26">
        <v>0</v>
      </c>
      <c r="HJ24" s="29"/>
      <c r="HK24">
        <v>78</v>
      </c>
      <c r="HL24">
        <v>80</v>
      </c>
      <c r="HM24">
        <v>72</v>
      </c>
      <c r="HN24">
        <v>70</v>
      </c>
      <c r="HO24" s="26">
        <v>0</v>
      </c>
      <c r="HP24" s="32"/>
      <c r="HQ24" s="31">
        <v>78</v>
      </c>
      <c r="HR24" s="31">
        <v>80</v>
      </c>
      <c r="HS24" s="26">
        <v>-2</v>
      </c>
      <c r="HT24" s="32"/>
      <c r="HU24" s="31">
        <v>0</v>
      </c>
      <c r="HV24" s="31">
        <v>0</v>
      </c>
      <c r="HW24" s="26">
        <v>0</v>
      </c>
      <c r="HX24" s="32"/>
      <c r="HY24" s="34">
        <v>0</v>
      </c>
      <c r="HZ24" s="31">
        <v>0</v>
      </c>
      <c r="IA24" s="26">
        <v>0</v>
      </c>
      <c r="IB24" s="32"/>
    </row>
    <row r="25" spans="1:236" x14ac:dyDescent="0.25">
      <c r="A25" s="26" t="s">
        <v>152</v>
      </c>
      <c r="B25" s="27">
        <v>1</v>
      </c>
      <c r="E25">
        <v>100</v>
      </c>
      <c r="F25">
        <v>72</v>
      </c>
      <c r="I25" s="30"/>
      <c r="J25" s="36">
        <v>71</v>
      </c>
      <c r="K25" s="36">
        <v>66</v>
      </c>
      <c r="L25" s="35">
        <f t="shared" si="4"/>
        <v>5</v>
      </c>
      <c r="M25" s="29"/>
      <c r="N25" s="28">
        <v>409</v>
      </c>
      <c r="O25" s="36">
        <v>396</v>
      </c>
      <c r="P25" s="35">
        <f t="shared" si="5"/>
        <v>13</v>
      </c>
      <c r="Q25" s="29"/>
      <c r="R25" s="28">
        <v>106</v>
      </c>
      <c r="S25" s="36">
        <v>102</v>
      </c>
      <c r="T25" s="35">
        <f t="shared" si="6"/>
        <v>4</v>
      </c>
      <c r="U25" s="29"/>
      <c r="V25" s="36">
        <v>224</v>
      </c>
      <c r="W25">
        <v>215</v>
      </c>
      <c r="X25" s="26">
        <v>9</v>
      </c>
      <c r="Y25" s="29"/>
      <c r="Z25" s="28">
        <v>228</v>
      </c>
      <c r="AA25">
        <v>219</v>
      </c>
      <c r="AB25" s="26">
        <v>9</v>
      </c>
      <c r="AC25" s="29"/>
      <c r="AD25">
        <v>186</v>
      </c>
      <c r="AE25">
        <v>178</v>
      </c>
      <c r="AF25" s="26">
        <v>8</v>
      </c>
      <c r="AG25" s="29"/>
      <c r="AH25" s="28">
        <v>166</v>
      </c>
      <c r="AI25">
        <v>160</v>
      </c>
      <c r="AJ25" s="26">
        <v>6</v>
      </c>
      <c r="AK25" s="29"/>
      <c r="AL25" s="28">
        <v>205</v>
      </c>
      <c r="AM25">
        <v>200</v>
      </c>
      <c r="AN25" s="26">
        <v>5</v>
      </c>
      <c r="AO25" s="29"/>
      <c r="AR25" s="26">
        <v>0</v>
      </c>
      <c r="AS25" s="29"/>
      <c r="AT25" s="28">
        <v>130</v>
      </c>
      <c r="AU25">
        <v>130</v>
      </c>
      <c r="AV25">
        <v>136</v>
      </c>
      <c r="AW25">
        <v>131</v>
      </c>
      <c r="AX25" s="26">
        <v>5</v>
      </c>
      <c r="AY25" s="29"/>
      <c r="AZ25" s="30"/>
      <c r="BB25" s="26">
        <v>0</v>
      </c>
      <c r="BC25" s="29"/>
      <c r="BD25">
        <v>106</v>
      </c>
      <c r="BE25">
        <v>100</v>
      </c>
      <c r="BF25">
        <v>185</v>
      </c>
      <c r="BG25">
        <v>180</v>
      </c>
      <c r="BH25" s="26">
        <v>11</v>
      </c>
      <c r="BI25" s="29"/>
      <c r="BJ25">
        <v>60</v>
      </c>
      <c r="BK25">
        <v>59</v>
      </c>
      <c r="BL25" s="26">
        <v>1</v>
      </c>
      <c r="BM25" s="29"/>
      <c r="BN25" s="30"/>
      <c r="BP25" s="26">
        <v>0</v>
      </c>
      <c r="BQ25" s="29"/>
      <c r="BR25" s="28">
        <v>36</v>
      </c>
      <c r="BS25">
        <v>34</v>
      </c>
      <c r="BT25" s="26">
        <v>2</v>
      </c>
      <c r="BU25" s="29"/>
      <c r="BV25">
        <v>241</v>
      </c>
      <c r="BW25">
        <v>227</v>
      </c>
      <c r="BX25" s="26">
        <v>14</v>
      </c>
      <c r="BY25" s="29"/>
      <c r="BZ25" s="28">
        <v>25</v>
      </c>
      <c r="CB25">
        <v>22</v>
      </c>
      <c r="CC25" s="26">
        <v>3</v>
      </c>
      <c r="CD25" s="29"/>
      <c r="CE25" s="30"/>
      <c r="CG25">
        <v>153</v>
      </c>
      <c r="CH25">
        <v>146</v>
      </c>
      <c r="CI25" s="26">
        <v>7</v>
      </c>
      <c r="CJ25" s="29"/>
      <c r="CK25" s="28">
        <v>123</v>
      </c>
      <c r="CM25">
        <v>116</v>
      </c>
      <c r="CN25" s="26">
        <v>7</v>
      </c>
      <c r="CO25" s="29"/>
      <c r="CP25">
        <v>66</v>
      </c>
      <c r="CQ25" s="26">
        <v>61.462600000000009</v>
      </c>
      <c r="CR25" s="26">
        <v>4.537399999999991</v>
      </c>
      <c r="CS25" s="29"/>
      <c r="CT25" s="28">
        <v>35</v>
      </c>
      <c r="CU25" s="26">
        <v>35.497</v>
      </c>
      <c r="CV25" s="26">
        <v>-0.49699999999999989</v>
      </c>
      <c r="CW25" s="29"/>
      <c r="CX25" s="28">
        <v>30</v>
      </c>
      <c r="CY25" s="26">
        <v>28.81379999999999</v>
      </c>
      <c r="CZ25" s="26">
        <v>1.1862000000000099</v>
      </c>
      <c r="DA25" s="29"/>
      <c r="DB25" s="28">
        <v>55</v>
      </c>
      <c r="DC25">
        <v>51</v>
      </c>
      <c r="DD25" s="26">
        <v>4</v>
      </c>
      <c r="DE25" s="29"/>
      <c r="DF25">
        <v>85</v>
      </c>
      <c r="DG25" s="31">
        <v>82.756999999999977</v>
      </c>
      <c r="DH25" s="26">
        <v>2.243000000000023</v>
      </c>
      <c r="DI25" s="29"/>
      <c r="DJ25">
        <v>55</v>
      </c>
      <c r="DK25">
        <v>51</v>
      </c>
      <c r="DL25" s="26">
        <v>4</v>
      </c>
      <c r="DM25" s="29"/>
      <c r="DN25" s="28">
        <v>25</v>
      </c>
      <c r="DP25">
        <v>23</v>
      </c>
      <c r="DQ25" s="26">
        <v>2</v>
      </c>
      <c r="DR25" s="29"/>
      <c r="DS25" s="28">
        <v>175</v>
      </c>
      <c r="DU25">
        <v>171</v>
      </c>
      <c r="DV25" s="26">
        <v>4</v>
      </c>
      <c r="DW25" s="29"/>
      <c r="DZ25" s="26">
        <v>0</v>
      </c>
      <c r="EA25" s="29"/>
      <c r="EB25" s="30"/>
      <c r="EC25">
        <v>20</v>
      </c>
      <c r="ED25">
        <v>20</v>
      </c>
      <c r="EE25">
        <v>36</v>
      </c>
      <c r="EF25">
        <v>33</v>
      </c>
      <c r="EG25" s="26">
        <v>3</v>
      </c>
      <c r="EH25" s="29"/>
      <c r="EI25">
        <v>106</v>
      </c>
      <c r="EJ25" s="31">
        <v>100.9842</v>
      </c>
      <c r="EK25" s="26">
        <v>5.0157999999999987</v>
      </c>
      <c r="EL25" s="29"/>
      <c r="EM25" s="28">
        <v>107</v>
      </c>
      <c r="EN25">
        <v>100</v>
      </c>
      <c r="EO25">
        <v>122</v>
      </c>
      <c r="EP25">
        <v>118</v>
      </c>
      <c r="EQ25" s="26">
        <v>11</v>
      </c>
      <c r="ER25" s="29"/>
      <c r="EW25" s="26">
        <v>0</v>
      </c>
      <c r="EX25" s="29"/>
      <c r="EY25">
        <v>112</v>
      </c>
      <c r="EZ25" s="31">
        <v>108.3522</v>
      </c>
      <c r="FA25" s="26">
        <v>3.6478000000000042</v>
      </c>
      <c r="FB25" s="29"/>
      <c r="FC25" s="28">
        <v>167</v>
      </c>
      <c r="FD25">
        <v>160</v>
      </c>
      <c r="FE25" s="26">
        <v>7</v>
      </c>
      <c r="FF25" s="29"/>
      <c r="FG25" s="30"/>
      <c r="FI25" s="26">
        <v>0</v>
      </c>
      <c r="FJ25" s="29"/>
      <c r="FK25">
        <v>196</v>
      </c>
      <c r="FL25">
        <v>190</v>
      </c>
      <c r="FM25" s="26">
        <v>6</v>
      </c>
      <c r="FN25" s="29"/>
      <c r="FO25" s="30"/>
      <c r="FQ25" s="26">
        <v>0</v>
      </c>
      <c r="FR25" s="29"/>
      <c r="FS25" s="28">
        <v>84</v>
      </c>
      <c r="FT25">
        <v>81</v>
      </c>
      <c r="FU25" s="26">
        <v>3</v>
      </c>
      <c r="FV25" s="29"/>
      <c r="FW25">
        <v>30</v>
      </c>
      <c r="FX25">
        <v>30</v>
      </c>
      <c r="FY25" s="26">
        <v>0</v>
      </c>
      <c r="FZ25" s="32"/>
      <c r="GA25">
        <v>72</v>
      </c>
      <c r="GB25">
        <v>69</v>
      </c>
      <c r="GC25" s="26">
        <v>3</v>
      </c>
      <c r="GD25" s="29"/>
      <c r="GG25" s="26">
        <v>0</v>
      </c>
      <c r="GH25" s="32"/>
      <c r="GI25">
        <v>15</v>
      </c>
      <c r="GJ25">
        <v>16</v>
      </c>
      <c r="GK25" s="26">
        <v>-1</v>
      </c>
      <c r="GL25" s="29"/>
      <c r="GO25" s="26">
        <v>0</v>
      </c>
      <c r="GP25" s="32"/>
      <c r="GS25" s="26">
        <v>0</v>
      </c>
      <c r="GT25" s="29"/>
      <c r="GU25" s="28">
        <v>106</v>
      </c>
      <c r="GV25" s="31">
        <v>100</v>
      </c>
      <c r="GW25" s="26">
        <v>6</v>
      </c>
      <c r="GX25" s="32"/>
      <c r="GY25">
        <v>123</v>
      </c>
      <c r="GZ25">
        <v>115</v>
      </c>
      <c r="HA25" s="26">
        <v>8</v>
      </c>
      <c r="HB25" s="32"/>
      <c r="HE25" s="26">
        <v>0</v>
      </c>
      <c r="HF25" s="32"/>
      <c r="HG25">
        <v>50</v>
      </c>
      <c r="HH25">
        <v>50</v>
      </c>
      <c r="HI25" s="26">
        <v>0</v>
      </c>
      <c r="HJ25" s="29"/>
      <c r="HK25">
        <v>86</v>
      </c>
      <c r="HL25">
        <v>80</v>
      </c>
      <c r="HM25">
        <v>69</v>
      </c>
      <c r="HN25">
        <v>67</v>
      </c>
      <c r="HO25" s="26">
        <v>8</v>
      </c>
      <c r="HP25" s="32"/>
      <c r="HQ25" s="31">
        <v>206.607</v>
      </c>
      <c r="HR25" s="31">
        <v>200</v>
      </c>
      <c r="HS25" s="26">
        <v>6.6069999999999993</v>
      </c>
      <c r="HT25" s="32"/>
      <c r="HU25" s="31">
        <v>96.805999999999997</v>
      </c>
      <c r="HV25" s="31">
        <v>90.151200000000003</v>
      </c>
      <c r="HW25" s="26">
        <v>6.6547999999999936</v>
      </c>
      <c r="HX25" s="32"/>
      <c r="HY25" s="34">
        <v>0</v>
      </c>
      <c r="HZ25" s="31">
        <v>0</v>
      </c>
      <c r="IA25" s="26">
        <v>0</v>
      </c>
      <c r="IB25" s="32"/>
    </row>
    <row r="26" spans="1:236" x14ac:dyDescent="0.25">
      <c r="A26" s="26" t="s">
        <v>153</v>
      </c>
      <c r="B26" s="27">
        <v>0.12</v>
      </c>
      <c r="F26">
        <v>43</v>
      </c>
      <c r="I26" s="30"/>
      <c r="J26" s="36">
        <v>16</v>
      </c>
      <c r="K26" s="36">
        <v>20</v>
      </c>
      <c r="L26" s="35">
        <f t="shared" si="4"/>
        <v>-4</v>
      </c>
      <c r="M26" s="29"/>
      <c r="N26" s="28">
        <v>160</v>
      </c>
      <c r="O26" s="36">
        <v>158</v>
      </c>
      <c r="P26" s="35">
        <f t="shared" si="5"/>
        <v>2</v>
      </c>
      <c r="Q26" s="29"/>
      <c r="R26" s="30"/>
      <c r="S26" s="36">
        <v>114</v>
      </c>
      <c r="T26" s="40">
        <f t="shared" si="6"/>
        <v>-114</v>
      </c>
      <c r="U26" s="29">
        <f>-1*T26*B26</f>
        <v>13.68</v>
      </c>
      <c r="V26" s="36">
        <v>104</v>
      </c>
      <c r="W26">
        <v>108</v>
      </c>
      <c r="X26" s="26">
        <v>-4</v>
      </c>
      <c r="Y26" s="29"/>
      <c r="Z26" s="28">
        <v>32</v>
      </c>
      <c r="AA26">
        <v>33</v>
      </c>
      <c r="AB26" s="26">
        <v>-1</v>
      </c>
      <c r="AC26" s="29"/>
      <c r="AD26">
        <v>112</v>
      </c>
      <c r="AE26">
        <v>114</v>
      </c>
      <c r="AF26" s="26">
        <v>-2</v>
      </c>
      <c r="AG26" s="29"/>
      <c r="AH26" s="30"/>
      <c r="AJ26" s="26">
        <v>0</v>
      </c>
      <c r="AK26" s="29"/>
      <c r="AL26" s="28">
        <v>104</v>
      </c>
      <c r="AM26">
        <v>103</v>
      </c>
      <c r="AN26" s="26">
        <v>1</v>
      </c>
      <c r="AO26" s="29"/>
      <c r="AR26" s="26">
        <v>0</v>
      </c>
      <c r="AS26" s="29"/>
      <c r="AT26" s="28">
        <v>16</v>
      </c>
      <c r="AU26">
        <v>17</v>
      </c>
      <c r="AX26" s="26">
        <v>-1</v>
      </c>
      <c r="AY26" s="29"/>
      <c r="AZ26" s="28">
        <v>48</v>
      </c>
      <c r="BA26">
        <v>46</v>
      </c>
      <c r="BB26" s="26">
        <v>2</v>
      </c>
      <c r="BC26" s="29"/>
      <c r="BH26" s="26">
        <v>0</v>
      </c>
      <c r="BI26" s="29"/>
      <c r="BJ26">
        <v>8</v>
      </c>
      <c r="BK26">
        <v>6</v>
      </c>
      <c r="BL26" s="26">
        <v>2</v>
      </c>
      <c r="BM26" s="29"/>
      <c r="BN26" s="28">
        <v>56</v>
      </c>
      <c r="BO26">
        <v>58</v>
      </c>
      <c r="BP26" s="26">
        <v>-2</v>
      </c>
      <c r="BQ26" s="29"/>
      <c r="BR26" s="30"/>
      <c r="BT26" s="26">
        <v>0</v>
      </c>
      <c r="BU26" s="29"/>
      <c r="BV26">
        <v>16</v>
      </c>
      <c r="BW26">
        <v>15</v>
      </c>
      <c r="BX26" s="26">
        <v>1</v>
      </c>
      <c r="BY26" s="29"/>
      <c r="BZ26" s="30"/>
      <c r="CC26" s="26">
        <v>0</v>
      </c>
      <c r="CD26" s="29"/>
      <c r="CE26" s="30"/>
      <c r="CI26" s="26">
        <v>0</v>
      </c>
      <c r="CJ26" s="29"/>
      <c r="CK26" s="28">
        <v>72</v>
      </c>
      <c r="CM26">
        <v>73</v>
      </c>
      <c r="CN26" s="26">
        <v>-1</v>
      </c>
      <c r="CO26" s="29"/>
      <c r="CP26">
        <v>8</v>
      </c>
      <c r="CQ26" s="26">
        <v>10</v>
      </c>
      <c r="CR26" s="26">
        <v>-2</v>
      </c>
      <c r="CS26" s="29"/>
      <c r="CT26" s="28">
        <v>48</v>
      </c>
      <c r="CU26" s="26">
        <v>49</v>
      </c>
      <c r="CV26" s="26">
        <v>-1</v>
      </c>
      <c r="CW26" s="29"/>
      <c r="CX26" s="30"/>
      <c r="CZ26" s="26">
        <v>0</v>
      </c>
      <c r="DA26" s="29"/>
      <c r="DB26" s="30"/>
      <c r="DD26" s="26">
        <v>0</v>
      </c>
      <c r="DE26" s="29"/>
      <c r="DH26" s="26">
        <v>0</v>
      </c>
      <c r="DI26" s="29"/>
      <c r="DJ26">
        <v>32</v>
      </c>
      <c r="DK26">
        <v>30</v>
      </c>
      <c r="DL26" s="26">
        <v>2</v>
      </c>
      <c r="DM26" s="29"/>
      <c r="DN26" s="28">
        <v>48</v>
      </c>
      <c r="DP26">
        <v>52</v>
      </c>
      <c r="DQ26" s="26">
        <v>-4</v>
      </c>
      <c r="DR26" s="29"/>
      <c r="DS26" s="30"/>
      <c r="DV26" s="26">
        <v>0</v>
      </c>
      <c r="DW26" s="29"/>
      <c r="DX26">
        <v>32</v>
      </c>
      <c r="DY26" s="31">
        <v>36</v>
      </c>
      <c r="DZ26" s="26">
        <v>-4</v>
      </c>
      <c r="EA26" s="29"/>
      <c r="EB26" s="30"/>
      <c r="EE26">
        <v>48</v>
      </c>
      <c r="EF26">
        <v>51</v>
      </c>
      <c r="EG26" s="26">
        <v>-3</v>
      </c>
      <c r="EH26" s="29"/>
      <c r="EK26" s="26">
        <v>0</v>
      </c>
      <c r="EL26" s="29"/>
      <c r="EM26" s="30"/>
      <c r="EQ26" s="26">
        <v>0</v>
      </c>
      <c r="ER26" s="29"/>
      <c r="EW26" s="26">
        <v>0</v>
      </c>
      <c r="EX26" s="29"/>
      <c r="EY26">
        <v>80</v>
      </c>
      <c r="EZ26" s="31">
        <v>80</v>
      </c>
      <c r="FA26" s="26">
        <v>0</v>
      </c>
      <c r="FB26" s="29"/>
      <c r="FC26" s="30"/>
      <c r="FE26" s="26">
        <v>0</v>
      </c>
      <c r="FF26" s="29"/>
      <c r="FG26" s="28">
        <v>24</v>
      </c>
      <c r="FH26">
        <v>29</v>
      </c>
      <c r="FI26" s="26">
        <v>-5</v>
      </c>
      <c r="FJ26" s="29"/>
      <c r="FM26" s="26">
        <v>0</v>
      </c>
      <c r="FN26" s="29"/>
      <c r="FO26" s="30"/>
      <c r="FQ26" s="26">
        <v>0</v>
      </c>
      <c r="FR26" s="29"/>
      <c r="FS26" s="28">
        <v>56</v>
      </c>
      <c r="FT26">
        <v>55</v>
      </c>
      <c r="FU26" s="26">
        <v>1</v>
      </c>
      <c r="FV26" s="29"/>
      <c r="FW26">
        <v>32</v>
      </c>
      <c r="FX26">
        <v>30</v>
      </c>
      <c r="FY26" s="26">
        <v>2</v>
      </c>
      <c r="FZ26" s="32"/>
      <c r="GA26">
        <v>32</v>
      </c>
      <c r="GB26">
        <v>32</v>
      </c>
      <c r="GC26" s="26">
        <v>0</v>
      </c>
      <c r="GD26" s="29"/>
      <c r="GG26" s="26">
        <v>0</v>
      </c>
      <c r="GH26" s="32"/>
      <c r="GI26">
        <v>40</v>
      </c>
      <c r="GJ26">
        <v>40</v>
      </c>
      <c r="GK26" s="26">
        <v>0</v>
      </c>
      <c r="GL26" s="29"/>
      <c r="GO26" s="26">
        <v>0</v>
      </c>
      <c r="GP26" s="32"/>
      <c r="GQ26">
        <v>8</v>
      </c>
      <c r="GR26" s="31">
        <v>12.6</v>
      </c>
      <c r="GS26" s="26">
        <v>-4.5999999999999996</v>
      </c>
      <c r="GT26" s="29"/>
      <c r="GU26" s="34"/>
      <c r="GW26" s="26">
        <v>0</v>
      </c>
      <c r="GX26" s="32"/>
      <c r="HA26" s="26">
        <v>0</v>
      </c>
      <c r="HB26" s="32"/>
      <c r="HE26" s="26">
        <v>0</v>
      </c>
      <c r="HF26" s="32"/>
      <c r="HI26" s="26">
        <v>0</v>
      </c>
      <c r="HJ26" s="29"/>
      <c r="HK26">
        <v>48</v>
      </c>
      <c r="HL26">
        <v>50</v>
      </c>
      <c r="HM26">
        <v>40</v>
      </c>
      <c r="HN26">
        <v>40</v>
      </c>
      <c r="HO26" s="26">
        <v>-2</v>
      </c>
      <c r="HP26" s="32"/>
      <c r="HQ26" s="31">
        <v>0</v>
      </c>
      <c r="HR26" s="31">
        <v>0</v>
      </c>
      <c r="HS26" s="26">
        <v>0</v>
      </c>
      <c r="HT26" s="32"/>
      <c r="HU26" s="31">
        <v>0</v>
      </c>
      <c r="HV26" s="31">
        <v>0</v>
      </c>
      <c r="HW26" s="26">
        <v>0</v>
      </c>
      <c r="HX26" s="32"/>
      <c r="HY26" s="34">
        <v>0</v>
      </c>
      <c r="HZ26" s="31">
        <v>0</v>
      </c>
      <c r="IA26" s="26">
        <v>0</v>
      </c>
      <c r="IB26" s="32"/>
    </row>
    <row r="27" spans="1:236" x14ac:dyDescent="0.25">
      <c r="A27" s="26" t="s">
        <v>154</v>
      </c>
      <c r="B27" s="27">
        <v>1</v>
      </c>
      <c r="I27" s="30"/>
      <c r="J27" s="35"/>
      <c r="K27" s="35"/>
      <c r="L27" s="35">
        <f t="shared" si="4"/>
        <v>0</v>
      </c>
      <c r="M27" s="29"/>
      <c r="N27" s="30"/>
      <c r="O27" s="35"/>
      <c r="P27" s="35">
        <f t="shared" si="5"/>
        <v>0</v>
      </c>
      <c r="Q27" s="29"/>
      <c r="R27" s="30"/>
      <c r="S27" s="35"/>
      <c r="T27" s="35">
        <f t="shared" si="6"/>
        <v>0</v>
      </c>
      <c r="U27" s="29"/>
      <c r="V27" s="35"/>
      <c r="X27" s="26">
        <v>0</v>
      </c>
      <c r="Y27" s="29"/>
      <c r="Z27" s="30"/>
      <c r="AB27" s="26">
        <v>0</v>
      </c>
      <c r="AC27" s="29"/>
      <c r="AF27" s="26">
        <v>0</v>
      </c>
      <c r="AG27" s="29"/>
      <c r="AH27" s="30"/>
      <c r="AJ27" s="26">
        <v>0</v>
      </c>
      <c r="AK27" s="29"/>
      <c r="AL27" s="30"/>
      <c r="AN27" s="26">
        <v>0</v>
      </c>
      <c r="AO27" s="29"/>
      <c r="AR27" s="26">
        <v>0</v>
      </c>
      <c r="AS27" s="29"/>
      <c r="AT27" s="30"/>
      <c r="AX27" s="26">
        <v>0</v>
      </c>
      <c r="AY27" s="29"/>
      <c r="AZ27" s="30"/>
      <c r="BB27" s="26">
        <v>0</v>
      </c>
      <c r="BC27" s="29"/>
      <c r="BH27" s="26">
        <v>0</v>
      </c>
      <c r="BI27" s="29"/>
      <c r="BL27" s="26">
        <v>0</v>
      </c>
      <c r="BM27" s="29"/>
      <c r="BN27" s="30"/>
      <c r="BP27" s="26">
        <v>0</v>
      </c>
      <c r="BQ27" s="29"/>
      <c r="BR27" s="30"/>
      <c r="BT27" s="26">
        <v>0</v>
      </c>
      <c r="BU27" s="29"/>
      <c r="BX27" s="26">
        <v>0</v>
      </c>
      <c r="BY27" s="29"/>
      <c r="BZ27" s="30"/>
      <c r="CC27" s="26">
        <v>0</v>
      </c>
      <c r="CD27" s="29"/>
      <c r="CE27" s="30"/>
      <c r="CI27" s="26">
        <v>0</v>
      </c>
      <c r="CJ27" s="29"/>
      <c r="CK27" s="30"/>
      <c r="CN27" s="26">
        <v>0</v>
      </c>
      <c r="CO27" s="29"/>
      <c r="CR27" s="26">
        <v>0</v>
      </c>
      <c r="CS27" s="29"/>
      <c r="CT27" s="34"/>
      <c r="CV27" s="26">
        <v>0</v>
      </c>
      <c r="CW27" s="29"/>
      <c r="CX27" s="30"/>
      <c r="CZ27" s="26">
        <v>0</v>
      </c>
      <c r="DA27" s="29"/>
      <c r="DB27" s="30"/>
      <c r="DD27" s="26">
        <v>0</v>
      </c>
      <c r="DE27" s="29"/>
      <c r="DH27" s="26">
        <v>0</v>
      </c>
      <c r="DI27" s="29"/>
      <c r="DL27" s="26">
        <v>0</v>
      </c>
      <c r="DM27" s="29"/>
      <c r="DN27" s="30"/>
      <c r="DQ27" s="26">
        <v>0</v>
      </c>
      <c r="DR27" s="29"/>
      <c r="DS27" s="30"/>
      <c r="DV27" s="26">
        <v>0</v>
      </c>
      <c r="DW27" s="29"/>
      <c r="DZ27" s="26">
        <v>0</v>
      </c>
      <c r="EA27" s="29"/>
      <c r="EB27" s="30"/>
      <c r="EG27" s="26">
        <v>0</v>
      </c>
      <c r="EH27" s="29"/>
      <c r="EK27" s="26">
        <v>0</v>
      </c>
      <c r="EL27" s="29"/>
      <c r="EM27" s="30"/>
      <c r="EQ27" s="26">
        <v>0</v>
      </c>
      <c r="ER27" s="29"/>
      <c r="EW27" s="26">
        <v>0</v>
      </c>
      <c r="EX27" s="29"/>
      <c r="FA27" s="26">
        <v>0</v>
      </c>
      <c r="FB27" s="29"/>
      <c r="FC27" s="30"/>
      <c r="FE27" s="26">
        <v>0</v>
      </c>
      <c r="FF27" s="29"/>
      <c r="FG27" s="30"/>
      <c r="FI27" s="26">
        <v>0</v>
      </c>
      <c r="FJ27" s="29"/>
      <c r="FM27" s="26">
        <v>0</v>
      </c>
      <c r="FN27" s="29"/>
      <c r="FO27" s="30"/>
      <c r="FQ27" s="26">
        <v>0</v>
      </c>
      <c r="FR27" s="29"/>
      <c r="FS27" s="30"/>
      <c r="FU27" s="26">
        <v>0</v>
      </c>
      <c r="FV27" s="29"/>
      <c r="FY27" s="26">
        <v>0</v>
      </c>
      <c r="FZ27" s="32"/>
      <c r="GC27" s="26">
        <v>0</v>
      </c>
      <c r="GD27" s="29"/>
      <c r="GF27">
        <v>75</v>
      </c>
      <c r="GG27" s="25">
        <v>-75</v>
      </c>
      <c r="GH27" s="32">
        <v>75</v>
      </c>
      <c r="GI27">
        <v>41</v>
      </c>
      <c r="GJ27">
        <v>40</v>
      </c>
      <c r="GK27" s="26">
        <v>1</v>
      </c>
      <c r="GL27" s="29"/>
      <c r="GO27" s="26">
        <v>0</v>
      </c>
      <c r="GP27" s="32"/>
      <c r="GS27" s="26">
        <v>0</v>
      </c>
      <c r="GT27" s="29"/>
      <c r="GU27" s="28">
        <v>30</v>
      </c>
      <c r="GV27" s="31">
        <v>30</v>
      </c>
      <c r="GW27" s="26">
        <v>0</v>
      </c>
      <c r="GX27" s="32"/>
      <c r="GY27">
        <v>54</v>
      </c>
      <c r="GZ27">
        <v>52</v>
      </c>
      <c r="HA27" s="26">
        <v>2</v>
      </c>
      <c r="HB27" s="32"/>
      <c r="HE27" s="26">
        <v>0</v>
      </c>
      <c r="HF27" s="32"/>
      <c r="HI27" s="26">
        <v>0</v>
      </c>
      <c r="HJ27" s="29"/>
      <c r="HK27">
        <v>73</v>
      </c>
      <c r="HL27">
        <v>70</v>
      </c>
      <c r="HM27">
        <v>60</v>
      </c>
      <c r="HN27">
        <v>58</v>
      </c>
      <c r="HO27" s="26">
        <v>5</v>
      </c>
      <c r="HP27" s="32"/>
      <c r="HQ27" s="31">
        <v>51.337000000000003</v>
      </c>
      <c r="HR27" s="31">
        <v>50</v>
      </c>
      <c r="HS27" s="26">
        <v>1.3370000000000031</v>
      </c>
      <c r="HT27" s="32"/>
      <c r="HU27" s="31">
        <v>0</v>
      </c>
      <c r="HV27" s="31">
        <v>0</v>
      </c>
      <c r="HW27" s="26">
        <v>0</v>
      </c>
      <c r="HX27" s="32"/>
      <c r="HY27" s="6">
        <v>65.436999999999998</v>
      </c>
      <c r="HZ27" s="31">
        <v>0</v>
      </c>
      <c r="IA27" s="26">
        <v>0</v>
      </c>
      <c r="IB27" s="32"/>
    </row>
    <row r="28" spans="1:236" x14ac:dyDescent="0.25">
      <c r="A28" s="26" t="s">
        <v>155</v>
      </c>
      <c r="B28" s="27">
        <v>0.25</v>
      </c>
      <c r="F28">
        <v>16</v>
      </c>
      <c r="I28" s="30"/>
      <c r="J28" s="35"/>
      <c r="K28" s="36">
        <v>16</v>
      </c>
      <c r="L28" s="40">
        <f t="shared" si="4"/>
        <v>-16</v>
      </c>
      <c r="M28" s="29">
        <f>-1*L28*B28</f>
        <v>4</v>
      </c>
      <c r="N28" s="30"/>
      <c r="O28" s="36">
        <v>32</v>
      </c>
      <c r="P28" s="40">
        <f t="shared" si="5"/>
        <v>-32</v>
      </c>
      <c r="Q28" s="29">
        <f>-1*P28*B28</f>
        <v>8</v>
      </c>
      <c r="R28" s="30"/>
      <c r="S28" s="36">
        <v>8</v>
      </c>
      <c r="T28" s="40">
        <f t="shared" si="6"/>
        <v>-8</v>
      </c>
      <c r="U28" s="29">
        <f t="shared" ref="U28:U29" si="7">-1*T28*B28</f>
        <v>2</v>
      </c>
      <c r="V28" s="35"/>
      <c r="W28">
        <v>33</v>
      </c>
      <c r="X28" s="25">
        <v>-33</v>
      </c>
      <c r="Y28" s="29">
        <v>8.25</v>
      </c>
      <c r="Z28" s="30"/>
      <c r="AA28">
        <v>16</v>
      </c>
      <c r="AB28" s="25">
        <v>-16</v>
      </c>
      <c r="AC28" s="29">
        <v>4</v>
      </c>
      <c r="AD28">
        <v>16</v>
      </c>
      <c r="AE28">
        <v>16</v>
      </c>
      <c r="AF28" s="26">
        <v>0</v>
      </c>
      <c r="AG28" s="29"/>
      <c r="AH28" s="30"/>
      <c r="AI28">
        <v>66</v>
      </c>
      <c r="AJ28" s="25">
        <v>-66</v>
      </c>
      <c r="AK28" s="29">
        <v>16.5</v>
      </c>
      <c r="AL28" s="30"/>
      <c r="AN28" s="26">
        <v>0</v>
      </c>
      <c r="AO28" s="29"/>
      <c r="AP28">
        <v>40</v>
      </c>
      <c r="AQ28">
        <v>41</v>
      </c>
      <c r="AR28" s="26">
        <v>-1</v>
      </c>
      <c r="AS28" s="29"/>
      <c r="AT28" s="30"/>
      <c r="AU28">
        <v>16</v>
      </c>
      <c r="AW28">
        <v>16</v>
      </c>
      <c r="AX28" s="25">
        <v>-32</v>
      </c>
      <c r="AY28" s="29">
        <v>31.75</v>
      </c>
      <c r="AZ28" s="30"/>
      <c r="BB28" s="26">
        <v>0</v>
      </c>
      <c r="BC28" s="29"/>
      <c r="BF28">
        <v>40</v>
      </c>
      <c r="BG28">
        <v>38</v>
      </c>
      <c r="BH28" s="26">
        <v>2</v>
      </c>
      <c r="BI28" s="29"/>
      <c r="BJ28">
        <v>24</v>
      </c>
      <c r="BK28">
        <v>22</v>
      </c>
      <c r="BL28" s="26">
        <v>2</v>
      </c>
      <c r="BM28" s="29"/>
      <c r="BN28" s="30"/>
      <c r="BP28" s="26">
        <v>0</v>
      </c>
      <c r="BQ28" s="29"/>
      <c r="BR28" s="28">
        <v>40</v>
      </c>
      <c r="BS28">
        <v>41</v>
      </c>
      <c r="BT28" s="26">
        <v>-1</v>
      </c>
      <c r="BU28" s="29"/>
      <c r="BX28" s="26">
        <v>0</v>
      </c>
      <c r="BY28" s="29"/>
      <c r="BZ28" s="30"/>
      <c r="CC28" s="26">
        <v>0</v>
      </c>
      <c r="CD28" s="29"/>
      <c r="CE28" s="30"/>
      <c r="CH28">
        <v>8</v>
      </c>
      <c r="CI28" s="25">
        <v>-8</v>
      </c>
      <c r="CJ28" s="29">
        <v>2</v>
      </c>
      <c r="CK28" s="28">
        <v>40</v>
      </c>
      <c r="CM28">
        <v>43</v>
      </c>
      <c r="CN28" s="26">
        <v>-3</v>
      </c>
      <c r="CO28" s="29"/>
      <c r="CR28" s="26">
        <v>0</v>
      </c>
      <c r="CS28" s="29"/>
      <c r="CT28" s="28">
        <v>8</v>
      </c>
      <c r="CU28" s="26">
        <v>8</v>
      </c>
      <c r="CV28" s="26">
        <v>0</v>
      </c>
      <c r="CW28" s="29"/>
      <c r="CX28" s="28">
        <v>32</v>
      </c>
      <c r="CY28" s="26">
        <v>32.200000000000003</v>
      </c>
      <c r="CZ28" s="26">
        <v>-0.20000000000000279</v>
      </c>
      <c r="DA28" s="29"/>
      <c r="DB28" s="30"/>
      <c r="DD28" s="26">
        <v>0</v>
      </c>
      <c r="DE28" s="29"/>
      <c r="DF28">
        <v>8</v>
      </c>
      <c r="DG28" s="31">
        <v>8.6000000000000014</v>
      </c>
      <c r="DH28" s="26">
        <v>-0.60000000000000142</v>
      </c>
      <c r="DI28" s="29"/>
      <c r="DL28" s="26">
        <v>0</v>
      </c>
      <c r="DM28" s="29"/>
      <c r="DN28" s="30"/>
      <c r="DQ28" s="26">
        <v>0</v>
      </c>
      <c r="DR28" s="29"/>
      <c r="DS28" s="30"/>
      <c r="DV28" s="26">
        <v>0</v>
      </c>
      <c r="DW28" s="29"/>
      <c r="DZ28" s="26">
        <v>0</v>
      </c>
      <c r="EA28" s="29"/>
      <c r="EB28" s="30"/>
      <c r="EE28">
        <v>56</v>
      </c>
      <c r="EF28">
        <v>59</v>
      </c>
      <c r="EG28" s="26">
        <v>-3</v>
      </c>
      <c r="EH28" s="29"/>
      <c r="EK28" s="26">
        <v>0</v>
      </c>
      <c r="EL28" s="29"/>
      <c r="EM28" s="30"/>
      <c r="EQ28" s="26">
        <v>0</v>
      </c>
      <c r="ER28" s="29"/>
      <c r="EW28" s="26">
        <v>0</v>
      </c>
      <c r="EX28" s="29"/>
      <c r="FA28" s="26">
        <v>0</v>
      </c>
      <c r="FB28" s="29"/>
      <c r="FC28" s="28">
        <v>40</v>
      </c>
      <c r="FD28">
        <v>40</v>
      </c>
      <c r="FE28" s="26">
        <v>0</v>
      </c>
      <c r="FF28" s="29"/>
      <c r="FG28" s="30"/>
      <c r="FI28" s="26">
        <v>0</v>
      </c>
      <c r="FJ28" s="29"/>
      <c r="FK28">
        <v>8</v>
      </c>
      <c r="FL28">
        <v>8</v>
      </c>
      <c r="FM28" s="26">
        <v>0</v>
      </c>
      <c r="FN28" s="29"/>
      <c r="FO28" s="28">
        <v>8</v>
      </c>
      <c r="FP28">
        <v>12</v>
      </c>
      <c r="FQ28" s="26">
        <v>-4</v>
      </c>
      <c r="FR28" s="29"/>
      <c r="FS28" s="30"/>
      <c r="FU28" s="26">
        <v>0</v>
      </c>
      <c r="FV28" s="29"/>
      <c r="FY28" s="26">
        <v>0</v>
      </c>
      <c r="FZ28" s="32"/>
      <c r="GC28" s="26">
        <v>0</v>
      </c>
      <c r="GD28" s="29"/>
      <c r="GG28" s="26">
        <v>0</v>
      </c>
      <c r="GH28" s="32"/>
      <c r="GK28" s="26">
        <v>0</v>
      </c>
      <c r="GL28" s="29"/>
      <c r="GO28" s="26">
        <v>0</v>
      </c>
      <c r="GP28" s="32"/>
      <c r="GS28" s="26">
        <v>0</v>
      </c>
      <c r="GT28" s="29"/>
      <c r="GU28" s="34"/>
      <c r="GW28" s="26">
        <v>0</v>
      </c>
      <c r="GX28" s="32"/>
      <c r="HA28" s="26">
        <v>0</v>
      </c>
      <c r="HB28" s="32"/>
      <c r="HE28" s="26">
        <v>0</v>
      </c>
      <c r="HF28" s="32"/>
      <c r="HI28" s="26">
        <v>0</v>
      </c>
      <c r="HJ28" s="29"/>
      <c r="HK28">
        <v>32</v>
      </c>
      <c r="HL28">
        <v>30</v>
      </c>
      <c r="HM28">
        <v>32</v>
      </c>
      <c r="HN28">
        <v>30</v>
      </c>
      <c r="HO28" s="26">
        <v>4</v>
      </c>
      <c r="HP28" s="32"/>
      <c r="HQ28" s="31">
        <v>48</v>
      </c>
      <c r="HR28" s="31">
        <v>50</v>
      </c>
      <c r="HS28" s="26">
        <v>-2</v>
      </c>
      <c r="HT28" s="32"/>
      <c r="HU28" s="31">
        <v>32</v>
      </c>
      <c r="HV28" s="31">
        <v>31.2</v>
      </c>
      <c r="HW28" s="26">
        <v>0.79999999999999716</v>
      </c>
      <c r="HX28" s="32"/>
      <c r="HY28" s="34">
        <v>0</v>
      </c>
      <c r="HZ28" s="31">
        <v>0</v>
      </c>
      <c r="IA28" s="26">
        <v>0</v>
      </c>
      <c r="IB28" s="32"/>
    </row>
    <row r="29" spans="1:236" x14ac:dyDescent="0.25">
      <c r="A29" s="26" t="s">
        <v>156</v>
      </c>
      <c r="B29" s="27">
        <v>0.25</v>
      </c>
      <c r="I29" s="30"/>
      <c r="J29" s="35"/>
      <c r="K29" s="36">
        <v>16</v>
      </c>
      <c r="L29" s="40">
        <f t="shared" si="4"/>
        <v>-16</v>
      </c>
      <c r="M29" s="29">
        <f>-1*L29*B29</f>
        <v>4</v>
      </c>
      <c r="N29" s="30"/>
      <c r="O29" s="36">
        <v>24</v>
      </c>
      <c r="P29" s="40">
        <f t="shared" si="5"/>
        <v>-24</v>
      </c>
      <c r="Q29" s="29">
        <f>-1*P29*B29</f>
        <v>6</v>
      </c>
      <c r="R29" s="30"/>
      <c r="S29" s="36">
        <v>27</v>
      </c>
      <c r="T29" s="40">
        <f t="shared" si="6"/>
        <v>-27</v>
      </c>
      <c r="U29" s="29">
        <f t="shared" si="7"/>
        <v>6.75</v>
      </c>
      <c r="V29" s="35"/>
      <c r="W29">
        <v>8</v>
      </c>
      <c r="X29" s="25">
        <v>-8</v>
      </c>
      <c r="Y29" s="29">
        <v>2</v>
      </c>
      <c r="Z29" s="30"/>
      <c r="AA29">
        <v>8</v>
      </c>
      <c r="AB29" s="25">
        <v>-8</v>
      </c>
      <c r="AC29" s="29">
        <v>2</v>
      </c>
      <c r="AD29">
        <v>24</v>
      </c>
      <c r="AE29">
        <v>22</v>
      </c>
      <c r="AF29" s="26">
        <v>2</v>
      </c>
      <c r="AG29" s="29"/>
      <c r="AH29" s="30"/>
      <c r="AJ29" s="26">
        <v>0</v>
      </c>
      <c r="AK29" s="29"/>
      <c r="AL29" s="30"/>
      <c r="AM29" s="26">
        <v>10</v>
      </c>
      <c r="AN29" s="25">
        <v>-10</v>
      </c>
      <c r="AO29" s="29">
        <v>2.5</v>
      </c>
      <c r="AR29" s="26">
        <v>0</v>
      </c>
      <c r="AS29" s="29"/>
      <c r="AT29" s="30"/>
      <c r="AX29" s="26">
        <v>0</v>
      </c>
      <c r="AY29" s="29"/>
      <c r="AZ29" s="28">
        <v>24</v>
      </c>
      <c r="BA29">
        <v>24</v>
      </c>
      <c r="BB29" s="26">
        <v>0</v>
      </c>
      <c r="BC29" s="29"/>
      <c r="BH29" s="26">
        <v>0</v>
      </c>
      <c r="BI29" s="29"/>
      <c r="BK29">
        <v>32</v>
      </c>
      <c r="BL29" s="25">
        <v>-32</v>
      </c>
      <c r="BM29" s="29">
        <v>8</v>
      </c>
      <c r="BN29" s="30"/>
      <c r="BP29" s="26">
        <v>0</v>
      </c>
      <c r="BQ29" s="29"/>
      <c r="BR29" s="30"/>
      <c r="BS29">
        <v>32</v>
      </c>
      <c r="BT29" s="25">
        <v>-32</v>
      </c>
      <c r="BU29" s="29">
        <v>8</v>
      </c>
      <c r="BX29" s="26">
        <v>0</v>
      </c>
      <c r="BY29" s="29"/>
      <c r="BZ29" s="30"/>
      <c r="CC29" s="26">
        <v>0</v>
      </c>
      <c r="CD29" s="29"/>
      <c r="CE29" s="30"/>
      <c r="CI29" s="26">
        <v>0</v>
      </c>
      <c r="CJ29" s="29"/>
      <c r="CK29" s="30"/>
      <c r="CO29" s="32"/>
      <c r="CS29" s="29"/>
      <c r="CT29" s="28"/>
      <c r="CW29" s="29"/>
      <c r="CX29" s="28"/>
      <c r="DA29" s="29"/>
      <c r="DB29" s="30"/>
      <c r="DE29" s="29"/>
      <c r="DI29" s="29"/>
      <c r="DM29" s="29"/>
      <c r="DN29" s="30"/>
      <c r="DR29" s="29"/>
      <c r="DS29" s="30"/>
      <c r="DW29" s="29"/>
      <c r="EA29" s="29"/>
      <c r="EB29" s="30"/>
      <c r="EH29" s="29"/>
      <c r="EL29" s="29"/>
      <c r="EM29" s="30"/>
      <c r="EP29" s="27"/>
      <c r="ER29" s="29"/>
      <c r="EX29" s="29"/>
      <c r="EY29" s="31"/>
      <c r="FB29" s="29"/>
      <c r="FC29" s="28"/>
      <c r="FF29" s="29"/>
      <c r="FG29" s="30"/>
      <c r="FJ29" s="29"/>
      <c r="FN29" s="29"/>
      <c r="FO29" s="28"/>
      <c r="FR29" s="29"/>
      <c r="FS29" s="30"/>
      <c r="FV29" s="29"/>
      <c r="FZ29" s="32"/>
      <c r="GD29" s="29"/>
      <c r="GH29" s="32"/>
      <c r="GL29" s="29"/>
      <c r="GP29" s="32"/>
      <c r="GT29" s="29"/>
      <c r="GU29" s="34"/>
      <c r="GX29" s="32"/>
      <c r="HB29" s="32"/>
      <c r="HF29" s="32"/>
      <c r="HJ29" s="29"/>
      <c r="HP29" s="32"/>
      <c r="HQ29" s="31"/>
      <c r="HR29" s="31"/>
      <c r="HT29" s="32"/>
      <c r="HU29" s="31"/>
      <c r="HV29" s="31"/>
      <c r="HX29" s="32"/>
      <c r="HY29" s="34"/>
      <c r="HZ29" s="31"/>
      <c r="IB29" s="32"/>
    </row>
    <row r="30" spans="1:236" x14ac:dyDescent="0.25">
      <c r="A30" s="26" t="s">
        <v>157</v>
      </c>
      <c r="B30" s="27">
        <v>1</v>
      </c>
      <c r="I30" s="30"/>
      <c r="J30" s="35"/>
      <c r="K30" s="35"/>
      <c r="L30" s="35">
        <f t="shared" si="4"/>
        <v>0</v>
      </c>
      <c r="M30" s="29"/>
      <c r="N30" s="30"/>
      <c r="O30" s="35"/>
      <c r="P30" s="35">
        <f t="shared" si="5"/>
        <v>0</v>
      </c>
      <c r="Q30" s="29"/>
      <c r="R30" s="30"/>
      <c r="S30" s="35"/>
      <c r="T30" s="35">
        <f t="shared" si="6"/>
        <v>0</v>
      </c>
      <c r="U30" s="29"/>
      <c r="V30" s="35"/>
      <c r="X30" s="26">
        <v>0</v>
      </c>
      <c r="Y30" s="29"/>
      <c r="Z30" s="30"/>
      <c r="AB30" s="26">
        <v>0</v>
      </c>
      <c r="AC30" s="29"/>
      <c r="AF30" s="26">
        <v>0</v>
      </c>
      <c r="AG30" s="29"/>
      <c r="AH30" s="30"/>
      <c r="AJ30" s="26">
        <v>0</v>
      </c>
      <c r="AK30" s="29"/>
      <c r="AL30" s="30"/>
      <c r="AN30" s="26">
        <v>0</v>
      </c>
      <c r="AO30" s="29"/>
      <c r="AR30" s="26">
        <v>0</v>
      </c>
      <c r="AS30" s="29"/>
      <c r="AT30" s="30"/>
      <c r="AX30" s="26">
        <v>0</v>
      </c>
      <c r="AY30" s="29"/>
      <c r="AZ30" s="30"/>
      <c r="BB30" s="26">
        <v>0</v>
      </c>
      <c r="BC30" s="29"/>
      <c r="BH30" s="26">
        <v>0</v>
      </c>
      <c r="BI30" s="29"/>
      <c r="BL30" s="26">
        <v>0</v>
      </c>
      <c r="BM30" s="29"/>
      <c r="BN30" s="30"/>
      <c r="BP30" s="26">
        <v>0</v>
      </c>
      <c r="BQ30" s="29"/>
      <c r="BR30" s="30"/>
      <c r="BT30" s="26">
        <v>0</v>
      </c>
      <c r="BU30" s="29"/>
      <c r="BX30" s="26">
        <v>0</v>
      </c>
      <c r="BY30" s="29"/>
      <c r="BZ30" s="30"/>
      <c r="CC30" s="26">
        <v>0</v>
      </c>
      <c r="CD30" s="29"/>
      <c r="CE30" s="30"/>
      <c r="CI30" s="26">
        <v>0</v>
      </c>
      <c r="CJ30" s="29"/>
      <c r="CK30" s="30"/>
      <c r="CN30" s="26">
        <v>0</v>
      </c>
      <c r="CO30" s="29"/>
      <c r="CR30" s="26">
        <v>0</v>
      </c>
      <c r="CS30" s="29"/>
      <c r="CT30" s="34"/>
      <c r="CV30" s="26">
        <v>0</v>
      </c>
      <c r="CW30" s="29"/>
      <c r="CX30" s="30"/>
      <c r="CZ30" s="26">
        <v>0</v>
      </c>
      <c r="DA30" s="29"/>
      <c r="DB30" s="30"/>
      <c r="DD30" s="26">
        <v>0</v>
      </c>
      <c r="DE30" s="29"/>
      <c r="DH30" s="26">
        <v>0</v>
      </c>
      <c r="DI30" s="29"/>
      <c r="DL30" s="26">
        <v>0</v>
      </c>
      <c r="DM30" s="29"/>
      <c r="DN30" s="30"/>
      <c r="DQ30" s="26">
        <v>0</v>
      </c>
      <c r="DR30" s="29"/>
      <c r="DS30" s="30"/>
      <c r="DV30" s="26">
        <v>0</v>
      </c>
      <c r="DW30" s="29"/>
      <c r="DZ30" s="26">
        <v>0</v>
      </c>
      <c r="EA30" s="29"/>
      <c r="EB30" s="30"/>
      <c r="EG30" s="26">
        <v>0</v>
      </c>
      <c r="EH30" s="29"/>
      <c r="EK30" s="26">
        <v>0</v>
      </c>
      <c r="EL30" s="29"/>
      <c r="EM30" s="30"/>
      <c r="EQ30" s="26">
        <v>0</v>
      </c>
      <c r="ER30" s="29"/>
      <c r="EU30">
        <v>41</v>
      </c>
      <c r="EV30">
        <v>40</v>
      </c>
      <c r="EW30" s="26">
        <v>1</v>
      </c>
      <c r="EX30" s="29"/>
      <c r="FA30" s="26">
        <v>0</v>
      </c>
      <c r="FB30" s="29"/>
      <c r="FC30" s="30"/>
      <c r="FE30" s="26">
        <v>0</v>
      </c>
      <c r="FF30" s="29"/>
      <c r="FG30" s="30"/>
      <c r="FI30" s="26">
        <v>0</v>
      </c>
      <c r="FJ30" s="29"/>
      <c r="FK30">
        <v>4</v>
      </c>
      <c r="FL30">
        <v>5</v>
      </c>
      <c r="FM30" s="26">
        <v>-1</v>
      </c>
      <c r="FN30" s="29"/>
      <c r="FO30" s="28">
        <v>36</v>
      </c>
      <c r="FP30">
        <v>36</v>
      </c>
      <c r="FQ30" s="26">
        <v>0</v>
      </c>
      <c r="FR30" s="29"/>
      <c r="FS30" s="30"/>
      <c r="FU30" s="26">
        <v>0</v>
      </c>
      <c r="FV30" s="29"/>
      <c r="FY30" s="26">
        <v>0</v>
      </c>
      <c r="FZ30" s="32"/>
      <c r="GA30">
        <v>20</v>
      </c>
      <c r="GB30">
        <v>18</v>
      </c>
      <c r="GC30" s="26">
        <v>2</v>
      </c>
      <c r="GD30" s="29"/>
      <c r="GG30" s="26">
        <v>0</v>
      </c>
      <c r="GH30" s="32"/>
      <c r="GK30" s="26">
        <v>0</v>
      </c>
      <c r="GL30" s="29"/>
      <c r="GO30" s="26">
        <v>0</v>
      </c>
      <c r="GP30" s="32"/>
      <c r="GQ30">
        <v>16</v>
      </c>
      <c r="GR30" s="31">
        <v>14.9476</v>
      </c>
      <c r="GS30" s="26">
        <v>1.0524</v>
      </c>
      <c r="GT30" s="29"/>
      <c r="GU30" s="34"/>
      <c r="GW30" s="26">
        <v>0</v>
      </c>
      <c r="GX30" s="32"/>
      <c r="HA30" s="26">
        <v>0</v>
      </c>
      <c r="HB30" s="32"/>
      <c r="HC30">
        <v>12</v>
      </c>
      <c r="HD30">
        <v>10</v>
      </c>
      <c r="HE30" s="26">
        <v>-2</v>
      </c>
      <c r="HF30" s="32"/>
      <c r="HI30" s="26">
        <v>0</v>
      </c>
      <c r="HJ30" s="29"/>
      <c r="HK30" s="27"/>
      <c r="HM30">
        <v>63</v>
      </c>
      <c r="HN30">
        <v>63</v>
      </c>
      <c r="HO30" s="26">
        <v>0</v>
      </c>
      <c r="HP30" s="32"/>
      <c r="HQ30" s="31">
        <v>52.051000000000002</v>
      </c>
      <c r="HR30" s="31">
        <v>50</v>
      </c>
      <c r="HS30" s="26">
        <v>2.0510000000000019</v>
      </c>
      <c r="HT30" s="32"/>
      <c r="HU30" s="31">
        <v>0</v>
      </c>
      <c r="HV30" s="31">
        <v>0</v>
      </c>
      <c r="HW30" s="26">
        <v>0</v>
      </c>
      <c r="HX30" s="32"/>
      <c r="HY30" s="34">
        <v>0</v>
      </c>
      <c r="HZ30" s="31">
        <v>0</v>
      </c>
      <c r="IA30" s="26">
        <v>0</v>
      </c>
      <c r="IB30" s="32"/>
    </row>
    <row r="31" spans="1:236" x14ac:dyDescent="0.25">
      <c r="A31" s="26" t="s">
        <v>158</v>
      </c>
      <c r="B31" s="27">
        <v>0.4</v>
      </c>
      <c r="E31">
        <v>30</v>
      </c>
      <c r="F31">
        <v>49</v>
      </c>
      <c r="I31" s="30"/>
      <c r="J31" s="35"/>
      <c r="K31" s="35"/>
      <c r="L31" s="35">
        <f t="shared" si="4"/>
        <v>0</v>
      </c>
      <c r="M31" s="29"/>
      <c r="N31" s="28">
        <v>72</v>
      </c>
      <c r="O31" s="36">
        <v>71</v>
      </c>
      <c r="P31" s="35">
        <f t="shared" si="5"/>
        <v>1</v>
      </c>
      <c r="Q31" s="29"/>
      <c r="R31" s="30"/>
      <c r="S31" s="35"/>
      <c r="T31" s="35">
        <f t="shared" si="6"/>
        <v>0</v>
      </c>
      <c r="U31" s="29"/>
      <c r="V31" s="36">
        <v>40</v>
      </c>
      <c r="W31">
        <v>40</v>
      </c>
      <c r="X31" s="26">
        <v>0</v>
      </c>
      <c r="Y31" s="29"/>
      <c r="Z31" s="28">
        <v>8</v>
      </c>
      <c r="AA31">
        <v>10</v>
      </c>
      <c r="AB31" s="26">
        <v>-2</v>
      </c>
      <c r="AC31" s="29"/>
      <c r="AE31">
        <v>87</v>
      </c>
      <c r="AF31" s="25">
        <v>-87</v>
      </c>
      <c r="AG31" s="29">
        <v>34.799999999999997</v>
      </c>
      <c r="AH31" s="30"/>
      <c r="AJ31" s="26">
        <v>0</v>
      </c>
      <c r="AK31" s="29"/>
      <c r="AL31" s="28">
        <v>48</v>
      </c>
      <c r="AM31">
        <v>49</v>
      </c>
      <c r="AN31" s="26">
        <v>-1</v>
      </c>
      <c r="AO31" s="29"/>
      <c r="AR31" s="26">
        <v>0</v>
      </c>
      <c r="AS31" s="29"/>
      <c r="AT31" s="30"/>
      <c r="AV31">
        <v>40</v>
      </c>
      <c r="AW31">
        <v>39</v>
      </c>
      <c r="AX31" s="26">
        <v>1</v>
      </c>
      <c r="AY31" s="29"/>
      <c r="AZ31" s="28">
        <v>32</v>
      </c>
      <c r="BA31">
        <v>35</v>
      </c>
      <c r="BB31" s="26">
        <v>-3</v>
      </c>
      <c r="BC31" s="29"/>
      <c r="BF31">
        <v>40</v>
      </c>
      <c r="BG31">
        <v>42</v>
      </c>
      <c r="BH31" s="26">
        <v>-2</v>
      </c>
      <c r="BI31" s="29"/>
      <c r="BL31" s="26">
        <v>0</v>
      </c>
      <c r="BM31" s="29"/>
      <c r="BN31" s="28">
        <v>16</v>
      </c>
      <c r="BO31">
        <v>14</v>
      </c>
      <c r="BP31" s="26">
        <v>2</v>
      </c>
      <c r="BQ31" s="29"/>
      <c r="BR31" s="28">
        <v>56</v>
      </c>
      <c r="BS31">
        <v>56</v>
      </c>
      <c r="BT31" s="26">
        <v>0</v>
      </c>
      <c r="BU31" s="29"/>
      <c r="BX31" s="26">
        <v>0</v>
      </c>
      <c r="BY31" s="29"/>
      <c r="BZ31" s="30"/>
      <c r="CC31" s="26">
        <v>0</v>
      </c>
      <c r="CD31" s="29"/>
      <c r="CE31" s="30"/>
      <c r="CG31">
        <v>40</v>
      </c>
      <c r="CH31">
        <v>41</v>
      </c>
      <c r="CI31" s="26">
        <v>-1</v>
      </c>
      <c r="CJ31" s="29"/>
      <c r="CK31" s="28">
        <v>32</v>
      </c>
      <c r="CM31">
        <v>31</v>
      </c>
      <c r="CN31" s="26">
        <v>1</v>
      </c>
      <c r="CO31" s="29"/>
      <c r="CP31">
        <v>32</v>
      </c>
      <c r="CQ31" s="26">
        <v>32.599999999999987</v>
      </c>
      <c r="CR31" s="26">
        <v>-0.59999999999998721</v>
      </c>
      <c r="CS31" s="29"/>
      <c r="CT31" s="34"/>
      <c r="CV31" s="26">
        <v>0</v>
      </c>
      <c r="CW31" s="29"/>
      <c r="CX31" s="30"/>
      <c r="CZ31" s="26">
        <v>0</v>
      </c>
      <c r="DA31" s="29"/>
      <c r="DB31" s="28">
        <v>48</v>
      </c>
      <c r="DC31">
        <v>48</v>
      </c>
      <c r="DD31" s="26">
        <v>0</v>
      </c>
      <c r="DE31" s="29"/>
      <c r="DH31" s="26">
        <v>0</v>
      </c>
      <c r="DI31" s="29"/>
      <c r="DJ31">
        <v>32</v>
      </c>
      <c r="DK31">
        <v>30</v>
      </c>
      <c r="DL31" s="26">
        <v>2</v>
      </c>
      <c r="DM31" s="29"/>
      <c r="DN31" s="28">
        <v>8</v>
      </c>
      <c r="DP31">
        <v>9</v>
      </c>
      <c r="DQ31" s="26">
        <v>-1</v>
      </c>
      <c r="DR31" s="29"/>
      <c r="DS31" s="30"/>
      <c r="DV31" s="26">
        <v>0</v>
      </c>
      <c r="DW31" s="29"/>
      <c r="DX31">
        <v>48</v>
      </c>
      <c r="DY31" s="31">
        <v>50</v>
      </c>
      <c r="DZ31" s="26">
        <v>-2</v>
      </c>
      <c r="EA31" s="29"/>
      <c r="EB31" s="30"/>
      <c r="EG31" s="26">
        <v>0</v>
      </c>
      <c r="EH31" s="29"/>
      <c r="EI31">
        <v>32</v>
      </c>
      <c r="EJ31" s="31">
        <v>36.600000000000009</v>
      </c>
      <c r="EK31" s="26">
        <v>-4.6000000000000094</v>
      </c>
      <c r="EL31" s="29"/>
      <c r="EM31" s="30"/>
      <c r="EQ31" s="26">
        <v>0</v>
      </c>
      <c r="ER31" s="29"/>
      <c r="ES31">
        <v>16</v>
      </c>
      <c r="ET31">
        <v>20</v>
      </c>
      <c r="EU31">
        <v>56</v>
      </c>
      <c r="EV31">
        <v>60</v>
      </c>
      <c r="EW31" s="26">
        <v>-8</v>
      </c>
      <c r="EX31" s="29"/>
      <c r="FA31" s="26">
        <v>0</v>
      </c>
      <c r="FB31" s="29"/>
      <c r="FC31" s="28">
        <v>40</v>
      </c>
      <c r="FD31">
        <v>42</v>
      </c>
      <c r="FE31" s="26">
        <v>-2</v>
      </c>
      <c r="FF31" s="29"/>
      <c r="FG31" s="28">
        <v>24</v>
      </c>
      <c r="FH31">
        <v>24</v>
      </c>
      <c r="FI31" s="26">
        <v>0</v>
      </c>
      <c r="FJ31" s="29"/>
      <c r="FK31">
        <v>16</v>
      </c>
      <c r="FL31">
        <v>15</v>
      </c>
      <c r="FM31" s="26">
        <v>1</v>
      </c>
      <c r="FN31" s="29"/>
      <c r="FO31" s="28">
        <v>24</v>
      </c>
      <c r="FP31">
        <v>27</v>
      </c>
      <c r="FQ31" s="26">
        <v>-3</v>
      </c>
      <c r="FR31" s="29"/>
      <c r="FS31" s="30"/>
      <c r="FU31" s="26">
        <v>0</v>
      </c>
      <c r="FV31" s="29"/>
      <c r="FY31" s="26">
        <v>0</v>
      </c>
      <c r="FZ31" s="32"/>
      <c r="GA31">
        <v>32</v>
      </c>
      <c r="GB31">
        <v>34</v>
      </c>
      <c r="GC31" s="26">
        <v>-2</v>
      </c>
      <c r="GD31" s="29"/>
      <c r="GE31">
        <v>16</v>
      </c>
      <c r="GF31">
        <v>16</v>
      </c>
      <c r="GG31" s="26">
        <v>0</v>
      </c>
      <c r="GH31" s="32"/>
      <c r="GI31">
        <v>16</v>
      </c>
      <c r="GJ31">
        <v>16</v>
      </c>
      <c r="GK31" s="26">
        <v>0</v>
      </c>
      <c r="GL31" s="29"/>
      <c r="GO31" s="26">
        <v>0</v>
      </c>
      <c r="GP31" s="32"/>
      <c r="GS31" s="26">
        <v>0</v>
      </c>
      <c r="GT31" s="29"/>
      <c r="GU31" s="34"/>
      <c r="GW31" s="26">
        <v>0</v>
      </c>
      <c r="GX31" s="32"/>
      <c r="GY31">
        <v>40</v>
      </c>
      <c r="GZ31">
        <v>40</v>
      </c>
      <c r="HA31" s="26">
        <v>0</v>
      </c>
      <c r="HB31" s="32"/>
      <c r="HE31" s="26">
        <v>0</v>
      </c>
      <c r="HF31" s="32"/>
      <c r="HI31" s="26">
        <v>0</v>
      </c>
      <c r="HJ31" s="29"/>
      <c r="HK31" s="27"/>
      <c r="HM31" s="27"/>
      <c r="HO31" s="26">
        <v>0</v>
      </c>
      <c r="HP31" s="32"/>
      <c r="HQ31" s="31">
        <v>0</v>
      </c>
      <c r="HR31" s="31">
        <v>0</v>
      </c>
      <c r="HS31" s="26">
        <v>0</v>
      </c>
      <c r="HT31" s="32"/>
      <c r="HU31" s="31">
        <v>0</v>
      </c>
      <c r="HV31" s="31">
        <v>0</v>
      </c>
      <c r="HW31" s="26">
        <v>0</v>
      </c>
      <c r="HX31" s="32"/>
      <c r="HY31" s="34">
        <v>0</v>
      </c>
      <c r="HZ31" s="31">
        <v>0</v>
      </c>
      <c r="IA31" s="26">
        <v>0</v>
      </c>
      <c r="IB31" s="32"/>
    </row>
    <row r="32" spans="1:236" x14ac:dyDescent="0.25">
      <c r="A32" s="26" t="s">
        <v>159</v>
      </c>
      <c r="B32" s="27">
        <v>1</v>
      </c>
      <c r="I32" s="30"/>
      <c r="J32" s="35"/>
      <c r="K32" s="35"/>
      <c r="L32" s="35">
        <f t="shared" si="4"/>
        <v>0</v>
      </c>
      <c r="M32" s="29"/>
      <c r="N32" s="30"/>
      <c r="O32" s="35"/>
      <c r="P32" s="35">
        <f t="shared" si="5"/>
        <v>0</v>
      </c>
      <c r="Q32" s="29"/>
      <c r="R32" s="30"/>
      <c r="S32" s="35"/>
      <c r="T32" s="35">
        <f t="shared" si="6"/>
        <v>0</v>
      </c>
      <c r="U32" s="29"/>
      <c r="V32" s="35"/>
      <c r="X32" s="26">
        <v>0</v>
      </c>
      <c r="Y32" s="29"/>
      <c r="Z32" s="30"/>
      <c r="AB32" s="26">
        <v>0</v>
      </c>
      <c r="AC32" s="29"/>
      <c r="AF32" s="26">
        <v>0</v>
      </c>
      <c r="AG32" s="29"/>
      <c r="AH32" s="30"/>
      <c r="AJ32" s="26">
        <v>0</v>
      </c>
      <c r="AK32" s="29"/>
      <c r="AL32" s="30"/>
      <c r="AN32" s="26">
        <v>0</v>
      </c>
      <c r="AO32" s="29"/>
      <c r="AR32" s="26">
        <v>0</v>
      </c>
      <c r="AS32" s="29"/>
      <c r="AT32" s="30"/>
      <c r="AX32" s="26">
        <v>0</v>
      </c>
      <c r="AY32" s="29"/>
      <c r="AZ32" s="30"/>
      <c r="BB32" s="26">
        <v>0</v>
      </c>
      <c r="BC32" s="29"/>
      <c r="BH32" s="26">
        <v>0</v>
      </c>
      <c r="BI32" s="29"/>
      <c r="BL32" s="26">
        <v>0</v>
      </c>
      <c r="BM32" s="29"/>
      <c r="BN32" s="30"/>
      <c r="BP32" s="26">
        <v>0</v>
      </c>
      <c r="BQ32" s="29"/>
      <c r="BR32" s="30"/>
      <c r="BT32" s="26">
        <v>0</v>
      </c>
      <c r="BU32" s="29"/>
      <c r="BX32" s="26">
        <v>0</v>
      </c>
      <c r="BY32" s="29"/>
      <c r="BZ32" s="30"/>
      <c r="CC32" s="26">
        <v>0</v>
      </c>
      <c r="CD32" s="29"/>
      <c r="CE32" s="30"/>
      <c r="CI32" s="26">
        <v>0</v>
      </c>
      <c r="CJ32" s="29"/>
      <c r="CK32" s="30"/>
      <c r="CN32" s="26">
        <v>0</v>
      </c>
      <c r="CO32" s="29"/>
      <c r="CR32" s="26">
        <v>0</v>
      </c>
      <c r="CS32" s="29"/>
      <c r="CT32" s="34"/>
      <c r="CV32" s="26">
        <v>0</v>
      </c>
      <c r="CW32" s="29"/>
      <c r="CX32" s="30"/>
      <c r="CZ32" s="26">
        <v>0</v>
      </c>
      <c r="DA32" s="29"/>
      <c r="DB32" s="30"/>
      <c r="DD32" s="26">
        <v>0</v>
      </c>
      <c r="DE32" s="29"/>
      <c r="DH32" s="26">
        <v>0</v>
      </c>
      <c r="DI32" s="29"/>
      <c r="DL32" s="26">
        <v>0</v>
      </c>
      <c r="DM32" s="29"/>
      <c r="DN32" s="30"/>
      <c r="DQ32" s="26">
        <v>0</v>
      </c>
      <c r="DR32" s="29"/>
      <c r="DS32" s="30"/>
      <c r="DV32" s="26">
        <v>0</v>
      </c>
      <c r="DW32" s="29"/>
      <c r="DZ32" s="26">
        <v>0</v>
      </c>
      <c r="EA32" s="29"/>
      <c r="EB32" s="30"/>
      <c r="EG32" s="26">
        <v>0</v>
      </c>
      <c r="EH32" s="29"/>
      <c r="EK32" s="26">
        <v>0</v>
      </c>
      <c r="EL32" s="29"/>
      <c r="EM32" s="30"/>
      <c r="EQ32" s="26">
        <v>0</v>
      </c>
      <c r="ER32" s="29"/>
      <c r="EW32" s="26">
        <v>0</v>
      </c>
      <c r="EX32" s="29"/>
      <c r="FA32" s="26">
        <v>0</v>
      </c>
      <c r="FB32" s="29"/>
      <c r="FC32" s="30"/>
      <c r="FE32" s="26">
        <v>0</v>
      </c>
      <c r="FF32" s="29"/>
      <c r="FG32" s="30"/>
      <c r="FI32" s="26">
        <v>0</v>
      </c>
      <c r="FJ32" s="29"/>
      <c r="FM32" s="26">
        <v>0</v>
      </c>
      <c r="FN32" s="29"/>
      <c r="FO32" s="30"/>
      <c r="FQ32" s="26">
        <v>0</v>
      </c>
      <c r="FR32" s="29"/>
      <c r="FS32" s="30"/>
      <c r="FU32" s="26">
        <v>0</v>
      </c>
      <c r="FV32" s="29"/>
      <c r="FY32" s="26">
        <v>0</v>
      </c>
      <c r="FZ32" s="32"/>
      <c r="GC32" s="26">
        <v>0</v>
      </c>
      <c r="GD32" s="29"/>
      <c r="GG32" s="26">
        <v>0</v>
      </c>
      <c r="GH32" s="32"/>
      <c r="GK32" s="26">
        <v>0</v>
      </c>
      <c r="GL32" s="29"/>
      <c r="GO32" s="26">
        <v>0</v>
      </c>
      <c r="GP32" s="32"/>
      <c r="GS32" s="26">
        <v>0</v>
      </c>
      <c r="GT32" s="29"/>
      <c r="GU32" s="34"/>
      <c r="GW32" s="26">
        <v>0</v>
      </c>
      <c r="GX32" s="32"/>
      <c r="HA32" s="26">
        <v>0</v>
      </c>
      <c r="HB32" s="32"/>
      <c r="HE32" s="26">
        <v>0</v>
      </c>
      <c r="HF32" s="32"/>
      <c r="HI32" s="26">
        <v>0</v>
      </c>
      <c r="HJ32" s="29"/>
      <c r="HK32" s="27"/>
      <c r="HM32" s="27"/>
      <c r="HO32" s="26">
        <v>0</v>
      </c>
      <c r="HP32" s="32"/>
      <c r="HQ32" s="31">
        <v>41.133000000000003</v>
      </c>
      <c r="HR32" s="31">
        <v>40</v>
      </c>
      <c r="HS32" s="26">
        <v>1.1330000000000029</v>
      </c>
      <c r="HT32" s="32"/>
      <c r="HU32" s="31">
        <v>16.57</v>
      </c>
      <c r="HV32" s="31">
        <v>16.695399999999999</v>
      </c>
      <c r="HW32" s="26">
        <v>-0.12540000000000259</v>
      </c>
      <c r="HX32" s="32"/>
      <c r="HY32" s="34">
        <v>0</v>
      </c>
      <c r="HZ32" s="31">
        <v>0</v>
      </c>
      <c r="IA32" s="26">
        <v>0</v>
      </c>
      <c r="IB32" s="32"/>
    </row>
    <row r="33" spans="1:236" x14ac:dyDescent="0.25">
      <c r="A33" s="26" t="s">
        <v>160</v>
      </c>
      <c r="B33" s="27">
        <v>1</v>
      </c>
      <c r="I33" s="30"/>
      <c r="J33" s="36">
        <v>183</v>
      </c>
      <c r="K33" s="36">
        <v>183</v>
      </c>
      <c r="L33" s="35">
        <f t="shared" si="4"/>
        <v>0</v>
      </c>
      <c r="M33" s="29"/>
      <c r="N33" s="28">
        <v>400</v>
      </c>
      <c r="O33" s="36">
        <v>400</v>
      </c>
      <c r="P33" s="35">
        <f t="shared" si="5"/>
        <v>0</v>
      </c>
      <c r="Q33" s="29"/>
      <c r="R33" s="30"/>
      <c r="S33" s="35"/>
      <c r="T33" s="35">
        <f t="shared" si="6"/>
        <v>0</v>
      </c>
      <c r="U33" s="29"/>
      <c r="V33" s="35"/>
      <c r="X33" s="26">
        <v>0</v>
      </c>
      <c r="Y33" s="29"/>
      <c r="Z33" s="28">
        <v>89</v>
      </c>
      <c r="AA33">
        <v>87</v>
      </c>
      <c r="AB33" s="26">
        <v>2</v>
      </c>
      <c r="AC33" s="29"/>
      <c r="AD33">
        <v>656</v>
      </c>
      <c r="AE33">
        <v>661</v>
      </c>
      <c r="AF33" s="25">
        <v>-5</v>
      </c>
      <c r="AG33" s="29">
        <v>5</v>
      </c>
      <c r="AH33" s="28">
        <v>202</v>
      </c>
      <c r="AI33">
        <v>200</v>
      </c>
      <c r="AJ33" s="26">
        <v>2</v>
      </c>
      <c r="AK33" s="29"/>
      <c r="AL33" s="28">
        <v>175</v>
      </c>
      <c r="AM33">
        <v>172</v>
      </c>
      <c r="AN33" s="26">
        <v>3</v>
      </c>
      <c r="AO33" s="29"/>
      <c r="AR33" s="26">
        <v>0</v>
      </c>
      <c r="AS33" s="29"/>
      <c r="AT33" s="28">
        <v>202</v>
      </c>
      <c r="AU33">
        <v>200</v>
      </c>
      <c r="AV33">
        <v>212</v>
      </c>
      <c r="AW33">
        <v>209</v>
      </c>
      <c r="AX33" s="26">
        <v>5</v>
      </c>
      <c r="AY33" s="29"/>
      <c r="AZ33" s="30"/>
      <c r="BB33" s="26">
        <v>0</v>
      </c>
      <c r="BC33" s="29"/>
      <c r="BD33">
        <v>102</v>
      </c>
      <c r="BE33">
        <v>100</v>
      </c>
      <c r="BF33">
        <v>216</v>
      </c>
      <c r="BG33">
        <v>213</v>
      </c>
      <c r="BH33" s="26">
        <v>5</v>
      </c>
      <c r="BI33" s="29"/>
      <c r="BL33" s="26">
        <v>0</v>
      </c>
      <c r="BM33" s="29"/>
      <c r="BN33" s="28">
        <v>351</v>
      </c>
      <c r="BO33">
        <v>348</v>
      </c>
      <c r="BP33" s="26">
        <v>3</v>
      </c>
      <c r="BQ33" s="29"/>
      <c r="BR33" s="28">
        <v>32</v>
      </c>
      <c r="BS33">
        <v>30</v>
      </c>
      <c r="BT33" s="26">
        <v>2</v>
      </c>
      <c r="BU33" s="29"/>
      <c r="BV33">
        <v>44</v>
      </c>
      <c r="BW33">
        <v>45</v>
      </c>
      <c r="BX33" s="26">
        <v>-1</v>
      </c>
      <c r="BY33" s="29"/>
      <c r="BZ33" s="28">
        <v>182</v>
      </c>
      <c r="CB33">
        <v>188</v>
      </c>
      <c r="CC33" s="26">
        <v>-6</v>
      </c>
      <c r="CD33" s="29"/>
      <c r="CE33" s="28">
        <v>101</v>
      </c>
      <c r="CF33">
        <v>100</v>
      </c>
      <c r="CG33">
        <v>213</v>
      </c>
      <c r="CH33">
        <v>214</v>
      </c>
      <c r="CI33" s="26">
        <v>0</v>
      </c>
      <c r="CJ33" s="29"/>
      <c r="CK33" s="28">
        <v>85</v>
      </c>
      <c r="CM33">
        <v>85</v>
      </c>
      <c r="CN33" s="26">
        <v>0</v>
      </c>
      <c r="CO33" s="29"/>
      <c r="CP33">
        <v>285</v>
      </c>
      <c r="CQ33" s="26">
        <v>280.87920000000003</v>
      </c>
      <c r="CR33" s="26">
        <v>4.1207999999999743</v>
      </c>
      <c r="CS33" s="29"/>
      <c r="CT33" s="28">
        <v>20</v>
      </c>
      <c r="CU33" s="26">
        <v>18.277999999999992</v>
      </c>
      <c r="CV33" s="26">
        <v>1.722000000000008</v>
      </c>
      <c r="CW33" s="29"/>
      <c r="CX33" s="28">
        <v>190</v>
      </c>
      <c r="CY33" s="26">
        <v>189.19659999999999</v>
      </c>
      <c r="CZ33" s="26">
        <v>0.80340000000001055</v>
      </c>
      <c r="DA33" s="29"/>
      <c r="DB33" s="28">
        <v>73</v>
      </c>
      <c r="DC33">
        <v>74</v>
      </c>
      <c r="DD33" s="26">
        <v>-1</v>
      </c>
      <c r="DE33" s="29"/>
      <c r="DF33">
        <v>151</v>
      </c>
      <c r="DG33" s="31">
        <v>149.68299999999999</v>
      </c>
      <c r="DH33" s="26">
        <v>1.3170000000000071</v>
      </c>
      <c r="DI33" s="29"/>
      <c r="DJ33">
        <v>139</v>
      </c>
      <c r="DK33">
        <v>139</v>
      </c>
      <c r="DL33" s="26">
        <v>0</v>
      </c>
      <c r="DM33" s="29"/>
      <c r="DN33" s="28">
        <v>66</v>
      </c>
      <c r="DP33">
        <v>66</v>
      </c>
      <c r="DQ33" s="26">
        <v>0</v>
      </c>
      <c r="DR33" s="29"/>
      <c r="DS33" s="30"/>
      <c r="DV33" s="26">
        <v>0</v>
      </c>
      <c r="DW33" s="29"/>
      <c r="DX33">
        <v>94</v>
      </c>
      <c r="DY33" s="31">
        <v>91.46899999999998</v>
      </c>
      <c r="DZ33" s="26">
        <v>2.5310000000000201</v>
      </c>
      <c r="EA33" s="29"/>
      <c r="EB33" s="30"/>
      <c r="EC33">
        <v>122</v>
      </c>
      <c r="ED33">
        <v>120</v>
      </c>
      <c r="EE33">
        <v>114</v>
      </c>
      <c r="EF33">
        <v>111</v>
      </c>
      <c r="EG33" s="26">
        <v>5</v>
      </c>
      <c r="EH33" s="29"/>
      <c r="EK33" s="26">
        <v>0</v>
      </c>
      <c r="EL33" s="29"/>
      <c r="EM33" s="28">
        <v>81</v>
      </c>
      <c r="EN33">
        <v>80</v>
      </c>
      <c r="EO33">
        <v>89</v>
      </c>
      <c r="EP33">
        <v>93</v>
      </c>
      <c r="EQ33" s="26">
        <v>-3</v>
      </c>
      <c r="ER33" s="29"/>
      <c r="ES33">
        <v>41</v>
      </c>
      <c r="ET33">
        <v>40</v>
      </c>
      <c r="EU33">
        <v>41</v>
      </c>
      <c r="EV33">
        <v>40</v>
      </c>
      <c r="EW33" s="26">
        <v>2</v>
      </c>
      <c r="EX33" s="29"/>
      <c r="EY33">
        <v>57</v>
      </c>
      <c r="EZ33" s="31">
        <v>57.975200000000001</v>
      </c>
      <c r="FA33" s="26">
        <v>-0.97520000000000095</v>
      </c>
      <c r="FB33" s="29"/>
      <c r="FC33" s="28">
        <v>218</v>
      </c>
      <c r="FD33">
        <v>220</v>
      </c>
      <c r="FE33" s="26">
        <v>-2</v>
      </c>
      <c r="FF33" s="29"/>
      <c r="FG33" s="30"/>
      <c r="FI33" s="26">
        <v>0</v>
      </c>
      <c r="FJ33" s="29"/>
      <c r="FK33">
        <v>33</v>
      </c>
      <c r="FL33">
        <v>30</v>
      </c>
      <c r="FM33" s="26">
        <v>3</v>
      </c>
      <c r="FN33" s="29"/>
      <c r="FO33" s="28">
        <v>213</v>
      </c>
      <c r="FP33">
        <v>210</v>
      </c>
      <c r="FQ33" s="26">
        <v>3</v>
      </c>
      <c r="FR33" s="29"/>
      <c r="FS33" s="28">
        <v>90</v>
      </c>
      <c r="FT33">
        <v>90</v>
      </c>
      <c r="FU33" s="26">
        <v>0</v>
      </c>
      <c r="FV33" s="29"/>
      <c r="FW33">
        <v>109</v>
      </c>
      <c r="FX33">
        <v>108</v>
      </c>
      <c r="FY33" s="26">
        <v>1</v>
      </c>
      <c r="FZ33" s="32"/>
      <c r="GA33">
        <v>49</v>
      </c>
      <c r="GB33">
        <v>49</v>
      </c>
      <c r="GC33" s="26">
        <v>0</v>
      </c>
      <c r="GD33" s="29"/>
      <c r="GE33">
        <v>41</v>
      </c>
      <c r="GF33">
        <v>40</v>
      </c>
      <c r="GG33" s="26">
        <v>1</v>
      </c>
      <c r="GH33" s="32"/>
      <c r="GI33">
        <v>69</v>
      </c>
      <c r="GJ33">
        <v>70</v>
      </c>
      <c r="GK33" s="26">
        <v>-1</v>
      </c>
      <c r="GL33" s="29"/>
      <c r="GM33">
        <v>37</v>
      </c>
      <c r="GN33">
        <v>38</v>
      </c>
      <c r="GO33" s="26">
        <v>-1</v>
      </c>
      <c r="GP33" s="32"/>
      <c r="GS33" s="26">
        <v>0</v>
      </c>
      <c r="GT33" s="29"/>
      <c r="GU33" s="28">
        <v>81</v>
      </c>
      <c r="GV33" s="31">
        <v>80</v>
      </c>
      <c r="GW33" s="26">
        <v>1</v>
      </c>
      <c r="GX33" s="32"/>
      <c r="GY33">
        <v>194</v>
      </c>
      <c r="GZ33">
        <v>194</v>
      </c>
      <c r="HA33" s="26">
        <v>0</v>
      </c>
      <c r="HB33" s="32"/>
      <c r="HC33">
        <v>61</v>
      </c>
      <c r="HD33">
        <v>59</v>
      </c>
      <c r="HE33" s="26">
        <v>-2</v>
      </c>
      <c r="HF33" s="32"/>
      <c r="HG33">
        <v>69</v>
      </c>
      <c r="HH33">
        <v>70</v>
      </c>
      <c r="HI33" s="26">
        <v>-1</v>
      </c>
      <c r="HJ33" s="29"/>
      <c r="HK33">
        <v>130</v>
      </c>
      <c r="HL33">
        <v>130</v>
      </c>
      <c r="HM33">
        <v>102</v>
      </c>
      <c r="HN33">
        <v>100</v>
      </c>
      <c r="HO33" s="26">
        <v>2</v>
      </c>
      <c r="HP33" s="32"/>
      <c r="HQ33" s="31">
        <v>122.01</v>
      </c>
      <c r="HR33" s="31">
        <v>120</v>
      </c>
      <c r="HS33" s="26">
        <v>2.0100000000000051</v>
      </c>
      <c r="HT33" s="32"/>
      <c r="HU33" s="31">
        <v>73.069000000000003</v>
      </c>
      <c r="HV33" s="31">
        <v>73.456199999999995</v>
      </c>
      <c r="HW33" s="26">
        <v>-0.38719999999999288</v>
      </c>
      <c r="HX33" s="32"/>
      <c r="HY33" s="34">
        <v>0</v>
      </c>
      <c r="HZ33" s="31">
        <v>0</v>
      </c>
      <c r="IA33" s="26">
        <v>0</v>
      </c>
      <c r="IB33" s="32"/>
    </row>
    <row r="34" spans="1:236" x14ac:dyDescent="0.25">
      <c r="A34" s="26" t="s">
        <v>161</v>
      </c>
      <c r="B34" s="27">
        <v>0.22</v>
      </c>
      <c r="F34">
        <v>8</v>
      </c>
      <c r="I34" s="30"/>
      <c r="J34" s="36">
        <v>40</v>
      </c>
      <c r="K34" s="36">
        <v>41</v>
      </c>
      <c r="L34" s="35">
        <f t="shared" si="4"/>
        <v>-1</v>
      </c>
      <c r="M34" s="29"/>
      <c r="N34" s="28">
        <v>16</v>
      </c>
      <c r="O34" s="36">
        <v>21</v>
      </c>
      <c r="P34" s="35">
        <f t="shared" si="5"/>
        <v>-5</v>
      </c>
      <c r="Q34" s="29"/>
      <c r="R34" s="28">
        <v>24</v>
      </c>
      <c r="S34" s="36">
        <v>29</v>
      </c>
      <c r="T34" s="35">
        <f t="shared" si="6"/>
        <v>-5</v>
      </c>
      <c r="U34" s="29"/>
      <c r="V34" s="36">
        <v>16</v>
      </c>
      <c r="W34">
        <v>16</v>
      </c>
      <c r="X34" s="26">
        <v>0</v>
      </c>
      <c r="Y34" s="29"/>
      <c r="Z34" s="28">
        <v>16</v>
      </c>
      <c r="AA34">
        <v>16</v>
      </c>
      <c r="AB34" s="26">
        <v>0</v>
      </c>
      <c r="AC34" s="29"/>
      <c r="AF34" s="26">
        <v>0</v>
      </c>
      <c r="AG34" s="29"/>
      <c r="AH34" s="30"/>
      <c r="AI34">
        <v>50</v>
      </c>
      <c r="AJ34" s="25">
        <v>-50</v>
      </c>
      <c r="AK34" s="29">
        <v>11</v>
      </c>
      <c r="AL34" s="30"/>
      <c r="AN34" s="26">
        <v>0</v>
      </c>
      <c r="AO34" s="29"/>
      <c r="AP34">
        <v>8</v>
      </c>
      <c r="AQ34">
        <v>8</v>
      </c>
      <c r="AR34" s="26">
        <v>0</v>
      </c>
      <c r="AS34" s="29"/>
      <c r="AT34" s="30"/>
      <c r="AV34">
        <v>24</v>
      </c>
      <c r="AW34">
        <v>29</v>
      </c>
      <c r="AX34" s="26">
        <v>-5</v>
      </c>
      <c r="AY34" s="29"/>
      <c r="AZ34" s="30"/>
      <c r="BB34" s="26">
        <v>0</v>
      </c>
      <c r="BC34" s="29"/>
      <c r="BF34">
        <v>16</v>
      </c>
      <c r="BG34">
        <v>16</v>
      </c>
      <c r="BH34" s="26">
        <v>0</v>
      </c>
      <c r="BI34" s="29"/>
      <c r="BL34" s="26">
        <v>0</v>
      </c>
      <c r="BM34" s="29"/>
      <c r="BN34" s="30"/>
      <c r="BO34">
        <v>39</v>
      </c>
      <c r="BP34" s="25">
        <v>-39</v>
      </c>
      <c r="BQ34" s="29">
        <v>8.58</v>
      </c>
      <c r="BR34" s="30"/>
      <c r="BT34" s="26">
        <v>0</v>
      </c>
      <c r="BU34" s="29"/>
      <c r="BV34">
        <v>8</v>
      </c>
      <c r="BW34">
        <v>8</v>
      </c>
      <c r="BX34" s="26">
        <v>0</v>
      </c>
      <c r="BY34" s="29"/>
      <c r="BZ34" s="28">
        <v>40</v>
      </c>
      <c r="CB34">
        <v>41</v>
      </c>
      <c r="CC34" s="26">
        <v>-1</v>
      </c>
      <c r="CD34" s="29"/>
      <c r="CE34" s="30"/>
      <c r="CI34" s="26">
        <v>0</v>
      </c>
      <c r="CJ34" s="29"/>
      <c r="CK34" s="30"/>
      <c r="CN34" s="26">
        <v>0</v>
      </c>
      <c r="CO34" s="29"/>
      <c r="CR34" s="26">
        <v>0</v>
      </c>
      <c r="CS34" s="29"/>
      <c r="CT34" s="34"/>
      <c r="CV34" s="26">
        <v>0</v>
      </c>
      <c r="CW34" s="29"/>
      <c r="CX34" s="28">
        <v>56</v>
      </c>
      <c r="CY34" s="26">
        <v>58.8</v>
      </c>
      <c r="CZ34" s="26">
        <v>-2.7999999999999972</v>
      </c>
      <c r="DA34" s="29"/>
      <c r="DB34" s="30"/>
      <c r="DD34" s="26">
        <v>0</v>
      </c>
      <c r="DE34" s="29"/>
      <c r="DH34" s="26">
        <v>0</v>
      </c>
      <c r="DI34" s="29"/>
      <c r="DL34" s="26">
        <v>0</v>
      </c>
      <c r="DM34" s="29"/>
      <c r="DN34" s="30"/>
      <c r="DQ34" s="26">
        <v>0</v>
      </c>
      <c r="DR34" s="29"/>
      <c r="DS34" s="28">
        <v>72</v>
      </c>
      <c r="DU34">
        <v>73</v>
      </c>
      <c r="DV34" s="26">
        <v>-1</v>
      </c>
      <c r="DW34" s="29"/>
      <c r="DX34">
        <v>64</v>
      </c>
      <c r="DY34" s="31">
        <v>68</v>
      </c>
      <c r="DZ34" s="26">
        <v>-4</v>
      </c>
      <c r="EA34" s="29"/>
      <c r="EB34" s="30"/>
      <c r="EG34" s="26">
        <v>0</v>
      </c>
      <c r="EH34" s="29"/>
      <c r="EI34">
        <v>64</v>
      </c>
      <c r="EJ34" s="31">
        <v>65</v>
      </c>
      <c r="EK34" s="26">
        <v>-1</v>
      </c>
      <c r="EL34" s="29"/>
      <c r="EM34" s="30"/>
      <c r="EQ34" s="26">
        <v>0</v>
      </c>
      <c r="ER34" s="29"/>
      <c r="EU34">
        <v>40</v>
      </c>
      <c r="EV34">
        <v>40</v>
      </c>
      <c r="EW34" s="26">
        <v>0</v>
      </c>
      <c r="EX34" s="29"/>
      <c r="EY34">
        <v>32</v>
      </c>
      <c r="EZ34" s="31">
        <v>35</v>
      </c>
      <c r="FA34" s="26">
        <v>-3</v>
      </c>
      <c r="FB34" s="29"/>
      <c r="FC34" s="28">
        <v>24</v>
      </c>
      <c r="FD34">
        <v>24</v>
      </c>
      <c r="FE34" s="26">
        <v>0</v>
      </c>
      <c r="FF34" s="29"/>
      <c r="FG34" s="28">
        <v>8</v>
      </c>
      <c r="FH34">
        <v>8</v>
      </c>
      <c r="FI34" s="26">
        <v>0</v>
      </c>
      <c r="FJ34" s="29"/>
      <c r="FK34">
        <v>8</v>
      </c>
      <c r="FL34">
        <v>8</v>
      </c>
      <c r="FM34" s="26">
        <v>0</v>
      </c>
      <c r="FN34" s="29"/>
      <c r="FO34" s="28">
        <v>16</v>
      </c>
      <c r="FP34">
        <v>20</v>
      </c>
      <c r="FQ34" s="26">
        <v>-4</v>
      </c>
      <c r="FR34" s="29"/>
      <c r="FS34" s="30"/>
      <c r="FU34" s="26">
        <v>0</v>
      </c>
      <c r="FV34" s="29"/>
      <c r="FY34" s="26">
        <v>0</v>
      </c>
      <c r="FZ34" s="32"/>
      <c r="GC34" s="26">
        <v>0</v>
      </c>
      <c r="GD34" s="29"/>
      <c r="GG34" s="26">
        <v>0</v>
      </c>
      <c r="GH34" s="32"/>
      <c r="GK34" s="26">
        <v>0</v>
      </c>
      <c r="GL34" s="29"/>
      <c r="GO34" s="26">
        <v>0</v>
      </c>
      <c r="GP34" s="32"/>
      <c r="GS34" s="26">
        <v>0</v>
      </c>
      <c r="GT34" s="29"/>
      <c r="GU34" s="34"/>
      <c r="GW34" s="26">
        <v>0</v>
      </c>
      <c r="GX34" s="32"/>
      <c r="HA34" s="26">
        <v>0</v>
      </c>
      <c r="HB34" s="32"/>
      <c r="HE34" s="26">
        <v>0</v>
      </c>
      <c r="HF34" s="32"/>
      <c r="HI34" s="26">
        <v>0</v>
      </c>
      <c r="HJ34" s="29"/>
      <c r="HK34">
        <v>32</v>
      </c>
      <c r="HL34">
        <v>32</v>
      </c>
      <c r="HM34">
        <v>16</v>
      </c>
      <c r="HN34">
        <v>18</v>
      </c>
      <c r="HO34" s="26">
        <v>-2</v>
      </c>
      <c r="HP34" s="32"/>
      <c r="HQ34" s="31">
        <v>48</v>
      </c>
      <c r="HR34" s="31">
        <v>50</v>
      </c>
      <c r="HS34" s="26">
        <v>-2</v>
      </c>
      <c r="HT34" s="32"/>
      <c r="HU34" s="31">
        <v>64</v>
      </c>
      <c r="HV34" s="31">
        <v>68</v>
      </c>
      <c r="HW34" s="26">
        <v>-4</v>
      </c>
      <c r="HX34" s="32"/>
      <c r="HY34" s="34">
        <v>0</v>
      </c>
      <c r="HZ34" s="31">
        <v>0</v>
      </c>
      <c r="IA34" s="26">
        <v>0</v>
      </c>
      <c r="IB34" s="32"/>
    </row>
    <row r="35" spans="1:236" x14ac:dyDescent="0.25">
      <c r="A35" s="26" t="s">
        <v>162</v>
      </c>
      <c r="B35" s="27">
        <v>1</v>
      </c>
      <c r="I35" s="30"/>
      <c r="J35" s="35"/>
      <c r="K35" s="35"/>
      <c r="L35" s="35">
        <f t="shared" si="4"/>
        <v>0</v>
      </c>
      <c r="M35" s="29"/>
      <c r="N35" s="30"/>
      <c r="O35" s="35"/>
      <c r="P35" s="35">
        <f t="shared" si="5"/>
        <v>0</v>
      </c>
      <c r="Q35" s="29"/>
      <c r="R35" s="30"/>
      <c r="S35" s="35"/>
      <c r="T35" s="35">
        <f t="shared" si="6"/>
        <v>0</v>
      </c>
      <c r="U35" s="29"/>
      <c r="V35" s="35"/>
      <c r="X35" s="26">
        <v>0</v>
      </c>
      <c r="Y35" s="29"/>
      <c r="Z35" s="30"/>
      <c r="AB35" s="26">
        <v>0</v>
      </c>
      <c r="AC35" s="29"/>
      <c r="AF35" s="26">
        <v>0</v>
      </c>
      <c r="AG35" s="29"/>
      <c r="AH35" s="30"/>
      <c r="AJ35" s="26">
        <v>0</v>
      </c>
      <c r="AK35" s="29"/>
      <c r="AL35" s="30"/>
      <c r="AN35" s="26">
        <v>0</v>
      </c>
      <c r="AO35" s="29"/>
      <c r="AR35" s="26">
        <v>0</v>
      </c>
      <c r="AS35" s="29"/>
      <c r="AT35" s="30"/>
      <c r="AX35" s="26">
        <v>0</v>
      </c>
      <c r="AY35" s="29"/>
      <c r="AZ35" s="30"/>
      <c r="BB35" s="26">
        <v>0</v>
      </c>
      <c r="BC35" s="29"/>
      <c r="BH35" s="26">
        <v>0</v>
      </c>
      <c r="BI35" s="29"/>
      <c r="BL35" s="26">
        <v>0</v>
      </c>
      <c r="BM35" s="29"/>
      <c r="BN35" s="30"/>
      <c r="BP35" s="26">
        <v>0</v>
      </c>
      <c r="BQ35" s="29"/>
      <c r="BR35" s="30"/>
      <c r="BT35" s="26">
        <v>0</v>
      </c>
      <c r="BU35" s="29"/>
      <c r="BX35" s="26">
        <v>0</v>
      </c>
      <c r="BY35" s="29"/>
      <c r="BZ35" s="30"/>
      <c r="CC35" s="26">
        <v>0</v>
      </c>
      <c r="CD35" s="29"/>
      <c r="CE35" s="30"/>
      <c r="CI35" s="26">
        <v>0</v>
      </c>
      <c r="CJ35" s="29"/>
      <c r="CK35" s="30"/>
      <c r="CN35" s="26">
        <v>0</v>
      </c>
      <c r="CO35" s="29"/>
      <c r="CR35" s="26">
        <v>0</v>
      </c>
      <c r="CS35" s="29"/>
      <c r="CT35" s="34"/>
      <c r="CV35" s="26">
        <v>0</v>
      </c>
      <c r="CW35" s="29"/>
      <c r="CX35" s="30"/>
      <c r="CZ35" s="26">
        <v>0</v>
      </c>
      <c r="DA35" s="29"/>
      <c r="DB35" s="30"/>
      <c r="DD35" s="26">
        <v>0</v>
      </c>
      <c r="DE35" s="29"/>
      <c r="DH35" s="26">
        <v>0</v>
      </c>
      <c r="DI35" s="29"/>
      <c r="DL35" s="26">
        <v>0</v>
      </c>
      <c r="DM35" s="29"/>
      <c r="DN35" s="30"/>
      <c r="DQ35" s="26">
        <v>0</v>
      </c>
      <c r="DR35" s="29"/>
      <c r="DS35" s="30"/>
      <c r="DV35" s="26">
        <v>0</v>
      </c>
      <c r="DW35" s="29"/>
      <c r="DZ35" s="26">
        <v>0</v>
      </c>
      <c r="EA35" s="29"/>
      <c r="EB35" s="30"/>
      <c r="EG35" s="26">
        <v>0</v>
      </c>
      <c r="EH35" s="29"/>
      <c r="EK35" s="26">
        <v>0</v>
      </c>
      <c r="EL35" s="29"/>
      <c r="EM35" s="30"/>
      <c r="EQ35" s="26">
        <v>0</v>
      </c>
      <c r="ER35" s="29"/>
      <c r="EW35" s="26">
        <v>0</v>
      </c>
      <c r="EX35" s="29"/>
      <c r="FA35" s="26">
        <v>0</v>
      </c>
      <c r="FB35" s="29"/>
      <c r="FC35" s="30"/>
      <c r="FE35" s="26">
        <v>0</v>
      </c>
      <c r="FF35" s="29"/>
      <c r="FG35" s="30"/>
      <c r="FI35" s="26">
        <v>0</v>
      </c>
      <c r="FJ35" s="29"/>
      <c r="FM35" s="26">
        <v>0</v>
      </c>
      <c r="FN35" s="29"/>
      <c r="FO35" s="30"/>
      <c r="FQ35" s="26">
        <v>0</v>
      </c>
      <c r="FR35" s="29"/>
      <c r="FS35" s="30"/>
      <c r="FU35" s="26">
        <v>0</v>
      </c>
      <c r="FV35" s="29"/>
      <c r="FY35" s="26">
        <v>0</v>
      </c>
      <c r="FZ35" s="32"/>
      <c r="GC35" s="26">
        <v>0</v>
      </c>
      <c r="GD35" s="29"/>
      <c r="GG35" s="26">
        <v>0</v>
      </c>
      <c r="GH35" s="32"/>
      <c r="GK35" s="26">
        <v>0</v>
      </c>
      <c r="GL35" s="29"/>
      <c r="GO35" s="26">
        <v>0</v>
      </c>
      <c r="GP35" s="32"/>
      <c r="GS35" s="26">
        <v>0</v>
      </c>
      <c r="GT35" s="29"/>
      <c r="GU35" s="34"/>
      <c r="GW35" s="26">
        <v>0</v>
      </c>
      <c r="GX35" s="32"/>
      <c r="HA35" s="26">
        <v>0</v>
      </c>
      <c r="HB35" s="32"/>
      <c r="HE35" s="26">
        <v>0</v>
      </c>
      <c r="HF35" s="32"/>
      <c r="HI35" s="26">
        <v>0</v>
      </c>
      <c r="HJ35" s="29"/>
      <c r="HK35" s="27"/>
      <c r="HM35" s="27"/>
      <c r="HO35" s="26">
        <v>0</v>
      </c>
      <c r="HP35" s="32"/>
      <c r="HQ35" s="31">
        <v>0</v>
      </c>
      <c r="HR35" s="31">
        <v>0</v>
      </c>
      <c r="HS35" s="26">
        <v>0</v>
      </c>
      <c r="HT35" s="32"/>
      <c r="HU35" s="31">
        <v>0</v>
      </c>
      <c r="HV35" s="31">
        <v>0</v>
      </c>
      <c r="HW35" s="26">
        <v>0</v>
      </c>
      <c r="HX35" s="32"/>
      <c r="HY35" s="34">
        <v>0</v>
      </c>
      <c r="HZ35" s="31">
        <v>0</v>
      </c>
      <c r="IA35" s="26">
        <v>0</v>
      </c>
      <c r="IB35" s="32"/>
    </row>
    <row r="36" spans="1:236" x14ac:dyDescent="0.25">
      <c r="A36" s="26" t="s">
        <v>163</v>
      </c>
      <c r="B36" s="27">
        <v>0.4</v>
      </c>
      <c r="I36" s="30"/>
      <c r="J36" s="35"/>
      <c r="K36" s="36">
        <v>16</v>
      </c>
      <c r="L36" s="40">
        <f t="shared" si="4"/>
        <v>-16</v>
      </c>
      <c r="M36" s="29">
        <f>-1*L36*B36</f>
        <v>6.4</v>
      </c>
      <c r="N36" s="30"/>
      <c r="O36" s="36">
        <v>50</v>
      </c>
      <c r="P36" s="35">
        <f>N181-O36</f>
        <v>-2</v>
      </c>
      <c r="Q36" s="29"/>
      <c r="R36" s="30"/>
      <c r="S36" s="36">
        <v>8</v>
      </c>
      <c r="T36" s="35">
        <f>R181-S36</f>
        <v>0</v>
      </c>
      <c r="U36" s="29"/>
      <c r="V36" s="35"/>
      <c r="W36">
        <v>55</v>
      </c>
      <c r="X36" s="25">
        <v>-55</v>
      </c>
      <c r="Y36" s="29">
        <v>22</v>
      </c>
      <c r="Z36" s="30"/>
      <c r="AA36">
        <v>21</v>
      </c>
      <c r="AB36" s="25">
        <v>-21</v>
      </c>
      <c r="AC36" s="29">
        <v>8.4</v>
      </c>
      <c r="AD36">
        <v>24</v>
      </c>
      <c r="AE36">
        <v>24</v>
      </c>
      <c r="AF36" s="26">
        <v>0</v>
      </c>
      <c r="AG36" s="29"/>
      <c r="AH36" s="28">
        <v>16</v>
      </c>
      <c r="AI36">
        <v>21</v>
      </c>
      <c r="AJ36" s="26">
        <v>-5</v>
      </c>
      <c r="AK36" s="29"/>
      <c r="AL36" s="30"/>
      <c r="AN36" s="26">
        <v>0</v>
      </c>
      <c r="AO36" s="29"/>
      <c r="AR36" s="26">
        <v>0</v>
      </c>
      <c r="AS36" s="29"/>
      <c r="AT36" s="30"/>
      <c r="AU36">
        <v>30</v>
      </c>
      <c r="AV36">
        <v>32</v>
      </c>
      <c r="AW36">
        <v>32</v>
      </c>
      <c r="AX36" s="25">
        <v>-30</v>
      </c>
      <c r="AY36" s="29">
        <v>29.6</v>
      </c>
      <c r="AZ36" s="30"/>
      <c r="BB36" s="26">
        <v>0</v>
      </c>
      <c r="BC36" s="29"/>
      <c r="BH36" s="26">
        <v>0</v>
      </c>
      <c r="BI36" s="29"/>
      <c r="BJ36">
        <v>56</v>
      </c>
      <c r="BK36">
        <v>54</v>
      </c>
      <c r="BL36" s="26">
        <v>2</v>
      </c>
      <c r="BM36" s="29"/>
      <c r="BN36" s="30"/>
      <c r="BP36" s="26">
        <v>0</v>
      </c>
      <c r="BQ36" s="29"/>
      <c r="BR36" s="28">
        <v>32</v>
      </c>
      <c r="BS36" s="26">
        <v>32</v>
      </c>
      <c r="BT36" s="26">
        <v>0</v>
      </c>
      <c r="BU36" s="29"/>
      <c r="BX36" s="26">
        <v>0</v>
      </c>
      <c r="BY36" s="29"/>
      <c r="BZ36" s="30"/>
      <c r="CC36" s="26">
        <v>0</v>
      </c>
      <c r="CD36" s="29"/>
      <c r="CE36" s="30"/>
      <c r="CI36" s="26">
        <v>0</v>
      </c>
      <c r="CJ36" s="29"/>
      <c r="CK36" s="30"/>
      <c r="CN36" s="26">
        <v>0</v>
      </c>
      <c r="CO36" s="29"/>
      <c r="CR36" s="26">
        <v>0</v>
      </c>
      <c r="CS36" s="29"/>
      <c r="CT36" s="34"/>
      <c r="CV36" s="26">
        <v>0</v>
      </c>
      <c r="CW36" s="29"/>
      <c r="CX36" s="30"/>
      <c r="CZ36" s="26">
        <v>0</v>
      </c>
      <c r="DA36" s="29"/>
      <c r="DB36" s="30"/>
      <c r="DD36" s="26">
        <v>0</v>
      </c>
      <c r="DE36" s="29"/>
      <c r="DH36" s="26">
        <v>0</v>
      </c>
      <c r="DI36" s="29"/>
      <c r="DL36" s="26">
        <v>0</v>
      </c>
      <c r="DM36" s="29"/>
      <c r="DN36" s="30"/>
      <c r="DQ36" s="26">
        <v>0</v>
      </c>
      <c r="DR36" s="29"/>
      <c r="DS36" s="30"/>
      <c r="DV36" s="26">
        <v>0</v>
      </c>
      <c r="DW36" s="29"/>
      <c r="DZ36" s="26">
        <v>0</v>
      </c>
      <c r="EA36" s="29"/>
      <c r="EB36" s="30"/>
      <c r="EG36" s="26">
        <v>0</v>
      </c>
      <c r="EH36" s="29"/>
      <c r="EK36" s="26">
        <v>0</v>
      </c>
      <c r="EL36" s="29"/>
      <c r="EM36" s="30"/>
      <c r="EQ36" s="26">
        <v>0</v>
      </c>
      <c r="ER36" s="29"/>
      <c r="EW36" s="26">
        <v>0</v>
      </c>
      <c r="EX36" s="29"/>
      <c r="FA36" s="26">
        <v>0</v>
      </c>
      <c r="FB36" s="29"/>
      <c r="FC36" s="30"/>
      <c r="FE36" s="26">
        <v>0</v>
      </c>
      <c r="FF36" s="29"/>
      <c r="FG36" s="30"/>
      <c r="FI36" s="26">
        <v>0</v>
      </c>
      <c r="FJ36" s="29"/>
      <c r="FM36" s="26">
        <v>0</v>
      </c>
      <c r="FN36" s="29"/>
      <c r="FO36" s="30"/>
      <c r="FQ36" s="26">
        <v>0</v>
      </c>
      <c r="FR36" s="29"/>
      <c r="FS36" s="30"/>
      <c r="FU36" s="26">
        <v>0</v>
      </c>
      <c r="FV36" s="29"/>
      <c r="FY36" s="26">
        <v>0</v>
      </c>
      <c r="FZ36" s="32"/>
      <c r="GC36" s="26">
        <v>0</v>
      </c>
      <c r="GD36" s="29"/>
      <c r="GG36" s="26">
        <v>0</v>
      </c>
      <c r="GH36" s="32"/>
      <c r="GK36" s="26">
        <v>0</v>
      </c>
      <c r="GL36" s="29"/>
      <c r="GO36" s="26">
        <v>0</v>
      </c>
      <c r="GP36" s="32"/>
      <c r="GS36" s="26">
        <v>0</v>
      </c>
      <c r="GT36" s="29"/>
      <c r="GU36" s="34"/>
      <c r="GW36" s="26">
        <v>0</v>
      </c>
      <c r="GX36" s="32"/>
      <c r="HA36" s="26">
        <v>0</v>
      </c>
      <c r="HB36" s="32"/>
      <c r="HE36" s="26">
        <v>0</v>
      </c>
      <c r="HF36" s="32"/>
      <c r="HI36" s="26">
        <v>0</v>
      </c>
      <c r="HJ36" s="29"/>
      <c r="HK36" s="27"/>
      <c r="HM36" s="27"/>
      <c r="HO36" s="26">
        <v>0</v>
      </c>
      <c r="HP36" s="32"/>
      <c r="HQ36" s="31">
        <v>0</v>
      </c>
      <c r="HR36" s="31">
        <v>0</v>
      </c>
      <c r="HS36" s="26">
        <v>0</v>
      </c>
      <c r="HT36" s="32"/>
      <c r="HU36" s="31">
        <v>0</v>
      </c>
      <c r="HV36" s="31">
        <v>0</v>
      </c>
      <c r="HW36" s="26">
        <v>0</v>
      </c>
      <c r="HX36" s="32"/>
      <c r="HY36" s="34">
        <v>0</v>
      </c>
      <c r="HZ36" s="31">
        <v>0</v>
      </c>
      <c r="IA36" s="26">
        <v>0</v>
      </c>
      <c r="IB36" s="32"/>
    </row>
    <row r="37" spans="1:236" x14ac:dyDescent="0.25">
      <c r="A37" s="26" t="s">
        <v>164</v>
      </c>
      <c r="B37" s="27">
        <v>1</v>
      </c>
      <c r="I37" s="30"/>
      <c r="J37" s="35"/>
      <c r="K37" s="35"/>
      <c r="L37" s="35">
        <f t="shared" si="4"/>
        <v>0</v>
      </c>
      <c r="M37" s="29"/>
      <c r="N37" s="30"/>
      <c r="O37" s="35"/>
      <c r="P37" s="35">
        <f t="shared" si="5"/>
        <v>0</v>
      </c>
      <c r="Q37" s="29"/>
      <c r="R37" s="30"/>
      <c r="S37" s="35"/>
      <c r="T37" s="35">
        <f t="shared" si="6"/>
        <v>0</v>
      </c>
      <c r="U37" s="29"/>
      <c r="V37" s="35"/>
      <c r="X37" s="26">
        <v>0</v>
      </c>
      <c r="Y37" s="29"/>
      <c r="Z37" s="30"/>
      <c r="AB37" s="26">
        <v>0</v>
      </c>
      <c r="AC37" s="29"/>
      <c r="AF37" s="26">
        <v>0</v>
      </c>
      <c r="AG37" s="29"/>
      <c r="AH37" s="30"/>
      <c r="AJ37" s="26">
        <v>0</v>
      </c>
      <c r="AK37" s="29"/>
      <c r="AL37" s="30"/>
      <c r="AN37" s="26">
        <v>0</v>
      </c>
      <c r="AO37" s="29"/>
      <c r="AR37" s="26">
        <v>0</v>
      </c>
      <c r="AS37" s="29"/>
      <c r="AT37" s="30"/>
      <c r="AX37" s="26">
        <v>0</v>
      </c>
      <c r="AY37" s="29"/>
      <c r="AZ37" s="30"/>
      <c r="BB37" s="26">
        <v>0</v>
      </c>
      <c r="BC37" s="29"/>
      <c r="BH37" s="26">
        <v>0</v>
      </c>
      <c r="BI37" s="29"/>
      <c r="BL37" s="26">
        <v>0</v>
      </c>
      <c r="BM37" s="29"/>
      <c r="BN37" s="30"/>
      <c r="BP37" s="26">
        <v>0</v>
      </c>
      <c r="BQ37" s="29"/>
      <c r="BR37" s="30"/>
      <c r="BT37" s="26">
        <v>0</v>
      </c>
      <c r="BU37" s="29"/>
      <c r="BX37" s="26">
        <v>0</v>
      </c>
      <c r="BY37" s="29"/>
      <c r="BZ37" s="30"/>
      <c r="CC37" s="26">
        <v>0</v>
      </c>
      <c r="CD37" s="29"/>
      <c r="CE37" s="30"/>
      <c r="CI37" s="26">
        <v>0</v>
      </c>
      <c r="CJ37" s="29"/>
      <c r="CK37" s="30"/>
      <c r="CN37" s="26">
        <v>0</v>
      </c>
      <c r="CO37" s="29"/>
      <c r="CR37" s="26">
        <v>0</v>
      </c>
      <c r="CS37" s="29"/>
      <c r="CT37" s="34"/>
      <c r="CV37" s="26">
        <v>0</v>
      </c>
      <c r="CW37" s="29"/>
      <c r="CX37" s="30"/>
      <c r="CZ37" s="26">
        <v>0</v>
      </c>
      <c r="DA37" s="29"/>
      <c r="DB37" s="30"/>
      <c r="DD37" s="26">
        <v>0</v>
      </c>
      <c r="DE37" s="29"/>
      <c r="DH37" s="26">
        <v>0</v>
      </c>
      <c r="DI37" s="29"/>
      <c r="DL37" s="26">
        <v>0</v>
      </c>
      <c r="DM37" s="29"/>
      <c r="DN37" s="30"/>
      <c r="DQ37" s="26">
        <v>0</v>
      </c>
      <c r="DR37" s="29"/>
      <c r="DS37" s="30"/>
      <c r="DV37" s="26">
        <v>0</v>
      </c>
      <c r="DW37" s="29"/>
      <c r="DZ37" s="26">
        <v>0</v>
      </c>
      <c r="EA37" s="29"/>
      <c r="EB37" s="30"/>
      <c r="EG37" s="26">
        <v>0</v>
      </c>
      <c r="EH37" s="29"/>
      <c r="EK37" s="26">
        <v>0</v>
      </c>
      <c r="EL37" s="29"/>
      <c r="EM37" s="30"/>
      <c r="EQ37" s="26">
        <v>0</v>
      </c>
      <c r="ER37" s="29"/>
      <c r="EW37" s="26">
        <v>0</v>
      </c>
      <c r="EX37" s="29"/>
      <c r="FA37" s="26">
        <v>0</v>
      </c>
      <c r="FB37" s="29"/>
      <c r="FC37" s="30"/>
      <c r="FE37" s="26">
        <v>0</v>
      </c>
      <c r="FF37" s="29"/>
      <c r="FG37" s="30"/>
      <c r="FI37" s="26">
        <v>0</v>
      </c>
      <c r="FJ37" s="29"/>
      <c r="FM37" s="26">
        <v>0</v>
      </c>
      <c r="FN37" s="29"/>
      <c r="FO37" s="30"/>
      <c r="FQ37" s="26">
        <v>0</v>
      </c>
      <c r="FR37" s="29"/>
      <c r="FS37" s="30"/>
      <c r="FU37" s="26">
        <v>0</v>
      </c>
      <c r="FV37" s="29"/>
      <c r="FY37" s="26">
        <v>0</v>
      </c>
      <c r="FZ37" s="32"/>
      <c r="GC37" s="26">
        <v>0</v>
      </c>
      <c r="GD37" s="29"/>
      <c r="GG37" s="26">
        <v>0</v>
      </c>
      <c r="GH37" s="32"/>
      <c r="GK37" s="26">
        <v>0</v>
      </c>
      <c r="GL37" s="29"/>
      <c r="GO37" s="26">
        <v>0</v>
      </c>
      <c r="GP37" s="32"/>
      <c r="GS37" s="26">
        <v>0</v>
      </c>
      <c r="GT37" s="29"/>
      <c r="GU37" s="34"/>
      <c r="GW37" s="26">
        <v>0</v>
      </c>
      <c r="GX37" s="32"/>
      <c r="HA37" s="26">
        <v>0</v>
      </c>
      <c r="HB37" s="32"/>
      <c r="HE37" s="26">
        <v>0</v>
      </c>
      <c r="HF37" s="32"/>
      <c r="HI37" s="26">
        <v>0</v>
      </c>
      <c r="HJ37" s="29"/>
      <c r="HK37" s="27"/>
      <c r="HM37" s="27"/>
      <c r="HO37" s="26">
        <v>0</v>
      </c>
      <c r="HP37" s="32"/>
      <c r="HQ37" s="31">
        <v>0</v>
      </c>
      <c r="HR37" s="31">
        <v>0</v>
      </c>
      <c r="HS37" s="26">
        <v>0</v>
      </c>
      <c r="HT37" s="32"/>
      <c r="HU37" s="31">
        <v>0</v>
      </c>
      <c r="HV37" s="31">
        <v>0</v>
      </c>
      <c r="HW37" s="26">
        <v>0</v>
      </c>
      <c r="HX37" s="32"/>
      <c r="HY37" s="34">
        <v>0</v>
      </c>
      <c r="HZ37" s="31">
        <v>0</v>
      </c>
      <c r="IA37" s="26">
        <v>0</v>
      </c>
      <c r="IB37" s="32"/>
    </row>
    <row r="38" spans="1:236" x14ac:dyDescent="0.25">
      <c r="A38" s="26" t="s">
        <v>165</v>
      </c>
      <c r="B38" s="27">
        <v>1</v>
      </c>
      <c r="I38" s="30"/>
      <c r="J38" s="35"/>
      <c r="K38" s="35"/>
      <c r="L38" s="35">
        <f t="shared" si="4"/>
        <v>0</v>
      </c>
      <c r="M38" s="29"/>
      <c r="N38" s="30"/>
      <c r="O38" s="35"/>
      <c r="P38" s="35">
        <f t="shared" si="5"/>
        <v>0</v>
      </c>
      <c r="Q38" s="29"/>
      <c r="R38" s="30"/>
      <c r="S38" s="35"/>
      <c r="T38" s="35">
        <f t="shared" si="6"/>
        <v>0</v>
      </c>
      <c r="U38" s="29"/>
      <c r="V38" s="35"/>
      <c r="X38" s="26">
        <v>0</v>
      </c>
      <c r="Y38" s="29"/>
      <c r="Z38" s="30"/>
      <c r="AB38" s="26">
        <v>0</v>
      </c>
      <c r="AC38" s="29"/>
      <c r="AF38" s="26">
        <v>0</v>
      </c>
      <c r="AG38" s="29"/>
      <c r="AH38" s="30"/>
      <c r="AJ38" s="26">
        <v>0</v>
      </c>
      <c r="AK38" s="29"/>
      <c r="AL38" s="30"/>
      <c r="AN38" s="26">
        <v>0</v>
      </c>
      <c r="AO38" s="29"/>
      <c r="AR38" s="26">
        <v>0</v>
      </c>
      <c r="AS38" s="29"/>
      <c r="AT38" s="30"/>
      <c r="AX38" s="26">
        <v>0</v>
      </c>
      <c r="AY38" s="29"/>
      <c r="AZ38" s="30"/>
      <c r="BB38" s="26">
        <v>0</v>
      </c>
      <c r="BC38" s="29"/>
      <c r="BH38" s="26">
        <v>0</v>
      </c>
      <c r="BI38" s="29"/>
      <c r="BL38" s="26">
        <v>0</v>
      </c>
      <c r="BM38" s="29"/>
      <c r="BN38" s="30"/>
      <c r="BP38" s="26">
        <v>0</v>
      </c>
      <c r="BQ38" s="29"/>
      <c r="BR38" s="30"/>
      <c r="BT38" s="26">
        <v>0</v>
      </c>
      <c r="BU38" s="29"/>
      <c r="BX38" s="26">
        <v>0</v>
      </c>
      <c r="BY38" s="29"/>
      <c r="BZ38" s="30"/>
      <c r="CC38" s="26">
        <v>0</v>
      </c>
      <c r="CD38" s="29"/>
      <c r="CE38" s="30"/>
      <c r="CI38" s="26">
        <v>0</v>
      </c>
      <c r="CJ38" s="29"/>
      <c r="CK38" s="30"/>
      <c r="CN38" s="26">
        <v>0</v>
      </c>
      <c r="CO38" s="29"/>
      <c r="CR38" s="26">
        <v>0</v>
      </c>
      <c r="CS38" s="29"/>
      <c r="CT38" s="34"/>
      <c r="CV38" s="26">
        <v>0</v>
      </c>
      <c r="CW38" s="29"/>
      <c r="CX38" s="30"/>
      <c r="CZ38" s="26">
        <v>0</v>
      </c>
      <c r="DA38" s="29"/>
      <c r="DB38" s="30"/>
      <c r="DD38" s="26">
        <v>0</v>
      </c>
      <c r="DE38" s="29"/>
      <c r="DH38" s="26">
        <v>0</v>
      </c>
      <c r="DI38" s="29"/>
      <c r="DL38" s="26">
        <v>0</v>
      </c>
      <c r="DM38" s="29"/>
      <c r="DN38" s="30"/>
      <c r="DQ38" s="26">
        <v>0</v>
      </c>
      <c r="DR38" s="29"/>
      <c r="DS38" s="30"/>
      <c r="DV38" s="26">
        <v>0</v>
      </c>
      <c r="DW38" s="29"/>
      <c r="DZ38" s="26">
        <v>0</v>
      </c>
      <c r="EA38" s="29"/>
      <c r="EB38" s="30"/>
      <c r="EG38" s="26">
        <v>0</v>
      </c>
      <c r="EH38" s="29"/>
      <c r="EK38" s="26">
        <v>0</v>
      </c>
      <c r="EL38" s="29"/>
      <c r="EM38" s="30"/>
      <c r="EQ38" s="26">
        <v>0</v>
      </c>
      <c r="ER38" s="29"/>
      <c r="EW38" s="26">
        <v>0</v>
      </c>
      <c r="EX38" s="29"/>
      <c r="FA38" s="26">
        <v>0</v>
      </c>
      <c r="FB38" s="29"/>
      <c r="FC38" s="30"/>
      <c r="FE38" s="26">
        <v>0</v>
      </c>
      <c r="FF38" s="29"/>
      <c r="FG38" s="30"/>
      <c r="FI38" s="26">
        <v>0</v>
      </c>
      <c r="FJ38" s="29"/>
      <c r="FM38" s="26">
        <v>0</v>
      </c>
      <c r="FN38" s="29"/>
      <c r="FO38" s="30"/>
      <c r="FQ38" s="26">
        <v>0</v>
      </c>
      <c r="FR38" s="29"/>
      <c r="FS38" s="30"/>
      <c r="FU38" s="26">
        <v>0</v>
      </c>
      <c r="FV38" s="29"/>
      <c r="FY38" s="26">
        <v>0</v>
      </c>
      <c r="FZ38" s="32"/>
      <c r="GC38" s="26">
        <v>0</v>
      </c>
      <c r="GD38" s="29"/>
      <c r="GG38" s="26">
        <v>0</v>
      </c>
      <c r="GH38" s="32"/>
      <c r="GK38" s="26">
        <v>0</v>
      </c>
      <c r="GL38" s="29"/>
      <c r="GO38" s="26">
        <v>0</v>
      </c>
      <c r="GP38" s="32"/>
      <c r="GS38" s="26">
        <v>0</v>
      </c>
      <c r="GT38" s="29"/>
      <c r="GU38" s="34"/>
      <c r="GW38" s="26">
        <v>0</v>
      </c>
      <c r="GX38" s="32"/>
      <c r="HA38" s="26">
        <v>0</v>
      </c>
      <c r="HB38" s="32"/>
      <c r="HE38" s="26">
        <v>0</v>
      </c>
      <c r="HF38" s="32"/>
      <c r="HI38" s="26">
        <v>0</v>
      </c>
      <c r="HJ38" s="29"/>
      <c r="HK38" s="27"/>
      <c r="HM38" s="27"/>
      <c r="HO38" s="26">
        <v>0</v>
      </c>
      <c r="HP38" s="32"/>
      <c r="HQ38" s="31">
        <v>0</v>
      </c>
      <c r="HR38" s="31">
        <v>0</v>
      </c>
      <c r="HS38" s="26">
        <v>0</v>
      </c>
      <c r="HT38" s="32"/>
      <c r="HU38" s="31">
        <v>0</v>
      </c>
      <c r="HV38" s="31">
        <v>0</v>
      </c>
      <c r="HW38" s="26">
        <v>0</v>
      </c>
      <c r="HX38" s="32"/>
      <c r="HY38" s="34">
        <v>0</v>
      </c>
      <c r="HZ38" s="31">
        <v>0</v>
      </c>
      <c r="IA38" s="26">
        <v>0</v>
      </c>
      <c r="IB38" s="32"/>
    </row>
    <row r="39" spans="1:236" x14ac:dyDescent="0.25">
      <c r="A39" s="26" t="s">
        <v>166</v>
      </c>
      <c r="B39" s="27">
        <v>0.4</v>
      </c>
      <c r="I39" s="30"/>
      <c r="J39" s="35"/>
      <c r="K39" s="35"/>
      <c r="L39" s="35">
        <f t="shared" si="4"/>
        <v>0</v>
      </c>
      <c r="M39" s="29"/>
      <c r="N39" s="30"/>
      <c r="O39" s="35"/>
      <c r="P39" s="35">
        <f t="shared" si="5"/>
        <v>0</v>
      </c>
      <c r="Q39" s="29"/>
      <c r="R39" s="30"/>
      <c r="S39" s="35"/>
      <c r="T39" s="35">
        <f t="shared" si="6"/>
        <v>0</v>
      </c>
      <c r="U39" s="29"/>
      <c r="V39" s="35"/>
      <c r="X39" s="26">
        <v>0</v>
      </c>
      <c r="Y39" s="29"/>
      <c r="Z39" s="30"/>
      <c r="AB39" s="26">
        <v>0</v>
      </c>
      <c r="AC39" s="29"/>
      <c r="AF39" s="26">
        <v>0</v>
      </c>
      <c r="AG39" s="29"/>
      <c r="AH39" s="30"/>
      <c r="AJ39" s="26">
        <v>0</v>
      </c>
      <c r="AK39" s="29"/>
      <c r="AL39" s="30"/>
      <c r="AN39" s="26">
        <v>0</v>
      </c>
      <c r="AO39" s="29"/>
      <c r="AR39" s="26">
        <v>0</v>
      </c>
      <c r="AS39" s="29"/>
      <c r="AT39" s="30"/>
      <c r="AX39" s="26">
        <v>0</v>
      </c>
      <c r="AY39" s="29"/>
      <c r="AZ39" s="30"/>
      <c r="BB39" s="26">
        <v>0</v>
      </c>
      <c r="BC39" s="29"/>
      <c r="BH39" s="26">
        <v>0</v>
      </c>
      <c r="BI39" s="29"/>
      <c r="BL39" s="26">
        <v>0</v>
      </c>
      <c r="BM39" s="29"/>
      <c r="BN39" s="30"/>
      <c r="BP39" s="26">
        <v>0</v>
      </c>
      <c r="BQ39" s="29"/>
      <c r="BR39" s="30"/>
      <c r="BT39" s="26">
        <v>0</v>
      </c>
      <c r="BU39" s="29"/>
      <c r="BX39" s="26">
        <v>0</v>
      </c>
      <c r="BY39" s="29"/>
      <c r="BZ39" s="30"/>
      <c r="CC39" s="26">
        <v>0</v>
      </c>
      <c r="CD39" s="29"/>
      <c r="CE39" s="30"/>
      <c r="CI39" s="26">
        <v>0</v>
      </c>
      <c r="CJ39" s="29"/>
      <c r="CK39" s="30"/>
      <c r="CN39" s="26">
        <v>0</v>
      </c>
      <c r="CO39" s="29"/>
      <c r="CR39" s="26">
        <v>0</v>
      </c>
      <c r="CS39" s="29"/>
      <c r="CT39" s="34"/>
      <c r="CV39" s="26">
        <v>0</v>
      </c>
      <c r="CW39" s="29"/>
      <c r="CX39" s="30"/>
      <c r="CZ39" s="26">
        <v>0</v>
      </c>
      <c r="DA39" s="29"/>
      <c r="DB39" s="30"/>
      <c r="DD39" s="26">
        <v>0</v>
      </c>
      <c r="DE39" s="29"/>
      <c r="DH39" s="26">
        <v>0</v>
      </c>
      <c r="DI39" s="29"/>
      <c r="DL39" s="26">
        <v>0</v>
      </c>
      <c r="DM39" s="29"/>
      <c r="DN39" s="30"/>
      <c r="DQ39" s="26">
        <v>0</v>
      </c>
      <c r="DR39" s="29"/>
      <c r="DS39" s="30"/>
      <c r="DV39" s="26">
        <v>0</v>
      </c>
      <c r="DW39" s="29"/>
      <c r="DZ39" s="26">
        <v>0</v>
      </c>
      <c r="EA39" s="29"/>
      <c r="EB39" s="30"/>
      <c r="EG39" s="26">
        <v>0</v>
      </c>
      <c r="EH39" s="29"/>
      <c r="EK39" s="26">
        <v>0</v>
      </c>
      <c r="EL39" s="29"/>
      <c r="EM39" s="30"/>
      <c r="EQ39" s="26">
        <v>0</v>
      </c>
      <c r="ER39" s="29"/>
      <c r="EW39" s="26">
        <v>0</v>
      </c>
      <c r="EX39" s="29"/>
      <c r="FA39" s="26">
        <v>0</v>
      </c>
      <c r="FB39" s="29"/>
      <c r="FC39" s="30"/>
      <c r="FE39" s="26">
        <v>0</v>
      </c>
      <c r="FF39" s="29"/>
      <c r="FG39" s="30"/>
      <c r="FI39" s="26">
        <v>0</v>
      </c>
      <c r="FJ39" s="29"/>
      <c r="FM39" s="26">
        <v>0</v>
      </c>
      <c r="FN39" s="29"/>
      <c r="FO39" s="30"/>
      <c r="FQ39" s="26">
        <v>0</v>
      </c>
      <c r="FR39" s="29"/>
      <c r="FS39" s="30"/>
      <c r="FU39" s="26">
        <v>0</v>
      </c>
      <c r="FV39" s="29"/>
      <c r="FY39" s="26">
        <v>0</v>
      </c>
      <c r="FZ39" s="32"/>
      <c r="GC39" s="26">
        <v>0</v>
      </c>
      <c r="GD39" s="29"/>
      <c r="GG39" s="26">
        <v>0</v>
      </c>
      <c r="GH39" s="32"/>
      <c r="GK39" s="26">
        <v>0</v>
      </c>
      <c r="GL39" s="29"/>
      <c r="GO39" s="26">
        <v>0</v>
      </c>
      <c r="GP39" s="32"/>
      <c r="GS39" s="26">
        <v>0</v>
      </c>
      <c r="GT39" s="29"/>
      <c r="GU39" s="34"/>
      <c r="GW39" s="26">
        <v>0</v>
      </c>
      <c r="GX39" s="32"/>
      <c r="HA39" s="26">
        <v>0</v>
      </c>
      <c r="HB39" s="32"/>
      <c r="HE39" s="26">
        <v>0</v>
      </c>
      <c r="HF39" s="32"/>
      <c r="HI39" s="26">
        <v>0</v>
      </c>
      <c r="HJ39" s="29"/>
      <c r="HK39" s="27"/>
      <c r="HM39" s="27"/>
      <c r="HO39" s="26">
        <v>0</v>
      </c>
      <c r="HP39" s="32"/>
      <c r="HQ39" s="31">
        <v>0</v>
      </c>
      <c r="HR39" s="31">
        <v>0</v>
      </c>
      <c r="HS39" s="26">
        <v>0</v>
      </c>
      <c r="HT39" s="32"/>
      <c r="HU39" s="31">
        <v>0</v>
      </c>
      <c r="HV39" s="31">
        <v>0</v>
      </c>
      <c r="HW39" s="26">
        <v>0</v>
      </c>
      <c r="HX39" s="32"/>
      <c r="HY39" s="34">
        <v>0</v>
      </c>
      <c r="HZ39" s="31">
        <v>0</v>
      </c>
      <c r="IA39" s="26">
        <v>0</v>
      </c>
      <c r="IB39" s="32"/>
    </row>
    <row r="40" spans="1:236" x14ac:dyDescent="0.25">
      <c r="A40" s="26" t="s">
        <v>167</v>
      </c>
      <c r="B40" s="27">
        <v>0.33</v>
      </c>
      <c r="I40" s="30"/>
      <c r="J40" s="35"/>
      <c r="K40" s="35"/>
      <c r="L40" s="35">
        <f t="shared" si="4"/>
        <v>0</v>
      </c>
      <c r="M40" s="29"/>
      <c r="N40" s="30"/>
      <c r="O40" s="35"/>
      <c r="P40" s="35">
        <f t="shared" si="5"/>
        <v>0</v>
      </c>
      <c r="Q40" s="29"/>
      <c r="R40" s="30"/>
      <c r="S40" s="35"/>
      <c r="T40" s="35">
        <f t="shared" si="6"/>
        <v>0</v>
      </c>
      <c r="U40" s="29"/>
      <c r="V40" s="35"/>
      <c r="X40" s="26">
        <v>0</v>
      </c>
      <c r="Y40" s="29"/>
      <c r="Z40" s="30"/>
      <c r="AB40" s="26">
        <v>0</v>
      </c>
      <c r="AC40" s="29"/>
      <c r="AF40" s="26">
        <v>0</v>
      </c>
      <c r="AG40" s="29"/>
      <c r="AH40" s="30"/>
      <c r="AJ40" s="26">
        <v>0</v>
      </c>
      <c r="AK40" s="29"/>
      <c r="AL40" s="30"/>
      <c r="AN40" s="26">
        <v>0</v>
      </c>
      <c r="AO40" s="29"/>
      <c r="AR40" s="26">
        <v>0</v>
      </c>
      <c r="AS40" s="29"/>
      <c r="AT40" s="30"/>
      <c r="AX40" s="26">
        <v>0</v>
      </c>
      <c r="AY40" s="29"/>
      <c r="AZ40" s="30"/>
      <c r="BB40" s="26">
        <v>0</v>
      </c>
      <c r="BC40" s="29"/>
      <c r="BH40" s="26">
        <v>0</v>
      </c>
      <c r="BI40" s="29"/>
      <c r="BL40" s="26">
        <v>0</v>
      </c>
      <c r="BM40" s="29"/>
      <c r="BN40" s="30"/>
      <c r="BP40" s="26">
        <v>0</v>
      </c>
      <c r="BQ40" s="29"/>
      <c r="BR40" s="30"/>
      <c r="BT40" s="26">
        <v>0</v>
      </c>
      <c r="BU40" s="29"/>
      <c r="BX40" s="26">
        <v>0</v>
      </c>
      <c r="BY40" s="29"/>
      <c r="BZ40" s="30"/>
      <c r="CC40" s="26">
        <v>0</v>
      </c>
      <c r="CD40" s="29"/>
      <c r="CE40" s="30"/>
      <c r="CI40" s="26">
        <v>0</v>
      </c>
      <c r="CJ40" s="29"/>
      <c r="CK40" s="30"/>
      <c r="CN40" s="26">
        <v>0</v>
      </c>
      <c r="CO40" s="29"/>
      <c r="CR40" s="26">
        <v>0</v>
      </c>
      <c r="CS40" s="29"/>
      <c r="CT40" s="34"/>
      <c r="CV40" s="26">
        <v>0</v>
      </c>
      <c r="CW40" s="29"/>
      <c r="CX40" s="30"/>
      <c r="CZ40" s="26">
        <v>0</v>
      </c>
      <c r="DA40" s="29"/>
      <c r="DB40" s="30"/>
      <c r="DD40" s="26">
        <v>0</v>
      </c>
      <c r="DE40" s="29"/>
      <c r="DH40" s="26">
        <v>0</v>
      </c>
      <c r="DI40" s="29"/>
      <c r="DL40" s="26">
        <v>0</v>
      </c>
      <c r="DM40" s="29"/>
      <c r="DN40" s="30"/>
      <c r="DQ40" s="26">
        <v>0</v>
      </c>
      <c r="DR40" s="29"/>
      <c r="DS40" s="30"/>
      <c r="DV40" s="26">
        <v>0</v>
      </c>
      <c r="DW40" s="29"/>
      <c r="DZ40" s="26">
        <v>0</v>
      </c>
      <c r="EA40" s="29"/>
      <c r="EB40" s="30"/>
      <c r="EE40">
        <v>16</v>
      </c>
      <c r="EF40">
        <v>14</v>
      </c>
      <c r="EG40" s="26">
        <v>2</v>
      </c>
      <c r="EH40" s="29"/>
      <c r="EI40">
        <v>16</v>
      </c>
      <c r="EJ40" s="31">
        <v>19.600000000000001</v>
      </c>
      <c r="EK40" s="26">
        <v>-3.600000000000001</v>
      </c>
      <c r="EL40" s="29"/>
      <c r="EM40" s="30"/>
      <c r="EO40">
        <v>8</v>
      </c>
      <c r="EP40">
        <v>12</v>
      </c>
      <c r="EQ40" s="26">
        <v>-4</v>
      </c>
      <c r="ER40" s="29"/>
      <c r="EU40">
        <v>16</v>
      </c>
      <c r="EV40">
        <v>16</v>
      </c>
      <c r="EW40" s="26">
        <v>0</v>
      </c>
      <c r="EX40" s="29"/>
      <c r="FA40" s="26">
        <v>0</v>
      </c>
      <c r="FB40" s="29"/>
      <c r="FC40" s="28">
        <v>16</v>
      </c>
      <c r="FD40">
        <v>16</v>
      </c>
      <c r="FE40" s="26">
        <v>0</v>
      </c>
      <c r="FF40" s="29"/>
      <c r="FG40" s="30"/>
      <c r="FI40" s="26">
        <v>0</v>
      </c>
      <c r="FJ40" s="29"/>
      <c r="FM40" s="26">
        <v>0</v>
      </c>
      <c r="FN40" s="29"/>
      <c r="FO40" s="28">
        <v>24</v>
      </c>
      <c r="FP40">
        <v>23</v>
      </c>
      <c r="FQ40" s="26">
        <v>1</v>
      </c>
      <c r="FR40" s="29"/>
      <c r="FS40" s="30"/>
      <c r="FU40" s="26">
        <v>0</v>
      </c>
      <c r="FV40" s="29"/>
      <c r="FY40" s="26">
        <v>0</v>
      </c>
      <c r="FZ40" s="32"/>
      <c r="GA40">
        <v>8</v>
      </c>
      <c r="GB40">
        <v>5</v>
      </c>
      <c r="GC40" s="26">
        <v>3</v>
      </c>
      <c r="GD40" s="29"/>
      <c r="GE40">
        <v>16</v>
      </c>
      <c r="GF40">
        <v>16</v>
      </c>
      <c r="GG40" s="26">
        <v>0</v>
      </c>
      <c r="GH40" s="32"/>
      <c r="GI40">
        <v>8</v>
      </c>
      <c r="GJ40">
        <v>5</v>
      </c>
      <c r="GK40" s="26">
        <v>3</v>
      </c>
      <c r="GL40" s="29"/>
      <c r="GO40" s="26">
        <v>0</v>
      </c>
      <c r="GP40" s="32"/>
      <c r="GS40" s="26">
        <v>0</v>
      </c>
      <c r="GT40" s="29"/>
      <c r="GU40" s="34"/>
      <c r="GW40" s="26">
        <v>0</v>
      </c>
      <c r="GX40" s="32"/>
      <c r="GY40">
        <v>16</v>
      </c>
      <c r="GZ40">
        <v>20</v>
      </c>
      <c r="HA40" s="26">
        <v>-4</v>
      </c>
      <c r="HB40" s="32"/>
      <c r="HE40" s="26">
        <v>0</v>
      </c>
      <c r="HF40" s="32"/>
      <c r="HJ40" s="29"/>
      <c r="HK40" s="27"/>
      <c r="HM40" s="27"/>
      <c r="HP40" s="32"/>
      <c r="HT40" s="32"/>
      <c r="HU40" s="31"/>
      <c r="HV40" s="31"/>
      <c r="HX40" s="32"/>
      <c r="HY40" s="34"/>
      <c r="HZ40" s="31"/>
      <c r="IB40" s="32"/>
    </row>
    <row r="41" spans="1:236" x14ac:dyDescent="0.25">
      <c r="A41" s="26" t="s">
        <v>168</v>
      </c>
      <c r="B41" s="27">
        <v>1</v>
      </c>
      <c r="I41" s="30"/>
      <c r="J41" s="35"/>
      <c r="K41" s="35"/>
      <c r="L41" s="35">
        <f t="shared" si="4"/>
        <v>0</v>
      </c>
      <c r="M41" s="29"/>
      <c r="N41" s="30"/>
      <c r="O41" s="35"/>
      <c r="P41" s="35">
        <f t="shared" si="5"/>
        <v>0</v>
      </c>
      <c r="Q41" s="29"/>
      <c r="R41" s="30"/>
      <c r="S41" s="35"/>
      <c r="T41" s="35">
        <f t="shared" si="6"/>
        <v>0</v>
      </c>
      <c r="U41" s="29"/>
      <c r="V41" s="35"/>
      <c r="X41" s="26">
        <v>0</v>
      </c>
      <c r="Y41" s="29"/>
      <c r="Z41" s="30"/>
      <c r="AB41" s="26">
        <v>0</v>
      </c>
      <c r="AC41" s="29"/>
      <c r="AF41" s="26">
        <v>0</v>
      </c>
      <c r="AG41" s="29"/>
      <c r="AH41" s="30"/>
      <c r="AJ41" s="26">
        <v>0</v>
      </c>
      <c r="AK41" s="29"/>
      <c r="AL41" s="30"/>
      <c r="AN41" s="26">
        <v>0</v>
      </c>
      <c r="AO41" s="29"/>
      <c r="AR41" s="26">
        <v>0</v>
      </c>
      <c r="AS41" s="29"/>
      <c r="AT41" s="30"/>
      <c r="AX41" s="26">
        <v>0</v>
      </c>
      <c r="AY41" s="29"/>
      <c r="AZ41" s="30"/>
      <c r="BB41" s="26">
        <v>0</v>
      </c>
      <c r="BC41" s="29"/>
      <c r="BH41" s="26">
        <v>0</v>
      </c>
      <c r="BI41" s="29"/>
      <c r="BL41" s="26">
        <v>0</v>
      </c>
      <c r="BM41" s="29"/>
      <c r="BN41" s="30"/>
      <c r="BP41" s="26">
        <v>0</v>
      </c>
      <c r="BQ41" s="29"/>
      <c r="BR41" s="30"/>
      <c r="BT41" s="26">
        <v>0</v>
      </c>
      <c r="BU41" s="29"/>
      <c r="BX41" s="26">
        <v>0</v>
      </c>
      <c r="BY41" s="29"/>
      <c r="BZ41" s="30"/>
      <c r="CC41" s="26">
        <v>0</v>
      </c>
      <c r="CD41" s="29"/>
      <c r="CE41" s="30"/>
      <c r="CI41" s="26">
        <v>0</v>
      </c>
      <c r="CJ41" s="29"/>
      <c r="CK41" s="30"/>
      <c r="CN41" s="26">
        <v>0</v>
      </c>
      <c r="CO41" s="29"/>
      <c r="CR41" s="26">
        <v>0</v>
      </c>
      <c r="CS41" s="29"/>
      <c r="CT41" s="34"/>
      <c r="CV41" s="26">
        <v>0</v>
      </c>
      <c r="CW41" s="29"/>
      <c r="CX41" s="30"/>
      <c r="CZ41" s="26">
        <v>0</v>
      </c>
      <c r="DA41" s="29"/>
      <c r="DB41" s="30"/>
      <c r="DD41" s="26">
        <v>0</v>
      </c>
      <c r="DE41" s="29"/>
      <c r="DH41" s="26">
        <v>0</v>
      </c>
      <c r="DI41" s="29"/>
      <c r="DL41" s="26">
        <v>0</v>
      </c>
      <c r="DM41" s="29"/>
      <c r="DN41" s="30"/>
      <c r="DQ41" s="26">
        <v>0</v>
      </c>
      <c r="DR41" s="29"/>
      <c r="DS41" s="30"/>
      <c r="DV41" s="26">
        <v>0</v>
      </c>
      <c r="DW41" s="29"/>
      <c r="DZ41" s="26">
        <v>0</v>
      </c>
      <c r="EA41" s="29"/>
      <c r="EB41" s="30"/>
      <c r="EG41" s="26">
        <v>0</v>
      </c>
      <c r="EH41" s="29"/>
      <c r="EK41" s="26">
        <v>0</v>
      </c>
      <c r="EL41" s="29"/>
      <c r="EM41" s="30"/>
      <c r="EQ41" s="26">
        <v>0</v>
      </c>
      <c r="ER41" s="29"/>
      <c r="EW41" s="26">
        <v>0</v>
      </c>
      <c r="EX41" s="29"/>
      <c r="FA41" s="26">
        <v>0</v>
      </c>
      <c r="FB41" s="29"/>
      <c r="FC41" s="30"/>
      <c r="FE41" s="26">
        <v>0</v>
      </c>
      <c r="FF41" s="29"/>
      <c r="FG41" s="30"/>
      <c r="FI41" s="26">
        <v>0</v>
      </c>
      <c r="FJ41" s="29"/>
      <c r="FM41" s="26">
        <v>0</v>
      </c>
      <c r="FN41" s="29"/>
      <c r="FO41" s="30"/>
      <c r="FQ41" s="26">
        <v>0</v>
      </c>
      <c r="FR41" s="29"/>
      <c r="FS41" s="30"/>
      <c r="FU41" s="26">
        <v>0</v>
      </c>
      <c r="FV41" s="29"/>
      <c r="FY41" s="26">
        <v>0</v>
      </c>
      <c r="FZ41" s="32"/>
      <c r="GC41" s="26">
        <v>0</v>
      </c>
      <c r="GD41" s="29"/>
      <c r="GG41" s="26">
        <v>0</v>
      </c>
      <c r="GH41" s="32"/>
      <c r="GK41" s="26">
        <v>0</v>
      </c>
      <c r="GL41" s="29"/>
      <c r="GO41" s="26">
        <v>0</v>
      </c>
      <c r="GP41" s="32"/>
      <c r="GS41" s="26">
        <v>0</v>
      </c>
      <c r="GT41" s="29"/>
      <c r="GU41" s="34"/>
      <c r="GW41" s="26">
        <v>0</v>
      </c>
      <c r="GX41" s="32"/>
      <c r="HA41" s="26">
        <v>0</v>
      </c>
      <c r="HB41" s="32"/>
      <c r="HE41" s="26">
        <v>0</v>
      </c>
      <c r="HF41" s="32"/>
      <c r="HI41" s="26">
        <v>0</v>
      </c>
      <c r="HJ41" s="29"/>
      <c r="HK41" s="27"/>
      <c r="HL41">
        <v>70</v>
      </c>
      <c r="HM41" s="27"/>
      <c r="HN41" s="12">
        <v>49</v>
      </c>
      <c r="HO41" s="25">
        <v>-70</v>
      </c>
      <c r="HP41" s="32">
        <v>70</v>
      </c>
      <c r="HQ41" s="31">
        <v>76.488</v>
      </c>
      <c r="HR41" s="31">
        <v>70</v>
      </c>
      <c r="HS41" s="26">
        <v>6.4880000000000004</v>
      </c>
      <c r="HT41" s="32"/>
      <c r="HU41" s="31">
        <v>58.465000000000003</v>
      </c>
      <c r="HV41" s="31">
        <v>55.213999999999999</v>
      </c>
      <c r="HW41" s="26">
        <v>3.2510000000000052</v>
      </c>
      <c r="HX41" s="32"/>
      <c r="HY41" s="34">
        <v>0</v>
      </c>
      <c r="HZ41" s="31">
        <v>0</v>
      </c>
      <c r="IA41" s="26">
        <v>0</v>
      </c>
      <c r="IB41" s="32"/>
    </row>
    <row r="42" spans="1:236" x14ac:dyDescent="0.25">
      <c r="A42" s="26" t="s">
        <v>169</v>
      </c>
      <c r="B42" s="27">
        <v>1</v>
      </c>
      <c r="I42" s="30"/>
      <c r="J42" s="35"/>
      <c r="K42" s="35"/>
      <c r="L42" s="35">
        <f t="shared" si="4"/>
        <v>0</v>
      </c>
      <c r="M42" s="29"/>
      <c r="N42" s="30"/>
      <c r="O42" s="35"/>
      <c r="P42" s="35">
        <f t="shared" si="5"/>
        <v>0</v>
      </c>
      <c r="Q42" s="29"/>
      <c r="R42" s="30"/>
      <c r="S42" s="35"/>
      <c r="T42" s="35">
        <f t="shared" si="6"/>
        <v>0</v>
      </c>
      <c r="U42" s="29"/>
      <c r="V42" s="35"/>
      <c r="X42" s="26">
        <v>0</v>
      </c>
      <c r="Y42" s="29"/>
      <c r="Z42" s="30"/>
      <c r="AB42" s="26">
        <v>0</v>
      </c>
      <c r="AC42" s="29"/>
      <c r="AF42" s="26">
        <v>0</v>
      </c>
      <c r="AG42" s="29"/>
      <c r="AH42" s="30"/>
      <c r="AJ42" s="26">
        <v>0</v>
      </c>
      <c r="AK42" s="29"/>
      <c r="AL42" s="30"/>
      <c r="AN42" s="26">
        <v>0</v>
      </c>
      <c r="AO42" s="29"/>
      <c r="AR42" s="26">
        <v>0</v>
      </c>
      <c r="AS42" s="29"/>
      <c r="AT42" s="30"/>
      <c r="AX42" s="26">
        <v>0</v>
      </c>
      <c r="AY42" s="29"/>
      <c r="AZ42" s="30"/>
      <c r="BB42" s="26">
        <v>0</v>
      </c>
      <c r="BC42" s="29"/>
      <c r="BH42" s="26">
        <v>0</v>
      </c>
      <c r="BI42" s="29"/>
      <c r="BL42" s="26">
        <v>0</v>
      </c>
      <c r="BM42" s="29"/>
      <c r="BN42" s="30"/>
      <c r="BP42" s="26">
        <v>0</v>
      </c>
      <c r="BQ42" s="29"/>
      <c r="BR42" s="30"/>
      <c r="BT42" s="26">
        <v>0</v>
      </c>
      <c r="BU42" s="29"/>
      <c r="BX42" s="26">
        <v>0</v>
      </c>
      <c r="BY42" s="29"/>
      <c r="BZ42" s="30"/>
      <c r="CC42" s="26">
        <v>0</v>
      </c>
      <c r="CD42" s="29"/>
      <c r="CE42" s="30"/>
      <c r="CI42" s="26">
        <v>0</v>
      </c>
      <c r="CJ42" s="29"/>
      <c r="CK42" s="30"/>
      <c r="CN42" s="26">
        <v>0</v>
      </c>
      <c r="CO42" s="29"/>
      <c r="CR42" s="26">
        <v>0</v>
      </c>
      <c r="CS42" s="29"/>
      <c r="CT42" s="34"/>
      <c r="CV42" s="26">
        <v>0</v>
      </c>
      <c r="CW42" s="29"/>
      <c r="CX42" s="30"/>
      <c r="CZ42" s="26">
        <v>0</v>
      </c>
      <c r="DA42" s="29"/>
      <c r="DB42" s="30"/>
      <c r="DD42" s="26">
        <v>0</v>
      </c>
      <c r="DE42" s="29"/>
      <c r="DH42" s="26">
        <v>0</v>
      </c>
      <c r="DI42" s="29"/>
      <c r="DL42" s="26">
        <v>0</v>
      </c>
      <c r="DM42" s="29"/>
      <c r="DN42" s="30"/>
      <c r="DQ42" s="26">
        <v>0</v>
      </c>
      <c r="DR42" s="29"/>
      <c r="DS42" s="30"/>
      <c r="DV42" s="26">
        <v>0</v>
      </c>
      <c r="DW42" s="29"/>
      <c r="DZ42" s="26">
        <v>0</v>
      </c>
      <c r="EA42" s="29"/>
      <c r="EB42" s="30"/>
      <c r="EG42" s="26">
        <v>0</v>
      </c>
      <c r="EH42" s="29"/>
      <c r="EK42" s="26">
        <v>0</v>
      </c>
      <c r="EL42" s="29"/>
      <c r="EM42" s="30"/>
      <c r="EQ42" s="26">
        <v>0</v>
      </c>
      <c r="ER42" s="29"/>
      <c r="EW42" s="26">
        <v>0</v>
      </c>
      <c r="EX42" s="29"/>
      <c r="FA42" s="26">
        <v>0</v>
      </c>
      <c r="FB42" s="29"/>
      <c r="FC42" s="30"/>
      <c r="FE42" s="26">
        <v>0</v>
      </c>
      <c r="FF42" s="29"/>
      <c r="FG42" s="30"/>
      <c r="FI42" s="26">
        <v>0</v>
      </c>
      <c r="FJ42" s="29"/>
      <c r="FM42" s="26">
        <v>0</v>
      </c>
      <c r="FN42" s="29"/>
      <c r="FO42" s="30"/>
      <c r="FQ42" s="26">
        <v>0</v>
      </c>
      <c r="FR42" s="29"/>
      <c r="FS42" s="30"/>
      <c r="FU42" s="26">
        <v>0</v>
      </c>
      <c r="FV42" s="29"/>
      <c r="FY42" s="26">
        <v>0</v>
      </c>
      <c r="FZ42" s="32"/>
      <c r="GC42" s="26">
        <v>0</v>
      </c>
      <c r="GD42" s="29"/>
      <c r="GG42" s="26">
        <v>0</v>
      </c>
      <c r="GH42" s="32"/>
      <c r="GK42" s="26">
        <v>0</v>
      </c>
      <c r="GL42" s="29"/>
      <c r="GO42" s="26">
        <v>0</v>
      </c>
      <c r="GP42" s="32"/>
      <c r="GS42" s="26">
        <v>0</v>
      </c>
      <c r="GT42" s="29"/>
      <c r="GU42" s="34"/>
      <c r="GW42" s="26">
        <v>0</v>
      </c>
      <c r="GX42" s="32"/>
      <c r="HA42" s="26">
        <v>0</v>
      </c>
      <c r="HB42" s="32"/>
      <c r="HE42" s="26">
        <v>0</v>
      </c>
      <c r="HF42" s="32"/>
      <c r="HI42" s="26">
        <v>0</v>
      </c>
      <c r="HJ42" s="29"/>
      <c r="HK42" s="27"/>
      <c r="HM42" s="27"/>
      <c r="HO42" s="26">
        <v>0</v>
      </c>
      <c r="HP42" s="32"/>
      <c r="HQ42" s="31">
        <v>0</v>
      </c>
      <c r="HR42" s="31">
        <v>0</v>
      </c>
      <c r="HS42" s="26">
        <v>0</v>
      </c>
      <c r="HT42" s="32"/>
      <c r="HU42" s="31">
        <v>0</v>
      </c>
      <c r="HV42" s="31">
        <v>0</v>
      </c>
      <c r="HW42" s="26">
        <v>0</v>
      </c>
      <c r="HX42" s="32"/>
      <c r="HY42" s="34">
        <v>0</v>
      </c>
      <c r="HZ42" s="31">
        <v>0</v>
      </c>
      <c r="IA42" s="26">
        <v>0</v>
      </c>
      <c r="IB42" s="32"/>
    </row>
    <row r="43" spans="1:236" x14ac:dyDescent="0.25">
      <c r="A43" s="26" t="s">
        <v>170</v>
      </c>
      <c r="B43" s="27">
        <v>0.36</v>
      </c>
      <c r="I43" s="30"/>
      <c r="J43" s="35"/>
      <c r="K43" s="35"/>
      <c r="L43" s="35">
        <f t="shared" si="4"/>
        <v>0</v>
      </c>
      <c r="M43" s="29"/>
      <c r="N43" s="30"/>
      <c r="O43" s="35"/>
      <c r="P43" s="35">
        <f t="shared" si="5"/>
        <v>0</v>
      </c>
      <c r="Q43" s="29"/>
      <c r="R43" s="30"/>
      <c r="S43" s="35"/>
      <c r="T43" s="35">
        <f t="shared" si="6"/>
        <v>0</v>
      </c>
      <c r="U43" s="29"/>
      <c r="V43" s="35"/>
      <c r="X43" s="26">
        <v>0</v>
      </c>
      <c r="Y43" s="29"/>
      <c r="Z43" s="30"/>
      <c r="AB43" s="26">
        <v>0</v>
      </c>
      <c r="AC43" s="29"/>
      <c r="AF43" s="26">
        <v>0</v>
      </c>
      <c r="AG43" s="29"/>
      <c r="AH43" s="30"/>
      <c r="AJ43" s="26">
        <v>0</v>
      </c>
      <c r="AK43" s="29"/>
      <c r="AL43" s="30"/>
      <c r="AN43" s="26">
        <v>0</v>
      </c>
      <c r="AO43" s="29"/>
      <c r="AR43" s="26">
        <v>0</v>
      </c>
      <c r="AS43" s="29"/>
      <c r="AT43" s="30"/>
      <c r="AX43" s="26">
        <v>0</v>
      </c>
      <c r="AY43" s="29"/>
      <c r="AZ43" s="30"/>
      <c r="BB43" s="26">
        <v>0</v>
      </c>
      <c r="BC43" s="29"/>
      <c r="BH43" s="26">
        <v>0</v>
      </c>
      <c r="BI43" s="29"/>
      <c r="BL43" s="26">
        <v>0</v>
      </c>
      <c r="BM43" s="29"/>
      <c r="BN43" s="30"/>
      <c r="BP43" s="26">
        <v>0</v>
      </c>
      <c r="BQ43" s="29"/>
      <c r="BR43" s="30"/>
      <c r="BT43" s="26">
        <v>0</v>
      </c>
      <c r="BU43" s="29"/>
      <c r="BX43" s="26">
        <v>0</v>
      </c>
      <c r="BY43" s="29"/>
      <c r="BZ43" s="30"/>
      <c r="CC43" s="26">
        <v>0</v>
      </c>
      <c r="CD43" s="29"/>
      <c r="CE43" s="30"/>
      <c r="CI43" s="26">
        <v>0</v>
      </c>
      <c r="CJ43" s="29"/>
      <c r="CK43" s="30"/>
      <c r="CN43" s="26">
        <v>0</v>
      </c>
      <c r="CO43" s="29"/>
      <c r="CR43" s="26">
        <v>0</v>
      </c>
      <c r="CS43" s="29"/>
      <c r="CT43" s="34"/>
      <c r="CV43" s="26">
        <v>0</v>
      </c>
      <c r="CW43" s="29"/>
      <c r="CX43" s="30"/>
      <c r="CZ43" s="26">
        <v>0</v>
      </c>
      <c r="DA43" s="29"/>
      <c r="DB43" s="30"/>
      <c r="DD43" s="26">
        <v>0</v>
      </c>
      <c r="DE43" s="29"/>
      <c r="DH43" s="26">
        <v>0</v>
      </c>
      <c r="DI43" s="29"/>
      <c r="DL43" s="26">
        <v>0</v>
      </c>
      <c r="DM43" s="29"/>
      <c r="DN43" s="30"/>
      <c r="DQ43" s="26">
        <v>0</v>
      </c>
      <c r="DR43" s="29"/>
      <c r="DS43" s="30"/>
      <c r="DV43" s="26">
        <v>0</v>
      </c>
      <c r="DW43" s="29"/>
      <c r="DZ43" s="26">
        <v>0</v>
      </c>
      <c r="EA43" s="29"/>
      <c r="EB43" s="30"/>
      <c r="EG43" s="26">
        <v>0</v>
      </c>
      <c r="EH43" s="29"/>
      <c r="EK43" s="26">
        <v>0</v>
      </c>
      <c r="EL43" s="29"/>
      <c r="EM43" s="30"/>
      <c r="EQ43" s="26">
        <v>0</v>
      </c>
      <c r="ER43" s="29"/>
      <c r="EW43" s="26">
        <v>0</v>
      </c>
      <c r="EX43" s="29"/>
      <c r="FA43" s="26">
        <v>0</v>
      </c>
      <c r="FB43" s="29"/>
      <c r="FC43" s="30"/>
      <c r="FE43" s="26">
        <v>0</v>
      </c>
      <c r="FF43" s="29"/>
      <c r="FG43" s="30"/>
      <c r="FI43" s="26">
        <v>0</v>
      </c>
      <c r="FJ43" s="29"/>
      <c r="FM43" s="26">
        <v>0</v>
      </c>
      <c r="FN43" s="29"/>
      <c r="FO43" s="30"/>
      <c r="FQ43" s="26">
        <v>0</v>
      </c>
      <c r="FR43" s="29"/>
      <c r="FS43" s="30"/>
      <c r="FU43" s="26">
        <v>0</v>
      </c>
      <c r="FV43" s="29"/>
      <c r="FY43" s="26">
        <v>0</v>
      </c>
      <c r="FZ43" s="32"/>
      <c r="GC43" s="26">
        <v>0</v>
      </c>
      <c r="GD43" s="29"/>
      <c r="GG43" s="26">
        <v>0</v>
      </c>
      <c r="GH43" s="32"/>
      <c r="GK43" s="26">
        <v>0</v>
      </c>
      <c r="GL43" s="29"/>
      <c r="GO43" s="26">
        <v>0</v>
      </c>
      <c r="GP43" s="32"/>
      <c r="GS43" s="26">
        <v>0</v>
      </c>
      <c r="GT43" s="29"/>
      <c r="GU43" s="34"/>
      <c r="GW43" s="26">
        <v>0</v>
      </c>
      <c r="GX43" s="32"/>
      <c r="HA43" s="26">
        <v>0</v>
      </c>
      <c r="HB43" s="32"/>
      <c r="HE43" s="26">
        <v>0</v>
      </c>
      <c r="HF43" s="32"/>
      <c r="HI43" s="26">
        <v>0</v>
      </c>
      <c r="HJ43" s="29"/>
      <c r="HK43" s="27"/>
      <c r="HM43" s="27"/>
      <c r="HO43" s="26">
        <v>0</v>
      </c>
      <c r="HP43" s="32"/>
      <c r="HQ43" s="31">
        <v>0</v>
      </c>
      <c r="HR43" s="31">
        <v>0</v>
      </c>
      <c r="HS43" s="26">
        <v>0</v>
      </c>
      <c r="HT43" s="32"/>
      <c r="HU43" s="31">
        <v>0</v>
      </c>
      <c r="HV43" s="31">
        <v>0</v>
      </c>
      <c r="HW43" s="26">
        <v>0</v>
      </c>
      <c r="HX43" s="32"/>
      <c r="HY43" s="34">
        <v>0</v>
      </c>
      <c r="HZ43" s="31">
        <v>0</v>
      </c>
      <c r="IA43" s="26">
        <v>0</v>
      </c>
      <c r="IB43" s="32"/>
    </row>
    <row r="44" spans="1:236" x14ac:dyDescent="0.25">
      <c r="A44" s="26" t="s">
        <v>171</v>
      </c>
      <c r="B44" s="27">
        <v>0.3</v>
      </c>
      <c r="I44" s="30"/>
      <c r="J44" s="35"/>
      <c r="K44" s="35"/>
      <c r="L44" s="35">
        <f t="shared" si="4"/>
        <v>0</v>
      </c>
      <c r="M44" s="29"/>
      <c r="N44" s="30"/>
      <c r="O44" s="35"/>
      <c r="P44" s="35">
        <f t="shared" si="5"/>
        <v>0</v>
      </c>
      <c r="Q44" s="29"/>
      <c r="R44" s="30"/>
      <c r="S44" s="35"/>
      <c r="T44" s="35">
        <f t="shared" si="6"/>
        <v>0</v>
      </c>
      <c r="U44" s="29"/>
      <c r="V44" s="35"/>
      <c r="X44" s="26">
        <v>0</v>
      </c>
      <c r="Y44" s="29"/>
      <c r="Z44" s="30"/>
      <c r="AB44" s="26">
        <v>0</v>
      </c>
      <c r="AC44" s="29"/>
      <c r="AF44" s="26">
        <v>0</v>
      </c>
      <c r="AG44" s="29"/>
      <c r="AH44" s="30"/>
      <c r="AJ44" s="26">
        <v>0</v>
      </c>
      <c r="AK44" s="29"/>
      <c r="AL44" s="30"/>
      <c r="AN44" s="26">
        <v>0</v>
      </c>
      <c r="AO44" s="29"/>
      <c r="AR44" s="26">
        <v>0</v>
      </c>
      <c r="AS44" s="29"/>
      <c r="AT44" s="30"/>
      <c r="AX44" s="26">
        <v>0</v>
      </c>
      <c r="AY44" s="29"/>
      <c r="AZ44" s="30"/>
      <c r="BB44" s="26">
        <v>0</v>
      </c>
      <c r="BC44" s="29"/>
      <c r="BH44" s="26">
        <v>0</v>
      </c>
      <c r="BI44" s="29"/>
      <c r="BL44" s="26">
        <v>0</v>
      </c>
      <c r="BM44" s="29"/>
      <c r="BN44" s="30"/>
      <c r="BP44" s="26">
        <v>0</v>
      </c>
      <c r="BQ44" s="29"/>
      <c r="BR44" s="30"/>
      <c r="BT44" s="26">
        <v>0</v>
      </c>
      <c r="BU44" s="29"/>
      <c r="BX44" s="26">
        <v>0</v>
      </c>
      <c r="BY44" s="29"/>
      <c r="BZ44" s="30"/>
      <c r="CC44" s="26">
        <v>0</v>
      </c>
      <c r="CD44" s="29"/>
      <c r="CE44" s="30"/>
      <c r="CI44" s="26">
        <v>0</v>
      </c>
      <c r="CJ44" s="29"/>
      <c r="CK44" s="30"/>
      <c r="CN44" s="26">
        <v>0</v>
      </c>
      <c r="CO44" s="29"/>
      <c r="CR44" s="26">
        <v>0</v>
      </c>
      <c r="CS44" s="29"/>
      <c r="CT44" s="34"/>
      <c r="CV44" s="26">
        <v>0</v>
      </c>
      <c r="CW44" s="29"/>
      <c r="CX44" s="30"/>
      <c r="CZ44" s="26">
        <v>0</v>
      </c>
      <c r="DA44" s="29"/>
      <c r="DB44" s="30"/>
      <c r="DD44" s="26">
        <v>0</v>
      </c>
      <c r="DE44" s="29"/>
      <c r="DH44" s="26">
        <v>0</v>
      </c>
      <c r="DI44" s="29"/>
      <c r="DL44" s="26">
        <v>0</v>
      </c>
      <c r="DM44" s="29"/>
      <c r="DN44" s="30"/>
      <c r="DQ44" s="26">
        <v>0</v>
      </c>
      <c r="DR44" s="29"/>
      <c r="DS44" s="30"/>
      <c r="DV44" s="26">
        <v>0</v>
      </c>
      <c r="DW44" s="29"/>
      <c r="DZ44" s="26">
        <v>0</v>
      </c>
      <c r="EA44" s="29"/>
      <c r="EB44" s="30"/>
      <c r="EG44" s="26">
        <v>0</v>
      </c>
      <c r="EH44" s="29"/>
      <c r="EK44" s="26">
        <v>0</v>
      </c>
      <c r="EL44" s="29"/>
      <c r="EM44" s="30"/>
      <c r="EQ44" s="26">
        <v>0</v>
      </c>
      <c r="ER44" s="29"/>
      <c r="EW44" s="26">
        <v>0</v>
      </c>
      <c r="EX44" s="29"/>
      <c r="FA44" s="26">
        <v>0</v>
      </c>
      <c r="FB44" s="29"/>
      <c r="FC44" s="30"/>
      <c r="FE44" s="26">
        <v>0</v>
      </c>
      <c r="FF44" s="29"/>
      <c r="FG44" s="30"/>
      <c r="FI44" s="26">
        <v>0</v>
      </c>
      <c r="FJ44" s="29"/>
      <c r="FM44" s="26">
        <v>0</v>
      </c>
      <c r="FN44" s="29"/>
      <c r="FO44" s="30"/>
      <c r="FQ44" s="26">
        <v>0</v>
      </c>
      <c r="FR44" s="29"/>
      <c r="FS44" s="30"/>
      <c r="FU44" s="26">
        <v>0</v>
      </c>
      <c r="FV44" s="29"/>
      <c r="FY44" s="26">
        <v>0</v>
      </c>
      <c r="FZ44" s="32"/>
      <c r="GC44" s="26">
        <v>0</v>
      </c>
      <c r="GD44" s="29"/>
      <c r="GE44">
        <v>12</v>
      </c>
      <c r="GF44">
        <v>10</v>
      </c>
      <c r="GG44" s="26">
        <v>2</v>
      </c>
      <c r="GH44" s="32"/>
      <c r="GI44">
        <v>42</v>
      </c>
      <c r="GJ44">
        <v>40</v>
      </c>
      <c r="GK44" s="26">
        <v>2</v>
      </c>
      <c r="GL44" s="29"/>
      <c r="GM44">
        <v>6</v>
      </c>
      <c r="GN44">
        <v>10</v>
      </c>
      <c r="GO44" s="26">
        <v>-4</v>
      </c>
      <c r="GP44" s="32"/>
      <c r="GS44" s="26">
        <v>0</v>
      </c>
      <c r="GT44" s="29"/>
      <c r="GU44" s="28">
        <v>24</v>
      </c>
      <c r="GV44" s="31">
        <v>25</v>
      </c>
      <c r="GW44" s="26">
        <v>-1</v>
      </c>
      <c r="GX44" s="32"/>
      <c r="HA44" s="26">
        <v>0</v>
      </c>
      <c r="HB44" s="32"/>
      <c r="HC44">
        <v>18</v>
      </c>
      <c r="HD44">
        <v>20</v>
      </c>
      <c r="HE44" s="26">
        <v>2</v>
      </c>
      <c r="HF44" s="32"/>
      <c r="HI44" s="26">
        <v>0</v>
      </c>
      <c r="HJ44" s="29"/>
      <c r="HK44" s="27"/>
      <c r="HM44" s="27"/>
      <c r="HO44" s="26">
        <v>0</v>
      </c>
      <c r="HP44" s="32"/>
      <c r="HQ44" s="31">
        <v>42</v>
      </c>
      <c r="HR44" s="31">
        <v>40</v>
      </c>
      <c r="HS44" s="26">
        <v>2</v>
      </c>
      <c r="HT44" s="32"/>
      <c r="HU44" s="31">
        <v>0</v>
      </c>
      <c r="HV44" s="31">
        <v>0</v>
      </c>
      <c r="HW44" s="26">
        <v>0</v>
      </c>
      <c r="HX44" s="32"/>
      <c r="HY44" s="34">
        <v>0</v>
      </c>
      <c r="HZ44" s="31">
        <v>0</v>
      </c>
      <c r="IA44" s="26">
        <v>0</v>
      </c>
      <c r="IB44" s="32"/>
    </row>
    <row r="45" spans="1:236" x14ac:dyDescent="0.25">
      <c r="A45" s="26" t="s">
        <v>172</v>
      </c>
      <c r="B45" s="27">
        <v>0.35</v>
      </c>
      <c r="I45" s="30"/>
      <c r="J45" s="35"/>
      <c r="K45" s="35"/>
      <c r="L45" s="35">
        <f t="shared" si="4"/>
        <v>0</v>
      </c>
      <c r="M45" s="29"/>
      <c r="N45" s="30"/>
      <c r="O45" s="35"/>
      <c r="P45" s="35">
        <f t="shared" si="5"/>
        <v>0</v>
      </c>
      <c r="Q45" s="29"/>
      <c r="R45" s="30"/>
      <c r="S45" s="35"/>
      <c r="T45" s="35">
        <f t="shared" si="6"/>
        <v>0</v>
      </c>
      <c r="U45" s="29"/>
      <c r="V45" s="35"/>
      <c r="X45" s="26">
        <v>0</v>
      </c>
      <c r="Y45" s="29"/>
      <c r="Z45" s="30"/>
      <c r="AB45" s="26">
        <v>0</v>
      </c>
      <c r="AC45" s="29"/>
      <c r="AF45" s="26">
        <v>0</v>
      </c>
      <c r="AG45" s="29"/>
      <c r="AH45" s="30"/>
      <c r="AJ45" s="26">
        <v>0</v>
      </c>
      <c r="AK45" s="29"/>
      <c r="AL45" s="30"/>
      <c r="AN45" s="26">
        <v>0</v>
      </c>
      <c r="AO45" s="29"/>
      <c r="AR45" s="26">
        <v>0</v>
      </c>
      <c r="AS45" s="29"/>
      <c r="AT45" s="30"/>
      <c r="AX45" s="26">
        <v>0</v>
      </c>
      <c r="AY45" s="29"/>
      <c r="AZ45" s="30"/>
      <c r="BB45" s="26">
        <v>0</v>
      </c>
      <c r="BC45" s="29"/>
      <c r="BH45" s="26">
        <v>0</v>
      </c>
      <c r="BI45" s="29"/>
      <c r="BL45" s="26">
        <v>0</v>
      </c>
      <c r="BM45" s="29"/>
      <c r="BN45" s="30"/>
      <c r="BP45" s="26">
        <v>0</v>
      </c>
      <c r="BQ45" s="29"/>
      <c r="BR45" s="30"/>
      <c r="BT45" s="26">
        <v>0</v>
      </c>
      <c r="BU45" s="29"/>
      <c r="BX45" s="26">
        <v>0</v>
      </c>
      <c r="BY45" s="29"/>
      <c r="BZ45" s="30"/>
      <c r="CC45" s="26">
        <v>0</v>
      </c>
      <c r="CD45" s="29"/>
      <c r="CE45" s="30"/>
      <c r="CI45" s="26">
        <v>0</v>
      </c>
      <c r="CJ45" s="29"/>
      <c r="CK45" s="30"/>
      <c r="CN45" s="26">
        <v>0</v>
      </c>
      <c r="CO45" s="29"/>
      <c r="CR45" s="26">
        <v>0</v>
      </c>
      <c r="CS45" s="29"/>
      <c r="CT45" s="34"/>
      <c r="CV45" s="26">
        <v>0</v>
      </c>
      <c r="CW45" s="29"/>
      <c r="CX45" s="30"/>
      <c r="CZ45" s="26">
        <v>0</v>
      </c>
      <c r="DA45" s="29"/>
      <c r="DB45" s="30"/>
      <c r="DD45" s="26">
        <v>0</v>
      </c>
      <c r="DE45" s="29"/>
      <c r="DH45" s="26">
        <v>0</v>
      </c>
      <c r="DI45" s="29"/>
      <c r="DL45" s="26">
        <v>0</v>
      </c>
      <c r="DM45" s="29"/>
      <c r="DN45" s="30"/>
      <c r="DQ45" s="26">
        <v>0</v>
      </c>
      <c r="DR45" s="29"/>
      <c r="DS45" s="30"/>
      <c r="DV45" s="26">
        <v>0</v>
      </c>
      <c r="DW45" s="29"/>
      <c r="DZ45" s="26">
        <v>0</v>
      </c>
      <c r="EA45" s="29"/>
      <c r="EB45" s="30"/>
      <c r="EG45" s="26">
        <v>0</v>
      </c>
      <c r="EH45" s="29"/>
      <c r="EK45" s="26">
        <v>0</v>
      </c>
      <c r="EL45" s="29"/>
      <c r="EM45" s="30"/>
      <c r="EQ45" s="26">
        <v>0</v>
      </c>
      <c r="ER45" s="29"/>
      <c r="EW45" s="26">
        <v>0</v>
      </c>
      <c r="EX45" s="29"/>
      <c r="FA45" s="26">
        <v>0</v>
      </c>
      <c r="FB45" s="29"/>
      <c r="FC45" s="30"/>
      <c r="FE45" s="26">
        <v>0</v>
      </c>
      <c r="FF45" s="29"/>
      <c r="FG45" s="30"/>
      <c r="FI45" s="26">
        <v>0</v>
      </c>
      <c r="FJ45" s="29"/>
      <c r="FM45" s="26">
        <v>0</v>
      </c>
      <c r="FN45" s="29"/>
      <c r="FO45" s="30"/>
      <c r="FQ45" s="26">
        <v>0</v>
      </c>
      <c r="FR45" s="29"/>
      <c r="FS45" s="30"/>
      <c r="FU45" s="26">
        <v>0</v>
      </c>
      <c r="FV45" s="29"/>
      <c r="FY45" s="26">
        <v>0</v>
      </c>
      <c r="FZ45" s="32"/>
      <c r="GC45" s="26">
        <v>0</v>
      </c>
      <c r="GD45" s="29"/>
      <c r="GG45" s="26">
        <v>0</v>
      </c>
      <c r="GH45" s="32"/>
      <c r="GK45" s="26">
        <v>0</v>
      </c>
      <c r="GL45" s="29"/>
      <c r="GO45" s="26">
        <v>0</v>
      </c>
      <c r="GP45" s="32"/>
      <c r="GS45" s="26">
        <v>0</v>
      </c>
      <c r="GT45" s="29"/>
      <c r="GU45" s="34"/>
      <c r="GW45" s="26">
        <v>0</v>
      </c>
      <c r="GX45" s="32"/>
      <c r="HA45" s="26">
        <v>0</v>
      </c>
      <c r="HB45" s="32"/>
      <c r="HE45" s="26">
        <v>0</v>
      </c>
      <c r="HF45" s="32"/>
      <c r="HI45" s="26">
        <v>0</v>
      </c>
      <c r="HJ45" s="29"/>
      <c r="HK45" s="27"/>
      <c r="HM45" s="27"/>
      <c r="HO45" s="26">
        <v>0</v>
      </c>
      <c r="HP45" s="32"/>
      <c r="HQ45" s="31">
        <v>0</v>
      </c>
      <c r="HR45" s="31">
        <v>0</v>
      </c>
      <c r="HS45" s="26">
        <v>0</v>
      </c>
      <c r="HT45" s="32"/>
      <c r="HU45" s="31">
        <v>0</v>
      </c>
      <c r="HV45" s="31">
        <v>0</v>
      </c>
      <c r="HW45" s="26">
        <v>0</v>
      </c>
      <c r="HX45" s="32"/>
      <c r="HY45" s="34">
        <v>0</v>
      </c>
      <c r="HZ45" s="31">
        <v>0</v>
      </c>
      <c r="IA45" s="26">
        <v>0</v>
      </c>
      <c r="IB45" s="32"/>
    </row>
    <row r="46" spans="1:236" x14ac:dyDescent="0.25">
      <c r="A46" s="26" t="s">
        <v>173</v>
      </c>
      <c r="B46" s="27">
        <v>1</v>
      </c>
      <c r="I46" s="30"/>
      <c r="J46" s="35"/>
      <c r="K46" s="35"/>
      <c r="L46" s="35">
        <f t="shared" si="4"/>
        <v>0</v>
      </c>
      <c r="M46" s="29"/>
      <c r="N46" s="30"/>
      <c r="O46" s="35"/>
      <c r="P46" s="35">
        <f t="shared" si="5"/>
        <v>0</v>
      </c>
      <c r="Q46" s="29"/>
      <c r="R46" s="30"/>
      <c r="S46" s="35"/>
      <c r="T46" s="35">
        <f t="shared" si="6"/>
        <v>0</v>
      </c>
      <c r="U46" s="29"/>
      <c r="V46" s="35"/>
      <c r="X46" s="26">
        <v>0</v>
      </c>
      <c r="Y46" s="29"/>
      <c r="Z46" s="30"/>
      <c r="AB46" s="26">
        <v>0</v>
      </c>
      <c r="AC46" s="29"/>
      <c r="AF46" s="26">
        <v>0</v>
      </c>
      <c r="AG46" s="29"/>
      <c r="AH46" s="30"/>
      <c r="AJ46" s="26">
        <v>0</v>
      </c>
      <c r="AK46" s="29"/>
      <c r="AL46" s="30"/>
      <c r="AN46" s="26">
        <v>0</v>
      </c>
      <c r="AO46" s="29"/>
      <c r="AR46" s="26">
        <v>0</v>
      </c>
      <c r="AS46" s="29"/>
      <c r="AT46" s="30"/>
      <c r="AX46" s="26">
        <v>0</v>
      </c>
      <c r="AY46" s="29"/>
      <c r="AZ46" s="30"/>
      <c r="BB46" s="26">
        <v>0</v>
      </c>
      <c r="BC46" s="29"/>
      <c r="BH46" s="26">
        <v>0</v>
      </c>
      <c r="BI46" s="29"/>
      <c r="BL46" s="26">
        <v>0</v>
      </c>
      <c r="BM46" s="29"/>
      <c r="BN46" s="30"/>
      <c r="BP46" s="26">
        <v>0</v>
      </c>
      <c r="BQ46" s="29"/>
      <c r="BR46" s="30"/>
      <c r="BT46" s="26">
        <v>0</v>
      </c>
      <c r="BU46" s="29"/>
      <c r="BX46" s="26">
        <v>0</v>
      </c>
      <c r="BY46" s="29"/>
      <c r="BZ46" s="30"/>
      <c r="CC46" s="26">
        <v>0</v>
      </c>
      <c r="CD46" s="29"/>
      <c r="CE46" s="30"/>
      <c r="CI46" s="26">
        <v>0</v>
      </c>
      <c r="CJ46" s="29"/>
      <c r="CK46" s="30"/>
      <c r="CN46" s="26">
        <v>0</v>
      </c>
      <c r="CO46" s="29"/>
      <c r="CR46" s="26">
        <v>0</v>
      </c>
      <c r="CS46" s="29"/>
      <c r="CT46" s="34"/>
      <c r="CV46" s="26">
        <v>0</v>
      </c>
      <c r="CW46" s="29"/>
      <c r="CX46" s="30"/>
      <c r="CZ46" s="26">
        <v>0</v>
      </c>
      <c r="DA46" s="29"/>
      <c r="DB46" s="30"/>
      <c r="DD46" s="26">
        <v>0</v>
      </c>
      <c r="DE46" s="29"/>
      <c r="DH46" s="26">
        <v>0</v>
      </c>
      <c r="DI46" s="29"/>
      <c r="DL46" s="26">
        <v>0</v>
      </c>
      <c r="DM46" s="29"/>
      <c r="DN46" s="30"/>
      <c r="DQ46" s="26">
        <v>0</v>
      </c>
      <c r="DR46" s="29"/>
      <c r="DS46" s="30"/>
      <c r="DV46" s="26">
        <v>0</v>
      </c>
      <c r="DW46" s="29"/>
      <c r="DZ46" s="26">
        <v>0</v>
      </c>
      <c r="EA46" s="29"/>
      <c r="EB46" s="30"/>
      <c r="EG46" s="26">
        <v>0</v>
      </c>
      <c r="EH46" s="29"/>
      <c r="EK46" s="26">
        <v>0</v>
      </c>
      <c r="EL46" s="29"/>
      <c r="EM46" s="30"/>
      <c r="EQ46" s="26">
        <v>0</v>
      </c>
      <c r="ER46" s="29"/>
      <c r="EW46" s="26">
        <v>0</v>
      </c>
      <c r="EX46" s="29"/>
      <c r="FA46" s="26">
        <v>0</v>
      </c>
      <c r="FB46" s="29"/>
      <c r="FC46" s="30"/>
      <c r="FE46" s="26">
        <v>0</v>
      </c>
      <c r="FF46" s="29"/>
      <c r="FG46" s="30"/>
      <c r="FI46" s="26">
        <v>0</v>
      </c>
      <c r="FJ46" s="29"/>
      <c r="FM46" s="26">
        <v>0</v>
      </c>
      <c r="FN46" s="29"/>
      <c r="FO46" s="30"/>
      <c r="FQ46" s="26">
        <v>0</v>
      </c>
      <c r="FR46" s="29"/>
      <c r="FS46" s="30"/>
      <c r="FU46" s="26">
        <v>0</v>
      </c>
      <c r="FV46" s="29"/>
      <c r="FY46" s="26">
        <v>0</v>
      </c>
      <c r="FZ46" s="32"/>
      <c r="GC46" s="26">
        <v>0</v>
      </c>
      <c r="GD46" s="29"/>
      <c r="GG46" s="26">
        <v>0</v>
      </c>
      <c r="GH46" s="32"/>
      <c r="GK46" s="26">
        <v>0</v>
      </c>
      <c r="GL46" s="29"/>
      <c r="GO46" s="26">
        <v>0</v>
      </c>
      <c r="GP46" s="32"/>
      <c r="GS46" s="26">
        <v>0</v>
      </c>
      <c r="GT46" s="29"/>
      <c r="GU46" s="34"/>
      <c r="GW46" s="26">
        <v>0</v>
      </c>
      <c r="GX46" s="32"/>
      <c r="HA46" s="26">
        <v>0</v>
      </c>
      <c r="HB46" s="32"/>
      <c r="HE46" s="26">
        <v>0</v>
      </c>
      <c r="HF46" s="32"/>
      <c r="HI46" s="26">
        <v>0</v>
      </c>
      <c r="HJ46" s="29"/>
      <c r="HK46" s="27"/>
      <c r="HM46" s="27"/>
      <c r="HO46" s="26">
        <v>0</v>
      </c>
      <c r="HP46" s="32"/>
      <c r="HQ46" s="31">
        <v>0</v>
      </c>
      <c r="HR46" s="31">
        <v>0</v>
      </c>
      <c r="HS46" s="26">
        <v>0</v>
      </c>
      <c r="HT46" s="32"/>
      <c r="HU46" s="31">
        <v>0</v>
      </c>
      <c r="HV46" s="31">
        <v>0</v>
      </c>
      <c r="HW46" s="26">
        <v>0</v>
      </c>
      <c r="HX46" s="32"/>
      <c r="HY46" s="34">
        <v>0</v>
      </c>
      <c r="HZ46" s="31">
        <v>0</v>
      </c>
      <c r="IA46" s="26">
        <v>0</v>
      </c>
      <c r="IB46" s="32"/>
    </row>
    <row r="47" spans="1:236" x14ac:dyDescent="0.25">
      <c r="A47" s="26" t="s">
        <v>174</v>
      </c>
      <c r="B47" s="27">
        <v>0.09</v>
      </c>
      <c r="E47">
        <v>90</v>
      </c>
      <c r="F47">
        <v>109</v>
      </c>
      <c r="I47" s="30"/>
      <c r="J47" s="36">
        <v>10</v>
      </c>
      <c r="K47" s="36">
        <v>10</v>
      </c>
      <c r="L47" s="35">
        <f t="shared" si="4"/>
        <v>0</v>
      </c>
      <c r="M47" s="29"/>
      <c r="N47" s="28">
        <v>110</v>
      </c>
      <c r="O47" s="36">
        <v>116</v>
      </c>
      <c r="P47" s="35">
        <f t="shared" si="5"/>
        <v>-6</v>
      </c>
      <c r="Q47" s="29"/>
      <c r="R47" s="30"/>
      <c r="S47" s="35"/>
      <c r="T47" s="35">
        <f t="shared" si="6"/>
        <v>0</v>
      </c>
      <c r="U47" s="29"/>
      <c r="V47" s="36">
        <v>110</v>
      </c>
      <c r="W47">
        <v>113</v>
      </c>
      <c r="X47" s="26">
        <v>-3</v>
      </c>
      <c r="Y47" s="29"/>
      <c r="Z47" s="30"/>
      <c r="AB47" s="26">
        <v>0</v>
      </c>
      <c r="AC47" s="29"/>
      <c r="AD47">
        <v>90</v>
      </c>
      <c r="AE47">
        <v>98</v>
      </c>
      <c r="AF47" s="26">
        <v>-8</v>
      </c>
      <c r="AG47" s="29"/>
      <c r="AH47" s="28">
        <v>10</v>
      </c>
      <c r="AI47">
        <v>10</v>
      </c>
      <c r="AJ47" s="26">
        <v>0</v>
      </c>
      <c r="AK47" s="29"/>
      <c r="AL47" s="28">
        <v>50</v>
      </c>
      <c r="AM47">
        <v>53</v>
      </c>
      <c r="AN47" s="26">
        <v>-3</v>
      </c>
      <c r="AO47" s="29"/>
      <c r="AP47">
        <v>20</v>
      </c>
      <c r="AQ47">
        <v>19</v>
      </c>
      <c r="AR47" s="26">
        <v>1</v>
      </c>
      <c r="AS47" s="29"/>
      <c r="AT47" s="30"/>
      <c r="AU47">
        <v>14</v>
      </c>
      <c r="AV47">
        <v>30</v>
      </c>
      <c r="AW47">
        <v>20</v>
      </c>
      <c r="AX47" s="26">
        <v>-4</v>
      </c>
      <c r="AY47" s="29"/>
      <c r="AZ47" s="30"/>
      <c r="BB47" s="26">
        <v>0</v>
      </c>
      <c r="BC47" s="29"/>
      <c r="BH47" s="26">
        <v>0</v>
      </c>
      <c r="BI47" s="29"/>
      <c r="BJ47">
        <v>40</v>
      </c>
      <c r="BK47">
        <v>45</v>
      </c>
      <c r="BL47" s="26">
        <v>-5</v>
      </c>
      <c r="BM47" s="29"/>
      <c r="BN47" s="30"/>
      <c r="BP47" s="26">
        <v>0</v>
      </c>
      <c r="BQ47" s="29"/>
      <c r="BR47" s="30">
        <v>30</v>
      </c>
      <c r="BS47" s="26">
        <v>30</v>
      </c>
      <c r="BT47" s="26">
        <v>0</v>
      </c>
      <c r="BU47" s="29"/>
      <c r="BX47" s="26">
        <v>0</v>
      </c>
      <c r="BY47" s="29"/>
      <c r="BZ47" s="30"/>
      <c r="CC47" s="26">
        <v>0</v>
      </c>
      <c r="CD47" s="29"/>
      <c r="CE47" s="30"/>
      <c r="CI47" s="26">
        <v>0</v>
      </c>
      <c r="CJ47" s="29"/>
      <c r="CK47" s="30"/>
      <c r="CO47" s="29"/>
      <c r="CS47" s="29"/>
      <c r="CT47" s="34"/>
      <c r="CW47" s="29"/>
      <c r="CX47" s="30"/>
      <c r="DA47" s="29"/>
      <c r="DB47" s="30"/>
      <c r="DE47" s="29"/>
      <c r="DI47" s="29"/>
      <c r="DM47" s="29"/>
      <c r="DN47" s="30"/>
      <c r="DR47" s="29"/>
      <c r="DS47" s="30"/>
      <c r="DW47" s="29"/>
      <c r="EA47" s="29"/>
      <c r="EB47" s="30"/>
      <c r="EH47" s="29"/>
      <c r="EL47" s="29"/>
      <c r="EM47" s="30"/>
      <c r="ER47" s="29"/>
      <c r="EX47" s="29"/>
      <c r="FB47" s="29"/>
      <c r="FC47" s="30"/>
      <c r="FF47" s="29"/>
      <c r="FG47" s="30"/>
      <c r="FJ47" s="29"/>
      <c r="FN47" s="29"/>
      <c r="FO47" s="30"/>
      <c r="FR47" s="29"/>
      <c r="FS47" s="30"/>
      <c r="FV47" s="29"/>
      <c r="FZ47" s="32"/>
      <c r="GD47" s="29"/>
      <c r="GH47" s="32"/>
      <c r="GL47" s="29"/>
      <c r="GP47" s="32"/>
      <c r="GT47" s="29"/>
      <c r="GU47" s="34"/>
      <c r="GX47" s="32"/>
      <c r="HB47" s="32"/>
      <c r="HF47" s="32"/>
      <c r="HJ47" s="29"/>
      <c r="HK47" s="27"/>
      <c r="HM47" s="27"/>
      <c r="HP47" s="32"/>
      <c r="HQ47" s="31"/>
      <c r="HR47" s="31"/>
      <c r="HT47" s="32"/>
      <c r="HU47" s="31"/>
      <c r="HV47" s="31"/>
      <c r="HX47" s="32"/>
      <c r="HY47" s="34"/>
      <c r="HZ47" s="31"/>
      <c r="IB47" s="32"/>
    </row>
    <row r="48" spans="1:236" x14ac:dyDescent="0.25">
      <c r="A48" s="26" t="s">
        <v>175</v>
      </c>
      <c r="B48" s="27">
        <v>0.15</v>
      </c>
      <c r="I48" s="30"/>
      <c r="J48" s="36">
        <v>208</v>
      </c>
      <c r="K48" s="36">
        <v>206</v>
      </c>
      <c r="L48" s="35">
        <f t="shared" si="4"/>
        <v>2</v>
      </c>
      <c r="M48" s="29"/>
      <c r="N48" s="30"/>
      <c r="O48" s="35"/>
      <c r="P48" s="35">
        <f t="shared" si="5"/>
        <v>0</v>
      </c>
      <c r="Q48" s="29"/>
      <c r="R48" s="28">
        <v>144</v>
      </c>
      <c r="S48" s="36">
        <v>144</v>
      </c>
      <c r="T48" s="35">
        <f t="shared" si="6"/>
        <v>0</v>
      </c>
      <c r="U48" s="29"/>
      <c r="V48" s="35"/>
      <c r="X48" s="26">
        <v>0</v>
      </c>
      <c r="Y48" s="29"/>
      <c r="Z48" s="28">
        <v>72</v>
      </c>
      <c r="AA48">
        <v>70</v>
      </c>
      <c r="AB48" s="26">
        <v>2</v>
      </c>
      <c r="AC48" s="29"/>
      <c r="AD48">
        <v>8</v>
      </c>
      <c r="AE48">
        <v>10</v>
      </c>
      <c r="AF48" s="26">
        <v>-2</v>
      </c>
      <c r="AG48" s="29"/>
      <c r="AH48" s="28">
        <v>40</v>
      </c>
      <c r="AI48">
        <v>45</v>
      </c>
      <c r="AJ48" s="26">
        <v>-5</v>
      </c>
      <c r="AK48" s="29"/>
      <c r="AL48" s="28">
        <v>24</v>
      </c>
      <c r="AM48">
        <v>22</v>
      </c>
      <c r="AN48" s="26">
        <v>2</v>
      </c>
      <c r="AO48" s="29"/>
      <c r="AP48">
        <v>24</v>
      </c>
      <c r="AQ48">
        <v>23</v>
      </c>
      <c r="AR48" s="26">
        <v>1</v>
      </c>
      <c r="AS48" s="29"/>
      <c r="AT48" s="30"/>
      <c r="AX48" s="26">
        <v>0</v>
      </c>
      <c r="AY48" s="29"/>
      <c r="AZ48" s="28">
        <v>16</v>
      </c>
      <c r="BA48">
        <v>15</v>
      </c>
      <c r="BB48" s="26">
        <v>1</v>
      </c>
      <c r="BC48" s="29"/>
      <c r="BF48">
        <v>24</v>
      </c>
      <c r="BG48" s="26">
        <v>24</v>
      </c>
      <c r="BH48" s="26">
        <v>0</v>
      </c>
      <c r="BI48" s="29"/>
      <c r="BL48" s="26">
        <v>0</v>
      </c>
      <c r="BM48" s="29"/>
      <c r="BN48" s="30"/>
      <c r="BP48" s="26">
        <v>0</v>
      </c>
      <c r="BQ48" s="29"/>
      <c r="BR48" s="30">
        <v>32</v>
      </c>
      <c r="BS48" s="26">
        <v>30</v>
      </c>
      <c r="BT48" s="26">
        <v>2</v>
      </c>
      <c r="BU48" s="29"/>
      <c r="BX48" s="26">
        <v>0</v>
      </c>
      <c r="BY48" s="29"/>
      <c r="BZ48" s="30"/>
      <c r="CC48" s="26">
        <v>0</v>
      </c>
      <c r="CD48" s="29"/>
      <c r="CE48" s="30"/>
      <c r="CI48" s="26">
        <v>0</v>
      </c>
      <c r="CJ48" s="29"/>
      <c r="CK48" s="30"/>
      <c r="CO48" s="32"/>
      <c r="CS48" s="29"/>
      <c r="CT48" s="34"/>
      <c r="CW48" s="29"/>
      <c r="CX48" s="30"/>
      <c r="DA48" s="29"/>
      <c r="DB48" s="30"/>
      <c r="DE48" s="29"/>
      <c r="DI48" s="29"/>
      <c r="DM48" s="29"/>
      <c r="DN48" s="30"/>
      <c r="DR48" s="29"/>
      <c r="DS48" s="30"/>
      <c r="DW48" s="29"/>
      <c r="EA48" s="29"/>
      <c r="EB48" s="30"/>
      <c r="EH48" s="29"/>
      <c r="EL48" s="29"/>
      <c r="EM48" s="30"/>
      <c r="EP48" s="27"/>
      <c r="ER48" s="29"/>
      <c r="EX48" s="29"/>
      <c r="EY48" s="31"/>
      <c r="FB48" s="29"/>
      <c r="FC48" s="30"/>
      <c r="FF48" s="29"/>
      <c r="FG48" s="30"/>
      <c r="FJ48" s="29"/>
      <c r="FN48" s="29"/>
      <c r="FO48" s="30"/>
      <c r="FR48" s="29"/>
      <c r="FS48" s="30"/>
      <c r="FV48" s="29"/>
      <c r="FZ48" s="32"/>
      <c r="GD48" s="29"/>
      <c r="GH48" s="32"/>
      <c r="GL48" s="29"/>
      <c r="GP48" s="32"/>
      <c r="GT48" s="29"/>
      <c r="GU48" s="34"/>
      <c r="GX48" s="32"/>
      <c r="HB48" s="32"/>
      <c r="HF48" s="32"/>
      <c r="HJ48" s="29"/>
      <c r="HK48" s="27"/>
      <c r="HM48" s="27"/>
      <c r="HP48" s="32"/>
      <c r="HQ48" s="31"/>
      <c r="HR48" s="31"/>
      <c r="HT48" s="32"/>
      <c r="HU48" s="31"/>
      <c r="HV48" s="31"/>
      <c r="HX48" s="32"/>
      <c r="HY48" s="34"/>
      <c r="HZ48" s="31"/>
      <c r="IB48" s="32"/>
    </row>
    <row r="49" spans="1:236" x14ac:dyDescent="0.25">
      <c r="A49" s="26" t="s">
        <v>176</v>
      </c>
      <c r="B49" s="27">
        <v>0.09</v>
      </c>
      <c r="E49">
        <v>50</v>
      </c>
      <c r="F49">
        <v>69</v>
      </c>
      <c r="I49" s="30"/>
      <c r="J49" s="36">
        <v>50</v>
      </c>
      <c r="K49" s="36">
        <v>53</v>
      </c>
      <c r="L49" s="35">
        <f t="shared" si="4"/>
        <v>-3</v>
      </c>
      <c r="M49" s="29"/>
      <c r="N49" s="28">
        <v>190</v>
      </c>
      <c r="O49" s="36">
        <v>193</v>
      </c>
      <c r="P49" s="35">
        <f t="shared" si="5"/>
        <v>-3</v>
      </c>
      <c r="Q49" s="29"/>
      <c r="R49" s="30"/>
      <c r="S49" s="35"/>
      <c r="T49" s="35">
        <f t="shared" si="6"/>
        <v>0</v>
      </c>
      <c r="U49" s="29"/>
      <c r="V49" s="36">
        <v>200</v>
      </c>
      <c r="W49">
        <v>203</v>
      </c>
      <c r="X49" s="26">
        <v>-3</v>
      </c>
      <c r="Y49" s="29"/>
      <c r="Z49" s="30"/>
      <c r="AB49" s="26">
        <v>0</v>
      </c>
      <c r="AC49" s="29"/>
      <c r="AD49">
        <v>140</v>
      </c>
      <c r="AE49">
        <v>142</v>
      </c>
      <c r="AF49" s="26">
        <v>-2</v>
      </c>
      <c r="AG49" s="29"/>
      <c r="AH49" s="30"/>
      <c r="AJ49" s="26">
        <v>0</v>
      </c>
      <c r="AK49" s="29"/>
      <c r="AL49" s="28">
        <v>80</v>
      </c>
      <c r="AM49">
        <v>87</v>
      </c>
      <c r="AN49" s="26">
        <v>-7</v>
      </c>
      <c r="AO49" s="29"/>
      <c r="AR49" s="26">
        <v>0</v>
      </c>
      <c r="AS49" s="29"/>
      <c r="AT49" s="28">
        <v>20</v>
      </c>
      <c r="AU49">
        <v>20</v>
      </c>
      <c r="AV49">
        <v>30</v>
      </c>
      <c r="AW49">
        <v>35</v>
      </c>
      <c r="AX49" s="26">
        <v>-5</v>
      </c>
      <c r="AY49" s="29"/>
      <c r="AZ49" s="28">
        <v>20</v>
      </c>
      <c r="BA49">
        <v>22</v>
      </c>
      <c r="BB49" s="26">
        <v>-2</v>
      </c>
      <c r="BC49" s="29"/>
      <c r="BF49">
        <v>10</v>
      </c>
      <c r="BG49">
        <v>10</v>
      </c>
      <c r="BH49" s="26">
        <v>0</v>
      </c>
      <c r="BI49" s="29"/>
      <c r="BJ49">
        <v>40</v>
      </c>
      <c r="BK49">
        <v>43</v>
      </c>
      <c r="BL49" s="26">
        <v>-3</v>
      </c>
      <c r="BM49" s="29"/>
      <c r="BN49" s="28">
        <v>10</v>
      </c>
      <c r="BO49">
        <v>12</v>
      </c>
      <c r="BP49" s="26">
        <v>-2</v>
      </c>
      <c r="BQ49" s="29"/>
      <c r="BR49" s="30"/>
      <c r="BT49" s="26">
        <v>0</v>
      </c>
      <c r="BU49" s="29"/>
      <c r="BV49">
        <v>40</v>
      </c>
      <c r="BW49">
        <v>47</v>
      </c>
      <c r="BX49" s="26">
        <v>-7</v>
      </c>
      <c r="BY49" s="29"/>
      <c r="BZ49" s="30"/>
      <c r="CC49" s="26">
        <v>0</v>
      </c>
      <c r="CD49" s="29"/>
      <c r="CE49" s="30"/>
      <c r="CG49">
        <v>50</v>
      </c>
      <c r="CH49">
        <v>53</v>
      </c>
      <c r="CI49" s="26">
        <v>-3</v>
      </c>
      <c r="CJ49" s="29"/>
      <c r="CK49" s="28">
        <v>10</v>
      </c>
      <c r="CM49">
        <v>9</v>
      </c>
      <c r="CN49" s="26">
        <v>1</v>
      </c>
      <c r="CO49" s="29"/>
      <c r="CP49">
        <v>30</v>
      </c>
      <c r="CQ49" s="26">
        <v>32.799999999999997</v>
      </c>
      <c r="CR49" s="26">
        <v>-2.7999999999999972</v>
      </c>
      <c r="CS49" s="29"/>
      <c r="CT49" s="28">
        <v>10</v>
      </c>
      <c r="CU49" s="26">
        <v>8</v>
      </c>
      <c r="CV49" s="26">
        <v>2</v>
      </c>
      <c r="CW49" s="29"/>
      <c r="CX49" s="30"/>
      <c r="CZ49" s="26">
        <v>0</v>
      </c>
      <c r="DA49" s="29"/>
      <c r="DB49" s="28">
        <v>30</v>
      </c>
      <c r="DC49">
        <v>33</v>
      </c>
      <c r="DD49" s="26">
        <v>-3</v>
      </c>
      <c r="DE49" s="29"/>
      <c r="DH49" s="26">
        <v>0</v>
      </c>
      <c r="DI49" s="29"/>
      <c r="DL49" s="26">
        <v>0</v>
      </c>
      <c r="DM49" s="29"/>
      <c r="DN49" s="30"/>
      <c r="DQ49" s="26">
        <v>0</v>
      </c>
      <c r="DR49" s="29"/>
      <c r="DS49" s="28">
        <v>30</v>
      </c>
      <c r="DU49">
        <v>29</v>
      </c>
      <c r="DV49" s="26">
        <v>1</v>
      </c>
      <c r="DW49" s="29"/>
      <c r="DX49">
        <v>30</v>
      </c>
      <c r="DY49" s="31">
        <v>28.2</v>
      </c>
      <c r="DZ49" s="26">
        <v>1.8000000000000009</v>
      </c>
      <c r="EA49" s="29"/>
      <c r="EB49" s="30"/>
      <c r="EG49" s="26">
        <v>0</v>
      </c>
      <c r="EH49" s="29"/>
      <c r="EI49">
        <v>30</v>
      </c>
      <c r="EJ49" s="31">
        <v>34.400000000000013</v>
      </c>
      <c r="EK49" s="26">
        <v>-4.4000000000000128</v>
      </c>
      <c r="EL49" s="29"/>
      <c r="EM49" s="30"/>
      <c r="EQ49" s="26">
        <v>0</v>
      </c>
      <c r="ER49" s="29"/>
      <c r="EW49" s="26">
        <v>0</v>
      </c>
      <c r="EX49" s="29"/>
      <c r="EY49">
        <v>30</v>
      </c>
      <c r="EZ49" s="31">
        <v>35</v>
      </c>
      <c r="FA49" s="26">
        <v>-5</v>
      </c>
      <c r="FB49" s="29"/>
      <c r="FC49" s="28">
        <v>20</v>
      </c>
      <c r="FD49">
        <v>20</v>
      </c>
      <c r="FE49" s="26">
        <v>0</v>
      </c>
      <c r="FF49" s="29"/>
      <c r="FG49" s="28">
        <v>10</v>
      </c>
      <c r="FH49">
        <v>10</v>
      </c>
      <c r="FI49" s="26">
        <v>0</v>
      </c>
      <c r="FJ49" s="29"/>
      <c r="FM49" s="26">
        <v>0</v>
      </c>
      <c r="FN49" s="29"/>
      <c r="FO49" s="28">
        <v>20</v>
      </c>
      <c r="FP49">
        <v>20</v>
      </c>
      <c r="FQ49" s="26">
        <v>0</v>
      </c>
      <c r="FR49" s="29"/>
      <c r="FS49" s="28">
        <v>10</v>
      </c>
      <c r="FT49">
        <v>12</v>
      </c>
      <c r="FU49" s="26">
        <v>-2</v>
      </c>
      <c r="FV49" s="29"/>
      <c r="FW49">
        <v>30</v>
      </c>
      <c r="FX49">
        <v>30</v>
      </c>
      <c r="FY49" s="26">
        <v>0</v>
      </c>
      <c r="FZ49" s="32"/>
      <c r="GC49" s="26">
        <v>0</v>
      </c>
      <c r="GD49" s="29"/>
      <c r="GE49">
        <v>30</v>
      </c>
      <c r="GF49">
        <v>30</v>
      </c>
      <c r="GG49" s="26">
        <v>0</v>
      </c>
      <c r="GH49" s="32"/>
      <c r="GI49">
        <v>10</v>
      </c>
      <c r="GJ49">
        <v>10</v>
      </c>
      <c r="GK49" s="26">
        <v>0</v>
      </c>
      <c r="GL49" s="29"/>
      <c r="GN49">
        <v>20</v>
      </c>
      <c r="GO49" s="25">
        <v>-20</v>
      </c>
      <c r="GP49" s="29">
        <v>1.8</v>
      </c>
      <c r="GS49" s="26">
        <v>0</v>
      </c>
      <c r="GT49" s="29"/>
      <c r="GU49" s="28">
        <v>30</v>
      </c>
      <c r="GV49" s="31">
        <v>30</v>
      </c>
      <c r="GW49" s="26">
        <v>0</v>
      </c>
      <c r="GX49" s="32"/>
      <c r="HA49" s="26">
        <v>0</v>
      </c>
      <c r="HB49" s="32"/>
      <c r="HC49">
        <v>20</v>
      </c>
      <c r="HD49">
        <v>20</v>
      </c>
      <c r="HE49" s="26">
        <v>0</v>
      </c>
      <c r="HF49" s="32"/>
      <c r="HI49" s="26">
        <v>0</v>
      </c>
      <c r="HJ49" s="29"/>
      <c r="HK49" s="27"/>
      <c r="HM49">
        <v>10</v>
      </c>
      <c r="HN49">
        <v>16</v>
      </c>
      <c r="HO49" s="26">
        <v>-6</v>
      </c>
      <c r="HP49" s="32"/>
      <c r="HQ49" s="31">
        <v>0</v>
      </c>
      <c r="HR49" s="31">
        <v>0</v>
      </c>
      <c r="HS49" s="26">
        <v>0</v>
      </c>
      <c r="HT49" s="32"/>
      <c r="HU49" s="31">
        <v>10</v>
      </c>
      <c r="HV49" s="31">
        <v>10</v>
      </c>
      <c r="HW49" s="26">
        <v>0</v>
      </c>
      <c r="HX49" s="32"/>
      <c r="HY49" s="34">
        <v>0</v>
      </c>
      <c r="HZ49" s="31">
        <v>0</v>
      </c>
      <c r="IA49" s="26">
        <v>0</v>
      </c>
      <c r="IB49" s="32"/>
    </row>
    <row r="50" spans="1:236" x14ac:dyDescent="0.25">
      <c r="A50" s="26" t="s">
        <v>177</v>
      </c>
      <c r="B50" s="27">
        <v>0.3</v>
      </c>
      <c r="I50" s="30"/>
      <c r="J50" s="35"/>
      <c r="K50" s="35"/>
      <c r="L50" s="35">
        <f t="shared" si="4"/>
        <v>0</v>
      </c>
      <c r="M50" s="29"/>
      <c r="N50" s="30"/>
      <c r="O50" s="35"/>
      <c r="P50" s="35">
        <f t="shared" si="5"/>
        <v>0</v>
      </c>
      <c r="Q50" s="29"/>
      <c r="R50" s="30"/>
      <c r="S50" s="35"/>
      <c r="T50" s="35">
        <f t="shared" si="6"/>
        <v>0</v>
      </c>
      <c r="U50" s="29"/>
      <c r="V50" s="35"/>
      <c r="X50" s="26">
        <v>0</v>
      </c>
      <c r="Y50" s="29"/>
      <c r="Z50" s="30"/>
      <c r="AB50" s="26">
        <v>0</v>
      </c>
      <c r="AC50" s="29"/>
      <c r="AF50" s="26">
        <v>0</v>
      </c>
      <c r="AG50" s="29"/>
      <c r="AH50" s="30"/>
      <c r="AJ50" s="26">
        <v>0</v>
      </c>
      <c r="AK50" s="29"/>
      <c r="AL50" s="30"/>
      <c r="AN50" s="26">
        <v>0</v>
      </c>
      <c r="AO50" s="29"/>
      <c r="AR50" s="26">
        <v>0</v>
      </c>
      <c r="AS50" s="29"/>
      <c r="AT50" s="30"/>
      <c r="AX50" s="26">
        <v>0</v>
      </c>
      <c r="AY50" s="29"/>
      <c r="AZ50" s="30"/>
      <c r="BB50" s="26">
        <v>0</v>
      </c>
      <c r="BC50" s="29"/>
      <c r="BH50" s="26">
        <v>0</v>
      </c>
      <c r="BI50" s="29"/>
      <c r="BL50" s="26">
        <v>0</v>
      </c>
      <c r="BM50" s="29"/>
      <c r="BN50" s="30"/>
      <c r="BP50" s="26">
        <v>0</v>
      </c>
      <c r="BQ50" s="29"/>
      <c r="BR50" s="30"/>
      <c r="BT50" s="26">
        <v>0</v>
      </c>
      <c r="BU50" s="29"/>
      <c r="BX50" s="26">
        <v>0</v>
      </c>
      <c r="BY50" s="29"/>
      <c r="BZ50" s="30"/>
      <c r="CC50" s="26">
        <v>0</v>
      </c>
      <c r="CD50" s="29"/>
      <c r="CE50" s="30"/>
      <c r="CI50" s="26">
        <v>0</v>
      </c>
      <c r="CJ50" s="29"/>
      <c r="CK50" s="30"/>
      <c r="CN50" s="26">
        <v>0</v>
      </c>
      <c r="CO50" s="29"/>
      <c r="CR50" s="26">
        <v>0</v>
      </c>
      <c r="CS50" s="29"/>
      <c r="CT50" s="34"/>
      <c r="CV50" s="26">
        <v>0</v>
      </c>
      <c r="CW50" s="29"/>
      <c r="CX50" s="30"/>
      <c r="CZ50" s="26">
        <v>0</v>
      </c>
      <c r="DA50" s="29"/>
      <c r="DB50" s="30"/>
      <c r="DD50" s="26">
        <v>0</v>
      </c>
      <c r="DE50" s="29"/>
      <c r="DH50" s="26">
        <v>0</v>
      </c>
      <c r="DI50" s="29"/>
      <c r="DL50" s="26">
        <v>0</v>
      </c>
      <c r="DM50" s="29"/>
      <c r="DN50" s="30"/>
      <c r="DQ50" s="26">
        <v>0</v>
      </c>
      <c r="DR50" s="29"/>
      <c r="DS50" s="30"/>
      <c r="DV50" s="26">
        <v>0</v>
      </c>
      <c r="DW50" s="29"/>
      <c r="DZ50" s="26">
        <v>0</v>
      </c>
      <c r="EA50" s="29"/>
      <c r="EB50" s="30"/>
      <c r="EG50" s="26">
        <v>0</v>
      </c>
      <c r="EH50" s="29"/>
      <c r="EK50" s="26">
        <v>0</v>
      </c>
      <c r="EL50" s="29"/>
      <c r="EM50" s="30"/>
      <c r="EQ50" s="26">
        <v>0</v>
      </c>
      <c r="ER50" s="29"/>
      <c r="EW50" s="26">
        <v>0</v>
      </c>
      <c r="EX50" s="29"/>
      <c r="FA50" s="26">
        <v>0</v>
      </c>
      <c r="FB50" s="29"/>
      <c r="FC50" s="30"/>
      <c r="FE50" s="26">
        <v>0</v>
      </c>
      <c r="FF50" s="29"/>
      <c r="FG50" s="30"/>
      <c r="FI50" s="26">
        <v>0</v>
      </c>
      <c r="FJ50" s="29"/>
      <c r="FM50" s="26">
        <v>0</v>
      </c>
      <c r="FN50" s="29"/>
      <c r="FO50" s="30"/>
      <c r="FQ50" s="26">
        <v>0</v>
      </c>
      <c r="FR50" s="29"/>
      <c r="FS50" s="30"/>
      <c r="FU50" s="26">
        <v>0</v>
      </c>
      <c r="FV50" s="29"/>
      <c r="FY50" s="26">
        <v>0</v>
      </c>
      <c r="FZ50" s="32"/>
      <c r="GC50" s="26">
        <v>0</v>
      </c>
      <c r="GD50" s="29"/>
      <c r="GG50" s="26">
        <v>0</v>
      </c>
      <c r="GH50" s="32"/>
      <c r="GK50" s="26">
        <v>0</v>
      </c>
      <c r="GL50" s="29"/>
      <c r="GO50" s="26">
        <v>0</v>
      </c>
      <c r="GP50" s="32"/>
      <c r="GS50" s="26">
        <v>0</v>
      </c>
      <c r="GT50" s="29"/>
      <c r="GU50" s="34"/>
      <c r="GW50" s="26">
        <v>0</v>
      </c>
      <c r="GX50" s="32"/>
      <c r="HA50" s="26">
        <v>0</v>
      </c>
      <c r="HB50" s="32"/>
      <c r="HE50" s="26">
        <v>0</v>
      </c>
      <c r="HF50" s="32"/>
      <c r="HI50" s="26">
        <v>0</v>
      </c>
      <c r="HJ50" s="29"/>
      <c r="HK50" s="27"/>
      <c r="HM50" s="27"/>
      <c r="HO50" s="26">
        <v>0</v>
      </c>
      <c r="HP50" s="32"/>
      <c r="HQ50" s="31">
        <v>0</v>
      </c>
      <c r="HR50" s="31">
        <v>0</v>
      </c>
      <c r="HS50" s="26">
        <v>0</v>
      </c>
      <c r="HT50" s="32"/>
      <c r="HU50" s="31">
        <v>0</v>
      </c>
      <c r="HV50" s="31">
        <v>0</v>
      </c>
      <c r="HW50" s="26">
        <v>0</v>
      </c>
      <c r="HX50" s="32"/>
      <c r="HY50" s="34">
        <v>0</v>
      </c>
      <c r="HZ50" s="31">
        <v>0</v>
      </c>
      <c r="IA50" s="26">
        <v>0</v>
      </c>
      <c r="IB50" s="32"/>
    </row>
    <row r="51" spans="1:236" x14ac:dyDescent="0.25">
      <c r="A51" s="26" t="s">
        <v>178</v>
      </c>
      <c r="B51" s="27">
        <v>0.27</v>
      </c>
      <c r="I51" s="30"/>
      <c r="J51" s="35"/>
      <c r="K51" s="35"/>
      <c r="L51" s="35">
        <f t="shared" si="4"/>
        <v>0</v>
      </c>
      <c r="M51" s="29"/>
      <c r="N51" s="30"/>
      <c r="O51" s="35"/>
      <c r="P51" s="35">
        <f t="shared" si="5"/>
        <v>0</v>
      </c>
      <c r="Q51" s="29"/>
      <c r="R51" s="30"/>
      <c r="S51" s="35"/>
      <c r="T51" s="35">
        <f t="shared" si="6"/>
        <v>0</v>
      </c>
      <c r="U51" s="29"/>
      <c r="V51" s="35"/>
      <c r="X51" s="26">
        <v>0</v>
      </c>
      <c r="Y51" s="29"/>
      <c r="Z51" s="30"/>
      <c r="AB51" s="26">
        <v>0</v>
      </c>
      <c r="AC51" s="29"/>
      <c r="AF51" s="26">
        <v>0</v>
      </c>
      <c r="AG51" s="29"/>
      <c r="AH51" s="30"/>
      <c r="AJ51" s="26">
        <v>0</v>
      </c>
      <c r="AK51" s="29"/>
      <c r="AL51" s="30"/>
      <c r="AN51" s="26">
        <v>0</v>
      </c>
      <c r="AO51" s="29"/>
      <c r="AR51" s="26">
        <v>0</v>
      </c>
      <c r="AS51" s="29"/>
      <c r="AT51" s="30"/>
      <c r="AX51" s="26">
        <v>0</v>
      </c>
      <c r="AY51" s="29"/>
      <c r="AZ51" s="30"/>
      <c r="BB51" s="26">
        <v>0</v>
      </c>
      <c r="BC51" s="29"/>
      <c r="BH51" s="26">
        <v>0</v>
      </c>
      <c r="BI51" s="29"/>
      <c r="BL51" s="26">
        <v>0</v>
      </c>
      <c r="BM51" s="29"/>
      <c r="BN51" s="30"/>
      <c r="BP51" s="26">
        <v>0</v>
      </c>
      <c r="BQ51" s="29"/>
      <c r="BR51" s="30"/>
      <c r="BT51" s="26">
        <v>0</v>
      </c>
      <c r="BU51" s="29"/>
      <c r="BX51" s="26">
        <v>0</v>
      </c>
      <c r="BY51" s="29"/>
      <c r="BZ51" s="30"/>
      <c r="CC51" s="26">
        <v>0</v>
      </c>
      <c r="CD51" s="29"/>
      <c r="CE51" s="30"/>
      <c r="CI51" s="26">
        <v>0</v>
      </c>
      <c r="CJ51" s="29"/>
      <c r="CK51" s="30"/>
      <c r="CN51" s="26">
        <v>0</v>
      </c>
      <c r="CO51" s="29"/>
      <c r="CR51" s="26">
        <v>0</v>
      </c>
      <c r="CS51" s="29"/>
      <c r="CT51" s="34"/>
      <c r="CV51" s="26">
        <v>0</v>
      </c>
      <c r="CW51" s="29"/>
      <c r="CX51" s="30"/>
      <c r="CZ51" s="26">
        <v>0</v>
      </c>
      <c r="DA51" s="29"/>
      <c r="DB51" s="30"/>
      <c r="DD51" s="26">
        <v>0</v>
      </c>
      <c r="DE51" s="29"/>
      <c r="DH51" s="26">
        <v>0</v>
      </c>
      <c r="DI51" s="29"/>
      <c r="DL51" s="26">
        <v>0</v>
      </c>
      <c r="DM51" s="29"/>
      <c r="DN51" s="30"/>
      <c r="DQ51" s="26">
        <v>0</v>
      </c>
      <c r="DR51" s="29"/>
      <c r="DS51" s="30"/>
      <c r="DV51" s="26">
        <v>0</v>
      </c>
      <c r="DW51" s="29"/>
      <c r="DZ51" s="26">
        <v>0</v>
      </c>
      <c r="EA51" s="29"/>
      <c r="EB51" s="30"/>
      <c r="EG51" s="26">
        <v>0</v>
      </c>
      <c r="EH51" s="29"/>
      <c r="EK51" s="26">
        <v>0</v>
      </c>
      <c r="EL51" s="29"/>
      <c r="EM51" s="30"/>
      <c r="EQ51" s="26">
        <v>0</v>
      </c>
      <c r="ER51" s="29"/>
      <c r="EW51" s="26">
        <v>0</v>
      </c>
      <c r="EX51" s="29"/>
      <c r="FA51" s="26">
        <v>0</v>
      </c>
      <c r="FB51" s="29"/>
      <c r="FC51" s="30"/>
      <c r="FE51" s="26">
        <v>0</v>
      </c>
      <c r="FF51" s="29"/>
      <c r="FG51" s="30"/>
      <c r="FI51" s="26">
        <v>0</v>
      </c>
      <c r="FJ51" s="29"/>
      <c r="FM51" s="26">
        <v>0</v>
      </c>
      <c r="FN51" s="29"/>
      <c r="FO51" s="30"/>
      <c r="FQ51" s="26">
        <v>0</v>
      </c>
      <c r="FR51" s="29"/>
      <c r="FS51" s="30"/>
      <c r="FU51" s="26">
        <v>0</v>
      </c>
      <c r="FV51" s="29"/>
      <c r="FY51" s="26">
        <v>0</v>
      </c>
      <c r="FZ51" s="32"/>
      <c r="GC51" s="26">
        <v>0</v>
      </c>
      <c r="GD51" s="29"/>
      <c r="GG51" s="26">
        <v>0</v>
      </c>
      <c r="GH51" s="32"/>
      <c r="GK51" s="26">
        <v>0</v>
      </c>
      <c r="GL51" s="29"/>
      <c r="GO51" s="26">
        <v>0</v>
      </c>
      <c r="GP51" s="32"/>
      <c r="GS51" s="26">
        <v>0</v>
      </c>
      <c r="GT51" s="29"/>
      <c r="GU51" s="34"/>
      <c r="GW51" s="26">
        <v>0</v>
      </c>
      <c r="GX51" s="32"/>
      <c r="HA51" s="26">
        <v>0</v>
      </c>
      <c r="HB51" s="32"/>
      <c r="HE51" s="26">
        <v>0</v>
      </c>
      <c r="HF51" s="32"/>
      <c r="HI51" s="26">
        <v>0</v>
      </c>
      <c r="HJ51" s="29"/>
      <c r="HK51" s="27"/>
      <c r="HM51" s="27"/>
      <c r="HO51" s="26">
        <v>0</v>
      </c>
      <c r="HP51" s="32"/>
      <c r="HQ51" s="31">
        <v>0</v>
      </c>
      <c r="HR51" s="31">
        <v>0</v>
      </c>
      <c r="HS51" s="26">
        <v>0</v>
      </c>
      <c r="HT51" s="32"/>
      <c r="HU51" s="31">
        <v>0</v>
      </c>
      <c r="HV51" s="31">
        <v>0</v>
      </c>
      <c r="HW51" s="26">
        <v>0</v>
      </c>
      <c r="HX51" s="32"/>
      <c r="HY51" s="34">
        <v>0</v>
      </c>
      <c r="HZ51" s="31">
        <v>0</v>
      </c>
      <c r="IA51" s="26">
        <v>0</v>
      </c>
      <c r="IB51" s="32"/>
    </row>
    <row r="52" spans="1:236" x14ac:dyDescent="0.25">
      <c r="A52" s="26" t="s">
        <v>179</v>
      </c>
      <c r="B52" s="27">
        <v>1</v>
      </c>
      <c r="E52">
        <v>120</v>
      </c>
      <c r="F52">
        <v>61</v>
      </c>
      <c r="I52" s="28">
        <v>10</v>
      </c>
      <c r="J52" s="36">
        <v>121</v>
      </c>
      <c r="K52" s="36">
        <v>117</v>
      </c>
      <c r="L52" s="35">
        <f t="shared" si="4"/>
        <v>14</v>
      </c>
      <c r="M52" s="29"/>
      <c r="N52" s="28">
        <v>385</v>
      </c>
      <c r="O52" s="36">
        <v>371</v>
      </c>
      <c r="P52" s="35">
        <f t="shared" si="5"/>
        <v>14</v>
      </c>
      <c r="Q52" s="29"/>
      <c r="R52" s="28">
        <v>126</v>
      </c>
      <c r="S52" s="36">
        <v>118</v>
      </c>
      <c r="T52" s="35">
        <f t="shared" si="6"/>
        <v>8</v>
      </c>
      <c r="U52" s="29"/>
      <c r="V52" s="36">
        <v>257</v>
      </c>
      <c r="W52">
        <v>237</v>
      </c>
      <c r="X52" s="26">
        <v>20</v>
      </c>
      <c r="Y52" s="29"/>
      <c r="Z52" s="28">
        <v>125</v>
      </c>
      <c r="AA52">
        <v>122</v>
      </c>
      <c r="AB52" s="26">
        <v>3</v>
      </c>
      <c r="AC52" s="29"/>
      <c r="AD52">
        <v>38</v>
      </c>
      <c r="AE52">
        <v>36</v>
      </c>
      <c r="AF52" s="26">
        <v>2</v>
      </c>
      <c r="AG52" s="29"/>
      <c r="AH52" s="28">
        <v>314</v>
      </c>
      <c r="AI52">
        <v>311</v>
      </c>
      <c r="AJ52" s="26">
        <v>3</v>
      </c>
      <c r="AK52" s="29"/>
      <c r="AL52" s="28">
        <v>95</v>
      </c>
      <c r="AM52">
        <v>90</v>
      </c>
      <c r="AN52" s="26">
        <v>5</v>
      </c>
      <c r="AO52" s="29"/>
      <c r="AR52" s="26">
        <v>0</v>
      </c>
      <c r="AS52" s="29"/>
      <c r="AT52" s="28">
        <v>115</v>
      </c>
      <c r="AU52">
        <v>110</v>
      </c>
      <c r="AV52">
        <v>124</v>
      </c>
      <c r="AW52">
        <v>119</v>
      </c>
      <c r="AX52" s="26">
        <v>10</v>
      </c>
      <c r="AY52" s="29"/>
      <c r="AZ52" s="30"/>
      <c r="BB52" s="26">
        <v>0</v>
      </c>
      <c r="BC52" s="29"/>
      <c r="BF52">
        <v>208</v>
      </c>
      <c r="BG52">
        <v>198</v>
      </c>
      <c r="BH52" s="26">
        <v>10</v>
      </c>
      <c r="BI52" s="29"/>
      <c r="BL52" s="26">
        <v>0</v>
      </c>
      <c r="BM52" s="29"/>
      <c r="BN52" s="28">
        <v>196</v>
      </c>
      <c r="BO52">
        <v>187</v>
      </c>
      <c r="BP52" s="26">
        <v>9</v>
      </c>
      <c r="BQ52" s="29"/>
      <c r="BR52" s="30"/>
      <c r="BT52" s="26">
        <v>0</v>
      </c>
      <c r="BU52" s="29"/>
      <c r="BV52">
        <v>163</v>
      </c>
      <c r="BW52">
        <v>157</v>
      </c>
      <c r="BX52" s="26">
        <v>6</v>
      </c>
      <c r="BY52" s="29"/>
      <c r="BZ52" s="28">
        <v>48</v>
      </c>
      <c r="CB52">
        <v>46</v>
      </c>
      <c r="CC52" s="26">
        <v>2</v>
      </c>
      <c r="CD52" s="29"/>
      <c r="CE52" s="30"/>
      <c r="CG52">
        <v>18</v>
      </c>
      <c r="CH52">
        <v>17</v>
      </c>
      <c r="CI52" s="26">
        <v>1</v>
      </c>
      <c r="CJ52" s="29"/>
      <c r="CK52" s="28">
        <v>66</v>
      </c>
      <c r="CM52">
        <v>63</v>
      </c>
      <c r="CN52" s="26">
        <v>3</v>
      </c>
      <c r="CO52" s="29"/>
      <c r="CP52">
        <v>138</v>
      </c>
      <c r="CQ52" s="26">
        <v>129.14519999999999</v>
      </c>
      <c r="CR52" s="26">
        <v>8.8548000000000116</v>
      </c>
      <c r="CS52" s="29"/>
      <c r="CT52" s="28">
        <v>29</v>
      </c>
      <c r="CU52" s="26">
        <v>25.150999999999978</v>
      </c>
      <c r="CV52" s="26">
        <v>3.849000000000022</v>
      </c>
      <c r="CW52" s="29"/>
      <c r="CX52" s="30"/>
      <c r="CZ52" s="26">
        <v>0</v>
      </c>
      <c r="DA52" s="29"/>
      <c r="DB52" s="28">
        <v>70</v>
      </c>
      <c r="DC52">
        <v>67</v>
      </c>
      <c r="DD52" s="26">
        <v>3</v>
      </c>
      <c r="DE52" s="29"/>
      <c r="DF52">
        <v>135</v>
      </c>
      <c r="DG52" s="31">
        <v>131.45339999999999</v>
      </c>
      <c r="DH52" s="26">
        <v>3.5466000000000122</v>
      </c>
      <c r="DI52" s="29"/>
      <c r="DJ52">
        <v>100</v>
      </c>
      <c r="DK52">
        <v>96</v>
      </c>
      <c r="DL52" s="26">
        <v>4</v>
      </c>
      <c r="DM52" s="29"/>
      <c r="DN52" s="30"/>
      <c r="DQ52" s="26">
        <v>0</v>
      </c>
      <c r="DR52" s="29"/>
      <c r="DS52" s="30"/>
      <c r="DV52" s="26">
        <v>0</v>
      </c>
      <c r="DW52" s="29"/>
      <c r="DZ52" s="26">
        <v>0</v>
      </c>
      <c r="EA52" s="29"/>
      <c r="EB52" s="30"/>
      <c r="EC52">
        <v>60</v>
      </c>
      <c r="ED52">
        <v>60</v>
      </c>
      <c r="EE52">
        <v>51</v>
      </c>
      <c r="EF52">
        <v>50</v>
      </c>
      <c r="EG52" s="26">
        <v>1</v>
      </c>
      <c r="EH52" s="29"/>
      <c r="EI52">
        <v>136</v>
      </c>
      <c r="EJ52" s="31">
        <v>127.8438</v>
      </c>
      <c r="EK52" s="26">
        <v>8.1561999999999983</v>
      </c>
      <c r="EL52" s="29"/>
      <c r="EM52" s="30"/>
      <c r="EO52">
        <v>69</v>
      </c>
      <c r="EP52">
        <v>67</v>
      </c>
      <c r="EQ52" s="26">
        <v>2</v>
      </c>
      <c r="ER52" s="29"/>
      <c r="EU52">
        <v>97</v>
      </c>
      <c r="EV52">
        <v>90</v>
      </c>
      <c r="EW52" s="26">
        <v>7</v>
      </c>
      <c r="EX52" s="29"/>
      <c r="FA52" s="26">
        <v>0</v>
      </c>
      <c r="FB52" s="29"/>
      <c r="FC52" s="28">
        <v>83</v>
      </c>
      <c r="FD52">
        <v>80</v>
      </c>
      <c r="FE52" s="26">
        <v>3</v>
      </c>
      <c r="FF52" s="29"/>
      <c r="FG52" s="30"/>
      <c r="FI52" s="26">
        <v>0</v>
      </c>
      <c r="FJ52" s="29"/>
      <c r="FM52" s="26">
        <v>0</v>
      </c>
      <c r="FN52" s="29"/>
      <c r="FO52" s="28">
        <v>126</v>
      </c>
      <c r="FP52">
        <v>130</v>
      </c>
      <c r="FQ52" s="26">
        <v>-4</v>
      </c>
      <c r="FR52" s="29"/>
      <c r="FS52" s="28">
        <v>5</v>
      </c>
      <c r="FT52">
        <v>3</v>
      </c>
      <c r="FU52" s="26">
        <v>2</v>
      </c>
      <c r="FV52" s="29"/>
      <c r="FW52">
        <v>72</v>
      </c>
      <c r="FX52">
        <v>70</v>
      </c>
      <c r="FY52" s="26">
        <v>2</v>
      </c>
      <c r="FZ52" s="32"/>
      <c r="GA52">
        <v>38</v>
      </c>
      <c r="GB52">
        <v>37</v>
      </c>
      <c r="GC52" s="26">
        <v>1</v>
      </c>
      <c r="GD52" s="29"/>
      <c r="GE52">
        <v>14</v>
      </c>
      <c r="GF52">
        <v>15</v>
      </c>
      <c r="GG52" s="26">
        <v>-1</v>
      </c>
      <c r="GH52" s="32"/>
      <c r="GI52">
        <v>52</v>
      </c>
      <c r="GJ52">
        <v>51</v>
      </c>
      <c r="GK52" s="26">
        <v>1</v>
      </c>
      <c r="GL52" s="29"/>
      <c r="GM52">
        <v>9</v>
      </c>
      <c r="GN52">
        <v>10</v>
      </c>
      <c r="GO52" s="26">
        <v>-1</v>
      </c>
      <c r="GP52" s="32"/>
      <c r="GQ52">
        <v>34</v>
      </c>
      <c r="GR52" s="31">
        <v>35.027999999999999</v>
      </c>
      <c r="GS52" s="26">
        <v>-1.0279999999999989</v>
      </c>
      <c r="GT52" s="29"/>
      <c r="GU52" s="34"/>
      <c r="GW52" s="26">
        <v>0</v>
      </c>
      <c r="GX52" s="32"/>
      <c r="HA52" s="26">
        <v>0</v>
      </c>
      <c r="HB52" s="32"/>
      <c r="HE52" s="26">
        <v>0</v>
      </c>
      <c r="HF52" s="32"/>
      <c r="HI52" s="26">
        <v>0</v>
      </c>
      <c r="HJ52" s="29"/>
      <c r="HK52">
        <v>81</v>
      </c>
      <c r="HL52">
        <v>80</v>
      </c>
      <c r="HM52">
        <v>67</v>
      </c>
      <c r="HN52">
        <v>67</v>
      </c>
      <c r="HO52" s="26">
        <v>1</v>
      </c>
      <c r="HP52" s="32"/>
      <c r="HQ52" s="31">
        <v>71.789000000000001</v>
      </c>
      <c r="HR52" s="31">
        <v>70</v>
      </c>
      <c r="HS52" s="26">
        <v>1.789000000000001</v>
      </c>
      <c r="HT52" s="32"/>
      <c r="HU52" s="31">
        <v>66.991</v>
      </c>
      <c r="HV52" s="31">
        <v>65.108000000000004</v>
      </c>
      <c r="HW52" s="26">
        <v>1.882999999999996</v>
      </c>
      <c r="HX52" s="32"/>
      <c r="HY52" s="34">
        <v>77.289000000000001</v>
      </c>
      <c r="HZ52" s="31">
        <v>75</v>
      </c>
      <c r="IA52" s="26">
        <v>2.289000000000001</v>
      </c>
      <c r="IB52" s="32"/>
    </row>
    <row r="53" spans="1:236" x14ac:dyDescent="0.25">
      <c r="A53" s="26" t="s">
        <v>180</v>
      </c>
      <c r="B53" s="27">
        <v>1</v>
      </c>
      <c r="I53" s="30"/>
      <c r="J53" s="35"/>
      <c r="K53" s="35"/>
      <c r="L53" s="35">
        <f t="shared" si="4"/>
        <v>0</v>
      </c>
      <c r="M53" s="29"/>
      <c r="N53" s="30"/>
      <c r="O53" s="35"/>
      <c r="P53" s="35">
        <f t="shared" si="5"/>
        <v>0</v>
      </c>
      <c r="Q53" s="29"/>
      <c r="R53" s="30"/>
      <c r="S53" s="35"/>
      <c r="T53" s="35">
        <f t="shared" si="6"/>
        <v>0</v>
      </c>
      <c r="U53" s="29"/>
      <c r="V53" s="35"/>
      <c r="X53" s="26">
        <v>0</v>
      </c>
      <c r="Y53" s="29"/>
      <c r="Z53" s="30"/>
      <c r="AB53" s="26">
        <v>0</v>
      </c>
      <c r="AC53" s="29"/>
      <c r="AF53" s="26">
        <v>0</v>
      </c>
      <c r="AG53" s="29"/>
      <c r="AH53" s="30"/>
      <c r="AJ53" s="26">
        <v>0</v>
      </c>
      <c r="AK53" s="29"/>
      <c r="AL53" s="30"/>
      <c r="AN53" s="26">
        <v>0</v>
      </c>
      <c r="AO53" s="29"/>
      <c r="AR53" s="26">
        <v>0</v>
      </c>
      <c r="AS53" s="29"/>
      <c r="AT53" s="30"/>
      <c r="AX53" s="26">
        <v>0</v>
      </c>
      <c r="AY53" s="29"/>
      <c r="AZ53" s="30"/>
      <c r="BB53" s="26">
        <v>0</v>
      </c>
      <c r="BC53" s="29"/>
      <c r="BH53" s="26">
        <v>0</v>
      </c>
      <c r="BI53" s="29"/>
      <c r="BL53" s="26">
        <v>0</v>
      </c>
      <c r="BM53" s="29"/>
      <c r="BN53" s="30"/>
      <c r="BP53" s="26">
        <v>0</v>
      </c>
      <c r="BQ53" s="29"/>
      <c r="BR53" s="30"/>
      <c r="BT53" s="26">
        <v>0</v>
      </c>
      <c r="BU53" s="29"/>
      <c r="BX53" s="26">
        <v>0</v>
      </c>
      <c r="BY53" s="29"/>
      <c r="BZ53" s="30"/>
      <c r="CC53" s="26">
        <v>0</v>
      </c>
      <c r="CD53" s="29"/>
      <c r="CE53" s="30"/>
      <c r="CI53" s="26">
        <v>0</v>
      </c>
      <c r="CJ53" s="29"/>
      <c r="CK53" s="30"/>
      <c r="CN53" s="26">
        <v>0</v>
      </c>
      <c r="CO53" s="29"/>
      <c r="CR53" s="26">
        <v>0</v>
      </c>
      <c r="CS53" s="29"/>
      <c r="CT53" s="34"/>
      <c r="CV53" s="26">
        <v>0</v>
      </c>
      <c r="CW53" s="29"/>
      <c r="CX53" s="30"/>
      <c r="CZ53" s="26">
        <v>0</v>
      </c>
      <c r="DA53" s="29"/>
      <c r="DB53" s="30"/>
      <c r="DD53" s="26">
        <v>0</v>
      </c>
      <c r="DE53" s="29"/>
      <c r="DH53" s="26">
        <v>0</v>
      </c>
      <c r="DI53" s="29"/>
      <c r="DL53" s="26">
        <v>0</v>
      </c>
      <c r="DM53" s="29"/>
      <c r="DN53" s="30"/>
      <c r="DQ53" s="26">
        <v>0</v>
      </c>
      <c r="DR53" s="29"/>
      <c r="DS53" s="30"/>
      <c r="DV53" s="26">
        <v>0</v>
      </c>
      <c r="DW53" s="29"/>
      <c r="DZ53" s="26">
        <v>0</v>
      </c>
      <c r="EA53" s="29"/>
      <c r="EB53" s="30"/>
      <c r="EG53" s="26">
        <v>0</v>
      </c>
      <c r="EH53" s="29"/>
      <c r="EK53" s="26">
        <v>0</v>
      </c>
      <c r="EL53" s="29"/>
      <c r="EM53" s="30"/>
      <c r="EQ53" s="26">
        <v>0</v>
      </c>
      <c r="ER53" s="29"/>
      <c r="EW53" s="26">
        <v>0</v>
      </c>
      <c r="EX53" s="29"/>
      <c r="FA53" s="26">
        <v>0</v>
      </c>
      <c r="FB53" s="29"/>
      <c r="FC53" s="30"/>
      <c r="FE53" s="26">
        <v>0</v>
      </c>
      <c r="FF53" s="29"/>
      <c r="FG53" s="30"/>
      <c r="FI53" s="26">
        <v>0</v>
      </c>
      <c r="FJ53" s="29"/>
      <c r="FM53" s="26">
        <v>0</v>
      </c>
      <c r="FN53" s="29"/>
      <c r="FO53" s="30"/>
      <c r="FQ53" s="26">
        <v>0</v>
      </c>
      <c r="FR53" s="29"/>
      <c r="FS53" s="30"/>
      <c r="FU53" s="26">
        <v>0</v>
      </c>
      <c r="FV53" s="29"/>
      <c r="FY53" s="26">
        <v>0</v>
      </c>
      <c r="FZ53" s="32"/>
      <c r="GC53" s="26">
        <v>0</v>
      </c>
      <c r="GD53" s="29"/>
      <c r="GG53" s="26">
        <v>0</v>
      </c>
      <c r="GH53" s="32"/>
      <c r="GK53" s="26">
        <v>0</v>
      </c>
      <c r="GL53" s="29"/>
      <c r="GO53" s="26">
        <v>0</v>
      </c>
      <c r="GP53" s="32"/>
      <c r="GS53" s="26">
        <v>0</v>
      </c>
      <c r="GT53" s="29"/>
      <c r="GU53" s="34"/>
      <c r="GW53" s="26">
        <v>0</v>
      </c>
      <c r="GX53" s="32"/>
      <c r="HA53" s="26">
        <v>0</v>
      </c>
      <c r="HB53" s="32"/>
      <c r="HE53" s="26">
        <v>0</v>
      </c>
      <c r="HF53" s="32"/>
      <c r="HI53" s="26">
        <v>0</v>
      </c>
      <c r="HJ53" s="29"/>
      <c r="HK53" s="27"/>
      <c r="HM53" s="27"/>
      <c r="HO53" s="26">
        <v>0</v>
      </c>
      <c r="HP53" s="32"/>
      <c r="HQ53" s="31">
        <v>0</v>
      </c>
      <c r="HR53" s="31">
        <v>0</v>
      </c>
      <c r="HS53" s="26">
        <v>0</v>
      </c>
      <c r="HT53" s="32"/>
      <c r="HU53" s="31">
        <v>0</v>
      </c>
      <c r="HV53" s="31">
        <v>0</v>
      </c>
      <c r="HW53" s="26">
        <v>0</v>
      </c>
      <c r="HX53" s="32"/>
      <c r="HY53" s="34">
        <v>0</v>
      </c>
      <c r="HZ53" s="31">
        <v>0</v>
      </c>
      <c r="IA53" s="26">
        <v>0</v>
      </c>
      <c r="IB53" s="32"/>
    </row>
    <row r="54" spans="1:236" x14ac:dyDescent="0.25">
      <c r="A54" s="26" t="s">
        <v>181</v>
      </c>
      <c r="B54" s="27">
        <v>0.4</v>
      </c>
      <c r="I54" s="30"/>
      <c r="J54" s="35"/>
      <c r="K54" s="35"/>
      <c r="L54" s="35">
        <f t="shared" si="4"/>
        <v>0</v>
      </c>
      <c r="M54" s="29"/>
      <c r="N54" s="28">
        <v>128</v>
      </c>
      <c r="O54" s="36">
        <v>126</v>
      </c>
      <c r="P54" s="35">
        <f t="shared" si="5"/>
        <v>2</v>
      </c>
      <c r="Q54" s="29"/>
      <c r="R54" s="28">
        <v>40</v>
      </c>
      <c r="S54" s="36">
        <v>51</v>
      </c>
      <c r="T54" s="40">
        <f t="shared" si="6"/>
        <v>-11</v>
      </c>
      <c r="U54" s="29">
        <f>-1*T54*B54</f>
        <v>4.4000000000000004</v>
      </c>
      <c r="V54" s="36">
        <v>72</v>
      </c>
      <c r="W54">
        <v>72</v>
      </c>
      <c r="X54" s="26">
        <v>0</v>
      </c>
      <c r="Y54" s="29"/>
      <c r="Z54" s="28">
        <v>48</v>
      </c>
      <c r="AA54">
        <v>48</v>
      </c>
      <c r="AB54" s="26">
        <v>0</v>
      </c>
      <c r="AC54" s="29"/>
      <c r="AD54">
        <v>8</v>
      </c>
      <c r="AE54">
        <v>8</v>
      </c>
      <c r="AF54" s="26">
        <v>0</v>
      </c>
      <c r="AG54" s="29"/>
      <c r="AH54" s="28">
        <v>72</v>
      </c>
      <c r="AI54">
        <v>71</v>
      </c>
      <c r="AJ54" s="26">
        <v>1</v>
      </c>
      <c r="AK54" s="29"/>
      <c r="AL54" s="30"/>
      <c r="AN54" s="26">
        <v>0</v>
      </c>
      <c r="AO54" s="29"/>
      <c r="AP54">
        <v>32</v>
      </c>
      <c r="AQ54">
        <v>30</v>
      </c>
      <c r="AR54" s="26">
        <v>2</v>
      </c>
      <c r="AS54" s="29"/>
      <c r="AT54" s="30"/>
      <c r="AV54">
        <v>16</v>
      </c>
      <c r="AW54">
        <v>20</v>
      </c>
      <c r="AX54" s="26">
        <v>-4</v>
      </c>
      <c r="AY54" s="29"/>
      <c r="AZ54" s="30"/>
      <c r="BB54" s="26">
        <v>0</v>
      </c>
      <c r="BC54" s="29"/>
      <c r="BF54">
        <v>32</v>
      </c>
      <c r="BG54">
        <v>36</v>
      </c>
      <c r="BH54" s="26">
        <v>-4</v>
      </c>
      <c r="BI54" s="29"/>
      <c r="BL54" s="26">
        <v>0</v>
      </c>
      <c r="BM54" s="29"/>
      <c r="BN54" s="28">
        <v>8</v>
      </c>
      <c r="BO54">
        <v>11</v>
      </c>
      <c r="BP54" s="26">
        <v>-3</v>
      </c>
      <c r="BQ54" s="29"/>
      <c r="BR54" s="30"/>
      <c r="BT54" s="26">
        <v>0</v>
      </c>
      <c r="BU54" s="29"/>
      <c r="BV54">
        <v>32</v>
      </c>
      <c r="BW54">
        <v>30</v>
      </c>
      <c r="BX54" s="26">
        <v>2</v>
      </c>
      <c r="BY54" s="29"/>
      <c r="BZ54" s="30"/>
      <c r="CC54" s="26">
        <v>0</v>
      </c>
      <c r="CD54" s="29"/>
      <c r="CE54" s="30"/>
      <c r="CG54">
        <v>40</v>
      </c>
      <c r="CH54">
        <v>38</v>
      </c>
      <c r="CI54" s="26">
        <v>2</v>
      </c>
      <c r="CJ54" s="29"/>
      <c r="CK54" s="30"/>
      <c r="CN54" s="26">
        <v>0</v>
      </c>
      <c r="CO54" s="29"/>
      <c r="CP54">
        <v>24</v>
      </c>
      <c r="CQ54" s="26">
        <v>21.6</v>
      </c>
      <c r="CR54" s="26">
        <v>2.399999999999999</v>
      </c>
      <c r="CS54" s="29"/>
      <c r="CT54" s="34"/>
      <c r="CV54" s="26">
        <v>0</v>
      </c>
      <c r="CW54" s="29"/>
      <c r="CX54" s="30"/>
      <c r="CZ54" s="26">
        <v>0</v>
      </c>
      <c r="DA54" s="29"/>
      <c r="DB54" s="30"/>
      <c r="DD54" s="26">
        <v>0</v>
      </c>
      <c r="DE54" s="29"/>
      <c r="DH54" s="26">
        <v>0</v>
      </c>
      <c r="DI54" s="29"/>
      <c r="DJ54">
        <v>32</v>
      </c>
      <c r="DK54">
        <v>32</v>
      </c>
      <c r="DL54" s="26">
        <v>0</v>
      </c>
      <c r="DM54" s="29"/>
      <c r="DN54" s="30"/>
      <c r="DQ54" s="26">
        <v>0</v>
      </c>
      <c r="DR54" s="29"/>
      <c r="DS54" s="28">
        <v>16</v>
      </c>
      <c r="DU54">
        <v>20</v>
      </c>
      <c r="DV54" s="26">
        <v>-4</v>
      </c>
      <c r="DW54" s="29"/>
      <c r="DZ54" s="26">
        <v>0</v>
      </c>
      <c r="EA54" s="29"/>
      <c r="EB54" s="30"/>
      <c r="EE54">
        <v>24</v>
      </c>
      <c r="EF54">
        <v>24</v>
      </c>
      <c r="EG54" s="26">
        <v>0</v>
      </c>
      <c r="EH54" s="29"/>
      <c r="EK54" s="26">
        <v>0</v>
      </c>
      <c r="EL54" s="29"/>
      <c r="EM54" s="30"/>
      <c r="EQ54" s="26">
        <v>0</v>
      </c>
      <c r="ER54" s="29"/>
      <c r="EU54">
        <v>8</v>
      </c>
      <c r="EV54">
        <v>13</v>
      </c>
      <c r="EW54" s="26">
        <v>-5</v>
      </c>
      <c r="EX54" s="29"/>
      <c r="FA54" s="26">
        <v>0</v>
      </c>
      <c r="FB54" s="29"/>
      <c r="FC54" s="30"/>
      <c r="FE54" s="26">
        <v>0</v>
      </c>
      <c r="FF54" s="29"/>
      <c r="FG54" s="28">
        <v>32</v>
      </c>
      <c r="FH54" s="26">
        <v>32</v>
      </c>
      <c r="FI54" s="26">
        <v>0</v>
      </c>
      <c r="FJ54" s="29"/>
      <c r="FM54" s="26">
        <v>0</v>
      </c>
      <c r="FN54" s="29"/>
      <c r="FO54" s="28">
        <v>16</v>
      </c>
      <c r="FP54" s="26">
        <v>16</v>
      </c>
      <c r="FQ54" s="26">
        <v>0</v>
      </c>
      <c r="FR54" s="29"/>
      <c r="FS54" s="30"/>
      <c r="FV54" s="29"/>
      <c r="FZ54" s="32"/>
      <c r="GD54" s="29"/>
      <c r="GH54" s="32"/>
      <c r="GL54" s="29"/>
      <c r="GP54" s="32"/>
      <c r="GR54" s="27"/>
      <c r="GT54" s="29"/>
      <c r="GU54" s="34"/>
      <c r="GX54" s="32"/>
      <c r="HB54" s="32"/>
      <c r="HF54" s="32"/>
      <c r="HJ54" s="29"/>
      <c r="HK54" s="27"/>
      <c r="HM54" s="27"/>
      <c r="HP54" s="32"/>
      <c r="HQ54" s="31"/>
      <c r="HR54" s="31"/>
      <c r="HT54" s="32"/>
      <c r="HU54" s="31"/>
      <c r="HV54" s="31"/>
      <c r="HX54" s="32"/>
      <c r="HY54" s="34"/>
      <c r="HZ54" s="31"/>
      <c r="IB54" s="32"/>
    </row>
    <row r="55" spans="1:236" x14ac:dyDescent="0.25">
      <c r="A55" s="26" t="s">
        <v>182</v>
      </c>
      <c r="B55" s="27">
        <v>0.4</v>
      </c>
      <c r="I55" s="30"/>
      <c r="J55" s="36">
        <v>128</v>
      </c>
      <c r="K55" s="36">
        <v>130</v>
      </c>
      <c r="L55" s="35">
        <f t="shared" si="4"/>
        <v>-2</v>
      </c>
      <c r="M55" s="29"/>
      <c r="N55" s="30"/>
      <c r="O55" s="35"/>
      <c r="P55" s="35">
        <f t="shared" si="5"/>
        <v>0</v>
      </c>
      <c r="Q55" s="29"/>
      <c r="R55" s="28">
        <v>72</v>
      </c>
      <c r="S55" s="36">
        <v>71</v>
      </c>
      <c r="T55" s="35">
        <f t="shared" si="6"/>
        <v>1</v>
      </c>
      <c r="U55" s="29"/>
      <c r="V55" s="36">
        <v>8</v>
      </c>
      <c r="W55">
        <v>8</v>
      </c>
      <c r="X55" s="26">
        <v>0</v>
      </c>
      <c r="Y55" s="29"/>
      <c r="Z55" s="28">
        <v>48</v>
      </c>
      <c r="AA55">
        <v>48</v>
      </c>
      <c r="AB55" s="26">
        <v>0</v>
      </c>
      <c r="AC55" s="29"/>
      <c r="AD55">
        <v>16</v>
      </c>
      <c r="AE55">
        <v>16</v>
      </c>
      <c r="AF55" s="26">
        <v>0</v>
      </c>
      <c r="AG55" s="29"/>
      <c r="AH55" s="28">
        <v>24</v>
      </c>
      <c r="AI55">
        <v>23</v>
      </c>
      <c r="AJ55" s="26">
        <v>1</v>
      </c>
      <c r="AK55" s="29"/>
      <c r="AL55" s="30"/>
      <c r="AM55">
        <v>16</v>
      </c>
      <c r="AN55" s="26">
        <v>-16</v>
      </c>
      <c r="AO55" s="29"/>
      <c r="AR55" s="26">
        <v>0</v>
      </c>
      <c r="AS55" s="29"/>
      <c r="AT55" s="28">
        <v>24</v>
      </c>
      <c r="AU55">
        <v>24</v>
      </c>
      <c r="AW55">
        <v>26</v>
      </c>
      <c r="AX55" s="25">
        <v>-26</v>
      </c>
      <c r="AY55" s="29">
        <v>25.6</v>
      </c>
      <c r="AZ55" s="30"/>
      <c r="BB55" s="26">
        <v>0</v>
      </c>
      <c r="BC55" s="29"/>
      <c r="BH55" s="26">
        <v>0</v>
      </c>
      <c r="BI55" s="29"/>
      <c r="BJ55">
        <v>32</v>
      </c>
      <c r="BK55">
        <v>33</v>
      </c>
      <c r="BL55" s="26">
        <v>-1</v>
      </c>
      <c r="BM55" s="29"/>
      <c r="BN55" s="30"/>
      <c r="BP55" s="26">
        <v>0</v>
      </c>
      <c r="BQ55" s="29"/>
      <c r="BR55" s="30">
        <v>32</v>
      </c>
      <c r="BS55" s="26">
        <v>32</v>
      </c>
      <c r="BT55" s="26">
        <v>0</v>
      </c>
      <c r="BU55" s="29"/>
      <c r="BX55" s="26">
        <v>0</v>
      </c>
      <c r="BY55" s="29"/>
      <c r="BZ55" s="30"/>
      <c r="CC55" s="26">
        <v>0</v>
      </c>
      <c r="CD55" s="29"/>
      <c r="CE55" s="30"/>
      <c r="CI55" s="26">
        <v>0</v>
      </c>
      <c r="CJ55" s="29"/>
      <c r="CK55" s="30"/>
      <c r="CO55" s="32"/>
      <c r="CS55" s="29"/>
      <c r="CT55" s="34"/>
      <c r="CW55" s="29"/>
      <c r="CX55" s="30"/>
      <c r="DA55" s="29"/>
      <c r="DB55" s="30"/>
      <c r="DE55" s="29"/>
      <c r="DI55" s="29"/>
      <c r="DM55" s="29"/>
      <c r="DN55" s="30"/>
      <c r="DR55" s="29"/>
      <c r="DS55" s="28"/>
      <c r="DW55" s="29"/>
      <c r="EA55" s="29"/>
      <c r="EB55" s="30"/>
      <c r="EH55" s="29"/>
      <c r="EL55" s="29"/>
      <c r="EM55" s="30"/>
      <c r="EP55" s="27"/>
      <c r="ER55" s="29"/>
      <c r="EX55" s="29"/>
      <c r="EY55" s="31"/>
      <c r="FB55" s="29"/>
      <c r="FC55" s="30"/>
      <c r="FF55" s="29"/>
      <c r="FG55" s="28"/>
      <c r="FJ55" s="29"/>
      <c r="FN55" s="29"/>
      <c r="FO55" s="28"/>
      <c r="FR55" s="29"/>
      <c r="FS55" s="30"/>
      <c r="FV55" s="29"/>
      <c r="FZ55" s="32"/>
      <c r="GD55" s="29"/>
      <c r="GH55" s="32"/>
      <c r="GL55" s="29"/>
      <c r="GP55" s="32"/>
      <c r="GR55" s="27"/>
      <c r="GT55" s="29"/>
      <c r="GU55" s="34"/>
      <c r="GX55" s="32"/>
      <c r="HB55" s="32"/>
      <c r="HF55" s="32"/>
      <c r="HJ55" s="29"/>
      <c r="HK55" s="27"/>
      <c r="HM55" s="27"/>
      <c r="HP55" s="32"/>
      <c r="HQ55" s="31"/>
      <c r="HR55" s="31"/>
      <c r="HT55" s="32"/>
      <c r="HU55" s="31"/>
      <c r="HV55" s="31"/>
      <c r="HX55" s="32"/>
      <c r="HY55" s="34"/>
      <c r="HZ55" s="31"/>
      <c r="IB55" s="32"/>
    </row>
    <row r="56" spans="1:236" x14ac:dyDescent="0.25">
      <c r="A56" s="26" t="s">
        <v>183</v>
      </c>
      <c r="B56" s="27">
        <v>0.5</v>
      </c>
      <c r="I56" s="30"/>
      <c r="J56" s="35"/>
      <c r="K56" s="35"/>
      <c r="L56" s="35">
        <f t="shared" si="4"/>
        <v>0</v>
      </c>
      <c r="M56" s="29"/>
      <c r="N56" s="30"/>
      <c r="O56" s="35"/>
      <c r="P56" s="35">
        <f t="shared" si="5"/>
        <v>0</v>
      </c>
      <c r="Q56" s="29"/>
      <c r="R56" s="30"/>
      <c r="S56" s="35"/>
      <c r="T56" s="35">
        <f t="shared" si="6"/>
        <v>0</v>
      </c>
      <c r="U56" s="29"/>
      <c r="V56" s="35"/>
      <c r="X56" s="26">
        <v>0</v>
      </c>
      <c r="Y56" s="29"/>
      <c r="Z56" s="30"/>
      <c r="AB56" s="26">
        <v>0</v>
      </c>
      <c r="AC56" s="29"/>
      <c r="AF56" s="26">
        <v>0</v>
      </c>
      <c r="AG56" s="29"/>
      <c r="AH56" s="30"/>
      <c r="AJ56" s="26">
        <v>0</v>
      </c>
      <c r="AK56" s="29"/>
      <c r="AL56" s="30"/>
      <c r="AN56" s="26">
        <v>0</v>
      </c>
      <c r="AO56" s="29"/>
      <c r="AR56" s="26">
        <v>0</v>
      </c>
      <c r="AS56" s="29"/>
      <c r="AT56" s="30"/>
      <c r="AX56" s="26">
        <v>0</v>
      </c>
      <c r="AY56" s="29"/>
      <c r="AZ56" s="30"/>
      <c r="BB56" s="26">
        <v>0</v>
      </c>
      <c r="BC56" s="29"/>
      <c r="BH56" s="26">
        <v>0</v>
      </c>
      <c r="BI56" s="29"/>
      <c r="BL56" s="26">
        <v>0</v>
      </c>
      <c r="BM56" s="29"/>
      <c r="BN56" s="30"/>
      <c r="BP56" s="26">
        <v>0</v>
      </c>
      <c r="BQ56" s="29"/>
      <c r="BR56" s="30"/>
      <c r="BT56" s="26">
        <v>0</v>
      </c>
      <c r="BU56" s="29"/>
      <c r="BX56" s="26">
        <v>0</v>
      </c>
      <c r="BY56" s="29"/>
      <c r="BZ56" s="30"/>
      <c r="CC56" s="26">
        <v>0</v>
      </c>
      <c r="CD56" s="29"/>
      <c r="CE56" s="30"/>
      <c r="CI56" s="26">
        <v>0</v>
      </c>
      <c r="CJ56" s="29"/>
      <c r="CK56" s="30"/>
      <c r="CN56" s="26">
        <v>0</v>
      </c>
      <c r="CO56" s="29"/>
      <c r="CR56" s="26">
        <v>0</v>
      </c>
      <c r="CS56" s="29"/>
      <c r="CT56" s="34"/>
      <c r="CV56" s="26">
        <v>0</v>
      </c>
      <c r="CW56" s="29"/>
      <c r="CX56" s="30"/>
      <c r="CZ56" s="26">
        <v>0</v>
      </c>
      <c r="DA56" s="29"/>
      <c r="DB56" s="30"/>
      <c r="DD56" s="26">
        <v>0</v>
      </c>
      <c r="DE56" s="29"/>
      <c r="DH56" s="26">
        <v>0</v>
      </c>
      <c r="DI56" s="29"/>
      <c r="DL56" s="26">
        <v>0</v>
      </c>
      <c r="DM56" s="29"/>
      <c r="DN56" s="30"/>
      <c r="DQ56" s="26">
        <v>0</v>
      </c>
      <c r="DR56" s="29"/>
      <c r="DS56" s="30"/>
      <c r="DV56" s="26">
        <v>0</v>
      </c>
      <c r="DW56" s="29"/>
      <c r="DZ56" s="26">
        <v>0</v>
      </c>
      <c r="EA56" s="29"/>
      <c r="EB56" s="30"/>
      <c r="EG56" s="26">
        <v>0</v>
      </c>
      <c r="EH56" s="29"/>
      <c r="EK56" s="26">
        <v>0</v>
      </c>
      <c r="EL56" s="29"/>
      <c r="EM56" s="30"/>
      <c r="EQ56" s="26">
        <v>0</v>
      </c>
      <c r="ER56" s="29"/>
      <c r="EW56" s="26">
        <v>0</v>
      </c>
      <c r="EX56" s="29"/>
      <c r="FA56" s="26">
        <v>0</v>
      </c>
      <c r="FB56" s="29"/>
      <c r="FC56" s="30"/>
      <c r="FE56" s="26">
        <v>0</v>
      </c>
      <c r="FF56" s="29"/>
      <c r="FG56" s="30"/>
      <c r="FI56" s="26">
        <v>0</v>
      </c>
      <c r="FJ56" s="29"/>
      <c r="FM56" s="26">
        <v>0</v>
      </c>
      <c r="FN56" s="29"/>
      <c r="FO56" s="30"/>
      <c r="FQ56" s="26">
        <v>0</v>
      </c>
      <c r="FR56" s="29"/>
      <c r="FS56" s="30"/>
      <c r="FU56" s="26">
        <v>0</v>
      </c>
      <c r="FV56" s="29"/>
      <c r="FY56" s="26">
        <v>0</v>
      </c>
      <c r="FZ56" s="32"/>
      <c r="GC56" s="26">
        <v>0</v>
      </c>
      <c r="GD56" s="29"/>
      <c r="GG56" s="26">
        <v>0</v>
      </c>
      <c r="GH56" s="32"/>
      <c r="GK56" s="26">
        <v>0</v>
      </c>
      <c r="GL56" s="29"/>
      <c r="GO56" s="26">
        <v>0</v>
      </c>
      <c r="GP56" s="32"/>
      <c r="GS56" s="26">
        <v>0</v>
      </c>
      <c r="GT56" s="29"/>
      <c r="GU56" s="34"/>
      <c r="GW56" s="26">
        <v>0</v>
      </c>
      <c r="GX56" s="32"/>
      <c r="HA56" s="26">
        <v>0</v>
      </c>
      <c r="HB56" s="32"/>
      <c r="HE56" s="26">
        <v>0</v>
      </c>
      <c r="HF56" s="32"/>
      <c r="HI56" s="26">
        <v>0</v>
      </c>
      <c r="HJ56" s="29"/>
      <c r="HK56" s="27"/>
      <c r="HM56" s="27"/>
      <c r="HO56" s="26">
        <v>0</v>
      </c>
      <c r="HP56" s="32"/>
      <c r="HQ56" s="31">
        <v>0</v>
      </c>
      <c r="HR56" s="31">
        <v>0</v>
      </c>
      <c r="HS56" s="26">
        <v>0</v>
      </c>
      <c r="HT56" s="32"/>
      <c r="HU56" s="31">
        <v>0</v>
      </c>
      <c r="HV56" s="31">
        <v>0</v>
      </c>
      <c r="HW56" s="26">
        <v>0</v>
      </c>
      <c r="HX56" s="32"/>
      <c r="HY56" s="34">
        <v>0</v>
      </c>
      <c r="HZ56" s="31">
        <v>0</v>
      </c>
      <c r="IA56" s="26">
        <v>0</v>
      </c>
      <c r="IB56" s="32"/>
    </row>
    <row r="57" spans="1:236" x14ac:dyDescent="0.25">
      <c r="A57" s="26" t="s">
        <v>184</v>
      </c>
      <c r="B57" s="27">
        <v>0.4</v>
      </c>
      <c r="E57">
        <v>80</v>
      </c>
      <c r="F57">
        <v>82</v>
      </c>
      <c r="I57" s="30"/>
      <c r="J57" s="35"/>
      <c r="K57" s="35"/>
      <c r="L57" s="35">
        <f t="shared" si="4"/>
        <v>0</v>
      </c>
      <c r="M57" s="29"/>
      <c r="N57" s="30"/>
      <c r="O57" s="35"/>
      <c r="P57" s="35">
        <f t="shared" si="5"/>
        <v>0</v>
      </c>
      <c r="Q57" s="29"/>
      <c r="R57" s="28">
        <v>616</v>
      </c>
      <c r="S57" s="36">
        <v>620</v>
      </c>
      <c r="T57" s="35">
        <f t="shared" si="6"/>
        <v>-4</v>
      </c>
      <c r="U57" s="29"/>
      <c r="V57" s="36">
        <v>208</v>
      </c>
      <c r="W57">
        <v>208</v>
      </c>
      <c r="X57" s="26">
        <v>0</v>
      </c>
      <c r="Y57" s="29"/>
      <c r="Z57" s="28">
        <v>88</v>
      </c>
      <c r="AA57">
        <v>86</v>
      </c>
      <c r="AB57" s="26">
        <v>2</v>
      </c>
      <c r="AC57" s="29"/>
      <c r="AD57">
        <v>344</v>
      </c>
      <c r="AE57">
        <v>342</v>
      </c>
      <c r="AF57" s="26">
        <v>2</v>
      </c>
      <c r="AG57" s="29"/>
      <c r="AH57" s="28">
        <v>160</v>
      </c>
      <c r="AI57">
        <v>162</v>
      </c>
      <c r="AJ57" s="26">
        <v>-2</v>
      </c>
      <c r="AK57" s="29"/>
      <c r="AL57" s="28">
        <v>176</v>
      </c>
      <c r="AM57">
        <v>174</v>
      </c>
      <c r="AN57" s="26">
        <v>2</v>
      </c>
      <c r="AO57" s="29"/>
      <c r="AR57" s="26">
        <v>0</v>
      </c>
      <c r="AS57" s="29"/>
      <c r="AT57" s="30"/>
      <c r="AX57" s="26">
        <v>0</v>
      </c>
      <c r="AY57" s="29"/>
      <c r="AZ57" s="28">
        <v>232</v>
      </c>
      <c r="BA57">
        <v>232</v>
      </c>
      <c r="BB57" s="26">
        <v>0</v>
      </c>
      <c r="BC57" s="29"/>
      <c r="BF57">
        <v>32</v>
      </c>
      <c r="BG57">
        <v>31</v>
      </c>
      <c r="BH57" s="26">
        <v>1</v>
      </c>
      <c r="BI57" s="29"/>
      <c r="BL57" s="26">
        <v>0</v>
      </c>
      <c r="BM57" s="29"/>
      <c r="BN57" s="28">
        <v>152</v>
      </c>
      <c r="BO57">
        <v>150</v>
      </c>
      <c r="BP57" s="26">
        <v>2</v>
      </c>
      <c r="BQ57" s="29"/>
      <c r="BR57" s="28">
        <v>112</v>
      </c>
      <c r="BS57">
        <v>113</v>
      </c>
      <c r="BT57" s="26">
        <v>-1</v>
      </c>
      <c r="BU57" s="29"/>
      <c r="BV57">
        <v>16</v>
      </c>
      <c r="BW57">
        <v>14</v>
      </c>
      <c r="BX57" s="26">
        <v>2</v>
      </c>
      <c r="BY57" s="29"/>
      <c r="BZ57" s="28">
        <v>40</v>
      </c>
      <c r="CB57">
        <v>40</v>
      </c>
      <c r="CC57" s="26">
        <v>0</v>
      </c>
      <c r="CD57" s="29"/>
      <c r="CE57" s="30"/>
      <c r="CG57">
        <v>120</v>
      </c>
      <c r="CH57">
        <v>121</v>
      </c>
      <c r="CI57" s="26">
        <v>-1</v>
      </c>
      <c r="CJ57" s="29"/>
      <c r="CK57" s="30"/>
      <c r="CN57" s="26">
        <v>0</v>
      </c>
      <c r="CO57" s="29"/>
      <c r="CP57">
        <v>184</v>
      </c>
      <c r="CQ57" s="26">
        <v>183.6</v>
      </c>
      <c r="CR57" s="26">
        <v>0.40000000000000568</v>
      </c>
      <c r="CS57" s="29"/>
      <c r="CT57" s="34"/>
      <c r="CV57" s="26">
        <v>0</v>
      </c>
      <c r="CW57" s="29"/>
      <c r="CX57" s="28">
        <v>64</v>
      </c>
      <c r="CY57" s="26">
        <v>67.400000000000006</v>
      </c>
      <c r="CZ57" s="26">
        <v>-3.4000000000000061</v>
      </c>
      <c r="DA57" s="29"/>
      <c r="DB57" s="30"/>
      <c r="DD57" s="26">
        <v>0</v>
      </c>
      <c r="DE57" s="29"/>
      <c r="DF57">
        <v>120</v>
      </c>
      <c r="DG57" s="31">
        <v>122</v>
      </c>
      <c r="DH57" s="26">
        <v>-2</v>
      </c>
      <c r="DI57" s="29"/>
      <c r="DL57" s="26">
        <v>0</v>
      </c>
      <c r="DM57" s="29"/>
      <c r="DN57" s="30"/>
      <c r="DQ57" s="26">
        <v>0</v>
      </c>
      <c r="DR57" s="29"/>
      <c r="DS57" s="28">
        <v>96</v>
      </c>
      <c r="DU57">
        <v>98</v>
      </c>
      <c r="DV57" s="26">
        <v>-2</v>
      </c>
      <c r="DW57" s="29"/>
      <c r="DX57">
        <v>112</v>
      </c>
      <c r="DY57" s="31">
        <v>113.6</v>
      </c>
      <c r="DZ57" s="26">
        <v>-1.5999999999999941</v>
      </c>
      <c r="EA57" s="29"/>
      <c r="EB57" s="30"/>
      <c r="EE57">
        <v>56</v>
      </c>
      <c r="EF57">
        <v>54</v>
      </c>
      <c r="EG57" s="26">
        <v>2</v>
      </c>
      <c r="EH57" s="29"/>
      <c r="EI57">
        <v>104</v>
      </c>
      <c r="EJ57" s="31">
        <v>101.6</v>
      </c>
      <c r="EK57" s="26">
        <v>2.4000000000000061</v>
      </c>
      <c r="EL57" s="29"/>
      <c r="EM57" s="30"/>
      <c r="EO57">
        <v>40</v>
      </c>
      <c r="EP57">
        <v>40</v>
      </c>
      <c r="EQ57" s="26">
        <v>0</v>
      </c>
      <c r="ER57" s="29"/>
      <c r="EU57">
        <v>40</v>
      </c>
      <c r="EV57">
        <v>40</v>
      </c>
      <c r="EW57" s="26">
        <v>0</v>
      </c>
      <c r="EX57" s="29"/>
      <c r="EY57">
        <v>80</v>
      </c>
      <c r="EZ57" s="31">
        <v>80</v>
      </c>
      <c r="FA57" s="26">
        <v>0</v>
      </c>
      <c r="FB57" s="29"/>
      <c r="FC57" s="28">
        <v>40</v>
      </c>
      <c r="FD57">
        <v>41</v>
      </c>
      <c r="FE57" s="26">
        <v>-1</v>
      </c>
      <c r="FF57" s="29"/>
      <c r="FG57" s="30"/>
      <c r="FI57" s="26">
        <v>0</v>
      </c>
      <c r="FJ57" s="29"/>
      <c r="FK57">
        <v>40</v>
      </c>
      <c r="FL57">
        <v>40</v>
      </c>
      <c r="FM57" s="26">
        <v>0</v>
      </c>
      <c r="FN57" s="29"/>
      <c r="FO57" s="28">
        <v>64</v>
      </c>
      <c r="FP57">
        <v>65</v>
      </c>
      <c r="FQ57" s="26">
        <v>-1</v>
      </c>
      <c r="FR57" s="29"/>
      <c r="FS57" s="30"/>
      <c r="FU57" s="26">
        <v>0</v>
      </c>
      <c r="FV57" s="29"/>
      <c r="FY57" s="26">
        <v>0</v>
      </c>
      <c r="FZ57" s="32"/>
      <c r="GA57">
        <v>56</v>
      </c>
      <c r="GB57">
        <v>56</v>
      </c>
      <c r="GC57" s="26">
        <v>0</v>
      </c>
      <c r="GD57" s="29"/>
      <c r="GE57">
        <v>56</v>
      </c>
      <c r="GF57">
        <v>57.2</v>
      </c>
      <c r="GG57" s="26">
        <v>-1.2000000000000031</v>
      </c>
      <c r="GH57" s="32"/>
      <c r="GI57">
        <v>64</v>
      </c>
      <c r="GJ57">
        <v>64</v>
      </c>
      <c r="GK57" s="26">
        <v>0</v>
      </c>
      <c r="GL57" s="29"/>
      <c r="GM57">
        <v>48</v>
      </c>
      <c r="GN57">
        <v>50</v>
      </c>
      <c r="GO57" s="26">
        <v>-2</v>
      </c>
      <c r="GP57" s="32"/>
      <c r="GS57" s="26">
        <v>0</v>
      </c>
      <c r="GT57" s="29"/>
      <c r="GU57" s="34"/>
      <c r="GW57" s="26">
        <v>0</v>
      </c>
      <c r="GX57" s="32"/>
      <c r="GY57">
        <v>40</v>
      </c>
      <c r="GZ57">
        <v>40</v>
      </c>
      <c r="HA57" s="26">
        <v>0</v>
      </c>
      <c r="HB57" s="32"/>
      <c r="HE57" s="26">
        <v>0</v>
      </c>
      <c r="HF57" s="32"/>
      <c r="HI57" s="26">
        <v>0</v>
      </c>
      <c r="HJ57" s="29"/>
      <c r="HK57">
        <v>56</v>
      </c>
      <c r="HL57">
        <v>60</v>
      </c>
      <c r="HM57">
        <v>48</v>
      </c>
      <c r="HN57">
        <v>50</v>
      </c>
      <c r="HO57" s="26">
        <v>-6</v>
      </c>
      <c r="HP57" s="32"/>
      <c r="HQ57" s="31">
        <v>0</v>
      </c>
      <c r="HR57" s="31">
        <v>0</v>
      </c>
      <c r="HS57" s="26">
        <v>0</v>
      </c>
      <c r="HT57" s="32"/>
      <c r="HU57" s="31">
        <v>88</v>
      </c>
      <c r="HV57" s="31">
        <v>86.399999999999991</v>
      </c>
      <c r="HW57" s="26">
        <v>1.600000000000009</v>
      </c>
      <c r="HX57" s="32"/>
      <c r="HY57" s="34">
        <v>8</v>
      </c>
      <c r="HZ57" s="31">
        <v>10</v>
      </c>
      <c r="IA57" s="26">
        <v>-2</v>
      </c>
      <c r="IB57" s="32"/>
    </row>
    <row r="58" spans="1:236" x14ac:dyDescent="0.25">
      <c r="A58" s="26" t="s">
        <v>185</v>
      </c>
      <c r="B58" s="27">
        <v>0.5</v>
      </c>
      <c r="I58" s="30"/>
      <c r="J58" s="35"/>
      <c r="K58" s="35"/>
      <c r="L58" s="35">
        <f t="shared" si="4"/>
        <v>0</v>
      </c>
      <c r="M58" s="29"/>
      <c r="N58" s="30"/>
      <c r="O58" s="35"/>
      <c r="P58" s="35">
        <f t="shared" si="5"/>
        <v>0</v>
      </c>
      <c r="Q58" s="29"/>
      <c r="R58" s="30"/>
      <c r="S58" s="35"/>
      <c r="T58" s="35">
        <f t="shared" si="6"/>
        <v>0</v>
      </c>
      <c r="U58" s="29"/>
      <c r="V58" s="35"/>
      <c r="X58" s="26">
        <v>0</v>
      </c>
      <c r="Y58" s="29"/>
      <c r="Z58" s="30"/>
      <c r="AB58" s="26">
        <v>0</v>
      </c>
      <c r="AC58" s="29"/>
      <c r="AF58" s="26">
        <v>0</v>
      </c>
      <c r="AG58" s="29"/>
      <c r="AH58" s="30"/>
      <c r="AJ58" s="26">
        <v>0</v>
      </c>
      <c r="AK58" s="29"/>
      <c r="AL58" s="30"/>
      <c r="AN58" s="26">
        <v>0</v>
      </c>
      <c r="AO58" s="29"/>
      <c r="AR58" s="26">
        <v>0</v>
      </c>
      <c r="AS58" s="29"/>
      <c r="AT58" s="30"/>
      <c r="AX58" s="26">
        <v>0</v>
      </c>
      <c r="AY58" s="29"/>
      <c r="AZ58" s="30"/>
      <c r="BB58" s="26">
        <v>0</v>
      </c>
      <c r="BC58" s="29"/>
      <c r="BH58" s="26">
        <v>0</v>
      </c>
      <c r="BI58" s="29"/>
      <c r="BL58" s="26">
        <v>0</v>
      </c>
      <c r="BM58" s="29"/>
      <c r="BN58" s="30"/>
      <c r="BP58" s="26">
        <v>0</v>
      </c>
      <c r="BQ58" s="29"/>
      <c r="BR58" s="30"/>
      <c r="BT58" s="26">
        <v>0</v>
      </c>
      <c r="BU58" s="29"/>
      <c r="BX58" s="26">
        <v>0</v>
      </c>
      <c r="BY58" s="29"/>
      <c r="BZ58" s="30"/>
      <c r="CC58" s="26">
        <v>0</v>
      </c>
      <c r="CD58" s="29"/>
      <c r="CE58" s="30"/>
      <c r="CI58" s="26">
        <v>0</v>
      </c>
      <c r="CJ58" s="29"/>
      <c r="CK58" s="30"/>
      <c r="CN58" s="26">
        <v>0</v>
      </c>
      <c r="CO58" s="29"/>
      <c r="CR58" s="26">
        <v>0</v>
      </c>
      <c r="CS58" s="29"/>
      <c r="CT58" s="34"/>
      <c r="CV58" s="26">
        <v>0</v>
      </c>
      <c r="CW58" s="29"/>
      <c r="CX58" s="30"/>
      <c r="CZ58" s="26">
        <v>0</v>
      </c>
      <c r="DA58" s="29"/>
      <c r="DB58" s="30"/>
      <c r="DD58" s="26">
        <v>0</v>
      </c>
      <c r="DE58" s="29"/>
      <c r="DH58" s="26">
        <v>0</v>
      </c>
      <c r="DI58" s="29"/>
      <c r="DL58" s="26">
        <v>0</v>
      </c>
      <c r="DM58" s="29"/>
      <c r="DN58" s="30"/>
      <c r="DQ58" s="26">
        <v>0</v>
      </c>
      <c r="DR58" s="29"/>
      <c r="DS58" s="30"/>
      <c r="DV58" s="26">
        <v>0</v>
      </c>
      <c r="DW58" s="29"/>
      <c r="DZ58" s="26">
        <v>0</v>
      </c>
      <c r="EA58" s="29"/>
      <c r="EB58" s="30"/>
      <c r="EG58" s="26">
        <v>0</v>
      </c>
      <c r="EH58" s="29"/>
      <c r="EK58" s="26">
        <v>0</v>
      </c>
      <c r="EL58" s="29"/>
      <c r="EM58" s="30"/>
      <c r="EQ58" s="26">
        <v>0</v>
      </c>
      <c r="ER58" s="29"/>
      <c r="EW58" s="26">
        <v>0</v>
      </c>
      <c r="EX58" s="29"/>
      <c r="EY58">
        <v>16</v>
      </c>
      <c r="EZ58" s="31">
        <v>16</v>
      </c>
      <c r="FA58" s="26">
        <v>0</v>
      </c>
      <c r="FB58" s="29"/>
      <c r="FC58" s="30"/>
      <c r="FE58" s="26">
        <v>0</v>
      </c>
      <c r="FF58" s="29"/>
      <c r="FG58" s="30"/>
      <c r="FI58" s="26">
        <v>0</v>
      </c>
      <c r="FJ58" s="29"/>
      <c r="FK58">
        <v>8</v>
      </c>
      <c r="FL58">
        <v>9</v>
      </c>
      <c r="FM58" s="26">
        <v>-1</v>
      </c>
      <c r="FN58" s="29"/>
      <c r="FO58" s="30"/>
      <c r="FQ58" s="26">
        <v>0</v>
      </c>
      <c r="FR58" s="29"/>
      <c r="FS58" s="28">
        <v>8</v>
      </c>
      <c r="FT58">
        <v>10</v>
      </c>
      <c r="FU58" s="26">
        <v>-2</v>
      </c>
      <c r="FV58" s="29"/>
      <c r="FY58" s="26">
        <v>0</v>
      </c>
      <c r="FZ58" s="32"/>
      <c r="GA58">
        <v>8</v>
      </c>
      <c r="GB58">
        <v>8</v>
      </c>
      <c r="GC58" s="26">
        <v>0</v>
      </c>
      <c r="GD58" s="29"/>
      <c r="GG58" s="26">
        <v>0</v>
      </c>
      <c r="GH58" s="32"/>
      <c r="GK58" s="26">
        <v>0</v>
      </c>
      <c r="GL58" s="29"/>
      <c r="GO58" s="26">
        <v>0</v>
      </c>
      <c r="GP58" s="32"/>
      <c r="GS58" s="26">
        <v>0</v>
      </c>
      <c r="GT58" s="29"/>
      <c r="GU58" s="34"/>
      <c r="GW58" s="26">
        <v>0</v>
      </c>
      <c r="GX58" s="32"/>
      <c r="HA58" s="26">
        <v>0</v>
      </c>
      <c r="HB58" s="32"/>
      <c r="HC58">
        <v>8</v>
      </c>
      <c r="HD58">
        <v>8</v>
      </c>
      <c r="HE58" s="26">
        <v>0</v>
      </c>
      <c r="HF58" s="32"/>
      <c r="HI58" s="26">
        <v>0</v>
      </c>
      <c r="HJ58" s="29"/>
      <c r="HK58">
        <v>8</v>
      </c>
      <c r="HL58">
        <v>8</v>
      </c>
      <c r="HM58" s="27"/>
      <c r="HO58" s="26">
        <v>0</v>
      </c>
      <c r="HP58" s="32"/>
      <c r="HT58" s="32"/>
      <c r="HX58" s="32"/>
      <c r="HY58" s="34"/>
      <c r="IB58" s="32"/>
    </row>
    <row r="59" spans="1:236" x14ac:dyDescent="0.25">
      <c r="A59" s="26" t="s">
        <v>186</v>
      </c>
      <c r="B59" s="27">
        <v>0.5</v>
      </c>
      <c r="I59" s="30"/>
      <c r="J59" s="35"/>
      <c r="K59" s="35"/>
      <c r="L59" s="35">
        <f t="shared" si="4"/>
        <v>0</v>
      </c>
      <c r="M59" s="29"/>
      <c r="N59" s="30"/>
      <c r="O59" s="35"/>
      <c r="P59" s="35">
        <f t="shared" si="5"/>
        <v>0</v>
      </c>
      <c r="Q59" s="29"/>
      <c r="R59" s="30"/>
      <c r="S59" s="35"/>
      <c r="T59" s="35">
        <f t="shared" si="6"/>
        <v>0</v>
      </c>
      <c r="U59" s="29"/>
      <c r="V59" s="35"/>
      <c r="X59" s="26">
        <v>0</v>
      </c>
      <c r="Y59" s="29"/>
      <c r="Z59" s="30"/>
      <c r="AB59" s="26">
        <v>0</v>
      </c>
      <c r="AC59" s="29"/>
      <c r="AF59" s="26">
        <v>0</v>
      </c>
      <c r="AG59" s="29"/>
      <c r="AH59" s="30"/>
      <c r="AJ59" s="26">
        <v>0</v>
      </c>
      <c r="AK59" s="29"/>
      <c r="AL59" s="30"/>
      <c r="AN59" s="26">
        <v>0</v>
      </c>
      <c r="AO59" s="29"/>
      <c r="AR59" s="26">
        <v>0</v>
      </c>
      <c r="AS59" s="29"/>
      <c r="AT59" s="30"/>
      <c r="AX59" s="26">
        <v>0</v>
      </c>
      <c r="AY59" s="29"/>
      <c r="AZ59" s="30"/>
      <c r="BB59" s="26">
        <v>0</v>
      </c>
      <c r="BC59" s="29"/>
      <c r="BH59" s="26">
        <v>0</v>
      </c>
      <c r="BI59" s="29"/>
      <c r="BL59" s="26">
        <v>0</v>
      </c>
      <c r="BM59" s="29"/>
      <c r="BN59" s="30"/>
      <c r="BP59" s="26">
        <v>0</v>
      </c>
      <c r="BQ59" s="29"/>
      <c r="BR59" s="30"/>
      <c r="BT59" s="26">
        <v>0</v>
      </c>
      <c r="BU59" s="29"/>
      <c r="BX59" s="26">
        <v>0</v>
      </c>
      <c r="BY59" s="29"/>
      <c r="BZ59" s="30"/>
      <c r="CC59" s="26">
        <v>0</v>
      </c>
      <c r="CD59" s="29"/>
      <c r="CE59" s="30"/>
      <c r="CI59" s="26">
        <v>0</v>
      </c>
      <c r="CJ59" s="29"/>
      <c r="CK59" s="30"/>
      <c r="CN59" s="26">
        <v>0</v>
      </c>
      <c r="CO59" s="29"/>
      <c r="CR59" s="26">
        <v>0</v>
      </c>
      <c r="CS59" s="29"/>
      <c r="CT59" s="34"/>
      <c r="CV59" s="26">
        <v>0</v>
      </c>
      <c r="CW59" s="29"/>
      <c r="CX59" s="30"/>
      <c r="CZ59" s="26">
        <v>0</v>
      </c>
      <c r="DA59" s="29"/>
      <c r="DB59" s="30"/>
      <c r="DD59" s="26">
        <v>0</v>
      </c>
      <c r="DE59" s="29"/>
      <c r="DH59" s="26">
        <v>0</v>
      </c>
      <c r="DI59" s="29"/>
      <c r="DL59" s="26">
        <v>0</v>
      </c>
      <c r="DM59" s="29"/>
      <c r="DN59" s="30"/>
      <c r="DQ59" s="26">
        <v>0</v>
      </c>
      <c r="DR59" s="29"/>
      <c r="DS59" s="30"/>
      <c r="DV59" s="26">
        <v>0</v>
      </c>
      <c r="DW59" s="29"/>
      <c r="DZ59" s="26">
        <v>0</v>
      </c>
      <c r="EA59" s="29"/>
      <c r="EB59" s="30"/>
      <c r="EG59" s="26">
        <v>0</v>
      </c>
      <c r="EH59" s="29"/>
      <c r="EK59" s="26">
        <v>0</v>
      </c>
      <c r="EL59" s="29"/>
      <c r="EM59" s="30"/>
      <c r="EQ59" s="26">
        <v>0</v>
      </c>
      <c r="ER59" s="29"/>
      <c r="EW59" s="26">
        <v>0</v>
      </c>
      <c r="EX59" s="29"/>
      <c r="FA59" s="26">
        <v>0</v>
      </c>
      <c r="FB59" s="29"/>
      <c r="FC59" s="30"/>
      <c r="FE59" s="26">
        <v>0</v>
      </c>
      <c r="FF59" s="29"/>
      <c r="FG59" s="30"/>
      <c r="FI59" s="26">
        <v>0</v>
      </c>
      <c r="FJ59" s="29"/>
      <c r="FM59" s="26">
        <v>0</v>
      </c>
      <c r="FN59" s="29"/>
      <c r="FO59" s="30"/>
      <c r="FQ59" s="26">
        <v>0</v>
      </c>
      <c r="FR59" s="29"/>
      <c r="FS59" s="30"/>
      <c r="FU59" s="26">
        <v>0</v>
      </c>
      <c r="FV59" s="29"/>
      <c r="FY59" s="26">
        <v>0</v>
      </c>
      <c r="FZ59" s="32"/>
      <c r="GC59" s="26">
        <v>0</v>
      </c>
      <c r="GD59" s="29"/>
      <c r="GG59" s="26">
        <v>0</v>
      </c>
      <c r="GH59" s="32"/>
      <c r="GK59" s="26">
        <v>0</v>
      </c>
      <c r="GL59" s="29"/>
      <c r="GO59" s="26">
        <v>0</v>
      </c>
      <c r="GP59" s="32"/>
      <c r="GS59" s="26">
        <v>0</v>
      </c>
      <c r="GT59" s="29"/>
      <c r="GU59" s="34"/>
      <c r="GW59" s="26">
        <v>0</v>
      </c>
      <c r="GX59" s="32"/>
      <c r="HA59" s="26">
        <v>0</v>
      </c>
      <c r="HB59" s="32"/>
      <c r="HE59" s="26">
        <v>0</v>
      </c>
      <c r="HF59" s="32"/>
      <c r="HI59" s="26">
        <v>0</v>
      </c>
      <c r="HJ59" s="29"/>
      <c r="HK59" s="27"/>
      <c r="HM59" s="27"/>
      <c r="HO59" s="26">
        <v>0</v>
      </c>
      <c r="HP59" s="32"/>
      <c r="HQ59" s="31">
        <v>0</v>
      </c>
      <c r="HR59" s="31">
        <v>0</v>
      </c>
      <c r="HS59" s="26">
        <v>0</v>
      </c>
      <c r="HT59" s="32"/>
      <c r="HU59" s="31">
        <v>0</v>
      </c>
      <c r="HV59" s="31">
        <v>0</v>
      </c>
      <c r="HW59" s="26">
        <v>0</v>
      </c>
      <c r="HX59" s="32"/>
      <c r="HY59" s="34">
        <v>0</v>
      </c>
      <c r="HZ59" s="31">
        <v>0</v>
      </c>
      <c r="IA59" s="26">
        <v>0</v>
      </c>
      <c r="IB59" s="32"/>
    </row>
    <row r="60" spans="1:236" x14ac:dyDescent="0.25">
      <c r="A60" s="26" t="s">
        <v>187</v>
      </c>
      <c r="B60" s="27">
        <v>0.4</v>
      </c>
      <c r="E60">
        <v>72</v>
      </c>
      <c r="F60">
        <v>79</v>
      </c>
      <c r="I60" s="30"/>
      <c r="J60" s="35"/>
      <c r="K60" s="35"/>
      <c r="L60" s="35">
        <f t="shared" si="4"/>
        <v>0</v>
      </c>
      <c r="M60" s="29"/>
      <c r="N60" s="28">
        <v>112</v>
      </c>
      <c r="O60" s="36">
        <v>130</v>
      </c>
      <c r="P60" s="40">
        <f t="shared" si="5"/>
        <v>-18</v>
      </c>
      <c r="Q60" s="29">
        <f>-1*P60*B60</f>
        <v>7.2</v>
      </c>
      <c r="R60" s="30"/>
      <c r="S60" s="35"/>
      <c r="T60" s="35">
        <f t="shared" si="6"/>
        <v>0</v>
      </c>
      <c r="U60" s="29"/>
      <c r="V60" s="36">
        <v>120</v>
      </c>
      <c r="W60">
        <v>125</v>
      </c>
      <c r="X60" s="26">
        <v>-5</v>
      </c>
      <c r="Y60" s="29"/>
      <c r="Z60" s="28">
        <v>16</v>
      </c>
      <c r="AA60">
        <v>16</v>
      </c>
      <c r="AB60" s="26">
        <v>0</v>
      </c>
      <c r="AC60" s="29"/>
      <c r="AD60">
        <v>64</v>
      </c>
      <c r="AE60">
        <v>65</v>
      </c>
      <c r="AF60" s="26">
        <v>-1</v>
      </c>
      <c r="AG60" s="29"/>
      <c r="AH60" s="30"/>
      <c r="AI60">
        <v>27</v>
      </c>
      <c r="AJ60" s="25">
        <v>-27</v>
      </c>
      <c r="AK60" s="29">
        <v>10.8</v>
      </c>
      <c r="AL60" s="28">
        <v>40</v>
      </c>
      <c r="AM60">
        <v>40</v>
      </c>
      <c r="AN60" s="26">
        <v>0</v>
      </c>
      <c r="AO60" s="29"/>
      <c r="AR60" s="26">
        <v>0</v>
      </c>
      <c r="AS60" s="29"/>
      <c r="AT60" s="28">
        <v>40</v>
      </c>
      <c r="AU60">
        <v>40</v>
      </c>
      <c r="AW60">
        <v>50</v>
      </c>
      <c r="AX60" s="25">
        <v>-50</v>
      </c>
      <c r="AY60" s="29">
        <v>49.6</v>
      </c>
      <c r="AZ60" s="28">
        <v>16</v>
      </c>
      <c r="BA60">
        <v>14</v>
      </c>
      <c r="BB60" s="26">
        <v>2</v>
      </c>
      <c r="BC60" s="29"/>
      <c r="BH60" s="26">
        <v>0</v>
      </c>
      <c r="BI60" s="29"/>
      <c r="BJ60">
        <v>40</v>
      </c>
      <c r="BK60">
        <v>43</v>
      </c>
      <c r="BL60" s="26">
        <v>-3</v>
      </c>
      <c r="BM60" s="29"/>
      <c r="BN60" s="30"/>
      <c r="BP60" s="26">
        <v>0</v>
      </c>
      <c r="BQ60" s="29"/>
      <c r="BR60" s="28">
        <v>88</v>
      </c>
      <c r="BS60">
        <v>87</v>
      </c>
      <c r="BT60" s="26">
        <v>1</v>
      </c>
      <c r="BU60" s="29"/>
      <c r="BV60">
        <v>8</v>
      </c>
      <c r="BW60">
        <v>8</v>
      </c>
      <c r="BX60" s="26">
        <v>0</v>
      </c>
      <c r="BY60" s="29"/>
      <c r="BZ60" s="30"/>
      <c r="CC60" s="26">
        <v>0</v>
      </c>
      <c r="CD60" s="29"/>
      <c r="CE60" s="30"/>
      <c r="CG60">
        <v>104</v>
      </c>
      <c r="CH60">
        <v>106</v>
      </c>
      <c r="CI60" s="26">
        <v>-2</v>
      </c>
      <c r="CJ60" s="29"/>
      <c r="CK60" s="30"/>
      <c r="CM60">
        <v>84</v>
      </c>
      <c r="CN60" s="25">
        <v>-84</v>
      </c>
      <c r="CO60" s="29">
        <v>33.6</v>
      </c>
      <c r="CP60">
        <v>80</v>
      </c>
      <c r="CQ60" s="26">
        <v>82</v>
      </c>
      <c r="CR60" s="26">
        <v>-2</v>
      </c>
      <c r="CS60" s="29"/>
      <c r="CT60" s="28">
        <v>56</v>
      </c>
      <c r="CU60" s="26">
        <v>58</v>
      </c>
      <c r="CV60" s="26">
        <v>-2</v>
      </c>
      <c r="CW60" s="29"/>
      <c r="CX60" s="30"/>
      <c r="CZ60" s="26">
        <v>0</v>
      </c>
      <c r="DA60" s="29"/>
      <c r="DB60" s="30"/>
      <c r="DD60" s="26">
        <v>0</v>
      </c>
      <c r="DE60" s="29"/>
      <c r="DF60">
        <v>104</v>
      </c>
      <c r="DG60" s="31">
        <v>106.6</v>
      </c>
      <c r="DH60" s="26">
        <v>-2.5999999999999939</v>
      </c>
      <c r="DI60" s="29"/>
      <c r="DL60" s="26">
        <v>0</v>
      </c>
      <c r="DM60" s="29"/>
      <c r="DN60" s="30"/>
      <c r="DQ60" s="26">
        <v>0</v>
      </c>
      <c r="DR60" s="29"/>
      <c r="DS60" s="28">
        <v>80</v>
      </c>
      <c r="DU60">
        <v>78</v>
      </c>
      <c r="DV60" s="26">
        <v>2</v>
      </c>
      <c r="DW60" s="29"/>
      <c r="DZ60" s="26">
        <v>0</v>
      </c>
      <c r="EA60" s="29"/>
      <c r="EB60" s="30"/>
      <c r="EC60">
        <v>48</v>
      </c>
      <c r="ED60">
        <v>60</v>
      </c>
      <c r="EE60">
        <v>64</v>
      </c>
      <c r="EF60">
        <v>62</v>
      </c>
      <c r="EG60" s="25">
        <v>-10</v>
      </c>
      <c r="EH60" s="29">
        <v>4</v>
      </c>
      <c r="EI60">
        <v>8</v>
      </c>
      <c r="EJ60" s="31">
        <v>9.6000000000000085</v>
      </c>
      <c r="EK60" s="26">
        <v>-1.600000000000009</v>
      </c>
      <c r="EL60" s="29"/>
      <c r="EM60" s="30"/>
      <c r="EO60">
        <v>80</v>
      </c>
      <c r="EP60">
        <v>83</v>
      </c>
      <c r="EQ60" s="26">
        <v>-3</v>
      </c>
      <c r="ER60" s="29"/>
      <c r="EU60">
        <v>8</v>
      </c>
      <c r="EV60">
        <v>8</v>
      </c>
      <c r="EW60" s="26">
        <v>0</v>
      </c>
      <c r="EX60" s="29"/>
      <c r="EY60">
        <v>64</v>
      </c>
      <c r="EZ60" s="31">
        <v>64</v>
      </c>
      <c r="FA60" s="26">
        <v>0</v>
      </c>
      <c r="FB60" s="29"/>
      <c r="FC60" s="28">
        <v>8</v>
      </c>
      <c r="FD60">
        <v>7</v>
      </c>
      <c r="FE60" s="26">
        <v>1</v>
      </c>
      <c r="FF60" s="29"/>
      <c r="FG60" s="30"/>
      <c r="FI60" s="26">
        <v>0</v>
      </c>
      <c r="FJ60" s="29"/>
      <c r="FK60">
        <v>72</v>
      </c>
      <c r="FL60">
        <v>72</v>
      </c>
      <c r="FM60" s="26">
        <v>0</v>
      </c>
      <c r="FN60" s="29"/>
      <c r="FO60" s="28">
        <v>24</v>
      </c>
      <c r="FP60">
        <v>24</v>
      </c>
      <c r="FQ60" s="26">
        <v>0</v>
      </c>
      <c r="FR60" s="29"/>
      <c r="FS60" s="30"/>
      <c r="FU60" s="26">
        <v>0</v>
      </c>
      <c r="FV60" s="29"/>
      <c r="FW60">
        <v>40</v>
      </c>
      <c r="FX60">
        <v>40</v>
      </c>
      <c r="FY60" s="26">
        <v>0</v>
      </c>
      <c r="FZ60" s="32"/>
      <c r="GA60">
        <v>16</v>
      </c>
      <c r="GB60">
        <v>17</v>
      </c>
      <c r="GC60" s="26">
        <v>-1</v>
      </c>
      <c r="GD60" s="29"/>
      <c r="GG60" s="26">
        <v>0</v>
      </c>
      <c r="GH60" s="32"/>
      <c r="GI60">
        <v>56</v>
      </c>
      <c r="GJ60">
        <v>56</v>
      </c>
      <c r="GK60" s="26">
        <v>0</v>
      </c>
      <c r="GL60" s="29"/>
      <c r="GM60">
        <v>8</v>
      </c>
      <c r="GN60">
        <v>8</v>
      </c>
      <c r="GO60" s="26">
        <v>0</v>
      </c>
      <c r="GP60" s="32"/>
      <c r="GS60" s="26">
        <v>0</v>
      </c>
      <c r="GT60" s="29"/>
      <c r="GU60" s="28">
        <v>40</v>
      </c>
      <c r="GV60" s="31">
        <v>40</v>
      </c>
      <c r="GW60" s="26">
        <v>0</v>
      </c>
      <c r="GX60" s="32"/>
      <c r="GY60">
        <v>8</v>
      </c>
      <c r="GZ60">
        <v>6</v>
      </c>
      <c r="HA60" s="26">
        <v>2</v>
      </c>
      <c r="HB60" s="32"/>
      <c r="HE60" s="26">
        <v>0</v>
      </c>
      <c r="HF60" s="32"/>
      <c r="HI60" s="26">
        <v>0</v>
      </c>
      <c r="HJ60" s="29"/>
      <c r="HK60">
        <v>32</v>
      </c>
      <c r="HL60">
        <v>32</v>
      </c>
      <c r="HM60">
        <v>24</v>
      </c>
      <c r="HN60">
        <v>28</v>
      </c>
      <c r="HO60" s="26">
        <v>-4</v>
      </c>
      <c r="HP60" s="32"/>
      <c r="HQ60" s="31">
        <v>0</v>
      </c>
      <c r="HR60" s="31">
        <v>0</v>
      </c>
      <c r="HS60" s="26">
        <v>0</v>
      </c>
      <c r="HT60" s="32"/>
      <c r="HU60" s="31">
        <v>24</v>
      </c>
      <c r="HV60" s="31">
        <v>24</v>
      </c>
      <c r="HW60" s="26">
        <v>0</v>
      </c>
      <c r="HX60" s="32"/>
      <c r="HY60" s="34">
        <v>0</v>
      </c>
      <c r="HZ60" s="31">
        <v>0</v>
      </c>
      <c r="IA60" s="26">
        <v>0</v>
      </c>
      <c r="IB60" s="32"/>
    </row>
    <row r="61" spans="1:236" x14ac:dyDescent="0.25">
      <c r="A61" s="26" t="s">
        <v>188</v>
      </c>
      <c r="B61" s="27">
        <v>0.4</v>
      </c>
      <c r="E61">
        <v>64</v>
      </c>
      <c r="F61">
        <v>16</v>
      </c>
      <c r="I61" s="30"/>
      <c r="J61" s="36">
        <v>72</v>
      </c>
      <c r="K61" s="36">
        <v>72</v>
      </c>
      <c r="L61" s="35">
        <f t="shared" si="4"/>
        <v>0</v>
      </c>
      <c r="M61" s="29"/>
      <c r="N61" s="30"/>
      <c r="O61" s="35"/>
      <c r="P61" s="35">
        <f t="shared" si="5"/>
        <v>0</v>
      </c>
      <c r="Q61" s="29"/>
      <c r="R61" s="28">
        <v>480</v>
      </c>
      <c r="S61" s="36">
        <v>480</v>
      </c>
      <c r="T61" s="35">
        <f t="shared" si="6"/>
        <v>0</v>
      </c>
      <c r="U61" s="29"/>
      <c r="V61" s="36">
        <v>216</v>
      </c>
      <c r="W61">
        <v>215</v>
      </c>
      <c r="X61" s="26">
        <v>1</v>
      </c>
      <c r="Y61" s="29"/>
      <c r="Z61" s="28">
        <v>104</v>
      </c>
      <c r="AA61">
        <v>107</v>
      </c>
      <c r="AB61" s="26">
        <v>-3</v>
      </c>
      <c r="AC61" s="29"/>
      <c r="AD61">
        <v>176</v>
      </c>
      <c r="AE61">
        <v>178</v>
      </c>
      <c r="AF61" s="26">
        <v>-2</v>
      </c>
      <c r="AG61" s="29"/>
      <c r="AH61" s="28">
        <v>112</v>
      </c>
      <c r="AI61">
        <v>116</v>
      </c>
      <c r="AJ61" s="26">
        <v>-4</v>
      </c>
      <c r="AK61" s="29"/>
      <c r="AL61" s="28">
        <v>104</v>
      </c>
      <c r="AM61">
        <v>102</v>
      </c>
      <c r="AN61" s="26">
        <v>2</v>
      </c>
      <c r="AO61" s="29"/>
      <c r="AR61" s="26">
        <v>0</v>
      </c>
      <c r="AS61" s="29"/>
      <c r="AT61" s="28">
        <v>64</v>
      </c>
      <c r="AU61">
        <v>60</v>
      </c>
      <c r="AV61">
        <v>56</v>
      </c>
      <c r="AW61">
        <v>63</v>
      </c>
      <c r="AX61" s="26">
        <v>-3</v>
      </c>
      <c r="AY61" s="29"/>
      <c r="AZ61" s="28">
        <v>24</v>
      </c>
      <c r="BA61">
        <v>27</v>
      </c>
      <c r="BB61" s="26">
        <v>-3</v>
      </c>
      <c r="BC61" s="29"/>
      <c r="BF61">
        <v>24</v>
      </c>
      <c r="BG61">
        <v>29</v>
      </c>
      <c r="BH61" s="26">
        <v>-5</v>
      </c>
      <c r="BI61" s="29"/>
      <c r="BJ61">
        <v>104</v>
      </c>
      <c r="BK61">
        <v>106</v>
      </c>
      <c r="BL61" s="26">
        <v>-2</v>
      </c>
      <c r="BM61" s="29"/>
      <c r="BN61" s="30"/>
      <c r="BP61" s="26">
        <v>0</v>
      </c>
      <c r="BQ61" s="29"/>
      <c r="BR61" s="28">
        <v>88</v>
      </c>
      <c r="BS61">
        <v>90</v>
      </c>
      <c r="BT61" s="26">
        <v>-2</v>
      </c>
      <c r="BU61" s="29"/>
      <c r="BV61">
        <v>48</v>
      </c>
      <c r="BW61">
        <v>53</v>
      </c>
      <c r="BX61" s="26">
        <v>-5</v>
      </c>
      <c r="BY61" s="29"/>
      <c r="BZ61" s="28">
        <v>16</v>
      </c>
      <c r="CB61">
        <v>18</v>
      </c>
      <c r="CC61" s="26">
        <v>-2</v>
      </c>
      <c r="CD61" s="29"/>
      <c r="CE61" s="30"/>
      <c r="CG61">
        <v>16</v>
      </c>
      <c r="CH61">
        <v>18</v>
      </c>
      <c r="CI61" s="26">
        <v>-2</v>
      </c>
      <c r="CJ61" s="29"/>
      <c r="CK61" s="28">
        <v>96</v>
      </c>
      <c r="CM61">
        <v>100</v>
      </c>
      <c r="CN61" s="26">
        <v>-4</v>
      </c>
      <c r="CO61" s="29"/>
      <c r="CP61">
        <v>32</v>
      </c>
      <c r="CQ61" s="26">
        <v>30</v>
      </c>
      <c r="CR61" s="26">
        <v>2</v>
      </c>
      <c r="CS61" s="29"/>
      <c r="CT61" s="28">
        <v>64</v>
      </c>
      <c r="CU61" s="26">
        <v>63</v>
      </c>
      <c r="CV61" s="26">
        <v>1</v>
      </c>
      <c r="CW61" s="29"/>
      <c r="CX61" s="30"/>
      <c r="CZ61" s="26">
        <v>0</v>
      </c>
      <c r="DA61" s="29"/>
      <c r="DB61" s="30"/>
      <c r="DD61" s="26">
        <v>0</v>
      </c>
      <c r="DE61" s="29"/>
      <c r="DF61">
        <v>80</v>
      </c>
      <c r="DG61" s="31">
        <v>79</v>
      </c>
      <c r="DH61" s="26">
        <v>1</v>
      </c>
      <c r="DI61" s="29"/>
      <c r="DJ61">
        <v>48</v>
      </c>
      <c r="DK61">
        <v>52</v>
      </c>
      <c r="DL61" s="26">
        <v>-4</v>
      </c>
      <c r="DM61" s="29"/>
      <c r="DN61" s="28">
        <v>24</v>
      </c>
      <c r="DP61">
        <v>22</v>
      </c>
      <c r="DQ61" s="26">
        <v>2</v>
      </c>
      <c r="DR61" s="29"/>
      <c r="DS61" s="30"/>
      <c r="DV61" s="26">
        <v>0</v>
      </c>
      <c r="DW61" s="29"/>
      <c r="DX61">
        <v>8</v>
      </c>
      <c r="DY61" s="31">
        <v>12.8</v>
      </c>
      <c r="DZ61" s="26">
        <v>-4.8000000000000007</v>
      </c>
      <c r="EA61" s="29"/>
      <c r="EB61" s="30"/>
      <c r="EC61">
        <v>40</v>
      </c>
      <c r="ED61">
        <v>40</v>
      </c>
      <c r="EE61">
        <v>48</v>
      </c>
      <c r="EF61">
        <v>49</v>
      </c>
      <c r="EG61" s="26">
        <v>-1</v>
      </c>
      <c r="EH61" s="29"/>
      <c r="EI61">
        <v>24</v>
      </c>
      <c r="EJ61" s="31">
        <v>22.600000000000009</v>
      </c>
      <c r="EK61" s="26">
        <v>1.399999999999991</v>
      </c>
      <c r="EL61" s="29"/>
      <c r="EM61" s="30"/>
      <c r="EO61">
        <v>72</v>
      </c>
      <c r="EP61">
        <v>71</v>
      </c>
      <c r="EQ61" s="26">
        <v>1</v>
      </c>
      <c r="ER61" s="29"/>
      <c r="EU61">
        <v>8</v>
      </c>
      <c r="EV61">
        <v>11</v>
      </c>
      <c r="EW61" s="26">
        <v>-3</v>
      </c>
      <c r="EX61" s="29"/>
      <c r="EY61">
        <v>40</v>
      </c>
      <c r="EZ61" s="31">
        <v>45</v>
      </c>
      <c r="FA61" s="26">
        <v>-5</v>
      </c>
      <c r="FB61" s="29"/>
      <c r="FC61" s="30"/>
      <c r="FE61" s="26">
        <v>0</v>
      </c>
      <c r="FF61" s="29"/>
      <c r="FG61" s="28">
        <v>8</v>
      </c>
      <c r="FH61">
        <v>10</v>
      </c>
      <c r="FI61" s="26">
        <v>-2</v>
      </c>
      <c r="FJ61" s="29"/>
      <c r="FK61">
        <v>48</v>
      </c>
      <c r="FL61">
        <v>50</v>
      </c>
      <c r="FM61" s="26">
        <v>-2</v>
      </c>
      <c r="FN61" s="29"/>
      <c r="FO61" s="28">
        <v>32</v>
      </c>
      <c r="FP61">
        <v>35</v>
      </c>
      <c r="FQ61" s="26">
        <v>-3</v>
      </c>
      <c r="FR61" s="29"/>
      <c r="FS61" s="30"/>
      <c r="FU61" s="26">
        <v>0</v>
      </c>
      <c r="FV61" s="29"/>
      <c r="FW61">
        <v>72</v>
      </c>
      <c r="FX61">
        <v>70</v>
      </c>
      <c r="FY61" s="26">
        <v>2</v>
      </c>
      <c r="FZ61" s="32"/>
      <c r="GC61" s="26">
        <v>0</v>
      </c>
      <c r="GD61" s="29"/>
      <c r="GE61">
        <v>40</v>
      </c>
      <c r="GF61">
        <v>45</v>
      </c>
      <c r="GG61" s="26">
        <v>-5</v>
      </c>
      <c r="GH61" s="32"/>
      <c r="GK61" s="26">
        <v>0</v>
      </c>
      <c r="GL61" s="29"/>
      <c r="GO61" s="26">
        <v>0</v>
      </c>
      <c r="GP61" s="32"/>
      <c r="GS61" s="26">
        <v>0</v>
      </c>
      <c r="GT61" s="29"/>
      <c r="GU61" s="34"/>
      <c r="GW61" s="26">
        <v>0</v>
      </c>
      <c r="GX61" s="32"/>
      <c r="HA61" s="26">
        <v>0</v>
      </c>
      <c r="HB61" s="32"/>
      <c r="HE61" s="26">
        <v>0</v>
      </c>
      <c r="HF61" s="32"/>
      <c r="HI61" s="26">
        <v>0</v>
      </c>
      <c r="HJ61" s="29"/>
      <c r="HK61" s="27"/>
      <c r="HM61">
        <v>56</v>
      </c>
      <c r="HN61">
        <v>57</v>
      </c>
      <c r="HO61" s="26">
        <v>-1</v>
      </c>
      <c r="HP61" s="32"/>
      <c r="HQ61" s="31">
        <v>0</v>
      </c>
      <c r="HR61" s="31">
        <v>0</v>
      </c>
      <c r="HS61" s="26">
        <v>0</v>
      </c>
      <c r="HT61" s="32"/>
      <c r="HU61" s="31">
        <v>72</v>
      </c>
      <c r="HV61" s="31">
        <v>73.8</v>
      </c>
      <c r="HW61" s="26">
        <v>-1.7999999999999969</v>
      </c>
      <c r="HX61" s="32"/>
      <c r="HY61" s="34">
        <v>0</v>
      </c>
      <c r="HZ61" s="31">
        <v>0</v>
      </c>
      <c r="IA61" s="26">
        <v>0</v>
      </c>
      <c r="IB61" s="32"/>
    </row>
    <row r="62" spans="1:236" x14ac:dyDescent="0.25">
      <c r="A62" s="31" t="s">
        <v>189</v>
      </c>
      <c r="B62" s="16">
        <v>0.84</v>
      </c>
      <c r="I62" s="30"/>
      <c r="J62" s="35"/>
      <c r="K62" s="35"/>
      <c r="L62" s="35">
        <f t="shared" si="4"/>
        <v>0</v>
      </c>
      <c r="M62" s="29"/>
      <c r="N62" s="30"/>
      <c r="O62" s="35"/>
      <c r="P62" s="35">
        <f t="shared" si="5"/>
        <v>0</v>
      </c>
      <c r="Q62" s="29"/>
      <c r="R62" s="30"/>
      <c r="S62" s="35"/>
      <c r="T62" s="35">
        <f t="shared" si="6"/>
        <v>0</v>
      </c>
      <c r="U62" s="29"/>
      <c r="V62" s="35"/>
      <c r="X62" s="26">
        <v>0</v>
      </c>
      <c r="Y62" s="29"/>
      <c r="Z62" s="30"/>
      <c r="AB62" s="26">
        <v>0</v>
      </c>
      <c r="AC62" s="29"/>
      <c r="AF62" s="26">
        <v>0</v>
      </c>
      <c r="AG62" s="29"/>
      <c r="AH62" s="30"/>
      <c r="AJ62" s="26">
        <v>0</v>
      </c>
      <c r="AK62" s="29"/>
      <c r="AL62" s="30"/>
      <c r="AN62" s="26">
        <v>0</v>
      </c>
      <c r="AO62" s="29"/>
      <c r="AR62" s="26">
        <v>0</v>
      </c>
      <c r="AS62" s="29"/>
      <c r="AT62" s="30"/>
      <c r="AX62" s="26">
        <v>0</v>
      </c>
      <c r="AY62" s="29"/>
      <c r="AZ62" s="30"/>
      <c r="BB62" s="26">
        <v>0</v>
      </c>
      <c r="BC62" s="29"/>
      <c r="BH62" s="26">
        <v>0</v>
      </c>
      <c r="BI62" s="29"/>
      <c r="BL62" s="26">
        <v>0</v>
      </c>
      <c r="BM62" s="29"/>
      <c r="BN62" s="30"/>
      <c r="BP62" s="26">
        <v>0</v>
      </c>
      <c r="BQ62" s="29"/>
      <c r="BR62" s="30"/>
      <c r="BT62" s="26">
        <v>0</v>
      </c>
      <c r="BU62" s="29"/>
      <c r="BX62" s="26">
        <v>0</v>
      </c>
      <c r="BY62" s="29"/>
      <c r="BZ62" s="30"/>
      <c r="CC62" s="26">
        <v>0</v>
      </c>
      <c r="CD62" s="29"/>
      <c r="CE62" s="30"/>
      <c r="CI62" s="26">
        <v>0</v>
      </c>
      <c r="CJ62" s="29"/>
      <c r="CK62" s="30"/>
      <c r="CN62" s="26">
        <v>0</v>
      </c>
      <c r="CO62" s="29"/>
      <c r="CR62" s="26">
        <v>0</v>
      </c>
      <c r="CS62" s="29"/>
      <c r="CT62" s="34"/>
      <c r="CV62" s="26">
        <v>0</v>
      </c>
      <c r="CW62" s="29"/>
      <c r="CX62" s="30"/>
      <c r="CZ62" s="26">
        <v>0</v>
      </c>
      <c r="DA62" s="29"/>
      <c r="DB62" s="30"/>
      <c r="DD62" s="26">
        <v>0</v>
      </c>
      <c r="DE62" s="29"/>
      <c r="DH62" s="26">
        <v>0</v>
      </c>
      <c r="DI62" s="29"/>
      <c r="DL62" s="26">
        <v>0</v>
      </c>
      <c r="DM62" s="29"/>
      <c r="DN62" s="30"/>
      <c r="DQ62" s="26">
        <v>0</v>
      </c>
      <c r="DR62" s="29"/>
      <c r="DS62" s="30"/>
      <c r="DV62" s="26">
        <v>0</v>
      </c>
      <c r="DW62" s="29"/>
      <c r="DZ62" s="26">
        <v>0</v>
      </c>
      <c r="EA62" s="29"/>
      <c r="EB62" s="30"/>
      <c r="EG62" s="26">
        <v>0</v>
      </c>
      <c r="EH62" s="29"/>
      <c r="EK62" s="26">
        <v>0</v>
      </c>
      <c r="EL62" s="29"/>
      <c r="EM62" s="30"/>
      <c r="EQ62" s="26">
        <v>0</v>
      </c>
      <c r="ER62" s="29"/>
      <c r="EW62" s="26">
        <v>0</v>
      </c>
      <c r="EX62" s="29"/>
      <c r="FA62" s="26">
        <v>0</v>
      </c>
      <c r="FB62" s="29"/>
      <c r="FC62" s="30"/>
      <c r="FE62" s="26">
        <v>0</v>
      </c>
      <c r="FF62" s="29"/>
      <c r="FG62" s="30"/>
      <c r="FI62" s="26">
        <v>0</v>
      </c>
      <c r="FJ62" s="29"/>
      <c r="FM62" s="26">
        <v>0</v>
      </c>
      <c r="FN62" s="29"/>
      <c r="FO62" s="30"/>
      <c r="FQ62" s="26">
        <v>0</v>
      </c>
      <c r="FR62" s="29"/>
      <c r="FS62" s="30"/>
      <c r="FU62" s="26">
        <v>0</v>
      </c>
      <c r="FV62" s="29"/>
      <c r="FY62" s="26">
        <v>0</v>
      </c>
      <c r="FZ62" s="32"/>
      <c r="GC62" s="26">
        <v>0</v>
      </c>
      <c r="GD62" s="29"/>
      <c r="GG62" s="26">
        <v>0</v>
      </c>
      <c r="GH62" s="32"/>
      <c r="GK62" s="26">
        <v>0</v>
      </c>
      <c r="GL62" s="29"/>
      <c r="GO62" s="26">
        <v>0</v>
      </c>
      <c r="GP62" s="32"/>
      <c r="GS62" s="26">
        <v>0</v>
      </c>
      <c r="GT62" s="29"/>
      <c r="GU62" s="34"/>
      <c r="GX62" s="32"/>
      <c r="HB62" s="32"/>
      <c r="HF62" s="32"/>
      <c r="HG62" s="27"/>
      <c r="HJ62" s="29"/>
      <c r="HK62" s="27"/>
      <c r="HP62" s="32"/>
      <c r="HQ62" s="31"/>
      <c r="HR62" s="31"/>
      <c r="HT62" s="32"/>
      <c r="HU62" s="31"/>
      <c r="HV62" s="31"/>
      <c r="HX62" s="32"/>
      <c r="HY62" s="34"/>
      <c r="HZ62" s="31"/>
      <c r="IB62" s="32"/>
    </row>
    <row r="63" spans="1:236" x14ac:dyDescent="0.25">
      <c r="A63" s="26" t="s">
        <v>190</v>
      </c>
      <c r="B63" s="27">
        <v>0.1</v>
      </c>
      <c r="I63" s="30"/>
      <c r="J63" s="36">
        <v>120</v>
      </c>
      <c r="K63" s="36">
        <v>123</v>
      </c>
      <c r="L63" s="35">
        <f t="shared" si="4"/>
        <v>-3</v>
      </c>
      <c r="M63" s="29"/>
      <c r="N63" s="28">
        <v>40</v>
      </c>
      <c r="O63" s="36">
        <v>42</v>
      </c>
      <c r="P63" s="35">
        <f t="shared" si="5"/>
        <v>-2</v>
      </c>
      <c r="Q63" s="29"/>
      <c r="R63" s="28">
        <v>70</v>
      </c>
      <c r="S63" s="36">
        <v>71</v>
      </c>
      <c r="T63" s="35">
        <f t="shared" si="6"/>
        <v>-1</v>
      </c>
      <c r="U63" s="29"/>
      <c r="V63" s="36">
        <v>10</v>
      </c>
      <c r="W63">
        <v>10</v>
      </c>
      <c r="X63" s="26">
        <v>0</v>
      </c>
      <c r="Y63" s="29"/>
      <c r="Z63" s="28">
        <v>70</v>
      </c>
      <c r="AA63">
        <v>74</v>
      </c>
      <c r="AB63" s="26">
        <v>-4</v>
      </c>
      <c r="AC63" s="29"/>
      <c r="AD63">
        <v>20</v>
      </c>
      <c r="AE63">
        <v>20</v>
      </c>
      <c r="AF63" s="26">
        <v>0</v>
      </c>
      <c r="AG63" s="29"/>
      <c r="AH63" s="28">
        <v>40</v>
      </c>
      <c r="AI63">
        <v>41</v>
      </c>
      <c r="AJ63" s="26">
        <v>-1</v>
      </c>
      <c r="AK63" s="29"/>
      <c r="AL63" s="28">
        <v>10</v>
      </c>
      <c r="AM63">
        <v>12</v>
      </c>
      <c r="AN63" s="26">
        <v>-2</v>
      </c>
      <c r="AO63" s="29"/>
      <c r="AR63" s="26">
        <v>0</v>
      </c>
      <c r="AS63" s="29"/>
      <c r="AT63" s="28">
        <v>30</v>
      </c>
      <c r="AU63">
        <v>30</v>
      </c>
      <c r="AW63">
        <v>47</v>
      </c>
      <c r="AX63" s="25">
        <v>-47</v>
      </c>
      <c r="AY63" s="29">
        <v>46.9</v>
      </c>
      <c r="AZ63" s="28">
        <v>10</v>
      </c>
      <c r="BA63">
        <v>7</v>
      </c>
      <c r="BB63" s="26">
        <v>3</v>
      </c>
      <c r="BC63" s="29"/>
      <c r="BF63">
        <v>60</v>
      </c>
      <c r="BG63">
        <v>59</v>
      </c>
      <c r="BH63" s="26">
        <v>1</v>
      </c>
      <c r="BI63" s="29"/>
      <c r="BL63" s="26">
        <v>0</v>
      </c>
      <c r="BM63" s="29"/>
      <c r="BN63" s="28">
        <v>30</v>
      </c>
      <c r="BO63">
        <v>35</v>
      </c>
      <c r="BP63" s="26">
        <v>-5</v>
      </c>
      <c r="BQ63" s="29"/>
      <c r="BR63" s="28">
        <v>20</v>
      </c>
      <c r="BS63">
        <v>29</v>
      </c>
      <c r="BT63" s="26">
        <v>-9</v>
      </c>
      <c r="BU63" s="29"/>
      <c r="BV63">
        <v>20</v>
      </c>
      <c r="BW63">
        <v>20</v>
      </c>
      <c r="BX63" s="26">
        <v>0</v>
      </c>
      <c r="BY63" s="29"/>
      <c r="BZ63" s="30"/>
      <c r="CC63" s="26">
        <v>0</v>
      </c>
      <c r="CD63" s="29"/>
      <c r="CE63" s="30"/>
      <c r="CG63">
        <v>80</v>
      </c>
      <c r="CH63">
        <v>81</v>
      </c>
      <c r="CI63" s="26">
        <v>-1</v>
      </c>
      <c r="CJ63" s="29"/>
      <c r="CK63" s="28">
        <v>20</v>
      </c>
      <c r="CM63">
        <v>27</v>
      </c>
      <c r="CN63" s="26">
        <v>-7</v>
      </c>
      <c r="CO63" s="29"/>
      <c r="CP63">
        <v>50</v>
      </c>
      <c r="CQ63" s="26">
        <v>51.199999999999989</v>
      </c>
      <c r="CR63" s="26">
        <v>-1.1999999999999891</v>
      </c>
      <c r="CS63" s="29"/>
      <c r="CT63" s="28">
        <v>20</v>
      </c>
      <c r="CU63" s="26">
        <v>18</v>
      </c>
      <c r="CV63" s="26">
        <v>2</v>
      </c>
      <c r="CW63" s="29"/>
      <c r="CX63" s="30"/>
      <c r="CZ63" s="26">
        <v>0</v>
      </c>
      <c r="DA63" s="29"/>
      <c r="DB63" s="30"/>
      <c r="DD63" s="26">
        <v>0</v>
      </c>
      <c r="DE63" s="29"/>
      <c r="DH63" s="26">
        <v>0</v>
      </c>
      <c r="DI63" s="29"/>
      <c r="DJ63">
        <v>80</v>
      </c>
      <c r="DK63">
        <v>85</v>
      </c>
      <c r="DL63" s="26">
        <v>-5</v>
      </c>
      <c r="DM63" s="29"/>
      <c r="DN63" s="30"/>
      <c r="DQ63" s="26">
        <v>0</v>
      </c>
      <c r="DR63" s="29"/>
      <c r="DS63" s="28">
        <v>70</v>
      </c>
      <c r="DU63">
        <v>68</v>
      </c>
      <c r="DV63" s="26">
        <v>2</v>
      </c>
      <c r="DW63" s="29"/>
      <c r="DX63">
        <v>10</v>
      </c>
      <c r="DY63" s="31">
        <v>14</v>
      </c>
      <c r="DZ63" s="26">
        <v>-4</v>
      </c>
      <c r="EA63" s="29"/>
      <c r="EB63" s="30"/>
      <c r="EC63">
        <v>10</v>
      </c>
      <c r="ED63">
        <v>10</v>
      </c>
      <c r="EE63">
        <v>10</v>
      </c>
      <c r="EF63">
        <v>10</v>
      </c>
      <c r="EG63" s="26">
        <v>0</v>
      </c>
      <c r="EH63" s="29"/>
      <c r="EI63">
        <v>60</v>
      </c>
      <c r="EJ63" s="31">
        <v>62.4</v>
      </c>
      <c r="EK63" s="26">
        <v>-2.399999999999999</v>
      </c>
      <c r="EL63" s="29"/>
      <c r="EM63" s="30"/>
      <c r="EP63">
        <v>13</v>
      </c>
      <c r="EQ63" s="25">
        <v>-13</v>
      </c>
      <c r="ER63" s="29"/>
      <c r="EW63" s="26">
        <v>0</v>
      </c>
      <c r="EX63" s="29"/>
      <c r="FA63" s="26">
        <v>0</v>
      </c>
      <c r="FB63" s="29"/>
      <c r="FC63" s="28">
        <v>60</v>
      </c>
      <c r="FD63">
        <v>58</v>
      </c>
      <c r="FE63" s="26">
        <v>2</v>
      </c>
      <c r="FF63" s="29"/>
      <c r="FG63" s="28">
        <v>10</v>
      </c>
      <c r="FH63">
        <v>10</v>
      </c>
      <c r="FI63" s="26">
        <v>0</v>
      </c>
      <c r="FJ63" s="29"/>
      <c r="FK63">
        <v>60</v>
      </c>
      <c r="FL63">
        <v>60</v>
      </c>
      <c r="FM63" s="26">
        <v>0</v>
      </c>
      <c r="FN63" s="29"/>
      <c r="FO63" s="28">
        <v>10</v>
      </c>
      <c r="FP63">
        <v>10</v>
      </c>
      <c r="FQ63" s="26">
        <v>0</v>
      </c>
      <c r="FR63" s="29"/>
      <c r="FS63" s="28">
        <v>50</v>
      </c>
      <c r="FT63">
        <v>54</v>
      </c>
      <c r="FU63" s="26">
        <v>-4</v>
      </c>
      <c r="FV63" s="29"/>
      <c r="FW63">
        <v>20</v>
      </c>
      <c r="FX63">
        <v>20</v>
      </c>
      <c r="FY63" s="26">
        <v>0</v>
      </c>
      <c r="FZ63" s="32"/>
      <c r="GC63" s="26">
        <v>0</v>
      </c>
      <c r="GD63" s="29"/>
      <c r="GE63">
        <v>60</v>
      </c>
      <c r="GF63">
        <v>60</v>
      </c>
      <c r="GG63" s="26">
        <v>0</v>
      </c>
      <c r="GH63" s="32"/>
      <c r="GK63" s="26">
        <v>0</v>
      </c>
      <c r="GL63" s="29"/>
      <c r="GO63" s="26">
        <v>0</v>
      </c>
      <c r="GP63" s="32"/>
      <c r="GQ63">
        <v>40</v>
      </c>
      <c r="GR63" s="31">
        <v>45.8</v>
      </c>
      <c r="GS63" s="26">
        <v>-5.7999999999999972</v>
      </c>
      <c r="GT63" s="29"/>
      <c r="GU63" s="28">
        <v>30</v>
      </c>
      <c r="GV63" s="31">
        <v>30</v>
      </c>
      <c r="GW63" s="26">
        <v>0</v>
      </c>
      <c r="GX63" s="32"/>
      <c r="HA63" s="26">
        <v>0</v>
      </c>
      <c r="HB63" s="32"/>
      <c r="HE63" s="26">
        <v>0</v>
      </c>
      <c r="HF63" s="32"/>
      <c r="HI63" s="26">
        <v>0</v>
      </c>
      <c r="HJ63" s="29"/>
      <c r="HK63">
        <v>180</v>
      </c>
      <c r="HL63">
        <v>180</v>
      </c>
      <c r="HM63">
        <v>130</v>
      </c>
      <c r="HN63">
        <v>128</v>
      </c>
      <c r="HO63" s="26">
        <v>2</v>
      </c>
      <c r="HP63" s="32"/>
      <c r="HQ63" s="31">
        <v>120</v>
      </c>
      <c r="HR63" s="31">
        <v>120</v>
      </c>
      <c r="HS63" s="26">
        <v>0</v>
      </c>
      <c r="HT63" s="32"/>
      <c r="HU63" s="31">
        <v>100</v>
      </c>
      <c r="HV63" s="31">
        <v>99.2</v>
      </c>
      <c r="HW63" s="26">
        <v>0.79999999999999716</v>
      </c>
      <c r="HX63" s="32"/>
      <c r="HY63" s="34">
        <v>0</v>
      </c>
      <c r="HZ63" s="31">
        <v>0</v>
      </c>
      <c r="IA63" s="26">
        <v>0</v>
      </c>
      <c r="IB63" s="32"/>
    </row>
    <row r="64" spans="1:236" x14ac:dyDescent="0.25">
      <c r="A64" s="26" t="s">
        <v>191</v>
      </c>
      <c r="B64" s="27">
        <v>0.1</v>
      </c>
      <c r="I64" s="30"/>
      <c r="J64" s="36">
        <v>224</v>
      </c>
      <c r="K64" s="36">
        <v>231</v>
      </c>
      <c r="L64" s="35">
        <f t="shared" si="4"/>
        <v>-7</v>
      </c>
      <c r="M64" s="29"/>
      <c r="N64" s="28">
        <v>280</v>
      </c>
      <c r="O64" s="36">
        <v>279</v>
      </c>
      <c r="P64" s="35">
        <f t="shared" si="5"/>
        <v>1</v>
      </c>
      <c r="Q64" s="29"/>
      <c r="R64" s="28">
        <v>140</v>
      </c>
      <c r="S64" s="36">
        <v>139</v>
      </c>
      <c r="T64" s="35">
        <f t="shared" si="6"/>
        <v>1</v>
      </c>
      <c r="U64" s="29"/>
      <c r="V64" s="36">
        <v>140</v>
      </c>
      <c r="W64">
        <v>162</v>
      </c>
      <c r="X64" s="25">
        <v>-22</v>
      </c>
      <c r="Y64" s="29">
        <v>2.2000000000000002</v>
      </c>
      <c r="Z64" s="28">
        <v>154</v>
      </c>
      <c r="AA64">
        <v>154</v>
      </c>
      <c r="AB64" s="26">
        <v>0</v>
      </c>
      <c r="AC64" s="29"/>
      <c r="AF64" s="26">
        <v>0</v>
      </c>
      <c r="AG64" s="29"/>
      <c r="AH64" s="28">
        <v>196</v>
      </c>
      <c r="AI64">
        <v>198</v>
      </c>
      <c r="AJ64" s="26">
        <v>-2</v>
      </c>
      <c r="AK64" s="29"/>
      <c r="AL64" s="30"/>
      <c r="AN64" s="26">
        <v>0</v>
      </c>
      <c r="AO64" s="29"/>
      <c r="AR64" s="26">
        <v>0</v>
      </c>
      <c r="AS64" s="29"/>
      <c r="AT64" s="28">
        <v>56</v>
      </c>
      <c r="AU64">
        <v>60</v>
      </c>
      <c r="AV64">
        <v>70</v>
      </c>
      <c r="AW64">
        <v>79</v>
      </c>
      <c r="AX64" s="26">
        <v>-13</v>
      </c>
      <c r="AY64" s="29"/>
      <c r="AZ64" s="30"/>
      <c r="BB64" s="26">
        <v>0</v>
      </c>
      <c r="BC64" s="29"/>
      <c r="BF64">
        <v>28</v>
      </c>
      <c r="BG64">
        <v>26</v>
      </c>
      <c r="BH64" s="26">
        <v>2</v>
      </c>
      <c r="BI64" s="29"/>
      <c r="BJ64">
        <v>70</v>
      </c>
      <c r="BK64">
        <v>71</v>
      </c>
      <c r="BL64" s="26">
        <v>-1</v>
      </c>
      <c r="BM64" s="29"/>
      <c r="BN64" s="28">
        <v>42</v>
      </c>
      <c r="BO64">
        <v>41</v>
      </c>
      <c r="BP64" s="26">
        <v>1</v>
      </c>
      <c r="BQ64" s="29"/>
      <c r="BR64" s="30"/>
      <c r="BT64" s="26">
        <v>0</v>
      </c>
      <c r="BU64" s="29"/>
      <c r="BV64">
        <v>70</v>
      </c>
      <c r="BW64">
        <v>77</v>
      </c>
      <c r="BX64" s="26">
        <v>-7</v>
      </c>
      <c r="BY64" s="29"/>
      <c r="BZ64" s="30"/>
      <c r="CC64" s="26">
        <v>0</v>
      </c>
      <c r="CD64" s="29"/>
      <c r="CE64" s="30"/>
      <c r="CI64" s="26">
        <v>0</v>
      </c>
      <c r="CJ64" s="29"/>
      <c r="CK64" s="28">
        <v>112</v>
      </c>
      <c r="CM64">
        <v>114</v>
      </c>
      <c r="CN64" s="26">
        <v>-2</v>
      </c>
      <c r="CO64" s="29"/>
      <c r="CR64" s="26">
        <v>0</v>
      </c>
      <c r="CS64" s="29"/>
      <c r="CT64" s="23">
        <v>84</v>
      </c>
      <c r="CU64" s="26">
        <v>11</v>
      </c>
      <c r="CV64" s="26">
        <v>73</v>
      </c>
      <c r="CW64" s="29"/>
      <c r="CX64" s="30"/>
      <c r="CZ64" s="26">
        <v>0</v>
      </c>
      <c r="DA64" s="29"/>
      <c r="DB64" s="28">
        <v>14</v>
      </c>
      <c r="DC64">
        <v>18</v>
      </c>
      <c r="DD64" s="26">
        <v>-4</v>
      </c>
      <c r="DE64" s="29"/>
      <c r="DH64" s="26">
        <v>0</v>
      </c>
      <c r="DI64" s="29"/>
      <c r="DJ64">
        <v>84</v>
      </c>
      <c r="DK64">
        <v>88</v>
      </c>
      <c r="DL64" s="26">
        <v>-4</v>
      </c>
      <c r="DM64" s="29"/>
      <c r="DN64" s="28">
        <v>42</v>
      </c>
      <c r="DP64">
        <v>48</v>
      </c>
      <c r="DQ64" s="26">
        <v>-6</v>
      </c>
      <c r="DR64" s="29"/>
      <c r="DS64" s="28">
        <v>56</v>
      </c>
      <c r="DU64">
        <v>61</v>
      </c>
      <c r="DV64" s="26">
        <v>-5</v>
      </c>
      <c r="DW64" s="29"/>
      <c r="DZ64" s="26">
        <v>0</v>
      </c>
      <c r="EA64" s="29"/>
      <c r="EB64" s="30"/>
      <c r="EE64">
        <v>14</v>
      </c>
      <c r="EF64">
        <v>7</v>
      </c>
      <c r="EG64" s="26">
        <v>7</v>
      </c>
      <c r="EH64" s="29"/>
      <c r="EI64">
        <v>70</v>
      </c>
      <c r="EJ64" s="31">
        <v>69</v>
      </c>
      <c r="EK64" s="26">
        <v>1</v>
      </c>
      <c r="EL64" s="29"/>
      <c r="EM64" s="30"/>
      <c r="EQ64" s="26">
        <v>0</v>
      </c>
      <c r="ER64" s="29"/>
      <c r="EW64" s="26">
        <v>0</v>
      </c>
      <c r="EX64" s="29"/>
      <c r="EY64">
        <v>70</v>
      </c>
      <c r="EZ64" s="31">
        <v>69</v>
      </c>
      <c r="FA64" s="26">
        <v>1</v>
      </c>
      <c r="FB64" s="29"/>
      <c r="FC64" s="28">
        <v>42</v>
      </c>
      <c r="FD64">
        <v>47</v>
      </c>
      <c r="FE64" s="26">
        <v>-5</v>
      </c>
      <c r="FF64" s="29"/>
      <c r="FG64" s="28">
        <v>28</v>
      </c>
      <c r="FH64">
        <v>28</v>
      </c>
      <c r="FI64" s="26">
        <v>0</v>
      </c>
      <c r="FJ64" s="29"/>
      <c r="FK64">
        <v>14</v>
      </c>
      <c r="FL64">
        <v>20</v>
      </c>
      <c r="FM64" s="26">
        <v>-6</v>
      </c>
      <c r="FN64" s="29"/>
      <c r="FO64" s="30"/>
      <c r="FQ64" s="26">
        <v>0</v>
      </c>
      <c r="FR64" s="29"/>
      <c r="FS64" s="28">
        <v>56</v>
      </c>
      <c r="FT64">
        <v>56</v>
      </c>
      <c r="FU64" s="26">
        <v>0</v>
      </c>
      <c r="FV64" s="29"/>
      <c r="FW64">
        <v>28</v>
      </c>
      <c r="FX64">
        <v>30</v>
      </c>
      <c r="FY64" s="26">
        <v>-2</v>
      </c>
      <c r="FZ64" s="32"/>
      <c r="GA64">
        <v>42</v>
      </c>
      <c r="GB64">
        <v>51</v>
      </c>
      <c r="GC64" s="26">
        <v>-9</v>
      </c>
      <c r="GD64" s="29"/>
      <c r="GG64" s="26">
        <v>0</v>
      </c>
      <c r="GH64" s="32"/>
      <c r="GI64">
        <v>42</v>
      </c>
      <c r="GJ64">
        <v>40</v>
      </c>
      <c r="GK64" s="26">
        <v>2</v>
      </c>
      <c r="GL64" s="29"/>
      <c r="GO64" s="26">
        <v>0</v>
      </c>
      <c r="GP64" s="32"/>
      <c r="GQ64">
        <v>14</v>
      </c>
      <c r="GR64" s="31">
        <v>20.600000000000009</v>
      </c>
      <c r="GS64" s="26">
        <v>-6.6000000000000094</v>
      </c>
      <c r="GT64" s="29"/>
      <c r="GU64" s="34"/>
      <c r="GW64" s="26">
        <v>0</v>
      </c>
      <c r="GX64" s="32"/>
      <c r="HA64" s="26">
        <v>0</v>
      </c>
      <c r="HB64" s="32"/>
      <c r="HE64" s="26">
        <v>0</v>
      </c>
      <c r="HF64" s="32"/>
      <c r="HI64" s="26">
        <v>0</v>
      </c>
      <c r="HJ64" s="29"/>
      <c r="HK64">
        <v>42</v>
      </c>
      <c r="HL64">
        <v>50</v>
      </c>
      <c r="HM64">
        <v>42</v>
      </c>
      <c r="HN64">
        <v>40</v>
      </c>
      <c r="HO64" s="26">
        <v>-6</v>
      </c>
      <c r="HP64" s="32"/>
      <c r="HQ64" s="31">
        <v>70</v>
      </c>
      <c r="HR64" s="31">
        <v>70</v>
      </c>
      <c r="HS64" s="26">
        <v>0</v>
      </c>
      <c r="HT64" s="32"/>
      <c r="HU64" s="31">
        <v>0</v>
      </c>
      <c r="HV64" s="31">
        <v>0</v>
      </c>
      <c r="HW64" s="26">
        <v>0</v>
      </c>
      <c r="HX64" s="32"/>
      <c r="HY64" s="34">
        <v>0</v>
      </c>
      <c r="HZ64" s="31">
        <v>0</v>
      </c>
      <c r="IA64" s="26">
        <v>0</v>
      </c>
      <c r="IB64" s="32"/>
    </row>
    <row r="65" spans="1:236" x14ac:dyDescent="0.25">
      <c r="A65" s="26" t="s">
        <v>192</v>
      </c>
      <c r="B65" s="27">
        <v>0.1</v>
      </c>
      <c r="E65">
        <v>120</v>
      </c>
      <c r="F65">
        <v>93</v>
      </c>
      <c r="I65" s="30"/>
      <c r="J65" s="36">
        <v>400</v>
      </c>
      <c r="K65" s="36">
        <v>399</v>
      </c>
      <c r="L65" s="35">
        <f t="shared" si="4"/>
        <v>1</v>
      </c>
      <c r="M65" s="29"/>
      <c r="N65" s="28">
        <v>210</v>
      </c>
      <c r="O65" s="36">
        <v>217</v>
      </c>
      <c r="P65" s="35">
        <f t="shared" si="5"/>
        <v>-7</v>
      </c>
      <c r="Q65" s="29"/>
      <c r="R65" s="28">
        <v>260</v>
      </c>
      <c r="S65" s="36">
        <v>265</v>
      </c>
      <c r="T65" s="35">
        <f t="shared" si="6"/>
        <v>-5</v>
      </c>
      <c r="U65" s="29"/>
      <c r="V65" s="36">
        <v>290</v>
      </c>
      <c r="W65">
        <v>289</v>
      </c>
      <c r="X65" s="26">
        <v>1</v>
      </c>
      <c r="Y65" s="29"/>
      <c r="Z65" s="30"/>
      <c r="AB65" s="26">
        <v>0</v>
      </c>
      <c r="AC65" s="29"/>
      <c r="AD65">
        <v>330</v>
      </c>
      <c r="AE65">
        <v>328</v>
      </c>
      <c r="AF65" s="26">
        <v>2</v>
      </c>
      <c r="AG65" s="29"/>
      <c r="AH65" s="30"/>
      <c r="AJ65" s="26">
        <v>0</v>
      </c>
      <c r="AK65" s="29"/>
      <c r="AL65" s="28">
        <v>240</v>
      </c>
      <c r="AM65">
        <v>245</v>
      </c>
      <c r="AN65" s="26">
        <v>-5</v>
      </c>
      <c r="AO65" s="29"/>
      <c r="AR65" s="26">
        <v>0</v>
      </c>
      <c r="AS65" s="29"/>
      <c r="AT65" s="28">
        <v>40</v>
      </c>
      <c r="AU65">
        <v>40</v>
      </c>
      <c r="AV65">
        <v>20</v>
      </c>
      <c r="AW65">
        <v>45</v>
      </c>
      <c r="AX65" s="25">
        <v>-25</v>
      </c>
      <c r="AY65" s="29">
        <v>24.9</v>
      </c>
      <c r="AZ65" s="28">
        <v>90</v>
      </c>
      <c r="BA65">
        <v>94</v>
      </c>
      <c r="BB65" s="26">
        <v>-4</v>
      </c>
      <c r="BC65" s="29"/>
      <c r="BF65">
        <v>40</v>
      </c>
      <c r="BG65">
        <v>45</v>
      </c>
      <c r="BH65" s="26">
        <v>-5</v>
      </c>
      <c r="BI65" s="29"/>
      <c r="BJ65">
        <v>40</v>
      </c>
      <c r="BK65">
        <v>44</v>
      </c>
      <c r="BL65" s="26">
        <v>-4</v>
      </c>
      <c r="BM65" s="29"/>
      <c r="BN65" s="28">
        <v>80</v>
      </c>
      <c r="BO65">
        <v>82</v>
      </c>
      <c r="BP65" s="26">
        <v>-2</v>
      </c>
      <c r="BQ65" s="29"/>
      <c r="BR65" s="30"/>
      <c r="BT65" s="26">
        <v>0</v>
      </c>
      <c r="BU65" s="29"/>
      <c r="BV65">
        <v>70</v>
      </c>
      <c r="BW65">
        <v>75</v>
      </c>
      <c r="BX65" s="26">
        <v>-5</v>
      </c>
      <c r="BY65" s="29"/>
      <c r="BZ65" s="30"/>
      <c r="CC65" s="26">
        <v>0</v>
      </c>
      <c r="CD65" s="29"/>
      <c r="CE65" s="30"/>
      <c r="CG65">
        <v>40</v>
      </c>
      <c r="CH65">
        <v>45</v>
      </c>
      <c r="CI65" s="26">
        <v>-5</v>
      </c>
      <c r="CJ65" s="29"/>
      <c r="CK65" s="28">
        <v>60</v>
      </c>
      <c r="CM65">
        <v>67</v>
      </c>
      <c r="CN65" s="26">
        <v>-7</v>
      </c>
      <c r="CO65" s="29"/>
      <c r="CP65">
        <v>40</v>
      </c>
      <c r="CQ65" s="26">
        <v>45.600000000000009</v>
      </c>
      <c r="CR65" s="26">
        <v>-5.6000000000000094</v>
      </c>
      <c r="CS65" s="29"/>
      <c r="CT65" s="28">
        <v>20</v>
      </c>
      <c r="CU65" s="26">
        <v>26</v>
      </c>
      <c r="CV65" s="26">
        <v>-6</v>
      </c>
      <c r="CW65" s="29"/>
      <c r="CX65" s="30"/>
      <c r="CZ65" s="26">
        <v>0</v>
      </c>
      <c r="DA65" s="29"/>
      <c r="DB65" s="28">
        <v>30</v>
      </c>
      <c r="DC65">
        <v>32</v>
      </c>
      <c r="DD65" s="26">
        <v>-2</v>
      </c>
      <c r="DE65" s="29"/>
      <c r="DH65" s="26">
        <v>0</v>
      </c>
      <c r="DI65" s="29"/>
      <c r="DJ65">
        <v>90</v>
      </c>
      <c r="DK65">
        <v>90</v>
      </c>
      <c r="DL65" s="26">
        <v>0</v>
      </c>
      <c r="DM65" s="29"/>
      <c r="DN65" s="28">
        <v>20</v>
      </c>
      <c r="DP65">
        <v>20</v>
      </c>
      <c r="DQ65" s="26">
        <v>0</v>
      </c>
      <c r="DR65" s="29"/>
      <c r="DS65" s="30"/>
      <c r="DV65" s="26">
        <v>0</v>
      </c>
      <c r="DW65" s="29"/>
      <c r="DX65">
        <v>60</v>
      </c>
      <c r="DY65" s="31">
        <v>58.8</v>
      </c>
      <c r="DZ65" s="26">
        <v>1.2000000000000031</v>
      </c>
      <c r="EA65" s="29"/>
      <c r="EB65" s="30"/>
      <c r="EE65">
        <v>40</v>
      </c>
      <c r="EF65">
        <v>41</v>
      </c>
      <c r="EG65" s="26">
        <v>-1</v>
      </c>
      <c r="EH65" s="29"/>
      <c r="EI65">
        <v>20</v>
      </c>
      <c r="EJ65" s="31">
        <v>21.8</v>
      </c>
      <c r="EK65" s="26">
        <v>-1.8000000000000009</v>
      </c>
      <c r="EL65" s="29"/>
      <c r="EM65" s="30"/>
      <c r="EQ65" s="26">
        <v>0</v>
      </c>
      <c r="ER65" s="29"/>
      <c r="EW65" s="26">
        <v>0</v>
      </c>
      <c r="EX65" s="29"/>
      <c r="EY65">
        <v>80</v>
      </c>
      <c r="EZ65" s="31">
        <v>80</v>
      </c>
      <c r="FA65" s="26">
        <v>0</v>
      </c>
      <c r="FB65" s="29"/>
      <c r="FC65" s="30"/>
      <c r="FE65" s="26">
        <v>0</v>
      </c>
      <c r="FF65" s="29"/>
      <c r="FG65" s="28">
        <v>70</v>
      </c>
      <c r="FH65">
        <v>70</v>
      </c>
      <c r="FI65" s="26">
        <v>0</v>
      </c>
      <c r="FJ65" s="29"/>
      <c r="FK65">
        <v>10</v>
      </c>
      <c r="FL65">
        <v>10</v>
      </c>
      <c r="FM65" s="26">
        <v>0</v>
      </c>
      <c r="FN65" s="29"/>
      <c r="FO65" s="30"/>
      <c r="FQ65" s="26">
        <v>0</v>
      </c>
      <c r="FR65" s="29"/>
      <c r="FS65" s="28">
        <v>60</v>
      </c>
      <c r="FT65">
        <v>60</v>
      </c>
      <c r="FU65" s="26">
        <v>0</v>
      </c>
      <c r="FV65" s="29"/>
      <c r="FW65">
        <v>30</v>
      </c>
      <c r="FX65">
        <v>30</v>
      </c>
      <c r="FY65" s="26">
        <v>0</v>
      </c>
      <c r="FZ65" s="32"/>
      <c r="GA65">
        <v>40</v>
      </c>
      <c r="GB65">
        <v>47</v>
      </c>
      <c r="GC65" s="26">
        <v>-7</v>
      </c>
      <c r="GD65" s="29"/>
      <c r="GG65" s="26">
        <v>0</v>
      </c>
      <c r="GH65" s="32"/>
      <c r="GI65">
        <v>50</v>
      </c>
      <c r="GJ65">
        <v>50</v>
      </c>
      <c r="GK65" s="26">
        <v>0</v>
      </c>
      <c r="GL65" s="29"/>
      <c r="GO65" s="26">
        <v>0</v>
      </c>
      <c r="GP65" s="32"/>
      <c r="GS65" s="26">
        <v>0</v>
      </c>
      <c r="GT65" s="29"/>
      <c r="GU65" s="34"/>
      <c r="GW65" s="26">
        <v>0</v>
      </c>
      <c r="GX65" s="32"/>
      <c r="HA65" s="26">
        <v>0</v>
      </c>
      <c r="HB65" s="32"/>
      <c r="HE65" s="26">
        <v>0</v>
      </c>
      <c r="HF65" s="32"/>
      <c r="HI65" s="26">
        <v>0</v>
      </c>
      <c r="HJ65" s="29"/>
      <c r="HK65">
        <v>140</v>
      </c>
      <c r="HL65">
        <v>140</v>
      </c>
      <c r="HM65">
        <v>100</v>
      </c>
      <c r="HN65">
        <v>100</v>
      </c>
      <c r="HO65" s="26">
        <v>0</v>
      </c>
      <c r="HP65" s="32"/>
      <c r="HQ65" s="31">
        <v>70</v>
      </c>
      <c r="HR65" s="31">
        <v>70</v>
      </c>
      <c r="HS65" s="26">
        <v>0</v>
      </c>
      <c r="HT65" s="32"/>
      <c r="HU65" s="31">
        <v>0</v>
      </c>
      <c r="HV65" s="31">
        <v>0</v>
      </c>
      <c r="HW65" s="26">
        <v>0</v>
      </c>
      <c r="HX65" s="32"/>
      <c r="HY65" s="34">
        <v>0</v>
      </c>
      <c r="HZ65" s="31">
        <v>0</v>
      </c>
      <c r="IA65" s="26">
        <v>0</v>
      </c>
      <c r="IB65" s="32"/>
    </row>
    <row r="66" spans="1:236" x14ac:dyDescent="0.25">
      <c r="A66" s="26" t="s">
        <v>193</v>
      </c>
      <c r="B66" s="27">
        <v>0.1</v>
      </c>
      <c r="I66" s="30"/>
      <c r="J66" s="35"/>
      <c r="K66" s="35"/>
      <c r="L66" s="35">
        <f t="shared" si="4"/>
        <v>0</v>
      </c>
      <c r="M66" s="29"/>
      <c r="N66" s="28">
        <v>110</v>
      </c>
      <c r="O66" s="36">
        <v>113</v>
      </c>
      <c r="P66" s="35">
        <f t="shared" si="5"/>
        <v>-3</v>
      </c>
      <c r="Q66" s="29"/>
      <c r="R66" s="30"/>
      <c r="S66" s="35"/>
      <c r="T66" s="35">
        <f t="shared" si="6"/>
        <v>0</v>
      </c>
      <c r="U66" s="29"/>
      <c r="V66" s="35"/>
      <c r="X66" s="26">
        <v>0</v>
      </c>
      <c r="Y66" s="29"/>
      <c r="Z66" s="28">
        <v>100</v>
      </c>
      <c r="AA66">
        <v>106</v>
      </c>
      <c r="AB66" s="26">
        <v>-6</v>
      </c>
      <c r="AC66" s="29"/>
      <c r="AF66" s="26">
        <v>0</v>
      </c>
      <c r="AG66" s="29"/>
      <c r="AH66" s="30"/>
      <c r="AJ66" s="26">
        <v>0</v>
      </c>
      <c r="AK66" s="29"/>
      <c r="AL66" s="28">
        <v>60</v>
      </c>
      <c r="AM66">
        <v>61</v>
      </c>
      <c r="AN66" s="26">
        <v>-1</v>
      </c>
      <c r="AO66" s="29"/>
      <c r="AR66" s="26">
        <v>0</v>
      </c>
      <c r="AS66" s="29"/>
      <c r="AT66" s="30"/>
      <c r="AX66" s="26">
        <v>0</v>
      </c>
      <c r="AY66" s="29"/>
      <c r="AZ66" s="28">
        <v>60</v>
      </c>
      <c r="BA66">
        <v>60</v>
      </c>
      <c r="BB66" s="26">
        <v>0</v>
      </c>
      <c r="BC66" s="29"/>
      <c r="BH66" s="26">
        <v>0</v>
      </c>
      <c r="BI66" s="29"/>
      <c r="BK66">
        <v>54</v>
      </c>
      <c r="BL66" s="25">
        <v>-54</v>
      </c>
      <c r="BM66" s="29">
        <v>5.4</v>
      </c>
      <c r="BN66" s="30"/>
      <c r="BP66" s="26">
        <v>0</v>
      </c>
      <c r="BQ66" s="29"/>
      <c r="BR66" s="30">
        <v>30</v>
      </c>
      <c r="BS66" s="26">
        <v>30</v>
      </c>
      <c r="BT66" s="26">
        <v>0</v>
      </c>
      <c r="BU66" s="29"/>
      <c r="BX66" s="26">
        <v>0</v>
      </c>
      <c r="BY66" s="29"/>
      <c r="BZ66" s="30"/>
      <c r="CC66" s="26">
        <v>0</v>
      </c>
      <c r="CD66" s="29"/>
      <c r="CE66" s="30"/>
      <c r="CI66" s="26">
        <v>0</v>
      </c>
      <c r="CJ66" s="29"/>
      <c r="CK66" s="30"/>
      <c r="CO66" s="32"/>
      <c r="CS66" s="29"/>
      <c r="CT66" s="28"/>
      <c r="CW66" s="29"/>
      <c r="CX66" s="30"/>
      <c r="DA66" s="29"/>
      <c r="DB66" s="28"/>
      <c r="DE66" s="29"/>
      <c r="DI66" s="29"/>
      <c r="DM66" s="29"/>
      <c r="DN66" s="28"/>
      <c r="DR66" s="29"/>
      <c r="DS66" s="30"/>
      <c r="DW66" s="29"/>
      <c r="EA66" s="29"/>
      <c r="EB66" s="30"/>
      <c r="EH66" s="29"/>
      <c r="EL66" s="29"/>
      <c r="EM66" s="30"/>
      <c r="EP66" s="27"/>
      <c r="ER66" s="29"/>
      <c r="EX66" s="29"/>
      <c r="EZ66" s="31"/>
      <c r="FB66" s="29"/>
      <c r="FC66" s="30"/>
      <c r="FF66" s="29"/>
      <c r="FG66" s="28"/>
      <c r="FJ66" s="29"/>
      <c r="FN66" s="29"/>
      <c r="FO66" s="30"/>
      <c r="FR66" s="29"/>
      <c r="FS66" s="28"/>
      <c r="FV66" s="29"/>
      <c r="FZ66" s="32"/>
      <c r="GD66" s="29"/>
      <c r="GH66" s="32"/>
      <c r="GL66" s="29"/>
      <c r="GP66" s="32"/>
      <c r="GT66" s="29"/>
      <c r="GU66" s="34"/>
      <c r="GX66" s="32"/>
      <c r="HB66" s="32"/>
      <c r="HF66" s="32"/>
      <c r="HJ66" s="29"/>
      <c r="HP66" s="32"/>
      <c r="HQ66" s="31"/>
      <c r="HR66" s="31"/>
      <c r="HT66" s="32"/>
      <c r="HU66" s="31"/>
      <c r="HV66" s="31"/>
      <c r="HX66" s="32"/>
      <c r="HY66" s="34"/>
      <c r="HZ66" s="31"/>
      <c r="IB66" s="32"/>
    </row>
    <row r="67" spans="1:236" x14ac:dyDescent="0.25">
      <c r="A67" s="26" t="s">
        <v>194</v>
      </c>
      <c r="B67" s="27">
        <v>0.4</v>
      </c>
      <c r="I67" s="30"/>
      <c r="J67" s="36">
        <v>228</v>
      </c>
      <c r="K67" s="36">
        <v>226</v>
      </c>
      <c r="L67" s="35">
        <f t="shared" si="4"/>
        <v>2</v>
      </c>
      <c r="M67" s="29"/>
      <c r="N67" s="30"/>
      <c r="O67" s="35"/>
      <c r="P67" s="35">
        <f t="shared" si="5"/>
        <v>0</v>
      </c>
      <c r="Q67" s="29"/>
      <c r="R67" s="28">
        <v>198</v>
      </c>
      <c r="S67" s="36">
        <v>196</v>
      </c>
      <c r="T67" s="35">
        <f t="shared" si="6"/>
        <v>2</v>
      </c>
      <c r="U67" s="29"/>
      <c r="V67" s="35"/>
      <c r="X67" s="26">
        <v>0</v>
      </c>
      <c r="Y67" s="29"/>
      <c r="Z67" s="28">
        <v>120</v>
      </c>
      <c r="AA67">
        <v>121</v>
      </c>
      <c r="AB67" s="26">
        <v>-1</v>
      </c>
      <c r="AC67" s="29"/>
      <c r="AF67" s="26">
        <v>0</v>
      </c>
      <c r="AG67" s="29"/>
      <c r="AH67" s="28">
        <v>72</v>
      </c>
      <c r="AI67">
        <v>70</v>
      </c>
      <c r="AJ67" s="26">
        <v>2</v>
      </c>
      <c r="AK67" s="29"/>
      <c r="AL67" s="28">
        <v>24</v>
      </c>
      <c r="AM67">
        <v>25</v>
      </c>
      <c r="AN67" s="26">
        <v>-1</v>
      </c>
      <c r="AO67" s="29"/>
      <c r="AP67">
        <v>30</v>
      </c>
      <c r="AQ67">
        <v>31</v>
      </c>
      <c r="AR67" s="26">
        <v>-1</v>
      </c>
      <c r="AS67" s="29"/>
      <c r="AT67" s="30"/>
      <c r="AU67">
        <v>20</v>
      </c>
      <c r="AV67">
        <v>24</v>
      </c>
      <c r="AW67">
        <v>22</v>
      </c>
      <c r="AX67" s="25">
        <v>-18</v>
      </c>
      <c r="AY67" s="29">
        <v>17.600000000000001</v>
      </c>
      <c r="AZ67" s="30"/>
      <c r="BB67" s="26">
        <v>0</v>
      </c>
      <c r="BC67" s="29"/>
      <c r="BF67">
        <v>42</v>
      </c>
      <c r="BG67">
        <v>41</v>
      </c>
      <c r="BH67" s="26">
        <v>1</v>
      </c>
      <c r="BI67" s="29"/>
      <c r="BL67" s="26">
        <v>0</v>
      </c>
      <c r="BM67" s="29"/>
      <c r="BN67" s="28">
        <v>54</v>
      </c>
      <c r="BO67">
        <v>52</v>
      </c>
      <c r="BP67" s="26">
        <v>2</v>
      </c>
      <c r="BQ67" s="29"/>
      <c r="BR67" s="28">
        <v>18</v>
      </c>
      <c r="BS67">
        <v>19</v>
      </c>
      <c r="BT67" s="26">
        <v>-1</v>
      </c>
      <c r="BU67" s="29"/>
      <c r="BV67">
        <v>18</v>
      </c>
      <c r="BW67">
        <v>20</v>
      </c>
      <c r="BX67" s="26">
        <v>-2</v>
      </c>
      <c r="BY67" s="29"/>
      <c r="BZ67" s="28">
        <v>6</v>
      </c>
      <c r="CB67">
        <v>5</v>
      </c>
      <c r="CC67" s="26">
        <v>1</v>
      </c>
      <c r="CD67" s="29"/>
      <c r="CE67" s="30"/>
      <c r="CI67" s="26">
        <v>0</v>
      </c>
      <c r="CJ67" s="29"/>
      <c r="CK67" s="28">
        <v>54</v>
      </c>
      <c r="CM67">
        <v>52</v>
      </c>
      <c r="CN67" s="26">
        <v>2</v>
      </c>
      <c r="CO67" s="29"/>
      <c r="CP67">
        <v>6</v>
      </c>
      <c r="CQ67" s="26">
        <v>8.8000000000000043</v>
      </c>
      <c r="CR67" s="26">
        <v>-2.8000000000000038</v>
      </c>
      <c r="CS67" s="29"/>
      <c r="CT67" s="28">
        <v>30</v>
      </c>
      <c r="CU67" s="26">
        <v>31.6</v>
      </c>
      <c r="CV67" s="26">
        <v>-1.600000000000001</v>
      </c>
      <c r="CW67" s="29"/>
      <c r="CX67" s="30"/>
      <c r="CZ67" s="26">
        <v>0</v>
      </c>
      <c r="DA67" s="29"/>
      <c r="DB67" s="28">
        <v>6</v>
      </c>
      <c r="DC67">
        <v>5</v>
      </c>
      <c r="DD67" s="26">
        <v>1</v>
      </c>
      <c r="DE67" s="29"/>
      <c r="DF67">
        <v>18</v>
      </c>
      <c r="DG67" s="31">
        <v>15.8</v>
      </c>
      <c r="DH67" s="26">
        <v>2.1999999999999988</v>
      </c>
      <c r="DI67" s="29"/>
      <c r="DL67" s="26">
        <v>0</v>
      </c>
      <c r="DM67" s="29"/>
      <c r="DN67" s="28">
        <v>36</v>
      </c>
      <c r="DP67">
        <v>34</v>
      </c>
      <c r="DQ67" s="26">
        <v>2</v>
      </c>
      <c r="DR67" s="29"/>
      <c r="DS67" s="30"/>
      <c r="DV67" s="26">
        <v>0</v>
      </c>
      <c r="DW67" s="29"/>
      <c r="DX67">
        <v>12</v>
      </c>
      <c r="DY67" s="31">
        <v>14.2</v>
      </c>
      <c r="DZ67" s="26">
        <v>-2.1999999999999988</v>
      </c>
      <c r="EA67" s="29"/>
      <c r="EB67" s="30"/>
      <c r="EE67">
        <v>18</v>
      </c>
      <c r="EF67">
        <v>18</v>
      </c>
      <c r="EG67" s="26">
        <v>0</v>
      </c>
      <c r="EH67" s="29"/>
      <c r="EI67">
        <v>18</v>
      </c>
      <c r="EJ67" s="31">
        <v>20.600000000000009</v>
      </c>
      <c r="EK67" s="26">
        <v>-2.600000000000009</v>
      </c>
      <c r="EL67" s="29"/>
      <c r="EM67" s="30"/>
      <c r="EQ67" s="26">
        <v>0</v>
      </c>
      <c r="ER67" s="29"/>
      <c r="ES67">
        <v>30</v>
      </c>
      <c r="ET67">
        <v>30</v>
      </c>
      <c r="EU67">
        <v>30</v>
      </c>
      <c r="EV67">
        <v>30</v>
      </c>
      <c r="EW67" s="26">
        <v>0</v>
      </c>
      <c r="EX67" s="29"/>
      <c r="FA67" s="26">
        <v>0</v>
      </c>
      <c r="FB67" s="29"/>
      <c r="FC67" s="28">
        <v>12</v>
      </c>
      <c r="FD67">
        <v>10</v>
      </c>
      <c r="FE67" s="26">
        <v>2</v>
      </c>
      <c r="FF67" s="29"/>
      <c r="FG67" s="28">
        <v>36</v>
      </c>
      <c r="FH67">
        <v>34</v>
      </c>
      <c r="FI67" s="26">
        <v>2</v>
      </c>
      <c r="FJ67" s="29"/>
      <c r="FK67">
        <v>6</v>
      </c>
      <c r="FL67">
        <v>8</v>
      </c>
      <c r="FM67" s="26">
        <v>-2</v>
      </c>
      <c r="FN67" s="29"/>
      <c r="FO67" s="28">
        <v>24</v>
      </c>
      <c r="FP67">
        <v>24</v>
      </c>
      <c r="FQ67" s="26">
        <v>0</v>
      </c>
      <c r="FR67" s="29"/>
      <c r="FS67" s="28">
        <v>6</v>
      </c>
      <c r="FT67">
        <v>6</v>
      </c>
      <c r="FU67" s="26">
        <v>0</v>
      </c>
      <c r="FV67" s="29"/>
      <c r="FY67" s="26">
        <v>0</v>
      </c>
      <c r="FZ67" s="32"/>
      <c r="GA67">
        <v>6</v>
      </c>
      <c r="GB67">
        <v>4</v>
      </c>
      <c r="GC67" s="26">
        <v>2</v>
      </c>
      <c r="GD67" s="29"/>
      <c r="GE67">
        <v>12</v>
      </c>
      <c r="GF67">
        <v>9.6</v>
      </c>
      <c r="GG67" s="26">
        <v>2.4</v>
      </c>
      <c r="GH67" s="32"/>
      <c r="GI67">
        <v>6</v>
      </c>
      <c r="GJ67">
        <v>7</v>
      </c>
      <c r="GK67" s="26">
        <v>-1</v>
      </c>
      <c r="GL67" s="29"/>
      <c r="GM67">
        <v>6</v>
      </c>
      <c r="GN67">
        <v>8</v>
      </c>
      <c r="GO67" s="26">
        <v>-2</v>
      </c>
      <c r="GP67" s="32"/>
      <c r="GS67" s="26">
        <v>0</v>
      </c>
      <c r="GT67" s="29"/>
      <c r="GU67" s="28">
        <v>12</v>
      </c>
      <c r="GV67" s="31">
        <v>11.6</v>
      </c>
      <c r="GW67" s="26">
        <v>0.40000000000000041</v>
      </c>
      <c r="GX67" s="32"/>
      <c r="HA67" s="26">
        <v>0</v>
      </c>
      <c r="HB67" s="32"/>
      <c r="HE67" s="26">
        <v>0</v>
      </c>
      <c r="HF67" s="32"/>
      <c r="HI67" s="26">
        <v>0</v>
      </c>
      <c r="HJ67" s="29"/>
      <c r="HK67" s="27"/>
      <c r="HM67">
        <v>60</v>
      </c>
      <c r="HN67">
        <v>59</v>
      </c>
      <c r="HO67" s="26">
        <v>1</v>
      </c>
      <c r="HP67" s="32"/>
      <c r="HQ67" s="31">
        <v>0</v>
      </c>
      <c r="HR67" s="31">
        <v>0</v>
      </c>
      <c r="HS67" s="26">
        <v>0</v>
      </c>
      <c r="HT67" s="32"/>
      <c r="HU67" s="31">
        <v>42</v>
      </c>
      <c r="HV67" s="31">
        <v>40.799999999999997</v>
      </c>
      <c r="HW67" s="26">
        <v>1.199999999999996</v>
      </c>
      <c r="HX67" s="32"/>
      <c r="HY67" s="34">
        <v>0</v>
      </c>
      <c r="HZ67" s="31">
        <v>0</v>
      </c>
      <c r="IA67" s="26">
        <v>0</v>
      </c>
      <c r="IB67" s="32"/>
    </row>
    <row r="68" spans="1:236" x14ac:dyDescent="0.25">
      <c r="A68" s="26" t="s">
        <v>195</v>
      </c>
      <c r="B68" s="27">
        <v>1</v>
      </c>
      <c r="E68">
        <v>50</v>
      </c>
      <c r="F68">
        <v>64</v>
      </c>
      <c r="I68" s="30"/>
      <c r="J68" s="36">
        <v>60</v>
      </c>
      <c r="K68" s="36">
        <v>58</v>
      </c>
      <c r="L68" s="35">
        <f t="shared" ref="L68:L131" si="8">I68+J68-K68</f>
        <v>2</v>
      </c>
      <c r="M68" s="29"/>
      <c r="N68" s="30"/>
      <c r="O68" s="35"/>
      <c r="P68" s="35">
        <f t="shared" ref="P68:P131" si="9">N68-O68</f>
        <v>0</v>
      </c>
      <c r="Q68" s="29"/>
      <c r="R68" s="28">
        <v>101</v>
      </c>
      <c r="S68" s="36">
        <v>101</v>
      </c>
      <c r="T68" s="35">
        <f t="shared" ref="T68:T131" si="10">R68-S68</f>
        <v>0</v>
      </c>
      <c r="U68" s="29"/>
      <c r="V68" s="36">
        <v>20</v>
      </c>
      <c r="W68">
        <v>19</v>
      </c>
      <c r="X68" s="26">
        <v>1</v>
      </c>
      <c r="Y68" s="29"/>
      <c r="Z68" s="30"/>
      <c r="AB68" s="26">
        <v>0</v>
      </c>
      <c r="AC68" s="29"/>
      <c r="AD68">
        <v>72</v>
      </c>
      <c r="AE68">
        <v>70</v>
      </c>
      <c r="AF68" s="26">
        <v>2</v>
      </c>
      <c r="AG68" s="29"/>
      <c r="AH68" s="30"/>
      <c r="AJ68" s="26">
        <v>0</v>
      </c>
      <c r="AK68" s="29"/>
      <c r="AL68" s="30"/>
      <c r="AM68">
        <v>67</v>
      </c>
      <c r="AN68" s="25">
        <v>-67</v>
      </c>
      <c r="AO68" s="29">
        <v>67</v>
      </c>
      <c r="AR68" s="26">
        <v>0</v>
      </c>
      <c r="AS68" s="29"/>
      <c r="AT68" s="30"/>
      <c r="AU68">
        <v>24</v>
      </c>
      <c r="AV68">
        <v>25</v>
      </c>
      <c r="AW68">
        <v>24</v>
      </c>
      <c r="AX68" s="25">
        <v>-23</v>
      </c>
      <c r="AY68" s="29">
        <v>22</v>
      </c>
      <c r="AZ68" s="28">
        <v>28</v>
      </c>
      <c r="BA68">
        <v>27</v>
      </c>
      <c r="BB68" s="26">
        <v>1</v>
      </c>
      <c r="BC68" s="29"/>
      <c r="BF68">
        <v>28</v>
      </c>
      <c r="BG68">
        <v>29</v>
      </c>
      <c r="BH68" s="26">
        <v>-1</v>
      </c>
      <c r="BI68" s="29"/>
      <c r="BL68" s="26">
        <v>0</v>
      </c>
      <c r="BM68" s="29"/>
      <c r="BN68" s="30"/>
      <c r="BP68" s="26">
        <v>0</v>
      </c>
      <c r="BQ68" s="29"/>
      <c r="BR68" s="28">
        <v>56</v>
      </c>
      <c r="BS68">
        <v>56</v>
      </c>
      <c r="BT68" s="26">
        <v>0</v>
      </c>
      <c r="BU68" s="29"/>
      <c r="BX68" s="26">
        <v>0</v>
      </c>
      <c r="BY68" s="29"/>
      <c r="BZ68" s="28">
        <v>4</v>
      </c>
      <c r="CB68">
        <v>4</v>
      </c>
      <c r="CC68" s="26">
        <v>0</v>
      </c>
      <c r="CD68" s="29"/>
      <c r="CE68" s="30"/>
      <c r="CG68">
        <v>4</v>
      </c>
      <c r="CH68">
        <v>5</v>
      </c>
      <c r="CI68" s="26">
        <v>-1</v>
      </c>
      <c r="CJ68" s="29"/>
      <c r="CK68" s="28">
        <v>28</v>
      </c>
      <c r="CM68">
        <v>28</v>
      </c>
      <c r="CN68" s="26">
        <v>0</v>
      </c>
      <c r="CO68" s="29"/>
      <c r="CP68">
        <v>48</v>
      </c>
      <c r="CQ68" s="26">
        <v>48.152000000000001</v>
      </c>
      <c r="CR68" s="26">
        <v>-0.152000000000001</v>
      </c>
      <c r="CS68" s="29"/>
      <c r="CT68" s="34"/>
      <c r="CV68" s="26">
        <v>0</v>
      </c>
      <c r="CW68" s="29"/>
      <c r="CX68" s="30"/>
      <c r="CZ68" s="26">
        <v>0</v>
      </c>
      <c r="DA68" s="29"/>
      <c r="DB68" s="28">
        <v>24</v>
      </c>
      <c r="DC68">
        <v>24</v>
      </c>
      <c r="DD68" s="26">
        <v>0</v>
      </c>
      <c r="DE68" s="29"/>
      <c r="DH68" s="26">
        <v>0</v>
      </c>
      <c r="DI68" s="29"/>
      <c r="DJ68">
        <v>65</v>
      </c>
      <c r="DK68">
        <v>62</v>
      </c>
      <c r="DL68" s="26">
        <v>3</v>
      </c>
      <c r="DM68" s="29"/>
      <c r="DN68" s="30"/>
      <c r="DQ68" s="26">
        <v>0</v>
      </c>
      <c r="DR68" s="29"/>
      <c r="DS68" s="28">
        <v>12</v>
      </c>
      <c r="DU68">
        <v>10</v>
      </c>
      <c r="DV68" s="26">
        <v>2</v>
      </c>
      <c r="DW68" s="29"/>
      <c r="DZ68" s="26">
        <v>0</v>
      </c>
      <c r="EA68" s="29"/>
      <c r="EB68" s="30"/>
      <c r="EE68">
        <v>16</v>
      </c>
      <c r="EF68">
        <v>15</v>
      </c>
      <c r="EG68" s="26">
        <v>1</v>
      </c>
      <c r="EH68" s="29"/>
      <c r="EK68" s="26">
        <v>0</v>
      </c>
      <c r="EL68" s="29"/>
      <c r="EM68" s="30"/>
      <c r="EQ68" s="26">
        <v>0</v>
      </c>
      <c r="ER68" s="29"/>
      <c r="ES68">
        <v>80</v>
      </c>
      <c r="ET68">
        <v>80</v>
      </c>
      <c r="EU68">
        <v>101</v>
      </c>
      <c r="EV68">
        <v>100</v>
      </c>
      <c r="EW68" s="26">
        <v>1</v>
      </c>
      <c r="EX68" s="29"/>
      <c r="FA68" s="26">
        <v>0</v>
      </c>
      <c r="FB68" s="29"/>
      <c r="FC68" s="30"/>
      <c r="FE68" s="26">
        <v>0</v>
      </c>
      <c r="FF68" s="29"/>
      <c r="FG68" s="28">
        <v>121</v>
      </c>
      <c r="FH68">
        <v>120</v>
      </c>
      <c r="FI68" s="26">
        <v>1</v>
      </c>
      <c r="FJ68" s="29"/>
      <c r="FM68" s="26">
        <v>0</v>
      </c>
      <c r="FN68" s="29"/>
      <c r="FO68" s="28">
        <v>80</v>
      </c>
      <c r="FP68">
        <v>80</v>
      </c>
      <c r="FQ68" s="26">
        <v>0</v>
      </c>
      <c r="FR68" s="29"/>
      <c r="FS68" s="30"/>
      <c r="FU68" s="26">
        <v>0</v>
      </c>
      <c r="FV68" s="29"/>
      <c r="FW68">
        <v>40</v>
      </c>
      <c r="FX68">
        <v>40</v>
      </c>
      <c r="FY68" s="26">
        <v>0</v>
      </c>
      <c r="FZ68" s="32"/>
      <c r="GC68" s="26">
        <v>0</v>
      </c>
      <c r="GD68" s="29"/>
      <c r="GG68" s="26">
        <v>0</v>
      </c>
      <c r="GH68" s="32"/>
      <c r="GK68" s="26">
        <v>0</v>
      </c>
      <c r="GL68" s="29"/>
      <c r="GO68" s="26">
        <v>0</v>
      </c>
      <c r="GP68" s="32"/>
      <c r="GS68" s="26">
        <v>0</v>
      </c>
      <c r="GT68" s="29"/>
      <c r="GU68" s="34"/>
      <c r="GW68" s="26">
        <v>0</v>
      </c>
      <c r="GX68" s="32"/>
      <c r="HA68" s="26">
        <v>0</v>
      </c>
      <c r="HB68" s="32"/>
      <c r="HE68" s="26">
        <v>0</v>
      </c>
      <c r="HF68" s="32"/>
      <c r="HI68" s="26">
        <v>0</v>
      </c>
      <c r="HJ68" s="29"/>
      <c r="HK68" s="27"/>
      <c r="HM68" s="27"/>
      <c r="HO68" s="26">
        <v>0</v>
      </c>
      <c r="HP68" s="32"/>
      <c r="HQ68" s="31">
        <v>0</v>
      </c>
      <c r="HR68" s="31">
        <v>0</v>
      </c>
      <c r="HS68" s="26">
        <v>0</v>
      </c>
      <c r="HT68" s="32"/>
      <c r="HU68" s="31">
        <v>0</v>
      </c>
      <c r="HV68" s="31">
        <v>0</v>
      </c>
      <c r="HW68" s="26">
        <v>0</v>
      </c>
      <c r="HX68" s="32"/>
      <c r="HY68" s="34">
        <v>0</v>
      </c>
      <c r="HZ68" s="31">
        <v>0</v>
      </c>
      <c r="IA68" s="26">
        <v>0</v>
      </c>
      <c r="IB68" s="32"/>
    </row>
    <row r="69" spans="1:236" x14ac:dyDescent="0.25">
      <c r="A69" s="26" t="s">
        <v>196</v>
      </c>
      <c r="B69" s="27">
        <v>1</v>
      </c>
      <c r="E69">
        <v>40</v>
      </c>
      <c r="F69">
        <v>26</v>
      </c>
      <c r="I69" s="30"/>
      <c r="J69" s="36">
        <v>9</v>
      </c>
      <c r="K69" s="36">
        <v>9</v>
      </c>
      <c r="L69" s="35">
        <f t="shared" si="8"/>
        <v>0</v>
      </c>
      <c r="M69" s="29"/>
      <c r="N69" s="28">
        <v>189</v>
      </c>
      <c r="O69" s="36">
        <v>183</v>
      </c>
      <c r="P69" s="35">
        <f t="shared" si="9"/>
        <v>6</v>
      </c>
      <c r="Q69" s="29"/>
      <c r="R69" s="30"/>
      <c r="S69" s="35"/>
      <c r="T69" s="35">
        <f t="shared" si="10"/>
        <v>0</v>
      </c>
      <c r="U69" s="29"/>
      <c r="V69" s="36">
        <v>144</v>
      </c>
      <c r="W69">
        <v>138</v>
      </c>
      <c r="X69" s="26">
        <v>6</v>
      </c>
      <c r="Y69" s="29"/>
      <c r="Z69" s="28">
        <v>69</v>
      </c>
      <c r="AA69">
        <v>64</v>
      </c>
      <c r="AB69" s="26">
        <v>5</v>
      </c>
      <c r="AC69" s="29"/>
      <c r="AD69">
        <v>116</v>
      </c>
      <c r="AE69">
        <v>109</v>
      </c>
      <c r="AF69" s="26">
        <v>7</v>
      </c>
      <c r="AG69" s="29"/>
      <c r="AH69" s="28">
        <v>103</v>
      </c>
      <c r="AI69">
        <v>99</v>
      </c>
      <c r="AJ69" s="26">
        <v>4</v>
      </c>
      <c r="AK69" s="29"/>
      <c r="AL69" s="30"/>
      <c r="AN69" s="26">
        <v>0</v>
      </c>
      <c r="AO69" s="29"/>
      <c r="AP69">
        <v>53</v>
      </c>
      <c r="AQ69">
        <v>50</v>
      </c>
      <c r="AR69" s="26">
        <v>3</v>
      </c>
      <c r="AS69" s="29"/>
      <c r="AT69" s="28">
        <v>62</v>
      </c>
      <c r="AU69">
        <v>60</v>
      </c>
      <c r="AV69">
        <v>74</v>
      </c>
      <c r="AW69">
        <v>72</v>
      </c>
      <c r="AX69" s="26">
        <v>4</v>
      </c>
      <c r="AY69" s="29"/>
      <c r="AZ69" s="28">
        <v>25</v>
      </c>
      <c r="BA69">
        <v>24</v>
      </c>
      <c r="BB69" s="26">
        <v>1</v>
      </c>
      <c r="BC69" s="29"/>
      <c r="BF69">
        <v>128</v>
      </c>
      <c r="BG69">
        <v>121</v>
      </c>
      <c r="BH69" s="26">
        <v>7</v>
      </c>
      <c r="BI69" s="29"/>
      <c r="BJ69">
        <v>28</v>
      </c>
      <c r="BK69">
        <v>25</v>
      </c>
      <c r="BL69" s="26">
        <v>3</v>
      </c>
      <c r="BM69" s="29"/>
      <c r="BN69" s="28">
        <v>34</v>
      </c>
      <c r="BO69">
        <v>33</v>
      </c>
      <c r="BP69" s="26">
        <v>1</v>
      </c>
      <c r="BQ69" s="29"/>
      <c r="BR69" s="28">
        <v>119</v>
      </c>
      <c r="BS69">
        <v>113</v>
      </c>
      <c r="BT69" s="26">
        <v>6</v>
      </c>
      <c r="BU69" s="29"/>
      <c r="BX69" s="26">
        <v>0</v>
      </c>
      <c r="BY69" s="29"/>
      <c r="BZ69" s="28">
        <v>37</v>
      </c>
      <c r="CB69">
        <v>36</v>
      </c>
      <c r="CC69" s="26">
        <v>1</v>
      </c>
      <c r="CD69" s="29"/>
      <c r="CE69" s="30"/>
      <c r="CG69">
        <v>16</v>
      </c>
      <c r="CH69">
        <v>15</v>
      </c>
      <c r="CI69" s="26">
        <v>1</v>
      </c>
      <c r="CJ69" s="29"/>
      <c r="CK69" s="28">
        <v>144</v>
      </c>
      <c r="CM69">
        <v>136</v>
      </c>
      <c r="CN69" s="26">
        <v>8</v>
      </c>
      <c r="CO69" s="29"/>
      <c r="CP69">
        <v>31</v>
      </c>
      <c r="CQ69" s="26">
        <v>27.90679999999999</v>
      </c>
      <c r="CR69" s="26">
        <v>3.0932000000000102</v>
      </c>
      <c r="CS69" s="29"/>
      <c r="CT69" s="28">
        <v>80</v>
      </c>
      <c r="CU69" s="26">
        <v>76.89500000000001</v>
      </c>
      <c r="CV69" s="26">
        <v>3.1049999999999902</v>
      </c>
      <c r="CW69" s="29"/>
      <c r="CX69" s="28">
        <v>12</v>
      </c>
      <c r="CY69" s="26">
        <v>10.701200000000011</v>
      </c>
      <c r="CZ69" s="26">
        <v>1.2987999999999891</v>
      </c>
      <c r="DA69" s="29"/>
      <c r="DB69" s="28">
        <v>71</v>
      </c>
      <c r="DC69">
        <v>68</v>
      </c>
      <c r="DD69" s="26">
        <v>3</v>
      </c>
      <c r="DE69" s="29"/>
      <c r="DH69" s="26">
        <v>0</v>
      </c>
      <c r="DI69" s="29"/>
      <c r="DJ69">
        <v>158</v>
      </c>
      <c r="DK69">
        <v>151</v>
      </c>
      <c r="DL69" s="26">
        <v>7</v>
      </c>
      <c r="DM69" s="29"/>
      <c r="DN69" s="28">
        <v>56</v>
      </c>
      <c r="DP69">
        <v>54</v>
      </c>
      <c r="DQ69" s="26">
        <v>2</v>
      </c>
      <c r="DR69" s="29"/>
      <c r="DS69" s="28">
        <v>66</v>
      </c>
      <c r="DU69">
        <v>61</v>
      </c>
      <c r="DV69" s="26">
        <v>5</v>
      </c>
      <c r="DW69" s="29"/>
      <c r="DZ69" s="26">
        <v>0</v>
      </c>
      <c r="EA69" s="29"/>
      <c r="EB69" s="30"/>
      <c r="EC69">
        <v>43</v>
      </c>
      <c r="ED69">
        <v>40</v>
      </c>
      <c r="EE69">
        <v>34</v>
      </c>
      <c r="EF69">
        <v>32</v>
      </c>
      <c r="EG69" s="26">
        <v>5</v>
      </c>
      <c r="EH69" s="29"/>
      <c r="EK69" s="26">
        <v>0</v>
      </c>
      <c r="EL69" s="29"/>
      <c r="EM69" s="30"/>
      <c r="EQ69" s="26">
        <v>0</v>
      </c>
      <c r="ER69" s="29"/>
      <c r="ES69">
        <v>31</v>
      </c>
      <c r="ET69">
        <v>30</v>
      </c>
      <c r="EU69">
        <v>43</v>
      </c>
      <c r="EV69">
        <v>40</v>
      </c>
      <c r="EW69" s="26">
        <v>4</v>
      </c>
      <c r="EX69" s="29"/>
      <c r="EY69">
        <v>18</v>
      </c>
      <c r="EZ69" s="31">
        <v>16.493200000000002</v>
      </c>
      <c r="FA69" s="26">
        <v>1.5067999999999979</v>
      </c>
      <c r="FB69" s="29"/>
      <c r="FC69" s="28">
        <v>90</v>
      </c>
      <c r="FD69">
        <v>86</v>
      </c>
      <c r="FE69" s="26">
        <v>4</v>
      </c>
      <c r="FF69" s="29"/>
      <c r="FG69" s="28">
        <v>22</v>
      </c>
      <c r="FH69">
        <v>21</v>
      </c>
      <c r="FI69" s="26">
        <v>1</v>
      </c>
      <c r="FJ69" s="29"/>
      <c r="FK69">
        <v>44</v>
      </c>
      <c r="FL69">
        <v>40</v>
      </c>
      <c r="FM69" s="26">
        <v>4</v>
      </c>
      <c r="FN69" s="29"/>
      <c r="FO69" s="28">
        <v>59</v>
      </c>
      <c r="FP69">
        <v>52</v>
      </c>
      <c r="FQ69" s="26">
        <v>7</v>
      </c>
      <c r="FR69" s="29"/>
      <c r="FS69" s="28">
        <v>44</v>
      </c>
      <c r="FT69">
        <v>58</v>
      </c>
      <c r="FU69" s="25">
        <v>-14</v>
      </c>
      <c r="FV69" s="29">
        <v>14</v>
      </c>
      <c r="FW69">
        <v>70</v>
      </c>
      <c r="FX69">
        <v>70</v>
      </c>
      <c r="FY69" s="26">
        <v>0</v>
      </c>
      <c r="FZ69" s="32"/>
      <c r="GC69" s="26">
        <v>0</v>
      </c>
      <c r="GD69" s="29"/>
      <c r="GE69">
        <v>65</v>
      </c>
      <c r="GF69">
        <v>65</v>
      </c>
      <c r="GG69" s="26">
        <v>0</v>
      </c>
      <c r="GH69" s="32"/>
      <c r="GI69">
        <v>21</v>
      </c>
      <c r="GJ69">
        <v>21</v>
      </c>
      <c r="GK69" s="26">
        <v>0</v>
      </c>
      <c r="GL69" s="29"/>
      <c r="GO69" s="26">
        <v>0</v>
      </c>
      <c r="GP69" s="32"/>
      <c r="GQ69">
        <v>36</v>
      </c>
      <c r="GR69" s="31">
        <v>35.468800000000009</v>
      </c>
      <c r="GS69" s="26">
        <v>0.53119999999999123</v>
      </c>
      <c r="GT69" s="29"/>
      <c r="GU69" s="34"/>
      <c r="GW69" s="26">
        <v>0</v>
      </c>
      <c r="GX69" s="32"/>
      <c r="HA69" s="26">
        <v>0</v>
      </c>
      <c r="HB69" s="32"/>
      <c r="HC69">
        <v>60</v>
      </c>
      <c r="HD69">
        <v>58</v>
      </c>
      <c r="HE69" s="26">
        <v>-2</v>
      </c>
      <c r="HF69" s="32"/>
      <c r="HI69" s="26">
        <v>0</v>
      </c>
      <c r="HJ69" s="29"/>
      <c r="HK69">
        <v>51</v>
      </c>
      <c r="HL69">
        <v>50</v>
      </c>
      <c r="HM69">
        <v>42</v>
      </c>
      <c r="HN69">
        <v>42</v>
      </c>
      <c r="HO69" s="26">
        <v>1</v>
      </c>
      <c r="HP69" s="32"/>
      <c r="HQ69" s="31">
        <v>29.984999999999999</v>
      </c>
      <c r="HR69" s="31">
        <v>30</v>
      </c>
      <c r="HS69" s="26">
        <v>-1.500000000000057E-2</v>
      </c>
      <c r="HT69" s="32"/>
      <c r="HU69" s="31">
        <v>56.606999999999999</v>
      </c>
      <c r="HV69" s="31">
        <v>57.395000000000003</v>
      </c>
      <c r="HW69" s="26">
        <v>-0.78800000000000381</v>
      </c>
      <c r="HX69" s="32"/>
      <c r="HY69" s="34">
        <v>0</v>
      </c>
      <c r="HZ69" s="31">
        <v>0</v>
      </c>
      <c r="IA69" s="26">
        <v>0</v>
      </c>
      <c r="IB69" s="32"/>
    </row>
    <row r="70" spans="1:236" x14ac:dyDescent="0.25">
      <c r="A70" s="26" t="s">
        <v>197</v>
      </c>
      <c r="B70" s="27">
        <v>1</v>
      </c>
      <c r="E70">
        <v>40</v>
      </c>
      <c r="F70">
        <v>27</v>
      </c>
      <c r="I70" s="30"/>
      <c r="J70" s="36">
        <v>47</v>
      </c>
      <c r="K70" s="36">
        <v>44</v>
      </c>
      <c r="L70" s="35">
        <f t="shared" si="8"/>
        <v>3</v>
      </c>
      <c r="M70" s="29"/>
      <c r="N70" s="28">
        <v>123</v>
      </c>
      <c r="O70" s="36">
        <v>117</v>
      </c>
      <c r="P70" s="35">
        <f t="shared" si="9"/>
        <v>6</v>
      </c>
      <c r="Q70" s="29"/>
      <c r="R70" s="28">
        <v>68</v>
      </c>
      <c r="S70" s="36">
        <v>66</v>
      </c>
      <c r="T70" s="35">
        <f t="shared" si="10"/>
        <v>2</v>
      </c>
      <c r="U70" s="29"/>
      <c r="V70" s="36">
        <v>69</v>
      </c>
      <c r="W70">
        <v>58</v>
      </c>
      <c r="X70" s="26">
        <v>11</v>
      </c>
      <c r="Y70" s="29"/>
      <c r="Z70" s="28">
        <v>73</v>
      </c>
      <c r="AA70">
        <v>70</v>
      </c>
      <c r="AB70" s="26">
        <v>3</v>
      </c>
      <c r="AC70" s="29"/>
      <c r="AD70">
        <v>93</v>
      </c>
      <c r="AE70">
        <v>88</v>
      </c>
      <c r="AF70" s="26">
        <v>5</v>
      </c>
      <c r="AG70" s="29"/>
      <c r="AH70" s="28">
        <v>103</v>
      </c>
      <c r="AI70">
        <v>97</v>
      </c>
      <c r="AJ70" s="26">
        <v>6</v>
      </c>
      <c r="AK70" s="29"/>
      <c r="AL70" s="28">
        <v>122</v>
      </c>
      <c r="AM70">
        <v>120</v>
      </c>
      <c r="AN70" s="26">
        <v>2</v>
      </c>
      <c r="AO70" s="29"/>
      <c r="AR70" s="26">
        <v>0</v>
      </c>
      <c r="AS70" s="29"/>
      <c r="AT70" s="28">
        <v>62</v>
      </c>
      <c r="AU70">
        <v>60</v>
      </c>
      <c r="AV70">
        <v>72</v>
      </c>
      <c r="AW70">
        <v>67</v>
      </c>
      <c r="AX70" s="26">
        <v>7</v>
      </c>
      <c r="AY70" s="29"/>
      <c r="AZ70" s="28">
        <v>56</v>
      </c>
      <c r="BA70">
        <v>54</v>
      </c>
      <c r="BB70" s="26">
        <v>2</v>
      </c>
      <c r="BC70" s="29"/>
      <c r="BF70">
        <v>89</v>
      </c>
      <c r="BG70">
        <v>87</v>
      </c>
      <c r="BH70" s="26">
        <v>2</v>
      </c>
      <c r="BI70" s="29"/>
      <c r="BJ70">
        <v>19</v>
      </c>
      <c r="BK70">
        <v>16</v>
      </c>
      <c r="BL70" s="26">
        <v>3</v>
      </c>
      <c r="BM70" s="29"/>
      <c r="BN70" s="28">
        <v>198</v>
      </c>
      <c r="BO70">
        <v>191</v>
      </c>
      <c r="BP70" s="26">
        <v>7</v>
      </c>
      <c r="BQ70" s="29"/>
      <c r="BR70" s="28">
        <v>102</v>
      </c>
      <c r="BS70">
        <v>97</v>
      </c>
      <c r="BT70" s="26">
        <v>5</v>
      </c>
      <c r="BU70" s="29"/>
      <c r="BX70" s="26">
        <v>0</v>
      </c>
      <c r="BY70" s="29"/>
      <c r="BZ70" s="28">
        <v>143</v>
      </c>
      <c r="CB70">
        <v>135</v>
      </c>
      <c r="CC70" s="26">
        <v>8</v>
      </c>
      <c r="CD70" s="29"/>
      <c r="CE70" s="30"/>
      <c r="CI70" s="26">
        <v>0</v>
      </c>
      <c r="CJ70" s="29"/>
      <c r="CK70" s="28">
        <v>218</v>
      </c>
      <c r="CM70">
        <v>209</v>
      </c>
      <c r="CN70" s="26">
        <v>9</v>
      </c>
      <c r="CO70" s="29"/>
      <c r="CP70">
        <v>138</v>
      </c>
      <c r="CQ70" s="26">
        <v>130.97040000000001</v>
      </c>
      <c r="CR70" s="26">
        <v>7.0295999999999879</v>
      </c>
      <c r="CS70" s="29"/>
      <c r="CT70" s="34"/>
      <c r="CV70" s="26">
        <v>0</v>
      </c>
      <c r="CW70" s="29"/>
      <c r="CX70" s="28">
        <v>31</v>
      </c>
      <c r="CY70" s="26">
        <v>30.439399999999988</v>
      </c>
      <c r="CZ70" s="26">
        <v>0.56060000000001153</v>
      </c>
      <c r="DA70" s="29"/>
      <c r="DB70" s="28">
        <v>118</v>
      </c>
      <c r="DC70">
        <v>113</v>
      </c>
      <c r="DD70" s="26">
        <v>5</v>
      </c>
      <c r="DE70" s="29"/>
      <c r="DF70">
        <v>44</v>
      </c>
      <c r="DG70" s="31">
        <v>40</v>
      </c>
      <c r="DH70" s="26">
        <v>4</v>
      </c>
      <c r="DI70" s="29"/>
      <c r="DJ70">
        <v>184</v>
      </c>
      <c r="DK70">
        <v>175</v>
      </c>
      <c r="DL70" s="26">
        <v>9</v>
      </c>
      <c r="DM70" s="29"/>
      <c r="DN70" s="30"/>
      <c r="DQ70" s="26">
        <v>0</v>
      </c>
      <c r="DR70" s="29"/>
      <c r="DS70" s="30"/>
      <c r="DV70" s="26">
        <v>0</v>
      </c>
      <c r="DW70" s="29"/>
      <c r="DZ70" s="26">
        <v>0</v>
      </c>
      <c r="EA70" s="29"/>
      <c r="EB70" s="30"/>
      <c r="EC70">
        <v>76</v>
      </c>
      <c r="ED70">
        <v>70</v>
      </c>
      <c r="EE70">
        <v>69</v>
      </c>
      <c r="EF70">
        <v>65</v>
      </c>
      <c r="EG70" s="26">
        <v>10</v>
      </c>
      <c r="EH70" s="29"/>
      <c r="EK70" s="26">
        <v>0</v>
      </c>
      <c r="EL70" s="29"/>
      <c r="EM70" s="28">
        <v>105</v>
      </c>
      <c r="EN70">
        <v>100</v>
      </c>
      <c r="EO70">
        <v>110</v>
      </c>
      <c r="EP70">
        <v>102</v>
      </c>
      <c r="EQ70" s="26">
        <v>13</v>
      </c>
      <c r="ER70" s="29"/>
      <c r="ES70">
        <v>53</v>
      </c>
      <c r="ET70">
        <v>50</v>
      </c>
      <c r="EU70">
        <v>61</v>
      </c>
      <c r="EV70">
        <v>60</v>
      </c>
      <c r="EW70" s="26">
        <v>4</v>
      </c>
      <c r="EX70" s="29"/>
      <c r="FA70" s="26">
        <v>0</v>
      </c>
      <c r="FB70" s="29"/>
      <c r="FC70" s="28">
        <v>136</v>
      </c>
      <c r="FD70">
        <v>130</v>
      </c>
      <c r="FE70" s="26">
        <v>6</v>
      </c>
      <c r="FF70" s="29"/>
      <c r="FG70" s="28">
        <v>77</v>
      </c>
      <c r="FH70">
        <v>75</v>
      </c>
      <c r="FI70" s="26">
        <v>2</v>
      </c>
      <c r="FJ70" s="29"/>
      <c r="FK70">
        <v>31</v>
      </c>
      <c r="FL70">
        <v>30</v>
      </c>
      <c r="FM70" s="26">
        <v>1</v>
      </c>
      <c r="FN70" s="29"/>
      <c r="FO70" s="28">
        <v>52</v>
      </c>
      <c r="FP70">
        <v>50</v>
      </c>
      <c r="FQ70" s="26">
        <v>2</v>
      </c>
      <c r="FR70" s="29"/>
      <c r="FS70" s="28">
        <v>86</v>
      </c>
      <c r="FT70">
        <v>87</v>
      </c>
      <c r="FU70" s="26">
        <v>-1</v>
      </c>
      <c r="FV70" s="29"/>
      <c r="FY70" s="26">
        <v>0</v>
      </c>
      <c r="FZ70" s="32"/>
      <c r="GA70">
        <v>68</v>
      </c>
      <c r="GB70">
        <v>69</v>
      </c>
      <c r="GC70" s="26">
        <v>-1</v>
      </c>
      <c r="GD70" s="29"/>
      <c r="GE70">
        <v>21</v>
      </c>
      <c r="GF70">
        <v>20</v>
      </c>
      <c r="GG70" s="26">
        <v>1</v>
      </c>
      <c r="GH70" s="32"/>
      <c r="GI70">
        <v>91</v>
      </c>
      <c r="GJ70">
        <v>90</v>
      </c>
      <c r="GK70" s="26">
        <v>1</v>
      </c>
      <c r="GL70" s="29"/>
      <c r="GM70">
        <v>9</v>
      </c>
      <c r="GN70">
        <v>9</v>
      </c>
      <c r="GO70" s="26">
        <v>0</v>
      </c>
      <c r="GP70" s="32"/>
      <c r="GQ70">
        <v>15</v>
      </c>
      <c r="GR70" s="31">
        <v>14.779</v>
      </c>
      <c r="GS70" s="26">
        <v>0.22100000000000011</v>
      </c>
      <c r="GT70" s="29"/>
      <c r="GU70" s="28">
        <v>50</v>
      </c>
      <c r="GV70" s="31">
        <v>50</v>
      </c>
      <c r="GW70" s="26">
        <v>0</v>
      </c>
      <c r="GX70" s="32"/>
      <c r="GY70">
        <v>21</v>
      </c>
      <c r="GZ70">
        <v>19</v>
      </c>
      <c r="HA70" s="26">
        <v>2</v>
      </c>
      <c r="HB70" s="32"/>
      <c r="HE70" s="26">
        <v>0</v>
      </c>
      <c r="HF70" s="32"/>
      <c r="HI70" s="26">
        <v>0</v>
      </c>
      <c r="HJ70" s="29"/>
      <c r="HK70">
        <v>52</v>
      </c>
      <c r="HL70">
        <v>50</v>
      </c>
      <c r="HM70">
        <v>48</v>
      </c>
      <c r="HN70">
        <v>46</v>
      </c>
      <c r="HO70" s="26">
        <v>4</v>
      </c>
      <c r="HP70" s="32"/>
      <c r="HQ70" s="31">
        <v>0</v>
      </c>
      <c r="HR70" s="31">
        <v>0</v>
      </c>
      <c r="HS70" s="26">
        <v>0</v>
      </c>
      <c r="HT70" s="32"/>
      <c r="HU70" s="31">
        <v>93.634</v>
      </c>
      <c r="HV70" s="31">
        <v>91.266199999999998</v>
      </c>
      <c r="HW70" s="26">
        <v>2.367800000000003</v>
      </c>
      <c r="HX70" s="32"/>
      <c r="HY70" s="34">
        <v>0</v>
      </c>
      <c r="HZ70" s="31">
        <v>0</v>
      </c>
      <c r="IA70" s="26">
        <v>0</v>
      </c>
      <c r="IB70" s="32"/>
    </row>
    <row r="71" spans="1:236" x14ac:dyDescent="0.25">
      <c r="A71" s="26" t="s">
        <v>198</v>
      </c>
      <c r="B71" s="27">
        <v>0.1</v>
      </c>
      <c r="I71" s="30"/>
      <c r="J71" s="35"/>
      <c r="K71" s="35"/>
      <c r="L71" s="35">
        <f t="shared" si="8"/>
        <v>0</v>
      </c>
      <c r="M71" s="29"/>
      <c r="N71" s="30"/>
      <c r="O71" s="35"/>
      <c r="P71" s="35">
        <f t="shared" si="9"/>
        <v>0</v>
      </c>
      <c r="Q71" s="29"/>
      <c r="R71" s="30"/>
      <c r="S71" s="35"/>
      <c r="T71" s="35">
        <f t="shared" si="10"/>
        <v>0</v>
      </c>
      <c r="U71" s="29"/>
      <c r="V71" s="35"/>
      <c r="X71" s="26">
        <v>0</v>
      </c>
      <c r="Y71" s="29"/>
      <c r="Z71" s="30"/>
      <c r="AB71" s="26">
        <v>0</v>
      </c>
      <c r="AC71" s="29"/>
      <c r="AF71" s="26">
        <v>0</v>
      </c>
      <c r="AG71" s="29"/>
      <c r="AH71" s="30"/>
      <c r="AJ71" s="26">
        <v>0</v>
      </c>
      <c r="AK71" s="29"/>
      <c r="AL71" s="30"/>
      <c r="AN71" s="26">
        <v>0</v>
      </c>
      <c r="AO71" s="29"/>
      <c r="AR71" s="26">
        <v>0</v>
      </c>
      <c r="AS71" s="29"/>
      <c r="AT71" s="30"/>
      <c r="AX71" s="26">
        <v>0</v>
      </c>
      <c r="AY71" s="29"/>
      <c r="AZ71" s="30"/>
      <c r="BB71" s="26">
        <v>0</v>
      </c>
      <c r="BC71" s="29"/>
      <c r="BH71" s="26">
        <v>0</v>
      </c>
      <c r="BI71" s="29"/>
      <c r="BL71" s="26">
        <v>0</v>
      </c>
      <c r="BM71" s="29"/>
      <c r="BN71" s="30"/>
      <c r="BP71" s="26">
        <v>0</v>
      </c>
      <c r="BQ71" s="29"/>
      <c r="BR71" s="30"/>
      <c r="BT71" s="26">
        <v>0</v>
      </c>
      <c r="BU71" s="29"/>
      <c r="BX71" s="26">
        <v>0</v>
      </c>
      <c r="BY71" s="29"/>
      <c r="BZ71" s="30"/>
      <c r="CC71" s="26">
        <v>0</v>
      </c>
      <c r="CD71" s="29"/>
      <c r="CE71" s="30"/>
      <c r="CI71" s="26">
        <v>0</v>
      </c>
      <c r="CJ71" s="29"/>
      <c r="CK71" s="30"/>
      <c r="CN71" s="26">
        <v>0</v>
      </c>
      <c r="CO71" s="29"/>
      <c r="CR71" s="26">
        <v>0</v>
      </c>
      <c r="CS71" s="29"/>
      <c r="CT71" s="34"/>
      <c r="CV71" s="26">
        <v>0</v>
      </c>
      <c r="CW71" s="29"/>
      <c r="CX71" s="30"/>
      <c r="CZ71" s="26">
        <v>0</v>
      </c>
      <c r="DA71" s="29"/>
      <c r="DB71" s="30"/>
      <c r="DD71" s="26">
        <v>0</v>
      </c>
      <c r="DE71" s="29"/>
      <c r="DH71" s="26">
        <v>0</v>
      </c>
      <c r="DI71" s="29"/>
      <c r="DL71" s="26">
        <v>0</v>
      </c>
      <c r="DM71" s="29"/>
      <c r="DN71" s="30"/>
      <c r="DQ71" s="26">
        <v>0</v>
      </c>
      <c r="DR71" s="29"/>
      <c r="DS71" s="30"/>
      <c r="DV71" s="26">
        <v>0</v>
      </c>
      <c r="DW71" s="29"/>
      <c r="DZ71" s="26">
        <v>0</v>
      </c>
      <c r="EA71" s="29"/>
      <c r="EB71" s="30"/>
      <c r="EG71" s="26">
        <v>0</v>
      </c>
      <c r="EH71" s="29"/>
      <c r="EK71" s="26">
        <v>0</v>
      </c>
      <c r="EL71" s="29"/>
      <c r="EM71" s="30"/>
      <c r="EQ71" s="26">
        <v>0</v>
      </c>
      <c r="ER71" s="29"/>
      <c r="EW71" s="26">
        <v>0</v>
      </c>
      <c r="EX71" s="29"/>
      <c r="FA71" s="26">
        <v>0</v>
      </c>
      <c r="FB71" s="29"/>
      <c r="FC71" s="30"/>
      <c r="FE71" s="26">
        <v>0</v>
      </c>
      <c r="FF71" s="29"/>
      <c r="FG71" s="30"/>
      <c r="FI71" s="26">
        <v>0</v>
      </c>
      <c r="FJ71" s="29"/>
      <c r="FM71" s="26">
        <v>0</v>
      </c>
      <c r="FN71" s="29"/>
      <c r="FO71" s="30"/>
      <c r="FQ71" s="26">
        <v>0</v>
      </c>
      <c r="FR71" s="29"/>
      <c r="FS71" s="30"/>
      <c r="FU71" s="26">
        <v>0</v>
      </c>
      <c r="FV71" s="29"/>
      <c r="FY71" s="26">
        <v>0</v>
      </c>
      <c r="FZ71" s="32"/>
      <c r="GC71" s="26">
        <v>0</v>
      </c>
      <c r="GD71" s="29"/>
      <c r="GG71" s="26">
        <v>0</v>
      </c>
      <c r="GH71" s="32"/>
      <c r="GK71" s="26">
        <v>0</v>
      </c>
      <c r="GL71" s="29"/>
      <c r="GO71" s="26">
        <v>0</v>
      </c>
      <c r="GP71" s="32"/>
      <c r="GS71" s="26">
        <v>0</v>
      </c>
      <c r="GT71" s="29"/>
      <c r="GU71" s="34"/>
      <c r="GW71" s="26">
        <v>0</v>
      </c>
      <c r="GX71" s="32"/>
      <c r="HA71" s="26">
        <v>0</v>
      </c>
      <c r="HB71" s="32"/>
      <c r="HE71" s="26">
        <v>0</v>
      </c>
      <c r="HF71" s="32"/>
      <c r="HI71" s="26">
        <v>0</v>
      </c>
      <c r="HJ71" s="29"/>
      <c r="HK71" s="27"/>
      <c r="HM71" s="27"/>
      <c r="HO71" s="26">
        <v>0</v>
      </c>
      <c r="HP71" s="32"/>
      <c r="HQ71" s="31">
        <v>0</v>
      </c>
      <c r="HR71" s="31">
        <v>0</v>
      </c>
      <c r="HS71" s="26">
        <v>0</v>
      </c>
      <c r="HT71" s="32"/>
      <c r="HU71" s="31">
        <v>0</v>
      </c>
      <c r="HV71" s="31">
        <v>0</v>
      </c>
      <c r="HW71" s="26">
        <v>0</v>
      </c>
      <c r="HX71" s="32"/>
      <c r="HY71" s="34">
        <v>0</v>
      </c>
      <c r="HZ71" s="31">
        <v>0</v>
      </c>
      <c r="IA71" s="26">
        <v>0</v>
      </c>
      <c r="IB71" s="32"/>
    </row>
    <row r="72" spans="1:236" x14ac:dyDescent="0.25">
      <c r="A72" s="26" t="s">
        <v>199</v>
      </c>
      <c r="B72" s="27">
        <v>1</v>
      </c>
      <c r="I72" s="30"/>
      <c r="J72" s="35"/>
      <c r="K72" s="35"/>
      <c r="L72" s="35">
        <f t="shared" si="8"/>
        <v>0</v>
      </c>
      <c r="M72" s="29"/>
      <c r="N72" s="30"/>
      <c r="O72" s="35"/>
      <c r="P72" s="35">
        <f t="shared" si="9"/>
        <v>0</v>
      </c>
      <c r="Q72" s="29"/>
      <c r="R72" s="30"/>
      <c r="S72" s="35"/>
      <c r="T72" s="35">
        <f t="shared" si="10"/>
        <v>0</v>
      </c>
      <c r="U72" s="29"/>
      <c r="V72" s="35"/>
      <c r="X72" s="26">
        <v>0</v>
      </c>
      <c r="Y72" s="29"/>
      <c r="Z72" s="30"/>
      <c r="AB72" s="26">
        <v>0</v>
      </c>
      <c r="AC72" s="29"/>
      <c r="AF72" s="26">
        <v>0</v>
      </c>
      <c r="AG72" s="29"/>
      <c r="AH72" s="30"/>
      <c r="AJ72" s="26">
        <v>0</v>
      </c>
      <c r="AK72" s="29"/>
      <c r="AL72" s="30"/>
      <c r="AN72" s="26">
        <v>0</v>
      </c>
      <c r="AO72" s="29"/>
      <c r="AR72" s="26">
        <v>0</v>
      </c>
      <c r="AS72" s="29"/>
      <c r="AT72" s="30"/>
      <c r="AX72" s="26">
        <v>0</v>
      </c>
      <c r="AY72" s="29"/>
      <c r="AZ72" s="30"/>
      <c r="BB72" s="26">
        <v>0</v>
      </c>
      <c r="BC72" s="29"/>
      <c r="BH72" s="26">
        <v>0</v>
      </c>
      <c r="BI72" s="29"/>
      <c r="BL72" s="26">
        <v>0</v>
      </c>
      <c r="BM72" s="29"/>
      <c r="BN72" s="30"/>
      <c r="BP72" s="26">
        <v>0</v>
      </c>
      <c r="BQ72" s="29"/>
      <c r="BR72" s="30"/>
      <c r="BT72" s="26">
        <v>0</v>
      </c>
      <c r="BU72" s="29"/>
      <c r="BX72" s="26">
        <v>0</v>
      </c>
      <c r="BY72" s="29"/>
      <c r="BZ72" s="30"/>
      <c r="CC72" s="26">
        <v>0</v>
      </c>
      <c r="CD72" s="29"/>
      <c r="CE72" s="30"/>
      <c r="CI72" s="26">
        <v>0</v>
      </c>
      <c r="CJ72" s="29"/>
      <c r="CK72" s="30"/>
      <c r="CN72" s="26">
        <v>0</v>
      </c>
      <c r="CO72" s="29"/>
      <c r="CR72" s="26">
        <v>0</v>
      </c>
      <c r="CS72" s="29"/>
      <c r="CT72" s="34"/>
      <c r="CV72" s="26">
        <v>0</v>
      </c>
      <c r="CW72" s="29"/>
      <c r="CX72" s="30"/>
      <c r="CZ72" s="26">
        <v>0</v>
      </c>
      <c r="DA72" s="29"/>
      <c r="DB72" s="30"/>
      <c r="DD72" s="26">
        <v>0</v>
      </c>
      <c r="DE72" s="29"/>
      <c r="DH72" s="26">
        <v>0</v>
      </c>
      <c r="DI72" s="29"/>
      <c r="DL72" s="26">
        <v>0</v>
      </c>
      <c r="DM72" s="29"/>
      <c r="DN72" s="30"/>
      <c r="DQ72" s="26">
        <v>0</v>
      </c>
      <c r="DR72" s="29"/>
      <c r="DS72" s="30"/>
      <c r="DV72" s="26">
        <v>0</v>
      </c>
      <c r="DW72" s="29"/>
      <c r="DZ72" s="26">
        <v>0</v>
      </c>
      <c r="EA72" s="29"/>
      <c r="EB72" s="30"/>
      <c r="EG72" s="26">
        <v>0</v>
      </c>
      <c r="EH72" s="29"/>
      <c r="EK72" s="26">
        <v>0</v>
      </c>
      <c r="EL72" s="29"/>
      <c r="EM72" s="30"/>
      <c r="EQ72" s="26">
        <v>0</v>
      </c>
      <c r="ER72" s="29"/>
      <c r="EW72" s="26">
        <v>0</v>
      </c>
      <c r="EX72" s="29"/>
      <c r="FA72" s="26">
        <v>0</v>
      </c>
      <c r="FB72" s="29"/>
      <c r="FC72" s="30"/>
      <c r="FE72" s="26">
        <v>0</v>
      </c>
      <c r="FF72" s="29"/>
      <c r="FG72" s="30"/>
      <c r="FI72" s="26">
        <v>0</v>
      </c>
      <c r="FJ72" s="29"/>
      <c r="FM72" s="26">
        <v>0</v>
      </c>
      <c r="FN72" s="29"/>
      <c r="FO72" s="30"/>
      <c r="FQ72" s="26">
        <v>0</v>
      </c>
      <c r="FR72" s="29"/>
      <c r="FS72" s="30"/>
      <c r="FU72" s="26">
        <v>0</v>
      </c>
      <c r="FV72" s="29"/>
      <c r="FY72" s="26">
        <v>0</v>
      </c>
      <c r="FZ72" s="32"/>
      <c r="GC72" s="26">
        <v>0</v>
      </c>
      <c r="GD72" s="29"/>
      <c r="GG72" s="26">
        <v>0</v>
      </c>
      <c r="GH72" s="32"/>
      <c r="GK72" s="26">
        <v>0</v>
      </c>
      <c r="GL72" s="29"/>
      <c r="GO72" s="26">
        <v>0</v>
      </c>
      <c r="GP72" s="32"/>
      <c r="GS72" s="26">
        <v>0</v>
      </c>
      <c r="GT72" s="29"/>
      <c r="GU72" s="34"/>
      <c r="GW72" s="26">
        <v>0</v>
      </c>
      <c r="GX72" s="32"/>
      <c r="HA72" s="26">
        <v>0</v>
      </c>
      <c r="HB72" s="32"/>
      <c r="HE72" s="26">
        <v>0</v>
      </c>
      <c r="HF72" s="32"/>
      <c r="HI72" s="26">
        <v>0</v>
      </c>
      <c r="HJ72" s="29"/>
      <c r="HK72" s="27"/>
      <c r="HM72" s="27"/>
      <c r="HO72" s="26">
        <v>0</v>
      </c>
      <c r="HP72" s="32"/>
      <c r="HQ72" s="31">
        <v>0</v>
      </c>
      <c r="HR72" s="31">
        <v>0</v>
      </c>
      <c r="HS72" s="26">
        <v>0</v>
      </c>
      <c r="HT72" s="32"/>
      <c r="HU72" s="31">
        <v>0</v>
      </c>
      <c r="HV72" s="31">
        <v>0</v>
      </c>
      <c r="HW72" s="26">
        <v>0</v>
      </c>
      <c r="HX72" s="32"/>
      <c r="HY72" s="34">
        <v>0</v>
      </c>
      <c r="HZ72" s="31">
        <v>0</v>
      </c>
      <c r="IA72" s="26">
        <v>0</v>
      </c>
      <c r="IB72" s="32"/>
    </row>
    <row r="73" spans="1:236" x14ac:dyDescent="0.25">
      <c r="A73" s="26" t="s">
        <v>200</v>
      </c>
      <c r="B73" s="27">
        <v>0.09</v>
      </c>
      <c r="I73" s="30"/>
      <c r="J73" s="35"/>
      <c r="K73" s="35"/>
      <c r="L73" s="35">
        <f t="shared" si="8"/>
        <v>0</v>
      </c>
      <c r="M73" s="29"/>
      <c r="N73" s="30"/>
      <c r="O73" s="35"/>
      <c r="P73" s="35">
        <f t="shared" si="9"/>
        <v>0</v>
      </c>
      <c r="Q73" s="29"/>
      <c r="R73" s="30"/>
      <c r="S73" s="35"/>
      <c r="T73" s="35">
        <f t="shared" si="10"/>
        <v>0</v>
      </c>
      <c r="U73" s="29"/>
      <c r="V73" s="35"/>
      <c r="X73" s="26">
        <v>0</v>
      </c>
      <c r="Y73" s="29"/>
      <c r="Z73" s="30"/>
      <c r="AB73" s="26">
        <v>0</v>
      </c>
      <c r="AC73" s="29"/>
      <c r="AE73">
        <v>10</v>
      </c>
      <c r="AF73" s="25">
        <v>-10</v>
      </c>
      <c r="AG73" s="29">
        <v>0.89999999999999991</v>
      </c>
      <c r="AH73" s="30"/>
      <c r="AI73">
        <v>10</v>
      </c>
      <c r="AJ73" s="25">
        <v>-10</v>
      </c>
      <c r="AK73" s="29">
        <v>0.89999999999999991</v>
      </c>
      <c r="AL73" s="30"/>
      <c r="AM73">
        <v>10</v>
      </c>
      <c r="AN73" s="25">
        <v>-10</v>
      </c>
      <c r="AO73" s="29">
        <v>0.89999999999999991</v>
      </c>
      <c r="AQ73">
        <v>20</v>
      </c>
      <c r="AR73" s="25">
        <v>-20</v>
      </c>
      <c r="AS73" s="29">
        <v>1.8</v>
      </c>
      <c r="AT73" s="30"/>
      <c r="AX73" s="26">
        <v>0</v>
      </c>
      <c r="AY73" s="29"/>
      <c r="AZ73" s="30"/>
      <c r="BA73">
        <v>20</v>
      </c>
      <c r="BB73" s="25">
        <v>-20</v>
      </c>
      <c r="BC73" s="29">
        <v>1.8</v>
      </c>
      <c r="BG73">
        <v>20</v>
      </c>
      <c r="BH73" s="25">
        <v>-20</v>
      </c>
      <c r="BI73" s="29">
        <v>1.8</v>
      </c>
      <c r="BL73" s="26">
        <v>0</v>
      </c>
      <c r="BM73" s="29"/>
      <c r="BN73" s="30"/>
      <c r="BO73">
        <v>21</v>
      </c>
      <c r="BP73" s="25">
        <v>-21</v>
      </c>
      <c r="BQ73" s="29">
        <v>1.89</v>
      </c>
      <c r="BR73" s="30"/>
      <c r="BT73" s="26">
        <v>0</v>
      </c>
      <c r="BU73" s="29"/>
      <c r="BV73">
        <v>10</v>
      </c>
      <c r="BW73">
        <v>18</v>
      </c>
      <c r="BX73" s="26">
        <v>-8</v>
      </c>
      <c r="BY73" s="29"/>
      <c r="BZ73" s="28">
        <v>10</v>
      </c>
      <c r="CB73">
        <v>10</v>
      </c>
      <c r="CC73" s="26">
        <v>0</v>
      </c>
      <c r="CD73" s="29"/>
      <c r="CE73" s="30"/>
      <c r="CG73">
        <v>10</v>
      </c>
      <c r="CH73">
        <v>10</v>
      </c>
      <c r="CI73" s="26">
        <v>0</v>
      </c>
      <c r="CJ73" s="29"/>
      <c r="CK73" s="30"/>
      <c r="CM73">
        <v>20</v>
      </c>
      <c r="CN73" s="25">
        <v>-20</v>
      </c>
      <c r="CO73" s="29">
        <v>1.8</v>
      </c>
      <c r="CR73" s="26">
        <v>0</v>
      </c>
      <c r="CS73" s="29"/>
      <c r="CT73" s="28">
        <v>10</v>
      </c>
      <c r="CU73" s="26">
        <v>12</v>
      </c>
      <c r="CV73" s="26">
        <v>-2</v>
      </c>
      <c r="CW73" s="29"/>
      <c r="CX73" s="30"/>
      <c r="CZ73" s="26">
        <v>0</v>
      </c>
      <c r="DA73" s="29"/>
      <c r="DB73" s="30"/>
      <c r="DC73">
        <v>14</v>
      </c>
      <c r="DD73" s="25">
        <v>-14</v>
      </c>
      <c r="DE73" s="32">
        <v>1.26</v>
      </c>
      <c r="DH73" s="26">
        <v>0</v>
      </c>
      <c r="DI73" s="29"/>
      <c r="DJ73">
        <v>20</v>
      </c>
      <c r="DK73">
        <v>20</v>
      </c>
      <c r="DL73" s="26">
        <v>0</v>
      </c>
      <c r="DM73" s="29"/>
      <c r="DN73" s="30"/>
      <c r="DQ73" s="26">
        <v>0</v>
      </c>
      <c r="DR73" s="29"/>
      <c r="DS73" s="30"/>
      <c r="DV73" s="26">
        <v>0</v>
      </c>
      <c r="DW73" s="29"/>
      <c r="DX73">
        <v>20</v>
      </c>
      <c r="DY73" s="31">
        <v>20</v>
      </c>
      <c r="DZ73" s="26">
        <v>0</v>
      </c>
      <c r="EA73" s="29"/>
      <c r="EB73" s="30"/>
      <c r="EG73" s="26">
        <v>0</v>
      </c>
      <c r="EH73" s="29"/>
      <c r="EI73">
        <v>10</v>
      </c>
      <c r="EJ73" s="31">
        <v>16.8</v>
      </c>
      <c r="EK73" s="26">
        <v>-6.8000000000000007</v>
      </c>
      <c r="EL73" s="29"/>
      <c r="EM73" s="30"/>
      <c r="EQ73" s="26">
        <v>0</v>
      </c>
      <c r="ER73" s="29"/>
      <c r="EW73" s="26">
        <v>0</v>
      </c>
      <c r="EX73" s="29"/>
      <c r="EY73">
        <v>30</v>
      </c>
      <c r="EZ73" s="31">
        <v>30</v>
      </c>
      <c r="FA73" s="26">
        <v>0</v>
      </c>
      <c r="FB73" s="29"/>
      <c r="FC73" s="30"/>
      <c r="FE73" s="26">
        <v>0</v>
      </c>
      <c r="FF73" s="29"/>
      <c r="FG73" s="28">
        <v>10</v>
      </c>
      <c r="FH73">
        <v>10</v>
      </c>
      <c r="FI73" s="26">
        <v>0</v>
      </c>
      <c r="FJ73" s="29"/>
      <c r="FK73">
        <v>10</v>
      </c>
      <c r="FL73">
        <v>14</v>
      </c>
      <c r="FM73" s="26">
        <v>-4</v>
      </c>
      <c r="FN73" s="29"/>
      <c r="FO73" s="30"/>
      <c r="FQ73" s="26">
        <v>0</v>
      </c>
      <c r="FR73" s="29"/>
      <c r="FS73" s="30"/>
      <c r="FU73" s="26">
        <v>0</v>
      </c>
      <c r="FV73" s="29"/>
      <c r="FW73">
        <v>20</v>
      </c>
      <c r="FX73">
        <v>20</v>
      </c>
      <c r="FY73" s="26">
        <v>0</v>
      </c>
      <c r="FZ73" s="32"/>
      <c r="GC73" s="26">
        <v>0</v>
      </c>
      <c r="GD73" s="29"/>
      <c r="GG73" s="26">
        <v>0</v>
      </c>
      <c r="GH73" s="32"/>
      <c r="GK73" s="26">
        <v>0</v>
      </c>
      <c r="GL73" s="29"/>
      <c r="GO73" s="26">
        <v>0</v>
      </c>
      <c r="GP73" s="32"/>
      <c r="GS73" s="26">
        <v>0</v>
      </c>
      <c r="GT73" s="29"/>
      <c r="GU73" s="34"/>
      <c r="GW73" s="26">
        <v>0</v>
      </c>
      <c r="GX73" s="32"/>
      <c r="HA73" s="26">
        <v>0</v>
      </c>
      <c r="HB73" s="32"/>
      <c r="HE73" s="26">
        <v>0</v>
      </c>
      <c r="HF73" s="32"/>
      <c r="HI73" s="26">
        <v>0</v>
      </c>
      <c r="HJ73" s="29"/>
      <c r="HK73" s="27"/>
      <c r="HM73" s="27"/>
      <c r="HO73" s="26">
        <v>0</v>
      </c>
      <c r="HP73" s="32"/>
      <c r="HQ73" s="31">
        <v>0</v>
      </c>
      <c r="HR73" s="31">
        <v>0</v>
      </c>
      <c r="HS73" s="26">
        <v>0</v>
      </c>
      <c r="HT73" s="32"/>
      <c r="HU73" s="31">
        <v>0</v>
      </c>
      <c r="HV73" s="31">
        <v>0</v>
      </c>
      <c r="HW73" s="26">
        <v>0</v>
      </c>
      <c r="HX73" s="32"/>
      <c r="HY73" s="34">
        <v>0</v>
      </c>
      <c r="HZ73" s="31">
        <v>0</v>
      </c>
      <c r="IA73" s="26">
        <v>0</v>
      </c>
      <c r="IB73" s="32"/>
    </row>
    <row r="74" spans="1:236" x14ac:dyDescent="0.25">
      <c r="A74" s="26" t="s">
        <v>201</v>
      </c>
      <c r="B74" s="27">
        <v>1</v>
      </c>
      <c r="I74" s="30"/>
      <c r="J74" s="35"/>
      <c r="K74" s="35"/>
      <c r="L74" s="35">
        <f t="shared" si="8"/>
        <v>0</v>
      </c>
      <c r="M74" s="29"/>
      <c r="N74" s="30"/>
      <c r="O74" s="35"/>
      <c r="P74" s="35">
        <f t="shared" si="9"/>
        <v>0</v>
      </c>
      <c r="Q74" s="29"/>
      <c r="R74" s="30"/>
      <c r="S74" s="35"/>
      <c r="T74" s="35">
        <f t="shared" si="10"/>
        <v>0</v>
      </c>
      <c r="U74" s="29"/>
      <c r="V74" s="35"/>
      <c r="X74" s="26">
        <v>0</v>
      </c>
      <c r="Y74" s="29"/>
      <c r="Z74" s="30"/>
      <c r="AB74" s="26">
        <v>0</v>
      </c>
      <c r="AC74" s="29"/>
      <c r="AF74" s="26">
        <v>0</v>
      </c>
      <c r="AG74" s="29"/>
      <c r="AH74" s="30"/>
      <c r="AJ74" s="26">
        <v>0</v>
      </c>
      <c r="AK74" s="29"/>
      <c r="AL74" s="30"/>
      <c r="AN74" s="26">
        <v>0</v>
      </c>
      <c r="AO74" s="29"/>
      <c r="AR74" s="26">
        <v>0</v>
      </c>
      <c r="AS74" s="29"/>
      <c r="AT74" s="30"/>
      <c r="AX74" s="26">
        <v>0</v>
      </c>
      <c r="AY74" s="29"/>
      <c r="AZ74" s="30"/>
      <c r="BB74" s="26">
        <v>0</v>
      </c>
      <c r="BC74" s="29"/>
      <c r="BH74" s="26">
        <v>0</v>
      </c>
      <c r="BI74" s="29"/>
      <c r="BL74" s="26">
        <v>0</v>
      </c>
      <c r="BM74" s="29"/>
      <c r="BN74" s="30"/>
      <c r="BP74" s="26">
        <v>0</v>
      </c>
      <c r="BQ74" s="29"/>
      <c r="BR74" s="30"/>
      <c r="BT74" s="26">
        <v>0</v>
      </c>
      <c r="BU74" s="29"/>
      <c r="BX74" s="26">
        <v>0</v>
      </c>
      <c r="BY74" s="29"/>
      <c r="BZ74" s="30"/>
      <c r="CC74" s="26">
        <v>0</v>
      </c>
      <c r="CD74" s="29"/>
      <c r="CE74" s="30"/>
      <c r="CI74" s="26">
        <v>0</v>
      </c>
      <c r="CJ74" s="29"/>
      <c r="CK74" s="30"/>
      <c r="CN74" s="26">
        <v>0</v>
      </c>
      <c r="CO74" s="29"/>
      <c r="CR74" s="26">
        <v>0</v>
      </c>
      <c r="CS74" s="29"/>
      <c r="CT74" s="34"/>
      <c r="CV74" s="26">
        <v>0</v>
      </c>
      <c r="CW74" s="29"/>
      <c r="CX74" s="30"/>
      <c r="CZ74" s="26">
        <v>0</v>
      </c>
      <c r="DA74" s="29"/>
      <c r="DB74" s="30"/>
      <c r="DD74" s="26">
        <v>0</v>
      </c>
      <c r="DE74" s="29"/>
      <c r="DH74" s="26">
        <v>0</v>
      </c>
      <c r="DI74" s="29"/>
      <c r="DL74" s="26">
        <v>0</v>
      </c>
      <c r="DM74" s="29"/>
      <c r="DN74" s="30"/>
      <c r="DQ74" s="26">
        <v>0</v>
      </c>
      <c r="DR74" s="29"/>
      <c r="DS74" s="30"/>
      <c r="DV74" s="26">
        <v>0</v>
      </c>
      <c r="DW74" s="29"/>
      <c r="DZ74" s="26">
        <v>0</v>
      </c>
      <c r="EA74" s="29"/>
      <c r="EB74" s="30"/>
      <c r="EG74" s="26">
        <v>0</v>
      </c>
      <c r="EH74" s="29"/>
      <c r="EK74" s="26">
        <v>0</v>
      </c>
      <c r="EL74" s="29"/>
      <c r="EM74" s="30"/>
      <c r="EQ74" s="26">
        <v>0</v>
      </c>
      <c r="ER74" s="29"/>
      <c r="EW74" s="26">
        <v>0</v>
      </c>
      <c r="EX74" s="29"/>
      <c r="FA74" s="26">
        <v>0</v>
      </c>
      <c r="FB74" s="29"/>
      <c r="FC74" s="30"/>
      <c r="FE74" s="26">
        <v>0</v>
      </c>
      <c r="FF74" s="29"/>
      <c r="FG74" s="30"/>
      <c r="FI74" s="26">
        <v>0</v>
      </c>
      <c r="FJ74" s="29"/>
      <c r="FM74" s="26">
        <v>0</v>
      </c>
      <c r="FN74" s="29"/>
      <c r="FO74" s="30"/>
      <c r="FQ74" s="26">
        <v>0</v>
      </c>
      <c r="FR74" s="29"/>
      <c r="FS74" s="30"/>
      <c r="FU74" s="26">
        <v>0</v>
      </c>
      <c r="FV74" s="29"/>
      <c r="FY74" s="26">
        <v>0</v>
      </c>
      <c r="FZ74" s="32"/>
      <c r="GC74" s="26">
        <v>0</v>
      </c>
      <c r="GD74" s="29"/>
      <c r="GG74" s="26">
        <v>0</v>
      </c>
      <c r="GH74" s="32"/>
      <c r="GK74" s="26">
        <v>0</v>
      </c>
      <c r="GL74" s="29"/>
      <c r="GO74" s="26">
        <v>0</v>
      </c>
      <c r="GP74" s="32"/>
      <c r="GS74" s="26">
        <v>0</v>
      </c>
      <c r="GT74" s="29"/>
      <c r="GU74" s="34"/>
      <c r="GW74" s="26">
        <v>0</v>
      </c>
      <c r="GX74" s="32"/>
      <c r="HA74" s="26">
        <v>0</v>
      </c>
      <c r="HB74" s="32"/>
      <c r="HE74" s="26">
        <v>0</v>
      </c>
      <c r="HF74" s="32"/>
      <c r="HI74" s="26">
        <v>0</v>
      </c>
      <c r="HJ74" s="29"/>
      <c r="HK74" s="27"/>
      <c r="HM74" s="27"/>
      <c r="HO74" s="26">
        <v>0</v>
      </c>
      <c r="HP74" s="32"/>
      <c r="HQ74" s="31">
        <v>0</v>
      </c>
      <c r="HR74" s="31">
        <v>0</v>
      </c>
      <c r="HS74" s="26">
        <v>0</v>
      </c>
      <c r="HT74" s="32"/>
      <c r="HU74" s="31">
        <v>0</v>
      </c>
      <c r="HV74" s="31">
        <v>0</v>
      </c>
      <c r="HW74" s="26">
        <v>0</v>
      </c>
      <c r="HX74" s="32"/>
      <c r="HY74" s="34">
        <v>0</v>
      </c>
      <c r="HZ74" s="31">
        <v>0</v>
      </c>
      <c r="IA74" s="26">
        <v>0</v>
      </c>
      <c r="IB74" s="32"/>
    </row>
    <row r="75" spans="1:236" x14ac:dyDescent="0.25">
      <c r="A75" s="26" t="s">
        <v>202</v>
      </c>
      <c r="B75" s="27">
        <v>1</v>
      </c>
      <c r="I75" s="30"/>
      <c r="J75" s="35"/>
      <c r="K75" s="35"/>
      <c r="L75" s="35">
        <f t="shared" si="8"/>
        <v>0</v>
      </c>
      <c r="M75" s="29"/>
      <c r="N75" s="30"/>
      <c r="O75" s="35"/>
      <c r="P75" s="35">
        <f t="shared" si="9"/>
        <v>0</v>
      </c>
      <c r="Q75" s="29"/>
      <c r="R75" s="30"/>
      <c r="S75" s="35"/>
      <c r="T75" s="35">
        <f t="shared" si="10"/>
        <v>0</v>
      </c>
      <c r="U75" s="29"/>
      <c r="V75" s="35"/>
      <c r="X75" s="26">
        <v>0</v>
      </c>
      <c r="Y75" s="29"/>
      <c r="Z75" s="30"/>
      <c r="AB75" s="26">
        <v>0</v>
      </c>
      <c r="AC75" s="29"/>
      <c r="AF75" s="26">
        <v>0</v>
      </c>
      <c r="AG75" s="29"/>
      <c r="AH75" s="30"/>
      <c r="AJ75" s="26">
        <v>0</v>
      </c>
      <c r="AK75" s="29"/>
      <c r="AL75" s="30"/>
      <c r="AN75" s="26">
        <v>0</v>
      </c>
      <c r="AO75" s="29"/>
      <c r="AR75" s="26">
        <v>0</v>
      </c>
      <c r="AS75" s="29"/>
      <c r="AT75" s="30"/>
      <c r="AX75" s="26">
        <v>0</v>
      </c>
      <c r="AY75" s="29"/>
      <c r="AZ75" s="30"/>
      <c r="BB75" s="26">
        <v>0</v>
      </c>
      <c r="BC75" s="29"/>
      <c r="BH75" s="26">
        <v>0</v>
      </c>
      <c r="BI75" s="29"/>
      <c r="BL75" s="26">
        <v>0</v>
      </c>
      <c r="BM75" s="29"/>
      <c r="BN75" s="30"/>
      <c r="BP75" s="26">
        <v>0</v>
      </c>
      <c r="BQ75" s="29"/>
      <c r="BR75" s="30"/>
      <c r="BT75" s="26">
        <v>0</v>
      </c>
      <c r="BU75" s="29"/>
      <c r="BX75" s="26">
        <v>0</v>
      </c>
      <c r="BY75" s="29"/>
      <c r="BZ75" s="30"/>
      <c r="CC75" s="26">
        <v>0</v>
      </c>
      <c r="CD75" s="29"/>
      <c r="CE75" s="30"/>
      <c r="CI75" s="26">
        <v>0</v>
      </c>
      <c r="CJ75" s="29"/>
      <c r="CK75" s="30"/>
      <c r="CN75" s="26">
        <v>0</v>
      </c>
      <c r="CO75" s="29"/>
      <c r="CR75" s="26">
        <v>0</v>
      </c>
      <c r="CS75" s="29"/>
      <c r="CT75" s="34"/>
      <c r="CV75" s="26">
        <v>0</v>
      </c>
      <c r="CW75" s="29"/>
      <c r="CX75" s="30"/>
      <c r="CZ75" s="26">
        <v>0</v>
      </c>
      <c r="DA75" s="29"/>
      <c r="DB75" s="30"/>
      <c r="DD75" s="26">
        <v>0</v>
      </c>
      <c r="DE75" s="29"/>
      <c r="DH75" s="26">
        <v>0</v>
      </c>
      <c r="DI75" s="29"/>
      <c r="DL75" s="26">
        <v>0</v>
      </c>
      <c r="DM75" s="29"/>
      <c r="DN75" s="30"/>
      <c r="DQ75" s="26">
        <v>0</v>
      </c>
      <c r="DR75" s="29"/>
      <c r="DS75" s="30"/>
      <c r="DV75" s="26">
        <v>0</v>
      </c>
      <c r="DW75" s="29"/>
      <c r="DZ75" s="26">
        <v>0</v>
      </c>
      <c r="EA75" s="29"/>
      <c r="EB75" s="30"/>
      <c r="EG75" s="26">
        <v>0</v>
      </c>
      <c r="EH75" s="29"/>
      <c r="EK75" s="26">
        <v>0</v>
      </c>
      <c r="EL75" s="29"/>
      <c r="EM75" s="30"/>
      <c r="EQ75" s="26">
        <v>0</v>
      </c>
      <c r="ER75" s="29"/>
      <c r="EW75" s="26">
        <v>0</v>
      </c>
      <c r="EX75" s="29"/>
      <c r="FA75" s="26">
        <v>0</v>
      </c>
      <c r="FB75" s="29"/>
      <c r="FC75" s="30"/>
      <c r="FE75" s="26">
        <v>0</v>
      </c>
      <c r="FF75" s="29"/>
      <c r="FG75" s="30"/>
      <c r="FI75" s="26">
        <v>0</v>
      </c>
      <c r="FJ75" s="29"/>
      <c r="FM75" s="26">
        <v>0</v>
      </c>
      <c r="FN75" s="29"/>
      <c r="FO75" s="30"/>
      <c r="FQ75" s="26">
        <v>0</v>
      </c>
      <c r="FR75" s="29"/>
      <c r="FS75" s="30"/>
      <c r="FU75" s="26">
        <v>0</v>
      </c>
      <c r="FV75" s="29"/>
      <c r="FY75" s="26">
        <v>0</v>
      </c>
      <c r="FZ75" s="32"/>
      <c r="GC75" s="26">
        <v>0</v>
      </c>
      <c r="GD75" s="29"/>
      <c r="GG75" s="26">
        <v>0</v>
      </c>
      <c r="GH75" s="32"/>
      <c r="GK75" s="26">
        <v>0</v>
      </c>
      <c r="GL75" s="29"/>
      <c r="GO75" s="26">
        <v>0</v>
      </c>
      <c r="GP75" s="32"/>
      <c r="GS75" s="26">
        <v>0</v>
      </c>
      <c r="GT75" s="29"/>
      <c r="GU75" s="34"/>
      <c r="GW75" s="26">
        <v>0</v>
      </c>
      <c r="GX75" s="32"/>
      <c r="HA75" s="26">
        <v>0</v>
      </c>
      <c r="HB75" s="32"/>
      <c r="HE75" s="26">
        <v>0</v>
      </c>
      <c r="HF75" s="32"/>
      <c r="HI75" s="26">
        <v>0</v>
      </c>
      <c r="HJ75" s="29"/>
      <c r="HK75" s="27"/>
      <c r="HM75" s="27"/>
      <c r="HO75" s="26">
        <v>0</v>
      </c>
      <c r="HP75" s="32"/>
      <c r="HQ75" s="31">
        <v>0</v>
      </c>
      <c r="HR75" s="31">
        <v>0</v>
      </c>
      <c r="HS75" s="26">
        <v>0</v>
      </c>
      <c r="HT75" s="32"/>
      <c r="HU75" s="31">
        <v>0</v>
      </c>
      <c r="HV75" s="31">
        <v>0</v>
      </c>
      <c r="HW75" s="26">
        <v>0</v>
      </c>
      <c r="HX75" s="32"/>
      <c r="HY75" s="34">
        <v>0</v>
      </c>
      <c r="HZ75" s="31">
        <v>0</v>
      </c>
      <c r="IA75" s="26">
        <v>0</v>
      </c>
      <c r="IB75" s="32"/>
    </row>
    <row r="76" spans="1:236" x14ac:dyDescent="0.25">
      <c r="A76" s="26" t="s">
        <v>203</v>
      </c>
      <c r="B76" s="27">
        <v>0.35</v>
      </c>
      <c r="I76" s="30"/>
      <c r="J76" s="36">
        <v>40</v>
      </c>
      <c r="K76" s="36">
        <v>44</v>
      </c>
      <c r="L76" s="35">
        <f t="shared" si="8"/>
        <v>-4</v>
      </c>
      <c r="M76" s="29"/>
      <c r="N76" s="28">
        <v>8</v>
      </c>
      <c r="O76" s="36">
        <v>10</v>
      </c>
      <c r="P76" s="35">
        <f t="shared" si="9"/>
        <v>-2</v>
      </c>
      <c r="Q76" s="29"/>
      <c r="R76" s="28">
        <v>32</v>
      </c>
      <c r="S76" s="36">
        <v>30</v>
      </c>
      <c r="T76" s="35">
        <f t="shared" si="10"/>
        <v>2</v>
      </c>
      <c r="U76" s="29"/>
      <c r="V76" s="35"/>
      <c r="X76" s="26">
        <v>0</v>
      </c>
      <c r="Y76" s="29"/>
      <c r="Z76" s="28">
        <v>32</v>
      </c>
      <c r="AA76">
        <v>32</v>
      </c>
      <c r="AB76" s="26">
        <v>0</v>
      </c>
      <c r="AC76" s="29"/>
      <c r="AD76">
        <v>8</v>
      </c>
      <c r="AE76">
        <v>8</v>
      </c>
      <c r="AF76" s="26">
        <v>0</v>
      </c>
      <c r="AG76" s="29"/>
      <c r="AH76" s="28">
        <v>8</v>
      </c>
      <c r="AI76">
        <v>8</v>
      </c>
      <c r="AJ76" s="26">
        <v>0</v>
      </c>
      <c r="AK76" s="29"/>
      <c r="AL76" s="28">
        <v>16</v>
      </c>
      <c r="AM76">
        <v>14</v>
      </c>
      <c r="AN76" s="26">
        <v>2</v>
      </c>
      <c r="AO76" s="29"/>
      <c r="AP76">
        <v>8</v>
      </c>
      <c r="AQ76">
        <v>8</v>
      </c>
      <c r="AR76" s="26">
        <v>0</v>
      </c>
      <c r="AS76" s="29"/>
      <c r="AT76" s="30"/>
      <c r="AU76">
        <v>8</v>
      </c>
      <c r="AX76" s="25">
        <v>-8</v>
      </c>
      <c r="AY76" s="29">
        <v>7.65</v>
      </c>
      <c r="AZ76" s="28">
        <v>8</v>
      </c>
      <c r="BA76">
        <v>10</v>
      </c>
      <c r="BB76" s="26">
        <v>-2</v>
      </c>
      <c r="BC76" s="29"/>
      <c r="BF76">
        <v>8</v>
      </c>
      <c r="BG76">
        <v>11</v>
      </c>
      <c r="BH76" s="26">
        <v>-3</v>
      </c>
      <c r="BI76" s="29"/>
      <c r="BJ76">
        <v>16</v>
      </c>
      <c r="BK76">
        <v>19</v>
      </c>
      <c r="BL76" s="26">
        <v>-3</v>
      </c>
      <c r="BM76" s="29"/>
      <c r="BN76" s="28">
        <v>8</v>
      </c>
      <c r="BO76">
        <v>8</v>
      </c>
      <c r="BP76" s="26">
        <v>0</v>
      </c>
      <c r="BQ76" s="29"/>
      <c r="BR76" s="28">
        <v>8</v>
      </c>
      <c r="BS76">
        <v>12</v>
      </c>
      <c r="BT76" s="26">
        <v>-4</v>
      </c>
      <c r="BU76" s="29"/>
      <c r="BX76" s="26">
        <v>0</v>
      </c>
      <c r="BY76" s="29"/>
      <c r="BZ76" s="28">
        <v>16</v>
      </c>
      <c r="CB76">
        <v>18</v>
      </c>
      <c r="CC76" s="26">
        <v>-2</v>
      </c>
      <c r="CD76" s="29"/>
      <c r="CE76" s="30"/>
      <c r="CG76">
        <v>8</v>
      </c>
      <c r="CH76">
        <v>8</v>
      </c>
      <c r="CI76" s="26">
        <v>0</v>
      </c>
      <c r="CJ76" s="29"/>
      <c r="CK76" s="28">
        <v>8</v>
      </c>
      <c r="CM76">
        <v>8</v>
      </c>
      <c r="CN76" s="26">
        <v>0</v>
      </c>
      <c r="CO76" s="29"/>
      <c r="CR76" s="26">
        <v>0</v>
      </c>
      <c r="CS76" s="29"/>
      <c r="CT76" s="28">
        <v>8</v>
      </c>
      <c r="CU76" s="26">
        <v>6</v>
      </c>
      <c r="CV76" s="26">
        <v>2</v>
      </c>
      <c r="CW76" s="29"/>
      <c r="CX76" s="30"/>
      <c r="CZ76" s="26">
        <v>0</v>
      </c>
      <c r="DA76" s="29"/>
      <c r="DB76" s="30"/>
      <c r="DD76" s="26">
        <v>0</v>
      </c>
      <c r="DE76" s="29"/>
      <c r="DH76" s="26">
        <v>0</v>
      </c>
      <c r="DI76" s="29"/>
      <c r="DL76" s="26">
        <v>0</v>
      </c>
      <c r="DM76" s="29"/>
      <c r="DN76" s="30"/>
      <c r="DQ76" s="26">
        <v>0</v>
      </c>
      <c r="DR76" s="29"/>
      <c r="DS76" s="30"/>
      <c r="DV76" s="26">
        <v>0</v>
      </c>
      <c r="DW76" s="29"/>
      <c r="DZ76" s="26">
        <v>0</v>
      </c>
      <c r="EA76" s="29"/>
      <c r="EB76" s="30"/>
      <c r="EE76">
        <v>48</v>
      </c>
      <c r="EF76">
        <v>52</v>
      </c>
      <c r="EG76" s="26">
        <v>-4</v>
      </c>
      <c r="EH76" s="29"/>
      <c r="EI76">
        <v>32</v>
      </c>
      <c r="EJ76" s="31">
        <v>31.399999999999991</v>
      </c>
      <c r="EK76" s="26">
        <v>0.60000000000000853</v>
      </c>
      <c r="EL76" s="29"/>
      <c r="EM76" s="30"/>
      <c r="EQ76" s="26">
        <v>0</v>
      </c>
      <c r="ER76" s="29"/>
      <c r="EU76">
        <v>48</v>
      </c>
      <c r="EV76">
        <v>50</v>
      </c>
      <c r="EW76" s="26">
        <v>-2</v>
      </c>
      <c r="EX76" s="29"/>
      <c r="EY76">
        <v>24</v>
      </c>
      <c r="EZ76" s="31">
        <v>24</v>
      </c>
      <c r="FA76" s="26">
        <v>0</v>
      </c>
      <c r="FB76" s="29"/>
      <c r="FC76" s="28">
        <v>16</v>
      </c>
      <c r="FD76">
        <v>20</v>
      </c>
      <c r="FE76" s="26">
        <v>-4</v>
      </c>
      <c r="FF76" s="29"/>
      <c r="FG76" s="28">
        <v>8</v>
      </c>
      <c r="FH76">
        <v>8</v>
      </c>
      <c r="FI76" s="26">
        <v>0</v>
      </c>
      <c r="FJ76" s="29"/>
      <c r="FK76">
        <v>32</v>
      </c>
      <c r="FL76">
        <v>32</v>
      </c>
      <c r="FM76" s="26">
        <v>0</v>
      </c>
      <c r="FN76" s="29"/>
      <c r="FO76" s="30"/>
      <c r="FQ76" s="26">
        <v>0</v>
      </c>
      <c r="FR76" s="29"/>
      <c r="FS76" s="28">
        <v>16</v>
      </c>
      <c r="FT76">
        <v>21</v>
      </c>
      <c r="FU76" s="26">
        <v>-5</v>
      </c>
      <c r="FV76" s="29"/>
      <c r="FY76" s="26">
        <v>0</v>
      </c>
      <c r="FZ76" s="32"/>
      <c r="GC76" s="26">
        <v>0</v>
      </c>
      <c r="GD76" s="29"/>
      <c r="GE76">
        <v>32</v>
      </c>
      <c r="GF76">
        <v>30</v>
      </c>
      <c r="GG76" s="26">
        <v>2</v>
      </c>
      <c r="GH76" s="32"/>
      <c r="GJ76">
        <v>16</v>
      </c>
      <c r="GK76" s="25">
        <v>-16</v>
      </c>
      <c r="GL76" s="29">
        <v>5.6</v>
      </c>
      <c r="GO76" s="26">
        <v>0</v>
      </c>
      <c r="GP76" s="32"/>
      <c r="GQ76">
        <v>8</v>
      </c>
      <c r="GR76" s="31">
        <v>4.8000000000000007</v>
      </c>
      <c r="GS76" s="26">
        <v>3.1999999999999988</v>
      </c>
      <c r="GT76" s="29"/>
      <c r="GU76" s="34"/>
      <c r="GW76" s="26">
        <v>0</v>
      </c>
      <c r="GX76" s="32"/>
      <c r="GY76">
        <v>16</v>
      </c>
      <c r="GZ76">
        <v>16</v>
      </c>
      <c r="HA76" s="26">
        <v>0</v>
      </c>
      <c r="HB76" s="32"/>
      <c r="HE76" s="26">
        <v>0</v>
      </c>
      <c r="HF76" s="32"/>
      <c r="HI76" s="26">
        <v>0</v>
      </c>
      <c r="HJ76" s="29"/>
      <c r="HK76" s="27"/>
      <c r="HM76" s="27"/>
      <c r="HO76" s="26">
        <v>0</v>
      </c>
      <c r="HP76" s="32"/>
      <c r="HQ76" s="31">
        <v>0</v>
      </c>
      <c r="HR76" s="31">
        <v>0</v>
      </c>
      <c r="HS76" s="26">
        <v>0</v>
      </c>
      <c r="HT76" s="32"/>
      <c r="HU76" s="31">
        <v>0</v>
      </c>
      <c r="HV76" s="31">
        <v>0</v>
      </c>
      <c r="HW76" s="26">
        <v>0</v>
      </c>
      <c r="HX76" s="32"/>
      <c r="HY76" s="34">
        <v>0</v>
      </c>
      <c r="HZ76" s="31">
        <v>0</v>
      </c>
      <c r="IA76" s="26">
        <v>0</v>
      </c>
      <c r="IB76" s="32"/>
    </row>
    <row r="77" spans="1:236" x14ac:dyDescent="0.25">
      <c r="A77" s="26" t="s">
        <v>204</v>
      </c>
      <c r="B77" s="27">
        <v>1</v>
      </c>
      <c r="I77" s="30"/>
      <c r="J77" s="35"/>
      <c r="K77" s="35"/>
      <c r="L77" s="35">
        <f t="shared" si="8"/>
        <v>0</v>
      </c>
      <c r="M77" s="29"/>
      <c r="N77" s="30"/>
      <c r="O77" s="35"/>
      <c r="P77" s="35">
        <f t="shared" si="9"/>
        <v>0</v>
      </c>
      <c r="Q77" s="29"/>
      <c r="R77" s="30"/>
      <c r="S77" s="35"/>
      <c r="T77" s="35">
        <f t="shared" si="10"/>
        <v>0</v>
      </c>
      <c r="U77" s="29"/>
      <c r="V77" s="35"/>
      <c r="X77" s="26">
        <v>0</v>
      </c>
      <c r="Y77" s="29"/>
      <c r="Z77" s="30"/>
      <c r="AB77" s="26">
        <v>0</v>
      </c>
      <c r="AC77" s="29"/>
      <c r="AF77" s="26">
        <v>0</v>
      </c>
      <c r="AG77" s="29"/>
      <c r="AH77" s="30"/>
      <c r="AJ77" s="26">
        <v>0</v>
      </c>
      <c r="AK77" s="29"/>
      <c r="AL77" s="30"/>
      <c r="AN77" s="26">
        <v>0</v>
      </c>
      <c r="AO77" s="29"/>
      <c r="AR77" s="26">
        <v>0</v>
      </c>
      <c r="AS77" s="29"/>
      <c r="AT77" s="30"/>
      <c r="AX77" s="26">
        <v>0</v>
      </c>
      <c r="AY77" s="29"/>
      <c r="AZ77" s="30"/>
      <c r="BB77" s="26">
        <v>0</v>
      </c>
      <c r="BC77" s="29"/>
      <c r="BH77" s="26">
        <v>0</v>
      </c>
      <c r="BI77" s="29"/>
      <c r="BL77" s="26">
        <v>0</v>
      </c>
      <c r="BM77" s="29"/>
      <c r="BN77" s="30"/>
      <c r="BP77" s="26">
        <v>0</v>
      </c>
      <c r="BQ77" s="29"/>
      <c r="BR77" s="30"/>
      <c r="BT77" s="26">
        <v>0</v>
      </c>
      <c r="BU77" s="29"/>
      <c r="BX77" s="26">
        <v>0</v>
      </c>
      <c r="BY77" s="29"/>
      <c r="BZ77" s="30"/>
      <c r="CC77" s="26">
        <v>0</v>
      </c>
      <c r="CD77" s="29"/>
      <c r="CE77" s="30"/>
      <c r="CI77" s="26">
        <v>0</v>
      </c>
      <c r="CJ77" s="29"/>
      <c r="CK77" s="30"/>
      <c r="CN77" s="26">
        <v>0</v>
      </c>
      <c r="CO77" s="29"/>
      <c r="CR77" s="26">
        <v>0</v>
      </c>
      <c r="CS77" s="29"/>
      <c r="CT77" s="34"/>
      <c r="CV77" s="26">
        <v>0</v>
      </c>
      <c r="CW77" s="29"/>
      <c r="CX77" s="30"/>
      <c r="CZ77" s="26">
        <v>0</v>
      </c>
      <c r="DA77" s="29"/>
      <c r="DB77" s="30"/>
      <c r="DD77" s="26">
        <v>0</v>
      </c>
      <c r="DE77" s="29"/>
      <c r="DH77" s="26">
        <v>0</v>
      </c>
      <c r="DI77" s="29"/>
      <c r="DL77" s="26">
        <v>0</v>
      </c>
      <c r="DM77" s="29"/>
      <c r="DN77" s="30"/>
      <c r="DQ77" s="26">
        <v>0</v>
      </c>
      <c r="DR77" s="29"/>
      <c r="DS77" s="30"/>
      <c r="DV77" s="26">
        <v>0</v>
      </c>
      <c r="DW77" s="29"/>
      <c r="DZ77" s="26">
        <v>0</v>
      </c>
      <c r="EA77" s="29"/>
      <c r="EB77" s="30"/>
      <c r="EG77" s="26">
        <v>0</v>
      </c>
      <c r="EH77" s="29"/>
      <c r="EK77" s="26">
        <v>0</v>
      </c>
      <c r="EL77" s="29"/>
      <c r="EM77" s="30"/>
      <c r="EQ77" s="26">
        <v>0</v>
      </c>
      <c r="ER77" s="29"/>
      <c r="EW77" s="26">
        <v>0</v>
      </c>
      <c r="EX77" s="29"/>
      <c r="FA77" s="26">
        <v>0</v>
      </c>
      <c r="FB77" s="29"/>
      <c r="FC77" s="30"/>
      <c r="FE77" s="26">
        <v>0</v>
      </c>
      <c r="FF77" s="29"/>
      <c r="FG77" s="30"/>
      <c r="FI77" s="26">
        <v>0</v>
      </c>
      <c r="FJ77" s="29"/>
      <c r="FM77" s="26">
        <v>0</v>
      </c>
      <c r="FN77" s="29"/>
      <c r="FO77" s="30"/>
      <c r="FQ77" s="26">
        <v>0</v>
      </c>
      <c r="FR77" s="29"/>
      <c r="FS77" s="30"/>
      <c r="FU77" s="26">
        <v>0</v>
      </c>
      <c r="FV77" s="29"/>
      <c r="FY77" s="26">
        <v>0</v>
      </c>
      <c r="FZ77" s="32"/>
      <c r="GC77" s="26">
        <v>0</v>
      </c>
      <c r="GD77" s="29"/>
      <c r="GG77" s="26">
        <v>0</v>
      </c>
      <c r="GH77" s="32"/>
      <c r="GK77" s="26">
        <v>0</v>
      </c>
      <c r="GL77" s="29"/>
      <c r="GO77" s="26">
        <v>0</v>
      </c>
      <c r="GP77" s="32"/>
      <c r="GS77" s="26">
        <v>0</v>
      </c>
      <c r="GT77" s="29"/>
      <c r="GU77" s="34"/>
      <c r="GW77" s="26">
        <v>0</v>
      </c>
      <c r="GX77" s="32"/>
      <c r="HA77" s="26">
        <v>0</v>
      </c>
      <c r="HB77" s="32"/>
      <c r="HE77" s="26">
        <v>0</v>
      </c>
      <c r="HF77" s="32"/>
      <c r="HI77" s="26">
        <v>0</v>
      </c>
      <c r="HJ77" s="29"/>
      <c r="HK77" s="27"/>
      <c r="HM77" s="27"/>
      <c r="HO77" s="26">
        <v>0</v>
      </c>
      <c r="HP77" s="32"/>
      <c r="HQ77" s="31">
        <v>60.265000000000001</v>
      </c>
      <c r="HR77" s="31">
        <v>60</v>
      </c>
      <c r="HS77" s="26">
        <v>0.26500000000000062</v>
      </c>
      <c r="HT77" s="32"/>
      <c r="HU77" s="31">
        <v>53.494</v>
      </c>
      <c r="HV77" s="31">
        <v>51.692399999999992</v>
      </c>
      <c r="HW77" s="26">
        <v>1.8016000000000081</v>
      </c>
      <c r="HX77" s="32"/>
      <c r="HY77" s="34">
        <v>0</v>
      </c>
      <c r="HZ77" s="31">
        <v>0</v>
      </c>
      <c r="IA77" s="26">
        <v>0</v>
      </c>
      <c r="IB77" s="32"/>
    </row>
    <row r="78" spans="1:236" x14ac:dyDescent="0.25">
      <c r="A78" s="26" t="s">
        <v>205</v>
      </c>
      <c r="B78" s="27">
        <v>1</v>
      </c>
      <c r="I78" s="30"/>
      <c r="J78" s="36">
        <v>66</v>
      </c>
      <c r="K78" s="36">
        <v>63</v>
      </c>
      <c r="L78" s="35">
        <f t="shared" si="8"/>
        <v>3</v>
      </c>
      <c r="M78" s="29"/>
      <c r="N78" s="28">
        <v>157</v>
      </c>
      <c r="O78" s="36">
        <v>149</v>
      </c>
      <c r="P78" s="35">
        <f t="shared" si="9"/>
        <v>8</v>
      </c>
      <c r="Q78" s="29"/>
      <c r="R78" s="30"/>
      <c r="S78" s="35"/>
      <c r="T78" s="35">
        <f t="shared" si="10"/>
        <v>0</v>
      </c>
      <c r="U78" s="29"/>
      <c r="V78" s="36">
        <v>210</v>
      </c>
      <c r="W78">
        <v>199</v>
      </c>
      <c r="X78" s="26">
        <v>11</v>
      </c>
      <c r="Y78" s="29"/>
      <c r="Z78" s="28">
        <v>176</v>
      </c>
      <c r="AA78">
        <v>170</v>
      </c>
      <c r="AB78" s="26">
        <v>6</v>
      </c>
      <c r="AC78" s="29"/>
      <c r="AD78">
        <v>44</v>
      </c>
      <c r="AE78">
        <v>42</v>
      </c>
      <c r="AF78" s="26">
        <v>2</v>
      </c>
      <c r="AG78" s="29"/>
      <c r="AH78" s="28">
        <v>154</v>
      </c>
      <c r="AI78">
        <v>145</v>
      </c>
      <c r="AJ78" s="26">
        <v>9</v>
      </c>
      <c r="AK78" s="29"/>
      <c r="AL78" s="28">
        <v>110</v>
      </c>
      <c r="AM78">
        <v>107</v>
      </c>
      <c r="AN78" s="26">
        <v>3</v>
      </c>
      <c r="AO78" s="29"/>
      <c r="AP78">
        <v>12</v>
      </c>
      <c r="AQ78">
        <v>11</v>
      </c>
      <c r="AR78" s="26">
        <v>1</v>
      </c>
      <c r="AS78" s="29"/>
      <c r="AT78" s="28">
        <v>74</v>
      </c>
      <c r="AU78">
        <v>70</v>
      </c>
      <c r="AV78">
        <v>69</v>
      </c>
      <c r="AW78">
        <v>65</v>
      </c>
      <c r="AX78" s="26">
        <v>8</v>
      </c>
      <c r="AY78" s="29"/>
      <c r="AZ78" s="30"/>
      <c r="BB78" s="26">
        <v>0</v>
      </c>
      <c r="BC78" s="29"/>
      <c r="BF78">
        <v>109</v>
      </c>
      <c r="BG78">
        <v>103</v>
      </c>
      <c r="BH78" s="26">
        <v>6</v>
      </c>
      <c r="BI78" s="29"/>
      <c r="BJ78">
        <v>46</v>
      </c>
      <c r="BK78">
        <v>43</v>
      </c>
      <c r="BL78" s="26">
        <v>3</v>
      </c>
      <c r="BM78" s="29"/>
      <c r="BN78" s="28">
        <v>71</v>
      </c>
      <c r="BO78">
        <v>69</v>
      </c>
      <c r="BP78" s="26">
        <v>2</v>
      </c>
      <c r="BQ78" s="29"/>
      <c r="BR78" s="28">
        <v>106</v>
      </c>
      <c r="BS78">
        <v>100</v>
      </c>
      <c r="BT78" s="26">
        <v>6</v>
      </c>
      <c r="BU78" s="29"/>
      <c r="BV78">
        <v>50</v>
      </c>
      <c r="BW78">
        <v>47</v>
      </c>
      <c r="BX78" s="26">
        <v>3</v>
      </c>
      <c r="BY78" s="29"/>
      <c r="BZ78" s="28">
        <v>50</v>
      </c>
      <c r="CB78">
        <v>46</v>
      </c>
      <c r="CC78" s="26">
        <v>4</v>
      </c>
      <c r="CD78" s="29"/>
      <c r="CE78" s="30"/>
      <c r="CG78">
        <v>78</v>
      </c>
      <c r="CH78">
        <v>73</v>
      </c>
      <c r="CI78" s="26">
        <v>5</v>
      </c>
      <c r="CJ78" s="29"/>
      <c r="CK78" s="28">
        <v>103</v>
      </c>
      <c r="CM78">
        <v>99</v>
      </c>
      <c r="CN78" s="26">
        <v>4</v>
      </c>
      <c r="CO78" s="29"/>
      <c r="CP78">
        <v>124</v>
      </c>
      <c r="CQ78" s="26">
        <v>117.9884</v>
      </c>
      <c r="CR78" s="26">
        <v>6.0116000000000014</v>
      </c>
      <c r="CS78" s="29"/>
      <c r="CT78" s="28">
        <v>9</v>
      </c>
      <c r="CU78" s="26">
        <v>6.8859999999999957</v>
      </c>
      <c r="CV78" s="26">
        <v>2.1140000000000039</v>
      </c>
      <c r="CW78" s="29"/>
      <c r="CX78" s="28">
        <v>43</v>
      </c>
      <c r="CY78" s="26">
        <v>40.9816</v>
      </c>
      <c r="CZ78" s="26">
        <v>2.0184000000000002</v>
      </c>
      <c r="DA78" s="29"/>
      <c r="DB78" s="28">
        <v>50</v>
      </c>
      <c r="DC78">
        <v>48</v>
      </c>
      <c r="DD78" s="26">
        <v>2</v>
      </c>
      <c r="DE78" s="29"/>
      <c r="DF78">
        <v>87</v>
      </c>
      <c r="DG78" s="31">
        <v>81.807799999999972</v>
      </c>
      <c r="DH78" s="26">
        <v>5.1922000000000281</v>
      </c>
      <c r="DI78" s="29"/>
      <c r="DJ78">
        <v>126</v>
      </c>
      <c r="DK78">
        <v>123</v>
      </c>
      <c r="DL78" s="26">
        <v>3</v>
      </c>
      <c r="DM78" s="29"/>
      <c r="DN78" s="30"/>
      <c r="DQ78" s="26">
        <v>0</v>
      </c>
      <c r="DR78" s="29"/>
      <c r="DS78" s="30"/>
      <c r="DV78" s="26">
        <v>0</v>
      </c>
      <c r="DW78" s="29"/>
      <c r="DZ78" s="26">
        <v>0</v>
      </c>
      <c r="EA78" s="29"/>
      <c r="EB78" s="30"/>
      <c r="EC78">
        <v>85</v>
      </c>
      <c r="ED78">
        <v>80</v>
      </c>
      <c r="EE78">
        <v>74</v>
      </c>
      <c r="EF78">
        <v>71</v>
      </c>
      <c r="EG78" s="26">
        <v>8</v>
      </c>
      <c r="EH78" s="29"/>
      <c r="EK78" s="26">
        <v>0</v>
      </c>
      <c r="EL78" s="29"/>
      <c r="EM78" s="30"/>
      <c r="EQ78" s="26">
        <v>0</v>
      </c>
      <c r="ER78" s="29"/>
      <c r="ES78">
        <v>83</v>
      </c>
      <c r="ET78">
        <v>80</v>
      </c>
      <c r="EU78">
        <v>92</v>
      </c>
      <c r="EV78">
        <v>90</v>
      </c>
      <c r="EW78" s="26">
        <v>5</v>
      </c>
      <c r="EX78" s="29"/>
      <c r="FA78" s="26">
        <v>0</v>
      </c>
      <c r="FB78" s="29"/>
      <c r="FC78" s="28">
        <v>106</v>
      </c>
      <c r="FD78">
        <v>100</v>
      </c>
      <c r="FE78" s="26">
        <v>6</v>
      </c>
      <c r="FF78" s="29"/>
      <c r="FG78" s="28">
        <v>44</v>
      </c>
      <c r="FH78">
        <v>40</v>
      </c>
      <c r="FI78" s="26">
        <v>4</v>
      </c>
      <c r="FJ78" s="29"/>
      <c r="FM78" s="26">
        <v>0</v>
      </c>
      <c r="FN78" s="29"/>
      <c r="FO78" s="28">
        <v>88</v>
      </c>
      <c r="FP78">
        <v>80</v>
      </c>
      <c r="FQ78" s="26">
        <v>8</v>
      </c>
      <c r="FR78" s="29"/>
      <c r="FS78" s="28">
        <v>56</v>
      </c>
      <c r="FT78">
        <v>55</v>
      </c>
      <c r="FU78" s="26">
        <v>1</v>
      </c>
      <c r="FV78" s="29"/>
      <c r="FW78">
        <v>6</v>
      </c>
      <c r="FX78">
        <v>6</v>
      </c>
      <c r="FY78" s="26">
        <v>0</v>
      </c>
      <c r="FZ78" s="32"/>
      <c r="GA78">
        <v>59</v>
      </c>
      <c r="GB78">
        <v>60</v>
      </c>
      <c r="GC78" s="26">
        <v>-1</v>
      </c>
      <c r="GD78" s="29"/>
      <c r="GE78">
        <v>21</v>
      </c>
      <c r="GF78">
        <v>20</v>
      </c>
      <c r="GG78" s="26">
        <v>1</v>
      </c>
      <c r="GH78" s="32"/>
      <c r="GI78">
        <v>51</v>
      </c>
      <c r="GJ78">
        <v>51</v>
      </c>
      <c r="GK78" s="26">
        <v>0</v>
      </c>
      <c r="GL78" s="29"/>
      <c r="GM78">
        <v>18</v>
      </c>
      <c r="GN78">
        <v>20</v>
      </c>
      <c r="GO78" s="26">
        <v>-2</v>
      </c>
      <c r="GP78" s="32"/>
      <c r="GS78" s="26">
        <v>0</v>
      </c>
      <c r="GT78" s="29"/>
      <c r="GU78" s="34"/>
      <c r="GW78" s="26">
        <v>0</v>
      </c>
      <c r="GX78" s="32"/>
      <c r="GY78">
        <v>45</v>
      </c>
      <c r="GZ78">
        <v>45</v>
      </c>
      <c r="HA78" s="26">
        <v>0</v>
      </c>
      <c r="HB78" s="32"/>
      <c r="HE78" s="26">
        <v>0</v>
      </c>
      <c r="HF78" s="32"/>
      <c r="HG78">
        <v>30</v>
      </c>
      <c r="HH78">
        <v>29</v>
      </c>
      <c r="HI78" s="26">
        <v>1</v>
      </c>
      <c r="HJ78" s="29"/>
      <c r="HK78">
        <v>12</v>
      </c>
      <c r="HL78">
        <v>10</v>
      </c>
      <c r="HM78" s="27"/>
      <c r="HO78" s="26">
        <v>2</v>
      </c>
      <c r="HP78" s="32"/>
      <c r="HT78" s="32"/>
      <c r="HX78" s="32"/>
      <c r="HY78" s="34"/>
      <c r="IB78" s="32"/>
    </row>
    <row r="79" spans="1:236" x14ac:dyDescent="0.25">
      <c r="A79" s="26" t="s">
        <v>206</v>
      </c>
      <c r="B79" s="27">
        <v>0.4</v>
      </c>
      <c r="I79" s="30"/>
      <c r="J79" s="35"/>
      <c r="K79" s="36">
        <v>35</v>
      </c>
      <c r="L79" s="40">
        <f t="shared" si="8"/>
        <v>-35</v>
      </c>
      <c r="M79" s="29">
        <f>-1*L79*B79</f>
        <v>14</v>
      </c>
      <c r="N79" s="28">
        <v>24</v>
      </c>
      <c r="O79" s="36">
        <v>24</v>
      </c>
      <c r="P79" s="35">
        <f t="shared" si="9"/>
        <v>0</v>
      </c>
      <c r="Q79" s="29"/>
      <c r="R79" s="30"/>
      <c r="S79" s="36">
        <v>8</v>
      </c>
      <c r="T79" s="40">
        <f t="shared" si="10"/>
        <v>-8</v>
      </c>
      <c r="U79" s="29">
        <f>-1*T79*B79</f>
        <v>3.2</v>
      </c>
      <c r="V79" s="36">
        <v>36</v>
      </c>
      <c r="W79">
        <v>37</v>
      </c>
      <c r="X79" s="26">
        <v>-1</v>
      </c>
      <c r="Y79" s="29"/>
      <c r="Z79" s="30"/>
      <c r="AB79" s="26">
        <v>0</v>
      </c>
      <c r="AC79" s="29"/>
      <c r="AD79">
        <v>6</v>
      </c>
      <c r="AE79">
        <v>5</v>
      </c>
      <c r="AF79" s="26">
        <v>1</v>
      </c>
      <c r="AG79" s="29"/>
      <c r="AH79" s="28">
        <v>6</v>
      </c>
      <c r="AI79">
        <v>9</v>
      </c>
      <c r="AJ79" s="26">
        <v>-3</v>
      </c>
      <c r="AK79" s="29"/>
      <c r="AL79" s="30"/>
      <c r="AN79" s="26">
        <v>0</v>
      </c>
      <c r="AO79" s="29"/>
      <c r="AR79" s="26">
        <v>0</v>
      </c>
      <c r="AS79" s="29"/>
      <c r="AT79" s="30"/>
      <c r="AU79">
        <v>16</v>
      </c>
      <c r="AV79">
        <v>30</v>
      </c>
      <c r="AW79">
        <v>28</v>
      </c>
      <c r="AX79" s="25">
        <v>-14</v>
      </c>
      <c r="AY79" s="29">
        <v>13.6</v>
      </c>
      <c r="AZ79" s="28">
        <v>6</v>
      </c>
      <c r="BA79">
        <v>6</v>
      </c>
      <c r="BB79" s="26">
        <v>0</v>
      </c>
      <c r="BC79" s="29"/>
      <c r="BH79" s="26">
        <v>0</v>
      </c>
      <c r="BI79" s="29"/>
      <c r="BJ79">
        <v>36</v>
      </c>
      <c r="BK79">
        <v>38</v>
      </c>
      <c r="BL79" s="26">
        <v>-2</v>
      </c>
      <c r="BM79" s="29"/>
      <c r="BN79" s="30"/>
      <c r="BP79" s="26">
        <v>0</v>
      </c>
      <c r="BQ79" s="29"/>
      <c r="BR79" s="28">
        <v>30</v>
      </c>
      <c r="BS79" s="26">
        <v>30</v>
      </c>
      <c r="BT79" s="26">
        <v>0</v>
      </c>
      <c r="BU79" s="29"/>
      <c r="BX79" s="26">
        <v>0</v>
      </c>
      <c r="BY79" s="29"/>
      <c r="BZ79" s="30"/>
      <c r="CC79" s="26">
        <v>0</v>
      </c>
      <c r="CD79" s="29"/>
      <c r="CE79" s="30"/>
      <c r="CI79" s="26">
        <v>0</v>
      </c>
      <c r="CJ79" s="29"/>
      <c r="CK79" s="30"/>
      <c r="CN79" s="26">
        <v>0</v>
      </c>
      <c r="CO79" s="29"/>
      <c r="CR79" s="26">
        <v>0</v>
      </c>
      <c r="CS79" s="29"/>
      <c r="CT79" s="34"/>
      <c r="CV79" s="26">
        <v>0</v>
      </c>
      <c r="CW79" s="29"/>
      <c r="CX79" s="30"/>
      <c r="CZ79" s="26">
        <v>0</v>
      </c>
      <c r="DA79" s="29"/>
      <c r="DB79" s="30"/>
      <c r="DD79" s="26">
        <v>0</v>
      </c>
      <c r="DE79" s="29"/>
      <c r="DH79" s="26">
        <v>0</v>
      </c>
      <c r="DI79" s="29"/>
      <c r="DL79" s="26">
        <v>0</v>
      </c>
      <c r="DM79" s="29"/>
      <c r="DN79" s="30"/>
      <c r="DQ79" s="26">
        <v>0</v>
      </c>
      <c r="DR79" s="29"/>
      <c r="DS79" s="30"/>
      <c r="DV79" s="26">
        <v>0</v>
      </c>
      <c r="DW79" s="29"/>
      <c r="DZ79" s="26">
        <v>0</v>
      </c>
      <c r="EA79" s="29"/>
      <c r="EB79" s="30"/>
      <c r="EG79" s="26">
        <v>0</v>
      </c>
      <c r="EH79" s="29"/>
      <c r="EK79" s="26">
        <v>0</v>
      </c>
      <c r="EL79" s="29"/>
      <c r="EM79" s="30"/>
      <c r="EQ79" s="26">
        <v>0</v>
      </c>
      <c r="ER79" s="29"/>
      <c r="EW79" s="26">
        <v>0</v>
      </c>
      <c r="EX79" s="29"/>
      <c r="FA79" s="26">
        <v>0</v>
      </c>
      <c r="FB79" s="29"/>
      <c r="FC79" s="30"/>
      <c r="FE79" s="26">
        <v>0</v>
      </c>
      <c r="FF79" s="29"/>
      <c r="FG79" s="30"/>
      <c r="FI79" s="26">
        <v>0</v>
      </c>
      <c r="FJ79" s="29"/>
      <c r="FM79" s="26">
        <v>0</v>
      </c>
      <c r="FN79" s="29"/>
      <c r="FO79" s="30"/>
      <c r="FQ79" s="26">
        <v>0</v>
      </c>
      <c r="FR79" s="29"/>
      <c r="FS79" s="30"/>
      <c r="FU79" s="26">
        <v>0</v>
      </c>
      <c r="FV79" s="29"/>
      <c r="FY79" s="26">
        <v>0</v>
      </c>
      <c r="FZ79" s="32"/>
      <c r="GC79" s="26">
        <v>0</v>
      </c>
      <c r="GD79" s="29"/>
      <c r="GG79" s="26">
        <v>0</v>
      </c>
      <c r="GH79" s="32"/>
      <c r="GK79" s="26">
        <v>0</v>
      </c>
      <c r="GL79" s="29"/>
      <c r="GO79" s="26">
        <v>0</v>
      </c>
      <c r="GP79" s="32"/>
      <c r="GS79" s="26">
        <v>0</v>
      </c>
      <c r="GT79" s="29"/>
      <c r="GU79" s="34"/>
      <c r="GW79" s="26">
        <v>0</v>
      </c>
      <c r="GX79" s="32"/>
      <c r="HA79" s="26">
        <v>0</v>
      </c>
      <c r="HB79" s="32"/>
      <c r="HE79" s="26">
        <v>0</v>
      </c>
      <c r="HF79" s="32"/>
      <c r="HI79" s="26">
        <v>0</v>
      </c>
      <c r="HJ79" s="29"/>
      <c r="HK79" s="27"/>
      <c r="HM79" s="27"/>
      <c r="HO79" s="26">
        <v>0</v>
      </c>
      <c r="HP79" s="32"/>
      <c r="HQ79" s="31">
        <v>0</v>
      </c>
      <c r="HR79" s="31">
        <v>0</v>
      </c>
      <c r="HS79" s="26">
        <v>0</v>
      </c>
      <c r="HT79" s="32"/>
      <c r="HU79" s="31">
        <v>0</v>
      </c>
      <c r="HV79" s="31">
        <v>0</v>
      </c>
      <c r="HW79" s="26">
        <v>0</v>
      </c>
      <c r="HX79" s="32"/>
      <c r="HY79" s="34">
        <v>0</v>
      </c>
      <c r="HZ79" s="31">
        <v>0</v>
      </c>
      <c r="IA79" s="26">
        <v>0</v>
      </c>
      <c r="IB79" s="32"/>
    </row>
    <row r="80" spans="1:236" x14ac:dyDescent="0.25">
      <c r="A80" s="26" t="s">
        <v>207</v>
      </c>
      <c r="B80" s="27">
        <v>0.3</v>
      </c>
      <c r="E80">
        <v>60</v>
      </c>
      <c r="F80">
        <v>34</v>
      </c>
      <c r="I80" s="30"/>
      <c r="J80" s="36">
        <v>104</v>
      </c>
      <c r="K80" s="36">
        <v>103</v>
      </c>
      <c r="L80" s="35">
        <f t="shared" si="8"/>
        <v>1</v>
      </c>
      <c r="M80" s="29"/>
      <c r="N80" s="28">
        <v>168</v>
      </c>
      <c r="O80" s="36">
        <v>168</v>
      </c>
      <c r="P80" s="35">
        <f t="shared" si="9"/>
        <v>0</v>
      </c>
      <c r="Q80" s="29"/>
      <c r="R80" s="28">
        <v>160</v>
      </c>
      <c r="S80" s="36">
        <v>161</v>
      </c>
      <c r="T80" s="35">
        <f t="shared" si="10"/>
        <v>-1</v>
      </c>
      <c r="U80" s="29"/>
      <c r="V80" s="36">
        <v>80</v>
      </c>
      <c r="W80">
        <v>82</v>
      </c>
      <c r="X80" s="26">
        <v>-2</v>
      </c>
      <c r="Y80" s="29"/>
      <c r="Z80" s="28">
        <v>104</v>
      </c>
      <c r="AA80">
        <v>107</v>
      </c>
      <c r="AB80" s="26">
        <v>-3</v>
      </c>
      <c r="AC80" s="29"/>
      <c r="AD80">
        <v>192</v>
      </c>
      <c r="AE80">
        <v>192</v>
      </c>
      <c r="AF80" s="26">
        <v>0</v>
      </c>
      <c r="AG80" s="29"/>
      <c r="AH80" s="30"/>
      <c r="AJ80" s="26">
        <v>0</v>
      </c>
      <c r="AK80" s="29"/>
      <c r="AL80" s="28">
        <v>104</v>
      </c>
      <c r="AM80">
        <v>104</v>
      </c>
      <c r="AN80" s="26">
        <v>0</v>
      </c>
      <c r="AO80" s="29"/>
      <c r="AP80">
        <v>152</v>
      </c>
      <c r="AQ80">
        <v>155</v>
      </c>
      <c r="AR80" s="26">
        <v>-3</v>
      </c>
      <c r="AS80" s="29"/>
      <c r="AT80" s="28">
        <v>24</v>
      </c>
      <c r="AU80">
        <v>24</v>
      </c>
      <c r="AV80">
        <v>24</v>
      </c>
      <c r="AW80">
        <v>35</v>
      </c>
      <c r="AX80" s="25">
        <v>-11</v>
      </c>
      <c r="AY80" s="29">
        <v>10.7</v>
      </c>
      <c r="AZ80" s="28">
        <v>88</v>
      </c>
      <c r="BA80">
        <v>92</v>
      </c>
      <c r="BB80" s="26">
        <v>-4</v>
      </c>
      <c r="BC80" s="29"/>
      <c r="BF80">
        <v>112</v>
      </c>
      <c r="BG80">
        <v>117</v>
      </c>
      <c r="BH80" s="26">
        <v>-5</v>
      </c>
      <c r="BI80" s="29"/>
      <c r="BJ80">
        <v>32</v>
      </c>
      <c r="BK80">
        <v>33</v>
      </c>
      <c r="BL80" s="26">
        <v>-1</v>
      </c>
      <c r="BM80" s="29"/>
      <c r="BN80" s="28">
        <v>128</v>
      </c>
      <c r="BO80">
        <v>131</v>
      </c>
      <c r="BP80" s="26">
        <v>-3</v>
      </c>
      <c r="BQ80" s="29"/>
      <c r="BR80" s="30"/>
      <c r="BT80" s="26">
        <v>0</v>
      </c>
      <c r="BU80" s="29"/>
      <c r="BV80">
        <v>64</v>
      </c>
      <c r="BW80">
        <v>69</v>
      </c>
      <c r="BX80" s="26">
        <v>-5</v>
      </c>
      <c r="BY80" s="29"/>
      <c r="BZ80" s="28">
        <v>144</v>
      </c>
      <c r="CB80">
        <v>144</v>
      </c>
      <c r="CC80" s="26">
        <v>0</v>
      </c>
      <c r="CD80" s="29"/>
      <c r="CE80" s="30"/>
      <c r="CG80">
        <v>64</v>
      </c>
      <c r="CH80">
        <v>66</v>
      </c>
      <c r="CI80" s="26">
        <v>-2</v>
      </c>
      <c r="CJ80" s="29"/>
      <c r="CK80" s="28">
        <v>88</v>
      </c>
      <c r="CM80">
        <v>91</v>
      </c>
      <c r="CN80" s="26">
        <v>-3</v>
      </c>
      <c r="CO80" s="29"/>
      <c r="CP80">
        <v>56</v>
      </c>
      <c r="CQ80" s="26">
        <v>58</v>
      </c>
      <c r="CR80" s="26">
        <v>-2</v>
      </c>
      <c r="CS80" s="29"/>
      <c r="CT80" s="34"/>
      <c r="CV80" s="26">
        <v>0</v>
      </c>
      <c r="CW80" s="29"/>
      <c r="CX80" s="28">
        <v>32</v>
      </c>
      <c r="CY80" s="26">
        <v>30.2</v>
      </c>
      <c r="CZ80" s="26">
        <v>1.8000000000000009</v>
      </c>
      <c r="DA80" s="29"/>
      <c r="DB80" s="28">
        <v>64</v>
      </c>
      <c r="DC80">
        <v>65</v>
      </c>
      <c r="DD80" s="26">
        <v>-1</v>
      </c>
      <c r="DE80" s="29"/>
      <c r="DH80" s="26">
        <v>0</v>
      </c>
      <c r="DI80" s="29"/>
      <c r="DJ80">
        <v>72</v>
      </c>
      <c r="DK80">
        <v>71</v>
      </c>
      <c r="DL80" s="26">
        <v>1</v>
      </c>
      <c r="DM80" s="29"/>
      <c r="DN80" s="30"/>
      <c r="DQ80" s="26">
        <v>0</v>
      </c>
      <c r="DR80" s="29"/>
      <c r="DS80" s="30"/>
      <c r="DV80" s="26">
        <v>0</v>
      </c>
      <c r="DW80" s="29"/>
      <c r="DZ80" s="26">
        <v>0</v>
      </c>
      <c r="EA80" s="29"/>
      <c r="EB80" s="30"/>
      <c r="EC80">
        <v>96</v>
      </c>
      <c r="ED80" s="31">
        <v>100</v>
      </c>
      <c r="EG80" s="26">
        <v>-4</v>
      </c>
      <c r="EH80" s="29"/>
      <c r="EK80" s="26">
        <v>0</v>
      </c>
      <c r="EL80" s="29"/>
      <c r="EM80" s="30"/>
      <c r="ER80" s="29"/>
      <c r="EX80" s="29"/>
      <c r="FB80" s="29"/>
      <c r="FC80" s="30"/>
      <c r="FF80" s="29"/>
      <c r="FG80" s="30"/>
      <c r="FJ80" s="29"/>
      <c r="FN80" s="29"/>
      <c r="FO80" s="30"/>
      <c r="FR80" s="29"/>
      <c r="FS80" s="30"/>
      <c r="FV80" s="29"/>
      <c r="FX80" s="27"/>
      <c r="FZ80" s="32"/>
      <c r="GD80" s="29"/>
      <c r="GH80" s="32"/>
      <c r="GL80" s="29"/>
      <c r="GP80" s="32"/>
      <c r="GT80" s="29"/>
      <c r="GU80" s="34"/>
      <c r="GX80" s="32"/>
      <c r="HB80" s="32"/>
      <c r="HF80" s="32"/>
      <c r="HJ80" s="29"/>
      <c r="HK80" s="27"/>
      <c r="HM80" s="27"/>
      <c r="HP80" s="32"/>
      <c r="HQ80" s="31"/>
      <c r="HR80" s="31"/>
      <c r="HT80" s="32"/>
      <c r="HU80" s="31"/>
      <c r="HV80" s="31"/>
      <c r="HX80" s="32"/>
      <c r="HY80" s="34"/>
      <c r="HZ80" s="31"/>
      <c r="IB80" s="32"/>
    </row>
    <row r="81" spans="1:236" x14ac:dyDescent="0.25">
      <c r="A81" s="26" t="s">
        <v>208</v>
      </c>
      <c r="B81" s="27">
        <v>1</v>
      </c>
      <c r="I81" s="30"/>
      <c r="J81" s="35"/>
      <c r="K81" s="35"/>
      <c r="L81" s="35">
        <f t="shared" si="8"/>
        <v>0</v>
      </c>
      <c r="M81" s="29"/>
      <c r="N81" s="30"/>
      <c r="O81" s="35"/>
      <c r="P81" s="35">
        <f t="shared" si="9"/>
        <v>0</v>
      </c>
      <c r="Q81" s="29"/>
      <c r="R81" s="30"/>
      <c r="S81" s="35"/>
      <c r="T81" s="35">
        <f t="shared" si="10"/>
        <v>0</v>
      </c>
      <c r="U81" s="29"/>
      <c r="V81" s="35"/>
      <c r="X81" s="26">
        <v>0</v>
      </c>
      <c r="Y81" s="29"/>
      <c r="Z81" s="30"/>
      <c r="AB81" s="26">
        <v>0</v>
      </c>
      <c r="AC81" s="29"/>
      <c r="AF81" s="26">
        <v>0</v>
      </c>
      <c r="AG81" s="29"/>
      <c r="AH81" s="30"/>
      <c r="AJ81" s="26">
        <v>0</v>
      </c>
      <c r="AK81" s="29"/>
      <c r="AL81" s="30"/>
      <c r="AN81" s="26">
        <v>0</v>
      </c>
      <c r="AO81" s="29"/>
      <c r="AR81" s="26">
        <v>0</v>
      </c>
      <c r="AS81" s="29"/>
      <c r="AT81" s="30"/>
      <c r="AX81" s="26">
        <v>0</v>
      </c>
      <c r="AY81" s="29"/>
      <c r="AZ81" s="30"/>
      <c r="BB81" s="26">
        <v>0</v>
      </c>
      <c r="BC81" s="29"/>
      <c r="BH81" s="26">
        <v>0</v>
      </c>
      <c r="BI81" s="29"/>
      <c r="BL81" s="26">
        <v>0</v>
      </c>
      <c r="BM81" s="29"/>
      <c r="BN81" s="30"/>
      <c r="BP81" s="26">
        <v>0</v>
      </c>
      <c r="BQ81" s="29"/>
      <c r="BR81" s="30"/>
      <c r="BT81" s="26">
        <v>0</v>
      </c>
      <c r="BU81" s="29"/>
      <c r="BX81" s="26">
        <v>0</v>
      </c>
      <c r="BY81" s="29"/>
      <c r="BZ81" s="30"/>
      <c r="CC81" s="26">
        <v>0</v>
      </c>
      <c r="CD81" s="29"/>
      <c r="CE81" s="30"/>
      <c r="CI81" s="26">
        <v>0</v>
      </c>
      <c r="CJ81" s="29"/>
      <c r="CK81" s="28">
        <v>58</v>
      </c>
      <c r="CM81">
        <v>52</v>
      </c>
      <c r="CN81" s="26">
        <v>6</v>
      </c>
      <c r="CO81" s="29"/>
      <c r="CP81">
        <v>7</v>
      </c>
      <c r="CQ81" s="26">
        <v>4</v>
      </c>
      <c r="CR81" s="26">
        <v>3</v>
      </c>
      <c r="CS81" s="29"/>
      <c r="CT81" s="28">
        <v>14</v>
      </c>
      <c r="CU81" s="26">
        <v>13.298</v>
      </c>
      <c r="CV81" s="26">
        <v>0.70199999999999996</v>
      </c>
      <c r="CW81" s="29"/>
      <c r="CX81" s="30"/>
      <c r="CZ81" s="26">
        <v>0</v>
      </c>
      <c r="DA81" s="29"/>
      <c r="DB81" s="30"/>
      <c r="DD81" s="26">
        <v>0</v>
      </c>
      <c r="DE81" s="29"/>
      <c r="DF81">
        <v>87</v>
      </c>
      <c r="DG81" s="31">
        <v>78.597999999999999</v>
      </c>
      <c r="DH81" s="26">
        <v>8.402000000000001</v>
      </c>
      <c r="DI81" s="29"/>
      <c r="DL81" s="26">
        <v>0</v>
      </c>
      <c r="DM81" s="29"/>
      <c r="DN81" s="28">
        <v>65</v>
      </c>
      <c r="DP81">
        <v>60</v>
      </c>
      <c r="DQ81" s="26">
        <v>5</v>
      </c>
      <c r="DR81" s="29"/>
      <c r="DS81" s="30"/>
      <c r="DV81" s="26">
        <v>0</v>
      </c>
      <c r="DW81" s="29"/>
      <c r="DZ81" s="26">
        <v>0</v>
      </c>
      <c r="EA81" s="29"/>
      <c r="EB81" s="30"/>
      <c r="EC81" s="31">
        <v>35</v>
      </c>
      <c r="ED81" s="31">
        <v>30</v>
      </c>
      <c r="EG81" s="26">
        <v>5</v>
      </c>
      <c r="EH81" s="29"/>
      <c r="EK81" s="26">
        <v>0</v>
      </c>
      <c r="EL81" s="29"/>
      <c r="EM81" s="30"/>
      <c r="ER81" s="29"/>
      <c r="EX81" s="29"/>
      <c r="FB81" s="29"/>
      <c r="FC81" s="30"/>
      <c r="FF81" s="29"/>
      <c r="FG81" s="30"/>
      <c r="FJ81" s="29"/>
      <c r="FN81" s="29"/>
      <c r="FO81" s="30"/>
      <c r="FR81" s="29"/>
      <c r="FS81" s="30"/>
      <c r="FV81" s="29"/>
      <c r="FX81" s="27"/>
      <c r="FZ81" s="32"/>
      <c r="GD81" s="29"/>
      <c r="GH81" s="32"/>
      <c r="GL81" s="29"/>
      <c r="GP81" s="32"/>
      <c r="GT81" s="29"/>
      <c r="GU81" s="34"/>
      <c r="GX81" s="32"/>
      <c r="HB81" s="32"/>
      <c r="HF81" s="32"/>
      <c r="HJ81" s="29"/>
      <c r="HK81" s="27"/>
      <c r="HM81" s="27"/>
      <c r="HP81" s="32"/>
      <c r="HQ81" s="31"/>
      <c r="HR81" s="31"/>
      <c r="HT81" s="32"/>
      <c r="HU81" s="31"/>
      <c r="HV81" s="31"/>
      <c r="HX81" s="32"/>
      <c r="HY81" s="34"/>
      <c r="HZ81" s="31"/>
      <c r="IB81" s="32"/>
    </row>
    <row r="82" spans="1:236" x14ac:dyDescent="0.25">
      <c r="A82" s="26" t="s">
        <v>209</v>
      </c>
      <c r="B82" s="27">
        <v>1</v>
      </c>
      <c r="I82" s="30"/>
      <c r="J82" s="35"/>
      <c r="K82" s="35"/>
      <c r="L82" s="35">
        <f t="shared" si="8"/>
        <v>0</v>
      </c>
      <c r="M82" s="29"/>
      <c r="N82" s="30"/>
      <c r="O82" s="35"/>
      <c r="P82" s="35">
        <f t="shared" si="9"/>
        <v>0</v>
      </c>
      <c r="Q82" s="29"/>
      <c r="R82" s="30"/>
      <c r="S82" s="35"/>
      <c r="T82" s="35">
        <f t="shared" si="10"/>
        <v>0</v>
      </c>
      <c r="U82" s="29"/>
      <c r="V82" s="35"/>
      <c r="X82" s="26">
        <v>0</v>
      </c>
      <c r="Y82" s="29"/>
      <c r="Z82" s="30"/>
      <c r="AB82" s="26">
        <v>0</v>
      </c>
      <c r="AC82" s="29"/>
      <c r="AF82" s="26">
        <v>0</v>
      </c>
      <c r="AG82" s="29"/>
      <c r="AH82" s="30"/>
      <c r="AJ82" s="26">
        <v>0</v>
      </c>
      <c r="AK82" s="29"/>
      <c r="AL82" s="30"/>
      <c r="AN82" s="26">
        <v>0</v>
      </c>
      <c r="AO82" s="29"/>
      <c r="AR82" s="26">
        <v>0</v>
      </c>
      <c r="AS82" s="29"/>
      <c r="AT82" s="30"/>
      <c r="AX82" s="26">
        <v>0</v>
      </c>
      <c r="AY82" s="29"/>
      <c r="AZ82" s="30"/>
      <c r="BB82" s="26">
        <v>0</v>
      </c>
      <c r="BC82" s="29"/>
      <c r="BH82" s="26">
        <v>0</v>
      </c>
      <c r="BI82" s="29"/>
      <c r="BL82" s="26">
        <v>0</v>
      </c>
      <c r="BM82" s="29"/>
      <c r="BN82" s="30"/>
      <c r="BP82" s="26">
        <v>0</v>
      </c>
      <c r="BQ82" s="29"/>
      <c r="BR82" s="30"/>
      <c r="BT82" s="26">
        <v>0</v>
      </c>
      <c r="BU82" s="29"/>
      <c r="BX82" s="26">
        <v>0</v>
      </c>
      <c r="BY82" s="29"/>
      <c r="BZ82" s="30"/>
      <c r="CC82" s="26">
        <v>0</v>
      </c>
      <c r="CD82" s="29"/>
      <c r="CE82" s="30"/>
      <c r="CI82" s="26">
        <v>0</v>
      </c>
      <c r="CJ82" s="29"/>
      <c r="CK82" s="30"/>
      <c r="CN82" s="26">
        <v>0</v>
      </c>
      <c r="CO82" s="29"/>
      <c r="CR82" s="26">
        <v>0</v>
      </c>
      <c r="CS82" s="29"/>
      <c r="CT82" s="34"/>
      <c r="CV82" s="26">
        <v>0</v>
      </c>
      <c r="CW82" s="29"/>
      <c r="CX82" s="30"/>
      <c r="CZ82" s="26">
        <v>0</v>
      </c>
      <c r="DA82" s="29"/>
      <c r="DB82" s="30"/>
      <c r="DD82" s="26">
        <v>0</v>
      </c>
      <c r="DE82" s="29"/>
      <c r="DH82" s="26">
        <v>0</v>
      </c>
      <c r="DI82" s="29"/>
      <c r="DL82" s="26">
        <v>0</v>
      </c>
      <c r="DM82" s="29"/>
      <c r="DN82" s="30"/>
      <c r="DQ82" s="26">
        <v>0</v>
      </c>
      <c r="DR82" s="29"/>
      <c r="DS82" s="30"/>
      <c r="DV82" s="26">
        <v>0</v>
      </c>
      <c r="DW82" s="29"/>
      <c r="DZ82" s="26">
        <v>0</v>
      </c>
      <c r="EA82" s="29"/>
      <c r="EB82" s="30"/>
      <c r="EG82" s="26">
        <v>0</v>
      </c>
      <c r="EH82" s="29"/>
      <c r="EK82" s="26">
        <v>0</v>
      </c>
      <c r="EL82" s="29"/>
      <c r="EM82" s="30"/>
      <c r="EQ82" s="26">
        <v>0</v>
      </c>
      <c r="ER82" s="29"/>
      <c r="EW82" s="26">
        <v>0</v>
      </c>
      <c r="EX82" s="29"/>
      <c r="FA82" s="26">
        <v>0</v>
      </c>
      <c r="FB82" s="29"/>
      <c r="FC82" s="30"/>
      <c r="FE82" s="26">
        <v>0</v>
      </c>
      <c r="FF82" s="29"/>
      <c r="FG82" s="30"/>
      <c r="FI82" s="26">
        <v>0</v>
      </c>
      <c r="FJ82" s="29"/>
      <c r="FM82" s="26">
        <v>0</v>
      </c>
      <c r="FN82" s="29"/>
      <c r="FO82" s="30"/>
      <c r="FQ82" s="26">
        <v>0</v>
      </c>
      <c r="FR82" s="29"/>
      <c r="FS82" s="30"/>
      <c r="FU82" s="26">
        <v>0</v>
      </c>
      <c r="FV82" s="29"/>
      <c r="FY82" s="26">
        <v>0</v>
      </c>
      <c r="FZ82" s="32"/>
      <c r="GC82" s="26">
        <v>0</v>
      </c>
      <c r="GD82" s="29"/>
      <c r="GG82" s="26">
        <v>0</v>
      </c>
      <c r="GH82" s="32"/>
      <c r="GK82" s="26">
        <v>0</v>
      </c>
      <c r="GL82" s="29"/>
      <c r="GO82" s="26">
        <v>0</v>
      </c>
      <c r="GP82" s="32"/>
      <c r="GS82" s="26">
        <v>0</v>
      </c>
      <c r="GT82" s="29"/>
      <c r="GU82" s="34"/>
      <c r="GW82" s="26">
        <v>0</v>
      </c>
      <c r="GX82" s="32"/>
      <c r="HA82" s="26">
        <v>0</v>
      </c>
      <c r="HB82" s="32"/>
      <c r="HE82" s="26">
        <v>0</v>
      </c>
      <c r="HF82" s="32"/>
      <c r="HI82" s="26">
        <v>0</v>
      </c>
      <c r="HJ82" s="29"/>
      <c r="HK82" s="27"/>
      <c r="HM82" s="27"/>
      <c r="HO82" s="26">
        <v>0</v>
      </c>
      <c r="HP82" s="32"/>
      <c r="HQ82" s="31">
        <v>0</v>
      </c>
      <c r="HR82" s="31">
        <v>0</v>
      </c>
      <c r="HS82" s="26">
        <v>0</v>
      </c>
      <c r="HT82" s="32"/>
      <c r="HU82" s="31">
        <v>0</v>
      </c>
      <c r="HV82" s="31">
        <v>0</v>
      </c>
      <c r="HW82" s="26">
        <v>0</v>
      </c>
      <c r="HX82" s="32"/>
      <c r="HY82" s="34">
        <v>0</v>
      </c>
      <c r="HZ82" s="31">
        <v>0</v>
      </c>
      <c r="IA82" s="26">
        <v>0</v>
      </c>
      <c r="IB82" s="32"/>
    </row>
    <row r="83" spans="1:236" x14ac:dyDescent="0.25">
      <c r="A83" s="26" t="s">
        <v>210</v>
      </c>
      <c r="B83" s="27">
        <v>1</v>
      </c>
      <c r="E83">
        <v>150</v>
      </c>
      <c r="F83">
        <v>84</v>
      </c>
      <c r="I83" s="30"/>
      <c r="J83" s="36">
        <v>56</v>
      </c>
      <c r="K83" s="36">
        <v>54</v>
      </c>
      <c r="L83" s="35">
        <f t="shared" si="8"/>
        <v>2</v>
      </c>
      <c r="M83" s="29"/>
      <c r="N83" s="28">
        <v>305</v>
      </c>
      <c r="O83" s="36">
        <v>297</v>
      </c>
      <c r="P83" s="35">
        <f t="shared" si="9"/>
        <v>8</v>
      </c>
      <c r="Q83" s="29"/>
      <c r="R83" s="28">
        <v>117</v>
      </c>
      <c r="S83" s="36">
        <v>112</v>
      </c>
      <c r="T83" s="35">
        <f t="shared" si="10"/>
        <v>5</v>
      </c>
      <c r="U83" s="29"/>
      <c r="V83" s="36">
        <v>235</v>
      </c>
      <c r="W83">
        <v>226</v>
      </c>
      <c r="X83" s="26">
        <v>9</v>
      </c>
      <c r="Y83" s="29"/>
      <c r="Z83" s="28">
        <v>153</v>
      </c>
      <c r="AA83">
        <v>149</v>
      </c>
      <c r="AB83" s="26">
        <v>4</v>
      </c>
      <c r="AC83" s="29"/>
      <c r="AD83">
        <v>198</v>
      </c>
      <c r="AE83">
        <v>190</v>
      </c>
      <c r="AF83" s="26">
        <v>8</v>
      </c>
      <c r="AG83" s="29"/>
      <c r="AH83" s="28">
        <v>111</v>
      </c>
      <c r="AI83">
        <v>108</v>
      </c>
      <c r="AJ83" s="26">
        <v>3</v>
      </c>
      <c r="AK83" s="29"/>
      <c r="AL83" s="28">
        <v>226</v>
      </c>
      <c r="AM83">
        <v>220</v>
      </c>
      <c r="AN83" s="26">
        <v>6</v>
      </c>
      <c r="AO83" s="29"/>
      <c r="AP83">
        <v>73</v>
      </c>
      <c r="AQ83">
        <v>72</v>
      </c>
      <c r="AR83" s="26">
        <v>1</v>
      </c>
      <c r="AS83" s="29"/>
      <c r="AT83" s="28">
        <v>43</v>
      </c>
      <c r="AU83">
        <v>40</v>
      </c>
      <c r="AV83">
        <v>31</v>
      </c>
      <c r="AW83">
        <v>28</v>
      </c>
      <c r="AX83" s="26">
        <v>6</v>
      </c>
      <c r="AY83" s="29"/>
      <c r="AZ83" s="28">
        <v>112</v>
      </c>
      <c r="BA83">
        <v>111</v>
      </c>
      <c r="BB83" s="26">
        <v>1</v>
      </c>
      <c r="BC83" s="29"/>
      <c r="BF83">
        <v>142</v>
      </c>
      <c r="BG83">
        <v>138</v>
      </c>
      <c r="BH83" s="26">
        <v>4</v>
      </c>
      <c r="BI83" s="29"/>
      <c r="BJ83">
        <v>6</v>
      </c>
      <c r="BK83">
        <v>7</v>
      </c>
      <c r="BL83" s="26">
        <v>-1</v>
      </c>
      <c r="BM83" s="29"/>
      <c r="BN83" s="28">
        <v>150</v>
      </c>
      <c r="BO83">
        <v>145</v>
      </c>
      <c r="BP83" s="26">
        <v>5</v>
      </c>
      <c r="BQ83" s="29"/>
      <c r="BR83" s="28">
        <v>62</v>
      </c>
      <c r="BS83">
        <v>58</v>
      </c>
      <c r="BT83" s="26">
        <v>4</v>
      </c>
      <c r="BU83" s="29"/>
      <c r="BX83" s="26">
        <v>0</v>
      </c>
      <c r="BY83" s="29"/>
      <c r="BZ83" s="28">
        <v>156</v>
      </c>
      <c r="CB83">
        <v>151</v>
      </c>
      <c r="CC83" s="26">
        <v>5</v>
      </c>
      <c r="CD83" s="29"/>
      <c r="CE83" s="30"/>
      <c r="CG83">
        <v>93</v>
      </c>
      <c r="CH83">
        <v>89</v>
      </c>
      <c r="CI83" s="26">
        <v>4</v>
      </c>
      <c r="CJ83" s="29"/>
      <c r="CK83" s="28">
        <v>95</v>
      </c>
      <c r="CM83">
        <v>88</v>
      </c>
      <c r="CN83" s="26">
        <v>7</v>
      </c>
      <c r="CO83" s="29"/>
      <c r="CP83">
        <v>189</v>
      </c>
      <c r="CQ83" s="26">
        <v>185.01499999999999</v>
      </c>
      <c r="CR83" s="26">
        <v>3.9850000000000141</v>
      </c>
      <c r="CS83" s="29"/>
      <c r="CT83" s="28">
        <v>6</v>
      </c>
      <c r="CU83" s="26">
        <v>5.8019999999999916</v>
      </c>
      <c r="CV83" s="26">
        <v>0.19800000000000839</v>
      </c>
      <c r="CW83" s="29"/>
      <c r="CX83" s="28">
        <v>156</v>
      </c>
      <c r="CY83" s="26">
        <v>148.35759999999999</v>
      </c>
      <c r="CZ83" s="26">
        <v>7.6424000000000092</v>
      </c>
      <c r="DA83" s="29"/>
      <c r="DB83" s="28">
        <v>13</v>
      </c>
      <c r="DC83">
        <v>12</v>
      </c>
      <c r="DD83" s="26">
        <v>1</v>
      </c>
      <c r="DE83" s="29"/>
      <c r="DF83">
        <v>167</v>
      </c>
      <c r="DG83" s="31">
        <v>163.75200000000001</v>
      </c>
      <c r="DH83" s="26">
        <v>3.24799999999999</v>
      </c>
      <c r="DI83" s="29"/>
      <c r="DJ83">
        <v>153</v>
      </c>
      <c r="DK83">
        <v>150</v>
      </c>
      <c r="DL83" s="26">
        <v>3</v>
      </c>
      <c r="DM83" s="29"/>
      <c r="DN83" s="30"/>
      <c r="DQ83" s="26">
        <v>0</v>
      </c>
      <c r="DR83" s="29"/>
      <c r="DS83" s="30"/>
      <c r="DU83">
        <v>186</v>
      </c>
      <c r="DV83" s="25">
        <v>-186</v>
      </c>
      <c r="DW83" s="29">
        <v>186</v>
      </c>
      <c r="DZ83" s="26">
        <v>0</v>
      </c>
      <c r="EA83" s="29"/>
      <c r="EB83" s="30"/>
      <c r="EC83">
        <v>43</v>
      </c>
      <c r="ED83">
        <v>40</v>
      </c>
      <c r="EE83">
        <v>49</v>
      </c>
      <c r="EF83">
        <v>46</v>
      </c>
      <c r="EG83" s="26">
        <v>6</v>
      </c>
      <c r="EH83" s="29"/>
      <c r="EI83">
        <v>106</v>
      </c>
      <c r="EJ83" s="31">
        <v>103.605</v>
      </c>
      <c r="EK83" s="26">
        <v>2.394999999999996</v>
      </c>
      <c r="EL83" s="29"/>
      <c r="EM83" s="30"/>
      <c r="EQ83" s="26">
        <v>0</v>
      </c>
      <c r="ER83" s="29"/>
      <c r="ES83">
        <v>124</v>
      </c>
      <c r="ET83">
        <v>120</v>
      </c>
      <c r="EU83">
        <v>136</v>
      </c>
      <c r="EV83">
        <v>130</v>
      </c>
      <c r="EW83" s="26">
        <v>10</v>
      </c>
      <c r="EX83" s="29"/>
      <c r="EY83">
        <v>68</v>
      </c>
      <c r="EZ83" s="31">
        <v>63.760599999999997</v>
      </c>
      <c r="FA83" s="26">
        <v>4.2394000000000034</v>
      </c>
      <c r="FB83" s="29"/>
      <c r="FC83" s="28">
        <v>213</v>
      </c>
      <c r="FD83">
        <v>210</v>
      </c>
      <c r="FE83" s="26">
        <v>3</v>
      </c>
      <c r="FF83" s="29"/>
      <c r="FG83" s="30"/>
      <c r="FI83" s="26">
        <v>0</v>
      </c>
      <c r="FJ83" s="29"/>
      <c r="FK83">
        <v>43</v>
      </c>
      <c r="FL83">
        <v>45</v>
      </c>
      <c r="FM83" s="26">
        <v>-2</v>
      </c>
      <c r="FN83" s="29"/>
      <c r="FO83" s="30"/>
      <c r="FQ83" s="26">
        <v>0</v>
      </c>
      <c r="FR83" s="29"/>
      <c r="FS83" s="28">
        <v>192</v>
      </c>
      <c r="FT83">
        <v>192</v>
      </c>
      <c r="FU83" s="26">
        <v>0</v>
      </c>
      <c r="FV83" s="29"/>
      <c r="FY83" s="26">
        <v>0</v>
      </c>
      <c r="FZ83" s="32"/>
      <c r="GA83">
        <v>13</v>
      </c>
      <c r="GB83">
        <v>15</v>
      </c>
      <c r="GC83" s="26">
        <v>-2</v>
      </c>
      <c r="GD83" s="29"/>
      <c r="GG83" s="26">
        <v>0</v>
      </c>
      <c r="GH83" s="32"/>
      <c r="GI83">
        <v>211</v>
      </c>
      <c r="GJ83">
        <v>210</v>
      </c>
      <c r="GK83" s="26">
        <v>1</v>
      </c>
      <c r="GL83" s="29"/>
      <c r="GO83" s="26">
        <v>0</v>
      </c>
      <c r="GP83" s="32"/>
      <c r="GQ83">
        <v>68</v>
      </c>
      <c r="GR83" s="31">
        <v>65.959600000000023</v>
      </c>
      <c r="GS83" s="26">
        <v>2.0403999999999769</v>
      </c>
      <c r="GT83" s="29"/>
      <c r="GU83" s="28">
        <v>37</v>
      </c>
      <c r="GV83" s="31">
        <v>35</v>
      </c>
      <c r="GW83" s="26">
        <v>2</v>
      </c>
      <c r="GX83" s="32"/>
      <c r="GY83">
        <v>93</v>
      </c>
      <c r="GZ83">
        <v>93</v>
      </c>
      <c r="HA83" s="26">
        <v>0</v>
      </c>
      <c r="HB83" s="32"/>
      <c r="HC83">
        <v>56</v>
      </c>
      <c r="HD83">
        <v>58</v>
      </c>
      <c r="HE83" s="26">
        <v>2</v>
      </c>
      <c r="HF83" s="32"/>
      <c r="HI83" s="26">
        <v>0</v>
      </c>
      <c r="HJ83" s="29"/>
      <c r="HK83">
        <v>69</v>
      </c>
      <c r="HL83">
        <v>70</v>
      </c>
      <c r="HM83">
        <v>55</v>
      </c>
      <c r="HN83">
        <v>56</v>
      </c>
      <c r="HO83" s="26">
        <v>-2</v>
      </c>
      <c r="HP83" s="32"/>
      <c r="HQ83" s="31">
        <v>68.596000000000004</v>
      </c>
      <c r="HR83" s="31">
        <v>70</v>
      </c>
      <c r="HS83" s="26">
        <v>-1.4039999999999959</v>
      </c>
      <c r="HT83" s="32"/>
      <c r="HU83" s="31">
        <v>49.41</v>
      </c>
      <c r="HV83" s="31">
        <v>47.3018</v>
      </c>
      <c r="HW83" s="26">
        <v>2.108199999999997</v>
      </c>
      <c r="HX83" s="32"/>
      <c r="HY83" s="34">
        <v>0</v>
      </c>
      <c r="HZ83" s="31">
        <v>0</v>
      </c>
      <c r="IA83" s="26">
        <v>0</v>
      </c>
      <c r="IB83" s="32"/>
    </row>
    <row r="84" spans="1:236" x14ac:dyDescent="0.25">
      <c r="A84" s="26" t="s">
        <v>211</v>
      </c>
      <c r="B84" s="27">
        <v>0.28000000000000003</v>
      </c>
      <c r="I84" s="30"/>
      <c r="J84" s="35"/>
      <c r="K84" s="35"/>
      <c r="L84" s="35">
        <f t="shared" si="8"/>
        <v>0</v>
      </c>
      <c r="M84" s="29"/>
      <c r="N84" s="30"/>
      <c r="O84" s="35"/>
      <c r="P84" s="35">
        <f t="shared" si="9"/>
        <v>0</v>
      </c>
      <c r="Q84" s="29"/>
      <c r="R84" s="30"/>
      <c r="S84" s="35"/>
      <c r="T84" s="35">
        <f t="shared" si="10"/>
        <v>0</v>
      </c>
      <c r="U84" s="29"/>
      <c r="V84" s="35"/>
      <c r="X84" s="26">
        <v>0</v>
      </c>
      <c r="Y84" s="29"/>
      <c r="Z84" s="30"/>
      <c r="AB84" s="26">
        <v>0</v>
      </c>
      <c r="AC84" s="29"/>
      <c r="AF84" s="26">
        <v>0</v>
      </c>
      <c r="AG84" s="29"/>
      <c r="AH84" s="30"/>
      <c r="AJ84" s="26">
        <v>0</v>
      </c>
      <c r="AK84" s="29"/>
      <c r="AL84" s="30"/>
      <c r="AN84" s="26">
        <v>0</v>
      </c>
      <c r="AO84" s="29"/>
      <c r="AR84" s="26">
        <v>0</v>
      </c>
      <c r="AS84" s="29"/>
      <c r="AT84" s="30"/>
      <c r="AX84" s="26">
        <v>0</v>
      </c>
      <c r="AY84" s="29"/>
      <c r="AZ84" s="30"/>
      <c r="BB84" s="26">
        <v>0</v>
      </c>
      <c r="BC84" s="29"/>
      <c r="BH84" s="26">
        <v>0</v>
      </c>
      <c r="BI84" s="29"/>
      <c r="BL84" s="26">
        <v>0</v>
      </c>
      <c r="BM84" s="29"/>
      <c r="BN84" s="30"/>
      <c r="BP84" s="26">
        <v>0</v>
      </c>
      <c r="BQ84" s="29"/>
      <c r="BR84" s="30"/>
      <c r="BT84" s="26">
        <v>0</v>
      </c>
      <c r="BU84" s="29"/>
      <c r="BX84" s="26">
        <v>0</v>
      </c>
      <c r="BY84" s="29"/>
      <c r="BZ84" s="30"/>
      <c r="CC84" s="26">
        <v>0</v>
      </c>
      <c r="CD84" s="29"/>
      <c r="CE84" s="30"/>
      <c r="CI84" s="26">
        <v>0</v>
      </c>
      <c r="CJ84" s="29"/>
      <c r="CK84" s="30"/>
      <c r="CN84" s="26">
        <v>0</v>
      </c>
      <c r="CO84" s="29"/>
      <c r="CR84" s="26">
        <v>0</v>
      </c>
      <c r="CS84" s="29"/>
      <c r="CT84" s="34"/>
      <c r="CV84" s="26">
        <v>0</v>
      </c>
      <c r="CW84" s="29"/>
      <c r="CX84" s="30"/>
      <c r="CZ84" s="26">
        <v>0</v>
      </c>
      <c r="DA84" s="29"/>
      <c r="DB84" s="30"/>
      <c r="DD84" s="26">
        <v>0</v>
      </c>
      <c r="DE84" s="29"/>
      <c r="DH84" s="26">
        <v>0</v>
      </c>
      <c r="DI84" s="29"/>
      <c r="DL84" s="26">
        <v>0</v>
      </c>
      <c r="DM84" s="29"/>
      <c r="DN84" s="30"/>
      <c r="DQ84" s="26">
        <v>0</v>
      </c>
      <c r="DR84" s="29"/>
      <c r="DS84" s="30"/>
      <c r="DV84" s="26">
        <v>0</v>
      </c>
      <c r="DW84" s="29"/>
      <c r="DZ84" s="26">
        <v>0</v>
      </c>
      <c r="EA84" s="29"/>
      <c r="EB84" s="30"/>
      <c r="EG84" s="26">
        <v>0</v>
      </c>
      <c r="EH84" s="29"/>
      <c r="EK84" s="26">
        <v>0</v>
      </c>
      <c r="EL84" s="29"/>
      <c r="EM84" s="30"/>
      <c r="EQ84" s="26">
        <v>0</v>
      </c>
      <c r="ER84" s="29"/>
      <c r="EW84" s="26">
        <v>0</v>
      </c>
      <c r="EX84" s="29"/>
      <c r="FA84" s="26">
        <v>0</v>
      </c>
      <c r="FB84" s="29"/>
      <c r="FC84" s="30"/>
      <c r="FE84" s="26">
        <v>0</v>
      </c>
      <c r="FF84" s="29"/>
      <c r="FG84" s="30"/>
      <c r="FI84" s="26">
        <v>0</v>
      </c>
      <c r="FJ84" s="29"/>
      <c r="FM84" s="26">
        <v>0</v>
      </c>
      <c r="FN84" s="29"/>
      <c r="FO84" s="28">
        <v>16</v>
      </c>
      <c r="FP84">
        <v>16</v>
      </c>
      <c r="FQ84" s="26">
        <v>0</v>
      </c>
      <c r="FR84" s="29"/>
      <c r="FS84" s="30"/>
      <c r="FU84" s="26">
        <v>0</v>
      </c>
      <c r="FV84" s="29"/>
      <c r="FW84">
        <v>32</v>
      </c>
      <c r="FX84">
        <v>32</v>
      </c>
      <c r="FY84" s="26">
        <v>0</v>
      </c>
      <c r="FZ84" s="32"/>
      <c r="GC84" s="26">
        <v>0</v>
      </c>
      <c r="GD84" s="29"/>
      <c r="GE84">
        <v>16</v>
      </c>
      <c r="GF84">
        <v>16</v>
      </c>
      <c r="GG84" s="26">
        <v>0</v>
      </c>
      <c r="GH84" s="32"/>
      <c r="GI84">
        <v>16</v>
      </c>
      <c r="GJ84">
        <v>16</v>
      </c>
      <c r="GK84" s="26">
        <v>0</v>
      </c>
      <c r="GL84" s="29"/>
      <c r="GO84" s="26">
        <v>0</v>
      </c>
      <c r="GP84" s="32"/>
      <c r="GS84" s="26">
        <v>0</v>
      </c>
      <c r="GT84" s="29"/>
      <c r="GU84" s="34"/>
      <c r="GW84" s="26">
        <v>0</v>
      </c>
      <c r="GX84" s="32"/>
      <c r="HA84" s="26">
        <v>0</v>
      </c>
      <c r="HB84" s="32"/>
      <c r="HE84" s="26">
        <v>0</v>
      </c>
      <c r="HF84" s="32"/>
      <c r="HI84" s="26">
        <v>0</v>
      </c>
      <c r="HJ84" s="29"/>
      <c r="HK84">
        <v>32</v>
      </c>
      <c r="HL84">
        <v>32</v>
      </c>
      <c r="HM84">
        <v>16</v>
      </c>
      <c r="HN84">
        <v>20</v>
      </c>
      <c r="HO84" s="26">
        <v>-4</v>
      </c>
      <c r="HP84" s="32"/>
      <c r="HQ84" s="31">
        <v>112</v>
      </c>
      <c r="HR84" s="31">
        <v>110</v>
      </c>
      <c r="HS84" s="26">
        <v>2</v>
      </c>
      <c r="HT84" s="32"/>
      <c r="HU84" s="31">
        <v>0</v>
      </c>
      <c r="HV84" s="31">
        <v>0</v>
      </c>
      <c r="HW84" s="26">
        <v>0</v>
      </c>
      <c r="HX84" s="32"/>
      <c r="HY84" s="34">
        <v>0</v>
      </c>
      <c r="HZ84" s="31">
        <v>0</v>
      </c>
      <c r="IA84" s="26">
        <v>0</v>
      </c>
      <c r="IB84" s="32"/>
    </row>
    <row r="85" spans="1:236" x14ac:dyDescent="0.25">
      <c r="A85" s="26" t="s">
        <v>212</v>
      </c>
      <c r="B85" s="27">
        <v>0.28000000000000003</v>
      </c>
      <c r="I85" s="30"/>
      <c r="J85" s="35"/>
      <c r="K85" s="35"/>
      <c r="L85" s="35">
        <f t="shared" si="8"/>
        <v>0</v>
      </c>
      <c r="M85" s="29"/>
      <c r="N85" s="30"/>
      <c r="O85" s="35"/>
      <c r="P85" s="35">
        <f t="shared" si="9"/>
        <v>0</v>
      </c>
      <c r="Q85" s="29"/>
      <c r="R85" s="30"/>
      <c r="S85" s="35"/>
      <c r="T85" s="35">
        <f t="shared" si="10"/>
        <v>0</v>
      </c>
      <c r="U85" s="29"/>
      <c r="V85" s="35"/>
      <c r="X85" s="26">
        <v>0</v>
      </c>
      <c r="Y85" s="29"/>
      <c r="Z85" s="30"/>
      <c r="AB85" s="26">
        <v>0</v>
      </c>
      <c r="AC85" s="29"/>
      <c r="AF85" s="26">
        <v>0</v>
      </c>
      <c r="AG85" s="29"/>
      <c r="AH85" s="30"/>
      <c r="AJ85" s="26">
        <v>0</v>
      </c>
      <c r="AK85" s="29"/>
      <c r="AL85" s="30"/>
      <c r="AN85" s="26">
        <v>0</v>
      </c>
      <c r="AO85" s="29"/>
      <c r="AR85" s="26">
        <v>0</v>
      </c>
      <c r="AS85" s="29"/>
      <c r="AT85" s="30"/>
      <c r="AX85" s="26">
        <v>0</v>
      </c>
      <c r="AY85" s="29"/>
      <c r="AZ85" s="30"/>
      <c r="BB85" s="26">
        <v>0</v>
      </c>
      <c r="BC85" s="29"/>
      <c r="BH85" s="26">
        <v>0</v>
      </c>
      <c r="BI85" s="29"/>
      <c r="BL85" s="26">
        <v>0</v>
      </c>
      <c r="BM85" s="29"/>
      <c r="BN85" s="30"/>
      <c r="BP85" s="26">
        <v>0</v>
      </c>
      <c r="BQ85" s="29"/>
      <c r="BR85" s="30"/>
      <c r="BT85" s="26">
        <v>0</v>
      </c>
      <c r="BU85" s="29"/>
      <c r="BX85" s="26">
        <v>0</v>
      </c>
      <c r="BY85" s="29"/>
      <c r="BZ85" s="30"/>
      <c r="CC85" s="26">
        <v>0</v>
      </c>
      <c r="CD85" s="29"/>
      <c r="CE85" s="30"/>
      <c r="CI85" s="26">
        <v>0</v>
      </c>
      <c r="CJ85" s="29"/>
      <c r="CK85" s="30"/>
      <c r="CN85" s="26">
        <v>0</v>
      </c>
      <c r="CO85" s="29"/>
      <c r="CR85" s="26">
        <v>0</v>
      </c>
      <c r="CS85" s="29"/>
      <c r="CT85" s="34"/>
      <c r="CV85" s="26">
        <v>0</v>
      </c>
      <c r="CW85" s="29"/>
      <c r="CX85" s="30"/>
      <c r="CZ85" s="26">
        <v>0</v>
      </c>
      <c r="DA85" s="29"/>
      <c r="DB85" s="30"/>
      <c r="DD85" s="26">
        <v>0</v>
      </c>
      <c r="DE85" s="29"/>
      <c r="DH85" s="26">
        <v>0</v>
      </c>
      <c r="DI85" s="29"/>
      <c r="DL85" s="26">
        <v>0</v>
      </c>
      <c r="DM85" s="29"/>
      <c r="DN85" s="30"/>
      <c r="DQ85" s="26">
        <v>0</v>
      </c>
      <c r="DR85" s="29"/>
      <c r="DS85" s="30"/>
      <c r="DV85" s="26">
        <v>0</v>
      </c>
      <c r="DW85" s="29"/>
      <c r="DZ85" s="26">
        <v>0</v>
      </c>
      <c r="EA85" s="29"/>
      <c r="EB85" s="30"/>
      <c r="EG85" s="26">
        <v>0</v>
      </c>
      <c r="EH85" s="29"/>
      <c r="EK85" s="26">
        <v>0</v>
      </c>
      <c r="EL85" s="29"/>
      <c r="EM85" s="30"/>
      <c r="EQ85" s="26">
        <v>0</v>
      </c>
      <c r="ER85" s="29"/>
      <c r="EW85" s="26">
        <v>0</v>
      </c>
      <c r="EX85" s="29"/>
      <c r="FA85" s="26">
        <v>0</v>
      </c>
      <c r="FB85" s="29"/>
      <c r="FC85" s="30"/>
      <c r="FE85" s="26">
        <v>0</v>
      </c>
      <c r="FF85" s="29"/>
      <c r="FG85" s="30"/>
      <c r="FI85" s="26">
        <v>0</v>
      </c>
      <c r="FJ85" s="29"/>
      <c r="FM85" s="26">
        <v>0</v>
      </c>
      <c r="FN85" s="29"/>
      <c r="FO85" s="30"/>
      <c r="FQ85" s="26">
        <v>0</v>
      </c>
      <c r="FR85" s="29"/>
      <c r="FS85" s="30"/>
      <c r="FU85" s="26">
        <v>0</v>
      </c>
      <c r="FV85" s="29"/>
      <c r="FY85" s="26">
        <v>0</v>
      </c>
      <c r="FZ85" s="32"/>
      <c r="GC85" s="26">
        <v>0</v>
      </c>
      <c r="GD85" s="29"/>
      <c r="GG85" s="26">
        <v>0</v>
      </c>
      <c r="GH85" s="32"/>
      <c r="GK85" s="26">
        <v>0</v>
      </c>
      <c r="GL85" s="29"/>
      <c r="GO85" s="26">
        <v>0</v>
      </c>
      <c r="GP85" s="32"/>
      <c r="GS85" s="26">
        <v>0</v>
      </c>
      <c r="GT85" s="29"/>
      <c r="GU85" s="34"/>
      <c r="GW85" s="26">
        <v>0</v>
      </c>
      <c r="GX85" s="32"/>
      <c r="HA85" s="26">
        <v>0</v>
      </c>
      <c r="HB85" s="32"/>
      <c r="HE85" s="26">
        <v>0</v>
      </c>
      <c r="HF85" s="32"/>
      <c r="HI85" s="26">
        <v>0</v>
      </c>
      <c r="HJ85" s="29"/>
      <c r="HK85" s="27"/>
      <c r="HM85" s="27"/>
      <c r="HO85" s="26">
        <v>0</v>
      </c>
      <c r="HP85" s="32"/>
      <c r="HQ85" s="31">
        <v>0</v>
      </c>
      <c r="HR85" s="31">
        <v>0</v>
      </c>
      <c r="HS85" s="26">
        <v>0</v>
      </c>
      <c r="HT85" s="32"/>
      <c r="HU85" s="31">
        <v>0</v>
      </c>
      <c r="HV85" s="31">
        <v>0</v>
      </c>
      <c r="HW85" s="26">
        <v>0</v>
      </c>
      <c r="HX85" s="32"/>
      <c r="HY85" s="34">
        <v>0</v>
      </c>
      <c r="HZ85" s="31">
        <v>0</v>
      </c>
      <c r="IA85" s="26">
        <v>0</v>
      </c>
      <c r="IB85" s="32"/>
    </row>
    <row r="86" spans="1:236" x14ac:dyDescent="0.25">
      <c r="A86" s="26" t="s">
        <v>213</v>
      </c>
      <c r="B86" s="27">
        <v>0.35</v>
      </c>
      <c r="I86" s="30"/>
      <c r="J86" s="35"/>
      <c r="K86" s="35"/>
      <c r="L86" s="35">
        <f t="shared" si="8"/>
        <v>0</v>
      </c>
      <c r="M86" s="29"/>
      <c r="N86" s="30"/>
      <c r="O86" s="35"/>
      <c r="P86" s="35">
        <f t="shared" si="9"/>
        <v>0</v>
      </c>
      <c r="Q86" s="29"/>
      <c r="R86" s="30"/>
      <c r="S86" s="35"/>
      <c r="T86" s="35">
        <f t="shared" si="10"/>
        <v>0</v>
      </c>
      <c r="U86" s="29"/>
      <c r="V86" s="35"/>
      <c r="X86" s="26">
        <v>0</v>
      </c>
      <c r="Y86" s="29"/>
      <c r="Z86" s="30"/>
      <c r="AB86" s="26">
        <v>0</v>
      </c>
      <c r="AC86" s="29"/>
      <c r="AF86" s="26">
        <v>0</v>
      </c>
      <c r="AG86" s="29"/>
      <c r="AH86" s="30"/>
      <c r="AJ86" s="26">
        <v>0</v>
      </c>
      <c r="AK86" s="29"/>
      <c r="AL86" s="30"/>
      <c r="AN86" s="26">
        <v>0</v>
      </c>
      <c r="AO86" s="29"/>
      <c r="AR86" s="26">
        <v>0</v>
      </c>
      <c r="AS86" s="29"/>
      <c r="AT86" s="30"/>
      <c r="AX86" s="26">
        <v>0</v>
      </c>
      <c r="AY86" s="29"/>
      <c r="AZ86" s="30"/>
      <c r="BB86" s="26">
        <v>0</v>
      </c>
      <c r="BC86" s="29"/>
      <c r="BH86" s="26">
        <v>0</v>
      </c>
      <c r="BI86" s="29"/>
      <c r="BL86" s="26">
        <v>0</v>
      </c>
      <c r="BM86" s="29"/>
      <c r="BN86" s="30"/>
      <c r="BP86" s="26">
        <v>0</v>
      </c>
      <c r="BQ86" s="29"/>
      <c r="BR86" s="30"/>
      <c r="BT86" s="26">
        <v>0</v>
      </c>
      <c r="BU86" s="29"/>
      <c r="BX86" s="26">
        <v>0</v>
      </c>
      <c r="BY86" s="29"/>
      <c r="BZ86" s="30"/>
      <c r="CC86" s="26">
        <v>0</v>
      </c>
      <c r="CD86" s="29"/>
      <c r="CE86" s="30"/>
      <c r="CI86" s="26">
        <v>0</v>
      </c>
      <c r="CJ86" s="29"/>
      <c r="CK86" s="30"/>
      <c r="CN86" s="26">
        <v>0</v>
      </c>
      <c r="CO86" s="29"/>
      <c r="CR86" s="26">
        <v>0</v>
      </c>
      <c r="CS86" s="29"/>
      <c r="CT86" s="34"/>
      <c r="CV86" s="26">
        <v>0</v>
      </c>
      <c r="CW86" s="29"/>
      <c r="CX86" s="30"/>
      <c r="CZ86" s="26">
        <v>0</v>
      </c>
      <c r="DA86" s="29"/>
      <c r="DB86" s="30"/>
      <c r="DD86" s="26">
        <v>0</v>
      </c>
      <c r="DE86" s="29"/>
      <c r="DH86" s="26">
        <v>0</v>
      </c>
      <c r="DI86" s="29"/>
      <c r="DL86" s="26">
        <v>0</v>
      </c>
      <c r="DM86" s="29"/>
      <c r="DN86" s="30"/>
      <c r="DQ86" s="26">
        <v>0</v>
      </c>
      <c r="DR86" s="29"/>
      <c r="DS86" s="30"/>
      <c r="DV86" s="26">
        <v>0</v>
      </c>
      <c r="DW86" s="29"/>
      <c r="DZ86" s="26">
        <v>0</v>
      </c>
      <c r="EA86" s="29"/>
      <c r="EB86" s="30"/>
      <c r="EG86" s="26">
        <v>0</v>
      </c>
      <c r="EH86" s="29"/>
      <c r="EK86" s="26">
        <v>0</v>
      </c>
      <c r="EL86" s="29"/>
      <c r="EM86" s="30"/>
      <c r="EQ86" s="26">
        <v>0</v>
      </c>
      <c r="ER86" s="29"/>
      <c r="EW86" s="26">
        <v>0</v>
      </c>
      <c r="EX86" s="29"/>
      <c r="FA86" s="26">
        <v>0</v>
      </c>
      <c r="FB86" s="29"/>
      <c r="FC86" s="30"/>
      <c r="FE86" s="26">
        <v>0</v>
      </c>
      <c r="FF86" s="29"/>
      <c r="FG86" s="30"/>
      <c r="FI86" s="26">
        <v>0</v>
      </c>
      <c r="FJ86" s="29"/>
      <c r="FM86" s="26">
        <v>0</v>
      </c>
      <c r="FN86" s="29"/>
      <c r="FO86" s="28">
        <v>40</v>
      </c>
      <c r="FP86">
        <v>40</v>
      </c>
      <c r="FQ86" s="26">
        <v>0</v>
      </c>
      <c r="FR86" s="29"/>
      <c r="FS86" s="28">
        <v>64</v>
      </c>
      <c r="FT86">
        <v>62</v>
      </c>
      <c r="FU86" s="26">
        <v>2</v>
      </c>
      <c r="FV86" s="29"/>
      <c r="FY86" s="26">
        <v>0</v>
      </c>
      <c r="FZ86" s="32"/>
      <c r="GA86">
        <v>48</v>
      </c>
      <c r="GB86">
        <v>46</v>
      </c>
      <c r="GC86" s="26">
        <v>2</v>
      </c>
      <c r="GD86" s="29"/>
      <c r="GE86">
        <v>16</v>
      </c>
      <c r="GF86">
        <v>16</v>
      </c>
      <c r="GG86" s="26">
        <v>0</v>
      </c>
      <c r="GH86" s="32"/>
      <c r="GI86">
        <v>40</v>
      </c>
      <c r="GJ86">
        <v>44</v>
      </c>
      <c r="GK86" s="26">
        <v>-4</v>
      </c>
      <c r="GL86" s="29"/>
      <c r="GO86" s="26">
        <v>0</v>
      </c>
      <c r="GP86" s="32"/>
      <c r="GS86" s="26">
        <v>0</v>
      </c>
      <c r="GT86" s="29"/>
      <c r="GU86" s="28">
        <v>48</v>
      </c>
      <c r="GV86" s="31">
        <v>50</v>
      </c>
      <c r="GW86" s="26">
        <v>-2</v>
      </c>
      <c r="GX86" s="32"/>
      <c r="GY86">
        <v>8</v>
      </c>
      <c r="GZ86">
        <v>10</v>
      </c>
      <c r="HA86" s="26">
        <v>-2</v>
      </c>
      <c r="HB86" s="32"/>
      <c r="HC86">
        <v>32</v>
      </c>
      <c r="HD86">
        <v>32</v>
      </c>
      <c r="HE86" s="26">
        <v>0</v>
      </c>
      <c r="HF86" s="32"/>
      <c r="HI86" s="26">
        <v>0</v>
      </c>
      <c r="HJ86" s="29"/>
      <c r="HK86" s="27"/>
      <c r="HM86" s="27"/>
      <c r="HO86" s="26">
        <v>0</v>
      </c>
      <c r="HP86" s="32"/>
      <c r="HQ86" s="31">
        <v>56</v>
      </c>
      <c r="HR86" s="31">
        <v>60</v>
      </c>
      <c r="HS86" s="26">
        <v>-4</v>
      </c>
      <c r="HT86" s="32"/>
      <c r="HU86" s="31">
        <v>0</v>
      </c>
      <c r="HV86" s="31">
        <v>0</v>
      </c>
      <c r="HW86" s="26">
        <v>0</v>
      </c>
      <c r="HX86" s="32"/>
      <c r="HY86" s="34">
        <v>56</v>
      </c>
      <c r="HZ86" s="31">
        <v>60</v>
      </c>
      <c r="IA86" s="26">
        <v>-4</v>
      </c>
      <c r="IB86" s="32"/>
    </row>
    <row r="87" spans="1:236" x14ac:dyDescent="0.25">
      <c r="A87" s="26" t="s">
        <v>214</v>
      </c>
      <c r="B87" s="27">
        <v>0.28000000000000003</v>
      </c>
      <c r="I87" s="30"/>
      <c r="J87" s="35"/>
      <c r="K87" s="35"/>
      <c r="L87" s="35">
        <f t="shared" si="8"/>
        <v>0</v>
      </c>
      <c r="M87" s="29"/>
      <c r="N87" s="30"/>
      <c r="O87" s="35"/>
      <c r="P87" s="35">
        <f t="shared" si="9"/>
        <v>0</v>
      </c>
      <c r="Q87" s="29"/>
      <c r="R87" s="30"/>
      <c r="S87" s="35"/>
      <c r="T87" s="35">
        <f t="shared" si="10"/>
        <v>0</v>
      </c>
      <c r="U87" s="29"/>
      <c r="V87" s="35"/>
      <c r="X87" s="26">
        <v>0</v>
      </c>
      <c r="Y87" s="29"/>
      <c r="Z87" s="30"/>
      <c r="AB87" s="26">
        <v>0</v>
      </c>
      <c r="AC87" s="29"/>
      <c r="AF87" s="26">
        <v>0</v>
      </c>
      <c r="AG87" s="29"/>
      <c r="AH87" s="30"/>
      <c r="AJ87" s="26">
        <v>0</v>
      </c>
      <c r="AK87" s="29"/>
      <c r="AL87" s="30"/>
      <c r="AN87" s="26">
        <v>0</v>
      </c>
      <c r="AO87" s="29"/>
      <c r="AR87" s="26">
        <v>0</v>
      </c>
      <c r="AS87" s="29"/>
      <c r="AT87" s="30"/>
      <c r="AX87" s="26">
        <v>0</v>
      </c>
      <c r="AY87" s="29"/>
      <c r="AZ87" s="30"/>
      <c r="BB87" s="26">
        <v>0</v>
      </c>
      <c r="BC87" s="29"/>
      <c r="BH87" s="26">
        <v>0</v>
      </c>
      <c r="BI87" s="29"/>
      <c r="BL87" s="26">
        <v>0</v>
      </c>
      <c r="BM87" s="29"/>
      <c r="BN87" s="30"/>
      <c r="BP87" s="26">
        <v>0</v>
      </c>
      <c r="BQ87" s="29"/>
      <c r="BR87" s="30"/>
      <c r="BT87" s="26">
        <v>0</v>
      </c>
      <c r="BU87" s="29"/>
      <c r="BX87" s="26">
        <v>0</v>
      </c>
      <c r="BY87" s="29"/>
      <c r="BZ87" s="30"/>
      <c r="CC87" s="26">
        <v>0</v>
      </c>
      <c r="CD87" s="29"/>
      <c r="CE87" s="30"/>
      <c r="CI87" s="26">
        <v>0</v>
      </c>
      <c r="CJ87" s="29"/>
      <c r="CK87" s="30"/>
      <c r="CN87" s="26">
        <v>0</v>
      </c>
      <c r="CO87" s="29"/>
      <c r="CR87" s="26">
        <v>0</v>
      </c>
      <c r="CS87" s="29"/>
      <c r="CT87" s="34"/>
      <c r="CV87" s="26">
        <v>0</v>
      </c>
      <c r="CW87" s="29"/>
      <c r="CX87" s="30"/>
      <c r="CZ87" s="26">
        <v>0</v>
      </c>
      <c r="DA87" s="29"/>
      <c r="DB87" s="30"/>
      <c r="DD87" s="26">
        <v>0</v>
      </c>
      <c r="DE87" s="29"/>
      <c r="DH87" s="26">
        <v>0</v>
      </c>
      <c r="DI87" s="29"/>
      <c r="DL87" s="26">
        <v>0</v>
      </c>
      <c r="DM87" s="29"/>
      <c r="DN87" s="30"/>
      <c r="DQ87" s="26">
        <v>0</v>
      </c>
      <c r="DR87" s="29"/>
      <c r="DS87" s="30"/>
      <c r="DU87">
        <v>67</v>
      </c>
      <c r="DV87" s="26">
        <v>-3</v>
      </c>
      <c r="DW87" s="29"/>
      <c r="DY87" s="31">
        <v>190.4</v>
      </c>
      <c r="DZ87" s="26">
        <v>1.5999999999999941</v>
      </c>
      <c r="EA87" s="29"/>
      <c r="EB87" s="30"/>
      <c r="EG87" s="26">
        <v>0</v>
      </c>
      <c r="EH87" s="29"/>
      <c r="EI87">
        <v>128</v>
      </c>
      <c r="EJ87" s="31">
        <v>126.8</v>
      </c>
      <c r="EK87" s="26">
        <v>1.2000000000000031</v>
      </c>
      <c r="EL87" s="29"/>
      <c r="EM87" s="30"/>
      <c r="EO87">
        <v>112</v>
      </c>
      <c r="EP87">
        <v>116</v>
      </c>
      <c r="EQ87" s="26">
        <v>-4</v>
      </c>
      <c r="ER87" s="29"/>
      <c r="ES87">
        <v>56</v>
      </c>
      <c r="ET87">
        <v>60</v>
      </c>
      <c r="EU87">
        <v>56</v>
      </c>
      <c r="EV87">
        <v>60</v>
      </c>
      <c r="EW87" s="26">
        <v>-8</v>
      </c>
      <c r="EX87" s="29"/>
      <c r="EY87">
        <v>32</v>
      </c>
      <c r="EZ87" s="31">
        <v>30</v>
      </c>
      <c r="FA87" s="26">
        <v>2</v>
      </c>
      <c r="FB87" s="29"/>
      <c r="FC87" s="28">
        <v>112</v>
      </c>
      <c r="FD87">
        <v>110</v>
      </c>
      <c r="FE87" s="26">
        <v>2</v>
      </c>
      <c r="FF87" s="29"/>
      <c r="FG87" s="28">
        <v>32</v>
      </c>
      <c r="FH87">
        <v>30</v>
      </c>
      <c r="FI87" s="26">
        <v>2</v>
      </c>
      <c r="FJ87" s="29"/>
      <c r="FK87">
        <v>40</v>
      </c>
      <c r="FL87">
        <v>40</v>
      </c>
      <c r="FM87" s="26">
        <v>0</v>
      </c>
      <c r="FN87" s="29"/>
      <c r="FO87" s="28">
        <v>72</v>
      </c>
      <c r="FP87">
        <v>75</v>
      </c>
      <c r="FQ87" s="26">
        <v>-3</v>
      </c>
      <c r="FR87" s="29"/>
      <c r="FS87" s="28">
        <v>24</v>
      </c>
      <c r="FT87">
        <v>24</v>
      </c>
      <c r="FU87" s="26">
        <v>0</v>
      </c>
      <c r="FV87" s="29"/>
      <c r="FW87">
        <v>32</v>
      </c>
      <c r="FX87">
        <v>32</v>
      </c>
      <c r="FY87" s="26">
        <v>0</v>
      </c>
      <c r="FZ87" s="32"/>
      <c r="GA87">
        <v>8</v>
      </c>
      <c r="GB87">
        <v>6</v>
      </c>
      <c r="GC87" s="26">
        <v>2</v>
      </c>
      <c r="GD87" s="29"/>
      <c r="GE87">
        <v>64</v>
      </c>
      <c r="GF87">
        <v>65.8</v>
      </c>
      <c r="GG87" s="26">
        <v>-1.7999999999999969</v>
      </c>
      <c r="GH87" s="32"/>
      <c r="GI87">
        <v>16</v>
      </c>
      <c r="GJ87">
        <v>15</v>
      </c>
      <c r="GK87" s="26">
        <v>1</v>
      </c>
      <c r="GL87" s="29"/>
      <c r="GM87">
        <v>40</v>
      </c>
      <c r="GN87">
        <v>41</v>
      </c>
      <c r="GO87" s="26">
        <v>-1</v>
      </c>
      <c r="GP87" s="32"/>
      <c r="GS87" s="26">
        <v>0</v>
      </c>
      <c r="GT87" s="29"/>
      <c r="GU87" s="34"/>
      <c r="GW87" s="26">
        <v>0</v>
      </c>
      <c r="GX87" s="32"/>
      <c r="GY87">
        <v>72</v>
      </c>
      <c r="GZ87">
        <v>71</v>
      </c>
      <c r="HA87" s="26">
        <v>1</v>
      </c>
      <c r="HB87" s="32"/>
      <c r="HE87" s="26">
        <v>0</v>
      </c>
      <c r="HF87" s="32"/>
      <c r="HI87" s="26">
        <v>0</v>
      </c>
      <c r="HJ87" s="29"/>
      <c r="HK87">
        <v>48</v>
      </c>
      <c r="HL87">
        <v>50</v>
      </c>
      <c r="HM87">
        <v>40</v>
      </c>
      <c r="HN87">
        <v>44</v>
      </c>
      <c r="HO87" s="26">
        <v>-6</v>
      </c>
      <c r="HP87" s="32"/>
      <c r="HQ87" s="31">
        <v>72</v>
      </c>
      <c r="HR87" s="31">
        <v>70</v>
      </c>
      <c r="HS87" s="26">
        <v>2</v>
      </c>
      <c r="HT87" s="32"/>
      <c r="HU87" s="31">
        <v>0</v>
      </c>
      <c r="HV87" s="31">
        <v>0</v>
      </c>
      <c r="HW87" s="26">
        <v>0</v>
      </c>
      <c r="HX87" s="32"/>
      <c r="HY87" s="34">
        <v>0</v>
      </c>
      <c r="HZ87" s="31">
        <v>0</v>
      </c>
      <c r="IA87" s="26">
        <v>0</v>
      </c>
      <c r="IB87" s="32"/>
    </row>
    <row r="88" spans="1:236" x14ac:dyDescent="0.25">
      <c r="A88" s="26" t="s">
        <v>215</v>
      </c>
      <c r="B88" s="27">
        <v>0.35</v>
      </c>
      <c r="I88" s="30"/>
      <c r="J88" s="35"/>
      <c r="K88" s="35"/>
      <c r="L88" s="35">
        <f t="shared" si="8"/>
        <v>0</v>
      </c>
      <c r="M88" s="29"/>
      <c r="N88" s="30"/>
      <c r="O88" s="35"/>
      <c r="P88" s="35">
        <f t="shared" si="9"/>
        <v>0</v>
      </c>
      <c r="Q88" s="29"/>
      <c r="R88" s="30"/>
      <c r="S88" s="35"/>
      <c r="T88" s="35">
        <f t="shared" si="10"/>
        <v>0</v>
      </c>
      <c r="U88" s="29"/>
      <c r="V88" s="35"/>
      <c r="X88" s="26">
        <v>0</v>
      </c>
      <c r="Y88" s="29"/>
      <c r="Z88" s="30"/>
      <c r="AB88" s="26">
        <v>0</v>
      </c>
      <c r="AC88" s="29"/>
      <c r="AF88" s="26">
        <v>0</v>
      </c>
      <c r="AG88" s="29"/>
      <c r="AH88" s="30"/>
      <c r="AJ88" s="26">
        <v>0</v>
      </c>
      <c r="AK88" s="29"/>
      <c r="AL88" s="30"/>
      <c r="AN88" s="26">
        <v>0</v>
      </c>
      <c r="AO88" s="29"/>
      <c r="AR88" s="26">
        <v>0</v>
      </c>
      <c r="AS88" s="29"/>
      <c r="AT88" s="30"/>
      <c r="AX88" s="26">
        <v>0</v>
      </c>
      <c r="AY88" s="29"/>
      <c r="AZ88" s="30"/>
      <c r="BB88" s="26">
        <v>0</v>
      </c>
      <c r="BC88" s="29"/>
      <c r="BH88" s="26">
        <v>0</v>
      </c>
      <c r="BI88" s="29"/>
      <c r="BL88" s="26">
        <v>0</v>
      </c>
      <c r="BM88" s="29"/>
      <c r="BN88" s="30"/>
      <c r="BP88" s="26">
        <v>0</v>
      </c>
      <c r="BQ88" s="29"/>
      <c r="BR88" s="30"/>
      <c r="BT88" s="26">
        <v>0</v>
      </c>
      <c r="BU88" s="29"/>
      <c r="BX88" s="26">
        <v>0</v>
      </c>
      <c r="BY88" s="29"/>
      <c r="BZ88" s="30"/>
      <c r="CC88" s="26">
        <v>0</v>
      </c>
      <c r="CD88" s="29"/>
      <c r="CE88" s="30"/>
      <c r="CI88" s="26">
        <v>0</v>
      </c>
      <c r="CJ88" s="29"/>
      <c r="CK88" s="30"/>
      <c r="CN88" s="26">
        <v>0</v>
      </c>
      <c r="CO88" s="29"/>
      <c r="CR88" s="26">
        <v>0</v>
      </c>
      <c r="CS88" s="29"/>
      <c r="CT88" s="34"/>
      <c r="CV88" s="26">
        <v>0</v>
      </c>
      <c r="CW88" s="29"/>
      <c r="CX88" s="30"/>
      <c r="CZ88" s="26">
        <v>0</v>
      </c>
      <c r="DA88" s="29"/>
      <c r="DB88" s="30"/>
      <c r="DD88" s="26">
        <v>0</v>
      </c>
      <c r="DE88" s="29"/>
      <c r="DH88" s="26">
        <v>0</v>
      </c>
      <c r="DI88" s="29"/>
      <c r="DL88" s="26">
        <v>0</v>
      </c>
      <c r="DM88" s="29"/>
      <c r="DN88" s="30"/>
      <c r="DQ88" s="26">
        <v>0</v>
      </c>
      <c r="DR88" s="29"/>
      <c r="DS88" s="30"/>
      <c r="DV88" s="26">
        <v>0</v>
      </c>
      <c r="DW88" s="29"/>
      <c r="DZ88" s="26">
        <v>0</v>
      </c>
      <c r="EA88" s="29"/>
      <c r="EB88" s="30"/>
      <c r="EG88" s="26">
        <v>0</v>
      </c>
      <c r="EH88" s="29"/>
      <c r="EK88" s="26">
        <v>0</v>
      </c>
      <c r="EL88" s="29"/>
      <c r="EM88" s="30"/>
      <c r="EQ88" s="26">
        <v>0</v>
      </c>
      <c r="ER88" s="29"/>
      <c r="EW88" s="26">
        <v>0</v>
      </c>
      <c r="EX88" s="29"/>
      <c r="FA88" s="26">
        <v>0</v>
      </c>
      <c r="FB88" s="29"/>
      <c r="FC88" s="30"/>
      <c r="FE88" s="26">
        <v>0</v>
      </c>
      <c r="FF88" s="29"/>
      <c r="FG88" s="30"/>
      <c r="FI88" s="26">
        <v>0</v>
      </c>
      <c r="FJ88" s="29"/>
      <c r="FM88" s="26">
        <v>0</v>
      </c>
      <c r="FN88" s="29"/>
      <c r="FO88" s="28">
        <v>56</v>
      </c>
      <c r="FP88">
        <v>54</v>
      </c>
      <c r="FQ88" s="26">
        <v>2</v>
      </c>
      <c r="FR88" s="29"/>
      <c r="FS88" s="28">
        <v>40</v>
      </c>
      <c r="FT88">
        <v>38</v>
      </c>
      <c r="FU88" s="26">
        <v>2</v>
      </c>
      <c r="FV88" s="29"/>
      <c r="FY88" s="26">
        <v>0</v>
      </c>
      <c r="FZ88" s="32"/>
      <c r="GA88">
        <v>40</v>
      </c>
      <c r="GB88">
        <v>39</v>
      </c>
      <c r="GC88" s="26">
        <v>1</v>
      </c>
      <c r="GD88" s="29"/>
      <c r="GF88">
        <v>20</v>
      </c>
      <c r="GG88" s="25">
        <v>-20</v>
      </c>
      <c r="GH88" s="32">
        <v>7</v>
      </c>
      <c r="GK88" s="26">
        <v>0</v>
      </c>
      <c r="GL88" s="29"/>
      <c r="GM88">
        <v>8</v>
      </c>
      <c r="GN88">
        <v>10</v>
      </c>
      <c r="GO88" s="26">
        <v>-2</v>
      </c>
      <c r="GP88" s="32"/>
      <c r="GQ88">
        <v>24</v>
      </c>
      <c r="GR88" s="31">
        <v>29.2</v>
      </c>
      <c r="GS88" s="26">
        <v>-5.1999999999999993</v>
      </c>
      <c r="GT88" s="29"/>
      <c r="GU88" s="28">
        <v>16</v>
      </c>
      <c r="GV88" s="31">
        <v>16</v>
      </c>
      <c r="GW88" s="26">
        <v>0</v>
      </c>
      <c r="GX88" s="32"/>
      <c r="GY88">
        <v>40</v>
      </c>
      <c r="GZ88">
        <v>41</v>
      </c>
      <c r="HA88" s="26">
        <v>-1</v>
      </c>
      <c r="HB88" s="32"/>
      <c r="HE88" s="26">
        <v>0</v>
      </c>
      <c r="HF88" s="32"/>
      <c r="HI88" s="26">
        <v>0</v>
      </c>
      <c r="HJ88" s="29"/>
      <c r="HK88">
        <v>56</v>
      </c>
      <c r="HL88">
        <v>60</v>
      </c>
      <c r="HM88">
        <v>56</v>
      </c>
      <c r="HN88">
        <v>55</v>
      </c>
      <c r="HO88" s="26">
        <v>-3</v>
      </c>
      <c r="HP88" s="32"/>
      <c r="HQ88" s="31">
        <v>72</v>
      </c>
      <c r="HR88" s="31">
        <v>70</v>
      </c>
      <c r="HS88" s="26">
        <v>2</v>
      </c>
      <c r="HT88" s="32"/>
      <c r="HU88" s="31">
        <v>0</v>
      </c>
      <c r="HV88" s="31">
        <v>0</v>
      </c>
      <c r="HW88" s="26">
        <v>0</v>
      </c>
      <c r="HX88" s="32"/>
      <c r="HY88" s="34">
        <v>104</v>
      </c>
      <c r="HZ88" s="31">
        <v>115</v>
      </c>
      <c r="IA88" s="25">
        <v>-11</v>
      </c>
      <c r="IB88" s="32">
        <v>3.85</v>
      </c>
    </row>
    <row r="89" spans="1:236" x14ac:dyDescent="0.25">
      <c r="A89" s="26" t="s">
        <v>216</v>
      </c>
      <c r="B89" s="27">
        <v>0.28000000000000003</v>
      </c>
      <c r="I89" s="30"/>
      <c r="J89" s="35"/>
      <c r="K89" s="35"/>
      <c r="L89" s="35">
        <f t="shared" si="8"/>
        <v>0</v>
      </c>
      <c r="M89" s="29"/>
      <c r="N89" s="30"/>
      <c r="O89" s="35"/>
      <c r="P89" s="35">
        <f t="shared" si="9"/>
        <v>0</v>
      </c>
      <c r="Q89" s="29"/>
      <c r="R89" s="30"/>
      <c r="S89" s="35"/>
      <c r="T89" s="35">
        <f t="shared" si="10"/>
        <v>0</v>
      </c>
      <c r="U89" s="29"/>
      <c r="V89" s="35"/>
      <c r="X89" s="26">
        <v>0</v>
      </c>
      <c r="Y89" s="29"/>
      <c r="Z89" s="30"/>
      <c r="AB89" s="26">
        <v>0</v>
      </c>
      <c r="AC89" s="29"/>
      <c r="AF89" s="26">
        <v>0</v>
      </c>
      <c r="AG89" s="29"/>
      <c r="AH89" s="30"/>
      <c r="AJ89" s="26">
        <v>0</v>
      </c>
      <c r="AK89" s="29"/>
      <c r="AL89" s="30"/>
      <c r="AN89" s="26">
        <v>0</v>
      </c>
      <c r="AO89" s="29"/>
      <c r="AR89" s="26">
        <v>0</v>
      </c>
      <c r="AS89" s="29"/>
      <c r="AT89" s="30"/>
      <c r="AX89" s="26">
        <v>0</v>
      </c>
      <c r="AY89" s="29"/>
      <c r="AZ89" s="30"/>
      <c r="BB89" s="26">
        <v>0</v>
      </c>
      <c r="BC89" s="29"/>
      <c r="BH89" s="26">
        <v>0</v>
      </c>
      <c r="BI89" s="29"/>
      <c r="BL89" s="26">
        <v>0</v>
      </c>
      <c r="BM89" s="29"/>
      <c r="BN89" s="30"/>
      <c r="BP89" s="26">
        <v>0</v>
      </c>
      <c r="BQ89" s="29"/>
      <c r="BR89" s="30"/>
      <c r="BT89" s="26">
        <v>0</v>
      </c>
      <c r="BU89" s="29"/>
      <c r="BX89" s="26">
        <v>0</v>
      </c>
      <c r="BY89" s="29"/>
      <c r="BZ89" s="30"/>
      <c r="CC89" s="26">
        <v>0</v>
      </c>
      <c r="CD89" s="29"/>
      <c r="CE89" s="30"/>
      <c r="CI89" s="26">
        <v>0</v>
      </c>
      <c r="CJ89" s="29"/>
      <c r="CK89" s="30"/>
      <c r="CN89" s="26">
        <v>0</v>
      </c>
      <c r="CO89" s="29"/>
      <c r="CR89" s="26">
        <v>0</v>
      </c>
      <c r="CS89" s="29"/>
      <c r="CT89" s="34"/>
      <c r="CV89" s="26">
        <v>0</v>
      </c>
      <c r="CW89" s="29"/>
      <c r="CX89" s="30"/>
      <c r="CZ89" s="26">
        <v>0</v>
      </c>
      <c r="DA89" s="29"/>
      <c r="DB89" s="30"/>
      <c r="DD89" s="26">
        <v>0</v>
      </c>
      <c r="DE89" s="29"/>
      <c r="DH89" s="26">
        <v>0</v>
      </c>
      <c r="DI89" s="29"/>
      <c r="DL89" s="26">
        <v>0</v>
      </c>
      <c r="DM89" s="29"/>
      <c r="DN89" s="30"/>
      <c r="DQ89" s="26">
        <v>0</v>
      </c>
      <c r="DR89" s="29"/>
      <c r="DS89" s="30"/>
      <c r="DV89" s="26">
        <v>0</v>
      </c>
      <c r="DW89" s="29"/>
      <c r="DZ89" s="26">
        <v>0</v>
      </c>
      <c r="EA89" s="29"/>
      <c r="EB89" s="30"/>
      <c r="EG89" s="26">
        <v>0</v>
      </c>
      <c r="EH89" s="29"/>
      <c r="EK89" s="26">
        <v>0</v>
      </c>
      <c r="EL89" s="29"/>
      <c r="EM89" s="30"/>
      <c r="EQ89" s="26">
        <v>0</v>
      </c>
      <c r="ER89" s="29"/>
      <c r="EW89" s="26">
        <v>0</v>
      </c>
      <c r="EX89" s="29"/>
      <c r="FA89" s="26">
        <v>0</v>
      </c>
      <c r="FB89" s="29"/>
      <c r="FC89" s="30"/>
      <c r="FE89" s="26">
        <v>0</v>
      </c>
      <c r="FF89" s="29"/>
      <c r="FG89" s="30"/>
      <c r="FI89" s="26">
        <v>0</v>
      </c>
      <c r="FJ89" s="29"/>
      <c r="FM89" s="26">
        <v>0</v>
      </c>
      <c r="FN89" s="29"/>
      <c r="FO89" s="30"/>
      <c r="FQ89" s="26">
        <v>0</v>
      </c>
      <c r="FR89" s="29"/>
      <c r="FS89" s="30"/>
      <c r="FU89" s="26">
        <v>0</v>
      </c>
      <c r="FV89" s="29"/>
      <c r="FY89" s="26">
        <v>0</v>
      </c>
      <c r="FZ89" s="32"/>
      <c r="GC89" s="26">
        <v>0</v>
      </c>
      <c r="GD89" s="29"/>
      <c r="GG89" s="26">
        <v>0</v>
      </c>
      <c r="GH89" s="32"/>
      <c r="GK89" s="26">
        <v>0</v>
      </c>
      <c r="GL89" s="29"/>
      <c r="GO89" s="26">
        <v>0</v>
      </c>
      <c r="GP89" s="32"/>
      <c r="GS89" s="26">
        <v>0</v>
      </c>
      <c r="GT89" s="29"/>
      <c r="GU89" s="34"/>
      <c r="GW89" s="26">
        <v>0</v>
      </c>
      <c r="GX89" s="32"/>
      <c r="HA89" s="26">
        <v>0</v>
      </c>
      <c r="HB89" s="32"/>
      <c r="HE89" s="26">
        <v>0</v>
      </c>
      <c r="HF89" s="32"/>
      <c r="HI89" s="26">
        <v>0</v>
      </c>
      <c r="HJ89" s="29"/>
      <c r="HK89" s="27"/>
      <c r="HM89" s="27"/>
      <c r="HO89" s="26">
        <v>0</v>
      </c>
      <c r="HP89" s="32"/>
      <c r="HQ89" s="31">
        <v>0</v>
      </c>
      <c r="HR89" s="31">
        <v>0</v>
      </c>
      <c r="HS89" s="26">
        <v>0</v>
      </c>
      <c r="HT89" s="32"/>
      <c r="HU89" s="31">
        <v>0</v>
      </c>
      <c r="HV89" s="31">
        <v>0</v>
      </c>
      <c r="HW89" s="26">
        <v>0</v>
      </c>
      <c r="HX89" s="32"/>
      <c r="HY89" s="34">
        <v>0</v>
      </c>
      <c r="HZ89" s="31">
        <v>0</v>
      </c>
      <c r="IA89" s="26">
        <v>0</v>
      </c>
      <c r="IB89" s="32"/>
    </row>
    <row r="90" spans="1:236" x14ac:dyDescent="0.25">
      <c r="A90" s="26" t="s">
        <v>217</v>
      </c>
      <c r="B90" s="27">
        <v>0.35</v>
      </c>
      <c r="E90">
        <v>200</v>
      </c>
      <c r="F90">
        <v>151</v>
      </c>
      <c r="I90" s="30"/>
      <c r="J90" s="36">
        <v>136</v>
      </c>
      <c r="K90" s="36">
        <v>135</v>
      </c>
      <c r="L90" s="35">
        <f t="shared" si="8"/>
        <v>1</v>
      </c>
      <c r="M90" s="29"/>
      <c r="N90" s="28">
        <v>408</v>
      </c>
      <c r="O90" s="36">
        <v>410</v>
      </c>
      <c r="P90" s="35">
        <f t="shared" si="9"/>
        <v>-2</v>
      </c>
      <c r="Q90" s="29"/>
      <c r="R90" s="28">
        <v>200</v>
      </c>
      <c r="S90" s="36">
        <v>204</v>
      </c>
      <c r="T90" s="35">
        <f t="shared" si="10"/>
        <v>-4</v>
      </c>
      <c r="U90" s="29"/>
      <c r="V90" s="36">
        <v>168</v>
      </c>
      <c r="W90">
        <v>166</v>
      </c>
      <c r="X90" s="26">
        <v>2</v>
      </c>
      <c r="Y90" s="29"/>
      <c r="Z90" s="28">
        <v>296</v>
      </c>
      <c r="AA90">
        <v>301</v>
      </c>
      <c r="AB90" s="26">
        <v>-5</v>
      </c>
      <c r="AC90" s="29"/>
      <c r="AD90">
        <v>88</v>
      </c>
      <c r="AE90">
        <v>91</v>
      </c>
      <c r="AF90" s="26">
        <v>-3</v>
      </c>
      <c r="AG90" s="29"/>
      <c r="AH90" s="28">
        <v>248</v>
      </c>
      <c r="AI90">
        <v>252</v>
      </c>
      <c r="AJ90" s="26">
        <v>-4</v>
      </c>
      <c r="AK90" s="29"/>
      <c r="AL90" s="30"/>
      <c r="AN90" s="26">
        <v>0</v>
      </c>
      <c r="AO90" s="29"/>
      <c r="AR90" s="26">
        <v>0</v>
      </c>
      <c r="AS90" s="29"/>
      <c r="AT90" s="28">
        <v>160</v>
      </c>
      <c r="AU90">
        <v>130</v>
      </c>
      <c r="AV90">
        <v>168</v>
      </c>
      <c r="AW90">
        <v>167</v>
      </c>
      <c r="AX90" s="26">
        <v>31</v>
      </c>
      <c r="AY90" s="29"/>
      <c r="AZ90" s="28">
        <v>48</v>
      </c>
      <c r="BA90">
        <v>52</v>
      </c>
      <c r="BB90" s="26">
        <v>-4</v>
      </c>
      <c r="BC90" s="29"/>
      <c r="BF90">
        <v>208</v>
      </c>
      <c r="BG90">
        <v>211</v>
      </c>
      <c r="BH90" s="26">
        <v>-3</v>
      </c>
      <c r="BI90" s="29"/>
      <c r="BJ90">
        <v>168</v>
      </c>
      <c r="BK90">
        <v>169</v>
      </c>
      <c r="BL90" s="26">
        <v>-1</v>
      </c>
      <c r="BM90" s="29"/>
      <c r="BN90" s="30"/>
      <c r="BP90" s="26">
        <v>0</v>
      </c>
      <c r="BQ90" s="29"/>
      <c r="BR90" s="28">
        <v>104</v>
      </c>
      <c r="BS90">
        <v>102</v>
      </c>
      <c r="BT90" s="26">
        <v>2</v>
      </c>
      <c r="BU90" s="29"/>
      <c r="BV90">
        <v>208</v>
      </c>
      <c r="BW90">
        <v>211</v>
      </c>
      <c r="BX90" s="26">
        <v>-3</v>
      </c>
      <c r="BY90" s="29"/>
      <c r="BZ90" s="30"/>
      <c r="CC90" s="26">
        <v>0</v>
      </c>
      <c r="CD90" s="29"/>
      <c r="CE90" s="30"/>
      <c r="CG90">
        <v>112</v>
      </c>
      <c r="CH90">
        <v>115</v>
      </c>
      <c r="CI90" s="26">
        <v>-3</v>
      </c>
      <c r="CJ90" s="29"/>
      <c r="CK90" s="28">
        <v>200</v>
      </c>
      <c r="CM90">
        <v>201</v>
      </c>
      <c r="CN90" s="26">
        <v>-1</v>
      </c>
      <c r="CO90" s="29"/>
      <c r="CP90">
        <v>96</v>
      </c>
      <c r="CQ90" s="26">
        <v>98.200000000000017</v>
      </c>
      <c r="CR90" s="26">
        <v>-2.2000000000000171</v>
      </c>
      <c r="CS90" s="29"/>
      <c r="CT90" s="28">
        <v>40</v>
      </c>
      <c r="CU90" s="26">
        <v>45</v>
      </c>
      <c r="CV90" s="26">
        <v>-5</v>
      </c>
      <c r="CW90" s="29"/>
      <c r="CX90" s="28">
        <v>152</v>
      </c>
      <c r="CY90" s="26">
        <v>162.19999999999999</v>
      </c>
      <c r="CZ90" s="25">
        <v>-10.19999999999999</v>
      </c>
      <c r="DA90" s="29">
        <v>3.5699999999999958</v>
      </c>
      <c r="DB90" s="28">
        <v>8</v>
      </c>
      <c r="DC90">
        <v>8</v>
      </c>
      <c r="DD90" s="26">
        <v>0</v>
      </c>
      <c r="DE90" s="29"/>
      <c r="DF90">
        <v>120</v>
      </c>
      <c r="DG90" s="31">
        <v>123.8</v>
      </c>
      <c r="DH90" s="26">
        <v>-3.7999999999999972</v>
      </c>
      <c r="DI90" s="29"/>
      <c r="DJ90">
        <v>32</v>
      </c>
      <c r="DK90">
        <v>35</v>
      </c>
      <c r="DL90" s="26">
        <v>-3</v>
      </c>
      <c r="DM90" s="29"/>
      <c r="DN90" s="28">
        <v>152</v>
      </c>
      <c r="DP90">
        <v>150</v>
      </c>
      <c r="DQ90" s="26">
        <v>2</v>
      </c>
      <c r="DR90" s="29"/>
      <c r="DS90" s="28">
        <v>40</v>
      </c>
      <c r="DU90">
        <v>41</v>
      </c>
      <c r="DV90" s="26">
        <v>-1</v>
      </c>
      <c r="DW90" s="29"/>
      <c r="DX90">
        <v>112</v>
      </c>
      <c r="DY90" s="31">
        <v>109.6</v>
      </c>
      <c r="DZ90" s="26">
        <v>2.4000000000000061</v>
      </c>
      <c r="EA90" s="29"/>
      <c r="EB90" s="30"/>
      <c r="EC90">
        <v>72</v>
      </c>
      <c r="ED90">
        <v>70</v>
      </c>
      <c r="EE90">
        <v>64</v>
      </c>
      <c r="EF90">
        <v>68</v>
      </c>
      <c r="EG90" s="26">
        <v>-2</v>
      </c>
      <c r="EH90" s="29"/>
      <c r="EI90">
        <v>32</v>
      </c>
      <c r="EJ90" s="31">
        <v>34.400000000000013</v>
      </c>
      <c r="EK90" s="26">
        <v>-2.4000000000000128</v>
      </c>
      <c r="EL90" s="29"/>
      <c r="EM90" s="30"/>
      <c r="EQ90" s="26">
        <v>0</v>
      </c>
      <c r="ER90" s="29"/>
      <c r="ES90">
        <v>96</v>
      </c>
      <c r="ET90">
        <v>100</v>
      </c>
      <c r="EU90">
        <v>112</v>
      </c>
      <c r="EV90">
        <v>110</v>
      </c>
      <c r="EW90" s="26">
        <v>-2</v>
      </c>
      <c r="EX90" s="29"/>
      <c r="FA90" s="26">
        <v>0</v>
      </c>
      <c r="FB90" s="29"/>
      <c r="FC90" s="28">
        <v>160</v>
      </c>
      <c r="FD90">
        <v>160</v>
      </c>
      <c r="FE90" s="26">
        <v>0</v>
      </c>
      <c r="FF90" s="29"/>
      <c r="FG90" s="28">
        <v>40</v>
      </c>
      <c r="FH90">
        <v>40</v>
      </c>
      <c r="FI90" s="26">
        <v>0</v>
      </c>
      <c r="FJ90" s="29"/>
      <c r="FK90">
        <v>48</v>
      </c>
      <c r="FL90">
        <v>50</v>
      </c>
      <c r="FM90" s="26">
        <v>-2</v>
      </c>
      <c r="FN90" s="29"/>
      <c r="FO90" s="28">
        <v>88</v>
      </c>
      <c r="FP90">
        <v>90</v>
      </c>
      <c r="FQ90" s="26">
        <v>-2</v>
      </c>
      <c r="FR90" s="29"/>
      <c r="FS90" s="28">
        <v>40</v>
      </c>
      <c r="FT90">
        <v>45</v>
      </c>
      <c r="FU90" s="26">
        <v>-5</v>
      </c>
      <c r="FV90" s="29"/>
      <c r="FW90">
        <v>24</v>
      </c>
      <c r="FX90">
        <v>24</v>
      </c>
      <c r="FY90" s="26">
        <v>0</v>
      </c>
      <c r="FZ90" s="32"/>
      <c r="GC90" s="26">
        <v>0</v>
      </c>
      <c r="GD90" s="29"/>
      <c r="GE90">
        <v>80</v>
      </c>
      <c r="GF90">
        <v>84.4</v>
      </c>
      <c r="GG90" s="26">
        <v>-4.4000000000000057</v>
      </c>
      <c r="GH90" s="32"/>
      <c r="GK90" s="26">
        <v>0</v>
      </c>
      <c r="GL90" s="29"/>
      <c r="GM90">
        <v>16</v>
      </c>
      <c r="GN90">
        <v>18</v>
      </c>
      <c r="GO90" s="26">
        <v>-2</v>
      </c>
      <c r="GP90" s="32"/>
      <c r="GQ90">
        <v>24</v>
      </c>
      <c r="GR90" s="31">
        <v>24.599999999999991</v>
      </c>
      <c r="GS90" s="26">
        <v>-0.59999999999999076</v>
      </c>
      <c r="GT90" s="29"/>
      <c r="GU90" s="28">
        <v>16</v>
      </c>
      <c r="GV90" s="31">
        <v>16</v>
      </c>
      <c r="GW90" s="26">
        <v>0</v>
      </c>
      <c r="GX90" s="32"/>
      <c r="GY90">
        <v>56</v>
      </c>
      <c r="GZ90">
        <v>57</v>
      </c>
      <c r="HA90" s="26">
        <v>-1</v>
      </c>
      <c r="HB90" s="32"/>
      <c r="HE90" s="26">
        <v>0</v>
      </c>
      <c r="HF90" s="32"/>
      <c r="HI90" s="26">
        <v>0</v>
      </c>
      <c r="HJ90" s="29"/>
      <c r="HK90">
        <v>72</v>
      </c>
      <c r="HL90">
        <v>70</v>
      </c>
      <c r="HM90">
        <v>64</v>
      </c>
      <c r="HN90">
        <v>67</v>
      </c>
      <c r="HO90" s="26">
        <v>-1</v>
      </c>
      <c r="HP90" s="32"/>
      <c r="HQ90" s="31">
        <v>72</v>
      </c>
      <c r="HR90" s="31">
        <v>70</v>
      </c>
      <c r="HS90" s="26">
        <v>2</v>
      </c>
      <c r="HT90" s="32"/>
      <c r="HU90" s="31">
        <v>0</v>
      </c>
      <c r="HV90" s="31">
        <v>0</v>
      </c>
      <c r="HW90" s="26">
        <v>0</v>
      </c>
      <c r="HX90" s="32"/>
      <c r="HY90" s="34">
        <v>112</v>
      </c>
      <c r="HZ90" s="31">
        <v>110</v>
      </c>
      <c r="IA90" s="26">
        <v>2</v>
      </c>
      <c r="IB90" s="32"/>
    </row>
    <row r="91" spans="1:236" x14ac:dyDescent="0.25">
      <c r="A91" s="26" t="s">
        <v>218</v>
      </c>
      <c r="B91" s="27">
        <v>0.28000000000000003</v>
      </c>
      <c r="I91" s="30"/>
      <c r="J91" s="35"/>
      <c r="K91" s="35"/>
      <c r="L91" s="35">
        <f t="shared" si="8"/>
        <v>0</v>
      </c>
      <c r="M91" s="29"/>
      <c r="N91" s="30"/>
      <c r="O91" s="35"/>
      <c r="P91" s="35">
        <f t="shared" si="9"/>
        <v>0</v>
      </c>
      <c r="Q91" s="29"/>
      <c r="R91" s="30"/>
      <c r="S91" s="35"/>
      <c r="T91" s="35">
        <f t="shared" si="10"/>
        <v>0</v>
      </c>
      <c r="U91" s="29"/>
      <c r="V91" s="35"/>
      <c r="X91" s="26">
        <v>0</v>
      </c>
      <c r="Y91" s="29"/>
      <c r="Z91" s="30"/>
      <c r="AB91" s="26">
        <v>0</v>
      </c>
      <c r="AC91" s="29"/>
      <c r="AF91" s="26">
        <v>0</v>
      </c>
      <c r="AG91" s="29"/>
      <c r="AH91" s="30"/>
      <c r="AJ91" s="26">
        <v>0</v>
      </c>
      <c r="AK91" s="29"/>
      <c r="AL91" s="30"/>
      <c r="AN91" s="26">
        <v>0</v>
      </c>
      <c r="AO91" s="29"/>
      <c r="AR91" s="26">
        <v>0</v>
      </c>
      <c r="AS91" s="29"/>
      <c r="AT91" s="30"/>
      <c r="AX91" s="26">
        <v>0</v>
      </c>
      <c r="AY91" s="29"/>
      <c r="AZ91" s="30"/>
      <c r="BB91" s="26">
        <v>0</v>
      </c>
      <c r="BC91" s="29"/>
      <c r="BH91" s="26">
        <v>0</v>
      </c>
      <c r="BI91" s="29"/>
      <c r="BL91" s="26">
        <v>0</v>
      </c>
      <c r="BM91" s="29"/>
      <c r="BN91" s="30"/>
      <c r="BP91" s="26">
        <v>0</v>
      </c>
      <c r="BQ91" s="29"/>
      <c r="BR91" s="30"/>
      <c r="BT91" s="26">
        <v>0</v>
      </c>
      <c r="BU91" s="29"/>
      <c r="BX91" s="26">
        <v>0</v>
      </c>
      <c r="BY91" s="29"/>
      <c r="BZ91" s="30"/>
      <c r="CC91" s="26">
        <v>0</v>
      </c>
      <c r="CD91" s="29"/>
      <c r="CE91" s="30"/>
      <c r="CI91" s="26">
        <v>0</v>
      </c>
      <c r="CJ91" s="29"/>
      <c r="CK91" s="30"/>
      <c r="CN91" s="26">
        <v>0</v>
      </c>
      <c r="CO91" s="29"/>
      <c r="CR91" s="26">
        <v>0</v>
      </c>
      <c r="CS91" s="29"/>
      <c r="CT91" s="34"/>
      <c r="CV91" s="26">
        <v>0</v>
      </c>
      <c r="CW91" s="29"/>
      <c r="CX91" s="30"/>
      <c r="CZ91" s="26">
        <v>0</v>
      </c>
      <c r="DA91" s="29"/>
      <c r="DB91" s="30"/>
      <c r="DD91" s="26">
        <v>0</v>
      </c>
      <c r="DE91" s="29"/>
      <c r="DH91" s="26">
        <v>0</v>
      </c>
      <c r="DI91" s="29"/>
      <c r="DL91" s="26">
        <v>0</v>
      </c>
      <c r="DM91" s="29"/>
      <c r="DN91" s="30"/>
      <c r="DQ91" s="26">
        <v>0</v>
      </c>
      <c r="DR91" s="29"/>
      <c r="DS91" s="30"/>
      <c r="DV91" s="26">
        <v>0</v>
      </c>
      <c r="DW91" s="29"/>
      <c r="DZ91" s="26">
        <v>0</v>
      </c>
      <c r="EA91" s="29"/>
      <c r="EB91" s="30"/>
      <c r="EF91">
        <v>63</v>
      </c>
      <c r="EG91" s="26">
        <v>1</v>
      </c>
      <c r="EH91" s="29"/>
      <c r="EJ91" s="31">
        <v>67.399999999999991</v>
      </c>
      <c r="EK91" s="25">
        <v>-67.399999999999991</v>
      </c>
      <c r="EL91" s="29">
        <v>18.872</v>
      </c>
      <c r="EM91" s="30"/>
      <c r="EO91">
        <v>16</v>
      </c>
      <c r="EP91">
        <v>21</v>
      </c>
      <c r="EQ91" s="26">
        <v>-5</v>
      </c>
      <c r="ER91" s="29"/>
      <c r="ES91">
        <v>40</v>
      </c>
      <c r="ET91">
        <v>40</v>
      </c>
      <c r="EU91">
        <v>40</v>
      </c>
      <c r="EV91">
        <v>40</v>
      </c>
      <c r="EW91" s="26">
        <v>0</v>
      </c>
      <c r="EX91" s="29"/>
      <c r="EY91">
        <v>8</v>
      </c>
      <c r="EZ91" s="31">
        <v>8</v>
      </c>
      <c r="FA91" s="26">
        <v>0</v>
      </c>
      <c r="FB91" s="29"/>
      <c r="FC91" s="28">
        <v>56</v>
      </c>
      <c r="FD91">
        <v>54</v>
      </c>
      <c r="FE91" s="26">
        <v>2</v>
      </c>
      <c r="FF91" s="29"/>
      <c r="FG91" s="28">
        <v>32</v>
      </c>
      <c r="FH91">
        <v>32</v>
      </c>
      <c r="FI91" s="26">
        <v>0</v>
      </c>
      <c r="FJ91" s="29"/>
      <c r="FK91">
        <v>24</v>
      </c>
      <c r="FL91">
        <v>24</v>
      </c>
      <c r="FM91" s="26">
        <v>0</v>
      </c>
      <c r="FN91" s="29"/>
      <c r="FO91" s="28">
        <v>40</v>
      </c>
      <c r="FP91">
        <v>44</v>
      </c>
      <c r="FQ91" s="26">
        <v>-4</v>
      </c>
      <c r="FR91" s="29"/>
      <c r="FS91" s="28">
        <v>8</v>
      </c>
      <c r="FT91">
        <v>9</v>
      </c>
      <c r="FU91" s="26">
        <v>-1</v>
      </c>
      <c r="FV91" s="29"/>
      <c r="FW91">
        <v>56</v>
      </c>
      <c r="FX91">
        <v>59</v>
      </c>
      <c r="FY91" s="26">
        <v>-3</v>
      </c>
      <c r="FZ91" s="32"/>
      <c r="GA91">
        <v>24</v>
      </c>
      <c r="GB91">
        <v>28</v>
      </c>
      <c r="GC91" s="26">
        <v>-4</v>
      </c>
      <c r="GD91" s="29"/>
      <c r="GE91">
        <v>32</v>
      </c>
      <c r="GF91">
        <v>37</v>
      </c>
      <c r="GG91" s="26">
        <v>-5</v>
      </c>
      <c r="GH91" s="32"/>
      <c r="GK91" s="26">
        <v>0</v>
      </c>
      <c r="GL91" s="29"/>
      <c r="GO91" s="26">
        <v>0</v>
      </c>
      <c r="GP91" s="32"/>
      <c r="GQ91">
        <v>40</v>
      </c>
      <c r="GR91" s="31">
        <v>39.799999999999997</v>
      </c>
      <c r="GS91" s="26">
        <v>0.20000000000000279</v>
      </c>
      <c r="GT91" s="29"/>
      <c r="GU91" s="28">
        <v>24</v>
      </c>
      <c r="GV91" s="31">
        <v>24</v>
      </c>
      <c r="GW91" s="26">
        <v>0</v>
      </c>
      <c r="GX91" s="32"/>
      <c r="GY91">
        <v>24</v>
      </c>
      <c r="GZ91">
        <v>24</v>
      </c>
      <c r="HA91" s="26">
        <v>0</v>
      </c>
      <c r="HB91" s="32"/>
      <c r="HE91" s="26">
        <v>0</v>
      </c>
      <c r="HF91" s="32"/>
      <c r="HI91" s="26">
        <v>0</v>
      </c>
      <c r="HJ91" s="29"/>
      <c r="HK91">
        <v>48</v>
      </c>
      <c r="HL91">
        <v>50</v>
      </c>
      <c r="HM91">
        <v>40</v>
      </c>
      <c r="HN91">
        <v>40</v>
      </c>
      <c r="HO91" s="26">
        <v>-2</v>
      </c>
      <c r="HP91" s="32"/>
      <c r="HQ91" s="31">
        <v>56</v>
      </c>
      <c r="HR91" s="31">
        <v>60</v>
      </c>
      <c r="HS91" s="26">
        <v>-4</v>
      </c>
      <c r="HT91" s="32"/>
      <c r="HU91" s="31">
        <v>0</v>
      </c>
      <c r="HV91" s="31">
        <v>0</v>
      </c>
      <c r="HW91" s="26">
        <v>0</v>
      </c>
      <c r="HX91" s="32"/>
      <c r="HY91" s="34">
        <v>0</v>
      </c>
      <c r="HZ91" s="31">
        <v>0</v>
      </c>
      <c r="IA91" s="26">
        <v>0</v>
      </c>
      <c r="IB91" s="32"/>
    </row>
    <row r="92" spans="1:236" x14ac:dyDescent="0.25">
      <c r="A92" s="26" t="s">
        <v>219</v>
      </c>
      <c r="B92" s="27">
        <v>0.41</v>
      </c>
      <c r="I92" s="30"/>
      <c r="J92" s="36">
        <v>576</v>
      </c>
      <c r="K92" s="36">
        <v>575</v>
      </c>
      <c r="L92" s="35">
        <f t="shared" si="8"/>
        <v>1</v>
      </c>
      <c r="M92" s="29"/>
      <c r="N92" s="28">
        <v>384</v>
      </c>
      <c r="O92" s="36">
        <v>389</v>
      </c>
      <c r="P92" s="35">
        <f t="shared" si="9"/>
        <v>-5</v>
      </c>
      <c r="Q92" s="29"/>
      <c r="R92" s="30"/>
      <c r="S92" s="35"/>
      <c r="T92" s="35">
        <f t="shared" si="10"/>
        <v>0</v>
      </c>
      <c r="U92" s="29"/>
      <c r="V92" s="36">
        <v>608</v>
      </c>
      <c r="W92">
        <v>613</v>
      </c>
      <c r="X92" s="26">
        <v>-5</v>
      </c>
      <c r="Y92" s="29"/>
      <c r="Z92" s="28">
        <v>184</v>
      </c>
      <c r="AA92">
        <v>189</v>
      </c>
      <c r="AB92" s="26">
        <v>-5</v>
      </c>
      <c r="AC92" s="29"/>
      <c r="AD92">
        <v>336</v>
      </c>
      <c r="AE92">
        <v>336</v>
      </c>
      <c r="AF92" s="26">
        <v>0</v>
      </c>
      <c r="AG92" s="29"/>
      <c r="AH92" s="30"/>
      <c r="AJ92" s="26">
        <v>0</v>
      </c>
      <c r="AK92" s="29"/>
      <c r="AL92" s="28">
        <v>400</v>
      </c>
      <c r="AM92">
        <v>390</v>
      </c>
      <c r="AN92" s="26">
        <v>10</v>
      </c>
      <c r="AO92" s="29"/>
      <c r="AP92">
        <v>80</v>
      </c>
      <c r="AQ92">
        <v>79</v>
      </c>
      <c r="AR92" s="26">
        <v>1</v>
      </c>
      <c r="AS92" s="29"/>
      <c r="AT92" s="28">
        <v>56</v>
      </c>
      <c r="AU92">
        <v>60</v>
      </c>
      <c r="AV92">
        <v>88</v>
      </c>
      <c r="AW92">
        <v>87</v>
      </c>
      <c r="AX92" s="26">
        <v>-3</v>
      </c>
      <c r="AY92" s="29"/>
      <c r="AZ92" s="28">
        <v>152</v>
      </c>
      <c r="BA92">
        <v>152</v>
      </c>
      <c r="BB92" s="26">
        <v>0</v>
      </c>
      <c r="BC92" s="29"/>
      <c r="BF92">
        <v>152</v>
      </c>
      <c r="BG92">
        <v>157</v>
      </c>
      <c r="BH92" s="26">
        <v>-5</v>
      </c>
      <c r="BI92" s="29"/>
      <c r="BJ92">
        <v>136</v>
      </c>
      <c r="BK92">
        <v>137</v>
      </c>
      <c r="BL92" s="26">
        <v>-1</v>
      </c>
      <c r="BM92" s="29"/>
      <c r="BN92" s="28">
        <v>192</v>
      </c>
      <c r="BO92">
        <v>196</v>
      </c>
      <c r="BP92" s="26">
        <v>-4</v>
      </c>
      <c r="BQ92" s="29"/>
      <c r="BR92" s="30"/>
      <c r="BT92" s="26">
        <v>0</v>
      </c>
      <c r="BU92" s="29"/>
      <c r="BV92">
        <v>248</v>
      </c>
      <c r="BW92">
        <v>250</v>
      </c>
      <c r="BX92" s="26">
        <v>-2</v>
      </c>
      <c r="BY92" s="29"/>
      <c r="BZ92" s="30"/>
      <c r="CC92" s="26">
        <v>0</v>
      </c>
      <c r="CD92" s="29"/>
      <c r="CE92" s="30"/>
      <c r="CG92">
        <v>104</v>
      </c>
      <c r="CH92">
        <v>109</v>
      </c>
      <c r="CI92" s="26">
        <v>-5</v>
      </c>
      <c r="CJ92" s="29"/>
      <c r="CK92" s="28">
        <v>232</v>
      </c>
      <c r="CM92">
        <v>235</v>
      </c>
      <c r="CN92" s="26">
        <v>-3</v>
      </c>
      <c r="CO92" s="29"/>
      <c r="CR92" s="26">
        <v>0</v>
      </c>
      <c r="CS92" s="29"/>
      <c r="CT92" s="28">
        <v>248</v>
      </c>
      <c r="CU92" s="26">
        <v>248</v>
      </c>
      <c r="CV92" s="26">
        <v>0</v>
      </c>
      <c r="CW92" s="29"/>
      <c r="CX92" s="28">
        <v>72</v>
      </c>
      <c r="CY92" s="26">
        <v>74.799999999999983</v>
      </c>
      <c r="CZ92" s="26">
        <v>-2.7999999999999829</v>
      </c>
      <c r="DA92" s="29"/>
      <c r="DB92" s="28">
        <v>48</v>
      </c>
      <c r="DC92">
        <v>49</v>
      </c>
      <c r="DD92" s="26">
        <v>-1</v>
      </c>
      <c r="DE92" s="29"/>
      <c r="DF92">
        <v>96</v>
      </c>
      <c r="DG92" s="31">
        <v>95.400000000000034</v>
      </c>
      <c r="DH92" s="26">
        <v>0.59999999999996589</v>
      </c>
      <c r="DI92" s="29"/>
      <c r="DJ92">
        <v>208</v>
      </c>
      <c r="DK92">
        <v>212</v>
      </c>
      <c r="DL92" s="26">
        <v>-4</v>
      </c>
      <c r="DM92" s="29"/>
      <c r="DN92" s="28">
        <v>16</v>
      </c>
      <c r="DP92">
        <v>17</v>
      </c>
      <c r="DQ92" s="26">
        <v>-1</v>
      </c>
      <c r="DR92" s="29"/>
      <c r="DS92" s="28">
        <v>168</v>
      </c>
      <c r="DU92">
        <v>168</v>
      </c>
      <c r="DV92" s="26">
        <v>0</v>
      </c>
      <c r="DW92" s="29"/>
      <c r="DZ92" s="26">
        <v>0</v>
      </c>
      <c r="EA92" s="29"/>
      <c r="EB92" s="30"/>
      <c r="EC92">
        <v>32</v>
      </c>
      <c r="ED92">
        <v>32</v>
      </c>
      <c r="EE92">
        <v>40</v>
      </c>
      <c r="EF92">
        <v>45</v>
      </c>
      <c r="EG92" s="26">
        <v>-5</v>
      </c>
      <c r="EH92" s="29"/>
      <c r="EI92">
        <v>176</v>
      </c>
      <c r="EJ92" s="31">
        <v>180.6</v>
      </c>
      <c r="EK92" s="26">
        <v>-4.5999999999999943</v>
      </c>
      <c r="EL92" s="29"/>
      <c r="EM92" s="30"/>
      <c r="EO92">
        <v>48</v>
      </c>
      <c r="EP92">
        <v>48</v>
      </c>
      <c r="EQ92" s="26">
        <v>0</v>
      </c>
      <c r="ER92" s="29"/>
      <c r="ES92">
        <v>80</v>
      </c>
      <c r="ET92">
        <v>80</v>
      </c>
      <c r="EU92">
        <v>80</v>
      </c>
      <c r="EV92">
        <v>80</v>
      </c>
      <c r="EW92" s="26">
        <v>0</v>
      </c>
      <c r="EX92" s="29"/>
      <c r="FA92" s="26">
        <v>0</v>
      </c>
      <c r="FB92" s="29"/>
      <c r="FC92" s="28">
        <v>96</v>
      </c>
      <c r="FD92">
        <v>96</v>
      </c>
      <c r="FE92" s="26">
        <v>0</v>
      </c>
      <c r="FF92" s="29"/>
      <c r="FG92" s="28">
        <v>40</v>
      </c>
      <c r="FH92">
        <v>40</v>
      </c>
      <c r="FI92" s="26">
        <v>0</v>
      </c>
      <c r="FJ92" s="29"/>
      <c r="FK92">
        <v>40</v>
      </c>
      <c r="FL92">
        <v>40</v>
      </c>
      <c r="FM92" s="26">
        <v>0</v>
      </c>
      <c r="FN92" s="29"/>
      <c r="FO92" s="28">
        <v>160</v>
      </c>
      <c r="FP92">
        <v>159</v>
      </c>
      <c r="FQ92" s="26">
        <v>1</v>
      </c>
      <c r="FR92" s="29"/>
      <c r="FS92" s="28">
        <v>56</v>
      </c>
      <c r="FT92">
        <v>59</v>
      </c>
      <c r="FU92" s="26">
        <v>-3</v>
      </c>
      <c r="FV92" s="29"/>
      <c r="FW92">
        <v>32</v>
      </c>
      <c r="FX92">
        <v>32</v>
      </c>
      <c r="FY92" s="26">
        <v>0</v>
      </c>
      <c r="FZ92" s="32"/>
      <c r="GA92">
        <v>104</v>
      </c>
      <c r="GB92">
        <v>107</v>
      </c>
      <c r="GC92" s="26">
        <v>-3</v>
      </c>
      <c r="GD92" s="29"/>
      <c r="GE92">
        <v>88</v>
      </c>
      <c r="GF92">
        <v>90.200000000000017</v>
      </c>
      <c r="GG92" s="26">
        <v>-2.2000000000000171</v>
      </c>
      <c r="GH92" s="32"/>
      <c r="GI92">
        <v>72</v>
      </c>
      <c r="GJ92">
        <v>72</v>
      </c>
      <c r="GK92" s="26">
        <v>0</v>
      </c>
      <c r="GL92" s="29"/>
      <c r="GM92">
        <v>64</v>
      </c>
      <c r="GN92">
        <v>64</v>
      </c>
      <c r="GO92" s="26">
        <v>0</v>
      </c>
      <c r="GP92" s="32"/>
      <c r="GQ92">
        <v>64</v>
      </c>
      <c r="GR92" s="31">
        <v>68.8</v>
      </c>
      <c r="GS92" s="26">
        <v>-4.7999999999999972</v>
      </c>
      <c r="GT92" s="29"/>
      <c r="GU92" s="28">
        <v>24</v>
      </c>
      <c r="GV92" s="31">
        <v>24</v>
      </c>
      <c r="GW92" s="26">
        <v>0</v>
      </c>
      <c r="GX92" s="32"/>
      <c r="HA92" s="26">
        <v>0</v>
      </c>
      <c r="HB92" s="32"/>
      <c r="HE92" s="26">
        <v>0</v>
      </c>
      <c r="HF92" s="32"/>
      <c r="HI92" s="26">
        <v>0</v>
      </c>
      <c r="HJ92" s="29"/>
      <c r="HK92">
        <v>152</v>
      </c>
      <c r="HL92">
        <v>150</v>
      </c>
      <c r="HM92">
        <v>112</v>
      </c>
      <c r="HN92">
        <v>116</v>
      </c>
      <c r="HO92" s="26">
        <v>-2</v>
      </c>
      <c r="HP92" s="32"/>
      <c r="HQ92" s="31">
        <v>0</v>
      </c>
      <c r="HR92" s="31">
        <v>0</v>
      </c>
      <c r="HS92" s="26">
        <v>0</v>
      </c>
      <c r="HT92" s="32"/>
      <c r="HU92" s="31">
        <v>160</v>
      </c>
      <c r="HV92" s="31">
        <v>161.19999999999999</v>
      </c>
      <c r="HW92" s="26">
        <v>-1.2000000000000171</v>
      </c>
      <c r="HX92" s="32"/>
      <c r="HY92" s="34">
        <v>0</v>
      </c>
      <c r="HZ92" s="31">
        <v>0</v>
      </c>
      <c r="IA92" s="26">
        <v>0</v>
      </c>
      <c r="IB92" s="32"/>
    </row>
    <row r="93" spans="1:236" x14ac:dyDescent="0.25">
      <c r="A93" s="26" t="s">
        <v>220</v>
      </c>
      <c r="B93" s="27">
        <v>0.5</v>
      </c>
      <c r="I93" s="30"/>
      <c r="J93" s="35"/>
      <c r="K93" s="35"/>
      <c r="L93" s="35">
        <f t="shared" si="8"/>
        <v>0</v>
      </c>
      <c r="M93" s="29"/>
      <c r="N93" s="30"/>
      <c r="O93" s="35"/>
      <c r="P93" s="35">
        <f t="shared" si="9"/>
        <v>0</v>
      </c>
      <c r="Q93" s="29"/>
      <c r="R93" s="30"/>
      <c r="S93" s="35"/>
      <c r="T93" s="35">
        <f t="shared" si="10"/>
        <v>0</v>
      </c>
      <c r="U93" s="29"/>
      <c r="V93" s="35"/>
      <c r="X93" s="26">
        <v>0</v>
      </c>
      <c r="Y93" s="29"/>
      <c r="Z93" s="30"/>
      <c r="AB93" s="26">
        <v>0</v>
      </c>
      <c r="AC93" s="29"/>
      <c r="AF93" s="26">
        <v>0</v>
      </c>
      <c r="AG93" s="29"/>
      <c r="AH93" s="30"/>
      <c r="AJ93" s="26">
        <v>0</v>
      </c>
      <c r="AK93" s="29"/>
      <c r="AL93" s="30"/>
      <c r="AN93" s="26">
        <v>0</v>
      </c>
      <c r="AO93" s="29"/>
      <c r="AR93" s="26">
        <v>0</v>
      </c>
      <c r="AS93" s="29"/>
      <c r="AT93" s="30"/>
      <c r="AX93" s="26">
        <v>0</v>
      </c>
      <c r="AY93" s="29"/>
      <c r="AZ93" s="30"/>
      <c r="BB93" s="26">
        <v>0</v>
      </c>
      <c r="BC93" s="29"/>
      <c r="BH93" s="26">
        <v>0</v>
      </c>
      <c r="BI93" s="29"/>
      <c r="BL93" s="26">
        <v>0</v>
      </c>
      <c r="BM93" s="29"/>
      <c r="BN93" s="30"/>
      <c r="BP93" s="26">
        <v>0</v>
      </c>
      <c r="BQ93" s="29"/>
      <c r="BR93" s="30"/>
      <c r="BT93" s="26">
        <v>0</v>
      </c>
      <c r="BU93" s="29"/>
      <c r="BX93" s="26">
        <v>0</v>
      </c>
      <c r="BY93" s="29"/>
      <c r="BZ93" s="30"/>
      <c r="CC93" s="26">
        <v>0</v>
      </c>
      <c r="CD93" s="29"/>
      <c r="CE93" s="30"/>
      <c r="CI93" s="26">
        <v>0</v>
      </c>
      <c r="CJ93" s="29"/>
      <c r="CK93" s="30"/>
      <c r="CN93" s="26">
        <v>0</v>
      </c>
      <c r="CO93" s="29"/>
      <c r="CR93" s="26">
        <v>0</v>
      </c>
      <c r="CS93" s="29"/>
      <c r="CT93" s="34"/>
      <c r="CV93" s="26">
        <v>0</v>
      </c>
      <c r="CW93" s="29"/>
      <c r="CX93" s="30"/>
      <c r="CZ93" s="26">
        <v>0</v>
      </c>
      <c r="DA93" s="29"/>
      <c r="DB93" s="30"/>
      <c r="DD93" s="26">
        <v>0</v>
      </c>
      <c r="DE93" s="29"/>
      <c r="DH93" s="26">
        <v>0</v>
      </c>
      <c r="DI93" s="29"/>
      <c r="DL93" s="26">
        <v>0</v>
      </c>
      <c r="DM93" s="29"/>
      <c r="DN93" s="30"/>
      <c r="DQ93" s="26">
        <v>0</v>
      </c>
      <c r="DR93" s="29"/>
      <c r="DS93" s="30"/>
      <c r="DV93" s="26">
        <v>0</v>
      </c>
      <c r="DW93" s="29"/>
      <c r="DZ93" s="26">
        <v>0</v>
      </c>
      <c r="EA93" s="29"/>
      <c r="EB93" s="30"/>
      <c r="EG93" s="26">
        <v>0</v>
      </c>
      <c r="EH93" s="29"/>
      <c r="EK93" s="26">
        <v>0</v>
      </c>
      <c r="EL93" s="29"/>
      <c r="EM93" s="30"/>
      <c r="EQ93" s="26">
        <v>0</v>
      </c>
      <c r="ER93" s="29"/>
      <c r="EW93" s="26">
        <v>0</v>
      </c>
      <c r="EX93" s="29"/>
      <c r="FA93" s="26">
        <v>0</v>
      </c>
      <c r="FB93" s="29"/>
      <c r="FC93" s="30"/>
      <c r="FE93" s="26">
        <v>0</v>
      </c>
      <c r="FF93" s="29"/>
      <c r="FG93" s="30"/>
      <c r="FI93" s="26">
        <v>0</v>
      </c>
      <c r="FJ93" s="29"/>
      <c r="FM93" s="26">
        <v>0</v>
      </c>
      <c r="FN93" s="29"/>
      <c r="FO93" s="30"/>
      <c r="FQ93" s="26">
        <v>0</v>
      </c>
      <c r="FR93" s="29"/>
      <c r="FS93" s="30"/>
      <c r="FU93" s="26">
        <v>0</v>
      </c>
      <c r="FV93" s="29"/>
      <c r="FY93" s="26">
        <v>0</v>
      </c>
      <c r="FZ93" s="32"/>
      <c r="GC93" s="26">
        <v>0</v>
      </c>
      <c r="GD93" s="29"/>
      <c r="GG93" s="26">
        <v>0</v>
      </c>
      <c r="GH93" s="32"/>
      <c r="GK93" s="26">
        <v>0</v>
      </c>
      <c r="GL93" s="29"/>
      <c r="GO93" s="26">
        <v>0</v>
      </c>
      <c r="GP93" s="32"/>
      <c r="GS93" s="26">
        <v>0</v>
      </c>
      <c r="GT93" s="29"/>
      <c r="GU93" s="34"/>
      <c r="GW93" s="26">
        <v>0</v>
      </c>
      <c r="GX93" s="32"/>
      <c r="HA93" s="26">
        <v>0</v>
      </c>
      <c r="HB93" s="32"/>
      <c r="HE93" s="26">
        <v>0</v>
      </c>
      <c r="HF93" s="32"/>
      <c r="HI93" s="26">
        <v>0</v>
      </c>
      <c r="HJ93" s="29"/>
      <c r="HK93" s="27"/>
      <c r="HM93" s="27"/>
      <c r="HO93" s="26">
        <v>0</v>
      </c>
      <c r="HP93" s="32"/>
      <c r="HQ93" s="31">
        <v>0</v>
      </c>
      <c r="HR93" s="31">
        <v>0</v>
      </c>
      <c r="HS93" s="26">
        <v>0</v>
      </c>
      <c r="HT93" s="32"/>
      <c r="HU93" s="31">
        <v>0</v>
      </c>
      <c r="HV93" s="31">
        <v>0</v>
      </c>
      <c r="HW93" s="26">
        <v>0</v>
      </c>
      <c r="HX93" s="32"/>
      <c r="HY93" s="34">
        <v>0</v>
      </c>
      <c r="HZ93" s="31">
        <v>0</v>
      </c>
      <c r="IA93" s="26">
        <v>0</v>
      </c>
      <c r="IB93" s="32"/>
    </row>
    <row r="94" spans="1:236" x14ac:dyDescent="0.25">
      <c r="A94" s="26" t="s">
        <v>221</v>
      </c>
      <c r="B94" s="27">
        <v>0.41</v>
      </c>
      <c r="I94" s="30"/>
      <c r="J94" s="35"/>
      <c r="K94" s="35"/>
      <c r="L94" s="35">
        <f t="shared" si="8"/>
        <v>0</v>
      </c>
      <c r="M94" s="29"/>
      <c r="N94" s="30"/>
      <c r="O94" s="35"/>
      <c r="P94" s="35">
        <f t="shared" si="9"/>
        <v>0</v>
      </c>
      <c r="Q94" s="29"/>
      <c r="R94" s="30"/>
      <c r="S94" s="35"/>
      <c r="T94" s="35">
        <f t="shared" si="10"/>
        <v>0</v>
      </c>
      <c r="U94" s="29"/>
      <c r="V94" s="35"/>
      <c r="X94" s="26">
        <v>0</v>
      </c>
      <c r="Y94" s="29"/>
      <c r="Z94" s="30"/>
      <c r="AB94" s="26">
        <v>0</v>
      </c>
      <c r="AC94" s="29"/>
      <c r="AF94" s="26">
        <v>0</v>
      </c>
      <c r="AG94" s="29"/>
      <c r="AH94" s="30"/>
      <c r="AJ94" s="26">
        <v>0</v>
      </c>
      <c r="AK94" s="29"/>
      <c r="AL94" s="30"/>
      <c r="AN94" s="26">
        <v>0</v>
      </c>
      <c r="AO94" s="29"/>
      <c r="AR94" s="26">
        <v>0</v>
      </c>
      <c r="AS94" s="29"/>
      <c r="AT94" s="30"/>
      <c r="AX94" s="26">
        <v>0</v>
      </c>
      <c r="AY94" s="29"/>
      <c r="AZ94" s="30"/>
      <c r="BB94" s="26">
        <v>0</v>
      </c>
      <c r="BC94" s="29"/>
      <c r="BH94" s="26">
        <v>0</v>
      </c>
      <c r="BI94" s="29"/>
      <c r="BL94" s="26">
        <v>0</v>
      </c>
      <c r="BM94" s="29"/>
      <c r="BN94" s="30"/>
      <c r="BP94" s="26">
        <v>0</v>
      </c>
      <c r="BQ94" s="29"/>
      <c r="BR94" s="30"/>
      <c r="BT94" s="26">
        <v>0</v>
      </c>
      <c r="BU94" s="29"/>
      <c r="BX94" s="26">
        <v>0</v>
      </c>
      <c r="BY94" s="29"/>
      <c r="BZ94" s="30"/>
      <c r="CC94" s="26">
        <v>0</v>
      </c>
      <c r="CD94" s="29"/>
      <c r="CE94" s="30"/>
      <c r="CI94" s="26">
        <v>0</v>
      </c>
      <c r="CJ94" s="29"/>
      <c r="CK94" s="30"/>
      <c r="CN94" s="26">
        <v>0</v>
      </c>
      <c r="CO94" s="29"/>
      <c r="CR94" s="26">
        <v>0</v>
      </c>
      <c r="CS94" s="29"/>
      <c r="CT94" s="34"/>
      <c r="CV94" s="26">
        <v>0</v>
      </c>
      <c r="CW94" s="29"/>
      <c r="CX94" s="30"/>
      <c r="CZ94" s="26">
        <v>0</v>
      </c>
      <c r="DA94" s="29"/>
      <c r="DB94" s="30"/>
      <c r="DD94" s="26">
        <v>0</v>
      </c>
      <c r="DE94" s="29"/>
      <c r="DH94" s="26">
        <v>0</v>
      </c>
      <c r="DI94" s="29"/>
      <c r="DL94" s="26">
        <v>0</v>
      </c>
      <c r="DM94" s="29"/>
      <c r="DN94" s="30"/>
      <c r="DQ94" s="26">
        <v>0</v>
      </c>
      <c r="DR94" s="29"/>
      <c r="DS94" s="30"/>
      <c r="DV94" s="26">
        <v>0</v>
      </c>
      <c r="DW94" s="29"/>
      <c r="DZ94" s="26">
        <v>0</v>
      </c>
      <c r="EA94" s="29"/>
      <c r="EB94" s="30"/>
      <c r="EG94" s="26">
        <v>0</v>
      </c>
      <c r="EH94" s="29"/>
      <c r="EK94" s="26">
        <v>0</v>
      </c>
      <c r="EL94" s="29"/>
      <c r="EM94" s="30"/>
      <c r="EQ94" s="26">
        <v>0</v>
      </c>
      <c r="ER94" s="29"/>
      <c r="EW94" s="26">
        <v>0</v>
      </c>
      <c r="EX94" s="29"/>
      <c r="FA94" s="26">
        <v>0</v>
      </c>
      <c r="FB94" s="29"/>
      <c r="FC94" s="30"/>
      <c r="FE94" s="26">
        <v>0</v>
      </c>
      <c r="FF94" s="29"/>
      <c r="FG94" s="30"/>
      <c r="FI94" s="26">
        <v>0</v>
      </c>
      <c r="FJ94" s="29"/>
      <c r="FM94" s="26">
        <v>0</v>
      </c>
      <c r="FN94" s="29"/>
      <c r="FO94" s="30"/>
      <c r="FQ94" s="26">
        <v>0</v>
      </c>
      <c r="FR94" s="29"/>
      <c r="FS94" s="30"/>
      <c r="FU94" s="26">
        <v>0</v>
      </c>
      <c r="FV94" s="29"/>
      <c r="FY94" s="26">
        <v>0</v>
      </c>
      <c r="FZ94" s="32"/>
      <c r="GC94" s="26">
        <v>0</v>
      </c>
      <c r="GD94" s="29"/>
      <c r="GE94">
        <v>10</v>
      </c>
      <c r="GF94">
        <v>10</v>
      </c>
      <c r="GG94" s="26">
        <v>0</v>
      </c>
      <c r="GH94" s="32"/>
      <c r="GI94">
        <v>50</v>
      </c>
      <c r="GJ94">
        <v>50</v>
      </c>
      <c r="GK94" s="26">
        <v>0</v>
      </c>
      <c r="GL94" s="29"/>
      <c r="GO94" s="26">
        <v>0</v>
      </c>
      <c r="GP94" s="32"/>
      <c r="GS94" s="26">
        <v>0</v>
      </c>
      <c r="GT94" s="29"/>
      <c r="GU94" s="28">
        <v>30</v>
      </c>
      <c r="GV94" s="31">
        <v>30</v>
      </c>
      <c r="GW94" s="26">
        <v>0</v>
      </c>
      <c r="GX94" s="32"/>
      <c r="HA94" s="26">
        <v>0</v>
      </c>
      <c r="HB94" s="32"/>
      <c r="HC94">
        <v>30</v>
      </c>
      <c r="HD94">
        <v>30</v>
      </c>
      <c r="HE94" s="26">
        <v>0</v>
      </c>
      <c r="HF94" s="32"/>
      <c r="HI94" s="26">
        <v>0</v>
      </c>
      <c r="HJ94" s="29"/>
      <c r="HK94" s="27"/>
      <c r="HM94">
        <v>10</v>
      </c>
      <c r="HN94">
        <v>10</v>
      </c>
      <c r="HO94" s="26">
        <v>0</v>
      </c>
      <c r="HP94" s="32"/>
      <c r="HQ94" s="31">
        <v>0</v>
      </c>
      <c r="HR94" s="31">
        <v>0</v>
      </c>
      <c r="HS94" s="26">
        <v>0</v>
      </c>
      <c r="HT94" s="32"/>
      <c r="HU94" s="31">
        <v>0</v>
      </c>
      <c r="HV94" s="31">
        <v>0</v>
      </c>
      <c r="HW94" s="26">
        <v>0</v>
      </c>
      <c r="HX94" s="32"/>
      <c r="HY94" s="34">
        <v>0</v>
      </c>
      <c r="HZ94" s="4">
        <v>110</v>
      </c>
      <c r="IA94" s="26">
        <v>0</v>
      </c>
      <c r="IB94" s="32"/>
    </row>
    <row r="95" spans="1:236" x14ac:dyDescent="0.25">
      <c r="A95" s="26" t="s">
        <v>222</v>
      </c>
      <c r="B95" s="27">
        <v>0.41</v>
      </c>
      <c r="I95" s="30"/>
      <c r="J95" s="36">
        <v>160</v>
      </c>
      <c r="K95" s="36">
        <v>166</v>
      </c>
      <c r="L95" s="35">
        <f t="shared" si="8"/>
        <v>-6</v>
      </c>
      <c r="M95" s="29"/>
      <c r="N95" s="30"/>
      <c r="O95" s="35"/>
      <c r="P95" s="35">
        <f t="shared" si="9"/>
        <v>0</v>
      </c>
      <c r="Q95" s="29"/>
      <c r="R95" s="28">
        <v>120</v>
      </c>
      <c r="S95" s="36">
        <v>122</v>
      </c>
      <c r="T95" s="35">
        <f t="shared" si="10"/>
        <v>-2</v>
      </c>
      <c r="U95" s="29"/>
      <c r="V95" s="36">
        <v>10</v>
      </c>
      <c r="W95">
        <v>10</v>
      </c>
      <c r="X95" s="26">
        <v>0</v>
      </c>
      <c r="Y95" s="29"/>
      <c r="Z95" s="28">
        <v>60</v>
      </c>
      <c r="AA95">
        <v>64</v>
      </c>
      <c r="AB95" s="26">
        <v>-4</v>
      </c>
      <c r="AC95" s="29"/>
      <c r="AD95">
        <v>30</v>
      </c>
      <c r="AE95">
        <v>37</v>
      </c>
      <c r="AF95" s="26">
        <v>-7</v>
      </c>
      <c r="AG95" s="29"/>
      <c r="AH95" s="28">
        <v>40</v>
      </c>
      <c r="AI95">
        <v>47</v>
      </c>
      <c r="AJ95" s="26">
        <v>-7</v>
      </c>
      <c r="AK95" s="29"/>
      <c r="AL95" s="28">
        <v>30</v>
      </c>
      <c r="AM95">
        <v>29</v>
      </c>
      <c r="AN95" s="26">
        <v>1</v>
      </c>
      <c r="AO95" s="29"/>
      <c r="AP95">
        <v>20</v>
      </c>
      <c r="AQ95">
        <v>19</v>
      </c>
      <c r="AR95" s="26">
        <v>1</v>
      </c>
      <c r="AS95" s="29"/>
      <c r="AT95" s="30"/>
      <c r="AV95">
        <v>20</v>
      </c>
      <c r="AW95">
        <v>22</v>
      </c>
      <c r="AX95" s="26">
        <v>-2</v>
      </c>
      <c r="AY95" s="29"/>
      <c r="AZ95" s="30"/>
      <c r="BB95" s="26">
        <v>0</v>
      </c>
      <c r="BC95" s="29"/>
      <c r="BH95" s="26">
        <v>0</v>
      </c>
      <c r="BI95" s="29"/>
      <c r="BJ95">
        <v>50</v>
      </c>
      <c r="BK95">
        <v>54</v>
      </c>
      <c r="BL95" s="26">
        <v>-4</v>
      </c>
      <c r="BM95" s="29"/>
      <c r="BN95" s="30"/>
      <c r="BP95" s="26">
        <v>0</v>
      </c>
      <c r="BQ95" s="29"/>
      <c r="BR95" s="30">
        <v>30</v>
      </c>
      <c r="BS95" s="26">
        <v>30</v>
      </c>
      <c r="BT95" s="26">
        <v>0</v>
      </c>
      <c r="BU95" s="29"/>
      <c r="BX95" s="26">
        <v>0</v>
      </c>
      <c r="BY95" s="29"/>
      <c r="BZ95" s="30"/>
      <c r="CC95" s="26">
        <v>0</v>
      </c>
      <c r="CD95" s="29"/>
      <c r="CE95" s="30"/>
      <c r="CI95" s="26">
        <v>0</v>
      </c>
      <c r="CJ95" s="29"/>
      <c r="CK95" s="30"/>
      <c r="CO95" s="32"/>
      <c r="CS95" s="29"/>
      <c r="CT95" s="34"/>
      <c r="CW95" s="29"/>
      <c r="CX95" s="30"/>
      <c r="DA95" s="29"/>
      <c r="DB95" s="30"/>
      <c r="DE95" s="29"/>
      <c r="DI95" s="29"/>
      <c r="DM95" s="29"/>
      <c r="DN95" s="30"/>
      <c r="DR95" s="29"/>
      <c r="DS95" s="30"/>
      <c r="DW95" s="29"/>
      <c r="EA95" s="29"/>
      <c r="EB95" s="30"/>
      <c r="EH95" s="29"/>
      <c r="EL95" s="29"/>
      <c r="EM95" s="30"/>
      <c r="EP95" s="27"/>
      <c r="ER95" s="29"/>
      <c r="EX95" s="29"/>
      <c r="EY95" s="31"/>
      <c r="FB95" s="29"/>
      <c r="FC95" s="30"/>
      <c r="FF95" s="29"/>
      <c r="FG95" s="30"/>
      <c r="FJ95" s="29"/>
      <c r="FN95" s="29"/>
      <c r="FO95" s="30"/>
      <c r="FR95" s="29"/>
      <c r="FS95" s="30"/>
      <c r="FV95" s="29"/>
      <c r="FZ95" s="32"/>
      <c r="GD95" s="29"/>
      <c r="GH95" s="32"/>
      <c r="GL95" s="29"/>
      <c r="GP95" s="32"/>
      <c r="GT95" s="29"/>
      <c r="GU95" s="28"/>
      <c r="GV95" s="31"/>
      <c r="GX95" s="32"/>
      <c r="HB95" s="32"/>
      <c r="HF95" s="32"/>
      <c r="HJ95" s="29"/>
      <c r="HK95" s="27"/>
      <c r="HP95" s="32"/>
      <c r="HQ95" s="31"/>
      <c r="HR95" s="31"/>
      <c r="HT95" s="32"/>
      <c r="HU95" s="31"/>
      <c r="HV95" s="31"/>
      <c r="HX95" s="32"/>
      <c r="HY95" s="34"/>
      <c r="HZ95" s="31"/>
      <c r="IB95" s="32"/>
    </row>
    <row r="96" spans="1:236" x14ac:dyDescent="0.25">
      <c r="A96" s="26" t="s">
        <v>223</v>
      </c>
      <c r="B96" s="27">
        <v>0.41</v>
      </c>
      <c r="I96" s="30"/>
      <c r="J96" s="35"/>
      <c r="K96" s="35"/>
      <c r="L96" s="35">
        <f t="shared" si="8"/>
        <v>0</v>
      </c>
      <c r="M96" s="29"/>
      <c r="N96" s="30"/>
      <c r="O96" s="35"/>
      <c r="P96" s="35">
        <f t="shared" si="9"/>
        <v>0</v>
      </c>
      <c r="Q96" s="29"/>
      <c r="R96" s="30"/>
      <c r="S96" s="35"/>
      <c r="T96" s="35">
        <f t="shared" si="10"/>
        <v>0</v>
      </c>
      <c r="U96" s="29"/>
      <c r="V96" s="35"/>
      <c r="X96" s="26">
        <v>0</v>
      </c>
      <c r="Y96" s="29"/>
      <c r="Z96" s="30"/>
      <c r="AB96" s="26">
        <v>0</v>
      </c>
      <c r="AC96" s="29"/>
      <c r="AF96" s="26">
        <v>0</v>
      </c>
      <c r="AG96" s="29"/>
      <c r="AH96" s="30"/>
      <c r="AJ96" s="26">
        <v>0</v>
      </c>
      <c r="AK96" s="29"/>
      <c r="AL96" s="30"/>
      <c r="AN96" s="26">
        <v>0</v>
      </c>
      <c r="AO96" s="29"/>
      <c r="AR96" s="26">
        <v>0</v>
      </c>
      <c r="AS96" s="29"/>
      <c r="AT96" s="30"/>
      <c r="AX96" s="26">
        <v>0</v>
      </c>
      <c r="AY96" s="29"/>
      <c r="AZ96" s="30"/>
      <c r="BB96" s="26">
        <v>0</v>
      </c>
      <c r="BC96" s="29"/>
      <c r="BH96" s="26">
        <v>0</v>
      </c>
      <c r="BI96" s="29"/>
      <c r="BL96" s="26">
        <v>0</v>
      </c>
      <c r="BM96" s="29"/>
      <c r="BN96" s="30"/>
      <c r="BP96" s="26">
        <v>0</v>
      </c>
      <c r="BQ96" s="29"/>
      <c r="BR96" s="30"/>
      <c r="BT96" s="26">
        <v>0</v>
      </c>
      <c r="BU96" s="29"/>
      <c r="BX96" s="26">
        <v>0</v>
      </c>
      <c r="BY96" s="29"/>
      <c r="BZ96" s="30"/>
      <c r="CC96" s="26">
        <v>0</v>
      </c>
      <c r="CD96" s="29"/>
      <c r="CE96" s="30"/>
      <c r="CI96" s="26">
        <v>0</v>
      </c>
      <c r="CJ96" s="29"/>
      <c r="CK96" s="30"/>
      <c r="CN96" s="26">
        <v>0</v>
      </c>
      <c r="CO96" s="29"/>
      <c r="CR96" s="26">
        <v>0</v>
      </c>
      <c r="CS96" s="29"/>
      <c r="CT96" s="34"/>
      <c r="CV96" s="26">
        <v>0</v>
      </c>
      <c r="CW96" s="29"/>
      <c r="CX96" s="30"/>
      <c r="CZ96" s="26">
        <v>0</v>
      </c>
      <c r="DA96" s="29"/>
      <c r="DB96" s="30"/>
      <c r="DD96" s="26">
        <v>0</v>
      </c>
      <c r="DE96" s="29"/>
      <c r="DH96" s="26">
        <v>0</v>
      </c>
      <c r="DI96" s="29"/>
      <c r="DL96" s="26">
        <v>0</v>
      </c>
      <c r="DM96" s="29"/>
      <c r="DN96" s="30"/>
      <c r="DQ96" s="26">
        <v>0</v>
      </c>
      <c r="DR96" s="29"/>
      <c r="DS96" s="30"/>
      <c r="DV96" s="26">
        <v>0</v>
      </c>
      <c r="DW96" s="29"/>
      <c r="DZ96" s="26">
        <v>0</v>
      </c>
      <c r="EA96" s="29"/>
      <c r="EB96" s="30"/>
      <c r="EG96" s="26">
        <v>0</v>
      </c>
      <c r="EH96" s="29"/>
      <c r="EK96" s="26">
        <v>0</v>
      </c>
      <c r="EL96" s="29"/>
      <c r="EM96" s="30"/>
      <c r="EQ96" s="26">
        <v>0</v>
      </c>
      <c r="ER96" s="29"/>
      <c r="EW96" s="26">
        <v>0</v>
      </c>
      <c r="EX96" s="29"/>
      <c r="FA96" s="26">
        <v>0</v>
      </c>
      <c r="FB96" s="29"/>
      <c r="FC96" s="30"/>
      <c r="FE96" s="26">
        <v>0</v>
      </c>
      <c r="FF96" s="29"/>
      <c r="FG96" s="30"/>
      <c r="FI96" s="26">
        <v>0</v>
      </c>
      <c r="FJ96" s="29"/>
      <c r="FM96" s="26">
        <v>0</v>
      </c>
      <c r="FN96" s="29"/>
      <c r="FO96" s="30"/>
      <c r="FQ96" s="26">
        <v>0</v>
      </c>
      <c r="FR96" s="29"/>
      <c r="FS96" s="30"/>
      <c r="FU96" s="26">
        <v>0</v>
      </c>
      <c r="FV96" s="29"/>
      <c r="FY96" s="26">
        <v>0</v>
      </c>
      <c r="FZ96" s="32"/>
      <c r="GC96" s="26">
        <v>0</v>
      </c>
      <c r="GD96" s="29"/>
      <c r="GE96">
        <v>10</v>
      </c>
      <c r="GF96">
        <v>10</v>
      </c>
      <c r="GG96" s="26">
        <v>0</v>
      </c>
      <c r="GH96" s="32"/>
      <c r="GK96" s="26">
        <v>0</v>
      </c>
      <c r="GL96" s="29"/>
      <c r="GO96" s="26">
        <v>0</v>
      </c>
      <c r="GP96" s="32"/>
      <c r="GS96" s="26">
        <v>0</v>
      </c>
      <c r="GT96" s="29"/>
      <c r="GU96" s="28">
        <v>30</v>
      </c>
      <c r="GV96" s="31">
        <v>30</v>
      </c>
      <c r="GW96" s="26">
        <v>0</v>
      </c>
      <c r="GX96" s="32"/>
      <c r="GY96">
        <v>20</v>
      </c>
      <c r="GZ96">
        <v>20</v>
      </c>
      <c r="HA96" s="26">
        <v>0</v>
      </c>
      <c r="HB96" s="32"/>
      <c r="HE96" s="26">
        <v>0</v>
      </c>
      <c r="HF96" s="32"/>
      <c r="HI96" s="26">
        <v>0</v>
      </c>
      <c r="HJ96" s="29"/>
      <c r="HK96" s="27"/>
      <c r="HM96">
        <v>30</v>
      </c>
      <c r="HN96">
        <v>37</v>
      </c>
      <c r="HO96" s="26">
        <v>-7</v>
      </c>
      <c r="HP96" s="32"/>
      <c r="HQ96" s="31">
        <v>0</v>
      </c>
      <c r="HR96" s="31">
        <v>0</v>
      </c>
      <c r="HS96" s="26">
        <v>0</v>
      </c>
      <c r="HT96" s="32"/>
      <c r="HU96" s="31">
        <v>20</v>
      </c>
      <c r="HV96" s="31">
        <v>18</v>
      </c>
      <c r="HW96" s="26">
        <v>2</v>
      </c>
      <c r="HX96" s="32"/>
      <c r="HY96" s="34">
        <v>0</v>
      </c>
      <c r="HZ96" s="31">
        <v>0</v>
      </c>
      <c r="IA96" s="26">
        <v>0</v>
      </c>
      <c r="IB96" s="32"/>
    </row>
    <row r="97" spans="1:236" x14ac:dyDescent="0.25">
      <c r="A97" s="26" t="s">
        <v>224</v>
      </c>
      <c r="B97" s="27">
        <v>0.5</v>
      </c>
      <c r="I97" s="30"/>
      <c r="J97" s="35"/>
      <c r="K97" s="35"/>
      <c r="L97" s="35">
        <f t="shared" si="8"/>
        <v>0</v>
      </c>
      <c r="M97" s="29"/>
      <c r="N97" s="30"/>
      <c r="O97" s="35"/>
      <c r="P97" s="35">
        <f t="shared" si="9"/>
        <v>0</v>
      </c>
      <c r="Q97" s="29"/>
      <c r="R97" s="30"/>
      <c r="S97" s="35"/>
      <c r="T97" s="35">
        <f t="shared" si="10"/>
        <v>0</v>
      </c>
      <c r="U97" s="29"/>
      <c r="V97" s="35"/>
      <c r="X97" s="26">
        <v>0</v>
      </c>
      <c r="Y97" s="29"/>
      <c r="Z97" s="30"/>
      <c r="AB97" s="26">
        <v>0</v>
      </c>
      <c r="AC97" s="29"/>
      <c r="AF97" s="26">
        <v>0</v>
      </c>
      <c r="AG97" s="29"/>
      <c r="AH97" s="30"/>
      <c r="AJ97" s="26">
        <v>0</v>
      </c>
      <c r="AK97" s="29"/>
      <c r="AL97" s="30"/>
      <c r="AN97" s="26">
        <v>0</v>
      </c>
      <c r="AO97" s="29"/>
      <c r="AR97" s="26">
        <v>0</v>
      </c>
      <c r="AS97" s="29"/>
      <c r="AT97" s="30"/>
      <c r="AX97" s="26">
        <v>0</v>
      </c>
      <c r="AY97" s="29"/>
      <c r="AZ97" s="30"/>
      <c r="BB97" s="26">
        <v>0</v>
      </c>
      <c r="BC97" s="29"/>
      <c r="BH97" s="26">
        <v>0</v>
      </c>
      <c r="BI97" s="29"/>
      <c r="BL97" s="26">
        <v>0</v>
      </c>
      <c r="BM97" s="29"/>
      <c r="BN97" s="30"/>
      <c r="BP97" s="26">
        <v>0</v>
      </c>
      <c r="BQ97" s="29"/>
      <c r="BR97" s="30"/>
      <c r="BT97" s="26">
        <v>0</v>
      </c>
      <c r="BU97" s="29"/>
      <c r="BX97" s="26">
        <v>0</v>
      </c>
      <c r="BY97" s="29"/>
      <c r="BZ97" s="30"/>
      <c r="CC97" s="26">
        <v>0</v>
      </c>
      <c r="CD97" s="29"/>
      <c r="CE97" s="30"/>
      <c r="CI97" s="26">
        <v>0</v>
      </c>
      <c r="CJ97" s="29"/>
      <c r="CK97" s="30"/>
      <c r="CN97" s="26">
        <v>0</v>
      </c>
      <c r="CO97" s="29"/>
      <c r="CR97" s="26">
        <v>0</v>
      </c>
      <c r="CS97" s="29"/>
      <c r="CT97" s="34"/>
      <c r="CV97" s="26">
        <v>0</v>
      </c>
      <c r="CW97" s="29"/>
      <c r="CX97" s="30"/>
      <c r="CZ97" s="26">
        <v>0</v>
      </c>
      <c r="DA97" s="29"/>
      <c r="DB97" s="30"/>
      <c r="DD97" s="26">
        <v>0</v>
      </c>
      <c r="DE97" s="29"/>
      <c r="DH97" s="26">
        <v>0</v>
      </c>
      <c r="DI97" s="29"/>
      <c r="DL97" s="26">
        <v>0</v>
      </c>
      <c r="DM97" s="29"/>
      <c r="DN97" s="30"/>
      <c r="DQ97" s="26">
        <v>0</v>
      </c>
      <c r="DR97" s="29"/>
      <c r="DS97" s="30"/>
      <c r="DV97" s="26">
        <v>0</v>
      </c>
      <c r="DW97" s="29"/>
      <c r="DZ97" s="26">
        <v>0</v>
      </c>
      <c r="EA97" s="29"/>
      <c r="EB97" s="30"/>
      <c r="EG97" s="26">
        <v>0</v>
      </c>
      <c r="EH97" s="29"/>
      <c r="EK97" s="26">
        <v>0</v>
      </c>
      <c r="EL97" s="29"/>
      <c r="EM97" s="30"/>
      <c r="EQ97" s="26">
        <v>0</v>
      </c>
      <c r="ER97" s="29"/>
      <c r="EW97" s="26">
        <v>0</v>
      </c>
      <c r="EX97" s="29"/>
      <c r="FA97" s="26">
        <v>0</v>
      </c>
      <c r="FB97" s="29"/>
      <c r="FC97" s="30"/>
      <c r="FE97" s="26">
        <v>0</v>
      </c>
      <c r="FF97" s="29"/>
      <c r="FG97" s="30"/>
      <c r="FI97" s="26">
        <v>0</v>
      </c>
      <c r="FJ97" s="29"/>
      <c r="FM97" s="26">
        <v>0</v>
      </c>
      <c r="FN97" s="29"/>
      <c r="FO97" s="30"/>
      <c r="FQ97" s="26">
        <v>0</v>
      </c>
      <c r="FR97" s="29"/>
      <c r="FS97" s="30"/>
      <c r="FU97" s="26">
        <v>0</v>
      </c>
      <c r="FV97" s="29"/>
      <c r="FY97" s="26">
        <v>0</v>
      </c>
      <c r="FZ97" s="32"/>
      <c r="GC97" s="26">
        <v>0</v>
      </c>
      <c r="GD97" s="29"/>
      <c r="GG97" s="26">
        <v>0</v>
      </c>
      <c r="GH97" s="32"/>
      <c r="GK97" s="26">
        <v>0</v>
      </c>
      <c r="GL97" s="29"/>
      <c r="GO97" s="26">
        <v>0</v>
      </c>
      <c r="GP97" s="32"/>
      <c r="GS97" s="26">
        <v>0</v>
      </c>
      <c r="GT97" s="29"/>
      <c r="GU97" s="34"/>
      <c r="GW97" s="26">
        <v>0</v>
      </c>
      <c r="GX97" s="32"/>
      <c r="HA97" s="26">
        <v>0</v>
      </c>
      <c r="HB97" s="32"/>
      <c r="HE97" s="26">
        <v>0</v>
      </c>
      <c r="HF97" s="32"/>
      <c r="HI97" s="26">
        <v>0</v>
      </c>
      <c r="HJ97" s="29"/>
      <c r="HK97" s="27"/>
      <c r="HM97" s="27"/>
      <c r="HO97" s="26">
        <v>0</v>
      </c>
      <c r="HP97" s="32"/>
      <c r="HQ97" s="31">
        <v>0</v>
      </c>
      <c r="HR97" s="31">
        <v>0</v>
      </c>
      <c r="HS97" s="26">
        <v>0</v>
      </c>
      <c r="HT97" s="32"/>
      <c r="HU97" s="31">
        <v>0</v>
      </c>
      <c r="HV97" s="31">
        <v>0</v>
      </c>
      <c r="HW97" s="26">
        <v>0</v>
      </c>
      <c r="HX97" s="32"/>
      <c r="HY97" s="34">
        <v>0</v>
      </c>
      <c r="HZ97" s="31">
        <v>0</v>
      </c>
      <c r="IA97" s="26">
        <v>0</v>
      </c>
      <c r="IB97" s="32"/>
    </row>
    <row r="98" spans="1:236" x14ac:dyDescent="0.25">
      <c r="A98" s="26" t="s">
        <v>225</v>
      </c>
      <c r="B98" s="27">
        <v>0.41</v>
      </c>
      <c r="I98" s="30"/>
      <c r="J98" s="35"/>
      <c r="K98" s="35"/>
      <c r="L98" s="35">
        <f t="shared" si="8"/>
        <v>0</v>
      </c>
      <c r="M98" s="29"/>
      <c r="N98" s="30"/>
      <c r="O98" s="35"/>
      <c r="P98" s="35">
        <f t="shared" si="9"/>
        <v>0</v>
      </c>
      <c r="Q98" s="29"/>
      <c r="R98" s="30"/>
      <c r="S98" s="35"/>
      <c r="T98" s="35">
        <f t="shared" si="10"/>
        <v>0</v>
      </c>
      <c r="U98" s="29"/>
      <c r="V98" s="35"/>
      <c r="X98" s="26">
        <v>0</v>
      </c>
      <c r="Y98" s="29"/>
      <c r="Z98" s="30"/>
      <c r="AB98" s="26">
        <v>0</v>
      </c>
      <c r="AC98" s="29"/>
      <c r="AF98" s="26">
        <v>0</v>
      </c>
      <c r="AG98" s="29"/>
      <c r="AH98" s="30"/>
      <c r="AJ98" s="26">
        <v>0</v>
      </c>
      <c r="AK98" s="29"/>
      <c r="AL98" s="30"/>
      <c r="AN98" s="26">
        <v>0</v>
      </c>
      <c r="AO98" s="29"/>
      <c r="AR98" s="26">
        <v>0</v>
      </c>
      <c r="AS98" s="29"/>
      <c r="AT98" s="30"/>
      <c r="AX98" s="26">
        <v>0</v>
      </c>
      <c r="AY98" s="29"/>
      <c r="AZ98" s="30"/>
      <c r="BB98" s="26">
        <v>0</v>
      </c>
      <c r="BC98" s="29"/>
      <c r="BH98" s="26">
        <v>0</v>
      </c>
      <c r="BI98" s="29"/>
      <c r="BL98" s="26">
        <v>0</v>
      </c>
      <c r="BM98" s="29"/>
      <c r="BN98" s="30"/>
      <c r="BP98" s="26">
        <v>0</v>
      </c>
      <c r="BQ98" s="29"/>
      <c r="BR98" s="30"/>
      <c r="BT98" s="26">
        <v>0</v>
      </c>
      <c r="BU98" s="29"/>
      <c r="BX98" s="26">
        <v>0</v>
      </c>
      <c r="BY98" s="29"/>
      <c r="BZ98" s="30"/>
      <c r="CC98" s="26">
        <v>0</v>
      </c>
      <c r="CD98" s="29"/>
      <c r="CE98" s="30"/>
      <c r="CI98" s="26">
        <v>0</v>
      </c>
      <c r="CJ98" s="29"/>
      <c r="CK98" s="30"/>
      <c r="CN98" s="26">
        <v>0</v>
      </c>
      <c r="CO98" s="29"/>
      <c r="CR98" s="26">
        <v>0</v>
      </c>
      <c r="CS98" s="29"/>
      <c r="CT98" s="34"/>
      <c r="CV98" s="26">
        <v>0</v>
      </c>
      <c r="CW98" s="29"/>
      <c r="CX98" s="30"/>
      <c r="CZ98" s="26">
        <v>0</v>
      </c>
      <c r="DA98" s="29"/>
      <c r="DB98" s="30"/>
      <c r="DD98" s="26">
        <v>0</v>
      </c>
      <c r="DE98" s="29"/>
      <c r="DH98" s="26">
        <v>0</v>
      </c>
      <c r="DI98" s="29"/>
      <c r="DL98" s="26">
        <v>0</v>
      </c>
      <c r="DM98" s="29"/>
      <c r="DN98" s="30"/>
      <c r="DQ98" s="26">
        <v>0</v>
      </c>
      <c r="DR98" s="29"/>
      <c r="DS98" s="30"/>
      <c r="DV98" s="26">
        <v>0</v>
      </c>
      <c r="DW98" s="29"/>
      <c r="DZ98" s="26">
        <v>0</v>
      </c>
      <c r="EA98" s="29"/>
      <c r="EB98" s="30"/>
      <c r="EG98" s="26">
        <v>0</v>
      </c>
      <c r="EH98" s="29"/>
      <c r="EK98" s="26">
        <v>0</v>
      </c>
      <c r="EL98" s="29"/>
      <c r="EM98" s="30"/>
      <c r="EQ98" s="26">
        <v>0</v>
      </c>
      <c r="ER98" s="29"/>
      <c r="EW98" s="26">
        <v>0</v>
      </c>
      <c r="EX98" s="29"/>
      <c r="FA98" s="26">
        <v>0</v>
      </c>
      <c r="FB98" s="29"/>
      <c r="FC98" s="30"/>
      <c r="FE98" s="26">
        <v>0</v>
      </c>
      <c r="FF98" s="29"/>
      <c r="FG98" s="30"/>
      <c r="FI98" s="26">
        <v>0</v>
      </c>
      <c r="FJ98" s="29"/>
      <c r="FM98" s="26">
        <v>0</v>
      </c>
      <c r="FN98" s="29"/>
      <c r="FO98" s="30"/>
      <c r="FQ98" s="26">
        <v>0</v>
      </c>
      <c r="FR98" s="29"/>
      <c r="FS98" s="30"/>
      <c r="FU98" s="26">
        <v>0</v>
      </c>
      <c r="FV98" s="29"/>
      <c r="FY98" s="26">
        <v>0</v>
      </c>
      <c r="FZ98" s="32"/>
      <c r="GC98" s="26">
        <v>0</v>
      </c>
      <c r="GD98" s="29"/>
      <c r="GG98" s="26">
        <v>0</v>
      </c>
      <c r="GH98" s="32"/>
      <c r="GK98" s="26">
        <v>0</v>
      </c>
      <c r="GL98" s="29"/>
      <c r="GO98" s="26">
        <v>0</v>
      </c>
      <c r="GP98" s="32"/>
      <c r="GS98" s="26">
        <v>0</v>
      </c>
      <c r="GT98" s="29"/>
      <c r="GU98" s="34"/>
      <c r="GW98" s="26">
        <v>0</v>
      </c>
      <c r="GX98" s="32"/>
      <c r="HA98" s="26">
        <v>0</v>
      </c>
      <c r="HB98" s="32"/>
      <c r="HE98" s="26">
        <v>0</v>
      </c>
      <c r="HF98" s="32"/>
      <c r="HI98" s="26">
        <v>0</v>
      </c>
      <c r="HJ98" s="29"/>
      <c r="HK98" s="27"/>
      <c r="HM98" s="27"/>
      <c r="HO98" s="26">
        <v>0</v>
      </c>
      <c r="HP98" s="32"/>
      <c r="HQ98" s="31">
        <v>0</v>
      </c>
      <c r="HR98" s="31">
        <v>0</v>
      </c>
      <c r="HS98" s="26">
        <v>0</v>
      </c>
      <c r="HT98" s="32"/>
      <c r="HU98" s="31">
        <v>0</v>
      </c>
      <c r="HV98" s="31">
        <v>0</v>
      </c>
      <c r="HW98" s="26">
        <v>0</v>
      </c>
      <c r="HX98" s="32"/>
      <c r="HY98" s="34">
        <v>0</v>
      </c>
      <c r="HZ98" s="31">
        <v>0</v>
      </c>
      <c r="IA98" s="26">
        <v>0</v>
      </c>
      <c r="IB98" s="32"/>
    </row>
    <row r="99" spans="1:236" x14ac:dyDescent="0.25">
      <c r="A99" s="26" t="s">
        <v>226</v>
      </c>
      <c r="B99" s="27">
        <v>0.4</v>
      </c>
      <c r="I99" s="30"/>
      <c r="J99" s="35"/>
      <c r="K99" s="35"/>
      <c r="L99" s="35">
        <f t="shared" si="8"/>
        <v>0</v>
      </c>
      <c r="M99" s="29"/>
      <c r="N99" s="30"/>
      <c r="O99" s="35"/>
      <c r="P99" s="35">
        <f t="shared" si="9"/>
        <v>0</v>
      </c>
      <c r="Q99" s="29"/>
      <c r="R99" s="30"/>
      <c r="S99" s="35"/>
      <c r="T99" s="35">
        <f t="shared" si="10"/>
        <v>0</v>
      </c>
      <c r="U99" s="29"/>
      <c r="V99" s="35"/>
      <c r="X99" s="26">
        <v>0</v>
      </c>
      <c r="Y99" s="29"/>
      <c r="Z99" s="30"/>
      <c r="AB99" s="26">
        <v>0</v>
      </c>
      <c r="AC99" s="29"/>
      <c r="AF99" s="26">
        <v>0</v>
      </c>
      <c r="AG99" s="29"/>
      <c r="AH99" s="30"/>
      <c r="AJ99" s="26">
        <v>0</v>
      </c>
      <c r="AK99" s="29"/>
      <c r="AL99" s="30"/>
      <c r="AN99" s="26">
        <v>0</v>
      </c>
      <c r="AO99" s="29"/>
      <c r="AR99" s="26">
        <v>0</v>
      </c>
      <c r="AS99" s="29"/>
      <c r="AT99" s="30"/>
      <c r="AX99" s="26">
        <v>0</v>
      </c>
      <c r="AY99" s="29"/>
      <c r="AZ99" s="30"/>
      <c r="BB99" s="26">
        <v>0</v>
      </c>
      <c r="BC99" s="29"/>
      <c r="BH99" s="26">
        <v>0</v>
      </c>
      <c r="BI99" s="29"/>
      <c r="BL99" s="26">
        <v>0</v>
      </c>
      <c r="BM99" s="29"/>
      <c r="BN99" s="30"/>
      <c r="BP99" s="26">
        <v>0</v>
      </c>
      <c r="BQ99" s="29"/>
      <c r="BR99" s="30"/>
      <c r="BT99" s="26">
        <v>0</v>
      </c>
      <c r="BU99" s="29"/>
      <c r="BX99" s="26">
        <v>0</v>
      </c>
      <c r="BY99" s="29"/>
      <c r="BZ99" s="30"/>
      <c r="CC99" s="26">
        <v>0</v>
      </c>
      <c r="CD99" s="29"/>
      <c r="CE99" s="30"/>
      <c r="CI99" s="26">
        <v>0</v>
      </c>
      <c r="CJ99" s="29"/>
      <c r="CK99" s="30"/>
      <c r="CN99" s="26">
        <v>0</v>
      </c>
      <c r="CO99" s="29"/>
      <c r="CR99" s="26">
        <v>0</v>
      </c>
      <c r="CS99" s="29"/>
      <c r="CT99" s="34"/>
      <c r="CV99" s="26">
        <v>0</v>
      </c>
      <c r="CW99" s="29"/>
      <c r="CX99" s="30"/>
      <c r="CZ99" s="26">
        <v>0</v>
      </c>
      <c r="DA99" s="29"/>
      <c r="DB99" s="30"/>
      <c r="DD99" s="26">
        <v>0</v>
      </c>
      <c r="DE99" s="29"/>
      <c r="DH99" s="26">
        <v>0</v>
      </c>
      <c r="DI99" s="29"/>
      <c r="DL99" s="26">
        <v>0</v>
      </c>
      <c r="DM99" s="29"/>
      <c r="DN99" s="30"/>
      <c r="DQ99" s="26">
        <v>0</v>
      </c>
      <c r="DR99" s="29"/>
      <c r="DS99" s="30"/>
      <c r="DV99" s="26">
        <v>0</v>
      </c>
      <c r="DW99" s="29"/>
      <c r="DZ99" s="26">
        <v>0</v>
      </c>
      <c r="EA99" s="29"/>
      <c r="EB99" s="30"/>
      <c r="EG99" s="26">
        <v>0</v>
      </c>
      <c r="EH99" s="29"/>
      <c r="EK99" s="26">
        <v>0</v>
      </c>
      <c r="EL99" s="29"/>
      <c r="EM99" s="30"/>
      <c r="EQ99" s="26">
        <v>0</v>
      </c>
      <c r="ER99" s="29"/>
      <c r="EW99" s="26">
        <v>0</v>
      </c>
      <c r="EX99" s="29"/>
      <c r="FA99" s="26">
        <v>0</v>
      </c>
      <c r="FB99" s="29"/>
      <c r="FC99" s="30"/>
      <c r="FE99" s="26">
        <v>0</v>
      </c>
      <c r="FF99" s="29"/>
      <c r="FG99" s="30"/>
      <c r="FI99" s="26">
        <v>0</v>
      </c>
      <c r="FJ99" s="29"/>
      <c r="FM99" s="26">
        <v>0</v>
      </c>
      <c r="FN99" s="29"/>
      <c r="FO99" s="30"/>
      <c r="FQ99" s="26">
        <v>0</v>
      </c>
      <c r="FR99" s="29"/>
      <c r="FS99" s="30"/>
      <c r="FU99" s="26">
        <v>0</v>
      </c>
      <c r="FV99" s="29"/>
      <c r="FY99" s="26">
        <v>0</v>
      </c>
      <c r="FZ99" s="32"/>
      <c r="GC99" s="26">
        <v>0</v>
      </c>
      <c r="GD99" s="29"/>
      <c r="GG99" s="26">
        <v>0</v>
      </c>
      <c r="GH99" s="32"/>
      <c r="GK99" s="26">
        <v>0</v>
      </c>
      <c r="GL99" s="29"/>
      <c r="GO99" s="26">
        <v>0</v>
      </c>
      <c r="GP99" s="32"/>
      <c r="GS99" s="26">
        <v>0</v>
      </c>
      <c r="GT99" s="29"/>
      <c r="GU99" s="34"/>
      <c r="GW99" s="26">
        <v>0</v>
      </c>
      <c r="GX99" s="32"/>
      <c r="HA99" s="26">
        <v>0</v>
      </c>
      <c r="HB99" s="32"/>
      <c r="HE99" s="26">
        <v>0</v>
      </c>
      <c r="HF99" s="32"/>
      <c r="HI99" s="26">
        <v>0</v>
      </c>
      <c r="HJ99" s="29"/>
      <c r="HK99" s="27"/>
      <c r="HM99" s="27"/>
      <c r="HO99" s="26">
        <v>0</v>
      </c>
      <c r="HP99" s="32"/>
      <c r="HQ99" s="31">
        <v>0</v>
      </c>
      <c r="HR99" s="31">
        <v>0</v>
      </c>
      <c r="HS99" s="26">
        <v>0</v>
      </c>
      <c r="HT99" s="32"/>
      <c r="HU99" s="31">
        <v>0</v>
      </c>
      <c r="HV99" s="31">
        <v>0</v>
      </c>
      <c r="HW99" s="26">
        <v>0</v>
      </c>
      <c r="HX99" s="32"/>
      <c r="HY99" s="34">
        <v>0</v>
      </c>
      <c r="HZ99" s="31">
        <v>0</v>
      </c>
      <c r="IA99" s="26">
        <v>0</v>
      </c>
      <c r="IB99" s="32"/>
    </row>
    <row r="100" spans="1:236" x14ac:dyDescent="0.25">
      <c r="A100" s="26" t="s">
        <v>227</v>
      </c>
      <c r="B100" s="27">
        <v>1</v>
      </c>
      <c r="I100" s="30"/>
      <c r="J100" s="35"/>
      <c r="K100" s="35"/>
      <c r="L100" s="35">
        <f t="shared" si="8"/>
        <v>0</v>
      </c>
      <c r="M100" s="29"/>
      <c r="N100" s="30"/>
      <c r="O100" s="35"/>
      <c r="P100" s="35">
        <f t="shared" si="9"/>
        <v>0</v>
      </c>
      <c r="Q100" s="29"/>
      <c r="R100" s="30"/>
      <c r="S100" s="35"/>
      <c r="T100" s="35">
        <f t="shared" si="10"/>
        <v>0</v>
      </c>
      <c r="U100" s="29"/>
      <c r="V100" s="35"/>
      <c r="X100" s="26">
        <v>0</v>
      </c>
      <c r="Y100" s="29"/>
      <c r="Z100" s="30"/>
      <c r="AB100" s="26">
        <v>0</v>
      </c>
      <c r="AC100" s="29"/>
      <c r="AF100" s="26">
        <v>0</v>
      </c>
      <c r="AG100" s="29"/>
      <c r="AH100" s="30"/>
      <c r="AJ100" s="26">
        <v>0</v>
      </c>
      <c r="AK100" s="29"/>
      <c r="AL100" s="30"/>
      <c r="AN100" s="26">
        <v>0</v>
      </c>
      <c r="AO100" s="29"/>
      <c r="AR100" s="26">
        <v>0</v>
      </c>
      <c r="AS100" s="29"/>
      <c r="AT100" s="30"/>
      <c r="AX100" s="26">
        <v>0</v>
      </c>
      <c r="AY100" s="29"/>
      <c r="AZ100" s="30"/>
      <c r="BB100" s="26">
        <v>0</v>
      </c>
      <c r="BC100" s="29"/>
      <c r="BH100" s="26">
        <v>0</v>
      </c>
      <c r="BI100" s="29"/>
      <c r="BL100" s="26">
        <v>0</v>
      </c>
      <c r="BM100" s="29"/>
      <c r="BN100" s="30"/>
      <c r="BP100" s="26">
        <v>0</v>
      </c>
      <c r="BQ100" s="29"/>
      <c r="BR100" s="30"/>
      <c r="BT100" s="26">
        <v>0</v>
      </c>
      <c r="BU100" s="29"/>
      <c r="BX100" s="26">
        <v>0</v>
      </c>
      <c r="BY100" s="29"/>
      <c r="BZ100" s="30"/>
      <c r="CC100" s="26">
        <v>0</v>
      </c>
      <c r="CD100" s="29"/>
      <c r="CE100" s="30"/>
      <c r="CI100" s="26">
        <v>0</v>
      </c>
      <c r="CJ100" s="29"/>
      <c r="CK100" s="30"/>
      <c r="CN100" s="26">
        <v>0</v>
      </c>
      <c r="CO100" s="29"/>
      <c r="CR100" s="26">
        <v>0</v>
      </c>
      <c r="CS100" s="29"/>
      <c r="CT100" s="34"/>
      <c r="CV100" s="26">
        <v>0</v>
      </c>
      <c r="CW100" s="29"/>
      <c r="CX100" s="30"/>
      <c r="CZ100" s="26">
        <v>0</v>
      </c>
      <c r="DA100" s="29"/>
      <c r="DB100" s="30"/>
      <c r="DD100" s="26">
        <v>0</v>
      </c>
      <c r="DE100" s="29"/>
      <c r="DH100" s="26">
        <v>0</v>
      </c>
      <c r="DI100" s="29"/>
      <c r="DL100" s="26">
        <v>0</v>
      </c>
      <c r="DM100" s="29"/>
      <c r="DN100" s="30"/>
      <c r="DQ100" s="26">
        <v>0</v>
      </c>
      <c r="DR100" s="29"/>
      <c r="DS100" s="30"/>
      <c r="DV100" s="26">
        <v>0</v>
      </c>
      <c r="DW100" s="29"/>
      <c r="DZ100" s="26">
        <v>0</v>
      </c>
      <c r="EA100" s="29"/>
      <c r="EB100" s="30"/>
      <c r="EG100" s="26">
        <v>0</v>
      </c>
      <c r="EH100" s="29"/>
      <c r="EK100" s="26">
        <v>0</v>
      </c>
      <c r="EL100" s="29"/>
      <c r="EM100" s="30"/>
      <c r="EQ100" s="26">
        <v>0</v>
      </c>
      <c r="ER100" s="29"/>
      <c r="EW100" s="26">
        <v>0</v>
      </c>
      <c r="EX100" s="29"/>
      <c r="FA100" s="26">
        <v>0</v>
      </c>
      <c r="FB100" s="29"/>
      <c r="FC100" s="30"/>
      <c r="FE100" s="26">
        <v>0</v>
      </c>
      <c r="FF100" s="29"/>
      <c r="FG100" s="30"/>
      <c r="FI100" s="26">
        <v>0</v>
      </c>
      <c r="FJ100" s="29"/>
      <c r="FM100" s="26">
        <v>0</v>
      </c>
      <c r="FN100" s="29"/>
      <c r="FO100" s="30"/>
      <c r="FQ100" s="26">
        <v>0</v>
      </c>
      <c r="FR100" s="29"/>
      <c r="FS100" s="30"/>
      <c r="FU100" s="26">
        <v>0</v>
      </c>
      <c r="FV100" s="29"/>
      <c r="FY100" s="26">
        <v>0</v>
      </c>
      <c r="FZ100" s="32"/>
      <c r="GC100" s="26">
        <v>0</v>
      </c>
      <c r="GD100" s="29"/>
      <c r="GG100" s="26">
        <v>0</v>
      </c>
      <c r="GH100" s="32"/>
      <c r="GK100" s="26">
        <v>0</v>
      </c>
      <c r="GL100" s="29"/>
      <c r="GO100" s="26">
        <v>0</v>
      </c>
      <c r="GP100" s="32"/>
      <c r="GS100" s="26">
        <v>0</v>
      </c>
      <c r="GT100" s="29"/>
      <c r="GU100" s="34"/>
      <c r="GW100" s="26">
        <v>0</v>
      </c>
      <c r="GX100" s="32"/>
      <c r="HA100" s="26">
        <v>0</v>
      </c>
      <c r="HB100" s="32"/>
      <c r="HE100" s="26">
        <v>0</v>
      </c>
      <c r="HF100" s="32"/>
      <c r="HI100" s="26">
        <v>0</v>
      </c>
      <c r="HJ100" s="29"/>
      <c r="HK100" s="27"/>
      <c r="HM100" s="27"/>
      <c r="HO100" s="26">
        <v>0</v>
      </c>
      <c r="HP100" s="32"/>
      <c r="HQ100" s="31">
        <v>0</v>
      </c>
      <c r="HR100" s="31">
        <v>0</v>
      </c>
      <c r="HS100" s="26">
        <v>0</v>
      </c>
      <c r="HT100" s="32"/>
      <c r="HU100" s="31">
        <v>0</v>
      </c>
      <c r="HV100" s="31">
        <v>0</v>
      </c>
      <c r="HW100" s="26">
        <v>0</v>
      </c>
      <c r="HX100" s="32"/>
      <c r="HY100" s="34">
        <v>0</v>
      </c>
      <c r="HZ100" s="31">
        <v>0</v>
      </c>
      <c r="IA100" s="26">
        <v>0</v>
      </c>
      <c r="IB100" s="32"/>
    </row>
    <row r="101" spans="1:236" x14ac:dyDescent="0.25">
      <c r="A101" s="26" t="s">
        <v>228</v>
      </c>
      <c r="B101" s="27">
        <v>0.4</v>
      </c>
      <c r="I101" s="30"/>
      <c r="J101" s="35"/>
      <c r="K101" s="35"/>
      <c r="L101" s="35">
        <f t="shared" si="8"/>
        <v>0</v>
      </c>
      <c r="M101" s="29"/>
      <c r="N101" s="30"/>
      <c r="O101" s="35"/>
      <c r="P101" s="35">
        <f t="shared" si="9"/>
        <v>0</v>
      </c>
      <c r="Q101" s="29"/>
      <c r="R101" s="30"/>
      <c r="S101" s="35"/>
      <c r="T101" s="35">
        <f t="shared" si="10"/>
        <v>0</v>
      </c>
      <c r="U101" s="29"/>
      <c r="V101" s="35"/>
      <c r="X101" s="26">
        <v>0</v>
      </c>
      <c r="Y101" s="29"/>
      <c r="Z101" s="30"/>
      <c r="AB101" s="26">
        <v>0</v>
      </c>
      <c r="AC101" s="29"/>
      <c r="AF101" s="26">
        <v>0</v>
      </c>
      <c r="AG101" s="29"/>
      <c r="AH101" s="30"/>
      <c r="AJ101" s="26">
        <v>0</v>
      </c>
      <c r="AK101" s="29"/>
      <c r="AL101" s="30"/>
      <c r="AN101" s="26">
        <v>0</v>
      </c>
      <c r="AO101" s="29"/>
      <c r="AR101" s="26">
        <v>0</v>
      </c>
      <c r="AS101" s="29"/>
      <c r="AT101" s="30"/>
      <c r="AX101" s="26">
        <v>0</v>
      </c>
      <c r="AY101" s="29"/>
      <c r="AZ101" s="30"/>
      <c r="BB101" s="26">
        <v>0</v>
      </c>
      <c r="BC101" s="29"/>
      <c r="BH101" s="26">
        <v>0</v>
      </c>
      <c r="BI101" s="29"/>
      <c r="BL101" s="26">
        <v>0</v>
      </c>
      <c r="BM101" s="29"/>
      <c r="BN101" s="30"/>
      <c r="BP101" s="26">
        <v>0</v>
      </c>
      <c r="BQ101" s="29"/>
      <c r="BR101" s="30"/>
      <c r="BT101" s="26">
        <v>0</v>
      </c>
      <c r="BU101" s="29"/>
      <c r="BX101" s="26">
        <v>0</v>
      </c>
      <c r="BY101" s="29"/>
      <c r="BZ101" s="30"/>
      <c r="CC101" s="26">
        <v>0</v>
      </c>
      <c r="CD101" s="29"/>
      <c r="CE101" s="30"/>
      <c r="CG101">
        <v>7</v>
      </c>
      <c r="CH101">
        <v>7</v>
      </c>
      <c r="CI101" s="26">
        <v>0</v>
      </c>
      <c r="CJ101" s="29"/>
      <c r="CK101" s="28">
        <v>21</v>
      </c>
      <c r="CM101">
        <v>21</v>
      </c>
      <c r="CN101" s="26">
        <v>0</v>
      </c>
      <c r="CO101" s="29"/>
      <c r="CQ101" s="26">
        <v>31.4</v>
      </c>
      <c r="CR101" s="25">
        <v>-31.4</v>
      </c>
      <c r="CS101" s="29">
        <v>12.56</v>
      </c>
      <c r="CT101" s="34"/>
      <c r="CV101" s="26">
        <v>0</v>
      </c>
      <c r="CW101" s="29"/>
      <c r="CX101" s="28">
        <v>21</v>
      </c>
      <c r="CY101" s="26">
        <v>25.4</v>
      </c>
      <c r="CZ101" s="26">
        <v>-4.3999999999999986</v>
      </c>
      <c r="DA101" s="29"/>
      <c r="DB101" s="28">
        <v>7</v>
      </c>
      <c r="DC101">
        <v>7</v>
      </c>
      <c r="DD101" s="26">
        <v>0</v>
      </c>
      <c r="DE101" s="29"/>
      <c r="DF101">
        <v>14</v>
      </c>
      <c r="DG101" s="31">
        <v>12</v>
      </c>
      <c r="DH101" s="26">
        <v>2</v>
      </c>
      <c r="DI101" s="29"/>
      <c r="DJ101">
        <v>14</v>
      </c>
      <c r="DK101">
        <v>15</v>
      </c>
      <c r="DL101" s="26">
        <v>-1</v>
      </c>
      <c r="DM101" s="29"/>
      <c r="DN101" s="28">
        <v>14</v>
      </c>
      <c r="DP101">
        <v>12</v>
      </c>
      <c r="DQ101" s="26">
        <v>2</v>
      </c>
      <c r="DR101" s="29"/>
      <c r="DS101" s="30"/>
      <c r="DV101" s="26">
        <v>0</v>
      </c>
      <c r="DW101" s="29"/>
      <c r="DX101">
        <v>7</v>
      </c>
      <c r="DY101" s="31">
        <v>9.4000000000000021</v>
      </c>
      <c r="DZ101" s="26">
        <v>-2.4000000000000021</v>
      </c>
      <c r="EA101" s="29"/>
      <c r="EB101" s="30"/>
      <c r="EG101" s="26">
        <v>0</v>
      </c>
      <c r="EH101" s="29"/>
      <c r="EI101">
        <v>21</v>
      </c>
      <c r="EJ101" s="31">
        <v>24.2</v>
      </c>
      <c r="EK101" s="26">
        <v>-3.1999999999999988</v>
      </c>
      <c r="EL101" s="29"/>
      <c r="EM101" s="30"/>
      <c r="EQ101" s="26">
        <v>0</v>
      </c>
      <c r="ER101" s="29"/>
      <c r="EU101">
        <v>7</v>
      </c>
      <c r="EV101">
        <v>11</v>
      </c>
      <c r="EW101" s="26">
        <v>-4</v>
      </c>
      <c r="EX101" s="29"/>
      <c r="EY101">
        <v>28</v>
      </c>
      <c r="EZ101" s="31">
        <v>28</v>
      </c>
      <c r="FA101" s="26">
        <v>0</v>
      </c>
      <c r="FB101" s="29"/>
      <c r="FC101" s="28">
        <v>14</v>
      </c>
      <c r="FD101">
        <v>12</v>
      </c>
      <c r="FE101" s="26">
        <v>2</v>
      </c>
      <c r="FF101" s="29"/>
      <c r="FG101" s="28">
        <v>7</v>
      </c>
      <c r="FH101">
        <v>7</v>
      </c>
      <c r="FI101" s="26">
        <v>0</v>
      </c>
      <c r="FJ101" s="29"/>
      <c r="FM101" s="26">
        <v>0</v>
      </c>
      <c r="FN101" s="29"/>
      <c r="FO101" s="28">
        <v>28</v>
      </c>
      <c r="FP101">
        <v>28</v>
      </c>
      <c r="FQ101" s="26">
        <v>0</v>
      </c>
      <c r="FR101" s="29"/>
      <c r="FS101" s="30"/>
      <c r="FU101" s="26">
        <v>0</v>
      </c>
      <c r="FV101" s="29"/>
      <c r="FW101">
        <v>14</v>
      </c>
      <c r="FX101">
        <v>14</v>
      </c>
      <c r="FY101" s="26">
        <v>0</v>
      </c>
      <c r="FZ101" s="32"/>
      <c r="GA101">
        <v>7</v>
      </c>
      <c r="GB101">
        <v>2</v>
      </c>
      <c r="GC101" s="26">
        <v>5</v>
      </c>
      <c r="GD101" s="29"/>
      <c r="GG101" s="26">
        <v>0</v>
      </c>
      <c r="GH101" s="32"/>
      <c r="GI101">
        <v>28</v>
      </c>
      <c r="GJ101">
        <v>28</v>
      </c>
      <c r="GK101" s="26">
        <v>0</v>
      </c>
      <c r="GL101" s="29"/>
      <c r="GO101" s="26">
        <v>0</v>
      </c>
      <c r="GP101" s="32"/>
      <c r="GS101" s="26">
        <v>0</v>
      </c>
      <c r="GT101" s="29"/>
      <c r="GU101" s="28">
        <v>7</v>
      </c>
      <c r="GV101" s="31">
        <v>7</v>
      </c>
      <c r="GW101" s="26">
        <v>0</v>
      </c>
      <c r="GX101" s="32"/>
      <c r="GY101">
        <v>7</v>
      </c>
      <c r="GZ101">
        <v>7</v>
      </c>
      <c r="HA101" s="26">
        <v>0</v>
      </c>
      <c r="HB101" s="32"/>
      <c r="HC101">
        <v>14</v>
      </c>
      <c r="HD101">
        <v>14</v>
      </c>
      <c r="HE101" s="26">
        <v>0</v>
      </c>
      <c r="HF101" s="32"/>
      <c r="HI101" s="26">
        <v>0</v>
      </c>
      <c r="HJ101" s="29"/>
      <c r="HK101" s="27"/>
      <c r="HM101">
        <v>7</v>
      </c>
      <c r="HN101">
        <v>7</v>
      </c>
      <c r="HO101" s="26">
        <v>0</v>
      </c>
      <c r="HP101" s="32"/>
      <c r="HQ101" s="31">
        <v>0</v>
      </c>
      <c r="HR101" s="31">
        <v>0</v>
      </c>
      <c r="HS101" s="26">
        <v>0</v>
      </c>
      <c r="HT101" s="32"/>
      <c r="HU101" s="31">
        <v>0</v>
      </c>
      <c r="HV101" s="31">
        <v>0</v>
      </c>
      <c r="HW101" s="26">
        <v>0</v>
      </c>
      <c r="HX101" s="32"/>
      <c r="HY101" s="34">
        <v>0</v>
      </c>
      <c r="HZ101" s="31">
        <v>0</v>
      </c>
      <c r="IA101" s="26">
        <v>0</v>
      </c>
      <c r="IB101" s="32"/>
    </row>
    <row r="102" spans="1:236" x14ac:dyDescent="0.25">
      <c r="A102" s="26" t="s">
        <v>229</v>
      </c>
      <c r="B102" s="27">
        <v>1</v>
      </c>
      <c r="I102" s="30"/>
      <c r="J102" s="35"/>
      <c r="K102" s="35"/>
      <c r="L102" s="35">
        <f t="shared" si="8"/>
        <v>0</v>
      </c>
      <c r="M102" s="29"/>
      <c r="N102" s="30"/>
      <c r="O102" s="35"/>
      <c r="P102" s="35">
        <f t="shared" si="9"/>
        <v>0</v>
      </c>
      <c r="Q102" s="29"/>
      <c r="R102" s="30"/>
      <c r="S102" s="35"/>
      <c r="T102" s="35">
        <f t="shared" si="10"/>
        <v>0</v>
      </c>
      <c r="U102" s="29"/>
      <c r="V102" s="35"/>
      <c r="X102" s="26">
        <v>0</v>
      </c>
      <c r="Y102" s="29"/>
      <c r="Z102" s="30"/>
      <c r="AB102" s="26">
        <v>0</v>
      </c>
      <c r="AC102" s="29"/>
      <c r="AF102" s="26">
        <v>0</v>
      </c>
      <c r="AG102" s="29"/>
      <c r="AH102" s="30"/>
      <c r="AJ102" s="26">
        <v>0</v>
      </c>
      <c r="AK102" s="29"/>
      <c r="AL102" s="30"/>
      <c r="AN102" s="26">
        <v>0</v>
      </c>
      <c r="AO102" s="29"/>
      <c r="AR102" s="26">
        <v>0</v>
      </c>
      <c r="AS102" s="29"/>
      <c r="AT102" s="30"/>
      <c r="AX102" s="26">
        <v>0</v>
      </c>
      <c r="AY102" s="29"/>
      <c r="AZ102" s="30"/>
      <c r="BB102" s="26">
        <v>0</v>
      </c>
      <c r="BC102" s="29"/>
      <c r="BH102" s="26">
        <v>0</v>
      </c>
      <c r="BI102" s="29"/>
      <c r="BL102" s="26">
        <v>0</v>
      </c>
      <c r="BM102" s="29"/>
      <c r="BN102" s="30"/>
      <c r="BP102" s="26">
        <v>0</v>
      </c>
      <c r="BQ102" s="29"/>
      <c r="BR102" s="30"/>
      <c r="BT102" s="26">
        <v>0</v>
      </c>
      <c r="BU102" s="29"/>
      <c r="BX102" s="26">
        <v>0</v>
      </c>
      <c r="BY102" s="29"/>
      <c r="BZ102" s="30"/>
      <c r="CC102" s="26">
        <v>0</v>
      </c>
      <c r="CD102" s="29"/>
      <c r="CE102" s="30"/>
      <c r="CI102" s="26">
        <v>0</v>
      </c>
      <c r="CJ102" s="29"/>
      <c r="CK102" s="30"/>
      <c r="CN102" s="26">
        <v>0</v>
      </c>
      <c r="CO102" s="29"/>
      <c r="CR102" s="26">
        <v>0</v>
      </c>
      <c r="CS102" s="29"/>
      <c r="CT102" s="34"/>
      <c r="CV102" s="26">
        <v>0</v>
      </c>
      <c r="CW102" s="29"/>
      <c r="CX102" s="30"/>
      <c r="CZ102" s="26">
        <v>0</v>
      </c>
      <c r="DA102" s="29"/>
      <c r="DB102" s="30"/>
      <c r="DD102" s="26">
        <v>0</v>
      </c>
      <c r="DE102" s="29"/>
      <c r="DH102" s="26">
        <v>0</v>
      </c>
      <c r="DI102" s="29"/>
      <c r="DL102" s="26">
        <v>0</v>
      </c>
      <c r="DM102" s="29"/>
      <c r="DN102" s="30"/>
      <c r="DQ102" s="26">
        <v>0</v>
      </c>
      <c r="DR102" s="29"/>
      <c r="DS102" s="30"/>
      <c r="DV102" s="26">
        <v>0</v>
      </c>
      <c r="DW102" s="29"/>
      <c r="DZ102" s="26">
        <v>0</v>
      </c>
      <c r="EA102" s="29"/>
      <c r="EB102" s="30"/>
      <c r="EG102" s="26">
        <v>0</v>
      </c>
      <c r="EH102" s="29"/>
      <c r="EK102" s="26">
        <v>0</v>
      </c>
      <c r="EL102" s="29"/>
      <c r="EM102" s="30"/>
      <c r="EQ102" s="26">
        <v>0</v>
      </c>
      <c r="ER102" s="29"/>
      <c r="EW102" s="26">
        <v>0</v>
      </c>
      <c r="EX102" s="29"/>
      <c r="FA102" s="26">
        <v>0</v>
      </c>
      <c r="FB102" s="29"/>
      <c r="FC102" s="30"/>
      <c r="FE102" s="26">
        <v>0</v>
      </c>
      <c r="FF102" s="29"/>
      <c r="FG102" s="30"/>
      <c r="FI102" s="26">
        <v>0</v>
      </c>
      <c r="FJ102" s="29"/>
      <c r="FM102" s="26">
        <v>0</v>
      </c>
      <c r="FN102" s="29"/>
      <c r="FO102" s="30"/>
      <c r="FQ102" s="26">
        <v>0</v>
      </c>
      <c r="FR102" s="29"/>
      <c r="FS102" s="30"/>
      <c r="FU102" s="26">
        <v>0</v>
      </c>
      <c r="FV102" s="29"/>
      <c r="FY102" s="26">
        <v>0</v>
      </c>
      <c r="FZ102" s="32"/>
      <c r="GC102" s="26">
        <v>0</v>
      </c>
      <c r="GD102" s="29"/>
      <c r="GG102" s="26">
        <v>0</v>
      </c>
      <c r="GH102" s="32"/>
      <c r="GK102" s="26">
        <v>0</v>
      </c>
      <c r="GL102" s="29"/>
      <c r="GO102" s="26">
        <v>0</v>
      </c>
      <c r="GP102" s="32"/>
      <c r="GS102" s="26">
        <v>0</v>
      </c>
      <c r="GT102" s="29"/>
      <c r="GU102" s="34"/>
      <c r="GW102" s="26">
        <v>0</v>
      </c>
      <c r="GX102" s="32"/>
      <c r="HA102" s="26">
        <v>0</v>
      </c>
      <c r="HB102" s="32"/>
      <c r="HE102" s="26">
        <v>0</v>
      </c>
      <c r="HF102" s="32"/>
      <c r="HI102" s="26">
        <v>0</v>
      </c>
      <c r="HJ102" s="29"/>
      <c r="HK102" s="27"/>
      <c r="HM102" s="27"/>
      <c r="HO102" s="26">
        <v>0</v>
      </c>
      <c r="HP102" s="32"/>
      <c r="HQ102" s="31">
        <v>0</v>
      </c>
      <c r="HR102" s="31">
        <v>0</v>
      </c>
      <c r="HS102" s="26">
        <v>0</v>
      </c>
      <c r="HT102" s="32"/>
      <c r="HU102" s="31">
        <v>0</v>
      </c>
      <c r="HV102" s="31">
        <v>0</v>
      </c>
      <c r="HW102" s="26">
        <v>0</v>
      </c>
      <c r="HX102" s="32"/>
      <c r="HY102" s="34">
        <v>0</v>
      </c>
      <c r="HZ102" s="31">
        <v>0</v>
      </c>
      <c r="IA102" s="26">
        <v>0</v>
      </c>
      <c r="IB102" s="32"/>
    </row>
    <row r="103" spans="1:236" x14ac:dyDescent="0.25">
      <c r="A103" s="26" t="s">
        <v>230</v>
      </c>
      <c r="B103" s="27">
        <v>0.41</v>
      </c>
      <c r="I103" s="30"/>
      <c r="J103" s="35"/>
      <c r="K103" s="35"/>
      <c r="L103" s="35">
        <f t="shared" si="8"/>
        <v>0</v>
      </c>
      <c r="M103" s="29"/>
      <c r="N103" s="30"/>
      <c r="O103" s="35"/>
      <c r="P103" s="35">
        <f t="shared" si="9"/>
        <v>0</v>
      </c>
      <c r="Q103" s="29"/>
      <c r="R103" s="30"/>
      <c r="S103" s="35"/>
      <c r="T103" s="35">
        <f t="shared" si="10"/>
        <v>0</v>
      </c>
      <c r="U103" s="29"/>
      <c r="V103" s="35"/>
      <c r="X103" s="26">
        <v>0</v>
      </c>
      <c r="Y103" s="29"/>
      <c r="Z103" s="30"/>
      <c r="AB103" s="26">
        <v>0</v>
      </c>
      <c r="AC103" s="29"/>
      <c r="AF103" s="26">
        <v>0</v>
      </c>
      <c r="AG103" s="29"/>
      <c r="AH103" s="30"/>
      <c r="AJ103" s="26">
        <v>0</v>
      </c>
      <c r="AK103" s="29"/>
      <c r="AL103" s="30"/>
      <c r="AN103" s="26">
        <v>0</v>
      </c>
      <c r="AO103" s="29"/>
      <c r="AR103" s="26">
        <v>0</v>
      </c>
      <c r="AS103" s="29"/>
      <c r="AT103" s="30"/>
      <c r="AX103" s="26">
        <v>0</v>
      </c>
      <c r="AY103" s="29"/>
      <c r="AZ103" s="30"/>
      <c r="BB103" s="26">
        <v>0</v>
      </c>
      <c r="BC103" s="29"/>
      <c r="BH103" s="26">
        <v>0</v>
      </c>
      <c r="BI103" s="29"/>
      <c r="BL103" s="26">
        <v>0</v>
      </c>
      <c r="BM103" s="29"/>
      <c r="BN103" s="30"/>
      <c r="BP103" s="26">
        <v>0</v>
      </c>
      <c r="BQ103" s="29"/>
      <c r="BR103" s="30"/>
      <c r="BT103" s="26">
        <v>0</v>
      </c>
      <c r="BU103" s="29"/>
      <c r="BX103" s="26">
        <v>0</v>
      </c>
      <c r="BY103" s="29"/>
      <c r="BZ103" s="30"/>
      <c r="CC103" s="26">
        <v>0</v>
      </c>
      <c r="CD103" s="29"/>
      <c r="CE103" s="30"/>
      <c r="CI103" s="26">
        <v>0</v>
      </c>
      <c r="CJ103" s="29"/>
      <c r="CK103" s="28">
        <v>24</v>
      </c>
      <c r="CM103">
        <v>23</v>
      </c>
      <c r="CN103" s="26">
        <v>1</v>
      </c>
      <c r="CO103" s="29"/>
      <c r="CP103">
        <v>16</v>
      </c>
      <c r="CQ103" s="26">
        <v>18.8</v>
      </c>
      <c r="CR103" s="26">
        <v>-2.8000000000000012</v>
      </c>
      <c r="CS103" s="29"/>
      <c r="CT103" s="28">
        <v>16</v>
      </c>
      <c r="CU103" s="26">
        <v>19</v>
      </c>
      <c r="CV103" s="26">
        <v>-3</v>
      </c>
      <c r="CW103" s="29"/>
      <c r="CX103" s="30"/>
      <c r="CZ103" s="26">
        <v>0</v>
      </c>
      <c r="DA103" s="29"/>
      <c r="DB103" s="30"/>
      <c r="DD103" s="26">
        <v>0</v>
      </c>
      <c r="DE103" s="29"/>
      <c r="DF103">
        <v>8</v>
      </c>
      <c r="DG103" s="31">
        <v>7.6000000000000014</v>
      </c>
      <c r="DH103" s="26">
        <v>0.39999999999999858</v>
      </c>
      <c r="DI103" s="29"/>
      <c r="DJ103">
        <v>24</v>
      </c>
      <c r="DK103">
        <v>22</v>
      </c>
      <c r="DL103" s="26">
        <v>2</v>
      </c>
      <c r="DM103" s="29"/>
      <c r="DN103" s="30"/>
      <c r="DQ103" s="26">
        <v>0</v>
      </c>
      <c r="DR103" s="29"/>
      <c r="DS103" s="28">
        <v>8</v>
      </c>
      <c r="DU103">
        <v>8</v>
      </c>
      <c r="DV103" s="26">
        <v>0</v>
      </c>
      <c r="DW103" s="29"/>
      <c r="DX103">
        <v>8</v>
      </c>
      <c r="DY103" s="31">
        <v>6</v>
      </c>
      <c r="DZ103" s="26">
        <v>2</v>
      </c>
      <c r="EA103" s="29"/>
      <c r="EB103" s="30"/>
      <c r="EE103">
        <v>16</v>
      </c>
      <c r="EF103">
        <v>21</v>
      </c>
      <c r="EG103" s="26">
        <v>-5</v>
      </c>
      <c r="EH103" s="29"/>
      <c r="EI103">
        <v>8</v>
      </c>
      <c r="EJ103" s="31">
        <v>7.8000000000000043</v>
      </c>
      <c r="EK103" s="26">
        <v>0.19999999999999571</v>
      </c>
      <c r="EL103" s="29"/>
      <c r="EM103" s="30"/>
      <c r="EQ103" s="26">
        <v>0</v>
      </c>
      <c r="ER103" s="29"/>
      <c r="EU103">
        <v>32</v>
      </c>
      <c r="EV103">
        <v>30</v>
      </c>
      <c r="EW103" s="26">
        <v>2</v>
      </c>
      <c r="EX103" s="29"/>
      <c r="FA103" s="26">
        <v>0</v>
      </c>
      <c r="FB103" s="29"/>
      <c r="FC103" s="30"/>
      <c r="FE103" s="26">
        <v>0</v>
      </c>
      <c r="FF103" s="29"/>
      <c r="FG103" s="28">
        <v>8</v>
      </c>
      <c r="FH103">
        <v>8</v>
      </c>
      <c r="FI103" s="26">
        <v>0</v>
      </c>
      <c r="FJ103" s="29"/>
      <c r="FK103">
        <v>8</v>
      </c>
      <c r="FL103">
        <v>8</v>
      </c>
      <c r="FM103" s="26">
        <v>0</v>
      </c>
      <c r="FN103" s="29"/>
      <c r="FO103" s="28">
        <v>24</v>
      </c>
      <c r="FP103">
        <v>25</v>
      </c>
      <c r="FQ103" s="26">
        <v>-1</v>
      </c>
      <c r="FR103" s="29"/>
      <c r="FS103" s="30"/>
      <c r="FU103" s="26">
        <v>0</v>
      </c>
      <c r="FV103" s="29"/>
      <c r="FW103">
        <v>16</v>
      </c>
      <c r="FX103">
        <v>16</v>
      </c>
      <c r="FY103" s="26">
        <v>0</v>
      </c>
      <c r="FZ103" s="32"/>
      <c r="GC103" s="26">
        <v>0</v>
      </c>
      <c r="GD103" s="29"/>
      <c r="GG103" s="26">
        <v>0</v>
      </c>
      <c r="GH103" s="32"/>
      <c r="GI103">
        <v>8</v>
      </c>
      <c r="GJ103">
        <v>8</v>
      </c>
      <c r="GK103" s="26">
        <v>0</v>
      </c>
      <c r="GL103" s="29"/>
      <c r="GO103" s="26">
        <v>0</v>
      </c>
      <c r="GP103" s="32"/>
      <c r="GS103" s="26">
        <v>0</v>
      </c>
      <c r="GT103" s="29"/>
      <c r="GU103" s="34"/>
      <c r="GW103" s="26">
        <v>0</v>
      </c>
      <c r="GX103" s="32"/>
      <c r="HA103" s="26">
        <v>0</v>
      </c>
      <c r="HB103" s="32"/>
      <c r="HE103" s="26">
        <v>0</v>
      </c>
      <c r="HF103" s="32"/>
      <c r="HI103" s="26">
        <v>0</v>
      </c>
      <c r="HJ103" s="29"/>
      <c r="HK103" s="27"/>
      <c r="HM103">
        <v>32</v>
      </c>
      <c r="HN103">
        <v>35</v>
      </c>
      <c r="HO103" s="26">
        <v>-3</v>
      </c>
      <c r="HP103" s="32"/>
      <c r="HQ103" s="31">
        <v>0</v>
      </c>
      <c r="HR103" s="31">
        <v>0</v>
      </c>
      <c r="HS103" s="26">
        <v>0</v>
      </c>
      <c r="HT103" s="32"/>
      <c r="HU103" s="31">
        <v>0</v>
      </c>
      <c r="HV103" s="31">
        <v>0</v>
      </c>
      <c r="HW103" s="26">
        <v>0</v>
      </c>
      <c r="HX103" s="32"/>
      <c r="HY103" s="34">
        <v>0</v>
      </c>
      <c r="HZ103" s="31">
        <v>0</v>
      </c>
      <c r="IA103" s="26">
        <v>0</v>
      </c>
      <c r="IB103" s="32"/>
    </row>
    <row r="104" spans="1:236" x14ac:dyDescent="0.25">
      <c r="A104" s="26" t="s">
        <v>231</v>
      </c>
      <c r="B104" s="27">
        <v>1</v>
      </c>
      <c r="I104" s="30"/>
      <c r="J104" s="35"/>
      <c r="K104" s="35"/>
      <c r="L104" s="35">
        <f t="shared" si="8"/>
        <v>0</v>
      </c>
      <c r="M104" s="29"/>
      <c r="N104" s="30"/>
      <c r="O104" s="35"/>
      <c r="P104" s="35">
        <f t="shared" si="9"/>
        <v>0</v>
      </c>
      <c r="Q104" s="29"/>
      <c r="R104" s="30"/>
      <c r="S104" s="35"/>
      <c r="T104" s="35">
        <f t="shared" si="10"/>
        <v>0</v>
      </c>
      <c r="U104" s="29"/>
      <c r="V104" s="35"/>
      <c r="X104" s="26">
        <v>0</v>
      </c>
      <c r="Y104" s="29"/>
      <c r="Z104" s="30"/>
      <c r="AB104" s="26">
        <v>0</v>
      </c>
      <c r="AC104" s="29"/>
      <c r="AF104" s="26">
        <v>0</v>
      </c>
      <c r="AG104" s="29"/>
      <c r="AH104" s="30"/>
      <c r="AJ104" s="26">
        <v>0</v>
      </c>
      <c r="AK104" s="29"/>
      <c r="AL104" s="30"/>
      <c r="AN104" s="26">
        <v>0</v>
      </c>
      <c r="AO104" s="29"/>
      <c r="AR104" s="26">
        <v>0</v>
      </c>
      <c r="AS104" s="29"/>
      <c r="AT104" s="30"/>
      <c r="AX104" s="26">
        <v>0</v>
      </c>
      <c r="AY104" s="29"/>
      <c r="AZ104" s="30"/>
      <c r="BB104" s="26">
        <v>0</v>
      </c>
      <c r="BC104" s="29"/>
      <c r="BH104" s="26">
        <v>0</v>
      </c>
      <c r="BI104" s="29"/>
      <c r="BL104" s="26">
        <v>0</v>
      </c>
      <c r="BM104" s="29"/>
      <c r="BN104" s="30"/>
      <c r="BP104" s="26">
        <v>0</v>
      </c>
      <c r="BQ104" s="29"/>
      <c r="BR104" s="30"/>
      <c r="BT104" s="26">
        <v>0</v>
      </c>
      <c r="BU104" s="29"/>
      <c r="BX104" s="26">
        <v>0</v>
      </c>
      <c r="BY104" s="29"/>
      <c r="BZ104" s="30"/>
      <c r="CC104" s="26">
        <v>0</v>
      </c>
      <c r="CD104" s="29"/>
      <c r="CE104" s="30"/>
      <c r="CI104" s="26">
        <v>0</v>
      </c>
      <c r="CJ104" s="29"/>
      <c r="CK104" s="30"/>
      <c r="CN104" s="26">
        <v>0</v>
      </c>
      <c r="CO104" s="29"/>
      <c r="CR104" s="26">
        <v>0</v>
      </c>
      <c r="CS104" s="29"/>
      <c r="CT104" s="34"/>
      <c r="CV104" s="26">
        <v>0</v>
      </c>
      <c r="CW104" s="29"/>
      <c r="CX104" s="30"/>
      <c r="CZ104" s="26">
        <v>0</v>
      </c>
      <c r="DA104" s="29"/>
      <c r="DB104" s="30"/>
      <c r="DD104" s="26">
        <v>0</v>
      </c>
      <c r="DE104" s="29"/>
      <c r="DH104" s="26">
        <v>0</v>
      </c>
      <c r="DI104" s="29"/>
      <c r="DL104" s="26">
        <v>0</v>
      </c>
      <c r="DM104" s="29"/>
      <c r="DN104" s="30"/>
      <c r="DQ104" s="26">
        <v>0</v>
      </c>
      <c r="DR104" s="29"/>
      <c r="DS104" s="30"/>
      <c r="DV104" s="26">
        <v>0</v>
      </c>
      <c r="DW104" s="29"/>
      <c r="DZ104" s="26">
        <v>0</v>
      </c>
      <c r="EA104" s="29"/>
      <c r="EB104" s="30"/>
      <c r="EG104" s="26">
        <v>0</v>
      </c>
      <c r="EH104" s="29"/>
      <c r="EK104" s="26">
        <v>0</v>
      </c>
      <c r="EL104" s="29"/>
      <c r="EM104" s="30"/>
      <c r="EQ104" s="26">
        <v>0</v>
      </c>
      <c r="ER104" s="29"/>
      <c r="EW104" s="26">
        <v>0</v>
      </c>
      <c r="EX104" s="29"/>
      <c r="FA104" s="26">
        <v>0</v>
      </c>
      <c r="FB104" s="29"/>
      <c r="FC104" s="30"/>
      <c r="FE104" s="26">
        <v>0</v>
      </c>
      <c r="FF104" s="29"/>
      <c r="FG104" s="30"/>
      <c r="FI104" s="26">
        <v>0</v>
      </c>
      <c r="FJ104" s="29"/>
      <c r="FM104" s="26">
        <v>0</v>
      </c>
      <c r="FN104" s="29"/>
      <c r="FO104" s="30"/>
      <c r="FQ104" s="26">
        <v>0</v>
      </c>
      <c r="FR104" s="29"/>
      <c r="FS104" s="30"/>
      <c r="FU104" s="26">
        <v>0</v>
      </c>
      <c r="FV104" s="29"/>
      <c r="FY104" s="26">
        <v>0</v>
      </c>
      <c r="FZ104" s="32"/>
      <c r="GC104" s="26">
        <v>0</v>
      </c>
      <c r="GD104" s="29"/>
      <c r="GG104" s="26">
        <v>0</v>
      </c>
      <c r="GH104" s="32"/>
      <c r="GK104" s="26">
        <v>0</v>
      </c>
      <c r="GL104" s="29"/>
      <c r="GO104" s="26">
        <v>0</v>
      </c>
      <c r="GP104" s="32"/>
      <c r="GS104" s="26">
        <v>0</v>
      </c>
      <c r="GT104" s="29"/>
      <c r="GU104" s="34"/>
      <c r="GW104" s="26">
        <v>0</v>
      </c>
      <c r="GX104" s="32"/>
      <c r="HA104" s="26">
        <v>0</v>
      </c>
      <c r="HB104" s="32"/>
      <c r="HE104" s="26">
        <v>0</v>
      </c>
      <c r="HF104" s="32"/>
      <c r="HI104" s="26">
        <v>0</v>
      </c>
      <c r="HJ104" s="29"/>
      <c r="HK104" s="27"/>
      <c r="HM104" s="27"/>
      <c r="HO104" s="26">
        <v>0</v>
      </c>
      <c r="HP104" s="32"/>
      <c r="HQ104" s="31">
        <v>0</v>
      </c>
      <c r="HR104" s="31">
        <v>0</v>
      </c>
      <c r="HS104" s="26">
        <v>0</v>
      </c>
      <c r="HT104" s="32"/>
      <c r="HU104" s="31">
        <v>0</v>
      </c>
      <c r="HV104" s="31">
        <v>0</v>
      </c>
      <c r="HW104" s="26">
        <v>0</v>
      </c>
      <c r="HX104" s="32"/>
      <c r="HY104" s="34">
        <v>0</v>
      </c>
      <c r="HZ104" s="31">
        <v>0</v>
      </c>
      <c r="IA104" s="26">
        <v>0</v>
      </c>
      <c r="IB104" s="32"/>
    </row>
    <row r="105" spans="1:236" x14ac:dyDescent="0.25">
      <c r="A105" s="26" t="s">
        <v>232</v>
      </c>
      <c r="B105" s="27">
        <v>0.36</v>
      </c>
      <c r="E105">
        <v>24</v>
      </c>
      <c r="F105">
        <v>24</v>
      </c>
      <c r="I105" s="30"/>
      <c r="J105" s="36">
        <v>60</v>
      </c>
      <c r="K105" s="36">
        <v>62</v>
      </c>
      <c r="L105" s="35">
        <f t="shared" si="8"/>
        <v>-2</v>
      </c>
      <c r="M105" s="29"/>
      <c r="N105" s="30"/>
      <c r="O105" s="35"/>
      <c r="P105" s="35">
        <f t="shared" si="9"/>
        <v>0</v>
      </c>
      <c r="Q105" s="29"/>
      <c r="R105" s="28">
        <v>72</v>
      </c>
      <c r="S105" s="36">
        <v>72</v>
      </c>
      <c r="T105" s="35">
        <f t="shared" si="10"/>
        <v>0</v>
      </c>
      <c r="U105" s="29"/>
      <c r="V105" s="36">
        <v>6</v>
      </c>
      <c r="W105">
        <v>9</v>
      </c>
      <c r="X105" s="26">
        <v>-3</v>
      </c>
      <c r="Y105" s="29"/>
      <c r="Z105" s="28">
        <v>36</v>
      </c>
      <c r="AA105">
        <v>39</v>
      </c>
      <c r="AB105" s="26">
        <v>-3</v>
      </c>
      <c r="AC105" s="29"/>
      <c r="AD105">
        <v>6</v>
      </c>
      <c r="AE105">
        <v>6</v>
      </c>
      <c r="AF105" s="26">
        <v>0</v>
      </c>
      <c r="AG105" s="29"/>
      <c r="AH105" s="28">
        <v>36</v>
      </c>
      <c r="AI105">
        <v>38</v>
      </c>
      <c r="AJ105" s="26">
        <v>-2</v>
      </c>
      <c r="AK105" s="29"/>
      <c r="AL105" s="30"/>
      <c r="AN105" s="26">
        <v>0</v>
      </c>
      <c r="AO105" s="29"/>
      <c r="AP105">
        <v>6</v>
      </c>
      <c r="AQ105">
        <v>8</v>
      </c>
      <c r="AR105" s="26">
        <v>-2</v>
      </c>
      <c r="AS105" s="29"/>
      <c r="AT105" s="30"/>
      <c r="AV105">
        <v>30</v>
      </c>
      <c r="AW105">
        <v>31</v>
      </c>
      <c r="AX105" s="26">
        <v>-1</v>
      </c>
      <c r="AY105" s="29"/>
      <c r="AZ105" s="28">
        <v>18</v>
      </c>
      <c r="BA105">
        <v>17</v>
      </c>
      <c r="BB105" s="26">
        <v>1</v>
      </c>
      <c r="BC105" s="29"/>
      <c r="BH105" s="26">
        <v>0</v>
      </c>
      <c r="BI105" s="29"/>
      <c r="BJ105">
        <v>30</v>
      </c>
      <c r="BK105">
        <v>32</v>
      </c>
      <c r="BL105" s="26">
        <v>-2</v>
      </c>
      <c r="BM105" s="29"/>
      <c r="BN105" s="28">
        <v>24</v>
      </c>
      <c r="BO105">
        <v>24</v>
      </c>
      <c r="BP105" s="26">
        <v>0</v>
      </c>
      <c r="BQ105" s="29"/>
      <c r="BR105" s="30"/>
      <c r="BT105" s="26">
        <v>0</v>
      </c>
      <c r="BU105" s="29"/>
      <c r="BX105" s="26">
        <v>0</v>
      </c>
      <c r="BY105" s="29"/>
      <c r="BZ105" s="28">
        <v>48</v>
      </c>
      <c r="CB105">
        <v>50</v>
      </c>
      <c r="CC105" s="26">
        <v>-2</v>
      </c>
      <c r="CD105" s="29"/>
      <c r="CE105" s="30"/>
      <c r="CG105">
        <v>12</v>
      </c>
      <c r="CH105">
        <v>12</v>
      </c>
      <c r="CI105" s="26">
        <v>0</v>
      </c>
      <c r="CJ105" s="29"/>
      <c r="CK105" s="28">
        <v>12</v>
      </c>
      <c r="CM105">
        <v>14</v>
      </c>
      <c r="CN105" s="26">
        <v>-2</v>
      </c>
      <c r="CO105" s="29"/>
      <c r="CP105">
        <v>42</v>
      </c>
      <c r="CQ105" s="26">
        <v>41.8</v>
      </c>
      <c r="CR105" s="26">
        <v>0.20000000000000279</v>
      </c>
      <c r="CS105" s="29"/>
      <c r="CT105" s="34"/>
      <c r="CV105" s="26">
        <v>0</v>
      </c>
      <c r="CW105" s="29"/>
      <c r="CX105" s="28">
        <v>36</v>
      </c>
      <c r="CY105" s="26">
        <v>38.200000000000003</v>
      </c>
      <c r="CZ105" s="26">
        <v>-2.2000000000000028</v>
      </c>
      <c r="DA105" s="29"/>
      <c r="DB105" s="30"/>
      <c r="DD105" s="26">
        <v>0</v>
      </c>
      <c r="DE105" s="29"/>
      <c r="DF105">
        <v>24</v>
      </c>
      <c r="DG105" s="31">
        <v>24.4</v>
      </c>
      <c r="DH105" s="26">
        <v>-0.39999999999999858</v>
      </c>
      <c r="DI105" s="29"/>
      <c r="DJ105">
        <v>18</v>
      </c>
      <c r="DK105">
        <v>20</v>
      </c>
      <c r="DL105" s="26">
        <v>-2</v>
      </c>
      <c r="DM105" s="29"/>
      <c r="DN105" s="28">
        <v>6</v>
      </c>
      <c r="DP105">
        <v>6</v>
      </c>
      <c r="DQ105" s="26">
        <v>0</v>
      </c>
      <c r="DR105" s="29"/>
      <c r="DS105" s="28">
        <v>24</v>
      </c>
      <c r="DU105">
        <v>26</v>
      </c>
      <c r="DV105" s="26">
        <v>-2</v>
      </c>
      <c r="DW105" s="29"/>
      <c r="DX105">
        <v>6</v>
      </c>
      <c r="DY105" s="31">
        <v>7</v>
      </c>
      <c r="DZ105" s="26">
        <v>-1</v>
      </c>
      <c r="EA105" s="29"/>
      <c r="EB105" s="30"/>
      <c r="EE105">
        <v>36</v>
      </c>
      <c r="EF105">
        <v>39</v>
      </c>
      <c r="EG105" s="26">
        <v>-3</v>
      </c>
      <c r="EH105" s="29"/>
      <c r="EI105">
        <v>12</v>
      </c>
      <c r="EJ105" s="31">
        <v>10.4</v>
      </c>
      <c r="EK105" s="26">
        <v>1.6</v>
      </c>
      <c r="EL105" s="29"/>
      <c r="EM105" s="30"/>
      <c r="EO105">
        <v>12</v>
      </c>
      <c r="EP105">
        <v>13</v>
      </c>
      <c r="EQ105" s="26">
        <v>-1</v>
      </c>
      <c r="ER105" s="29"/>
      <c r="EU105">
        <v>18</v>
      </c>
      <c r="EV105">
        <v>20</v>
      </c>
      <c r="EW105" s="26">
        <v>-2</v>
      </c>
      <c r="EX105" s="29"/>
      <c r="FA105" s="26">
        <v>0</v>
      </c>
      <c r="FB105" s="29"/>
      <c r="FC105" s="28">
        <v>42</v>
      </c>
      <c r="FD105">
        <v>42</v>
      </c>
      <c r="FE105" s="26">
        <v>0</v>
      </c>
      <c r="FF105" s="29"/>
      <c r="FG105" s="28">
        <v>42</v>
      </c>
      <c r="FH105">
        <v>42</v>
      </c>
      <c r="FI105" s="26">
        <v>0</v>
      </c>
      <c r="FJ105" s="29"/>
      <c r="FK105">
        <v>12</v>
      </c>
      <c r="FL105">
        <v>12</v>
      </c>
      <c r="FM105" s="26">
        <v>0</v>
      </c>
      <c r="FN105" s="29"/>
      <c r="FO105" s="28">
        <v>30</v>
      </c>
      <c r="FP105">
        <v>30</v>
      </c>
      <c r="FQ105" s="26">
        <v>0</v>
      </c>
      <c r="FR105" s="29"/>
      <c r="FS105" s="28">
        <v>30</v>
      </c>
      <c r="FT105">
        <v>33</v>
      </c>
      <c r="FU105" s="26">
        <v>-3</v>
      </c>
      <c r="FV105" s="29"/>
      <c r="FW105">
        <v>24</v>
      </c>
      <c r="FX105">
        <v>27</v>
      </c>
      <c r="FY105" s="26">
        <v>-3</v>
      </c>
      <c r="FZ105" s="32"/>
      <c r="GA105">
        <v>12</v>
      </c>
      <c r="GB105">
        <v>14</v>
      </c>
      <c r="GC105" s="26">
        <v>-2</v>
      </c>
      <c r="GD105" s="29"/>
      <c r="GE105">
        <v>30</v>
      </c>
      <c r="GF105">
        <v>32</v>
      </c>
      <c r="GG105" s="26">
        <v>-2</v>
      </c>
      <c r="GH105" s="32"/>
      <c r="GI105">
        <v>6</v>
      </c>
      <c r="GJ105">
        <v>6</v>
      </c>
      <c r="GK105" s="26">
        <v>0</v>
      </c>
      <c r="GL105" s="29"/>
      <c r="GM105">
        <v>6</v>
      </c>
      <c r="GN105">
        <v>6</v>
      </c>
      <c r="GO105" s="26">
        <v>0</v>
      </c>
      <c r="GP105" s="32"/>
      <c r="GQ105">
        <v>24</v>
      </c>
      <c r="GR105" s="31">
        <v>24.4</v>
      </c>
      <c r="GS105" s="26">
        <v>-0.39999999999999858</v>
      </c>
      <c r="GT105" s="29"/>
      <c r="GU105" s="34"/>
      <c r="GW105" s="26">
        <v>0</v>
      </c>
      <c r="GX105" s="32"/>
      <c r="GY105">
        <v>6</v>
      </c>
      <c r="GZ105">
        <v>4</v>
      </c>
      <c r="HA105" s="26">
        <v>2</v>
      </c>
      <c r="HB105" s="32"/>
      <c r="HE105" s="26">
        <v>0</v>
      </c>
      <c r="HF105" s="32"/>
      <c r="HI105" s="26">
        <v>0</v>
      </c>
      <c r="HJ105" s="29"/>
      <c r="HK105">
        <v>48</v>
      </c>
      <c r="HL105">
        <v>50</v>
      </c>
      <c r="HM105">
        <v>42</v>
      </c>
      <c r="HN105">
        <v>44</v>
      </c>
      <c r="HO105" s="26">
        <v>-4</v>
      </c>
      <c r="HP105" s="32"/>
      <c r="HQ105" s="31">
        <v>36</v>
      </c>
      <c r="HR105" s="31">
        <v>36</v>
      </c>
      <c r="HS105" s="26">
        <v>0</v>
      </c>
      <c r="HT105" s="32"/>
      <c r="HU105" s="31">
        <v>0</v>
      </c>
      <c r="HV105" s="31">
        <v>0</v>
      </c>
      <c r="HW105" s="26">
        <v>0</v>
      </c>
      <c r="HX105" s="32"/>
      <c r="HY105" s="34">
        <v>0</v>
      </c>
      <c r="HZ105" s="31">
        <v>0</v>
      </c>
      <c r="IA105" s="26">
        <v>0</v>
      </c>
      <c r="IB105" s="32"/>
    </row>
    <row r="106" spans="1:236" x14ac:dyDescent="0.25">
      <c r="A106" s="26" t="s">
        <v>233</v>
      </c>
      <c r="B106" s="27">
        <v>1</v>
      </c>
      <c r="I106" s="30"/>
      <c r="J106" s="35"/>
      <c r="K106" s="35"/>
      <c r="L106" s="35">
        <f t="shared" si="8"/>
        <v>0</v>
      </c>
      <c r="M106" s="29"/>
      <c r="N106" s="30"/>
      <c r="O106" s="35"/>
      <c r="P106" s="35">
        <f t="shared" si="9"/>
        <v>0</v>
      </c>
      <c r="Q106" s="29"/>
      <c r="R106" s="30"/>
      <c r="S106" s="35"/>
      <c r="T106" s="35">
        <f t="shared" si="10"/>
        <v>0</v>
      </c>
      <c r="U106" s="29"/>
      <c r="V106" s="35"/>
      <c r="X106" s="26">
        <v>0</v>
      </c>
      <c r="Y106" s="29"/>
      <c r="Z106" s="30"/>
      <c r="AB106" s="26">
        <v>0</v>
      </c>
      <c r="AC106" s="29"/>
      <c r="AF106" s="26">
        <v>0</v>
      </c>
      <c r="AG106" s="29"/>
      <c r="AH106" s="30"/>
      <c r="AJ106" s="26">
        <v>0</v>
      </c>
      <c r="AK106" s="29"/>
      <c r="AL106" s="30"/>
      <c r="AN106" s="26">
        <v>0</v>
      </c>
      <c r="AO106" s="29"/>
      <c r="AR106" s="26">
        <v>0</v>
      </c>
      <c r="AS106" s="29"/>
      <c r="AT106" s="30"/>
      <c r="AX106" s="26">
        <v>0</v>
      </c>
      <c r="AY106" s="29"/>
      <c r="AZ106" s="30"/>
      <c r="BB106" s="26">
        <v>0</v>
      </c>
      <c r="BC106" s="29"/>
      <c r="BH106" s="26">
        <v>0</v>
      </c>
      <c r="BI106" s="29"/>
      <c r="BL106" s="26">
        <v>0</v>
      </c>
      <c r="BM106" s="29"/>
      <c r="BN106" s="30"/>
      <c r="BP106" s="26">
        <v>0</v>
      </c>
      <c r="BQ106" s="29"/>
      <c r="BR106" s="30"/>
      <c r="BT106" s="26">
        <v>0</v>
      </c>
      <c r="BU106" s="29"/>
      <c r="BX106" s="26">
        <v>0</v>
      </c>
      <c r="BY106" s="29"/>
      <c r="BZ106" s="30"/>
      <c r="CC106" s="26">
        <v>0</v>
      </c>
      <c r="CD106" s="29"/>
      <c r="CE106" s="30"/>
      <c r="CI106" s="26">
        <v>0</v>
      </c>
      <c r="CJ106" s="29"/>
      <c r="CK106" s="30"/>
      <c r="CN106" s="26">
        <v>0</v>
      </c>
      <c r="CO106" s="29"/>
      <c r="CR106" s="26">
        <v>0</v>
      </c>
      <c r="CS106" s="29"/>
      <c r="CT106" s="34"/>
      <c r="CV106" s="26">
        <v>0</v>
      </c>
      <c r="CW106" s="29"/>
      <c r="CX106" s="30"/>
      <c r="CZ106" s="26">
        <v>0</v>
      </c>
      <c r="DA106" s="29"/>
      <c r="DB106" s="30"/>
      <c r="DD106" s="26">
        <v>0</v>
      </c>
      <c r="DE106" s="29"/>
      <c r="DH106" s="26">
        <v>0</v>
      </c>
      <c r="DI106" s="29"/>
      <c r="DL106" s="26">
        <v>0</v>
      </c>
      <c r="DM106" s="29"/>
      <c r="DN106" s="30"/>
      <c r="DQ106" s="26">
        <v>0</v>
      </c>
      <c r="DR106" s="29"/>
      <c r="DS106" s="30"/>
      <c r="DV106" s="26">
        <v>0</v>
      </c>
      <c r="DW106" s="29"/>
      <c r="DZ106" s="26">
        <v>0</v>
      </c>
      <c r="EA106" s="29"/>
      <c r="EB106" s="30"/>
      <c r="EG106" s="26">
        <v>0</v>
      </c>
      <c r="EH106" s="29"/>
      <c r="EK106" s="26">
        <v>0</v>
      </c>
      <c r="EL106" s="29"/>
      <c r="EM106" s="30"/>
      <c r="EQ106" s="26">
        <v>0</v>
      </c>
      <c r="ER106" s="29"/>
      <c r="EW106" s="26">
        <v>0</v>
      </c>
      <c r="EX106" s="29"/>
      <c r="FA106" s="26">
        <v>0</v>
      </c>
      <c r="FB106" s="29"/>
      <c r="FC106" s="30"/>
      <c r="FE106" s="26">
        <v>0</v>
      </c>
      <c r="FF106" s="29"/>
      <c r="FG106" s="30"/>
      <c r="FI106" s="26">
        <v>0</v>
      </c>
      <c r="FJ106" s="29"/>
      <c r="FM106" s="26">
        <v>0</v>
      </c>
      <c r="FN106" s="29"/>
      <c r="FO106" s="30"/>
      <c r="FQ106" s="26">
        <v>0</v>
      </c>
      <c r="FR106" s="29"/>
      <c r="FS106" s="30"/>
      <c r="FU106" s="26">
        <v>0</v>
      </c>
      <c r="FV106" s="29"/>
      <c r="FY106" s="26">
        <v>0</v>
      </c>
      <c r="FZ106" s="32"/>
      <c r="GC106" s="26">
        <v>0</v>
      </c>
      <c r="GD106" s="29"/>
      <c r="GG106" s="26">
        <v>0</v>
      </c>
      <c r="GH106" s="32"/>
      <c r="GK106" s="26">
        <v>0</v>
      </c>
      <c r="GL106" s="29"/>
      <c r="GO106" s="26">
        <v>0</v>
      </c>
      <c r="GP106" s="32"/>
      <c r="GS106" s="26">
        <v>0</v>
      </c>
      <c r="GT106" s="29"/>
      <c r="GU106" s="34"/>
      <c r="GW106" s="26">
        <v>0</v>
      </c>
      <c r="GX106" s="32"/>
      <c r="HA106" s="26">
        <v>0</v>
      </c>
      <c r="HB106" s="32"/>
      <c r="HE106" s="26">
        <v>0</v>
      </c>
      <c r="HF106" s="32"/>
      <c r="HI106" s="26">
        <v>0</v>
      </c>
      <c r="HJ106" s="29"/>
      <c r="HK106" s="27"/>
      <c r="HM106" s="27"/>
      <c r="HO106" s="26">
        <v>0</v>
      </c>
      <c r="HP106" s="32"/>
      <c r="HQ106" s="31">
        <v>0</v>
      </c>
      <c r="HR106" s="31">
        <v>0</v>
      </c>
      <c r="HS106" s="26">
        <v>0</v>
      </c>
      <c r="HT106" s="32"/>
      <c r="HU106" s="31">
        <v>0</v>
      </c>
      <c r="HV106" s="31">
        <v>0</v>
      </c>
      <c r="HW106" s="26">
        <v>0</v>
      </c>
      <c r="HX106" s="32"/>
      <c r="HY106" s="34">
        <v>0</v>
      </c>
      <c r="HZ106" s="31">
        <v>0</v>
      </c>
      <c r="IA106" s="26">
        <v>0</v>
      </c>
      <c r="IB106" s="32"/>
    </row>
    <row r="107" spans="1:236" x14ac:dyDescent="0.25">
      <c r="A107" s="26" t="s">
        <v>234</v>
      </c>
      <c r="B107" s="27">
        <v>0.41</v>
      </c>
      <c r="I107" s="30"/>
      <c r="J107" s="35"/>
      <c r="K107" s="36">
        <v>12</v>
      </c>
      <c r="L107" s="40">
        <f t="shared" si="8"/>
        <v>-12</v>
      </c>
      <c r="M107" s="29">
        <f>-1*L107*B107</f>
        <v>4.92</v>
      </c>
      <c r="N107" s="30"/>
      <c r="O107" s="36">
        <v>72</v>
      </c>
      <c r="P107" s="40">
        <f t="shared" si="9"/>
        <v>-72</v>
      </c>
      <c r="Q107" s="29">
        <f>-1*P107*B107</f>
        <v>29.52</v>
      </c>
      <c r="R107" s="30"/>
      <c r="S107" s="36">
        <v>53</v>
      </c>
      <c r="T107" s="40">
        <f t="shared" si="10"/>
        <v>-53</v>
      </c>
      <c r="U107" s="29">
        <f>-1*T107*B107</f>
        <v>21.73</v>
      </c>
      <c r="V107" s="35"/>
      <c r="W107">
        <v>71</v>
      </c>
      <c r="X107" s="25">
        <v>-71</v>
      </c>
      <c r="Y107" s="29">
        <v>29.11</v>
      </c>
      <c r="Z107" s="30"/>
      <c r="AB107" s="26">
        <v>0</v>
      </c>
      <c r="AC107" s="29"/>
      <c r="AD107">
        <v>96</v>
      </c>
      <c r="AE107">
        <v>96</v>
      </c>
      <c r="AF107" s="26">
        <v>0</v>
      </c>
      <c r="AG107" s="29"/>
      <c r="AH107" s="30"/>
      <c r="AJ107" s="26">
        <v>0</v>
      </c>
      <c r="AK107" s="29"/>
      <c r="AL107" s="28">
        <v>54</v>
      </c>
      <c r="AM107">
        <v>54</v>
      </c>
      <c r="AN107" s="26">
        <v>0</v>
      </c>
      <c r="AO107" s="29"/>
      <c r="AP107">
        <v>24</v>
      </c>
      <c r="AQ107">
        <v>24</v>
      </c>
      <c r="AR107" s="26">
        <v>0</v>
      </c>
      <c r="AS107" s="29"/>
      <c r="AT107" s="30"/>
      <c r="AX107" s="26">
        <v>0</v>
      </c>
      <c r="AY107" s="29"/>
      <c r="AZ107" s="28">
        <v>42</v>
      </c>
      <c r="BA107">
        <v>45</v>
      </c>
      <c r="BB107" s="26">
        <v>-3</v>
      </c>
      <c r="BC107" s="29"/>
      <c r="BH107" s="26">
        <v>0</v>
      </c>
      <c r="BI107" s="29"/>
      <c r="BJ107">
        <v>42</v>
      </c>
      <c r="BK107">
        <v>40</v>
      </c>
      <c r="BL107" s="26">
        <v>2</v>
      </c>
      <c r="BM107" s="29"/>
      <c r="BN107" s="28">
        <v>12</v>
      </c>
      <c r="BO107">
        <v>12</v>
      </c>
      <c r="BP107" s="26">
        <v>0</v>
      </c>
      <c r="BQ107" s="29"/>
      <c r="BR107" s="28">
        <v>12</v>
      </c>
      <c r="BS107">
        <v>13</v>
      </c>
      <c r="BT107" s="26">
        <v>-1</v>
      </c>
      <c r="BU107" s="29"/>
      <c r="BX107" s="26">
        <v>0</v>
      </c>
      <c r="BY107" s="29"/>
      <c r="BZ107" s="28">
        <v>6</v>
      </c>
      <c r="CB107">
        <v>9</v>
      </c>
      <c r="CC107" s="26">
        <v>-3</v>
      </c>
      <c r="CD107" s="29"/>
      <c r="CE107" s="30"/>
      <c r="CG107">
        <v>48</v>
      </c>
      <c r="CH107">
        <v>47</v>
      </c>
      <c r="CI107" s="26">
        <v>1</v>
      </c>
      <c r="CJ107" s="29"/>
      <c r="CK107" s="30"/>
      <c r="CN107" s="26">
        <v>0</v>
      </c>
      <c r="CO107" s="29"/>
      <c r="CP107">
        <v>48</v>
      </c>
      <c r="CQ107" s="26">
        <v>46.6</v>
      </c>
      <c r="CR107" s="26">
        <v>1.399999999999999</v>
      </c>
      <c r="CS107" s="29"/>
      <c r="CT107" s="34"/>
      <c r="CV107" s="26">
        <v>0</v>
      </c>
      <c r="CW107" s="29"/>
      <c r="CX107" s="28">
        <v>30</v>
      </c>
      <c r="CY107" s="26">
        <v>32.200000000000003</v>
      </c>
      <c r="CZ107" s="26">
        <v>-2.2000000000000028</v>
      </c>
      <c r="DA107" s="29"/>
      <c r="DB107" s="30"/>
      <c r="DD107" s="26">
        <v>0</v>
      </c>
      <c r="DE107" s="29"/>
      <c r="DH107" s="26">
        <v>0</v>
      </c>
      <c r="DI107" s="29"/>
      <c r="DJ107">
        <v>36</v>
      </c>
      <c r="DK107">
        <v>36</v>
      </c>
      <c r="DL107" s="26">
        <v>0</v>
      </c>
      <c r="DM107" s="29"/>
      <c r="DN107" s="30"/>
      <c r="DQ107" s="26">
        <v>0</v>
      </c>
      <c r="DR107" s="29"/>
      <c r="DS107" s="28">
        <v>18</v>
      </c>
      <c r="DU107">
        <v>18</v>
      </c>
      <c r="DV107" s="26">
        <v>0</v>
      </c>
      <c r="DW107" s="29"/>
      <c r="DX107">
        <v>6</v>
      </c>
      <c r="DY107" s="31">
        <v>6.1999999999999957</v>
      </c>
      <c r="DZ107" s="26">
        <v>-0.19999999999999571</v>
      </c>
      <c r="EA107" s="29"/>
      <c r="EB107" s="30"/>
      <c r="EG107" s="26">
        <v>0</v>
      </c>
      <c r="EH107" s="29"/>
      <c r="EI107">
        <v>48</v>
      </c>
      <c r="EJ107" s="31">
        <v>46.8</v>
      </c>
      <c r="EK107" s="26">
        <v>1.2000000000000031</v>
      </c>
      <c r="EL107" s="29"/>
      <c r="EM107" s="30"/>
      <c r="EO107">
        <v>12</v>
      </c>
      <c r="EP107">
        <v>14</v>
      </c>
      <c r="EQ107" s="26">
        <v>-2</v>
      </c>
      <c r="ER107" s="29"/>
      <c r="EW107" s="26">
        <v>0</v>
      </c>
      <c r="EX107" s="29"/>
      <c r="EY107">
        <v>42</v>
      </c>
      <c r="EZ107" s="31">
        <v>42</v>
      </c>
      <c r="FA107" s="26">
        <v>0</v>
      </c>
      <c r="FB107" s="29"/>
      <c r="FC107" s="28">
        <v>6</v>
      </c>
      <c r="FD107">
        <v>6</v>
      </c>
      <c r="FE107" s="26">
        <v>0</v>
      </c>
      <c r="FF107" s="29"/>
      <c r="FG107" s="28">
        <v>18</v>
      </c>
      <c r="FH107">
        <v>18</v>
      </c>
      <c r="FI107" s="26">
        <v>0</v>
      </c>
      <c r="FJ107" s="29"/>
      <c r="FK107">
        <v>30</v>
      </c>
      <c r="FL107">
        <v>30</v>
      </c>
      <c r="FM107" s="26">
        <v>0</v>
      </c>
      <c r="FN107" s="29"/>
      <c r="FO107" s="28">
        <v>6</v>
      </c>
      <c r="FP107">
        <v>6</v>
      </c>
      <c r="FQ107" s="26">
        <v>0</v>
      </c>
      <c r="FR107" s="29"/>
      <c r="FS107" s="28">
        <v>24</v>
      </c>
      <c r="FT107">
        <v>24</v>
      </c>
      <c r="FU107" s="26">
        <v>0</v>
      </c>
      <c r="FV107" s="29"/>
      <c r="FW107">
        <v>18</v>
      </c>
      <c r="FX107">
        <v>20</v>
      </c>
      <c r="FY107" s="26">
        <v>-2</v>
      </c>
      <c r="FZ107" s="32"/>
      <c r="GA107">
        <v>12</v>
      </c>
      <c r="GB107">
        <v>11</v>
      </c>
      <c r="GC107" s="26">
        <v>1</v>
      </c>
      <c r="GD107" s="29"/>
      <c r="GE107">
        <v>18</v>
      </c>
      <c r="GF107">
        <v>18</v>
      </c>
      <c r="GG107" s="26">
        <v>0</v>
      </c>
      <c r="GH107" s="32"/>
      <c r="GI107">
        <v>12</v>
      </c>
      <c r="GJ107">
        <v>12</v>
      </c>
      <c r="GK107" s="26">
        <v>0</v>
      </c>
      <c r="GL107" s="29"/>
      <c r="GO107" s="26">
        <v>0</v>
      </c>
      <c r="GP107" s="32"/>
      <c r="GS107" s="26">
        <v>0</v>
      </c>
      <c r="GT107" s="29"/>
      <c r="GU107" s="34"/>
      <c r="GW107" s="26">
        <v>0</v>
      </c>
      <c r="GX107" s="32"/>
      <c r="HA107" s="26">
        <v>0</v>
      </c>
      <c r="HB107" s="32"/>
      <c r="HE107" s="26">
        <v>0</v>
      </c>
      <c r="HF107" s="32"/>
      <c r="HI107" s="26">
        <v>0</v>
      </c>
      <c r="HJ107" s="29"/>
      <c r="HK107" s="27"/>
      <c r="HM107">
        <v>48</v>
      </c>
      <c r="HN107">
        <v>51</v>
      </c>
      <c r="HO107" s="26">
        <v>-3</v>
      </c>
      <c r="HP107" s="32"/>
      <c r="HQ107" s="31">
        <v>0</v>
      </c>
      <c r="HR107" s="31">
        <v>0</v>
      </c>
      <c r="HS107" s="26">
        <v>0</v>
      </c>
      <c r="HT107" s="32"/>
      <c r="HU107" s="31">
        <v>0</v>
      </c>
      <c r="HV107" s="31">
        <v>0</v>
      </c>
      <c r="HW107" s="26">
        <v>0</v>
      </c>
      <c r="HX107" s="32"/>
      <c r="HY107" s="34">
        <v>0</v>
      </c>
      <c r="HZ107" s="31">
        <v>0</v>
      </c>
      <c r="IA107" s="26">
        <v>0</v>
      </c>
      <c r="IB107" s="32"/>
    </row>
    <row r="108" spans="1:236" x14ac:dyDescent="0.25">
      <c r="A108" s="26" t="s">
        <v>235</v>
      </c>
      <c r="B108" s="27">
        <v>1</v>
      </c>
      <c r="I108" s="30"/>
      <c r="J108" s="35"/>
      <c r="K108" s="35"/>
      <c r="L108" s="35">
        <f t="shared" si="8"/>
        <v>0</v>
      </c>
      <c r="M108" s="29"/>
      <c r="N108" s="30"/>
      <c r="O108" s="35"/>
      <c r="P108" s="35">
        <f t="shared" si="9"/>
        <v>0</v>
      </c>
      <c r="Q108" s="29"/>
      <c r="R108" s="30"/>
      <c r="S108" s="35"/>
      <c r="T108" s="35">
        <f t="shared" si="10"/>
        <v>0</v>
      </c>
      <c r="U108" s="29"/>
      <c r="V108" s="35"/>
      <c r="X108" s="26">
        <v>0</v>
      </c>
      <c r="Y108" s="29"/>
      <c r="Z108" s="30"/>
      <c r="AB108" s="26">
        <v>0</v>
      </c>
      <c r="AC108" s="29"/>
      <c r="AF108" s="26">
        <v>0</v>
      </c>
      <c r="AG108" s="29"/>
      <c r="AH108" s="30"/>
      <c r="AJ108" s="26">
        <v>0</v>
      </c>
      <c r="AK108" s="29"/>
      <c r="AL108" s="30"/>
      <c r="AN108" s="26">
        <v>0</v>
      </c>
      <c r="AO108" s="29"/>
      <c r="AR108" s="26">
        <v>0</v>
      </c>
      <c r="AS108" s="29"/>
      <c r="AT108" s="30"/>
      <c r="AX108" s="26">
        <v>0</v>
      </c>
      <c r="AY108" s="29"/>
      <c r="AZ108" s="30"/>
      <c r="BB108" s="26">
        <v>0</v>
      </c>
      <c r="BC108" s="29"/>
      <c r="BH108" s="26">
        <v>0</v>
      </c>
      <c r="BI108" s="29"/>
      <c r="BL108" s="26">
        <v>0</v>
      </c>
      <c r="BM108" s="29"/>
      <c r="BN108" s="30"/>
      <c r="BP108" s="26">
        <v>0</v>
      </c>
      <c r="BQ108" s="29"/>
      <c r="BR108" s="30"/>
      <c r="BT108" s="26">
        <v>0</v>
      </c>
      <c r="BU108" s="29"/>
      <c r="BX108" s="26">
        <v>0</v>
      </c>
      <c r="BY108" s="29"/>
      <c r="BZ108" s="30"/>
      <c r="CC108" s="26">
        <v>0</v>
      </c>
      <c r="CD108" s="29"/>
      <c r="CE108" s="30"/>
      <c r="CI108" s="26">
        <v>0</v>
      </c>
      <c r="CJ108" s="29"/>
      <c r="CK108" s="30"/>
      <c r="CN108" s="26">
        <v>0</v>
      </c>
      <c r="CO108" s="29"/>
      <c r="CR108" s="26">
        <v>0</v>
      </c>
      <c r="CS108" s="29"/>
      <c r="CT108" s="34"/>
      <c r="CV108" s="26">
        <v>0</v>
      </c>
      <c r="CW108" s="29"/>
      <c r="CX108" s="30"/>
      <c r="CZ108" s="26">
        <v>0</v>
      </c>
      <c r="DA108" s="29"/>
      <c r="DB108" s="30"/>
      <c r="DD108" s="26">
        <v>0</v>
      </c>
      <c r="DE108" s="29"/>
      <c r="DH108" s="26">
        <v>0</v>
      </c>
      <c r="DI108" s="29"/>
      <c r="DL108" s="26">
        <v>0</v>
      </c>
      <c r="DM108" s="29"/>
      <c r="DN108" s="30"/>
      <c r="DQ108" s="26">
        <v>0</v>
      </c>
      <c r="DR108" s="29"/>
      <c r="DS108" s="30"/>
      <c r="DV108" s="26">
        <v>0</v>
      </c>
      <c r="DW108" s="29"/>
      <c r="DZ108" s="26">
        <v>0</v>
      </c>
      <c r="EA108" s="29"/>
      <c r="EB108" s="30"/>
      <c r="EG108" s="26">
        <v>0</v>
      </c>
      <c r="EH108" s="29"/>
      <c r="EK108" s="26">
        <v>0</v>
      </c>
      <c r="EL108" s="29"/>
      <c r="EM108" s="30"/>
      <c r="EQ108" s="26">
        <v>0</v>
      </c>
      <c r="ER108" s="29"/>
      <c r="EW108" s="26">
        <v>0</v>
      </c>
      <c r="EX108" s="29"/>
      <c r="FA108" s="26">
        <v>0</v>
      </c>
      <c r="FB108" s="29"/>
      <c r="FC108" s="30"/>
      <c r="FE108" s="26">
        <v>0</v>
      </c>
      <c r="FF108" s="29"/>
      <c r="FG108" s="30"/>
      <c r="FI108" s="26">
        <v>0</v>
      </c>
      <c r="FJ108" s="29"/>
      <c r="FM108" s="26">
        <v>0</v>
      </c>
      <c r="FN108" s="29"/>
      <c r="FO108" s="30"/>
      <c r="FQ108" s="26">
        <v>0</v>
      </c>
      <c r="FR108" s="29"/>
      <c r="FS108" s="30"/>
      <c r="FU108" s="26">
        <v>0</v>
      </c>
      <c r="FV108" s="29"/>
      <c r="FY108" s="26">
        <v>0</v>
      </c>
      <c r="FZ108" s="32"/>
      <c r="GC108" s="26">
        <v>0</v>
      </c>
      <c r="GD108" s="29"/>
      <c r="GG108" s="26">
        <v>0</v>
      </c>
      <c r="GH108" s="32"/>
      <c r="GK108" s="26">
        <v>0</v>
      </c>
      <c r="GL108" s="29"/>
      <c r="GO108" s="26">
        <v>0</v>
      </c>
      <c r="GP108" s="32"/>
      <c r="GS108" s="26">
        <v>0</v>
      </c>
      <c r="GT108" s="29"/>
      <c r="GU108" s="34"/>
      <c r="GW108" s="26">
        <v>0</v>
      </c>
      <c r="GX108" s="32"/>
      <c r="HA108" s="26">
        <v>0</v>
      </c>
      <c r="HB108" s="32"/>
      <c r="HE108" s="26">
        <v>0</v>
      </c>
      <c r="HF108" s="32"/>
      <c r="HI108" s="26">
        <v>0</v>
      </c>
      <c r="HJ108" s="29"/>
      <c r="HK108" s="27"/>
      <c r="HM108" s="27"/>
      <c r="HO108" s="26">
        <v>0</v>
      </c>
      <c r="HP108" s="32"/>
      <c r="HQ108" s="31">
        <v>0</v>
      </c>
      <c r="HR108" s="31">
        <v>0</v>
      </c>
      <c r="HS108" s="26">
        <v>0</v>
      </c>
      <c r="HT108" s="32"/>
      <c r="HU108" s="31">
        <v>0</v>
      </c>
      <c r="HV108" s="31">
        <v>0</v>
      </c>
      <c r="HW108" s="26">
        <v>0</v>
      </c>
      <c r="HX108" s="32"/>
      <c r="HY108" s="34">
        <v>0</v>
      </c>
      <c r="HZ108" s="31">
        <v>0</v>
      </c>
      <c r="IA108" s="26">
        <v>0</v>
      </c>
      <c r="IB108" s="32"/>
    </row>
    <row r="109" spans="1:236" x14ac:dyDescent="0.25">
      <c r="A109" s="26" t="s">
        <v>236</v>
      </c>
      <c r="B109" s="27">
        <v>0.41</v>
      </c>
      <c r="I109" s="30"/>
      <c r="J109" s="35"/>
      <c r="K109" s="36">
        <v>16</v>
      </c>
      <c r="L109" s="40">
        <f t="shared" si="8"/>
        <v>-16</v>
      </c>
      <c r="M109" s="29">
        <f>-1*L109*B109</f>
        <v>6.56</v>
      </c>
      <c r="N109" s="30"/>
      <c r="O109" s="36">
        <v>24</v>
      </c>
      <c r="P109" s="40">
        <f t="shared" si="9"/>
        <v>-24</v>
      </c>
      <c r="Q109" s="29">
        <f>-1*P109*B109</f>
        <v>9.84</v>
      </c>
      <c r="R109" s="30"/>
      <c r="S109" s="36">
        <v>12</v>
      </c>
      <c r="T109" s="40">
        <f t="shared" si="10"/>
        <v>-12</v>
      </c>
      <c r="U109" s="29">
        <f>-1*T109*B109</f>
        <v>4.92</v>
      </c>
      <c r="V109" s="35"/>
      <c r="W109">
        <v>26</v>
      </c>
      <c r="X109" s="25">
        <v>-26</v>
      </c>
      <c r="Y109" s="29">
        <v>10.66</v>
      </c>
      <c r="Z109" s="30"/>
      <c r="AA109">
        <v>26</v>
      </c>
      <c r="AB109" s="25">
        <v>-26</v>
      </c>
      <c r="AC109" s="29">
        <v>10.66</v>
      </c>
      <c r="AD109">
        <v>12</v>
      </c>
      <c r="AE109">
        <v>10</v>
      </c>
      <c r="AF109" s="26">
        <v>2</v>
      </c>
      <c r="AG109" s="29"/>
      <c r="AH109" s="28">
        <v>12</v>
      </c>
      <c r="AI109">
        <v>10</v>
      </c>
      <c r="AJ109" s="26">
        <v>2</v>
      </c>
      <c r="AK109" s="29"/>
      <c r="AL109" s="28">
        <v>6</v>
      </c>
      <c r="AM109">
        <v>9</v>
      </c>
      <c r="AN109" s="26">
        <v>-3</v>
      </c>
      <c r="AO109" s="29"/>
      <c r="AR109" s="26">
        <v>0</v>
      </c>
      <c r="AS109" s="29"/>
      <c r="AT109" s="30"/>
      <c r="AX109" s="26">
        <v>0</v>
      </c>
      <c r="AY109" s="29"/>
      <c r="AZ109" s="28">
        <v>30</v>
      </c>
      <c r="BA109">
        <v>30</v>
      </c>
      <c r="BB109" s="26">
        <v>0</v>
      </c>
      <c r="BC109" s="29"/>
      <c r="BH109" s="26">
        <v>0</v>
      </c>
      <c r="BI109" s="29"/>
      <c r="BL109" s="26">
        <v>0</v>
      </c>
      <c r="BM109" s="29"/>
      <c r="BN109" s="28">
        <v>6</v>
      </c>
      <c r="BO109">
        <v>6</v>
      </c>
      <c r="BP109" s="26">
        <v>0</v>
      </c>
      <c r="BQ109" s="29"/>
      <c r="BR109" s="28">
        <v>24</v>
      </c>
      <c r="BS109">
        <v>22</v>
      </c>
      <c r="BT109" s="26">
        <v>2</v>
      </c>
      <c r="BU109" s="29"/>
      <c r="BX109" s="26">
        <v>0</v>
      </c>
      <c r="BY109" s="29"/>
      <c r="BZ109" s="28">
        <v>18</v>
      </c>
      <c r="CB109">
        <v>16</v>
      </c>
      <c r="CC109" s="26">
        <v>2</v>
      </c>
      <c r="CD109" s="29"/>
      <c r="CE109" s="30"/>
      <c r="CG109">
        <v>12</v>
      </c>
      <c r="CH109">
        <v>12</v>
      </c>
      <c r="CI109" s="26">
        <v>0</v>
      </c>
      <c r="CJ109" s="29"/>
      <c r="CK109" s="30"/>
      <c r="CN109" s="26">
        <v>0</v>
      </c>
      <c r="CO109" s="29"/>
      <c r="CP109">
        <v>18</v>
      </c>
      <c r="CQ109" s="26">
        <v>19</v>
      </c>
      <c r="CR109" s="26">
        <v>-1</v>
      </c>
      <c r="CS109" s="29"/>
      <c r="CT109" s="34"/>
      <c r="CV109" s="26">
        <v>0</v>
      </c>
      <c r="CW109" s="29"/>
      <c r="CX109" s="28">
        <v>12</v>
      </c>
      <c r="CY109" s="26">
        <v>13.2</v>
      </c>
      <c r="CZ109" s="26">
        <v>-1.1999999999999991</v>
      </c>
      <c r="DA109" s="29"/>
      <c r="DB109" s="30"/>
      <c r="DD109" s="26">
        <v>0</v>
      </c>
      <c r="DE109" s="29"/>
      <c r="DH109" s="26">
        <v>0</v>
      </c>
      <c r="DI109" s="29"/>
      <c r="DJ109">
        <v>18</v>
      </c>
      <c r="DK109">
        <v>17</v>
      </c>
      <c r="DL109" s="26">
        <v>1</v>
      </c>
      <c r="DM109" s="29"/>
      <c r="DN109" s="30"/>
      <c r="DQ109" s="26">
        <v>0</v>
      </c>
      <c r="DR109" s="29"/>
      <c r="DS109" s="30"/>
      <c r="DV109" s="26">
        <v>0</v>
      </c>
      <c r="DW109" s="29"/>
      <c r="DZ109" s="26">
        <v>0</v>
      </c>
      <c r="EA109" s="29"/>
      <c r="EB109" s="30"/>
      <c r="EE109">
        <v>18</v>
      </c>
      <c r="EF109">
        <v>19</v>
      </c>
      <c r="EG109" s="26">
        <v>-1</v>
      </c>
      <c r="EH109" s="29"/>
      <c r="EI109">
        <v>6</v>
      </c>
      <c r="EJ109" s="31">
        <v>5.4000000000000021</v>
      </c>
      <c r="EK109" s="26">
        <v>0.59999999999999787</v>
      </c>
      <c r="EL109" s="29"/>
      <c r="EM109" s="30"/>
      <c r="EO109">
        <v>12</v>
      </c>
      <c r="EP109">
        <v>12</v>
      </c>
      <c r="EQ109" s="26">
        <v>0</v>
      </c>
      <c r="ER109" s="29"/>
      <c r="EU109">
        <v>12</v>
      </c>
      <c r="EV109">
        <v>12</v>
      </c>
      <c r="EW109" s="26">
        <v>0</v>
      </c>
      <c r="EX109" s="29"/>
      <c r="EY109">
        <v>6</v>
      </c>
      <c r="EZ109" s="31">
        <v>8</v>
      </c>
      <c r="FA109" s="26">
        <v>-2</v>
      </c>
      <c r="FB109" s="29"/>
      <c r="FC109" s="30"/>
      <c r="FE109" s="26">
        <v>0</v>
      </c>
      <c r="FF109" s="29"/>
      <c r="FG109" s="28">
        <v>6</v>
      </c>
      <c r="FH109">
        <v>6</v>
      </c>
      <c r="FI109" s="26">
        <v>0</v>
      </c>
      <c r="FJ109" s="29"/>
      <c r="FK109">
        <v>6</v>
      </c>
      <c r="FL109">
        <v>6</v>
      </c>
      <c r="FM109" s="26">
        <v>0</v>
      </c>
      <c r="FN109" s="29"/>
      <c r="FO109" s="28">
        <v>18</v>
      </c>
      <c r="FP109">
        <v>18</v>
      </c>
      <c r="FQ109" s="26">
        <v>0</v>
      </c>
      <c r="FR109" s="29"/>
      <c r="FS109" s="30"/>
      <c r="FU109" s="26">
        <v>0</v>
      </c>
      <c r="FV109" s="29"/>
      <c r="FY109" s="26">
        <v>0</v>
      </c>
      <c r="FZ109" s="32"/>
      <c r="GA109">
        <v>6</v>
      </c>
      <c r="GB109">
        <v>4</v>
      </c>
      <c r="GC109" s="26">
        <v>2</v>
      </c>
      <c r="GD109" s="29"/>
      <c r="GE109">
        <v>6</v>
      </c>
      <c r="GF109">
        <v>6</v>
      </c>
      <c r="GG109" s="26">
        <v>0</v>
      </c>
      <c r="GH109" s="32"/>
      <c r="GI109">
        <v>6</v>
      </c>
      <c r="GJ109">
        <v>6</v>
      </c>
      <c r="GK109" s="26">
        <v>0</v>
      </c>
      <c r="GL109" s="29"/>
      <c r="GO109" s="26">
        <v>0</v>
      </c>
      <c r="GP109" s="32"/>
      <c r="GQ109">
        <v>6</v>
      </c>
      <c r="GR109" s="31">
        <v>7.6000000000000014</v>
      </c>
      <c r="GS109" s="26">
        <v>-1.600000000000001</v>
      </c>
      <c r="GT109" s="29"/>
      <c r="GU109" s="34"/>
      <c r="GW109" s="26">
        <v>0</v>
      </c>
      <c r="GX109" s="32"/>
      <c r="HA109" s="26">
        <v>0</v>
      </c>
      <c r="HB109" s="32"/>
      <c r="HE109" s="26">
        <v>0</v>
      </c>
      <c r="HF109" s="32"/>
      <c r="HI109" s="26">
        <v>0</v>
      </c>
      <c r="HJ109" s="29"/>
      <c r="HK109" s="27"/>
      <c r="HM109">
        <v>24</v>
      </c>
      <c r="HN109">
        <v>26</v>
      </c>
      <c r="HO109" s="26">
        <v>-2</v>
      </c>
      <c r="HP109" s="32"/>
      <c r="HQ109" s="31">
        <v>0</v>
      </c>
      <c r="HR109" s="31">
        <v>0</v>
      </c>
      <c r="HS109" s="26">
        <v>0</v>
      </c>
      <c r="HT109" s="32"/>
      <c r="HU109" s="31">
        <v>0</v>
      </c>
      <c r="HV109" s="31">
        <v>0</v>
      </c>
      <c r="HW109" s="26">
        <v>0</v>
      </c>
      <c r="HX109" s="32"/>
      <c r="HY109" s="34">
        <v>0</v>
      </c>
      <c r="HZ109" s="31">
        <v>0</v>
      </c>
      <c r="IA109" s="26">
        <v>0</v>
      </c>
      <c r="IB109" s="32"/>
    </row>
    <row r="110" spans="1:236" x14ac:dyDescent="0.25">
      <c r="A110" s="26" t="s">
        <v>237</v>
      </c>
      <c r="B110" s="27">
        <v>0.28000000000000003</v>
      </c>
      <c r="I110" s="30"/>
      <c r="J110" s="35"/>
      <c r="K110" s="35"/>
      <c r="L110" s="35">
        <f t="shared" si="8"/>
        <v>0</v>
      </c>
      <c r="M110" s="29"/>
      <c r="N110" s="30"/>
      <c r="O110" s="35"/>
      <c r="P110" s="35">
        <f t="shared" si="9"/>
        <v>0</v>
      </c>
      <c r="Q110" s="29"/>
      <c r="R110" s="30"/>
      <c r="S110" s="35"/>
      <c r="T110" s="35">
        <f t="shared" si="10"/>
        <v>0</v>
      </c>
      <c r="U110" s="29"/>
      <c r="V110" s="35"/>
      <c r="X110" s="26">
        <v>0</v>
      </c>
      <c r="Y110" s="29"/>
      <c r="Z110" s="30"/>
      <c r="AB110" s="26">
        <v>0</v>
      </c>
      <c r="AC110" s="29"/>
      <c r="AF110" s="26">
        <v>0</v>
      </c>
      <c r="AG110" s="29"/>
      <c r="AH110" s="30"/>
      <c r="AJ110" s="26">
        <v>0</v>
      </c>
      <c r="AK110" s="29"/>
      <c r="AL110" s="30"/>
      <c r="AN110" s="26">
        <v>0</v>
      </c>
      <c r="AO110" s="29"/>
      <c r="AR110" s="26">
        <v>0</v>
      </c>
      <c r="AS110" s="29"/>
      <c r="AT110" s="30"/>
      <c r="AX110" s="26">
        <v>0</v>
      </c>
      <c r="AY110" s="29"/>
      <c r="AZ110" s="30"/>
      <c r="BB110" s="26">
        <v>0</v>
      </c>
      <c r="BC110" s="29"/>
      <c r="BH110" s="26">
        <v>0</v>
      </c>
      <c r="BI110" s="29"/>
      <c r="BL110" s="26">
        <v>0</v>
      </c>
      <c r="BM110" s="29"/>
      <c r="BN110" s="30"/>
      <c r="BP110" s="26">
        <v>0</v>
      </c>
      <c r="BQ110" s="29"/>
      <c r="BR110" s="30"/>
      <c r="BT110" s="26">
        <v>0</v>
      </c>
      <c r="BU110" s="29"/>
      <c r="BX110" s="26">
        <v>0</v>
      </c>
      <c r="BY110" s="29"/>
      <c r="BZ110" s="30"/>
      <c r="CC110" s="26">
        <v>0</v>
      </c>
      <c r="CD110" s="29"/>
      <c r="CE110" s="30"/>
      <c r="CI110" s="26">
        <v>0</v>
      </c>
      <c r="CJ110" s="29"/>
      <c r="CK110" s="30"/>
      <c r="CN110" s="26">
        <v>0</v>
      </c>
      <c r="CO110" s="29"/>
      <c r="CR110" s="26">
        <v>0</v>
      </c>
      <c r="CS110" s="29"/>
      <c r="CT110" s="34"/>
      <c r="CV110" s="26">
        <v>0</v>
      </c>
      <c r="CW110" s="29"/>
      <c r="CX110" s="30"/>
      <c r="CZ110" s="26">
        <v>0</v>
      </c>
      <c r="DA110" s="29"/>
      <c r="DB110" s="30"/>
      <c r="DD110" s="26">
        <v>0</v>
      </c>
      <c r="DE110" s="29"/>
      <c r="DH110" s="26">
        <v>0</v>
      </c>
      <c r="DI110" s="29"/>
      <c r="DL110" s="26">
        <v>0</v>
      </c>
      <c r="DM110" s="29"/>
      <c r="DN110" s="30"/>
      <c r="DQ110" s="26">
        <v>0</v>
      </c>
      <c r="DR110" s="29"/>
      <c r="DS110" s="30"/>
      <c r="DV110" s="26">
        <v>0</v>
      </c>
      <c r="DW110" s="29"/>
      <c r="DZ110" s="26">
        <v>0</v>
      </c>
      <c r="EA110" s="29"/>
      <c r="EB110" s="30"/>
      <c r="EF110">
        <v>44</v>
      </c>
      <c r="EG110" s="26">
        <v>-4</v>
      </c>
      <c r="EH110" s="29"/>
      <c r="EJ110" s="21">
        <v>36.200000000000003</v>
      </c>
      <c r="EK110" s="26">
        <v>-4.2000000000000028</v>
      </c>
      <c r="EL110" s="29"/>
      <c r="EM110" s="30"/>
      <c r="EQ110" s="26">
        <v>0</v>
      </c>
      <c r="ER110" s="29"/>
      <c r="ES110">
        <v>24</v>
      </c>
      <c r="ET110">
        <v>24</v>
      </c>
      <c r="EU110">
        <v>32</v>
      </c>
      <c r="EV110">
        <v>36</v>
      </c>
      <c r="EW110" s="26">
        <v>-4</v>
      </c>
      <c r="EX110" s="29"/>
      <c r="EY110">
        <v>8</v>
      </c>
      <c r="EZ110" s="31">
        <v>8</v>
      </c>
      <c r="FA110" s="26">
        <v>0</v>
      </c>
      <c r="FB110" s="29"/>
      <c r="FC110" s="28">
        <v>24</v>
      </c>
      <c r="FD110">
        <v>24</v>
      </c>
      <c r="FE110" s="26">
        <v>0</v>
      </c>
      <c r="FF110" s="29"/>
      <c r="FG110" s="28">
        <v>16</v>
      </c>
      <c r="FH110">
        <v>16</v>
      </c>
      <c r="FI110" s="26">
        <v>0</v>
      </c>
      <c r="FJ110" s="29"/>
      <c r="FK110">
        <v>32</v>
      </c>
      <c r="FL110">
        <v>32</v>
      </c>
      <c r="FM110" s="26">
        <v>0</v>
      </c>
      <c r="FN110" s="29"/>
      <c r="FO110" s="28">
        <v>8</v>
      </c>
      <c r="FP110">
        <v>8</v>
      </c>
      <c r="FQ110" s="26">
        <v>0</v>
      </c>
      <c r="FR110" s="29"/>
      <c r="FS110" s="30"/>
      <c r="FU110" s="26">
        <v>0</v>
      </c>
      <c r="FV110" s="29"/>
      <c r="FW110">
        <v>16</v>
      </c>
      <c r="FX110">
        <v>16</v>
      </c>
      <c r="FY110" s="26">
        <v>0</v>
      </c>
      <c r="FZ110" s="32"/>
      <c r="GC110" s="26">
        <v>0</v>
      </c>
      <c r="GD110" s="29"/>
      <c r="GE110">
        <v>32</v>
      </c>
      <c r="GF110">
        <v>32</v>
      </c>
      <c r="GG110" s="26">
        <v>0</v>
      </c>
      <c r="GH110" s="32"/>
      <c r="GK110" s="26">
        <v>0</v>
      </c>
      <c r="GL110" s="29"/>
      <c r="GO110" s="26">
        <v>0</v>
      </c>
      <c r="GP110" s="32"/>
      <c r="GS110" s="26">
        <v>0</v>
      </c>
      <c r="GT110" s="29"/>
      <c r="GU110" s="28">
        <v>8</v>
      </c>
      <c r="GV110" s="31">
        <v>8</v>
      </c>
      <c r="GW110" s="26">
        <v>0</v>
      </c>
      <c r="GX110" s="32"/>
      <c r="HA110" s="26">
        <v>0</v>
      </c>
      <c r="HB110" s="32"/>
      <c r="HE110" s="26">
        <v>0</v>
      </c>
      <c r="HF110" s="32"/>
      <c r="HI110" s="26">
        <v>0</v>
      </c>
      <c r="HJ110" s="29"/>
      <c r="HK110" s="27"/>
      <c r="HM110" s="27"/>
      <c r="HO110" s="26">
        <v>0</v>
      </c>
      <c r="HP110" s="32"/>
      <c r="HQ110" s="31">
        <v>0</v>
      </c>
      <c r="HR110" s="31">
        <v>0</v>
      </c>
      <c r="HS110" s="26">
        <v>0</v>
      </c>
      <c r="HT110" s="32"/>
      <c r="HU110" s="31">
        <v>0</v>
      </c>
      <c r="HV110" s="31">
        <v>0</v>
      </c>
      <c r="HW110" s="26">
        <v>0</v>
      </c>
      <c r="HX110" s="32"/>
      <c r="HY110" s="34">
        <v>0</v>
      </c>
      <c r="HZ110" s="31">
        <v>0</v>
      </c>
      <c r="IA110" s="26">
        <v>0</v>
      </c>
      <c r="IB110" s="32"/>
    </row>
    <row r="111" spans="1:236" x14ac:dyDescent="0.25">
      <c r="A111" s="26" t="s">
        <v>238</v>
      </c>
      <c r="B111" s="27">
        <v>0.35</v>
      </c>
      <c r="I111" s="30"/>
      <c r="J111" s="35"/>
      <c r="K111" s="35"/>
      <c r="L111" s="35">
        <f t="shared" si="8"/>
        <v>0</v>
      </c>
      <c r="M111" s="29"/>
      <c r="N111" s="30"/>
      <c r="O111" s="35"/>
      <c r="P111" s="35">
        <f t="shared" si="9"/>
        <v>0</v>
      </c>
      <c r="Q111" s="29"/>
      <c r="R111" s="30"/>
      <c r="S111" s="35"/>
      <c r="T111" s="35">
        <f t="shared" si="10"/>
        <v>0</v>
      </c>
      <c r="U111" s="29"/>
      <c r="V111" s="35"/>
      <c r="X111" s="26">
        <v>0</v>
      </c>
      <c r="Y111" s="29"/>
      <c r="Z111" s="30"/>
      <c r="AB111" s="26">
        <v>0</v>
      </c>
      <c r="AC111" s="29"/>
      <c r="AF111" s="26">
        <v>0</v>
      </c>
      <c r="AG111" s="29"/>
      <c r="AH111" s="30"/>
      <c r="AJ111" s="26">
        <v>0</v>
      </c>
      <c r="AK111" s="29"/>
      <c r="AL111" s="30"/>
      <c r="AN111" s="26">
        <v>0</v>
      </c>
      <c r="AO111" s="29"/>
      <c r="AR111" s="26">
        <v>0</v>
      </c>
      <c r="AS111" s="29"/>
      <c r="AT111" s="30"/>
      <c r="AX111" s="26">
        <v>0</v>
      </c>
      <c r="AY111" s="29"/>
      <c r="AZ111" s="30"/>
      <c r="BB111" s="26">
        <v>0</v>
      </c>
      <c r="BC111" s="29"/>
      <c r="BH111" s="26">
        <v>0</v>
      </c>
      <c r="BI111" s="29"/>
      <c r="BL111" s="26">
        <v>0</v>
      </c>
      <c r="BM111" s="29"/>
      <c r="BN111" s="30"/>
      <c r="BP111" s="26">
        <v>0</v>
      </c>
      <c r="BQ111" s="29"/>
      <c r="BR111" s="30"/>
      <c r="BT111" s="26">
        <v>0</v>
      </c>
      <c r="BU111" s="29"/>
      <c r="BX111" s="26">
        <v>0</v>
      </c>
      <c r="BY111" s="29"/>
      <c r="BZ111" s="30"/>
      <c r="CC111" s="26">
        <v>0</v>
      </c>
      <c r="CD111" s="29"/>
      <c r="CE111" s="30"/>
      <c r="CI111" s="26">
        <v>0</v>
      </c>
      <c r="CJ111" s="29"/>
      <c r="CK111" s="30"/>
      <c r="CN111" s="26">
        <v>0</v>
      </c>
      <c r="CO111" s="29"/>
      <c r="CR111" s="26">
        <v>0</v>
      </c>
      <c r="CS111" s="29"/>
      <c r="CT111" s="34"/>
      <c r="CV111" s="26">
        <v>0</v>
      </c>
      <c r="CW111" s="29"/>
      <c r="CX111" s="30"/>
      <c r="CZ111" s="26">
        <v>0</v>
      </c>
      <c r="DA111" s="29"/>
      <c r="DB111" s="30"/>
      <c r="DD111" s="26">
        <v>0</v>
      </c>
      <c r="DE111" s="29"/>
      <c r="DH111" s="26">
        <v>0</v>
      </c>
      <c r="DI111" s="29"/>
      <c r="DL111" s="26">
        <v>0</v>
      </c>
      <c r="DM111" s="29"/>
      <c r="DN111" s="30"/>
      <c r="DQ111" s="26">
        <v>0</v>
      </c>
      <c r="DR111" s="29"/>
      <c r="DS111" s="30"/>
      <c r="DV111" s="26">
        <v>0</v>
      </c>
      <c r="DW111" s="29"/>
      <c r="DZ111" s="26">
        <v>0</v>
      </c>
      <c r="EA111" s="29"/>
      <c r="EB111" s="30"/>
      <c r="EG111" s="26">
        <v>0</v>
      </c>
      <c r="EH111" s="29"/>
      <c r="EK111" s="26">
        <v>0</v>
      </c>
      <c r="EL111" s="29"/>
      <c r="EM111" s="30"/>
      <c r="EQ111" s="26">
        <v>0</v>
      </c>
      <c r="ER111" s="29"/>
      <c r="EW111" s="26">
        <v>0</v>
      </c>
      <c r="EX111" s="29"/>
      <c r="FA111" s="26">
        <v>0</v>
      </c>
      <c r="FB111" s="29"/>
      <c r="FC111" s="30"/>
      <c r="FE111" s="26">
        <v>0</v>
      </c>
      <c r="FF111" s="29"/>
      <c r="FG111" s="30"/>
      <c r="FI111" s="26">
        <v>0</v>
      </c>
      <c r="FJ111" s="29"/>
      <c r="FM111" s="26">
        <v>0</v>
      </c>
      <c r="FN111" s="29"/>
      <c r="FO111" s="30"/>
      <c r="FQ111" s="26">
        <v>0</v>
      </c>
      <c r="FR111" s="29"/>
      <c r="FS111" s="30"/>
      <c r="FU111" s="26">
        <v>0</v>
      </c>
      <c r="FV111" s="29"/>
      <c r="FY111" s="26">
        <v>0</v>
      </c>
      <c r="FZ111" s="32"/>
      <c r="GC111" s="26">
        <v>0</v>
      </c>
      <c r="GD111" s="29"/>
      <c r="GG111" s="26">
        <v>0</v>
      </c>
      <c r="GH111" s="32"/>
      <c r="GK111" s="26">
        <v>0</v>
      </c>
      <c r="GL111" s="29"/>
      <c r="GO111" s="26">
        <v>0</v>
      </c>
      <c r="GP111" s="32"/>
      <c r="GS111" s="26">
        <v>0</v>
      </c>
      <c r="GT111" s="29"/>
      <c r="GU111" s="34"/>
      <c r="GW111" s="26">
        <v>0</v>
      </c>
      <c r="GX111" s="32"/>
      <c r="HA111" s="26">
        <v>0</v>
      </c>
      <c r="HB111" s="32"/>
      <c r="HE111" s="26">
        <v>0</v>
      </c>
      <c r="HF111" s="32"/>
      <c r="HI111" s="26">
        <v>0</v>
      </c>
      <c r="HJ111" s="29"/>
      <c r="HK111" s="27"/>
      <c r="HM111" s="27"/>
      <c r="HO111" s="26">
        <v>0</v>
      </c>
      <c r="HP111" s="32"/>
      <c r="HQ111" s="31">
        <v>0</v>
      </c>
      <c r="HR111" s="31">
        <v>0</v>
      </c>
      <c r="HS111" s="26">
        <v>0</v>
      </c>
      <c r="HT111" s="32"/>
      <c r="HU111" s="31">
        <v>0</v>
      </c>
      <c r="HV111" s="31">
        <v>0</v>
      </c>
      <c r="HW111" s="26">
        <v>0</v>
      </c>
      <c r="HX111" s="32"/>
      <c r="HY111" s="34">
        <v>0</v>
      </c>
      <c r="HZ111" s="31">
        <v>0</v>
      </c>
      <c r="IA111" s="26">
        <v>0</v>
      </c>
      <c r="IB111" s="32"/>
    </row>
    <row r="112" spans="1:236" x14ac:dyDescent="0.25">
      <c r="A112" s="26" t="s">
        <v>239</v>
      </c>
      <c r="B112" s="27">
        <v>0.4</v>
      </c>
      <c r="I112" s="30"/>
      <c r="J112" s="35"/>
      <c r="K112" s="35"/>
      <c r="L112" s="35">
        <f t="shared" si="8"/>
        <v>0</v>
      </c>
      <c r="M112" s="29"/>
      <c r="N112" s="30"/>
      <c r="O112" s="35"/>
      <c r="P112" s="35">
        <f t="shared" si="9"/>
        <v>0</v>
      </c>
      <c r="Q112" s="29"/>
      <c r="R112" s="30"/>
      <c r="S112" s="35"/>
      <c r="T112" s="35">
        <f t="shared" si="10"/>
        <v>0</v>
      </c>
      <c r="U112" s="29"/>
      <c r="V112" s="35"/>
      <c r="X112" s="26">
        <v>0</v>
      </c>
      <c r="Y112" s="29"/>
      <c r="Z112" s="30"/>
      <c r="AB112" s="26">
        <v>0</v>
      </c>
      <c r="AC112" s="29"/>
      <c r="AF112" s="26">
        <v>0</v>
      </c>
      <c r="AG112" s="29"/>
      <c r="AH112" s="30"/>
      <c r="AJ112" s="26">
        <v>0</v>
      </c>
      <c r="AK112" s="29"/>
      <c r="AL112" s="30"/>
      <c r="AN112" s="26">
        <v>0</v>
      </c>
      <c r="AO112" s="29"/>
      <c r="AR112" s="26">
        <v>0</v>
      </c>
      <c r="AS112" s="29"/>
      <c r="AT112" s="30"/>
      <c r="AX112" s="26">
        <v>0</v>
      </c>
      <c r="AY112" s="29"/>
      <c r="AZ112" s="30"/>
      <c r="BB112" s="26">
        <v>0</v>
      </c>
      <c r="BC112" s="29"/>
      <c r="BH112" s="26">
        <v>0</v>
      </c>
      <c r="BI112" s="29"/>
      <c r="BL112" s="26">
        <v>0</v>
      </c>
      <c r="BM112" s="29"/>
      <c r="BN112" s="30"/>
      <c r="BP112" s="26">
        <v>0</v>
      </c>
      <c r="BQ112" s="29"/>
      <c r="BR112" s="30"/>
      <c r="BT112" s="26">
        <v>0</v>
      </c>
      <c r="BU112" s="29"/>
      <c r="BX112" s="26">
        <v>0</v>
      </c>
      <c r="BY112" s="29"/>
      <c r="BZ112" s="30"/>
      <c r="CC112" s="26">
        <v>0</v>
      </c>
      <c r="CD112" s="29"/>
      <c r="CE112" s="30"/>
      <c r="CI112" s="26">
        <v>0</v>
      </c>
      <c r="CJ112" s="29"/>
      <c r="CK112" s="30"/>
      <c r="CN112" s="26">
        <v>0</v>
      </c>
      <c r="CO112" s="29"/>
      <c r="CR112" s="26">
        <v>0</v>
      </c>
      <c r="CS112" s="29"/>
      <c r="CT112" s="34"/>
      <c r="CV112" s="26">
        <v>0</v>
      </c>
      <c r="CW112" s="29"/>
      <c r="CX112" s="30"/>
      <c r="CZ112" s="26">
        <v>0</v>
      </c>
      <c r="DA112" s="29"/>
      <c r="DB112" s="30"/>
      <c r="DD112" s="26">
        <v>0</v>
      </c>
      <c r="DE112" s="29"/>
      <c r="DH112" s="26">
        <v>0</v>
      </c>
      <c r="DI112" s="29"/>
      <c r="DL112" s="26">
        <v>0</v>
      </c>
      <c r="DM112" s="29"/>
      <c r="DN112" s="30"/>
      <c r="DQ112" s="26">
        <v>0</v>
      </c>
      <c r="DR112" s="29"/>
      <c r="DS112" s="30"/>
      <c r="DV112" s="26">
        <v>0</v>
      </c>
      <c r="DW112" s="29"/>
      <c r="DZ112" s="26">
        <v>0</v>
      </c>
      <c r="EA112" s="29"/>
      <c r="EB112" s="30"/>
      <c r="EG112" s="26">
        <v>0</v>
      </c>
      <c r="EH112" s="29"/>
      <c r="EK112" s="26">
        <v>0</v>
      </c>
      <c r="EL112" s="29"/>
      <c r="EM112" s="30"/>
      <c r="EQ112" s="26">
        <v>0</v>
      </c>
      <c r="ER112" s="29"/>
      <c r="EW112" s="26">
        <v>0</v>
      </c>
      <c r="EX112" s="29"/>
      <c r="FA112" s="26">
        <v>0</v>
      </c>
      <c r="FB112" s="29"/>
      <c r="FC112" s="30"/>
      <c r="FE112" s="26">
        <v>0</v>
      </c>
      <c r="FF112" s="29"/>
      <c r="FG112" s="30"/>
      <c r="FI112" s="26">
        <v>0</v>
      </c>
      <c r="FJ112" s="29"/>
      <c r="FM112" s="26">
        <v>0</v>
      </c>
      <c r="FN112" s="29"/>
      <c r="FO112" s="30"/>
      <c r="FQ112" s="26">
        <v>0</v>
      </c>
      <c r="FR112" s="29"/>
      <c r="FS112" s="30"/>
      <c r="FU112" s="26">
        <v>0</v>
      </c>
      <c r="FV112" s="29"/>
      <c r="FY112" s="26">
        <v>0</v>
      </c>
      <c r="FZ112" s="32"/>
      <c r="GC112" s="26">
        <v>0</v>
      </c>
      <c r="GD112" s="29"/>
      <c r="GE112">
        <v>80</v>
      </c>
      <c r="GF112">
        <v>80</v>
      </c>
      <c r="GG112" s="26">
        <v>0</v>
      </c>
      <c r="GH112" s="32"/>
      <c r="GJ112">
        <v>72</v>
      </c>
      <c r="GK112" s="25">
        <v>-72</v>
      </c>
      <c r="GL112" s="29">
        <v>28.8</v>
      </c>
      <c r="GO112" s="26">
        <v>0</v>
      </c>
      <c r="GP112" s="32"/>
      <c r="GS112" s="26">
        <v>0</v>
      </c>
      <c r="GT112" s="29"/>
      <c r="GU112" s="28">
        <v>60</v>
      </c>
      <c r="GV112" s="31">
        <v>60</v>
      </c>
      <c r="GW112" s="26">
        <v>0</v>
      </c>
      <c r="GX112" s="32"/>
      <c r="HA112" s="26">
        <v>0</v>
      </c>
      <c r="HB112" s="32"/>
      <c r="HC112">
        <v>60</v>
      </c>
      <c r="HD112">
        <v>58</v>
      </c>
      <c r="HE112" s="26">
        <v>-2</v>
      </c>
      <c r="HF112" s="32"/>
      <c r="HI112" s="26">
        <v>0</v>
      </c>
      <c r="HJ112" s="29"/>
      <c r="HK112" s="27"/>
      <c r="HM112">
        <v>20</v>
      </c>
      <c r="HN112">
        <v>22</v>
      </c>
      <c r="HO112" s="26">
        <v>-2</v>
      </c>
      <c r="HP112" s="32"/>
      <c r="HQ112" s="31">
        <v>0</v>
      </c>
      <c r="HR112" s="31">
        <v>0</v>
      </c>
      <c r="HS112" s="26">
        <v>0</v>
      </c>
      <c r="HT112" s="32"/>
      <c r="HU112" s="31">
        <v>0</v>
      </c>
      <c r="HV112" s="31">
        <v>0</v>
      </c>
      <c r="HW112" s="26">
        <v>0</v>
      </c>
      <c r="HX112" s="32"/>
      <c r="HY112" s="34">
        <v>0</v>
      </c>
      <c r="HZ112" s="31">
        <v>0</v>
      </c>
      <c r="IA112" s="26">
        <v>0</v>
      </c>
      <c r="IB112" s="32"/>
    </row>
    <row r="113" spans="1:236" x14ac:dyDescent="0.25">
      <c r="A113" s="26" t="s">
        <v>240</v>
      </c>
      <c r="B113" s="27">
        <v>0.16</v>
      </c>
      <c r="I113" s="30"/>
      <c r="J113" s="35"/>
      <c r="K113" s="35"/>
      <c r="L113" s="35">
        <f t="shared" si="8"/>
        <v>0</v>
      </c>
      <c r="M113" s="29"/>
      <c r="N113" s="30"/>
      <c r="O113" s="35"/>
      <c r="P113" s="35">
        <f t="shared" si="9"/>
        <v>0</v>
      </c>
      <c r="Q113" s="29"/>
      <c r="R113" s="30"/>
      <c r="S113" s="35"/>
      <c r="T113" s="35">
        <f t="shared" si="10"/>
        <v>0</v>
      </c>
      <c r="U113" s="29"/>
      <c r="V113" s="35"/>
      <c r="X113" s="26">
        <v>0</v>
      </c>
      <c r="Y113" s="29"/>
      <c r="Z113" s="30"/>
      <c r="AB113" s="26">
        <v>0</v>
      </c>
      <c r="AC113" s="29"/>
      <c r="AF113" s="26">
        <v>0</v>
      </c>
      <c r="AG113" s="29"/>
      <c r="AH113" s="30"/>
      <c r="AJ113" s="26">
        <v>0</v>
      </c>
      <c r="AK113" s="29"/>
      <c r="AL113" s="30"/>
      <c r="AN113" s="26">
        <v>0</v>
      </c>
      <c r="AO113" s="29"/>
      <c r="AR113" s="26">
        <v>0</v>
      </c>
      <c r="AS113" s="29"/>
      <c r="AT113" s="30"/>
      <c r="AX113" s="26">
        <v>0</v>
      </c>
      <c r="AY113" s="29"/>
      <c r="AZ113" s="30"/>
      <c r="BB113" s="26">
        <v>0</v>
      </c>
      <c r="BC113" s="29"/>
      <c r="BH113" s="26">
        <v>0</v>
      </c>
      <c r="BI113" s="29"/>
      <c r="BL113" s="26">
        <v>0</v>
      </c>
      <c r="BM113" s="29"/>
      <c r="BN113" s="30"/>
      <c r="BP113" s="26">
        <v>0</v>
      </c>
      <c r="BQ113" s="29"/>
      <c r="BR113" s="30"/>
      <c r="BT113" s="26">
        <v>0</v>
      </c>
      <c r="BU113" s="29"/>
      <c r="BX113" s="26">
        <v>0</v>
      </c>
      <c r="BY113" s="29"/>
      <c r="BZ113" s="30"/>
      <c r="CC113" s="26">
        <v>0</v>
      </c>
      <c r="CD113" s="29"/>
      <c r="CE113" s="30"/>
      <c r="CI113" s="26">
        <v>0</v>
      </c>
      <c r="CJ113" s="29"/>
      <c r="CK113" s="30"/>
      <c r="CN113" s="26">
        <v>0</v>
      </c>
      <c r="CO113" s="29"/>
      <c r="CR113" s="26">
        <v>0</v>
      </c>
      <c r="CS113" s="29"/>
      <c r="CT113" s="34"/>
      <c r="CV113" s="26">
        <v>0</v>
      </c>
      <c r="CW113" s="29"/>
      <c r="CX113" s="30"/>
      <c r="CZ113" s="26">
        <v>0</v>
      </c>
      <c r="DA113" s="29"/>
      <c r="DB113" s="30"/>
      <c r="DD113" s="26">
        <v>0</v>
      </c>
      <c r="DE113" s="29"/>
      <c r="DH113" s="26">
        <v>0</v>
      </c>
      <c r="DI113" s="29"/>
      <c r="DL113" s="26">
        <v>0</v>
      </c>
      <c r="DM113" s="29"/>
      <c r="DN113" s="30"/>
      <c r="DQ113" s="26">
        <v>0</v>
      </c>
      <c r="DR113" s="29"/>
      <c r="DS113" s="30"/>
      <c r="DV113" s="26">
        <v>0</v>
      </c>
      <c r="DW113" s="29"/>
      <c r="DZ113" s="26">
        <v>0</v>
      </c>
      <c r="EA113" s="29"/>
      <c r="EB113" s="30"/>
      <c r="EG113" s="26">
        <v>0</v>
      </c>
      <c r="EH113" s="29"/>
      <c r="EK113" s="26">
        <v>0</v>
      </c>
      <c r="EL113" s="29"/>
      <c r="EM113" s="30"/>
      <c r="EQ113" s="26">
        <v>0</v>
      </c>
      <c r="ER113" s="29"/>
      <c r="EW113" s="26">
        <v>0</v>
      </c>
      <c r="EX113" s="29"/>
      <c r="FA113" s="26">
        <v>0</v>
      </c>
      <c r="FB113" s="29"/>
      <c r="FC113" s="30"/>
      <c r="FE113" s="26">
        <v>0</v>
      </c>
      <c r="FF113" s="29"/>
      <c r="FG113" s="30"/>
      <c r="FI113" s="26">
        <v>0</v>
      </c>
      <c r="FJ113" s="29"/>
      <c r="FM113" s="26">
        <v>0</v>
      </c>
      <c r="FN113" s="29"/>
      <c r="FO113" s="30"/>
      <c r="FQ113" s="26">
        <v>0</v>
      </c>
      <c r="FR113" s="29"/>
      <c r="FS113" s="30"/>
      <c r="FU113" s="26">
        <v>0</v>
      </c>
      <c r="FV113" s="29"/>
      <c r="FY113" s="26">
        <v>0</v>
      </c>
      <c r="FZ113" s="32"/>
      <c r="GC113" s="26">
        <v>0</v>
      </c>
      <c r="GD113" s="29"/>
      <c r="GG113" s="26">
        <v>0</v>
      </c>
      <c r="GH113" s="32"/>
      <c r="GK113" s="26">
        <v>0</v>
      </c>
      <c r="GL113" s="29"/>
      <c r="GO113" s="26">
        <v>0</v>
      </c>
      <c r="GP113" s="32"/>
      <c r="GS113" s="26">
        <v>0</v>
      </c>
      <c r="GT113" s="29"/>
      <c r="GU113" s="34"/>
      <c r="GW113" s="26">
        <v>0</v>
      </c>
      <c r="GX113" s="32"/>
      <c r="HA113" s="26">
        <v>0</v>
      </c>
      <c r="HB113" s="32"/>
      <c r="HE113" s="26">
        <v>0</v>
      </c>
      <c r="HF113" s="32"/>
      <c r="HI113" s="26">
        <v>0</v>
      </c>
      <c r="HJ113" s="29"/>
      <c r="HK113" s="27"/>
      <c r="HM113" s="27"/>
      <c r="HO113" s="26">
        <v>0</v>
      </c>
      <c r="HP113" s="32"/>
      <c r="HQ113" s="31">
        <v>0</v>
      </c>
      <c r="HR113" s="31">
        <v>0</v>
      </c>
      <c r="HS113" s="26">
        <v>0</v>
      </c>
      <c r="HT113" s="32"/>
      <c r="HU113" s="31">
        <v>0</v>
      </c>
      <c r="HV113" s="31">
        <v>0</v>
      </c>
      <c r="HW113" s="26">
        <v>0</v>
      </c>
      <c r="HX113" s="32"/>
      <c r="HY113" s="34">
        <v>0</v>
      </c>
      <c r="HZ113" s="31">
        <v>0</v>
      </c>
      <c r="IA113" s="26">
        <v>0</v>
      </c>
      <c r="IB113" s="32"/>
    </row>
    <row r="114" spans="1:236" x14ac:dyDescent="0.25">
      <c r="A114" s="26" t="s">
        <v>241</v>
      </c>
      <c r="B114" s="27">
        <v>0.5</v>
      </c>
      <c r="I114" s="30"/>
      <c r="J114" s="35"/>
      <c r="K114" s="35"/>
      <c r="L114" s="35">
        <f t="shared" si="8"/>
        <v>0</v>
      </c>
      <c r="M114" s="29"/>
      <c r="N114" s="30"/>
      <c r="O114" s="35"/>
      <c r="P114" s="35">
        <f t="shared" si="9"/>
        <v>0</v>
      </c>
      <c r="Q114" s="29"/>
      <c r="R114" s="30"/>
      <c r="S114" s="35"/>
      <c r="T114" s="35">
        <f t="shared" si="10"/>
        <v>0</v>
      </c>
      <c r="U114" s="29"/>
      <c r="V114" s="35"/>
      <c r="X114" s="26">
        <v>0</v>
      </c>
      <c r="Y114" s="29"/>
      <c r="Z114" s="30"/>
      <c r="AB114" s="26">
        <v>0</v>
      </c>
      <c r="AC114" s="29"/>
      <c r="AF114" s="26">
        <v>0</v>
      </c>
      <c r="AG114" s="29"/>
      <c r="AH114" s="30"/>
      <c r="AJ114" s="26">
        <v>0</v>
      </c>
      <c r="AK114" s="29"/>
      <c r="AL114" s="30"/>
      <c r="AN114" s="26">
        <v>0</v>
      </c>
      <c r="AO114" s="29"/>
      <c r="AR114" s="26">
        <v>0</v>
      </c>
      <c r="AS114" s="29"/>
      <c r="AT114" s="30"/>
      <c r="AX114" s="26">
        <v>0</v>
      </c>
      <c r="AY114" s="29"/>
      <c r="AZ114" s="30"/>
      <c r="BB114" s="26">
        <v>0</v>
      </c>
      <c r="BC114" s="29"/>
      <c r="BH114" s="26">
        <v>0</v>
      </c>
      <c r="BI114" s="29"/>
      <c r="BL114" s="26">
        <v>0</v>
      </c>
      <c r="BM114" s="29"/>
      <c r="BN114" s="30"/>
      <c r="BP114" s="26">
        <v>0</v>
      </c>
      <c r="BQ114" s="29"/>
      <c r="BR114" s="30"/>
      <c r="BT114" s="26">
        <v>0</v>
      </c>
      <c r="BU114" s="29"/>
      <c r="BX114" s="26">
        <v>0</v>
      </c>
      <c r="BY114" s="29"/>
      <c r="BZ114" s="30"/>
      <c r="CC114" s="26">
        <v>0</v>
      </c>
      <c r="CD114" s="29"/>
      <c r="CE114" s="30"/>
      <c r="CI114" s="26">
        <v>0</v>
      </c>
      <c r="CJ114" s="29"/>
      <c r="CK114" s="30"/>
      <c r="CN114" s="26">
        <v>0</v>
      </c>
      <c r="CO114" s="29"/>
      <c r="CR114" s="26">
        <v>0</v>
      </c>
      <c r="CS114" s="29"/>
      <c r="CT114" s="34"/>
      <c r="CV114" s="26">
        <v>0</v>
      </c>
      <c r="CW114" s="29"/>
      <c r="CX114" s="30"/>
      <c r="CZ114" s="26">
        <v>0</v>
      </c>
      <c r="DA114" s="29"/>
      <c r="DB114" s="30"/>
      <c r="DD114" s="26">
        <v>0</v>
      </c>
      <c r="DE114" s="29"/>
      <c r="DH114" s="26">
        <v>0</v>
      </c>
      <c r="DI114" s="29"/>
      <c r="DL114" s="26">
        <v>0</v>
      </c>
      <c r="DM114" s="29"/>
      <c r="DN114" s="30"/>
      <c r="DQ114" s="26">
        <v>0</v>
      </c>
      <c r="DR114" s="29"/>
      <c r="DS114" s="30"/>
      <c r="DV114" s="26">
        <v>0</v>
      </c>
      <c r="DW114" s="29"/>
      <c r="DZ114" s="26">
        <v>0</v>
      </c>
      <c r="EA114" s="29"/>
      <c r="EB114" s="30"/>
      <c r="EG114" s="26">
        <v>0</v>
      </c>
      <c r="EH114" s="29"/>
      <c r="EK114" s="26">
        <v>0</v>
      </c>
      <c r="EL114" s="29"/>
      <c r="EM114" s="30"/>
      <c r="EQ114" s="26">
        <v>0</v>
      </c>
      <c r="ER114" s="29"/>
      <c r="EW114" s="26">
        <v>0</v>
      </c>
      <c r="EX114" s="29"/>
      <c r="FA114" s="26">
        <v>0</v>
      </c>
      <c r="FB114" s="29"/>
      <c r="FC114" s="30"/>
      <c r="FE114" s="26">
        <v>0</v>
      </c>
      <c r="FF114" s="29"/>
      <c r="FG114" s="30"/>
      <c r="FI114" s="26">
        <v>0</v>
      </c>
      <c r="FJ114" s="29"/>
      <c r="FM114" s="26">
        <v>0</v>
      </c>
      <c r="FN114" s="29"/>
      <c r="FO114" s="30"/>
      <c r="FQ114" s="26">
        <v>0</v>
      </c>
      <c r="FR114" s="29"/>
      <c r="FS114" s="30"/>
      <c r="FU114" s="26">
        <v>0</v>
      </c>
      <c r="FV114" s="29"/>
      <c r="FY114" s="26">
        <v>0</v>
      </c>
      <c r="FZ114" s="32"/>
      <c r="GC114" s="26">
        <v>0</v>
      </c>
      <c r="GD114" s="29"/>
      <c r="GG114" s="26">
        <v>0</v>
      </c>
      <c r="GH114" s="32"/>
      <c r="GK114" s="26">
        <v>0</v>
      </c>
      <c r="GL114" s="29"/>
      <c r="GO114" s="26">
        <v>0</v>
      </c>
      <c r="GP114" s="32"/>
      <c r="GS114" s="26">
        <v>0</v>
      </c>
      <c r="GT114" s="29"/>
      <c r="GU114" s="34"/>
      <c r="GW114" s="26">
        <v>0</v>
      </c>
      <c r="GX114" s="32"/>
      <c r="HA114" s="26">
        <v>0</v>
      </c>
      <c r="HB114" s="32"/>
      <c r="HE114" s="26">
        <v>0</v>
      </c>
      <c r="HF114" s="32"/>
      <c r="HI114" s="26">
        <v>0</v>
      </c>
      <c r="HJ114" s="29"/>
      <c r="HK114" s="27"/>
      <c r="HM114" s="27"/>
      <c r="HO114" s="26">
        <v>0</v>
      </c>
      <c r="HP114" s="32"/>
      <c r="HQ114" s="31">
        <v>0</v>
      </c>
      <c r="HR114" s="31">
        <v>0</v>
      </c>
      <c r="HS114" s="26">
        <v>0</v>
      </c>
      <c r="HT114" s="32"/>
      <c r="HU114" s="31">
        <v>0</v>
      </c>
      <c r="HV114" s="31">
        <v>0</v>
      </c>
      <c r="HW114" s="26">
        <v>0</v>
      </c>
      <c r="HX114" s="32"/>
      <c r="HY114" s="34">
        <v>0</v>
      </c>
      <c r="HZ114" s="31">
        <v>0</v>
      </c>
      <c r="IA114" s="26">
        <v>0</v>
      </c>
      <c r="IB114" s="32"/>
    </row>
    <row r="115" spans="1:236" x14ac:dyDescent="0.25">
      <c r="A115" s="26" t="s">
        <v>242</v>
      </c>
      <c r="B115" s="27">
        <v>0.33</v>
      </c>
      <c r="E115">
        <v>32</v>
      </c>
      <c r="F115">
        <v>43</v>
      </c>
      <c r="I115" s="30"/>
      <c r="J115" s="35"/>
      <c r="K115" s="35"/>
      <c r="L115" s="35">
        <f t="shared" si="8"/>
        <v>0</v>
      </c>
      <c r="M115" s="29"/>
      <c r="N115" s="28">
        <v>96</v>
      </c>
      <c r="O115" s="36">
        <v>98</v>
      </c>
      <c r="P115" s="35">
        <f t="shared" si="9"/>
        <v>-2</v>
      </c>
      <c r="Q115" s="29"/>
      <c r="R115" s="30"/>
      <c r="S115" s="35"/>
      <c r="T115" s="35">
        <f t="shared" si="10"/>
        <v>0</v>
      </c>
      <c r="U115" s="29"/>
      <c r="V115" s="36">
        <v>80</v>
      </c>
      <c r="W115">
        <v>78</v>
      </c>
      <c r="X115" s="26">
        <v>2</v>
      </c>
      <c r="Y115" s="29"/>
      <c r="Z115" s="28">
        <v>8</v>
      </c>
      <c r="AA115">
        <v>8</v>
      </c>
      <c r="AB115" s="26">
        <v>0</v>
      </c>
      <c r="AC115" s="29"/>
      <c r="AD115">
        <v>40</v>
      </c>
      <c r="AE115">
        <v>45</v>
      </c>
      <c r="AF115" s="26">
        <v>-5</v>
      </c>
      <c r="AG115" s="29"/>
      <c r="AH115" s="30"/>
      <c r="AJ115" s="26">
        <v>0</v>
      </c>
      <c r="AK115" s="29"/>
      <c r="AL115" s="28">
        <v>32</v>
      </c>
      <c r="AM115">
        <v>36</v>
      </c>
      <c r="AN115" s="26">
        <v>-4</v>
      </c>
      <c r="AO115" s="29"/>
      <c r="AR115" s="26">
        <v>0</v>
      </c>
      <c r="AS115" s="29"/>
      <c r="AT115" s="30"/>
      <c r="AX115" s="26">
        <v>0</v>
      </c>
      <c r="AY115" s="29"/>
      <c r="AZ115" s="28">
        <v>32</v>
      </c>
      <c r="BA115">
        <v>34</v>
      </c>
      <c r="BB115" s="26">
        <v>-2</v>
      </c>
      <c r="BC115" s="29"/>
      <c r="BH115" s="26">
        <v>0</v>
      </c>
      <c r="BI115" s="29"/>
      <c r="BL115" s="26">
        <v>0</v>
      </c>
      <c r="BM115" s="29"/>
      <c r="BN115" s="28">
        <v>24</v>
      </c>
      <c r="BO115">
        <v>27</v>
      </c>
      <c r="BP115" s="26">
        <v>-3</v>
      </c>
      <c r="BQ115" s="29"/>
      <c r="BR115" s="30"/>
      <c r="BT115" s="26">
        <v>0</v>
      </c>
      <c r="BU115" s="29"/>
      <c r="BX115" s="26">
        <v>0</v>
      </c>
      <c r="BY115" s="29"/>
      <c r="BZ115" s="28">
        <v>24</v>
      </c>
      <c r="CB115">
        <v>23</v>
      </c>
      <c r="CC115" s="26">
        <v>1</v>
      </c>
      <c r="CD115" s="29"/>
      <c r="CE115" s="30"/>
      <c r="CI115" s="26">
        <v>0</v>
      </c>
      <c r="CJ115" s="29"/>
      <c r="CK115" s="30"/>
      <c r="CN115" s="26">
        <v>0</v>
      </c>
      <c r="CO115" s="29"/>
      <c r="CP115">
        <v>24</v>
      </c>
      <c r="CQ115" s="26">
        <v>21.8</v>
      </c>
      <c r="CR115" s="26">
        <v>2.1999999999999988</v>
      </c>
      <c r="CS115" s="29"/>
      <c r="CT115" s="34"/>
      <c r="CV115" s="26">
        <v>0</v>
      </c>
      <c r="CW115" s="29"/>
      <c r="CX115" s="30"/>
      <c r="CZ115" s="26">
        <v>0</v>
      </c>
      <c r="DA115" s="29"/>
      <c r="DB115" s="28">
        <v>16</v>
      </c>
      <c r="DC115">
        <v>14</v>
      </c>
      <c r="DD115" s="26">
        <v>2</v>
      </c>
      <c r="DE115" s="29"/>
      <c r="DH115" s="26">
        <v>0</v>
      </c>
      <c r="DI115" s="29"/>
      <c r="DJ115">
        <v>24</v>
      </c>
      <c r="DK115">
        <v>24</v>
      </c>
      <c r="DL115" s="26">
        <v>0</v>
      </c>
      <c r="DM115" s="29"/>
      <c r="DN115" s="30"/>
      <c r="DQ115" s="26">
        <v>0</v>
      </c>
      <c r="DR115" s="29"/>
      <c r="DS115" s="30"/>
      <c r="DV115" s="26">
        <v>0</v>
      </c>
      <c r="DW115" s="29"/>
      <c r="DX115">
        <v>32</v>
      </c>
      <c r="DY115" s="31">
        <v>30.8</v>
      </c>
      <c r="DZ115" s="26">
        <v>1.1999999999999991</v>
      </c>
      <c r="EA115" s="29"/>
      <c r="EB115" s="30"/>
      <c r="EG115" s="26">
        <v>0</v>
      </c>
      <c r="EH115" s="29"/>
      <c r="EK115" s="26">
        <v>0</v>
      </c>
      <c r="EL115" s="29"/>
      <c r="EM115" s="30"/>
      <c r="EQ115" s="26">
        <v>0</v>
      </c>
      <c r="ER115" s="29"/>
      <c r="EU115">
        <v>32</v>
      </c>
      <c r="EV115">
        <v>32</v>
      </c>
      <c r="EW115" s="26">
        <v>0</v>
      </c>
      <c r="EX115" s="29"/>
      <c r="EY115">
        <v>8</v>
      </c>
      <c r="EZ115" s="31">
        <v>8</v>
      </c>
      <c r="FA115" s="26">
        <v>0</v>
      </c>
      <c r="FB115" s="29"/>
      <c r="FC115" s="28">
        <v>16</v>
      </c>
      <c r="FD115">
        <v>15</v>
      </c>
      <c r="FE115" s="26">
        <v>1</v>
      </c>
      <c r="FF115" s="29"/>
      <c r="FG115" s="30"/>
      <c r="FI115" s="26">
        <v>0</v>
      </c>
      <c r="FJ115" s="29"/>
      <c r="FK115">
        <v>8</v>
      </c>
      <c r="FL115">
        <v>8</v>
      </c>
      <c r="FM115" s="26">
        <v>0</v>
      </c>
      <c r="FN115" s="29"/>
      <c r="FO115" s="28">
        <v>8</v>
      </c>
      <c r="FP115">
        <v>8</v>
      </c>
      <c r="FQ115" s="26">
        <v>0</v>
      </c>
      <c r="FR115" s="29"/>
      <c r="FS115" s="30"/>
      <c r="FU115" s="26">
        <v>0</v>
      </c>
      <c r="FV115" s="29"/>
      <c r="FY115" s="26">
        <v>0</v>
      </c>
      <c r="FZ115" s="32"/>
      <c r="GA115">
        <v>8</v>
      </c>
      <c r="GB115">
        <v>8</v>
      </c>
      <c r="GC115" s="26">
        <v>0</v>
      </c>
      <c r="GD115" s="29"/>
      <c r="GG115" s="26">
        <v>0</v>
      </c>
      <c r="GH115" s="32"/>
      <c r="GK115" s="26">
        <v>0</v>
      </c>
      <c r="GL115" s="29"/>
      <c r="GM115">
        <v>8</v>
      </c>
      <c r="GN115">
        <v>8</v>
      </c>
      <c r="GO115" s="26">
        <v>0</v>
      </c>
      <c r="GP115" s="32"/>
      <c r="GS115" s="26">
        <v>0</v>
      </c>
      <c r="GT115" s="29"/>
      <c r="GU115" s="34"/>
      <c r="GW115" s="26">
        <v>0</v>
      </c>
      <c r="GX115" s="32"/>
      <c r="HA115" s="26">
        <v>0</v>
      </c>
      <c r="HB115" s="32"/>
      <c r="HE115" s="26">
        <v>0</v>
      </c>
      <c r="HF115" s="32"/>
      <c r="HI115" s="26">
        <v>0</v>
      </c>
      <c r="HJ115" s="29"/>
      <c r="HK115" s="27"/>
      <c r="HM115" s="27"/>
      <c r="HO115" s="26">
        <v>0</v>
      </c>
      <c r="HP115" s="32"/>
      <c r="HQ115" s="31">
        <v>48</v>
      </c>
      <c r="HR115" s="31">
        <v>50</v>
      </c>
      <c r="HS115" s="26">
        <v>-2</v>
      </c>
      <c r="HT115" s="32"/>
      <c r="HX115" s="32"/>
      <c r="HY115" s="34"/>
      <c r="IB115" s="32"/>
    </row>
    <row r="116" spans="1:236" x14ac:dyDescent="0.25">
      <c r="A116" s="26" t="s">
        <v>243</v>
      </c>
      <c r="B116" s="27">
        <v>1</v>
      </c>
      <c r="I116" s="30"/>
      <c r="J116" s="35"/>
      <c r="K116" s="35"/>
      <c r="L116" s="35">
        <f t="shared" si="8"/>
        <v>0</v>
      </c>
      <c r="M116" s="29"/>
      <c r="N116" s="30"/>
      <c r="O116" s="35"/>
      <c r="P116" s="35">
        <f t="shared" si="9"/>
        <v>0</v>
      </c>
      <c r="Q116" s="29"/>
      <c r="R116" s="30"/>
      <c r="S116" s="35"/>
      <c r="T116" s="35">
        <f t="shared" si="10"/>
        <v>0</v>
      </c>
      <c r="U116" s="29"/>
      <c r="V116" s="35"/>
      <c r="X116" s="26">
        <v>0</v>
      </c>
      <c r="Y116" s="29"/>
      <c r="Z116" s="30"/>
      <c r="AB116" s="26">
        <v>0</v>
      </c>
      <c r="AC116" s="29"/>
      <c r="AF116" s="26">
        <v>0</v>
      </c>
      <c r="AG116" s="29"/>
      <c r="AH116" s="30"/>
      <c r="AJ116" s="26">
        <v>0</v>
      </c>
      <c r="AK116" s="29"/>
      <c r="AL116" s="30"/>
      <c r="AN116" s="26">
        <v>0</v>
      </c>
      <c r="AO116" s="29"/>
      <c r="AR116" s="26">
        <v>0</v>
      </c>
      <c r="AS116" s="29"/>
      <c r="AT116" s="30"/>
      <c r="AX116" s="26">
        <v>0</v>
      </c>
      <c r="AY116" s="29"/>
      <c r="AZ116" s="30"/>
      <c r="BB116" s="26">
        <v>0</v>
      </c>
      <c r="BC116" s="29"/>
      <c r="BH116" s="26">
        <v>0</v>
      </c>
      <c r="BI116" s="29"/>
      <c r="BL116" s="26">
        <v>0</v>
      </c>
      <c r="BM116" s="29"/>
      <c r="BN116" s="30"/>
      <c r="BP116" s="26">
        <v>0</v>
      </c>
      <c r="BQ116" s="29"/>
      <c r="BR116" s="30"/>
      <c r="BT116" s="26">
        <v>0</v>
      </c>
      <c r="BU116" s="29"/>
      <c r="BX116" s="26">
        <v>0</v>
      </c>
      <c r="BY116" s="29"/>
      <c r="BZ116" s="30"/>
      <c r="CC116" s="26">
        <v>0</v>
      </c>
      <c r="CD116" s="29"/>
      <c r="CE116" s="30"/>
      <c r="CI116" s="26">
        <v>0</v>
      </c>
      <c r="CJ116" s="29"/>
      <c r="CK116" s="30"/>
      <c r="CN116" s="26">
        <v>0</v>
      </c>
      <c r="CO116" s="29"/>
      <c r="CR116" s="26">
        <v>0</v>
      </c>
      <c r="CS116" s="29"/>
      <c r="CT116" s="34"/>
      <c r="CV116" s="26">
        <v>0</v>
      </c>
      <c r="CW116" s="29"/>
      <c r="CX116" s="30"/>
      <c r="CZ116" s="26">
        <v>0</v>
      </c>
      <c r="DA116" s="29"/>
      <c r="DB116" s="30"/>
      <c r="DD116" s="26">
        <v>0</v>
      </c>
      <c r="DE116" s="29"/>
      <c r="DH116" s="26">
        <v>0</v>
      </c>
      <c r="DI116" s="29"/>
      <c r="DL116" s="26">
        <v>0</v>
      </c>
      <c r="DM116" s="29"/>
      <c r="DN116" s="30"/>
      <c r="DQ116" s="26">
        <v>0</v>
      </c>
      <c r="DR116" s="29"/>
      <c r="DS116" s="30"/>
      <c r="DV116" s="26">
        <v>0</v>
      </c>
      <c r="DW116" s="29"/>
      <c r="DZ116" s="26">
        <v>0</v>
      </c>
      <c r="EA116" s="29"/>
      <c r="EB116" s="30"/>
      <c r="EG116" s="26">
        <v>0</v>
      </c>
      <c r="EH116" s="29"/>
      <c r="EK116" s="26">
        <v>0</v>
      </c>
      <c r="EL116" s="29"/>
      <c r="EM116" s="30"/>
      <c r="EQ116" s="26">
        <v>0</v>
      </c>
      <c r="ER116" s="29"/>
      <c r="EW116" s="26">
        <v>0</v>
      </c>
      <c r="EX116" s="29"/>
      <c r="FA116" s="26">
        <v>0</v>
      </c>
      <c r="FB116" s="29"/>
      <c r="FC116" s="30"/>
      <c r="FE116" s="26">
        <v>0</v>
      </c>
      <c r="FF116" s="29"/>
      <c r="FG116" s="30"/>
      <c r="FI116" s="26">
        <v>0</v>
      </c>
      <c r="FJ116" s="29"/>
      <c r="FM116" s="26">
        <v>0</v>
      </c>
      <c r="FN116" s="29"/>
      <c r="FO116" s="30"/>
      <c r="FQ116" s="26">
        <v>0</v>
      </c>
      <c r="FR116" s="29"/>
      <c r="FS116" s="30"/>
      <c r="FU116" s="26">
        <v>0</v>
      </c>
      <c r="FV116" s="29"/>
      <c r="FY116" s="26">
        <v>0</v>
      </c>
      <c r="FZ116" s="32"/>
      <c r="GC116" s="26">
        <v>0</v>
      </c>
      <c r="GD116" s="29"/>
      <c r="GG116" s="26">
        <v>0</v>
      </c>
      <c r="GH116" s="32"/>
      <c r="GK116" s="26">
        <v>0</v>
      </c>
      <c r="GL116" s="29"/>
      <c r="GO116" s="26">
        <v>0</v>
      </c>
      <c r="GP116" s="32"/>
      <c r="GS116" s="26">
        <v>0</v>
      </c>
      <c r="GT116" s="29"/>
      <c r="GU116" s="34"/>
      <c r="GW116" s="26">
        <v>0</v>
      </c>
      <c r="GX116" s="32"/>
      <c r="HA116" s="26">
        <v>0</v>
      </c>
      <c r="HB116" s="32"/>
      <c r="HE116" s="26">
        <v>0</v>
      </c>
      <c r="HF116" s="32"/>
      <c r="HI116" s="26">
        <v>0</v>
      </c>
      <c r="HJ116" s="29"/>
      <c r="HK116" s="27"/>
      <c r="HM116" s="27"/>
      <c r="HO116" s="26">
        <v>0</v>
      </c>
      <c r="HP116" s="32"/>
      <c r="HQ116" s="31">
        <v>0</v>
      </c>
      <c r="HR116" s="31">
        <v>0</v>
      </c>
      <c r="HS116" s="26">
        <v>0</v>
      </c>
      <c r="HT116" s="32"/>
      <c r="HU116" s="31">
        <v>0</v>
      </c>
      <c r="HV116" s="31">
        <v>0</v>
      </c>
      <c r="HW116" s="26">
        <v>0</v>
      </c>
      <c r="HX116" s="32"/>
      <c r="HY116" s="34">
        <v>0</v>
      </c>
      <c r="HZ116" s="31">
        <v>0</v>
      </c>
      <c r="IA116" s="26">
        <v>0</v>
      </c>
      <c r="IB116" s="32"/>
    </row>
    <row r="117" spans="1:236" x14ac:dyDescent="0.25">
      <c r="A117" s="26" t="s">
        <v>244</v>
      </c>
      <c r="B117" s="27">
        <v>0.33</v>
      </c>
      <c r="E117">
        <v>8</v>
      </c>
      <c r="I117" s="30"/>
      <c r="J117" s="35"/>
      <c r="K117" s="36">
        <v>43</v>
      </c>
      <c r="L117" s="40">
        <f t="shared" si="8"/>
        <v>-43</v>
      </c>
      <c r="M117" s="29">
        <f>-1*L117*B117</f>
        <v>14.190000000000001</v>
      </c>
      <c r="N117" s="30"/>
      <c r="O117" s="35"/>
      <c r="P117" s="35">
        <f t="shared" si="9"/>
        <v>0</v>
      </c>
      <c r="Q117" s="29"/>
      <c r="R117" s="28">
        <v>24</v>
      </c>
      <c r="S117" s="36">
        <v>28</v>
      </c>
      <c r="T117" s="35">
        <f t="shared" si="10"/>
        <v>-4</v>
      </c>
      <c r="U117" s="29"/>
      <c r="V117" s="35"/>
      <c r="W117">
        <v>34</v>
      </c>
      <c r="X117" s="25">
        <v>-34</v>
      </c>
      <c r="Y117" s="29">
        <v>11.22</v>
      </c>
      <c r="Z117" s="28">
        <v>8</v>
      </c>
      <c r="AA117">
        <v>8</v>
      </c>
      <c r="AB117" s="26">
        <v>0</v>
      </c>
      <c r="AC117" s="29"/>
      <c r="AD117">
        <v>32</v>
      </c>
      <c r="AE117">
        <v>32</v>
      </c>
      <c r="AF117" s="26">
        <v>0</v>
      </c>
      <c r="AG117" s="29"/>
      <c r="AH117" s="30"/>
      <c r="AJ117" s="26">
        <v>0</v>
      </c>
      <c r="AK117" s="29"/>
      <c r="AL117" s="30"/>
      <c r="AN117" s="26">
        <v>0</v>
      </c>
      <c r="AO117" s="29"/>
      <c r="AP117">
        <v>16</v>
      </c>
      <c r="AQ117">
        <v>15</v>
      </c>
      <c r="AR117" s="26">
        <v>1</v>
      </c>
      <c r="AS117" s="29"/>
      <c r="AT117" s="30"/>
      <c r="AV117">
        <v>8</v>
      </c>
      <c r="AW117">
        <v>8</v>
      </c>
      <c r="AX117" s="26">
        <v>0</v>
      </c>
      <c r="AY117" s="29"/>
      <c r="AZ117" s="30"/>
      <c r="BB117" s="26">
        <v>0</v>
      </c>
      <c r="BC117" s="29"/>
      <c r="BF117">
        <v>8</v>
      </c>
      <c r="BG117">
        <v>8</v>
      </c>
      <c r="BH117" s="26">
        <v>0</v>
      </c>
      <c r="BI117" s="29"/>
      <c r="BJ117">
        <v>8</v>
      </c>
      <c r="BK117">
        <v>8</v>
      </c>
      <c r="BL117" s="26">
        <v>0</v>
      </c>
      <c r="BM117" s="29"/>
      <c r="BN117" s="28">
        <v>8</v>
      </c>
      <c r="BO117">
        <v>8</v>
      </c>
      <c r="BP117" s="26">
        <v>0</v>
      </c>
      <c r="BQ117" s="29"/>
      <c r="BR117" s="30"/>
      <c r="BT117" s="26">
        <v>0</v>
      </c>
      <c r="BU117" s="29"/>
      <c r="BX117" s="26">
        <v>0</v>
      </c>
      <c r="BY117" s="29"/>
      <c r="BZ117" s="30"/>
      <c r="CC117" s="26">
        <v>0</v>
      </c>
      <c r="CD117" s="29"/>
      <c r="CE117" s="30"/>
      <c r="CI117" s="26">
        <v>0</v>
      </c>
      <c r="CJ117" s="29"/>
      <c r="CK117" s="28">
        <v>16</v>
      </c>
      <c r="CM117">
        <v>16</v>
      </c>
      <c r="CN117" s="26">
        <v>0</v>
      </c>
      <c r="CO117" s="29"/>
      <c r="CQ117" s="26">
        <v>8</v>
      </c>
      <c r="CR117" s="25">
        <v>-8</v>
      </c>
      <c r="CS117" s="29">
        <v>2.64</v>
      </c>
      <c r="CT117" s="34"/>
      <c r="CV117" s="26">
        <v>0</v>
      </c>
      <c r="CW117" s="29"/>
      <c r="CX117" s="30"/>
      <c r="CZ117" s="26">
        <v>0</v>
      </c>
      <c r="DA117" s="29"/>
      <c r="DB117" s="30"/>
      <c r="DD117" s="26">
        <v>0</v>
      </c>
      <c r="DE117" s="29"/>
      <c r="DF117">
        <v>8</v>
      </c>
      <c r="DG117" s="31">
        <v>8</v>
      </c>
      <c r="DH117" s="26">
        <v>0</v>
      </c>
      <c r="DI117" s="29"/>
      <c r="DL117" s="26">
        <v>0</v>
      </c>
      <c r="DM117" s="29"/>
      <c r="DN117" s="28">
        <v>8</v>
      </c>
      <c r="DP117">
        <v>8</v>
      </c>
      <c r="DQ117" s="26">
        <v>0</v>
      </c>
      <c r="DR117" s="29"/>
      <c r="DS117" s="28">
        <v>8</v>
      </c>
      <c r="DU117">
        <v>8</v>
      </c>
      <c r="DV117" s="26">
        <v>0</v>
      </c>
      <c r="DW117" s="29"/>
      <c r="DZ117" s="26">
        <v>0</v>
      </c>
      <c r="EA117" s="29"/>
      <c r="EB117" s="30"/>
      <c r="EE117">
        <v>8</v>
      </c>
      <c r="EF117">
        <v>11</v>
      </c>
      <c r="EG117" s="26">
        <v>-3</v>
      </c>
      <c r="EH117" s="29"/>
      <c r="EK117" s="26">
        <v>0</v>
      </c>
      <c r="EL117" s="29"/>
      <c r="EM117" s="30"/>
      <c r="EQ117" s="26">
        <v>0</v>
      </c>
      <c r="ER117" s="29"/>
      <c r="EW117" s="26">
        <v>0</v>
      </c>
      <c r="EX117" s="29"/>
      <c r="FA117" s="26">
        <v>0</v>
      </c>
      <c r="FB117" s="29"/>
      <c r="FC117" s="28">
        <v>16</v>
      </c>
      <c r="FD117">
        <v>14</v>
      </c>
      <c r="FE117" s="26">
        <v>2</v>
      </c>
      <c r="FF117" s="29"/>
      <c r="FG117" s="30"/>
      <c r="FI117" s="26">
        <v>0</v>
      </c>
      <c r="FJ117" s="29"/>
      <c r="FM117" s="26">
        <v>0</v>
      </c>
      <c r="FN117" s="29"/>
      <c r="FO117" s="28">
        <v>16</v>
      </c>
      <c r="FP117">
        <v>16</v>
      </c>
      <c r="FQ117" s="26">
        <v>0</v>
      </c>
      <c r="FR117" s="29"/>
      <c r="FS117" s="30"/>
      <c r="FU117" s="26">
        <v>0</v>
      </c>
      <c r="FV117" s="29"/>
      <c r="FX117">
        <v>8</v>
      </c>
      <c r="FY117" s="25">
        <v>-8</v>
      </c>
      <c r="FZ117" s="29">
        <v>2.64</v>
      </c>
      <c r="GA117">
        <v>8</v>
      </c>
      <c r="GB117">
        <v>11</v>
      </c>
      <c r="GC117" s="26">
        <v>-3</v>
      </c>
      <c r="GD117" s="29"/>
      <c r="GG117" s="26">
        <v>0</v>
      </c>
      <c r="GH117" s="32"/>
      <c r="GK117" s="26">
        <v>0</v>
      </c>
      <c r="GL117" s="29"/>
      <c r="GO117" s="26">
        <v>0</v>
      </c>
      <c r="GP117" s="32"/>
      <c r="GS117" s="26">
        <v>0</v>
      </c>
      <c r="GT117" s="29"/>
      <c r="GU117" s="34"/>
      <c r="GW117" s="26">
        <v>0</v>
      </c>
      <c r="GX117" s="32"/>
      <c r="GY117">
        <v>16</v>
      </c>
      <c r="GZ117">
        <v>16</v>
      </c>
      <c r="HA117" s="26">
        <v>0</v>
      </c>
      <c r="HB117" s="32"/>
      <c r="HE117" s="26">
        <v>0</v>
      </c>
      <c r="HF117" s="32"/>
      <c r="HI117" s="26">
        <v>0</v>
      </c>
      <c r="HJ117" s="29"/>
      <c r="HK117" s="27"/>
      <c r="HM117" s="27"/>
      <c r="HO117" s="26">
        <v>0</v>
      </c>
      <c r="HP117" s="32"/>
      <c r="HQ117" s="31">
        <v>0</v>
      </c>
      <c r="HR117" s="31">
        <v>0</v>
      </c>
      <c r="HS117" s="26">
        <v>0</v>
      </c>
      <c r="HT117" s="32"/>
      <c r="HU117" s="31">
        <v>0</v>
      </c>
      <c r="HV117" s="31">
        <v>0</v>
      </c>
      <c r="HW117" s="26">
        <v>0</v>
      </c>
      <c r="HX117" s="32"/>
      <c r="HY117" s="34">
        <v>0</v>
      </c>
      <c r="HZ117" s="31">
        <v>0</v>
      </c>
      <c r="IA117" s="26">
        <v>0</v>
      </c>
      <c r="IB117" s="32"/>
    </row>
    <row r="118" spans="1:236" x14ac:dyDescent="0.25">
      <c r="A118" s="26" t="s">
        <v>245</v>
      </c>
      <c r="B118" s="27">
        <v>1</v>
      </c>
      <c r="I118" s="30"/>
      <c r="J118" s="35"/>
      <c r="K118" s="35"/>
      <c r="L118" s="35">
        <f t="shared" si="8"/>
        <v>0</v>
      </c>
      <c r="M118" s="29"/>
      <c r="N118" s="30"/>
      <c r="O118" s="35"/>
      <c r="P118" s="35">
        <f t="shared" si="9"/>
        <v>0</v>
      </c>
      <c r="Q118" s="29"/>
      <c r="R118" s="30"/>
      <c r="S118" s="35"/>
      <c r="T118" s="35">
        <f t="shared" si="10"/>
        <v>0</v>
      </c>
      <c r="U118" s="29"/>
      <c r="V118" s="35"/>
      <c r="X118" s="26">
        <v>0</v>
      </c>
      <c r="Y118" s="29"/>
      <c r="Z118" s="30"/>
      <c r="AB118" s="26">
        <v>0</v>
      </c>
      <c r="AC118" s="29"/>
      <c r="AF118" s="26">
        <v>0</v>
      </c>
      <c r="AG118" s="29"/>
      <c r="AH118" s="30"/>
      <c r="AJ118" s="26">
        <v>0</v>
      </c>
      <c r="AK118" s="29"/>
      <c r="AL118" s="30"/>
      <c r="AN118" s="26">
        <v>0</v>
      </c>
      <c r="AO118" s="29"/>
      <c r="AR118" s="26">
        <v>0</v>
      </c>
      <c r="AS118" s="29"/>
      <c r="AT118" s="30"/>
      <c r="AX118" s="26">
        <v>0</v>
      </c>
      <c r="AY118" s="29"/>
      <c r="AZ118" s="30"/>
      <c r="BB118" s="26">
        <v>0</v>
      </c>
      <c r="BC118" s="29"/>
      <c r="BH118" s="26">
        <v>0</v>
      </c>
      <c r="BI118" s="29"/>
      <c r="BL118" s="26">
        <v>0</v>
      </c>
      <c r="BM118" s="29"/>
      <c r="BN118" s="30"/>
      <c r="BP118" s="26">
        <v>0</v>
      </c>
      <c r="BQ118" s="29"/>
      <c r="BR118" s="30"/>
      <c r="BT118" s="26">
        <v>0</v>
      </c>
      <c r="BU118" s="29"/>
      <c r="BX118" s="26">
        <v>0</v>
      </c>
      <c r="BY118" s="29"/>
      <c r="BZ118" s="30"/>
      <c r="CC118" s="26">
        <v>0</v>
      </c>
      <c r="CD118" s="29"/>
      <c r="CE118" s="30"/>
      <c r="CI118" s="26">
        <v>0</v>
      </c>
      <c r="CJ118" s="29"/>
      <c r="CK118" s="30"/>
      <c r="CN118" s="26">
        <v>0</v>
      </c>
      <c r="CO118" s="29"/>
      <c r="CR118" s="26">
        <v>0</v>
      </c>
      <c r="CS118" s="29"/>
      <c r="CT118" s="34"/>
      <c r="CV118" s="26">
        <v>0</v>
      </c>
      <c r="CW118" s="29"/>
      <c r="CX118" s="30"/>
      <c r="CZ118" s="26">
        <v>0</v>
      </c>
      <c r="DA118" s="29"/>
      <c r="DB118" s="30"/>
      <c r="DD118" s="26">
        <v>0</v>
      </c>
      <c r="DE118" s="29"/>
      <c r="DH118" s="26">
        <v>0</v>
      </c>
      <c r="DI118" s="29"/>
      <c r="DL118" s="26">
        <v>0</v>
      </c>
      <c r="DM118" s="29"/>
      <c r="DN118" s="30"/>
      <c r="DQ118" s="26">
        <v>0</v>
      </c>
      <c r="DR118" s="29"/>
      <c r="DS118" s="30"/>
      <c r="DV118" s="26">
        <v>0</v>
      </c>
      <c r="DW118" s="29"/>
      <c r="DZ118" s="26">
        <v>0</v>
      </c>
      <c r="EA118" s="29"/>
      <c r="EB118" s="30"/>
      <c r="EG118" s="26">
        <v>0</v>
      </c>
      <c r="EH118" s="29"/>
      <c r="EK118" s="26">
        <v>0</v>
      </c>
      <c r="EL118" s="29"/>
      <c r="EM118" s="30"/>
      <c r="EQ118" s="26">
        <v>0</v>
      </c>
      <c r="ER118" s="29"/>
      <c r="EW118" s="26">
        <v>0</v>
      </c>
      <c r="EX118" s="29"/>
      <c r="FA118" s="26">
        <v>0</v>
      </c>
      <c r="FB118" s="29"/>
      <c r="FC118" s="30"/>
      <c r="FE118" s="26">
        <v>0</v>
      </c>
      <c r="FF118" s="29"/>
      <c r="FG118" s="30"/>
      <c r="FI118" s="26">
        <v>0</v>
      </c>
      <c r="FJ118" s="29"/>
      <c r="FM118" s="26">
        <v>0</v>
      </c>
      <c r="FN118" s="29"/>
      <c r="FO118" s="30"/>
      <c r="FQ118" s="26">
        <v>0</v>
      </c>
      <c r="FR118" s="29"/>
      <c r="FS118" s="30"/>
      <c r="FU118" s="26">
        <v>0</v>
      </c>
      <c r="FV118" s="29"/>
      <c r="FY118" s="26">
        <v>0</v>
      </c>
      <c r="FZ118" s="32"/>
      <c r="GC118" s="26">
        <v>0</v>
      </c>
      <c r="GD118" s="29"/>
      <c r="GG118" s="26">
        <v>0</v>
      </c>
      <c r="GH118" s="32"/>
      <c r="GK118" s="26">
        <v>0</v>
      </c>
      <c r="GL118" s="29"/>
      <c r="GO118" s="26">
        <v>0</v>
      </c>
      <c r="GP118" s="32"/>
      <c r="GS118" s="26">
        <v>0</v>
      </c>
      <c r="GT118" s="29"/>
      <c r="GU118" s="34"/>
      <c r="GW118" s="26">
        <v>0</v>
      </c>
      <c r="GX118" s="32"/>
      <c r="HA118" s="26">
        <v>0</v>
      </c>
      <c r="HB118" s="32"/>
      <c r="HE118" s="26">
        <v>0</v>
      </c>
      <c r="HF118" s="32"/>
      <c r="HI118" s="26">
        <v>0</v>
      </c>
      <c r="HJ118" s="29"/>
      <c r="HK118" s="27"/>
      <c r="HM118" s="27"/>
      <c r="HO118" s="26">
        <v>0</v>
      </c>
      <c r="HP118" s="32"/>
      <c r="HQ118" s="31">
        <v>0</v>
      </c>
      <c r="HR118" s="31">
        <v>0</v>
      </c>
      <c r="HS118" s="26">
        <v>0</v>
      </c>
      <c r="HT118" s="32"/>
      <c r="HU118" s="31">
        <v>0</v>
      </c>
      <c r="HV118" s="31">
        <v>0</v>
      </c>
      <c r="HW118" s="26">
        <v>0</v>
      </c>
      <c r="HX118" s="32"/>
      <c r="HY118" s="34">
        <v>0</v>
      </c>
      <c r="HZ118" s="31">
        <v>0</v>
      </c>
      <c r="IA118" s="26">
        <v>0</v>
      </c>
      <c r="IB118" s="32"/>
    </row>
    <row r="119" spans="1:236" x14ac:dyDescent="0.25">
      <c r="A119" s="26" t="s">
        <v>246</v>
      </c>
      <c r="B119" s="27">
        <v>0.33</v>
      </c>
      <c r="I119" s="30"/>
      <c r="J119" s="36">
        <v>96</v>
      </c>
      <c r="K119" s="36">
        <v>98</v>
      </c>
      <c r="L119" s="35">
        <f t="shared" si="8"/>
        <v>-2</v>
      </c>
      <c r="M119" s="29"/>
      <c r="N119" s="28">
        <v>24</v>
      </c>
      <c r="O119" s="36">
        <v>28</v>
      </c>
      <c r="P119" s="35">
        <f t="shared" si="9"/>
        <v>-4</v>
      </c>
      <c r="Q119" s="29"/>
      <c r="R119" s="30"/>
      <c r="S119" s="35"/>
      <c r="T119" s="35">
        <f t="shared" si="10"/>
        <v>0</v>
      </c>
      <c r="U119" s="29"/>
      <c r="V119" s="36">
        <v>104</v>
      </c>
      <c r="W119">
        <v>102</v>
      </c>
      <c r="X119" s="26">
        <v>2</v>
      </c>
      <c r="Y119" s="29"/>
      <c r="Z119" s="28">
        <v>8</v>
      </c>
      <c r="AA119">
        <v>6</v>
      </c>
      <c r="AB119" s="26">
        <v>2</v>
      </c>
      <c r="AC119" s="29"/>
      <c r="AD119">
        <v>8</v>
      </c>
      <c r="AE119">
        <v>8</v>
      </c>
      <c r="AF119" s="26">
        <v>0</v>
      </c>
      <c r="AG119" s="29"/>
      <c r="AH119" s="28">
        <v>56</v>
      </c>
      <c r="AI119">
        <v>56</v>
      </c>
      <c r="AJ119" s="26">
        <v>0</v>
      </c>
      <c r="AK119" s="29"/>
      <c r="AL119" s="30"/>
      <c r="AN119" s="26">
        <v>0</v>
      </c>
      <c r="AO119" s="29"/>
      <c r="AP119">
        <v>32</v>
      </c>
      <c r="AQ119">
        <v>34</v>
      </c>
      <c r="AR119" s="26">
        <v>-2</v>
      </c>
      <c r="AS119" s="29"/>
      <c r="AT119" s="30"/>
      <c r="AX119" s="26">
        <v>0</v>
      </c>
      <c r="AY119" s="29"/>
      <c r="AZ119" s="28">
        <v>32</v>
      </c>
      <c r="BA119">
        <v>33</v>
      </c>
      <c r="BB119" s="26">
        <v>-1</v>
      </c>
      <c r="BC119" s="29"/>
      <c r="BF119">
        <v>16</v>
      </c>
      <c r="BG119">
        <v>15</v>
      </c>
      <c r="BH119" s="26">
        <v>1</v>
      </c>
      <c r="BI119" s="29"/>
      <c r="BL119" s="26">
        <v>0</v>
      </c>
      <c r="BM119" s="29"/>
      <c r="BN119" s="28">
        <v>24</v>
      </c>
      <c r="BO119">
        <v>28</v>
      </c>
      <c r="BP119" s="26">
        <v>-4</v>
      </c>
      <c r="BQ119" s="29"/>
      <c r="BR119" s="30"/>
      <c r="BT119" s="26">
        <v>0</v>
      </c>
      <c r="BU119" s="29"/>
      <c r="BV119">
        <v>24</v>
      </c>
      <c r="BW119">
        <v>25</v>
      </c>
      <c r="BX119" s="26">
        <v>-1</v>
      </c>
      <c r="BY119" s="29"/>
      <c r="BZ119" s="30"/>
      <c r="CC119" s="26">
        <v>0</v>
      </c>
      <c r="CD119" s="29"/>
      <c r="CE119" s="30"/>
      <c r="CI119" s="26">
        <v>0</v>
      </c>
      <c r="CJ119" s="29"/>
      <c r="CK119" s="28">
        <v>40</v>
      </c>
      <c r="CM119">
        <v>43</v>
      </c>
      <c r="CN119" s="26">
        <v>-3</v>
      </c>
      <c r="CO119" s="29"/>
      <c r="CP119">
        <v>8</v>
      </c>
      <c r="CQ119" s="26">
        <v>11.8</v>
      </c>
      <c r="CR119" s="26">
        <v>-3.8000000000000012</v>
      </c>
      <c r="CS119" s="29"/>
      <c r="CT119" s="34"/>
      <c r="CV119" s="26">
        <v>0</v>
      </c>
      <c r="CW119" s="29"/>
      <c r="CX119" s="28">
        <v>40</v>
      </c>
      <c r="CY119" s="26">
        <v>38.799999999999997</v>
      </c>
      <c r="CZ119" s="26">
        <v>1.2000000000000031</v>
      </c>
      <c r="DA119" s="29"/>
      <c r="DB119" s="28">
        <v>8</v>
      </c>
      <c r="DC119">
        <v>7</v>
      </c>
      <c r="DD119" s="26">
        <v>1</v>
      </c>
      <c r="DE119" s="29"/>
      <c r="DF119">
        <v>8</v>
      </c>
      <c r="DG119" s="31">
        <v>7.8000000000000043</v>
      </c>
      <c r="DH119" s="26">
        <v>0.19999999999999571</v>
      </c>
      <c r="DI119" s="29"/>
      <c r="DJ119">
        <v>16</v>
      </c>
      <c r="DK119">
        <v>16</v>
      </c>
      <c r="DL119" s="26">
        <v>0</v>
      </c>
      <c r="DM119" s="29"/>
      <c r="DN119" s="28">
        <v>32</v>
      </c>
      <c r="DP119">
        <v>32</v>
      </c>
      <c r="DQ119" s="26">
        <v>0</v>
      </c>
      <c r="DR119" s="29"/>
      <c r="DS119" s="28">
        <v>24</v>
      </c>
      <c r="DU119">
        <v>28</v>
      </c>
      <c r="DV119" s="26">
        <v>-4</v>
      </c>
      <c r="DW119" s="29"/>
      <c r="DZ119" s="26">
        <v>0</v>
      </c>
      <c r="EA119" s="29"/>
      <c r="EB119" s="30"/>
      <c r="EG119" s="26">
        <v>0</v>
      </c>
      <c r="EH119" s="29"/>
      <c r="EI119">
        <v>48</v>
      </c>
      <c r="EJ119" s="31">
        <v>50.8</v>
      </c>
      <c r="EK119" s="26">
        <v>-2.7999999999999972</v>
      </c>
      <c r="EL119" s="29"/>
      <c r="EM119" s="30"/>
      <c r="EQ119" s="26">
        <v>0</v>
      </c>
      <c r="ER119" s="29"/>
      <c r="EU119">
        <v>8</v>
      </c>
      <c r="EV119">
        <v>10</v>
      </c>
      <c r="EW119" s="26">
        <v>-2</v>
      </c>
      <c r="EX119" s="29"/>
      <c r="EY119">
        <v>32</v>
      </c>
      <c r="EZ119" s="31">
        <v>32</v>
      </c>
      <c r="FA119" s="26">
        <v>0</v>
      </c>
      <c r="FB119" s="29"/>
      <c r="FC119" s="28">
        <v>16</v>
      </c>
      <c r="FD119">
        <v>20</v>
      </c>
      <c r="FE119" s="26">
        <v>-4</v>
      </c>
      <c r="FF119" s="29"/>
      <c r="FG119" s="30"/>
      <c r="FI119" s="26">
        <v>0</v>
      </c>
      <c r="FJ119" s="29"/>
      <c r="FK119">
        <v>32</v>
      </c>
      <c r="FL119">
        <v>32</v>
      </c>
      <c r="FM119" s="26">
        <v>0</v>
      </c>
      <c r="FN119" s="29"/>
      <c r="FO119" s="28">
        <v>8</v>
      </c>
      <c r="FP119">
        <v>8</v>
      </c>
      <c r="FQ119" s="26">
        <v>0</v>
      </c>
      <c r="FR119" s="29"/>
      <c r="FS119" s="28">
        <v>16</v>
      </c>
      <c r="FT119">
        <v>21</v>
      </c>
      <c r="FU119" s="26">
        <v>-5</v>
      </c>
      <c r="FV119" s="29"/>
      <c r="FY119" s="26">
        <v>0</v>
      </c>
      <c r="FZ119" s="32"/>
      <c r="GC119" s="26">
        <v>0</v>
      </c>
      <c r="GD119" s="29"/>
      <c r="GE119">
        <v>24</v>
      </c>
      <c r="GF119">
        <v>24</v>
      </c>
      <c r="GG119" s="26">
        <v>0</v>
      </c>
      <c r="GH119" s="32"/>
      <c r="GK119" s="26">
        <v>0</v>
      </c>
      <c r="GL119" s="29"/>
      <c r="GM119">
        <v>8</v>
      </c>
      <c r="GN119">
        <v>8</v>
      </c>
      <c r="GO119" s="26">
        <v>0</v>
      </c>
      <c r="GP119" s="32"/>
      <c r="GQ119">
        <v>8</v>
      </c>
      <c r="GR119" s="31">
        <v>9.8000000000000043</v>
      </c>
      <c r="GS119" s="26">
        <v>-1.800000000000004</v>
      </c>
      <c r="GT119" s="29"/>
      <c r="GU119" s="28">
        <v>8</v>
      </c>
      <c r="GV119" s="31">
        <v>10</v>
      </c>
      <c r="GW119" s="26">
        <v>-2</v>
      </c>
      <c r="GX119" s="32"/>
      <c r="HA119" s="26">
        <v>0</v>
      </c>
      <c r="HB119" s="32"/>
      <c r="HE119" s="26">
        <v>0</v>
      </c>
      <c r="HF119" s="32"/>
      <c r="HI119" s="26">
        <v>0</v>
      </c>
      <c r="HJ119" s="29"/>
      <c r="HK119">
        <v>40</v>
      </c>
      <c r="HL119">
        <v>40</v>
      </c>
      <c r="HM119">
        <v>24</v>
      </c>
      <c r="HN119">
        <v>22</v>
      </c>
      <c r="HO119" s="26">
        <v>2</v>
      </c>
      <c r="HP119" s="32"/>
      <c r="HQ119" s="31">
        <v>24</v>
      </c>
      <c r="HR119" s="31">
        <v>24</v>
      </c>
      <c r="HS119" s="26">
        <v>0</v>
      </c>
      <c r="HT119" s="32"/>
      <c r="HU119" s="31">
        <v>0</v>
      </c>
      <c r="HV119" s="31">
        <v>0</v>
      </c>
      <c r="HW119" s="26">
        <v>0</v>
      </c>
      <c r="HX119" s="32"/>
      <c r="HY119" s="34">
        <v>0</v>
      </c>
      <c r="HZ119" s="31">
        <v>0</v>
      </c>
      <c r="IA119" s="26">
        <v>0</v>
      </c>
      <c r="IB119" s="32"/>
    </row>
    <row r="120" spans="1:236" x14ac:dyDescent="0.25">
      <c r="A120" s="26" t="s">
        <v>247</v>
      </c>
      <c r="B120" s="27">
        <v>1</v>
      </c>
      <c r="I120" s="30"/>
      <c r="J120" s="35"/>
      <c r="K120" s="35"/>
      <c r="L120" s="35">
        <f t="shared" si="8"/>
        <v>0</v>
      </c>
      <c r="M120" s="29"/>
      <c r="N120" s="30"/>
      <c r="O120" s="35"/>
      <c r="P120" s="35">
        <f t="shared" si="9"/>
        <v>0</v>
      </c>
      <c r="Q120" s="29"/>
      <c r="R120" s="30"/>
      <c r="S120" s="35"/>
      <c r="T120" s="35">
        <f t="shared" si="10"/>
        <v>0</v>
      </c>
      <c r="U120" s="29"/>
      <c r="V120" s="35"/>
      <c r="X120" s="26">
        <v>0</v>
      </c>
      <c r="Y120" s="29"/>
      <c r="Z120" s="30"/>
      <c r="AB120" s="26">
        <v>0</v>
      </c>
      <c r="AC120" s="29"/>
      <c r="AF120" s="26">
        <v>0</v>
      </c>
      <c r="AG120" s="29"/>
      <c r="AH120" s="30"/>
      <c r="AJ120" s="26">
        <v>0</v>
      </c>
      <c r="AK120" s="29"/>
      <c r="AL120" s="30"/>
      <c r="AN120" s="26">
        <v>0</v>
      </c>
      <c r="AO120" s="29"/>
      <c r="AR120" s="26">
        <v>0</v>
      </c>
      <c r="AS120" s="29"/>
      <c r="AT120" s="30"/>
      <c r="AX120" s="26">
        <v>0</v>
      </c>
      <c r="AY120" s="29"/>
      <c r="AZ120" s="30"/>
      <c r="BB120" s="26">
        <v>0</v>
      </c>
      <c r="BC120" s="29"/>
      <c r="BH120" s="26">
        <v>0</v>
      </c>
      <c r="BI120" s="29"/>
      <c r="BL120" s="26">
        <v>0</v>
      </c>
      <c r="BM120" s="29"/>
      <c r="BN120" s="30"/>
      <c r="BP120" s="26">
        <v>0</v>
      </c>
      <c r="BQ120" s="29"/>
      <c r="BR120" s="30"/>
      <c r="BT120" s="26">
        <v>0</v>
      </c>
      <c r="BU120" s="29"/>
      <c r="BX120" s="26">
        <v>0</v>
      </c>
      <c r="BY120" s="29"/>
      <c r="BZ120" s="30"/>
      <c r="CC120" s="26">
        <v>0</v>
      </c>
      <c r="CD120" s="29"/>
      <c r="CE120" s="30"/>
      <c r="CI120" s="26">
        <v>0</v>
      </c>
      <c r="CJ120" s="29"/>
      <c r="CK120" s="30"/>
      <c r="CN120" s="26">
        <v>0</v>
      </c>
      <c r="CO120" s="29"/>
      <c r="CR120" s="26">
        <v>0</v>
      </c>
      <c r="CS120" s="29"/>
      <c r="CT120" s="34"/>
      <c r="CV120" s="26">
        <v>0</v>
      </c>
      <c r="CW120" s="29"/>
      <c r="CX120" s="30"/>
      <c r="CZ120" s="26">
        <v>0</v>
      </c>
      <c r="DA120" s="29"/>
      <c r="DB120" s="30"/>
      <c r="DD120" s="26">
        <v>0</v>
      </c>
      <c r="DE120" s="29"/>
      <c r="DH120" s="26">
        <v>0</v>
      </c>
      <c r="DI120" s="29"/>
      <c r="DL120" s="26">
        <v>0</v>
      </c>
      <c r="DM120" s="29"/>
      <c r="DN120" s="30"/>
      <c r="DQ120" s="26">
        <v>0</v>
      </c>
      <c r="DR120" s="29"/>
      <c r="DS120" s="30"/>
      <c r="DV120" s="26">
        <v>0</v>
      </c>
      <c r="DW120" s="29"/>
      <c r="DZ120" s="26">
        <v>0</v>
      </c>
      <c r="EA120" s="29"/>
      <c r="EB120" s="30"/>
      <c r="EG120" s="26">
        <v>0</v>
      </c>
      <c r="EH120" s="29"/>
      <c r="EK120" s="26">
        <v>0</v>
      </c>
      <c r="EL120" s="29"/>
      <c r="EM120" s="30"/>
      <c r="EQ120" s="26">
        <v>0</v>
      </c>
      <c r="ER120" s="29"/>
      <c r="EW120" s="26">
        <v>0</v>
      </c>
      <c r="EX120" s="29"/>
      <c r="FA120" s="26">
        <v>0</v>
      </c>
      <c r="FB120" s="29"/>
      <c r="FC120" s="30"/>
      <c r="FE120" s="26">
        <v>0</v>
      </c>
      <c r="FF120" s="29"/>
      <c r="FG120" s="30"/>
      <c r="FI120" s="26">
        <v>0</v>
      </c>
      <c r="FJ120" s="29"/>
      <c r="FM120" s="26">
        <v>0</v>
      </c>
      <c r="FN120" s="29"/>
      <c r="FO120" s="28">
        <v>10</v>
      </c>
      <c r="FP120">
        <v>10</v>
      </c>
      <c r="FQ120" s="26">
        <v>0</v>
      </c>
      <c r="FR120" s="29"/>
      <c r="FS120" s="30"/>
      <c r="FU120" s="26">
        <v>0</v>
      </c>
      <c r="FV120" s="29"/>
      <c r="FY120" s="26">
        <v>0</v>
      </c>
      <c r="FZ120" s="32"/>
      <c r="GB120">
        <v>1</v>
      </c>
      <c r="GC120" s="26">
        <v>-1</v>
      </c>
      <c r="GD120" s="29"/>
      <c r="GE120">
        <v>5</v>
      </c>
      <c r="GF120">
        <v>4</v>
      </c>
      <c r="GG120" s="26">
        <v>1</v>
      </c>
      <c r="GH120" s="32"/>
      <c r="GK120" s="26">
        <v>0</v>
      </c>
      <c r="GL120" s="29"/>
      <c r="GM120">
        <v>5</v>
      </c>
      <c r="GN120">
        <v>8</v>
      </c>
      <c r="GO120" s="26">
        <v>-3</v>
      </c>
      <c r="GP120" s="32"/>
      <c r="GS120" s="26">
        <v>0</v>
      </c>
      <c r="GT120" s="29"/>
      <c r="GU120" s="34"/>
      <c r="GW120" s="26">
        <v>0</v>
      </c>
      <c r="GX120" s="32"/>
      <c r="HA120" s="26">
        <v>0</v>
      </c>
      <c r="HB120" s="32"/>
      <c r="HC120">
        <v>10</v>
      </c>
      <c r="HD120">
        <v>8</v>
      </c>
      <c r="HE120" s="26">
        <v>-2</v>
      </c>
      <c r="HF120" s="32"/>
      <c r="HI120" s="26">
        <v>0</v>
      </c>
      <c r="HJ120" s="29"/>
      <c r="HK120" s="27"/>
      <c r="HM120">
        <v>26</v>
      </c>
      <c r="HN120">
        <v>27</v>
      </c>
      <c r="HO120" s="26">
        <v>-1</v>
      </c>
      <c r="HP120" s="32"/>
      <c r="HQ120" s="31">
        <v>5.2450000000000001</v>
      </c>
      <c r="HR120" s="31">
        <v>7</v>
      </c>
      <c r="HS120" s="26">
        <v>-1.7549999999999999</v>
      </c>
      <c r="HT120" s="32"/>
      <c r="HU120" s="31">
        <v>0</v>
      </c>
      <c r="HV120" s="31">
        <v>0</v>
      </c>
      <c r="HW120" s="26">
        <v>0</v>
      </c>
      <c r="HX120" s="32"/>
      <c r="HY120" s="34">
        <v>0</v>
      </c>
      <c r="HZ120" s="31">
        <v>0</v>
      </c>
      <c r="IA120" s="26">
        <v>0</v>
      </c>
      <c r="IB120" s="32"/>
    </row>
    <row r="121" spans="1:236" x14ac:dyDescent="0.25">
      <c r="A121" s="26" t="s">
        <v>248</v>
      </c>
      <c r="B121" s="27">
        <v>0.33</v>
      </c>
      <c r="I121" s="30"/>
      <c r="J121" s="35"/>
      <c r="K121" s="35"/>
      <c r="L121" s="35">
        <f t="shared" si="8"/>
        <v>0</v>
      </c>
      <c r="M121" s="29"/>
      <c r="N121" s="30"/>
      <c r="O121" s="35"/>
      <c r="P121" s="35">
        <f t="shared" si="9"/>
        <v>0</v>
      </c>
      <c r="Q121" s="29"/>
      <c r="R121" s="30"/>
      <c r="S121" s="35"/>
      <c r="T121" s="35">
        <f t="shared" si="10"/>
        <v>0</v>
      </c>
      <c r="U121" s="29"/>
      <c r="V121" s="35"/>
      <c r="X121" s="26">
        <v>0</v>
      </c>
      <c r="Y121" s="29"/>
      <c r="Z121" s="30"/>
      <c r="AB121" s="26">
        <v>0</v>
      </c>
      <c r="AC121" s="29"/>
      <c r="AF121" s="26">
        <v>0</v>
      </c>
      <c r="AG121" s="29"/>
      <c r="AH121" s="30"/>
      <c r="AJ121" s="26">
        <v>0</v>
      </c>
      <c r="AK121" s="29"/>
      <c r="AL121" s="30"/>
      <c r="AN121" s="26">
        <v>0</v>
      </c>
      <c r="AO121" s="29"/>
      <c r="AR121" s="26">
        <v>0</v>
      </c>
      <c r="AS121" s="29"/>
      <c r="AT121" s="30"/>
      <c r="AX121" s="26">
        <v>0</v>
      </c>
      <c r="AY121" s="29"/>
      <c r="AZ121" s="30"/>
      <c r="BB121" s="26">
        <v>0</v>
      </c>
      <c r="BC121" s="29"/>
      <c r="BH121" s="26">
        <v>0</v>
      </c>
      <c r="BI121" s="29"/>
      <c r="BL121" s="26">
        <v>0</v>
      </c>
      <c r="BM121" s="29"/>
      <c r="BN121" s="30"/>
      <c r="BP121" s="26">
        <v>0</v>
      </c>
      <c r="BQ121" s="29"/>
      <c r="BR121" s="30"/>
      <c r="BT121" s="26">
        <v>0</v>
      </c>
      <c r="BU121" s="29"/>
      <c r="BX121" s="26">
        <v>0</v>
      </c>
      <c r="BY121" s="29"/>
      <c r="BZ121" s="30"/>
      <c r="CC121" s="26">
        <v>0</v>
      </c>
      <c r="CD121" s="29"/>
      <c r="CE121" s="30"/>
      <c r="CI121" s="26">
        <v>0</v>
      </c>
      <c r="CJ121" s="29"/>
      <c r="CK121" s="30"/>
      <c r="CN121" s="26">
        <v>0</v>
      </c>
      <c r="CO121" s="29"/>
      <c r="CR121" s="26">
        <v>0</v>
      </c>
      <c r="CS121" s="29"/>
      <c r="CT121" s="34"/>
      <c r="CV121" s="26">
        <v>0</v>
      </c>
      <c r="CW121" s="29"/>
      <c r="CX121" s="30"/>
      <c r="CZ121" s="26">
        <v>0</v>
      </c>
      <c r="DA121" s="29"/>
      <c r="DB121" s="30"/>
      <c r="DD121" s="26">
        <v>0</v>
      </c>
      <c r="DE121" s="29"/>
      <c r="DH121" s="26">
        <v>0</v>
      </c>
      <c r="DI121" s="29"/>
      <c r="DL121" s="26">
        <v>0</v>
      </c>
      <c r="DM121" s="29"/>
      <c r="DN121" s="30"/>
      <c r="DQ121" s="26">
        <v>0</v>
      </c>
      <c r="DR121" s="29"/>
      <c r="DS121" s="30"/>
      <c r="DV121" s="26">
        <v>0</v>
      </c>
      <c r="DW121" s="29"/>
      <c r="DZ121" s="26">
        <v>0</v>
      </c>
      <c r="EA121" s="29"/>
      <c r="EB121" s="30"/>
      <c r="EG121" s="26">
        <v>0</v>
      </c>
      <c r="EH121" s="29"/>
      <c r="EK121" s="26">
        <v>0</v>
      </c>
      <c r="EL121" s="29"/>
      <c r="EM121" s="30"/>
      <c r="EQ121" s="26">
        <v>0</v>
      </c>
      <c r="ER121" s="29"/>
      <c r="EW121" s="26">
        <v>0</v>
      </c>
      <c r="EX121" s="29"/>
      <c r="FA121" s="26">
        <v>0</v>
      </c>
      <c r="FB121" s="29"/>
      <c r="FC121" s="30"/>
      <c r="FE121" s="26">
        <v>0</v>
      </c>
      <c r="FF121" s="29"/>
      <c r="FG121" s="30"/>
      <c r="FI121" s="26">
        <v>0</v>
      </c>
      <c r="FJ121" s="29"/>
      <c r="FK121">
        <v>16</v>
      </c>
      <c r="FL121">
        <v>16</v>
      </c>
      <c r="FM121" s="26">
        <v>0</v>
      </c>
      <c r="FN121" s="29"/>
      <c r="FO121" s="30"/>
      <c r="FQ121" s="26">
        <v>0</v>
      </c>
      <c r="FR121" s="29"/>
      <c r="FS121" s="30"/>
      <c r="FU121" s="26">
        <v>0</v>
      </c>
      <c r="FV121" s="29"/>
      <c r="FY121" s="26">
        <v>0</v>
      </c>
      <c r="FZ121" s="32"/>
      <c r="GA121">
        <v>8</v>
      </c>
      <c r="GB121">
        <v>9</v>
      </c>
      <c r="GC121" s="26">
        <v>-1</v>
      </c>
      <c r="GD121" s="29"/>
      <c r="GG121" s="26">
        <v>0</v>
      </c>
      <c r="GH121" s="32"/>
      <c r="GK121" s="26">
        <v>0</v>
      </c>
      <c r="GL121" s="29"/>
      <c r="GO121" s="26">
        <v>0</v>
      </c>
      <c r="GP121" s="32"/>
      <c r="GS121" s="26">
        <v>0</v>
      </c>
      <c r="GT121" s="29"/>
      <c r="GU121" s="34"/>
      <c r="GW121" s="26">
        <v>0</v>
      </c>
      <c r="GX121" s="32"/>
      <c r="GY121">
        <v>16</v>
      </c>
      <c r="GZ121">
        <v>16</v>
      </c>
      <c r="HA121" s="26">
        <v>0</v>
      </c>
      <c r="HB121" s="32"/>
      <c r="HE121" s="26">
        <v>0</v>
      </c>
      <c r="HF121" s="32"/>
      <c r="HI121" s="26">
        <v>0</v>
      </c>
      <c r="HJ121" s="29"/>
      <c r="HK121" s="27"/>
      <c r="HM121" s="27"/>
      <c r="HO121" s="26">
        <v>0</v>
      </c>
      <c r="HP121" s="32"/>
      <c r="HQ121" s="31">
        <v>0</v>
      </c>
      <c r="HR121" s="31">
        <v>0</v>
      </c>
      <c r="HS121" s="26">
        <v>0</v>
      </c>
      <c r="HT121" s="32"/>
      <c r="HU121" s="31">
        <v>0</v>
      </c>
      <c r="HV121" s="31">
        <v>0</v>
      </c>
      <c r="HW121" s="26">
        <v>0</v>
      </c>
      <c r="HX121" s="32"/>
      <c r="HY121" s="34">
        <v>0</v>
      </c>
      <c r="HZ121" s="31">
        <v>0</v>
      </c>
      <c r="IA121" s="26">
        <v>0</v>
      </c>
      <c r="IB121" s="32"/>
    </row>
    <row r="122" spans="1:236" x14ac:dyDescent="0.25">
      <c r="A122" s="26" t="s">
        <v>249</v>
      </c>
      <c r="B122" s="27">
        <v>1</v>
      </c>
      <c r="I122" s="30"/>
      <c r="J122" s="35"/>
      <c r="K122" s="35"/>
      <c r="L122" s="35">
        <f t="shared" si="8"/>
        <v>0</v>
      </c>
      <c r="M122" s="29"/>
      <c r="N122" s="30"/>
      <c r="O122" s="35"/>
      <c r="P122" s="35">
        <f t="shared" si="9"/>
        <v>0</v>
      </c>
      <c r="Q122" s="29"/>
      <c r="R122" s="30"/>
      <c r="S122" s="35"/>
      <c r="T122" s="35">
        <f t="shared" si="10"/>
        <v>0</v>
      </c>
      <c r="U122" s="29"/>
      <c r="V122" s="35"/>
      <c r="X122" s="26">
        <v>0</v>
      </c>
      <c r="Y122" s="29"/>
      <c r="Z122" s="30"/>
      <c r="AB122" s="26">
        <v>0</v>
      </c>
      <c r="AC122" s="29"/>
      <c r="AF122" s="26">
        <v>0</v>
      </c>
      <c r="AG122" s="29"/>
      <c r="AH122" s="30"/>
      <c r="AJ122" s="26">
        <v>0</v>
      </c>
      <c r="AK122" s="29"/>
      <c r="AL122" s="30"/>
      <c r="AN122" s="26">
        <v>0</v>
      </c>
      <c r="AO122" s="29"/>
      <c r="AR122" s="26">
        <v>0</v>
      </c>
      <c r="AS122" s="29"/>
      <c r="AT122" s="30"/>
      <c r="AX122" s="26">
        <v>0</v>
      </c>
      <c r="AY122" s="29"/>
      <c r="AZ122" s="30"/>
      <c r="BB122" s="26">
        <v>0</v>
      </c>
      <c r="BC122" s="29"/>
      <c r="BH122" s="26">
        <v>0</v>
      </c>
      <c r="BI122" s="29"/>
      <c r="BL122" s="26">
        <v>0</v>
      </c>
      <c r="BM122" s="29"/>
      <c r="BN122" s="30"/>
      <c r="BP122" s="26">
        <v>0</v>
      </c>
      <c r="BQ122" s="29"/>
      <c r="BR122" s="30"/>
      <c r="BT122" s="26">
        <v>0</v>
      </c>
      <c r="BU122" s="29"/>
      <c r="BX122" s="26">
        <v>0</v>
      </c>
      <c r="BY122" s="29"/>
      <c r="BZ122" s="30"/>
      <c r="CC122" s="26">
        <v>0</v>
      </c>
      <c r="CD122" s="29"/>
      <c r="CE122" s="30"/>
      <c r="CI122" s="26">
        <v>0</v>
      </c>
      <c r="CJ122" s="29"/>
      <c r="CK122" s="30"/>
      <c r="CN122" s="26">
        <v>0</v>
      </c>
      <c r="CO122" s="29"/>
      <c r="CR122" s="26">
        <v>0</v>
      </c>
      <c r="CS122" s="29"/>
      <c r="CT122" s="34"/>
      <c r="CV122" s="26">
        <v>0</v>
      </c>
      <c r="CW122" s="29"/>
      <c r="CX122" s="30"/>
      <c r="CZ122" s="26">
        <v>0</v>
      </c>
      <c r="DA122" s="29"/>
      <c r="DB122" s="30"/>
      <c r="DD122" s="26">
        <v>0</v>
      </c>
      <c r="DE122" s="29"/>
      <c r="DH122" s="26">
        <v>0</v>
      </c>
      <c r="DI122" s="29"/>
      <c r="DL122" s="26">
        <v>0</v>
      </c>
      <c r="DM122" s="29"/>
      <c r="DN122" s="30"/>
      <c r="DQ122" s="26">
        <v>0</v>
      </c>
      <c r="DR122" s="29"/>
      <c r="DS122" s="30"/>
      <c r="DV122" s="26">
        <v>0</v>
      </c>
      <c r="DW122" s="29"/>
      <c r="DZ122" s="26">
        <v>0</v>
      </c>
      <c r="EA122" s="29"/>
      <c r="EB122" s="30"/>
      <c r="EG122" s="26">
        <v>0</v>
      </c>
      <c r="EH122" s="29"/>
      <c r="EK122" s="26">
        <v>0</v>
      </c>
      <c r="EL122" s="29"/>
      <c r="EM122" s="30"/>
      <c r="EQ122" s="26">
        <v>0</v>
      </c>
      <c r="ER122" s="29"/>
      <c r="EW122" s="26">
        <v>0</v>
      </c>
      <c r="EX122" s="29"/>
      <c r="FA122" s="26">
        <v>0</v>
      </c>
      <c r="FB122" s="29"/>
      <c r="FC122" s="30"/>
      <c r="FE122" s="26">
        <v>0</v>
      </c>
      <c r="FF122" s="29"/>
      <c r="FG122" s="30"/>
      <c r="FI122" s="26">
        <v>0</v>
      </c>
      <c r="FJ122" s="29"/>
      <c r="FM122" s="26">
        <v>0</v>
      </c>
      <c r="FN122" s="29"/>
      <c r="FO122" s="30"/>
      <c r="FQ122" s="26">
        <v>0</v>
      </c>
      <c r="FR122" s="29"/>
      <c r="FS122" s="30"/>
      <c r="FU122" s="26">
        <v>0</v>
      </c>
      <c r="FV122" s="29"/>
      <c r="FY122" s="26">
        <v>0</v>
      </c>
      <c r="FZ122" s="32"/>
      <c r="GC122" s="26">
        <v>0</v>
      </c>
      <c r="GD122" s="29"/>
      <c r="GG122" s="26">
        <v>0</v>
      </c>
      <c r="GH122" s="32"/>
      <c r="GK122" s="26">
        <v>0</v>
      </c>
      <c r="GL122" s="29"/>
      <c r="GO122" s="26">
        <v>0</v>
      </c>
      <c r="GP122" s="32"/>
      <c r="GS122" s="26">
        <v>0</v>
      </c>
      <c r="GT122" s="29"/>
      <c r="GU122" s="34"/>
      <c r="GW122" s="26">
        <v>0</v>
      </c>
      <c r="GX122" s="32"/>
      <c r="HA122" s="26">
        <v>0</v>
      </c>
      <c r="HB122" s="32"/>
      <c r="HE122" s="26">
        <v>0</v>
      </c>
      <c r="HF122" s="32"/>
      <c r="HI122" s="26">
        <v>0</v>
      </c>
      <c r="HJ122" s="29"/>
      <c r="HK122" s="27"/>
      <c r="HM122" s="27"/>
      <c r="HO122" s="26">
        <v>0</v>
      </c>
      <c r="HP122" s="32"/>
      <c r="HQ122" s="31">
        <v>0</v>
      </c>
      <c r="HR122" s="31">
        <v>0</v>
      </c>
      <c r="HS122" s="26">
        <v>0</v>
      </c>
      <c r="HT122" s="32"/>
      <c r="HU122" s="31">
        <v>0</v>
      </c>
      <c r="HV122" s="31">
        <v>0</v>
      </c>
      <c r="HW122" s="26">
        <v>0</v>
      </c>
      <c r="HX122" s="32"/>
      <c r="HY122" s="34">
        <v>0</v>
      </c>
      <c r="HZ122" s="31">
        <v>0</v>
      </c>
      <c r="IA122" s="26">
        <v>0</v>
      </c>
      <c r="IB122" s="32"/>
    </row>
    <row r="123" spans="1:236" x14ac:dyDescent="0.25">
      <c r="A123" s="26" t="s">
        <v>250</v>
      </c>
      <c r="B123" s="27">
        <v>0.75</v>
      </c>
      <c r="I123" s="30"/>
      <c r="J123" s="35"/>
      <c r="K123" s="35"/>
      <c r="L123" s="35">
        <f t="shared" si="8"/>
        <v>0</v>
      </c>
      <c r="M123" s="29"/>
      <c r="N123" s="30"/>
      <c r="O123" s="35"/>
      <c r="P123" s="35">
        <f t="shared" si="9"/>
        <v>0</v>
      </c>
      <c r="Q123" s="29"/>
      <c r="R123" s="30"/>
      <c r="S123" s="35"/>
      <c r="T123" s="35">
        <f t="shared" si="10"/>
        <v>0</v>
      </c>
      <c r="U123" s="29"/>
      <c r="V123" s="35"/>
      <c r="X123" s="26">
        <v>0</v>
      </c>
      <c r="Y123" s="29"/>
      <c r="Z123" s="30"/>
      <c r="AB123" s="26">
        <v>0</v>
      </c>
      <c r="AC123" s="29"/>
      <c r="AF123" s="26">
        <v>0</v>
      </c>
      <c r="AG123" s="29"/>
      <c r="AH123" s="30"/>
      <c r="AJ123" s="26">
        <v>0</v>
      </c>
      <c r="AK123" s="29"/>
      <c r="AL123" s="30"/>
      <c r="AN123" s="26">
        <v>0</v>
      </c>
      <c r="AO123" s="29"/>
      <c r="AR123" s="26">
        <v>0</v>
      </c>
      <c r="AS123" s="29"/>
      <c r="AT123" s="30"/>
      <c r="AX123" s="26">
        <v>0</v>
      </c>
      <c r="AY123" s="29"/>
      <c r="AZ123" s="30"/>
      <c r="BB123" s="26">
        <v>0</v>
      </c>
      <c r="BC123" s="29"/>
      <c r="BH123" s="26">
        <v>0</v>
      </c>
      <c r="BI123" s="29"/>
      <c r="BL123" s="26">
        <v>0</v>
      </c>
      <c r="BM123" s="29"/>
      <c r="BN123" s="30"/>
      <c r="BP123" s="26">
        <v>0</v>
      </c>
      <c r="BQ123" s="29"/>
      <c r="BR123" s="30"/>
      <c r="BT123" s="26">
        <v>0</v>
      </c>
      <c r="BU123" s="29"/>
      <c r="BX123" s="26">
        <v>0</v>
      </c>
      <c r="BY123" s="29"/>
      <c r="BZ123" s="30"/>
      <c r="CC123" s="26">
        <v>0</v>
      </c>
      <c r="CD123" s="29"/>
      <c r="CE123" s="30"/>
      <c r="CI123" s="26">
        <v>0</v>
      </c>
      <c r="CJ123" s="29"/>
      <c r="CK123" s="30"/>
      <c r="CN123" s="26">
        <v>0</v>
      </c>
      <c r="CO123" s="29"/>
      <c r="CR123" s="26">
        <v>0</v>
      </c>
      <c r="CS123" s="29"/>
      <c r="CT123" s="34"/>
      <c r="CV123" s="26">
        <v>0</v>
      </c>
      <c r="CW123" s="29"/>
      <c r="CX123" s="30"/>
      <c r="CZ123" s="26">
        <v>0</v>
      </c>
      <c r="DA123" s="29"/>
      <c r="DB123" s="30"/>
      <c r="DD123" s="26">
        <v>0</v>
      </c>
      <c r="DE123" s="29"/>
      <c r="DH123" s="26">
        <v>0</v>
      </c>
      <c r="DI123" s="29"/>
      <c r="DL123" s="26">
        <v>0</v>
      </c>
      <c r="DM123" s="29"/>
      <c r="DN123" s="30"/>
      <c r="DQ123" s="26">
        <v>0</v>
      </c>
      <c r="DR123" s="29"/>
      <c r="DS123" s="30"/>
      <c r="DV123" s="26">
        <v>0</v>
      </c>
      <c r="DW123" s="29"/>
      <c r="DZ123" s="26">
        <v>0</v>
      </c>
      <c r="EA123" s="29"/>
      <c r="EB123" s="30"/>
      <c r="EG123" s="26">
        <v>0</v>
      </c>
      <c r="EH123" s="29"/>
      <c r="EK123" s="26">
        <v>0</v>
      </c>
      <c r="EL123" s="29"/>
      <c r="EM123" s="30"/>
      <c r="EQ123" s="26">
        <v>0</v>
      </c>
      <c r="ER123" s="29"/>
      <c r="EW123" s="26">
        <v>0</v>
      </c>
      <c r="EX123" s="29"/>
      <c r="FA123" s="26">
        <v>0</v>
      </c>
      <c r="FB123" s="29"/>
      <c r="FC123" s="30"/>
      <c r="FE123" s="26">
        <v>0</v>
      </c>
      <c r="FF123" s="29"/>
      <c r="FG123" s="30"/>
      <c r="FI123" s="26">
        <v>0</v>
      </c>
      <c r="FJ123" s="29"/>
      <c r="FM123" s="26">
        <v>0</v>
      </c>
      <c r="FN123" s="29"/>
      <c r="FO123" s="30"/>
      <c r="FQ123" s="26">
        <v>0</v>
      </c>
      <c r="FR123" s="29"/>
      <c r="FS123" s="30"/>
      <c r="FU123" s="26">
        <v>0</v>
      </c>
      <c r="FV123" s="29"/>
      <c r="FY123" s="26">
        <v>0</v>
      </c>
      <c r="FZ123" s="32"/>
      <c r="GC123" s="26">
        <v>0</v>
      </c>
      <c r="GD123" s="29"/>
      <c r="GG123" s="26">
        <v>0</v>
      </c>
      <c r="GH123" s="32"/>
      <c r="GK123" s="26">
        <v>0</v>
      </c>
      <c r="GL123" s="29"/>
      <c r="GO123" s="26">
        <v>0</v>
      </c>
      <c r="GP123" s="32"/>
      <c r="GS123" s="26">
        <v>0</v>
      </c>
      <c r="GT123" s="29"/>
      <c r="GU123" s="34"/>
      <c r="GW123" s="26">
        <v>0</v>
      </c>
      <c r="GX123" s="32"/>
      <c r="HA123" s="26">
        <v>0</v>
      </c>
      <c r="HB123" s="32"/>
      <c r="HE123" s="26">
        <v>0</v>
      </c>
      <c r="HF123" s="32"/>
      <c r="HI123" s="26">
        <v>0</v>
      </c>
      <c r="HJ123" s="29"/>
      <c r="HK123" s="27"/>
      <c r="HM123" s="27"/>
      <c r="HO123" s="26">
        <v>0</v>
      </c>
      <c r="HP123" s="32"/>
      <c r="HQ123" s="31">
        <v>0</v>
      </c>
      <c r="HR123" s="31">
        <v>0</v>
      </c>
      <c r="HS123" s="26">
        <v>0</v>
      </c>
      <c r="HT123" s="32"/>
      <c r="HU123" s="31">
        <v>0</v>
      </c>
      <c r="HV123" s="31">
        <v>0</v>
      </c>
      <c r="HW123" s="26">
        <v>0</v>
      </c>
      <c r="HX123" s="32"/>
      <c r="HY123" s="34">
        <v>0</v>
      </c>
      <c r="HZ123" s="31">
        <v>0</v>
      </c>
      <c r="IA123" s="26">
        <v>0</v>
      </c>
      <c r="IB123" s="32"/>
    </row>
    <row r="124" spans="1:236" x14ac:dyDescent="0.25">
      <c r="A124" s="26" t="s">
        <v>251</v>
      </c>
      <c r="B124" s="27">
        <v>0.66</v>
      </c>
      <c r="I124" s="30"/>
      <c r="J124" s="35"/>
      <c r="K124" s="35"/>
      <c r="L124" s="35">
        <f t="shared" si="8"/>
        <v>0</v>
      </c>
      <c r="M124" s="29"/>
      <c r="N124" s="30"/>
      <c r="O124" s="35"/>
      <c r="P124" s="35">
        <f t="shared" si="9"/>
        <v>0</v>
      </c>
      <c r="Q124" s="29"/>
      <c r="R124" s="30"/>
      <c r="S124" s="35"/>
      <c r="T124" s="35">
        <f t="shared" si="10"/>
        <v>0</v>
      </c>
      <c r="U124" s="29"/>
      <c r="V124" s="35"/>
      <c r="X124" s="26">
        <v>0</v>
      </c>
      <c r="Y124" s="29"/>
      <c r="Z124" s="30"/>
      <c r="AB124" s="26">
        <v>0</v>
      </c>
      <c r="AC124" s="29"/>
      <c r="AF124" s="26">
        <v>0</v>
      </c>
      <c r="AG124" s="29"/>
      <c r="AH124" s="30"/>
      <c r="AJ124" s="26">
        <v>0</v>
      </c>
      <c r="AK124" s="29"/>
      <c r="AL124" s="30"/>
      <c r="AN124" s="26">
        <v>0</v>
      </c>
      <c r="AO124" s="29"/>
      <c r="AR124" s="26">
        <v>0</v>
      </c>
      <c r="AS124" s="29"/>
      <c r="AT124" s="30"/>
      <c r="AX124" s="26">
        <v>0</v>
      </c>
      <c r="AY124" s="29"/>
      <c r="AZ124" s="30"/>
      <c r="BB124" s="26">
        <v>0</v>
      </c>
      <c r="BC124" s="29"/>
      <c r="BH124" s="26">
        <v>0</v>
      </c>
      <c r="BI124" s="29"/>
      <c r="BL124" s="26">
        <v>0</v>
      </c>
      <c r="BM124" s="29"/>
      <c r="BN124" s="30"/>
      <c r="BP124" s="26">
        <v>0</v>
      </c>
      <c r="BQ124" s="29"/>
      <c r="BR124" s="30"/>
      <c r="BT124" s="26">
        <v>0</v>
      </c>
      <c r="BU124" s="29"/>
      <c r="BX124" s="26">
        <v>0</v>
      </c>
      <c r="BY124" s="29"/>
      <c r="BZ124" s="30"/>
      <c r="CC124" s="26">
        <v>0</v>
      </c>
      <c r="CD124" s="29"/>
      <c r="CE124" s="30"/>
      <c r="CI124" s="26">
        <v>0</v>
      </c>
      <c r="CJ124" s="29"/>
      <c r="CK124" s="30"/>
      <c r="CN124" s="26">
        <v>0</v>
      </c>
      <c r="CO124" s="29"/>
      <c r="CR124" s="26">
        <v>0</v>
      </c>
      <c r="CS124" s="29"/>
      <c r="CT124" s="34"/>
      <c r="CV124" s="26">
        <v>0</v>
      </c>
      <c r="CW124" s="29"/>
      <c r="CX124" s="30"/>
      <c r="CZ124" s="26">
        <v>0</v>
      </c>
      <c r="DA124" s="29"/>
      <c r="DB124" s="30"/>
      <c r="DD124" s="26">
        <v>0</v>
      </c>
      <c r="DE124" s="29"/>
      <c r="DH124" s="26">
        <v>0</v>
      </c>
      <c r="DI124" s="29"/>
      <c r="DL124" s="26">
        <v>0</v>
      </c>
      <c r="DM124" s="29"/>
      <c r="DN124" s="30"/>
      <c r="DQ124" s="26">
        <v>0</v>
      </c>
      <c r="DR124" s="29"/>
      <c r="DS124" s="30"/>
      <c r="DV124" s="26">
        <v>0</v>
      </c>
      <c r="DW124" s="29"/>
      <c r="DZ124" s="26">
        <v>0</v>
      </c>
      <c r="EA124" s="29"/>
      <c r="EB124" s="30"/>
      <c r="EG124" s="26">
        <v>0</v>
      </c>
      <c r="EH124" s="29"/>
      <c r="EK124" s="26">
        <v>0</v>
      </c>
      <c r="EL124" s="29"/>
      <c r="EM124" s="30"/>
      <c r="EQ124" s="26">
        <v>0</v>
      </c>
      <c r="ER124" s="29"/>
      <c r="EW124" s="26">
        <v>0</v>
      </c>
      <c r="EX124" s="29"/>
      <c r="FA124" s="26">
        <v>0</v>
      </c>
      <c r="FB124" s="29"/>
      <c r="FC124" s="30"/>
      <c r="FE124" s="26">
        <v>0</v>
      </c>
      <c r="FF124" s="29"/>
      <c r="FG124" s="30"/>
      <c r="FI124" s="26">
        <v>0</v>
      </c>
      <c r="FJ124" s="29"/>
      <c r="FM124" s="26">
        <v>0</v>
      </c>
      <c r="FN124" s="29"/>
      <c r="FO124" s="30"/>
      <c r="FQ124" s="26">
        <v>0</v>
      </c>
      <c r="FR124" s="29"/>
      <c r="FS124" s="30"/>
      <c r="FU124" s="26">
        <v>0</v>
      </c>
      <c r="FV124" s="29"/>
      <c r="FY124" s="26">
        <v>0</v>
      </c>
      <c r="FZ124" s="32"/>
      <c r="GC124" s="26">
        <v>0</v>
      </c>
      <c r="GD124" s="29"/>
      <c r="GG124" s="26">
        <v>0</v>
      </c>
      <c r="GH124" s="32"/>
      <c r="GK124" s="26">
        <v>0</v>
      </c>
      <c r="GL124" s="29"/>
      <c r="GO124" s="26">
        <v>0</v>
      </c>
      <c r="GP124" s="32"/>
      <c r="GS124" s="26">
        <v>0</v>
      </c>
      <c r="GT124" s="29"/>
      <c r="GU124" s="34"/>
      <c r="GW124" s="26">
        <v>0</v>
      </c>
      <c r="GX124" s="32"/>
      <c r="HA124" s="26">
        <v>0</v>
      </c>
      <c r="HB124" s="32"/>
      <c r="HE124" s="26">
        <v>0</v>
      </c>
      <c r="HF124" s="32"/>
      <c r="HI124" s="26">
        <v>0</v>
      </c>
      <c r="HJ124" s="29"/>
      <c r="HK124" s="27"/>
      <c r="HM124" s="27"/>
      <c r="HO124" s="26">
        <v>0</v>
      </c>
      <c r="HP124" s="32"/>
      <c r="HQ124" s="31">
        <v>0</v>
      </c>
      <c r="HR124" s="31">
        <v>0</v>
      </c>
      <c r="HS124" s="26">
        <v>0</v>
      </c>
      <c r="HT124" s="32"/>
      <c r="HU124" s="31">
        <v>0</v>
      </c>
      <c r="HV124" s="31">
        <v>0</v>
      </c>
      <c r="HW124" s="26">
        <v>0</v>
      </c>
      <c r="HX124" s="32"/>
      <c r="HY124" s="34">
        <v>0</v>
      </c>
      <c r="HZ124" s="31">
        <v>0</v>
      </c>
      <c r="IA124" s="26">
        <v>0</v>
      </c>
      <c r="IB124" s="32"/>
    </row>
    <row r="125" spans="1:236" x14ac:dyDescent="0.25">
      <c r="A125" s="26" t="s">
        <v>252</v>
      </c>
      <c r="B125" s="27">
        <v>0.66</v>
      </c>
      <c r="I125" s="30"/>
      <c r="J125" s="35"/>
      <c r="K125" s="35"/>
      <c r="L125" s="35">
        <f t="shared" si="8"/>
        <v>0</v>
      </c>
      <c r="M125" s="29"/>
      <c r="N125" s="30"/>
      <c r="O125" s="35"/>
      <c r="P125" s="35">
        <f t="shared" si="9"/>
        <v>0</v>
      </c>
      <c r="Q125" s="29"/>
      <c r="R125" s="30"/>
      <c r="S125" s="35"/>
      <c r="T125" s="35">
        <f t="shared" si="10"/>
        <v>0</v>
      </c>
      <c r="U125" s="29"/>
      <c r="V125" s="35"/>
      <c r="X125" s="26">
        <v>0</v>
      </c>
      <c r="Y125" s="29"/>
      <c r="Z125" s="30"/>
      <c r="AB125" s="26">
        <v>0</v>
      </c>
      <c r="AC125" s="29"/>
      <c r="AF125" s="26">
        <v>0</v>
      </c>
      <c r="AG125" s="29"/>
      <c r="AH125" s="30"/>
      <c r="AJ125" s="26">
        <v>0</v>
      </c>
      <c r="AK125" s="29"/>
      <c r="AL125" s="30"/>
      <c r="AN125" s="26">
        <v>0</v>
      </c>
      <c r="AO125" s="29"/>
      <c r="AR125" s="26">
        <v>0</v>
      </c>
      <c r="AS125" s="29"/>
      <c r="AT125" s="30"/>
      <c r="AX125" s="26">
        <v>0</v>
      </c>
      <c r="AY125" s="29"/>
      <c r="AZ125" s="30"/>
      <c r="BB125" s="26">
        <v>0</v>
      </c>
      <c r="BC125" s="29"/>
      <c r="BH125" s="26">
        <v>0</v>
      </c>
      <c r="BI125" s="29"/>
      <c r="BL125" s="26">
        <v>0</v>
      </c>
      <c r="BM125" s="29"/>
      <c r="BN125" s="30"/>
      <c r="BP125" s="26">
        <v>0</v>
      </c>
      <c r="BQ125" s="29"/>
      <c r="BR125" s="30"/>
      <c r="BT125" s="26">
        <v>0</v>
      </c>
      <c r="BU125" s="29"/>
      <c r="BX125" s="26">
        <v>0</v>
      </c>
      <c r="BY125" s="29"/>
      <c r="BZ125" s="30"/>
      <c r="CC125" s="26">
        <v>0</v>
      </c>
      <c r="CD125" s="29"/>
      <c r="CE125" s="30"/>
      <c r="CI125" s="26">
        <v>0</v>
      </c>
      <c r="CJ125" s="29"/>
      <c r="CK125" s="30"/>
      <c r="CN125" s="26">
        <v>0</v>
      </c>
      <c r="CO125" s="29"/>
      <c r="CR125" s="26">
        <v>0</v>
      </c>
      <c r="CS125" s="29"/>
      <c r="CT125" s="34"/>
      <c r="CV125" s="26">
        <v>0</v>
      </c>
      <c r="CW125" s="29"/>
      <c r="CX125" s="30"/>
      <c r="CZ125" s="26">
        <v>0</v>
      </c>
      <c r="DA125" s="29"/>
      <c r="DB125" s="30"/>
      <c r="DD125" s="26">
        <v>0</v>
      </c>
      <c r="DE125" s="29"/>
      <c r="DH125" s="26">
        <v>0</v>
      </c>
      <c r="DI125" s="29"/>
      <c r="DL125" s="26">
        <v>0</v>
      </c>
      <c r="DM125" s="29"/>
      <c r="DN125" s="30"/>
      <c r="DQ125" s="26">
        <v>0</v>
      </c>
      <c r="DR125" s="29"/>
      <c r="DS125" s="30"/>
      <c r="DV125" s="26">
        <v>0</v>
      </c>
      <c r="DW125" s="29"/>
      <c r="DZ125" s="26">
        <v>0</v>
      </c>
      <c r="EA125" s="29"/>
      <c r="EB125" s="30"/>
      <c r="EG125" s="26">
        <v>0</v>
      </c>
      <c r="EH125" s="29"/>
      <c r="EK125" s="26">
        <v>0</v>
      </c>
      <c r="EL125" s="29"/>
      <c r="EM125" s="30"/>
      <c r="EQ125" s="26">
        <v>0</v>
      </c>
      <c r="ER125" s="29"/>
      <c r="EW125" s="26">
        <v>0</v>
      </c>
      <c r="EX125" s="29"/>
      <c r="FA125" s="26">
        <v>0</v>
      </c>
      <c r="FB125" s="29"/>
      <c r="FC125" s="30"/>
      <c r="FE125" s="26">
        <v>0</v>
      </c>
      <c r="FF125" s="29"/>
      <c r="FG125" s="30"/>
      <c r="FI125" s="26">
        <v>0</v>
      </c>
      <c r="FJ125" s="29"/>
      <c r="FM125" s="26">
        <v>0</v>
      </c>
      <c r="FN125" s="29"/>
      <c r="FO125" s="30"/>
      <c r="FQ125" s="26">
        <v>0</v>
      </c>
      <c r="FR125" s="29"/>
      <c r="FS125" s="30"/>
      <c r="FU125" s="26">
        <v>0</v>
      </c>
      <c r="FV125" s="29"/>
      <c r="FY125" s="26">
        <v>0</v>
      </c>
      <c r="FZ125" s="32"/>
      <c r="GC125" s="26">
        <v>0</v>
      </c>
      <c r="GD125" s="29"/>
      <c r="GG125" s="26">
        <v>0</v>
      </c>
      <c r="GH125" s="32"/>
      <c r="GK125" s="26">
        <v>0</v>
      </c>
      <c r="GL125" s="29"/>
      <c r="GO125" s="26">
        <v>0</v>
      </c>
      <c r="GP125" s="32"/>
      <c r="GS125" s="26">
        <v>0</v>
      </c>
      <c r="GT125" s="29"/>
      <c r="GU125" s="34"/>
      <c r="GW125" s="26">
        <v>0</v>
      </c>
      <c r="GX125" s="32"/>
      <c r="HA125" s="26">
        <v>0</v>
      </c>
      <c r="HB125" s="32"/>
      <c r="HE125" s="26">
        <v>0</v>
      </c>
      <c r="HF125" s="32"/>
      <c r="HI125" s="26">
        <v>0</v>
      </c>
      <c r="HJ125" s="29"/>
      <c r="HK125" s="27"/>
      <c r="HM125" s="27"/>
      <c r="HO125" s="26">
        <v>0</v>
      </c>
      <c r="HP125" s="32"/>
      <c r="HQ125" s="31">
        <v>0</v>
      </c>
      <c r="HR125" s="31">
        <v>0</v>
      </c>
      <c r="HS125" s="26">
        <v>0</v>
      </c>
      <c r="HT125" s="32"/>
      <c r="HU125" s="31">
        <v>0</v>
      </c>
      <c r="HV125" s="31">
        <v>0</v>
      </c>
      <c r="HW125" s="26">
        <v>0</v>
      </c>
      <c r="HX125" s="32"/>
      <c r="HY125" s="34">
        <v>0</v>
      </c>
      <c r="HZ125" s="31">
        <v>0</v>
      </c>
      <c r="IA125" s="26">
        <v>0</v>
      </c>
      <c r="IB125" s="32"/>
    </row>
    <row r="126" spans="1:236" x14ac:dyDescent="0.25">
      <c r="A126" s="26" t="s">
        <v>253</v>
      </c>
      <c r="B126" s="27">
        <v>0.66</v>
      </c>
      <c r="I126" s="30"/>
      <c r="J126" s="35"/>
      <c r="K126" s="35"/>
      <c r="L126" s="35">
        <f t="shared" si="8"/>
        <v>0</v>
      </c>
      <c r="M126" s="29"/>
      <c r="N126" s="30"/>
      <c r="O126" s="35"/>
      <c r="P126" s="35">
        <f t="shared" si="9"/>
        <v>0</v>
      </c>
      <c r="Q126" s="29"/>
      <c r="R126" s="30"/>
      <c r="S126" s="35"/>
      <c r="T126" s="35">
        <f t="shared" si="10"/>
        <v>0</v>
      </c>
      <c r="U126" s="29"/>
      <c r="V126" s="35"/>
      <c r="X126" s="26">
        <v>0</v>
      </c>
      <c r="Y126" s="29"/>
      <c r="Z126" s="30"/>
      <c r="AB126" s="26">
        <v>0</v>
      </c>
      <c r="AC126" s="29"/>
      <c r="AF126" s="26">
        <v>0</v>
      </c>
      <c r="AG126" s="29"/>
      <c r="AH126" s="30"/>
      <c r="AJ126" s="26">
        <v>0</v>
      </c>
      <c r="AK126" s="29"/>
      <c r="AL126" s="30"/>
      <c r="AN126" s="26">
        <v>0</v>
      </c>
      <c r="AO126" s="29"/>
      <c r="AR126" s="26">
        <v>0</v>
      </c>
      <c r="AS126" s="29"/>
      <c r="AT126" s="30"/>
      <c r="AX126" s="26">
        <v>0</v>
      </c>
      <c r="AY126" s="29"/>
      <c r="AZ126" s="30"/>
      <c r="BB126" s="26">
        <v>0</v>
      </c>
      <c r="BC126" s="29"/>
      <c r="BH126" s="26">
        <v>0</v>
      </c>
      <c r="BI126" s="29"/>
      <c r="BL126" s="26">
        <v>0</v>
      </c>
      <c r="BM126" s="29"/>
      <c r="BN126" s="30"/>
      <c r="BP126" s="26">
        <v>0</v>
      </c>
      <c r="BQ126" s="29"/>
      <c r="BR126" s="30"/>
      <c r="BT126" s="26">
        <v>0</v>
      </c>
      <c r="BU126" s="29"/>
      <c r="BX126" s="26">
        <v>0</v>
      </c>
      <c r="BY126" s="29"/>
      <c r="BZ126" s="30"/>
      <c r="CC126" s="26">
        <v>0</v>
      </c>
      <c r="CD126" s="29"/>
      <c r="CE126" s="30"/>
      <c r="CI126" s="26">
        <v>0</v>
      </c>
      <c r="CJ126" s="29"/>
      <c r="CK126" s="30"/>
      <c r="CN126" s="26">
        <v>0</v>
      </c>
      <c r="CO126" s="29"/>
      <c r="CR126" s="26">
        <v>0</v>
      </c>
      <c r="CS126" s="29"/>
      <c r="CT126" s="34"/>
      <c r="CV126" s="26">
        <v>0</v>
      </c>
      <c r="CW126" s="29"/>
      <c r="CX126" s="30"/>
      <c r="CZ126" s="26">
        <v>0</v>
      </c>
      <c r="DA126" s="29"/>
      <c r="DB126" s="30"/>
      <c r="DD126" s="26">
        <v>0</v>
      </c>
      <c r="DE126" s="29"/>
      <c r="DH126" s="26">
        <v>0</v>
      </c>
      <c r="DI126" s="29"/>
      <c r="DL126" s="26">
        <v>0</v>
      </c>
      <c r="DM126" s="29"/>
      <c r="DN126" s="30"/>
      <c r="DQ126" s="26">
        <v>0</v>
      </c>
      <c r="DR126" s="29"/>
      <c r="DS126" s="30"/>
      <c r="DV126" s="26">
        <v>0</v>
      </c>
      <c r="DW126" s="29"/>
      <c r="DZ126" s="26">
        <v>0</v>
      </c>
      <c r="EA126" s="29"/>
      <c r="EB126" s="30"/>
      <c r="EG126" s="26">
        <v>0</v>
      </c>
      <c r="EH126" s="29"/>
      <c r="EK126" s="26">
        <v>0</v>
      </c>
      <c r="EL126" s="29"/>
      <c r="EM126" s="30"/>
      <c r="EQ126" s="26">
        <v>0</v>
      </c>
      <c r="ER126" s="29"/>
      <c r="EW126" s="26">
        <v>0</v>
      </c>
      <c r="EX126" s="29"/>
      <c r="FA126" s="26">
        <v>0</v>
      </c>
      <c r="FB126" s="29"/>
      <c r="FC126" s="30"/>
      <c r="FE126" s="26">
        <v>0</v>
      </c>
      <c r="FF126" s="29"/>
      <c r="FG126" s="30"/>
      <c r="FI126" s="26">
        <v>0</v>
      </c>
      <c r="FJ126" s="29"/>
      <c r="FM126" s="26">
        <v>0</v>
      </c>
      <c r="FN126" s="29"/>
      <c r="FO126" s="30"/>
      <c r="FQ126" s="26">
        <v>0</v>
      </c>
      <c r="FR126" s="29"/>
      <c r="FS126" s="30"/>
      <c r="FU126" s="26">
        <v>0</v>
      </c>
      <c r="FV126" s="29"/>
      <c r="FY126" s="26">
        <v>0</v>
      </c>
      <c r="FZ126" s="32"/>
      <c r="GC126" s="26">
        <v>0</v>
      </c>
      <c r="GD126" s="29"/>
      <c r="GG126" s="26">
        <v>0</v>
      </c>
      <c r="GH126" s="32"/>
      <c r="GK126" s="26">
        <v>0</v>
      </c>
      <c r="GL126" s="29"/>
      <c r="GO126" s="26">
        <v>0</v>
      </c>
      <c r="GP126" s="32"/>
      <c r="GS126" s="26">
        <v>0</v>
      </c>
      <c r="GT126" s="29"/>
      <c r="GU126" s="34"/>
      <c r="GW126" s="26">
        <v>0</v>
      </c>
      <c r="GX126" s="32"/>
      <c r="HA126" s="26">
        <v>0</v>
      </c>
      <c r="HB126" s="32"/>
      <c r="HE126" s="26">
        <v>0</v>
      </c>
      <c r="HF126" s="32"/>
      <c r="HI126" s="26">
        <v>0</v>
      </c>
      <c r="HJ126" s="29"/>
      <c r="HK126" s="27"/>
      <c r="HM126" s="27"/>
      <c r="HO126" s="26">
        <v>0</v>
      </c>
      <c r="HP126" s="32"/>
      <c r="HQ126" s="31">
        <v>0</v>
      </c>
      <c r="HR126" s="31">
        <v>0</v>
      </c>
      <c r="HS126" s="26">
        <v>0</v>
      </c>
      <c r="HT126" s="32"/>
      <c r="HU126" s="31">
        <v>0</v>
      </c>
      <c r="HV126" s="31">
        <v>0</v>
      </c>
      <c r="HW126" s="26">
        <v>0</v>
      </c>
      <c r="HX126" s="32"/>
      <c r="HY126" s="34">
        <v>0</v>
      </c>
      <c r="HZ126" s="31">
        <v>0</v>
      </c>
      <c r="IA126" s="26">
        <v>0</v>
      </c>
      <c r="IB126" s="32"/>
    </row>
    <row r="127" spans="1:236" x14ac:dyDescent="0.25">
      <c r="A127" s="26" t="s">
        <v>254</v>
      </c>
      <c r="B127" s="27">
        <v>0.33</v>
      </c>
      <c r="I127" s="30"/>
      <c r="J127" s="36">
        <v>24</v>
      </c>
      <c r="K127" s="36">
        <v>22</v>
      </c>
      <c r="L127" s="35">
        <f t="shared" si="8"/>
        <v>2</v>
      </c>
      <c r="M127" s="29"/>
      <c r="N127" s="28">
        <v>88</v>
      </c>
      <c r="O127" s="36">
        <v>90</v>
      </c>
      <c r="P127" s="35">
        <f t="shared" si="9"/>
        <v>-2</v>
      </c>
      <c r="Q127" s="29"/>
      <c r="R127" s="28">
        <v>40</v>
      </c>
      <c r="S127" s="36">
        <v>41</v>
      </c>
      <c r="T127" s="35">
        <f t="shared" si="10"/>
        <v>-1</v>
      </c>
      <c r="U127" s="29"/>
      <c r="V127" s="36">
        <v>16</v>
      </c>
      <c r="W127">
        <v>16</v>
      </c>
      <c r="X127" s="26">
        <v>0</v>
      </c>
      <c r="Y127" s="29"/>
      <c r="Z127" s="28">
        <v>64</v>
      </c>
      <c r="AA127">
        <v>64</v>
      </c>
      <c r="AB127" s="26">
        <v>0</v>
      </c>
      <c r="AC127" s="29"/>
      <c r="AD127">
        <v>8</v>
      </c>
      <c r="AE127">
        <v>8</v>
      </c>
      <c r="AF127" s="26">
        <v>0</v>
      </c>
      <c r="AG127" s="29"/>
      <c r="AH127" s="28">
        <v>40</v>
      </c>
      <c r="AI127">
        <v>41</v>
      </c>
      <c r="AJ127" s="26">
        <v>-1</v>
      </c>
      <c r="AK127" s="29"/>
      <c r="AL127" s="28">
        <v>16</v>
      </c>
      <c r="AM127">
        <v>17</v>
      </c>
      <c r="AN127" s="26">
        <v>-1</v>
      </c>
      <c r="AO127" s="29"/>
      <c r="AR127" s="26">
        <v>0</v>
      </c>
      <c r="AS127" s="29"/>
      <c r="AT127" s="30"/>
      <c r="AV127">
        <v>24</v>
      </c>
      <c r="AW127">
        <v>22</v>
      </c>
      <c r="AX127" s="26">
        <v>2</v>
      </c>
      <c r="AY127" s="29"/>
      <c r="AZ127" s="28">
        <v>8</v>
      </c>
      <c r="BA127">
        <v>8</v>
      </c>
      <c r="BB127" s="26">
        <v>0</v>
      </c>
      <c r="BC127" s="29"/>
      <c r="BH127" s="26">
        <v>0</v>
      </c>
      <c r="BI127" s="29"/>
      <c r="BL127" s="26">
        <v>0</v>
      </c>
      <c r="BM127" s="29"/>
      <c r="BN127" s="28">
        <v>24</v>
      </c>
      <c r="BO127">
        <v>23</v>
      </c>
      <c r="BP127" s="26">
        <v>1</v>
      </c>
      <c r="BQ127" s="29"/>
      <c r="BR127" s="28">
        <v>8</v>
      </c>
      <c r="BS127">
        <v>8</v>
      </c>
      <c r="BT127" s="26">
        <v>0</v>
      </c>
      <c r="BU127" s="29"/>
      <c r="BV127">
        <v>8</v>
      </c>
      <c r="BW127">
        <v>8</v>
      </c>
      <c r="BX127" s="26">
        <v>0</v>
      </c>
      <c r="BY127" s="29"/>
      <c r="BZ127" s="28">
        <v>8</v>
      </c>
      <c r="CB127">
        <v>7</v>
      </c>
      <c r="CC127" s="26">
        <v>1</v>
      </c>
      <c r="CD127" s="29"/>
      <c r="CE127" s="30"/>
      <c r="CI127" s="26">
        <v>0</v>
      </c>
      <c r="CJ127" s="29"/>
      <c r="CK127" s="28">
        <v>16</v>
      </c>
      <c r="CM127">
        <v>20</v>
      </c>
      <c r="CN127" s="26">
        <v>-4</v>
      </c>
      <c r="CO127" s="29"/>
      <c r="CP127">
        <v>8</v>
      </c>
      <c r="CQ127" s="26">
        <v>8</v>
      </c>
      <c r="CR127" s="26">
        <v>0</v>
      </c>
      <c r="CS127" s="29"/>
      <c r="CT127" s="34"/>
      <c r="CV127" s="26">
        <v>0</v>
      </c>
      <c r="CW127" s="29"/>
      <c r="CX127" s="28">
        <v>8</v>
      </c>
      <c r="CY127" s="26">
        <v>10.199999999999999</v>
      </c>
      <c r="CZ127" s="26">
        <v>-2.1999999999999988</v>
      </c>
      <c r="DA127" s="29"/>
      <c r="DB127" s="28">
        <v>8</v>
      </c>
      <c r="DC127">
        <v>8</v>
      </c>
      <c r="DD127" s="26">
        <v>0</v>
      </c>
      <c r="DE127" s="29"/>
      <c r="DF127">
        <v>16</v>
      </c>
      <c r="DG127" s="31">
        <v>19</v>
      </c>
      <c r="DH127" s="26">
        <v>-3</v>
      </c>
      <c r="DI127" s="29"/>
      <c r="DL127" s="26">
        <v>0</v>
      </c>
      <c r="DM127" s="29"/>
      <c r="DN127" s="28">
        <v>8</v>
      </c>
      <c r="DP127">
        <v>8</v>
      </c>
      <c r="DQ127" s="26">
        <v>0</v>
      </c>
      <c r="DR127" s="29"/>
      <c r="DS127" s="28">
        <v>8</v>
      </c>
      <c r="DU127">
        <v>8</v>
      </c>
      <c r="DV127" s="26">
        <v>0</v>
      </c>
      <c r="DW127" s="29"/>
      <c r="DX127">
        <v>16</v>
      </c>
      <c r="DY127" s="31">
        <v>18.399999999999999</v>
      </c>
      <c r="DZ127" s="26">
        <v>-2.399999999999999</v>
      </c>
      <c r="EA127" s="29"/>
      <c r="EB127" s="30"/>
      <c r="EE127">
        <v>8</v>
      </c>
      <c r="EF127">
        <v>9</v>
      </c>
      <c r="EG127" s="26">
        <v>-1</v>
      </c>
      <c r="EH127" s="29"/>
      <c r="EK127" s="26">
        <v>0</v>
      </c>
      <c r="EL127" s="29"/>
      <c r="EM127" s="30"/>
      <c r="EQ127" s="26">
        <v>0</v>
      </c>
      <c r="ER127" s="29"/>
      <c r="EU127">
        <v>24</v>
      </c>
      <c r="EV127">
        <v>24</v>
      </c>
      <c r="EW127" s="26">
        <v>0</v>
      </c>
      <c r="EX127" s="29"/>
      <c r="FA127" s="26">
        <v>0</v>
      </c>
      <c r="FB127" s="29"/>
      <c r="FC127" s="28">
        <v>16</v>
      </c>
      <c r="FD127">
        <v>18</v>
      </c>
      <c r="FE127" s="26">
        <v>-2</v>
      </c>
      <c r="FF127" s="29"/>
      <c r="FG127" s="28">
        <v>8</v>
      </c>
      <c r="FH127">
        <v>8</v>
      </c>
      <c r="FI127" s="26">
        <v>0</v>
      </c>
      <c r="FJ127" s="29"/>
      <c r="FM127" s="26">
        <v>0</v>
      </c>
      <c r="FN127" s="29"/>
      <c r="FO127" s="28">
        <v>16</v>
      </c>
      <c r="FP127">
        <v>16</v>
      </c>
      <c r="FQ127" s="26">
        <v>0</v>
      </c>
      <c r="FR127" s="29"/>
      <c r="FS127" s="30"/>
      <c r="FU127" s="26">
        <v>0</v>
      </c>
      <c r="FV127" s="29"/>
      <c r="FY127" s="26">
        <v>0</v>
      </c>
      <c r="FZ127" s="32"/>
      <c r="GC127" s="26">
        <v>0</v>
      </c>
      <c r="GD127" s="29"/>
      <c r="GE127">
        <v>8</v>
      </c>
      <c r="GF127">
        <v>4.8</v>
      </c>
      <c r="GG127" s="26">
        <v>3.2</v>
      </c>
      <c r="GH127" s="32"/>
      <c r="GK127" s="26">
        <v>0</v>
      </c>
      <c r="GL127" s="29"/>
      <c r="GO127" s="26">
        <v>0</v>
      </c>
      <c r="GP127" s="32"/>
      <c r="GQ127">
        <v>8</v>
      </c>
      <c r="GR127" s="31">
        <v>10</v>
      </c>
      <c r="GS127" s="26">
        <v>-2</v>
      </c>
      <c r="GT127" s="29"/>
      <c r="GU127" s="34"/>
      <c r="GW127" s="26">
        <v>0</v>
      </c>
      <c r="GX127" s="32"/>
      <c r="HA127" s="26">
        <v>0</v>
      </c>
      <c r="HB127" s="32"/>
      <c r="HE127" s="26">
        <v>0</v>
      </c>
      <c r="HF127" s="32"/>
      <c r="HI127" s="26">
        <v>0</v>
      </c>
      <c r="HJ127" s="29"/>
      <c r="HK127" s="27"/>
      <c r="HM127">
        <v>24</v>
      </c>
      <c r="HN127">
        <v>26</v>
      </c>
      <c r="HO127" s="26">
        <v>-2</v>
      </c>
      <c r="HP127" s="32"/>
      <c r="HQ127" s="31">
        <v>0</v>
      </c>
      <c r="HR127" s="31">
        <v>0</v>
      </c>
      <c r="HS127" s="26">
        <v>0</v>
      </c>
      <c r="HT127" s="32"/>
      <c r="HU127" s="31">
        <v>0</v>
      </c>
      <c r="HV127" s="31">
        <v>0</v>
      </c>
      <c r="HW127" s="26">
        <v>0</v>
      </c>
      <c r="HX127" s="32"/>
      <c r="HY127" s="34">
        <v>0</v>
      </c>
      <c r="HZ127" s="31">
        <v>0</v>
      </c>
      <c r="IA127" s="26">
        <v>0</v>
      </c>
      <c r="IB127" s="32"/>
    </row>
    <row r="128" spans="1:236" x14ac:dyDescent="0.25">
      <c r="A128" s="26" t="s">
        <v>255</v>
      </c>
      <c r="B128" s="27">
        <v>0.36</v>
      </c>
      <c r="I128" s="30"/>
      <c r="J128" s="35"/>
      <c r="K128" s="36">
        <v>20</v>
      </c>
      <c r="L128" s="40">
        <f t="shared" si="8"/>
        <v>-20</v>
      </c>
      <c r="M128" s="29">
        <f>-1*L128*B128</f>
        <v>7.1999999999999993</v>
      </c>
      <c r="N128" s="30"/>
      <c r="O128" s="36">
        <v>40</v>
      </c>
      <c r="P128" s="40">
        <f t="shared" si="9"/>
        <v>-40</v>
      </c>
      <c r="Q128" s="29">
        <f>-1*P128*B128</f>
        <v>14.399999999999999</v>
      </c>
      <c r="R128" s="30"/>
      <c r="S128" s="35"/>
      <c r="T128" s="35">
        <f t="shared" si="10"/>
        <v>0</v>
      </c>
      <c r="U128" s="29"/>
      <c r="V128" s="35"/>
      <c r="W128">
        <v>42</v>
      </c>
      <c r="X128" s="25">
        <v>-42</v>
      </c>
      <c r="Y128" s="29">
        <v>15.12</v>
      </c>
      <c r="Z128" s="30"/>
      <c r="AA128">
        <v>26</v>
      </c>
      <c r="AB128" s="25">
        <v>-26</v>
      </c>
      <c r="AC128" s="29">
        <v>9.36</v>
      </c>
      <c r="AD128">
        <v>16</v>
      </c>
      <c r="AE128">
        <v>16</v>
      </c>
      <c r="AF128" s="26">
        <v>0</v>
      </c>
      <c r="AG128" s="29"/>
      <c r="AH128" s="30"/>
      <c r="AJ128" s="26">
        <v>0</v>
      </c>
      <c r="AK128" s="29"/>
      <c r="AL128" s="28">
        <v>16</v>
      </c>
      <c r="AM128">
        <v>20</v>
      </c>
      <c r="AN128" s="26">
        <v>-4</v>
      </c>
      <c r="AO128" s="29"/>
      <c r="AR128" s="26">
        <v>0</v>
      </c>
      <c r="AS128" s="29"/>
      <c r="AT128" s="30"/>
      <c r="AV128">
        <v>8</v>
      </c>
      <c r="AW128">
        <v>18</v>
      </c>
      <c r="AX128" s="25">
        <v>-10</v>
      </c>
      <c r="AY128" s="29">
        <v>9.64</v>
      </c>
      <c r="AZ128" s="28">
        <v>8</v>
      </c>
      <c r="BA128">
        <v>8</v>
      </c>
      <c r="BB128" s="26">
        <v>0</v>
      </c>
      <c r="BC128" s="29"/>
      <c r="BH128" s="26">
        <v>0</v>
      </c>
      <c r="BI128" s="29"/>
      <c r="BJ128">
        <v>16</v>
      </c>
      <c r="BK128">
        <v>20</v>
      </c>
      <c r="BL128" s="26">
        <v>-4</v>
      </c>
      <c r="BM128" s="29"/>
      <c r="BN128" s="30"/>
      <c r="BP128" s="26">
        <v>0</v>
      </c>
      <c r="BQ128" s="29"/>
      <c r="BR128" s="30"/>
      <c r="BS128">
        <v>8</v>
      </c>
      <c r="BT128" s="25">
        <v>-8</v>
      </c>
      <c r="BU128" s="29">
        <v>2.88</v>
      </c>
      <c r="BV128">
        <v>16</v>
      </c>
      <c r="BW128">
        <v>15</v>
      </c>
      <c r="BX128" s="26">
        <v>1</v>
      </c>
      <c r="BY128" s="29"/>
      <c r="BZ128" s="30"/>
      <c r="CC128" s="26">
        <v>0</v>
      </c>
      <c r="CD128" s="29"/>
      <c r="CE128" s="30"/>
      <c r="CI128" s="26">
        <v>0</v>
      </c>
      <c r="CJ128" s="29"/>
      <c r="CK128" s="28">
        <v>24</v>
      </c>
      <c r="CM128">
        <v>29</v>
      </c>
      <c r="CN128" s="26">
        <v>-5</v>
      </c>
      <c r="CO128" s="29"/>
      <c r="CR128" s="26">
        <v>0</v>
      </c>
      <c r="CS128" s="29"/>
      <c r="CT128" s="28">
        <v>24</v>
      </c>
      <c r="CU128" s="26">
        <v>29.2</v>
      </c>
      <c r="CV128" s="26">
        <v>-5.1999999999999993</v>
      </c>
      <c r="CW128" s="29"/>
      <c r="CX128" s="28">
        <v>8</v>
      </c>
      <c r="CY128" s="26">
        <v>11.2</v>
      </c>
      <c r="CZ128" s="26">
        <v>-3.1999999999999988</v>
      </c>
      <c r="DA128" s="29"/>
      <c r="DB128" s="30"/>
      <c r="DD128" s="26">
        <v>0</v>
      </c>
      <c r="DE128" s="29"/>
      <c r="DF128">
        <v>16</v>
      </c>
      <c r="DG128" s="31">
        <v>16.600000000000001</v>
      </c>
      <c r="DH128" s="26">
        <v>-0.60000000000000142</v>
      </c>
      <c r="DI128" s="29"/>
      <c r="DJ128">
        <v>16</v>
      </c>
      <c r="DK128">
        <v>21</v>
      </c>
      <c r="DL128" s="26">
        <v>-5</v>
      </c>
      <c r="DM128" s="29"/>
      <c r="DN128" s="30"/>
      <c r="DQ128" s="26">
        <v>0</v>
      </c>
      <c r="DR128" s="29"/>
      <c r="DS128" s="30"/>
      <c r="DV128" s="26">
        <v>0</v>
      </c>
      <c r="DW128" s="29"/>
      <c r="DZ128" s="26">
        <v>0</v>
      </c>
      <c r="EA128" s="29"/>
      <c r="EB128" s="30"/>
      <c r="EE128">
        <v>24</v>
      </c>
      <c r="EF128">
        <v>26</v>
      </c>
      <c r="EG128" s="26">
        <v>-2</v>
      </c>
      <c r="EH128" s="29"/>
      <c r="EI128">
        <v>8</v>
      </c>
      <c r="EJ128" s="31">
        <v>11.8</v>
      </c>
      <c r="EK128" s="26">
        <v>-3.8000000000000012</v>
      </c>
      <c r="EL128" s="29"/>
      <c r="EM128" s="30"/>
      <c r="EQ128" s="26">
        <v>0</v>
      </c>
      <c r="ER128" s="29"/>
      <c r="EU128">
        <v>24</v>
      </c>
      <c r="EV128">
        <v>28</v>
      </c>
      <c r="EW128" s="26">
        <v>-4</v>
      </c>
      <c r="EX128" s="29"/>
      <c r="FA128" s="26">
        <v>0</v>
      </c>
      <c r="FB128" s="29"/>
      <c r="FC128" s="28">
        <v>8</v>
      </c>
      <c r="FD128">
        <v>7</v>
      </c>
      <c r="FE128" s="26">
        <v>1</v>
      </c>
      <c r="FF128" s="29"/>
      <c r="FG128" s="28">
        <v>16</v>
      </c>
      <c r="FH128">
        <v>16</v>
      </c>
      <c r="FI128" s="26">
        <v>0</v>
      </c>
      <c r="FJ128" s="29"/>
      <c r="FK128">
        <v>16</v>
      </c>
      <c r="FL128">
        <v>15</v>
      </c>
      <c r="FM128" s="26">
        <v>1</v>
      </c>
      <c r="FN128" s="29"/>
      <c r="FO128" s="28">
        <v>24</v>
      </c>
      <c r="FP128">
        <v>24</v>
      </c>
      <c r="FQ128" s="26">
        <v>0</v>
      </c>
      <c r="FR128" s="29"/>
      <c r="FS128" s="30"/>
      <c r="FU128" s="26">
        <v>0</v>
      </c>
      <c r="FV128" s="29"/>
      <c r="FW128">
        <v>8</v>
      </c>
      <c r="FX128">
        <v>8</v>
      </c>
      <c r="FY128" s="26">
        <v>0</v>
      </c>
      <c r="FZ128" s="32"/>
      <c r="GA128">
        <v>24</v>
      </c>
      <c r="GB128">
        <v>25</v>
      </c>
      <c r="GC128" s="26">
        <v>-1</v>
      </c>
      <c r="GD128" s="29"/>
      <c r="GE128">
        <v>8</v>
      </c>
      <c r="GF128">
        <v>8</v>
      </c>
      <c r="GG128" s="26">
        <v>0</v>
      </c>
      <c r="GH128" s="32"/>
      <c r="GI128">
        <v>24</v>
      </c>
      <c r="GJ128">
        <v>22</v>
      </c>
      <c r="GK128" s="26">
        <v>2</v>
      </c>
      <c r="GL128" s="29"/>
      <c r="GM128">
        <v>8</v>
      </c>
      <c r="GN128">
        <v>8</v>
      </c>
      <c r="GO128" s="26">
        <v>0</v>
      </c>
      <c r="GP128" s="32"/>
      <c r="GS128" s="26">
        <v>0</v>
      </c>
      <c r="GT128" s="29"/>
      <c r="GU128" s="34"/>
      <c r="GW128" s="26">
        <v>0</v>
      </c>
      <c r="GX128" s="32"/>
      <c r="GY128">
        <v>40</v>
      </c>
      <c r="GZ128">
        <v>39</v>
      </c>
      <c r="HA128" s="26">
        <v>1</v>
      </c>
      <c r="HB128" s="32"/>
      <c r="HE128" s="26">
        <v>0</v>
      </c>
      <c r="HF128" s="32"/>
      <c r="HI128" s="26">
        <v>0</v>
      </c>
      <c r="HJ128" s="29"/>
      <c r="HK128" s="27"/>
      <c r="HM128">
        <v>32</v>
      </c>
      <c r="HN128">
        <v>36</v>
      </c>
      <c r="HO128" s="26">
        <v>-4</v>
      </c>
      <c r="HP128" s="32"/>
      <c r="HQ128" s="31">
        <v>0</v>
      </c>
      <c r="HR128" s="31">
        <v>0</v>
      </c>
      <c r="HS128" s="26">
        <v>0</v>
      </c>
      <c r="HT128" s="32"/>
      <c r="HU128" s="31">
        <v>0</v>
      </c>
      <c r="HV128" s="31">
        <v>0</v>
      </c>
      <c r="HW128" s="26">
        <v>0</v>
      </c>
      <c r="HX128" s="32"/>
      <c r="HY128" s="34">
        <v>0</v>
      </c>
      <c r="HZ128" s="31">
        <v>0</v>
      </c>
      <c r="IA128" s="26">
        <v>0</v>
      </c>
      <c r="IB128" s="32"/>
    </row>
    <row r="129" spans="1:236" x14ac:dyDescent="0.25">
      <c r="A129" s="26" t="s">
        <v>256</v>
      </c>
      <c r="B129" s="27">
        <v>0.15</v>
      </c>
      <c r="I129" s="30"/>
      <c r="J129" s="35"/>
      <c r="K129" s="35"/>
      <c r="L129" s="35">
        <f t="shared" si="8"/>
        <v>0</v>
      </c>
      <c r="M129" s="29"/>
      <c r="N129" s="30"/>
      <c r="O129" s="35"/>
      <c r="P129" s="35">
        <f t="shared" si="9"/>
        <v>0</v>
      </c>
      <c r="Q129" s="29"/>
      <c r="R129" s="30"/>
      <c r="S129" s="35"/>
      <c r="T129" s="35">
        <f t="shared" si="10"/>
        <v>0</v>
      </c>
      <c r="U129" s="29"/>
      <c r="V129" s="35"/>
      <c r="X129" s="26">
        <v>0</v>
      </c>
      <c r="Y129" s="29"/>
      <c r="Z129" s="30"/>
      <c r="AB129" s="26">
        <v>0</v>
      </c>
      <c r="AC129" s="29"/>
      <c r="AF129" s="26">
        <v>0</v>
      </c>
      <c r="AG129" s="29"/>
      <c r="AH129" s="30"/>
      <c r="AJ129" s="26">
        <v>0</v>
      </c>
      <c r="AK129" s="29"/>
      <c r="AL129" s="30"/>
      <c r="AN129" s="26">
        <v>0</v>
      </c>
      <c r="AO129" s="29"/>
      <c r="AR129" s="26">
        <v>0</v>
      </c>
      <c r="AS129" s="29"/>
      <c r="AT129" s="30"/>
      <c r="AX129" s="26">
        <v>0</v>
      </c>
      <c r="AY129" s="29"/>
      <c r="AZ129" s="30"/>
      <c r="BB129" s="26">
        <v>0</v>
      </c>
      <c r="BC129" s="29"/>
      <c r="BH129" s="26">
        <v>0</v>
      </c>
      <c r="BI129" s="29"/>
      <c r="BL129" s="26">
        <v>0</v>
      </c>
      <c r="BM129" s="29"/>
      <c r="BN129" s="30"/>
      <c r="BP129" s="26">
        <v>0</v>
      </c>
      <c r="BQ129" s="29"/>
      <c r="BR129" s="30"/>
      <c r="BT129" s="26">
        <v>0</v>
      </c>
      <c r="BU129" s="29"/>
      <c r="BX129" s="26">
        <v>0</v>
      </c>
      <c r="BY129" s="29"/>
      <c r="BZ129" s="30"/>
      <c r="CC129" s="26">
        <v>0</v>
      </c>
      <c r="CD129" s="29"/>
      <c r="CE129" s="30"/>
      <c r="CI129" s="26">
        <v>0</v>
      </c>
      <c r="CJ129" s="29"/>
      <c r="CK129" s="30"/>
      <c r="CN129" s="26">
        <v>0</v>
      </c>
      <c r="CO129" s="29"/>
      <c r="CR129" s="26">
        <v>0</v>
      </c>
      <c r="CS129" s="29"/>
      <c r="CT129" s="34"/>
      <c r="CV129" s="26">
        <v>0</v>
      </c>
      <c r="CW129" s="29"/>
      <c r="CX129" s="30"/>
      <c r="CZ129" s="26">
        <v>0</v>
      </c>
      <c r="DA129" s="29"/>
      <c r="DB129" s="30"/>
      <c r="DD129" s="26">
        <v>0</v>
      </c>
      <c r="DE129" s="29"/>
      <c r="DH129" s="26">
        <v>0</v>
      </c>
      <c r="DI129" s="29"/>
      <c r="DL129" s="26">
        <v>0</v>
      </c>
      <c r="DM129" s="29"/>
      <c r="DN129" s="30"/>
      <c r="DQ129" s="26">
        <v>0</v>
      </c>
      <c r="DR129" s="29"/>
      <c r="DS129" s="30"/>
      <c r="DV129" s="26">
        <v>0</v>
      </c>
      <c r="DW129" s="29"/>
      <c r="DZ129" s="26">
        <v>0</v>
      </c>
      <c r="EA129" s="29"/>
      <c r="EB129" s="30"/>
      <c r="EG129" s="26">
        <v>0</v>
      </c>
      <c r="EH129" s="29"/>
      <c r="EK129" s="26">
        <v>0</v>
      </c>
      <c r="EL129" s="29"/>
      <c r="EM129" s="30"/>
      <c r="EQ129" s="26">
        <v>0</v>
      </c>
      <c r="ER129" s="29"/>
      <c r="EW129" s="26">
        <v>0</v>
      </c>
      <c r="EX129" s="29"/>
      <c r="FA129" s="26">
        <v>0</v>
      </c>
      <c r="FB129" s="29"/>
      <c r="FC129" s="30"/>
      <c r="FE129" s="26">
        <v>0</v>
      </c>
      <c r="FF129" s="29"/>
      <c r="FG129" s="30"/>
      <c r="FI129" s="26">
        <v>0</v>
      </c>
      <c r="FJ129" s="29"/>
      <c r="FM129" s="26">
        <v>0</v>
      </c>
      <c r="FN129" s="29"/>
      <c r="FO129" s="30"/>
      <c r="FQ129" s="26">
        <v>0</v>
      </c>
      <c r="FR129" s="29"/>
      <c r="FS129" s="30"/>
      <c r="FU129" s="26">
        <v>0</v>
      </c>
      <c r="FV129" s="29"/>
      <c r="FY129" s="26">
        <v>0</v>
      </c>
      <c r="FZ129" s="32"/>
      <c r="GC129" s="26">
        <v>0</v>
      </c>
      <c r="GD129" s="29"/>
      <c r="GG129" s="26">
        <v>0</v>
      </c>
      <c r="GH129" s="32"/>
      <c r="GK129" s="26">
        <v>0</v>
      </c>
      <c r="GL129" s="29"/>
      <c r="GO129" s="26">
        <v>0</v>
      </c>
      <c r="GP129" s="32"/>
      <c r="GS129" s="26">
        <v>0</v>
      </c>
      <c r="GT129" s="29"/>
      <c r="GU129" s="34"/>
      <c r="GW129" s="26">
        <v>0</v>
      </c>
      <c r="GX129" s="32"/>
      <c r="HA129" s="26">
        <v>0</v>
      </c>
      <c r="HB129" s="32"/>
      <c r="HE129" s="26">
        <v>0</v>
      </c>
      <c r="HF129" s="32"/>
      <c r="HI129" s="26">
        <v>0</v>
      </c>
      <c r="HJ129" s="29"/>
      <c r="HK129" s="27"/>
      <c r="HM129" s="27"/>
      <c r="HO129" s="26">
        <v>0</v>
      </c>
      <c r="HP129" s="32"/>
      <c r="HQ129" s="31">
        <v>0</v>
      </c>
      <c r="HR129" s="31">
        <v>0</v>
      </c>
      <c r="HS129" s="26">
        <v>0</v>
      </c>
      <c r="HT129" s="32"/>
      <c r="HU129" s="31">
        <v>0</v>
      </c>
      <c r="HV129" s="31">
        <v>0</v>
      </c>
      <c r="HW129" s="26">
        <v>0</v>
      </c>
      <c r="HX129" s="32"/>
      <c r="HY129" s="34">
        <v>0</v>
      </c>
      <c r="HZ129" s="31">
        <v>0</v>
      </c>
      <c r="IA129" s="26">
        <v>0</v>
      </c>
      <c r="IB129" s="32"/>
    </row>
    <row r="130" spans="1:236" x14ac:dyDescent="0.25">
      <c r="A130" s="26" t="s">
        <v>257</v>
      </c>
      <c r="B130" s="27">
        <v>0.15</v>
      </c>
      <c r="I130" s="30"/>
      <c r="J130" s="35"/>
      <c r="K130" s="35"/>
      <c r="L130" s="35">
        <f t="shared" si="8"/>
        <v>0</v>
      </c>
      <c r="M130" s="29"/>
      <c r="N130" s="30"/>
      <c r="O130" s="35"/>
      <c r="P130" s="35">
        <f t="shared" si="9"/>
        <v>0</v>
      </c>
      <c r="Q130" s="29"/>
      <c r="R130" s="30"/>
      <c r="S130" s="35"/>
      <c r="T130" s="35">
        <f t="shared" si="10"/>
        <v>0</v>
      </c>
      <c r="U130" s="29"/>
      <c r="V130" s="35"/>
      <c r="X130" s="26">
        <v>0</v>
      </c>
      <c r="Y130" s="29"/>
      <c r="Z130" s="30"/>
      <c r="AB130" s="26">
        <v>0</v>
      </c>
      <c r="AC130" s="29"/>
      <c r="AF130" s="26">
        <v>0</v>
      </c>
      <c r="AG130" s="29"/>
      <c r="AH130" s="30"/>
      <c r="AJ130" s="26">
        <v>0</v>
      </c>
      <c r="AK130" s="29"/>
      <c r="AL130" s="30"/>
      <c r="AN130" s="26">
        <v>0</v>
      </c>
      <c r="AO130" s="29"/>
      <c r="AR130" s="26">
        <v>0</v>
      </c>
      <c r="AS130" s="29"/>
      <c r="AT130" s="30"/>
      <c r="AX130" s="26">
        <v>0</v>
      </c>
      <c r="AY130" s="29"/>
      <c r="AZ130" s="30"/>
      <c r="BB130" s="26">
        <v>0</v>
      </c>
      <c r="BC130" s="29"/>
      <c r="BH130" s="26">
        <v>0</v>
      </c>
      <c r="BI130" s="29"/>
      <c r="BL130" s="26">
        <v>0</v>
      </c>
      <c r="BM130" s="29"/>
      <c r="BN130" s="30"/>
      <c r="BP130" s="26">
        <v>0</v>
      </c>
      <c r="BQ130" s="29"/>
      <c r="BR130" s="30"/>
      <c r="BT130" s="26">
        <v>0</v>
      </c>
      <c r="BU130" s="29"/>
      <c r="BX130" s="26">
        <v>0</v>
      </c>
      <c r="BY130" s="29"/>
      <c r="BZ130" s="30"/>
      <c r="CC130" s="26">
        <v>0</v>
      </c>
      <c r="CD130" s="29"/>
      <c r="CE130" s="30"/>
      <c r="CI130" s="26">
        <v>0</v>
      </c>
      <c r="CJ130" s="29"/>
      <c r="CK130" s="30"/>
      <c r="CN130" s="26">
        <v>0</v>
      </c>
      <c r="CO130" s="29"/>
      <c r="CR130" s="26">
        <v>0</v>
      </c>
      <c r="CS130" s="29"/>
      <c r="CT130" s="34"/>
      <c r="CV130" s="26">
        <v>0</v>
      </c>
      <c r="CW130" s="29"/>
      <c r="CX130" s="30"/>
      <c r="CZ130" s="26">
        <v>0</v>
      </c>
      <c r="DA130" s="29"/>
      <c r="DB130" s="30"/>
      <c r="DD130" s="26">
        <v>0</v>
      </c>
      <c r="DE130" s="29"/>
      <c r="DH130" s="26">
        <v>0</v>
      </c>
      <c r="DI130" s="29"/>
      <c r="DL130" s="26">
        <v>0</v>
      </c>
      <c r="DM130" s="29"/>
      <c r="DN130" s="30"/>
      <c r="DQ130" s="26">
        <v>0</v>
      </c>
      <c r="DR130" s="29"/>
      <c r="DS130" s="30"/>
      <c r="DV130" s="26">
        <v>0</v>
      </c>
      <c r="DW130" s="29"/>
      <c r="DZ130" s="26">
        <v>0</v>
      </c>
      <c r="EA130" s="29"/>
      <c r="EB130" s="30"/>
      <c r="EG130" s="26">
        <v>0</v>
      </c>
      <c r="EH130" s="29"/>
      <c r="EK130" s="26">
        <v>0</v>
      </c>
      <c r="EL130" s="29"/>
      <c r="EM130" s="30"/>
      <c r="EQ130" s="26">
        <v>0</v>
      </c>
      <c r="ER130" s="29"/>
      <c r="EW130" s="26">
        <v>0</v>
      </c>
      <c r="EX130" s="29"/>
      <c r="FA130" s="26">
        <v>0</v>
      </c>
      <c r="FB130" s="29"/>
      <c r="FC130" s="30"/>
      <c r="FE130" s="26">
        <v>0</v>
      </c>
      <c r="FF130" s="29"/>
      <c r="FG130" s="30"/>
      <c r="FI130" s="26">
        <v>0</v>
      </c>
      <c r="FJ130" s="29"/>
      <c r="FM130" s="26">
        <v>0</v>
      </c>
      <c r="FN130" s="29"/>
      <c r="FO130" s="30"/>
      <c r="FQ130" s="26">
        <v>0</v>
      </c>
      <c r="FR130" s="29"/>
      <c r="FS130" s="30"/>
      <c r="FU130" s="26">
        <v>0</v>
      </c>
      <c r="FV130" s="29"/>
      <c r="FY130" s="26">
        <v>0</v>
      </c>
      <c r="FZ130" s="32"/>
      <c r="GC130" s="26">
        <v>0</v>
      </c>
      <c r="GD130" s="29"/>
      <c r="GG130" s="26">
        <v>0</v>
      </c>
      <c r="GH130" s="32"/>
      <c r="GK130" s="26">
        <v>0</v>
      </c>
      <c r="GL130" s="29"/>
      <c r="GO130" s="26">
        <v>0</v>
      </c>
      <c r="GP130" s="32"/>
      <c r="GS130" s="26">
        <v>0</v>
      </c>
      <c r="GT130" s="29"/>
      <c r="GU130" s="34"/>
      <c r="GW130" s="26">
        <v>0</v>
      </c>
      <c r="GX130" s="32"/>
      <c r="HA130" s="26">
        <v>0</v>
      </c>
      <c r="HB130" s="32"/>
      <c r="HE130" s="26">
        <v>0</v>
      </c>
      <c r="HF130" s="32"/>
      <c r="HI130" s="26">
        <v>0</v>
      </c>
      <c r="HJ130" s="29"/>
      <c r="HK130" s="27"/>
      <c r="HM130" s="27"/>
      <c r="HO130" s="26">
        <v>0</v>
      </c>
      <c r="HP130" s="32"/>
      <c r="HQ130" s="31">
        <v>0</v>
      </c>
      <c r="HR130" s="31">
        <v>0</v>
      </c>
      <c r="HS130" s="26">
        <v>0</v>
      </c>
      <c r="HT130" s="32"/>
      <c r="HU130" s="31">
        <v>0</v>
      </c>
      <c r="HV130" s="31">
        <v>0</v>
      </c>
      <c r="HW130" s="26">
        <v>0</v>
      </c>
      <c r="HX130" s="32"/>
      <c r="HY130" s="34">
        <v>0</v>
      </c>
      <c r="HZ130" s="31">
        <v>0</v>
      </c>
      <c r="IA130" s="26">
        <v>0</v>
      </c>
      <c r="IB130" s="32"/>
    </row>
    <row r="131" spans="1:236" x14ac:dyDescent="0.25">
      <c r="A131" s="26" t="s">
        <v>258</v>
      </c>
      <c r="B131" s="27">
        <v>0.15</v>
      </c>
      <c r="I131" s="30"/>
      <c r="J131" s="35"/>
      <c r="K131" s="35"/>
      <c r="L131" s="35">
        <f t="shared" si="8"/>
        <v>0</v>
      </c>
      <c r="M131" s="29"/>
      <c r="N131" s="30"/>
      <c r="O131" s="35"/>
      <c r="P131" s="35">
        <f t="shared" si="9"/>
        <v>0</v>
      </c>
      <c r="Q131" s="29"/>
      <c r="R131" s="30"/>
      <c r="S131" s="35"/>
      <c r="T131" s="35">
        <f t="shared" si="10"/>
        <v>0</v>
      </c>
      <c r="U131" s="29"/>
      <c r="V131" s="35"/>
      <c r="X131" s="26">
        <v>0</v>
      </c>
      <c r="Y131" s="29"/>
      <c r="Z131" s="30"/>
      <c r="AB131" s="26">
        <v>0</v>
      </c>
      <c r="AC131" s="29"/>
      <c r="AF131" s="26">
        <v>0</v>
      </c>
      <c r="AG131" s="29"/>
      <c r="AH131" s="30"/>
      <c r="AJ131" s="26">
        <v>0</v>
      </c>
      <c r="AK131" s="29"/>
      <c r="AL131" s="30"/>
      <c r="AN131" s="26">
        <v>0</v>
      </c>
      <c r="AO131" s="29"/>
      <c r="AR131" s="26">
        <v>0</v>
      </c>
      <c r="AS131" s="29"/>
      <c r="AT131" s="30"/>
      <c r="AX131" s="26">
        <v>0</v>
      </c>
      <c r="AY131" s="29"/>
      <c r="AZ131" s="30"/>
      <c r="BB131" s="26">
        <v>0</v>
      </c>
      <c r="BC131" s="29"/>
      <c r="BH131" s="26">
        <v>0</v>
      </c>
      <c r="BI131" s="29"/>
      <c r="BL131" s="26">
        <v>0</v>
      </c>
      <c r="BM131" s="29"/>
      <c r="BN131" s="30"/>
      <c r="BP131" s="26">
        <v>0</v>
      </c>
      <c r="BQ131" s="29"/>
      <c r="BR131" s="30"/>
      <c r="BT131" s="26">
        <v>0</v>
      </c>
      <c r="BU131" s="29"/>
      <c r="BX131" s="26">
        <v>0</v>
      </c>
      <c r="BY131" s="29"/>
      <c r="BZ131" s="30"/>
      <c r="CC131" s="26">
        <v>0</v>
      </c>
      <c r="CD131" s="29"/>
      <c r="CE131" s="30"/>
      <c r="CI131" s="26">
        <v>0</v>
      </c>
      <c r="CJ131" s="29"/>
      <c r="CK131" s="30"/>
      <c r="CN131" s="26">
        <v>0</v>
      </c>
      <c r="CO131" s="29"/>
      <c r="CR131" s="26">
        <v>0</v>
      </c>
      <c r="CS131" s="29"/>
      <c r="CT131" s="34"/>
      <c r="CV131" s="26">
        <v>0</v>
      </c>
      <c r="CW131" s="29"/>
      <c r="CX131" s="30"/>
      <c r="CZ131" s="26">
        <v>0</v>
      </c>
      <c r="DA131" s="29"/>
      <c r="DB131" s="30"/>
      <c r="DD131" s="26">
        <v>0</v>
      </c>
      <c r="DE131" s="29"/>
      <c r="DH131" s="26">
        <v>0</v>
      </c>
      <c r="DI131" s="29"/>
      <c r="DL131" s="26">
        <v>0</v>
      </c>
      <c r="DM131" s="29"/>
      <c r="DN131" s="30"/>
      <c r="DQ131" s="26">
        <v>0</v>
      </c>
      <c r="DR131" s="29"/>
      <c r="DS131" s="30"/>
      <c r="DV131" s="26">
        <v>0</v>
      </c>
      <c r="DW131" s="29"/>
      <c r="DZ131" s="26">
        <v>0</v>
      </c>
      <c r="EA131" s="29"/>
      <c r="EB131" s="30"/>
      <c r="EG131" s="26">
        <v>0</v>
      </c>
      <c r="EH131" s="29"/>
      <c r="EK131" s="26">
        <v>0</v>
      </c>
      <c r="EL131" s="29"/>
      <c r="EM131" s="30"/>
      <c r="EQ131" s="26">
        <v>0</v>
      </c>
      <c r="ER131" s="29"/>
      <c r="EW131" s="26">
        <v>0</v>
      </c>
      <c r="EX131" s="29"/>
      <c r="FA131" s="26">
        <v>0</v>
      </c>
      <c r="FB131" s="29"/>
      <c r="FC131" s="30"/>
      <c r="FE131" s="26">
        <v>0</v>
      </c>
      <c r="FF131" s="29"/>
      <c r="FG131" s="30"/>
      <c r="FI131" s="26">
        <v>0</v>
      </c>
      <c r="FJ131" s="29"/>
      <c r="FM131" s="26">
        <v>0</v>
      </c>
      <c r="FN131" s="29"/>
      <c r="FO131" s="30"/>
      <c r="FQ131" s="26">
        <v>0</v>
      </c>
      <c r="FR131" s="29"/>
      <c r="FS131" s="30"/>
      <c r="FU131" s="26">
        <v>0</v>
      </c>
      <c r="FV131" s="29"/>
      <c r="FY131" s="26">
        <v>0</v>
      </c>
      <c r="FZ131" s="32"/>
      <c r="GC131" s="26">
        <v>0</v>
      </c>
      <c r="GD131" s="29"/>
      <c r="GG131" s="26">
        <v>0</v>
      </c>
      <c r="GH131" s="32"/>
      <c r="GK131" s="26">
        <v>0</v>
      </c>
      <c r="GL131" s="29"/>
      <c r="GO131" s="26">
        <v>0</v>
      </c>
      <c r="GP131" s="32"/>
      <c r="GS131" s="26">
        <v>0</v>
      </c>
      <c r="GT131" s="29"/>
      <c r="GU131" s="34"/>
      <c r="GW131" s="26">
        <v>0</v>
      </c>
      <c r="GX131" s="32"/>
      <c r="HA131" s="26">
        <v>0</v>
      </c>
      <c r="HB131" s="32"/>
      <c r="HE131" s="26">
        <v>0</v>
      </c>
      <c r="HF131" s="32"/>
      <c r="HI131" s="26">
        <v>0</v>
      </c>
      <c r="HJ131" s="29"/>
      <c r="HK131" s="27"/>
      <c r="HM131" s="27"/>
      <c r="HO131" s="26">
        <v>0</v>
      </c>
      <c r="HP131" s="32"/>
      <c r="HQ131" s="31">
        <v>0</v>
      </c>
      <c r="HR131" s="31">
        <v>0</v>
      </c>
      <c r="HS131" s="26">
        <v>0</v>
      </c>
      <c r="HT131" s="32"/>
      <c r="HU131" s="31">
        <v>0</v>
      </c>
      <c r="HV131" s="31">
        <v>0</v>
      </c>
      <c r="HW131" s="26">
        <v>0</v>
      </c>
      <c r="HX131" s="32"/>
      <c r="HY131" s="34">
        <v>0</v>
      </c>
      <c r="HZ131" s="31">
        <v>0</v>
      </c>
      <c r="IA131" s="26">
        <v>0</v>
      </c>
      <c r="IB131" s="32"/>
    </row>
    <row r="132" spans="1:236" x14ac:dyDescent="0.25">
      <c r="A132" s="26" t="s">
        <v>259</v>
      </c>
      <c r="B132" s="27">
        <v>1</v>
      </c>
      <c r="E132">
        <v>180</v>
      </c>
      <c r="F132">
        <v>197</v>
      </c>
      <c r="I132" s="30"/>
      <c r="J132" s="36">
        <v>25</v>
      </c>
      <c r="K132" s="36">
        <v>26</v>
      </c>
      <c r="L132" s="35">
        <f t="shared" ref="L132:L182" si="11">I132+J132-K132</f>
        <v>-1</v>
      </c>
      <c r="M132" s="29"/>
      <c r="N132" s="28">
        <v>253</v>
      </c>
      <c r="O132" s="36">
        <v>250</v>
      </c>
      <c r="P132" s="35">
        <f t="shared" ref="P132:P182" si="12">N132-O132</f>
        <v>3</v>
      </c>
      <c r="Q132" s="29"/>
      <c r="R132" s="28">
        <v>367</v>
      </c>
      <c r="S132" s="36">
        <v>360</v>
      </c>
      <c r="T132" s="35">
        <f t="shared" ref="T132:T182" si="13">R132-S132</f>
        <v>7</v>
      </c>
      <c r="U132" s="29"/>
      <c r="V132" s="36">
        <v>76</v>
      </c>
      <c r="W132">
        <v>75</v>
      </c>
      <c r="X132" s="26">
        <v>1</v>
      </c>
      <c r="Y132" s="29"/>
      <c r="Z132" s="28">
        <v>409</v>
      </c>
      <c r="AA132">
        <v>412</v>
      </c>
      <c r="AB132" s="26">
        <v>-3</v>
      </c>
      <c r="AC132" s="29"/>
      <c r="AD132">
        <v>151</v>
      </c>
      <c r="AE132">
        <v>152</v>
      </c>
      <c r="AF132" s="26">
        <v>-1</v>
      </c>
      <c r="AG132" s="29"/>
      <c r="AH132" s="28">
        <v>427</v>
      </c>
      <c r="AI132">
        <v>432</v>
      </c>
      <c r="AJ132" s="26">
        <v>-5</v>
      </c>
      <c r="AK132" s="29"/>
      <c r="AL132" s="30"/>
      <c r="AN132" s="26">
        <v>0</v>
      </c>
      <c r="AO132" s="29"/>
      <c r="AR132" s="26">
        <v>0</v>
      </c>
      <c r="AS132" s="29"/>
      <c r="AT132" s="28">
        <v>266</v>
      </c>
      <c r="AU132">
        <v>270</v>
      </c>
      <c r="AV132">
        <v>266</v>
      </c>
      <c r="AW132">
        <v>268</v>
      </c>
      <c r="AX132" s="26">
        <v>-6</v>
      </c>
      <c r="AY132" s="29"/>
      <c r="AZ132" s="30"/>
      <c r="BB132" s="26">
        <v>0</v>
      </c>
      <c r="BC132" s="29"/>
      <c r="BD132">
        <v>152</v>
      </c>
      <c r="BE132">
        <v>150</v>
      </c>
      <c r="BF132">
        <v>385</v>
      </c>
      <c r="BG132">
        <v>389</v>
      </c>
      <c r="BH132" s="26">
        <v>-2</v>
      </c>
      <c r="BI132" s="29"/>
      <c r="BJ132">
        <v>92</v>
      </c>
      <c r="BK132">
        <v>95</v>
      </c>
      <c r="BL132" s="26">
        <v>-3</v>
      </c>
      <c r="BM132" s="29"/>
      <c r="BN132" s="28">
        <v>217</v>
      </c>
      <c r="BO132">
        <v>232</v>
      </c>
      <c r="BP132" s="25">
        <v>-15</v>
      </c>
      <c r="BQ132" s="29">
        <v>15</v>
      </c>
      <c r="BR132" s="28">
        <v>134</v>
      </c>
      <c r="BS132">
        <v>134</v>
      </c>
      <c r="BT132" s="26">
        <v>0</v>
      </c>
      <c r="BU132" s="29"/>
      <c r="BV132">
        <v>330</v>
      </c>
      <c r="BW132">
        <v>331</v>
      </c>
      <c r="BX132" s="26">
        <v>-1</v>
      </c>
      <c r="BY132" s="29"/>
      <c r="BZ132" s="30"/>
      <c r="CC132" s="26">
        <v>0</v>
      </c>
      <c r="CD132" s="29"/>
      <c r="CE132" s="30"/>
      <c r="CG132">
        <v>348</v>
      </c>
      <c r="CH132">
        <v>347</v>
      </c>
      <c r="CI132" s="26">
        <v>1</v>
      </c>
      <c r="CJ132" s="29"/>
      <c r="CK132" s="28">
        <v>201</v>
      </c>
      <c r="CM132">
        <v>202</v>
      </c>
      <c r="CN132" s="26">
        <v>-1</v>
      </c>
      <c r="CO132" s="29"/>
      <c r="CP132">
        <v>299</v>
      </c>
      <c r="CQ132" s="26">
        <v>303.75560000000002</v>
      </c>
      <c r="CR132" s="26">
        <v>-4.7556000000000154</v>
      </c>
      <c r="CS132" s="29"/>
      <c r="CT132" s="34"/>
      <c r="CV132" s="26">
        <v>0</v>
      </c>
      <c r="CW132" s="29"/>
      <c r="CX132" s="28">
        <v>220</v>
      </c>
      <c r="CY132" s="26">
        <v>221.18199999999999</v>
      </c>
      <c r="CZ132" s="26">
        <v>-1.1819999999999879</v>
      </c>
      <c r="DA132" s="29"/>
      <c r="DB132" s="28">
        <v>34</v>
      </c>
      <c r="DC132">
        <v>31</v>
      </c>
      <c r="DD132" s="26">
        <v>3</v>
      </c>
      <c r="DE132" s="29"/>
      <c r="DF132">
        <v>25</v>
      </c>
      <c r="DG132" s="31">
        <v>27.744800000000001</v>
      </c>
      <c r="DH132" s="26">
        <v>-2.744800000000001</v>
      </c>
      <c r="DI132" s="29"/>
      <c r="DJ132">
        <v>344</v>
      </c>
      <c r="DK132">
        <v>345</v>
      </c>
      <c r="DL132" s="26">
        <v>-1</v>
      </c>
      <c r="DM132" s="29"/>
      <c r="DN132" s="30"/>
      <c r="DQ132" s="26">
        <v>0</v>
      </c>
      <c r="DR132" s="29"/>
      <c r="DS132" s="30"/>
      <c r="DV132" s="26">
        <v>0</v>
      </c>
      <c r="DW132" s="29"/>
      <c r="DZ132" s="26">
        <v>0</v>
      </c>
      <c r="EA132" s="29"/>
      <c r="EB132" s="30"/>
      <c r="EC132">
        <v>179</v>
      </c>
      <c r="ED132">
        <v>180</v>
      </c>
      <c r="EE132">
        <v>161</v>
      </c>
      <c r="EF132">
        <v>162</v>
      </c>
      <c r="EG132" s="26">
        <v>-2</v>
      </c>
      <c r="EH132" s="29"/>
      <c r="EI132">
        <v>276</v>
      </c>
      <c r="EJ132" s="31">
        <v>275.31939999999997</v>
      </c>
      <c r="EK132" s="26">
        <v>0.68060000000002674</v>
      </c>
      <c r="EL132" s="29"/>
      <c r="EM132" s="28">
        <v>59</v>
      </c>
      <c r="EN132">
        <v>60</v>
      </c>
      <c r="EO132">
        <v>51</v>
      </c>
      <c r="EP132">
        <v>50</v>
      </c>
      <c r="EQ132" s="26">
        <v>0</v>
      </c>
      <c r="ER132" s="29"/>
      <c r="ES132">
        <v>127</v>
      </c>
      <c r="ET132">
        <v>130</v>
      </c>
      <c r="EU132">
        <v>125</v>
      </c>
      <c r="EV132">
        <v>130</v>
      </c>
      <c r="EW132" s="26">
        <v>-8</v>
      </c>
      <c r="EX132" s="29"/>
      <c r="EY132">
        <v>118</v>
      </c>
      <c r="EZ132" s="31">
        <v>118.2676</v>
      </c>
      <c r="FA132" s="26">
        <v>-0.26760000000000161</v>
      </c>
      <c r="FB132" s="29"/>
      <c r="FC132" s="28">
        <v>75</v>
      </c>
      <c r="FD132">
        <v>79</v>
      </c>
      <c r="FE132" s="25">
        <v>-4</v>
      </c>
      <c r="FF132" s="29">
        <v>4</v>
      </c>
      <c r="FG132" s="28">
        <v>146</v>
      </c>
      <c r="FH132">
        <v>147</v>
      </c>
      <c r="FI132" s="26">
        <v>-1</v>
      </c>
      <c r="FJ132" s="29"/>
      <c r="FK132">
        <v>17</v>
      </c>
      <c r="FL132">
        <v>20</v>
      </c>
      <c r="FM132" s="26">
        <v>-3</v>
      </c>
      <c r="FN132" s="29"/>
      <c r="FO132" s="28">
        <v>117</v>
      </c>
      <c r="FP132">
        <v>120</v>
      </c>
      <c r="FQ132" s="26">
        <v>-3</v>
      </c>
      <c r="FR132" s="29"/>
      <c r="FS132" s="28">
        <v>201</v>
      </c>
      <c r="FT132">
        <v>186</v>
      </c>
      <c r="FU132" s="26">
        <v>15</v>
      </c>
      <c r="FV132" s="29"/>
      <c r="FW132">
        <v>127</v>
      </c>
      <c r="FX132">
        <v>130</v>
      </c>
      <c r="FY132" s="26">
        <v>-3</v>
      </c>
      <c r="FZ132" s="32"/>
      <c r="GA132">
        <v>134</v>
      </c>
      <c r="GB132">
        <v>132</v>
      </c>
      <c r="GC132" s="26">
        <v>2</v>
      </c>
      <c r="GD132" s="29"/>
      <c r="GE132">
        <v>17</v>
      </c>
      <c r="GF132">
        <v>20</v>
      </c>
      <c r="GG132" s="26">
        <v>-3</v>
      </c>
      <c r="GH132" s="32"/>
      <c r="GI132">
        <v>93</v>
      </c>
      <c r="GJ132">
        <v>95</v>
      </c>
      <c r="GK132" s="26">
        <v>-2</v>
      </c>
      <c r="GL132" s="29"/>
      <c r="GO132" s="26">
        <v>0</v>
      </c>
      <c r="GP132" s="32"/>
      <c r="GQ132">
        <v>8</v>
      </c>
      <c r="GR132" s="31">
        <v>12.9894</v>
      </c>
      <c r="GS132" s="26">
        <v>-4.9893999999999998</v>
      </c>
      <c r="GT132" s="29"/>
      <c r="GU132" s="28">
        <v>59</v>
      </c>
      <c r="GV132" s="31">
        <v>56</v>
      </c>
      <c r="GW132" s="26">
        <v>3</v>
      </c>
      <c r="GX132" s="32"/>
      <c r="HA132" s="26">
        <v>0</v>
      </c>
      <c r="HB132" s="32"/>
      <c r="HC132">
        <v>42</v>
      </c>
      <c r="HD132">
        <v>40</v>
      </c>
      <c r="HE132" s="26">
        <v>-2</v>
      </c>
      <c r="HF132" s="32"/>
      <c r="HG132">
        <v>17</v>
      </c>
      <c r="HH132">
        <v>20</v>
      </c>
      <c r="HI132" s="26">
        <v>-3</v>
      </c>
      <c r="HJ132" s="29"/>
      <c r="HK132" s="27"/>
      <c r="HM132" s="27"/>
      <c r="HO132" s="26">
        <v>0</v>
      </c>
      <c r="HP132" s="32"/>
      <c r="HQ132" s="31">
        <v>0</v>
      </c>
      <c r="HR132" s="31">
        <v>0</v>
      </c>
      <c r="HS132" s="26">
        <v>0</v>
      </c>
      <c r="HT132" s="32"/>
      <c r="HU132" s="31">
        <v>0</v>
      </c>
      <c r="HV132" s="31">
        <v>0</v>
      </c>
      <c r="HW132" s="26">
        <v>0</v>
      </c>
      <c r="HX132" s="32"/>
      <c r="HY132" s="34">
        <v>124.57899999999999</v>
      </c>
      <c r="HZ132" s="31">
        <v>125</v>
      </c>
      <c r="IA132" s="26">
        <v>-0.42100000000000648</v>
      </c>
      <c r="IB132" s="32"/>
    </row>
    <row r="133" spans="1:236" x14ac:dyDescent="0.25">
      <c r="A133" s="26" t="s">
        <v>260</v>
      </c>
      <c r="B133" s="27">
        <v>1</v>
      </c>
      <c r="I133" s="30"/>
      <c r="J133" s="36">
        <v>23</v>
      </c>
      <c r="K133" s="35"/>
      <c r="L133" s="35">
        <f t="shared" si="11"/>
        <v>23</v>
      </c>
      <c r="M133" s="29"/>
      <c r="N133" s="30"/>
      <c r="O133" s="35"/>
      <c r="P133" s="35">
        <f t="shared" si="12"/>
        <v>0</v>
      </c>
      <c r="Q133" s="29"/>
      <c r="R133" s="30"/>
      <c r="S133" s="35"/>
      <c r="T133" s="35">
        <f t="shared" si="13"/>
        <v>0</v>
      </c>
      <c r="U133" s="29"/>
      <c r="V133" s="36"/>
      <c r="Y133" s="29"/>
      <c r="Z133" s="28"/>
      <c r="AC133" s="29"/>
      <c r="AG133" s="29"/>
      <c r="AH133" s="28"/>
      <c r="AK133" s="29"/>
      <c r="AL133" s="30"/>
      <c r="AO133" s="29"/>
      <c r="AS133" s="29"/>
      <c r="AT133" s="28"/>
      <c r="AY133" s="29"/>
      <c r="AZ133" s="30"/>
      <c r="BC133" s="29"/>
      <c r="BI133" s="29"/>
      <c r="BM133" s="29"/>
      <c r="BN133" s="28"/>
      <c r="BQ133" s="29"/>
      <c r="BR133" s="28"/>
      <c r="BU133" s="29"/>
      <c r="BY133" s="29"/>
      <c r="BZ133" s="30"/>
      <c r="CD133" s="29"/>
      <c r="CE133" s="30"/>
      <c r="CJ133" s="29"/>
      <c r="CK133" s="28"/>
      <c r="CM133" s="26"/>
      <c r="CO133" s="29"/>
      <c r="CQ133" s="26"/>
      <c r="CR133" s="26"/>
      <c r="CS133" s="29"/>
      <c r="CT133" s="34"/>
      <c r="CU133" s="26"/>
      <c r="CV133" s="26"/>
      <c r="CW133" s="29"/>
      <c r="CX133" s="28"/>
      <c r="CZ133" s="26"/>
      <c r="DA133" s="29"/>
      <c r="DB133" s="28"/>
      <c r="DC133" s="26"/>
      <c r="DD133" s="26"/>
      <c r="DE133" s="29"/>
      <c r="DF133" s="26"/>
      <c r="DG133" s="31"/>
      <c r="DH133" s="26"/>
      <c r="DI133" s="29"/>
      <c r="DJ133" s="26"/>
      <c r="DL133" s="26"/>
      <c r="DM133" s="29"/>
      <c r="DN133" s="30"/>
      <c r="DR133" s="29"/>
      <c r="DS133" s="30"/>
      <c r="DW133" s="29"/>
      <c r="EA133" s="29"/>
      <c r="EB133" s="30"/>
      <c r="EH133" s="29"/>
      <c r="EJ133" s="31"/>
      <c r="EL133" s="29"/>
      <c r="EM133" s="28"/>
      <c r="ER133" s="29"/>
      <c r="EX133" s="29"/>
      <c r="EZ133" s="31"/>
      <c r="FB133" s="29"/>
      <c r="FC133" s="28"/>
      <c r="FF133" s="29"/>
      <c r="FG133" s="28"/>
      <c r="FJ133" s="29"/>
      <c r="FN133" s="29"/>
      <c r="FO133" s="28"/>
      <c r="FR133" s="29"/>
      <c r="FS133" s="28"/>
      <c r="FV133" s="29"/>
      <c r="FZ133" s="32"/>
      <c r="GD133" s="29"/>
      <c r="GH133" s="32"/>
      <c r="GL133" s="29"/>
      <c r="GP133" s="32"/>
      <c r="GR133" s="31"/>
      <c r="GT133" s="29"/>
      <c r="GU133" s="28"/>
      <c r="GV133" s="31"/>
      <c r="GX133" s="32"/>
      <c r="HB133" s="32"/>
      <c r="HF133" s="32"/>
      <c r="HJ133" s="29"/>
      <c r="HK133" s="27"/>
      <c r="HM133" s="27"/>
      <c r="HP133" s="32"/>
      <c r="HQ133" s="31"/>
      <c r="HR133" s="31"/>
      <c r="HT133" s="32"/>
      <c r="HU133" s="31"/>
      <c r="HV133" s="31"/>
      <c r="HX133" s="32"/>
      <c r="HY133" s="34"/>
      <c r="HZ133" s="31"/>
      <c r="IB133" s="32"/>
    </row>
    <row r="134" spans="1:236" x14ac:dyDescent="0.25">
      <c r="A134" s="26" t="s">
        <v>261</v>
      </c>
      <c r="B134" s="27">
        <v>0.1</v>
      </c>
      <c r="I134" s="30"/>
      <c r="J134" s="35"/>
      <c r="K134" s="35"/>
      <c r="L134" s="35">
        <f t="shared" si="11"/>
        <v>0</v>
      </c>
      <c r="M134" s="29"/>
      <c r="N134" s="30"/>
      <c r="O134" s="35"/>
      <c r="P134" s="35">
        <f t="shared" si="12"/>
        <v>0</v>
      </c>
      <c r="Q134" s="29"/>
      <c r="R134" s="30"/>
      <c r="S134" s="35"/>
      <c r="T134" s="35">
        <f t="shared" si="13"/>
        <v>0</v>
      </c>
      <c r="U134" s="29"/>
      <c r="V134" s="35"/>
      <c r="X134" s="26">
        <v>0</v>
      </c>
      <c r="Y134" s="29"/>
      <c r="Z134" s="30"/>
      <c r="AB134" s="26">
        <v>0</v>
      </c>
      <c r="AC134" s="29"/>
      <c r="AF134" s="26">
        <v>0</v>
      </c>
      <c r="AG134" s="29"/>
      <c r="AH134" s="30"/>
      <c r="AJ134" s="26">
        <v>0</v>
      </c>
      <c r="AK134" s="29"/>
      <c r="AL134" s="30"/>
      <c r="AN134" s="26">
        <v>0</v>
      </c>
      <c r="AO134" s="29"/>
      <c r="AR134" s="26">
        <v>0</v>
      </c>
      <c r="AS134" s="29"/>
      <c r="AT134" s="30"/>
      <c r="AX134" s="26">
        <v>0</v>
      </c>
      <c r="AY134" s="29"/>
      <c r="AZ134" s="30"/>
      <c r="BB134" s="26">
        <v>0</v>
      </c>
      <c r="BC134" s="29"/>
      <c r="BH134" s="26">
        <v>0</v>
      </c>
      <c r="BI134" s="29"/>
      <c r="BL134" s="26">
        <v>0</v>
      </c>
      <c r="BM134" s="29"/>
      <c r="BN134" s="30"/>
      <c r="BP134" s="26">
        <v>0</v>
      </c>
      <c r="BQ134" s="29"/>
      <c r="BR134" s="30"/>
      <c r="BT134" s="26">
        <v>0</v>
      </c>
      <c r="BU134" s="29"/>
      <c r="BX134" s="26">
        <v>0</v>
      </c>
      <c r="BY134" s="29"/>
      <c r="BZ134" s="30"/>
      <c r="CC134" s="26">
        <v>0</v>
      </c>
      <c r="CD134" s="29"/>
      <c r="CE134" s="30"/>
      <c r="CI134" s="26">
        <v>0</v>
      </c>
      <c r="CJ134" s="29"/>
      <c r="CK134" s="30"/>
      <c r="CN134" s="26">
        <v>0</v>
      </c>
      <c r="CO134" s="29"/>
      <c r="CR134" s="26">
        <v>0</v>
      </c>
      <c r="CS134" s="29"/>
      <c r="CT134" s="34"/>
      <c r="CV134" s="26">
        <v>0</v>
      </c>
      <c r="CW134" s="29"/>
      <c r="CX134" s="30"/>
      <c r="CZ134" s="26">
        <v>0</v>
      </c>
      <c r="DA134" s="29"/>
      <c r="DB134" s="30"/>
      <c r="DD134" s="26">
        <v>0</v>
      </c>
      <c r="DE134" s="29"/>
      <c r="DH134" s="26">
        <v>0</v>
      </c>
      <c r="DI134" s="29"/>
      <c r="DL134" s="26">
        <v>0</v>
      </c>
      <c r="DM134" s="29"/>
      <c r="DN134" s="30"/>
      <c r="DQ134" s="26">
        <v>0</v>
      </c>
      <c r="DR134" s="29"/>
      <c r="DS134" s="30"/>
      <c r="DV134" s="26">
        <v>0</v>
      </c>
      <c r="DW134" s="29"/>
      <c r="DZ134" s="26">
        <v>0</v>
      </c>
      <c r="EA134" s="29"/>
      <c r="EB134" s="30"/>
      <c r="EG134" s="26">
        <v>0</v>
      </c>
      <c r="EH134" s="29"/>
      <c r="EK134" s="26">
        <v>0</v>
      </c>
      <c r="EL134" s="29"/>
      <c r="EM134" s="30"/>
      <c r="EQ134" s="26">
        <v>0</v>
      </c>
      <c r="ER134" s="29"/>
      <c r="ES134">
        <v>20</v>
      </c>
      <c r="ET134">
        <v>20</v>
      </c>
      <c r="EU134">
        <v>30</v>
      </c>
      <c r="EV134">
        <v>30</v>
      </c>
      <c r="EW134" s="26">
        <v>0</v>
      </c>
      <c r="EX134" s="29"/>
      <c r="FA134" s="26">
        <v>0</v>
      </c>
      <c r="FB134" s="29"/>
      <c r="FC134" s="30"/>
      <c r="FE134" s="26">
        <v>0</v>
      </c>
      <c r="FF134" s="29"/>
      <c r="FG134" s="28">
        <v>10</v>
      </c>
      <c r="FH134">
        <v>10</v>
      </c>
      <c r="FI134" s="26">
        <v>0</v>
      </c>
      <c r="FJ134" s="29"/>
      <c r="FK134">
        <v>20</v>
      </c>
      <c r="FL134" s="26">
        <v>20</v>
      </c>
      <c r="FM134" s="26">
        <v>0</v>
      </c>
      <c r="FN134" s="29"/>
      <c r="FO134" s="30"/>
      <c r="FQ134" s="26">
        <v>0</v>
      </c>
      <c r="FR134" s="29"/>
      <c r="FS134" s="30"/>
      <c r="FU134" s="26">
        <v>0</v>
      </c>
      <c r="FV134" s="29"/>
      <c r="FY134" s="26">
        <v>0</v>
      </c>
      <c r="FZ134" s="32"/>
      <c r="GC134" s="26">
        <v>0</v>
      </c>
      <c r="GD134" s="29"/>
      <c r="GG134" s="26">
        <v>0</v>
      </c>
      <c r="GH134" s="32"/>
      <c r="GK134" s="26">
        <v>0</v>
      </c>
      <c r="GL134" s="29"/>
      <c r="GO134" s="26">
        <v>0</v>
      </c>
      <c r="GP134" s="32"/>
      <c r="GS134" s="26">
        <v>0</v>
      </c>
      <c r="GT134" s="29"/>
      <c r="GU134" s="34"/>
      <c r="GW134" s="26">
        <v>0</v>
      </c>
      <c r="GX134" s="32"/>
      <c r="HA134" s="26">
        <v>0</v>
      </c>
      <c r="HB134" s="32"/>
      <c r="HE134" s="26">
        <v>0</v>
      </c>
      <c r="HF134" s="32"/>
      <c r="HI134" s="26">
        <v>0</v>
      </c>
      <c r="HJ134" s="29"/>
      <c r="HK134" s="27"/>
      <c r="HM134" s="27"/>
      <c r="HO134" s="26">
        <v>0</v>
      </c>
      <c r="HP134" s="32"/>
      <c r="HQ134" s="31">
        <v>0</v>
      </c>
      <c r="HR134" s="31">
        <v>0</v>
      </c>
      <c r="HS134" s="26">
        <v>0</v>
      </c>
      <c r="HT134" s="32"/>
      <c r="HU134" s="31">
        <v>0</v>
      </c>
      <c r="HV134" s="31">
        <v>0</v>
      </c>
      <c r="HW134" s="26">
        <v>0</v>
      </c>
      <c r="HX134" s="32"/>
      <c r="HY134" s="34">
        <v>0</v>
      </c>
      <c r="HZ134" s="31">
        <v>0</v>
      </c>
      <c r="IA134" s="26">
        <v>0</v>
      </c>
      <c r="IB134" s="32"/>
    </row>
    <row r="135" spans="1:236" x14ac:dyDescent="0.25">
      <c r="A135" s="26" t="s">
        <v>262</v>
      </c>
      <c r="B135" s="27">
        <v>0.4</v>
      </c>
      <c r="E135">
        <v>32</v>
      </c>
      <c r="F135">
        <v>45</v>
      </c>
      <c r="I135" s="30"/>
      <c r="J135" s="36">
        <v>108</v>
      </c>
      <c r="K135" s="36">
        <v>111</v>
      </c>
      <c r="L135" s="35">
        <f t="shared" si="11"/>
        <v>-3</v>
      </c>
      <c r="M135" s="29"/>
      <c r="N135" s="30"/>
      <c r="O135" s="35"/>
      <c r="P135" s="35">
        <f t="shared" si="12"/>
        <v>0</v>
      </c>
      <c r="Q135" s="29"/>
      <c r="R135" s="28">
        <v>120</v>
      </c>
      <c r="S135" s="36">
        <v>118</v>
      </c>
      <c r="T135" s="35">
        <f t="shared" si="13"/>
        <v>2</v>
      </c>
      <c r="U135" s="29"/>
      <c r="V135" s="35"/>
      <c r="X135" s="26">
        <v>0</v>
      </c>
      <c r="Y135" s="29"/>
      <c r="Z135" s="28">
        <v>60</v>
      </c>
      <c r="AA135">
        <v>60</v>
      </c>
      <c r="AB135" s="26">
        <v>0</v>
      </c>
      <c r="AC135" s="29"/>
      <c r="AD135">
        <v>6</v>
      </c>
      <c r="AE135">
        <v>8</v>
      </c>
      <c r="AF135" s="26">
        <v>-2</v>
      </c>
      <c r="AG135" s="29"/>
      <c r="AH135" s="28">
        <v>30</v>
      </c>
      <c r="AI135">
        <v>29</v>
      </c>
      <c r="AJ135" s="26">
        <v>1</v>
      </c>
      <c r="AK135" s="29"/>
      <c r="AL135" s="28">
        <v>12</v>
      </c>
      <c r="AM135">
        <v>15</v>
      </c>
      <c r="AN135" s="26">
        <v>-3</v>
      </c>
      <c r="AO135" s="29"/>
      <c r="AP135">
        <v>6</v>
      </c>
      <c r="AQ135">
        <v>9</v>
      </c>
      <c r="AR135" s="26">
        <v>-3</v>
      </c>
      <c r="AS135" s="29"/>
      <c r="AT135" s="30"/>
      <c r="AX135" s="26">
        <v>0</v>
      </c>
      <c r="AY135" s="29"/>
      <c r="AZ135" s="28">
        <v>36</v>
      </c>
      <c r="BA135">
        <v>37</v>
      </c>
      <c r="BB135" s="26">
        <v>-1</v>
      </c>
      <c r="BC135" s="29"/>
      <c r="BH135" s="26">
        <v>0</v>
      </c>
      <c r="BI135" s="29"/>
      <c r="BJ135">
        <v>6</v>
      </c>
      <c r="BK135">
        <v>8</v>
      </c>
      <c r="BL135" s="26">
        <v>-2</v>
      </c>
      <c r="BM135" s="29"/>
      <c r="BN135" s="30"/>
      <c r="BP135" s="26">
        <v>0</v>
      </c>
      <c r="BQ135" s="29"/>
      <c r="BR135" s="30">
        <v>30</v>
      </c>
      <c r="BS135" s="26">
        <v>30</v>
      </c>
      <c r="BT135" s="26">
        <v>0</v>
      </c>
      <c r="BU135" s="29"/>
      <c r="BX135" s="26">
        <v>0</v>
      </c>
      <c r="BY135" s="29"/>
      <c r="BZ135" s="30"/>
      <c r="CC135" s="26">
        <v>0</v>
      </c>
      <c r="CD135" s="29"/>
      <c r="CE135" s="30"/>
      <c r="CI135" s="26">
        <v>0</v>
      </c>
      <c r="CJ135" s="29"/>
      <c r="CK135" s="30"/>
      <c r="CO135" s="32"/>
      <c r="CS135" s="29"/>
      <c r="CT135" s="34"/>
      <c r="CW135" s="29"/>
      <c r="CX135" s="30"/>
      <c r="DA135" s="29"/>
      <c r="DB135" s="30"/>
      <c r="DE135" s="29"/>
      <c r="DI135" s="29"/>
      <c r="DM135" s="29"/>
      <c r="DN135" s="30"/>
      <c r="DR135" s="29"/>
      <c r="DS135" s="30"/>
      <c r="DW135" s="29"/>
      <c r="EA135" s="29"/>
      <c r="EB135" s="30"/>
      <c r="EH135" s="29"/>
      <c r="EL135" s="29"/>
      <c r="EM135" s="30"/>
      <c r="EP135" s="27"/>
      <c r="ER135" s="29"/>
      <c r="EX135" s="29"/>
      <c r="EY135" s="31"/>
      <c r="FB135" s="29"/>
      <c r="FC135" s="30"/>
      <c r="FF135" s="29"/>
      <c r="FG135" s="28"/>
      <c r="FJ135" s="29"/>
      <c r="FN135" s="29"/>
      <c r="FO135" s="30"/>
      <c r="FR135" s="29"/>
      <c r="FS135" s="30"/>
      <c r="FV135" s="29"/>
      <c r="FZ135" s="32"/>
      <c r="GD135" s="29"/>
      <c r="GH135" s="32"/>
      <c r="GL135" s="29"/>
      <c r="GP135" s="32"/>
      <c r="GT135" s="29"/>
      <c r="GU135" s="34"/>
      <c r="GX135" s="32"/>
      <c r="HB135" s="32"/>
      <c r="HF135" s="32"/>
      <c r="HJ135" s="29"/>
      <c r="HK135" s="27"/>
      <c r="HM135" s="27"/>
      <c r="HP135" s="32"/>
      <c r="HQ135" s="31"/>
      <c r="HR135" s="31"/>
      <c r="HT135" s="32"/>
      <c r="HU135" s="31"/>
      <c r="HV135" s="31"/>
      <c r="HX135" s="32"/>
      <c r="HY135" s="34"/>
      <c r="HZ135" s="31"/>
      <c r="IB135" s="32"/>
    </row>
    <row r="136" spans="1:236" x14ac:dyDescent="0.25">
      <c r="A136" s="26" t="s">
        <v>263</v>
      </c>
      <c r="B136" s="27">
        <v>1</v>
      </c>
      <c r="I136" s="30"/>
      <c r="J136" s="35"/>
      <c r="K136" s="35"/>
      <c r="L136" s="35">
        <f t="shared" si="11"/>
        <v>0</v>
      </c>
      <c r="M136" s="29"/>
      <c r="N136" s="30"/>
      <c r="O136" s="35"/>
      <c r="P136" s="35">
        <f t="shared" si="12"/>
        <v>0</v>
      </c>
      <c r="Q136" s="29"/>
      <c r="R136" s="30"/>
      <c r="S136" s="35"/>
      <c r="T136" s="35">
        <f t="shared" si="13"/>
        <v>0</v>
      </c>
      <c r="U136" s="29"/>
      <c r="V136" s="35"/>
      <c r="X136" s="26">
        <v>0</v>
      </c>
      <c r="Y136" s="29"/>
      <c r="Z136" s="30"/>
      <c r="AB136" s="26">
        <v>0</v>
      </c>
      <c r="AC136" s="29"/>
      <c r="AF136" s="26">
        <v>0</v>
      </c>
      <c r="AG136" s="29"/>
      <c r="AH136" s="30"/>
      <c r="AJ136" s="26">
        <v>0</v>
      </c>
      <c r="AK136" s="29"/>
      <c r="AL136" s="30"/>
      <c r="AN136" s="26">
        <v>0</v>
      </c>
      <c r="AO136" s="29"/>
      <c r="AR136" s="26">
        <v>0</v>
      </c>
      <c r="AS136" s="29"/>
      <c r="AT136" s="30"/>
      <c r="AX136" s="26">
        <v>0</v>
      </c>
      <c r="AY136" s="29"/>
      <c r="AZ136" s="30"/>
      <c r="BB136" s="26">
        <v>0</v>
      </c>
      <c r="BC136" s="29"/>
      <c r="BH136" s="26">
        <v>0</v>
      </c>
      <c r="BI136" s="29"/>
      <c r="BL136" s="26">
        <v>0</v>
      </c>
      <c r="BM136" s="29"/>
      <c r="BN136" s="30"/>
      <c r="BP136" s="26">
        <v>0</v>
      </c>
      <c r="BQ136" s="29"/>
      <c r="BR136" s="30"/>
      <c r="BT136" s="26">
        <v>0</v>
      </c>
      <c r="BU136" s="29"/>
      <c r="BX136" s="26">
        <v>0</v>
      </c>
      <c r="BY136" s="29"/>
      <c r="BZ136" s="30"/>
      <c r="CC136" s="26">
        <v>0</v>
      </c>
      <c r="CD136" s="29"/>
      <c r="CE136" s="30"/>
      <c r="CI136" s="26">
        <v>0</v>
      </c>
      <c r="CJ136" s="29"/>
      <c r="CK136" s="30"/>
      <c r="CN136" s="26">
        <v>0</v>
      </c>
      <c r="CO136" s="29"/>
      <c r="CR136" s="26">
        <v>0</v>
      </c>
      <c r="CS136" s="29"/>
      <c r="CT136" s="34"/>
      <c r="CV136" s="26">
        <v>0</v>
      </c>
      <c r="CW136" s="29"/>
      <c r="CX136" s="30"/>
      <c r="CZ136" s="26">
        <v>0</v>
      </c>
      <c r="DA136" s="29"/>
      <c r="DB136" s="30"/>
      <c r="DD136" s="26">
        <v>0</v>
      </c>
      <c r="DE136" s="29"/>
      <c r="DH136" s="26">
        <v>0</v>
      </c>
      <c r="DI136" s="29"/>
      <c r="DL136" s="26">
        <v>0</v>
      </c>
      <c r="DM136" s="29"/>
      <c r="DN136" s="30"/>
      <c r="DQ136" s="26">
        <v>0</v>
      </c>
      <c r="DR136" s="29"/>
      <c r="DS136" s="30"/>
      <c r="DV136" s="26">
        <v>0</v>
      </c>
      <c r="DW136" s="29"/>
      <c r="DZ136" s="26">
        <v>0</v>
      </c>
      <c r="EA136" s="29"/>
      <c r="EB136" s="30"/>
      <c r="EG136" s="26">
        <v>0</v>
      </c>
      <c r="EH136" s="29"/>
      <c r="EK136" s="26">
        <v>0</v>
      </c>
      <c r="EL136" s="29"/>
      <c r="EM136" s="30"/>
      <c r="EQ136" s="26">
        <v>0</v>
      </c>
      <c r="ER136" s="29"/>
      <c r="EW136" s="26">
        <v>0</v>
      </c>
      <c r="EX136" s="29"/>
      <c r="FA136" s="26">
        <v>0</v>
      </c>
      <c r="FB136" s="29"/>
      <c r="FC136" s="30"/>
      <c r="FE136" s="26">
        <v>0</v>
      </c>
      <c r="FF136" s="29"/>
      <c r="FG136" s="30"/>
      <c r="FI136" s="26">
        <v>0</v>
      </c>
      <c r="FJ136" s="29"/>
      <c r="FM136" s="26">
        <v>0</v>
      </c>
      <c r="FN136" s="29"/>
      <c r="FO136" s="30"/>
      <c r="FQ136" s="26">
        <v>0</v>
      </c>
      <c r="FR136" s="29"/>
      <c r="FS136" s="30"/>
      <c r="FU136" s="26">
        <v>0</v>
      </c>
      <c r="FV136" s="29"/>
      <c r="FY136" s="26">
        <v>0</v>
      </c>
      <c r="FZ136" s="32"/>
      <c r="GC136" s="26">
        <v>0</v>
      </c>
      <c r="GD136" s="29"/>
      <c r="GG136" s="26">
        <v>0</v>
      </c>
      <c r="GH136" s="32"/>
      <c r="GK136" s="26">
        <v>0</v>
      </c>
      <c r="GL136" s="29"/>
      <c r="GO136" s="26">
        <v>0</v>
      </c>
      <c r="GP136" s="32"/>
      <c r="GS136" s="26">
        <v>0</v>
      </c>
      <c r="GT136" s="29"/>
      <c r="GU136" s="34"/>
      <c r="GW136" s="26">
        <v>0</v>
      </c>
      <c r="GX136" s="32"/>
      <c r="HA136" s="26">
        <v>0</v>
      </c>
      <c r="HB136" s="32"/>
      <c r="HE136" s="26">
        <v>0</v>
      </c>
      <c r="HF136" s="32"/>
      <c r="HI136" s="26">
        <v>0</v>
      </c>
      <c r="HJ136" s="29"/>
      <c r="HK136" s="27"/>
      <c r="HM136" s="27"/>
      <c r="HO136" s="26">
        <v>0</v>
      </c>
      <c r="HP136" s="32"/>
      <c r="HQ136" s="31">
        <v>0</v>
      </c>
      <c r="HR136" s="31">
        <v>0</v>
      </c>
      <c r="HS136" s="26">
        <v>0</v>
      </c>
      <c r="HT136" s="32"/>
      <c r="HU136" s="31">
        <v>0</v>
      </c>
      <c r="HV136" s="31">
        <v>0</v>
      </c>
      <c r="HW136" s="26">
        <v>0</v>
      </c>
      <c r="HX136" s="32"/>
      <c r="HY136" s="34">
        <v>0</v>
      </c>
      <c r="HZ136" s="31">
        <v>0</v>
      </c>
      <c r="IA136" s="26">
        <v>0</v>
      </c>
      <c r="IB136" s="32"/>
    </row>
    <row r="137" spans="1:236" x14ac:dyDescent="0.25">
      <c r="A137" s="26" t="s">
        <v>264</v>
      </c>
      <c r="B137" s="27">
        <v>1</v>
      </c>
      <c r="I137" s="30"/>
      <c r="J137" s="35"/>
      <c r="K137" s="35"/>
      <c r="L137" s="35">
        <f t="shared" si="11"/>
        <v>0</v>
      </c>
      <c r="M137" s="29"/>
      <c r="N137" s="30"/>
      <c r="O137" s="35"/>
      <c r="P137" s="35">
        <f t="shared" si="12"/>
        <v>0</v>
      </c>
      <c r="Q137" s="29"/>
      <c r="R137" s="30"/>
      <c r="S137" s="35"/>
      <c r="T137" s="35">
        <f t="shared" si="13"/>
        <v>0</v>
      </c>
      <c r="U137" s="29"/>
      <c r="V137" s="35"/>
      <c r="X137" s="26">
        <v>0</v>
      </c>
      <c r="Y137" s="29"/>
      <c r="Z137" s="30"/>
      <c r="AB137" s="26">
        <v>0</v>
      </c>
      <c r="AC137" s="29"/>
      <c r="AF137" s="26">
        <v>0</v>
      </c>
      <c r="AG137" s="29"/>
      <c r="AH137" s="30"/>
      <c r="AJ137" s="26">
        <v>0</v>
      </c>
      <c r="AK137" s="29"/>
      <c r="AL137" s="30"/>
      <c r="AN137" s="26">
        <v>0</v>
      </c>
      <c r="AO137" s="29"/>
      <c r="AR137" s="26">
        <v>0</v>
      </c>
      <c r="AS137" s="29"/>
      <c r="AT137" s="30"/>
      <c r="AX137" s="26">
        <v>0</v>
      </c>
      <c r="AY137" s="29"/>
      <c r="AZ137" s="30"/>
      <c r="BB137" s="26">
        <v>0</v>
      </c>
      <c r="BC137" s="29"/>
      <c r="BH137" s="26">
        <v>0</v>
      </c>
      <c r="BI137" s="29"/>
      <c r="BL137" s="26">
        <v>0</v>
      </c>
      <c r="BM137" s="29"/>
      <c r="BN137" s="30"/>
      <c r="BP137" s="26">
        <v>0</v>
      </c>
      <c r="BQ137" s="29"/>
      <c r="BR137" s="30"/>
      <c r="BT137" s="26">
        <v>0</v>
      </c>
      <c r="BU137" s="29"/>
      <c r="BX137" s="26">
        <v>0</v>
      </c>
      <c r="BY137" s="29"/>
      <c r="BZ137" s="30"/>
      <c r="CC137" s="26">
        <v>0</v>
      </c>
      <c r="CD137" s="29"/>
      <c r="CE137" s="30"/>
      <c r="CI137" s="26">
        <v>0</v>
      </c>
      <c r="CJ137" s="29"/>
      <c r="CK137" s="30"/>
      <c r="CN137" s="26">
        <v>0</v>
      </c>
      <c r="CO137" s="29"/>
      <c r="CR137" s="26">
        <v>0</v>
      </c>
      <c r="CS137" s="29"/>
      <c r="CT137" s="34"/>
      <c r="CV137" s="26">
        <v>0</v>
      </c>
      <c r="CW137" s="29"/>
      <c r="CX137" s="30"/>
      <c r="CZ137" s="26">
        <v>0</v>
      </c>
      <c r="DA137" s="29"/>
      <c r="DB137" s="30"/>
      <c r="DD137" s="26">
        <v>0</v>
      </c>
      <c r="DE137" s="29"/>
      <c r="DH137" s="26">
        <v>0</v>
      </c>
      <c r="DI137" s="29"/>
      <c r="DL137" s="26">
        <v>0</v>
      </c>
      <c r="DM137" s="29"/>
      <c r="DN137" s="30"/>
      <c r="DQ137" s="26">
        <v>0</v>
      </c>
      <c r="DR137" s="29"/>
      <c r="DS137" s="30"/>
      <c r="DV137" s="26">
        <v>0</v>
      </c>
      <c r="DW137" s="29"/>
      <c r="DZ137" s="26">
        <v>0</v>
      </c>
      <c r="EA137" s="29"/>
      <c r="EB137" s="30"/>
      <c r="EG137" s="26">
        <v>0</v>
      </c>
      <c r="EH137" s="29"/>
      <c r="EK137" s="26">
        <v>0</v>
      </c>
      <c r="EL137" s="29"/>
      <c r="EM137" s="30"/>
      <c r="EQ137" s="26">
        <v>0</v>
      </c>
      <c r="ER137" s="29"/>
      <c r="EW137" s="26">
        <v>0</v>
      </c>
      <c r="EX137" s="29"/>
      <c r="FA137" s="26">
        <v>0</v>
      </c>
      <c r="FB137" s="29"/>
      <c r="FC137" s="30"/>
      <c r="FE137" s="26">
        <v>0</v>
      </c>
      <c r="FF137" s="29"/>
      <c r="FG137" s="30"/>
      <c r="FI137" s="26">
        <v>0</v>
      </c>
      <c r="FJ137" s="29"/>
      <c r="FM137" s="26">
        <v>0</v>
      </c>
      <c r="FN137" s="29"/>
      <c r="FO137" s="30"/>
      <c r="FQ137" s="26">
        <v>0</v>
      </c>
      <c r="FR137" s="29"/>
      <c r="FS137" s="30"/>
      <c r="FU137" s="26">
        <v>0</v>
      </c>
      <c r="FV137" s="29"/>
      <c r="FY137" s="26">
        <v>0</v>
      </c>
      <c r="FZ137" s="32"/>
      <c r="GC137" s="26">
        <v>0</v>
      </c>
      <c r="GD137" s="29"/>
      <c r="GG137" s="26">
        <v>0</v>
      </c>
      <c r="GH137" s="32"/>
      <c r="GK137" s="26">
        <v>0</v>
      </c>
      <c r="GL137" s="29"/>
      <c r="GO137" s="26">
        <v>0</v>
      </c>
      <c r="GP137" s="32"/>
      <c r="GS137" s="26">
        <v>0</v>
      </c>
      <c r="GT137" s="29"/>
      <c r="GU137" s="34"/>
      <c r="GW137" s="26">
        <v>0</v>
      </c>
      <c r="GX137" s="32"/>
      <c r="HA137" s="26">
        <v>0</v>
      </c>
      <c r="HB137" s="32"/>
      <c r="HE137" s="26">
        <v>0</v>
      </c>
      <c r="HF137" s="32"/>
      <c r="HI137" s="26">
        <v>0</v>
      </c>
      <c r="HJ137" s="29"/>
      <c r="HK137" s="27"/>
      <c r="HM137" s="27"/>
      <c r="HO137" s="26">
        <v>0</v>
      </c>
      <c r="HP137" s="32"/>
      <c r="HQ137" s="31">
        <v>0</v>
      </c>
      <c r="HR137" s="31">
        <v>0</v>
      </c>
      <c r="HS137" s="26">
        <v>0</v>
      </c>
      <c r="HT137" s="32"/>
      <c r="HU137" s="31">
        <v>0</v>
      </c>
      <c r="HV137" s="31">
        <v>0</v>
      </c>
      <c r="HW137" s="26">
        <v>0</v>
      </c>
      <c r="HX137" s="32"/>
      <c r="HY137" s="34">
        <v>0</v>
      </c>
      <c r="HZ137" s="31">
        <v>0</v>
      </c>
      <c r="IA137" s="26">
        <v>0</v>
      </c>
      <c r="IB137" s="32"/>
    </row>
    <row r="138" spans="1:236" x14ac:dyDescent="0.25">
      <c r="A138" s="26" t="s">
        <v>265</v>
      </c>
      <c r="B138" s="27">
        <v>1</v>
      </c>
      <c r="F138">
        <v>18</v>
      </c>
      <c r="I138" s="30"/>
      <c r="J138" s="36">
        <v>12</v>
      </c>
      <c r="K138" s="36">
        <v>12</v>
      </c>
      <c r="L138" s="35">
        <f t="shared" si="11"/>
        <v>0</v>
      </c>
      <c r="M138" s="29"/>
      <c r="N138" s="30"/>
      <c r="O138" s="35"/>
      <c r="P138" s="35">
        <f t="shared" si="12"/>
        <v>0</v>
      </c>
      <c r="Q138" s="29"/>
      <c r="R138" s="28">
        <v>6</v>
      </c>
      <c r="S138" s="36">
        <v>5</v>
      </c>
      <c r="T138" s="35">
        <f t="shared" si="13"/>
        <v>1</v>
      </c>
      <c r="U138" s="29"/>
      <c r="V138" s="36">
        <v>12</v>
      </c>
      <c r="W138">
        <v>10</v>
      </c>
      <c r="X138" s="26">
        <v>2</v>
      </c>
      <c r="Y138" s="29"/>
      <c r="Z138" s="28">
        <v>6</v>
      </c>
      <c r="AA138">
        <v>9</v>
      </c>
      <c r="AB138" s="26">
        <v>-3</v>
      </c>
      <c r="AC138" s="29"/>
      <c r="AD138">
        <v>18</v>
      </c>
      <c r="AE138">
        <v>17</v>
      </c>
      <c r="AF138" s="26">
        <v>1</v>
      </c>
      <c r="AG138" s="29"/>
      <c r="AH138" s="28">
        <v>18</v>
      </c>
      <c r="AI138">
        <v>19</v>
      </c>
      <c r="AJ138" s="26">
        <v>-1</v>
      </c>
      <c r="AK138" s="29"/>
      <c r="AL138" s="28">
        <v>6</v>
      </c>
      <c r="AM138">
        <v>4</v>
      </c>
      <c r="AN138" s="26">
        <v>2</v>
      </c>
      <c r="AO138" s="29"/>
      <c r="AP138">
        <v>6</v>
      </c>
      <c r="AQ138">
        <v>3</v>
      </c>
      <c r="AR138" s="26">
        <v>3</v>
      </c>
      <c r="AS138" s="29"/>
      <c r="AT138" s="28">
        <v>6</v>
      </c>
      <c r="AU138">
        <v>5</v>
      </c>
      <c r="AX138" s="26">
        <v>1</v>
      </c>
      <c r="AY138" s="29"/>
      <c r="AZ138" s="28">
        <v>12</v>
      </c>
      <c r="BA138">
        <v>12</v>
      </c>
      <c r="BB138" s="26">
        <v>0</v>
      </c>
      <c r="BC138" s="29"/>
      <c r="BH138" s="26">
        <v>0</v>
      </c>
      <c r="BI138" s="29"/>
      <c r="BL138" s="26">
        <v>0</v>
      </c>
      <c r="BM138" s="29"/>
      <c r="BN138" s="28">
        <v>18</v>
      </c>
      <c r="BO138">
        <v>16</v>
      </c>
      <c r="BP138" s="26">
        <v>2</v>
      </c>
      <c r="BQ138" s="29"/>
      <c r="BR138" s="30"/>
      <c r="BS138">
        <v>8</v>
      </c>
      <c r="BT138" s="25">
        <v>-8</v>
      </c>
      <c r="BU138" s="29">
        <v>8</v>
      </c>
      <c r="BX138" s="26">
        <v>0</v>
      </c>
      <c r="BY138" s="29"/>
      <c r="BZ138" s="30"/>
      <c r="CC138" s="26">
        <v>0</v>
      </c>
      <c r="CD138" s="29"/>
      <c r="CE138" s="30"/>
      <c r="CI138" s="26">
        <v>0</v>
      </c>
      <c r="CJ138" s="29"/>
      <c r="CK138" s="28">
        <v>12</v>
      </c>
      <c r="CM138">
        <v>10</v>
      </c>
      <c r="CN138" s="26">
        <v>2</v>
      </c>
      <c r="CO138" s="29"/>
      <c r="CR138" s="26">
        <v>0</v>
      </c>
      <c r="CS138" s="29"/>
      <c r="CT138" s="34"/>
      <c r="CV138" s="26">
        <v>0</v>
      </c>
      <c r="CW138" s="29"/>
      <c r="CX138" s="30"/>
      <c r="CZ138" s="26">
        <v>0</v>
      </c>
      <c r="DA138" s="29"/>
      <c r="DB138" s="30"/>
      <c r="DD138" s="26">
        <v>0</v>
      </c>
      <c r="DE138" s="29"/>
      <c r="DH138" s="26">
        <v>0</v>
      </c>
      <c r="DI138" s="29"/>
      <c r="DJ138">
        <v>6</v>
      </c>
      <c r="DK138">
        <v>6</v>
      </c>
      <c r="DL138" s="26">
        <v>0</v>
      </c>
      <c r="DM138" s="29"/>
      <c r="DN138" s="30"/>
      <c r="DQ138" s="26">
        <v>0</v>
      </c>
      <c r="DR138" s="29"/>
      <c r="DS138" s="30"/>
      <c r="DV138" s="26">
        <v>0</v>
      </c>
      <c r="DW138" s="29"/>
      <c r="DZ138" s="26">
        <v>0</v>
      </c>
      <c r="EA138" s="29"/>
      <c r="EB138" s="30"/>
      <c r="EE138">
        <v>18</v>
      </c>
      <c r="EF138">
        <v>17</v>
      </c>
      <c r="EG138" s="26">
        <v>1</v>
      </c>
      <c r="EH138" s="29"/>
      <c r="EI138">
        <v>12</v>
      </c>
      <c r="EJ138" s="31">
        <v>9.8189999999999991</v>
      </c>
      <c r="EK138" s="26">
        <v>2.1810000000000009</v>
      </c>
      <c r="EL138" s="29"/>
      <c r="EM138" s="30"/>
      <c r="EO138">
        <v>24</v>
      </c>
      <c r="EP138">
        <v>22</v>
      </c>
      <c r="EQ138" s="26">
        <v>2</v>
      </c>
      <c r="ER138" s="29"/>
      <c r="EW138" s="26">
        <v>0</v>
      </c>
      <c r="EX138" s="29"/>
      <c r="EY138">
        <v>24</v>
      </c>
      <c r="EZ138" s="31">
        <v>25</v>
      </c>
      <c r="FA138" s="26">
        <v>-1</v>
      </c>
      <c r="FB138" s="29"/>
      <c r="FC138" s="30"/>
      <c r="FE138" s="26">
        <v>0</v>
      </c>
      <c r="FF138" s="29"/>
      <c r="FG138" s="30"/>
      <c r="FI138" s="26">
        <v>0</v>
      </c>
      <c r="FJ138" s="29"/>
      <c r="FK138">
        <v>18</v>
      </c>
      <c r="FL138">
        <v>16</v>
      </c>
      <c r="FM138" s="26">
        <v>2</v>
      </c>
      <c r="FN138" s="29"/>
      <c r="FO138" s="30"/>
      <c r="FQ138" s="26">
        <v>0</v>
      </c>
      <c r="FR138" s="29"/>
      <c r="FS138" s="28">
        <v>6</v>
      </c>
      <c r="FT138">
        <v>8</v>
      </c>
      <c r="FU138" s="26">
        <v>-2</v>
      </c>
      <c r="FV138" s="29"/>
      <c r="FY138" s="26">
        <v>0</v>
      </c>
      <c r="FZ138" s="32"/>
      <c r="GC138" s="26">
        <v>0</v>
      </c>
      <c r="GD138" s="29"/>
      <c r="GG138" s="26">
        <v>0</v>
      </c>
      <c r="GH138" s="32"/>
      <c r="GL138" s="29"/>
      <c r="GP138" s="32"/>
      <c r="GT138" s="29"/>
      <c r="GU138" s="34"/>
      <c r="GX138" s="32"/>
      <c r="GY138" s="27"/>
      <c r="HB138" s="32"/>
      <c r="HF138" s="32"/>
      <c r="HH138" s="31"/>
      <c r="HJ138" s="29"/>
      <c r="HK138" s="27"/>
      <c r="HM138" s="27"/>
      <c r="HP138" s="32"/>
      <c r="HQ138" s="31"/>
      <c r="HR138" s="31"/>
      <c r="HT138" s="32"/>
      <c r="HU138" s="31"/>
      <c r="HV138" s="31"/>
      <c r="HX138" s="32"/>
      <c r="HY138" s="34"/>
      <c r="HZ138" s="31"/>
      <c r="IB138" s="32"/>
    </row>
    <row r="139" spans="1:236" x14ac:dyDescent="0.25">
      <c r="A139" s="26" t="s">
        <v>266</v>
      </c>
      <c r="B139" s="27">
        <v>1</v>
      </c>
      <c r="I139" s="30"/>
      <c r="J139" s="35"/>
      <c r="K139" s="35"/>
      <c r="L139" s="35">
        <f t="shared" si="11"/>
        <v>0</v>
      </c>
      <c r="M139" s="29"/>
      <c r="N139" s="30"/>
      <c r="O139" s="35"/>
      <c r="P139" s="35">
        <f t="shared" si="12"/>
        <v>0</v>
      </c>
      <c r="Q139" s="29"/>
      <c r="R139" s="30"/>
      <c r="S139" s="35"/>
      <c r="T139" s="35">
        <f t="shared" si="13"/>
        <v>0</v>
      </c>
      <c r="U139" s="29"/>
      <c r="V139" s="35"/>
      <c r="X139" s="26">
        <v>0</v>
      </c>
      <c r="Y139" s="29"/>
      <c r="Z139" s="30"/>
      <c r="AB139" s="26">
        <v>0</v>
      </c>
      <c r="AC139" s="29"/>
      <c r="AF139" s="26">
        <v>0</v>
      </c>
      <c r="AG139" s="29"/>
      <c r="AH139" s="30"/>
      <c r="AJ139" s="26">
        <v>0</v>
      </c>
      <c r="AK139" s="29"/>
      <c r="AL139" s="30"/>
      <c r="AN139" s="26">
        <v>0</v>
      </c>
      <c r="AO139" s="29"/>
      <c r="AR139" s="26">
        <v>0</v>
      </c>
      <c r="AS139" s="29"/>
      <c r="AT139" s="30"/>
      <c r="AX139" s="26">
        <v>0</v>
      </c>
      <c r="AY139" s="29"/>
      <c r="AZ139" s="30"/>
      <c r="BB139" s="26">
        <v>0</v>
      </c>
      <c r="BC139" s="29"/>
      <c r="BH139" s="26">
        <v>0</v>
      </c>
      <c r="BI139" s="29"/>
      <c r="BL139" s="26">
        <v>0</v>
      </c>
      <c r="BM139" s="29"/>
      <c r="BN139" s="30"/>
      <c r="BP139" s="26">
        <v>0</v>
      </c>
      <c r="BQ139" s="29"/>
      <c r="BR139" s="30"/>
      <c r="BT139" s="26">
        <v>0</v>
      </c>
      <c r="BU139" s="29"/>
      <c r="BX139" s="26">
        <v>0</v>
      </c>
      <c r="BY139" s="29"/>
      <c r="BZ139" s="30"/>
      <c r="CC139" s="26">
        <v>0</v>
      </c>
      <c r="CD139" s="29"/>
      <c r="CE139" s="30"/>
      <c r="CI139" s="26">
        <v>0</v>
      </c>
      <c r="CJ139" s="29"/>
      <c r="CK139" s="30"/>
      <c r="CN139" s="26">
        <v>0</v>
      </c>
      <c r="CO139" s="29"/>
      <c r="CR139" s="26">
        <v>0</v>
      </c>
      <c r="CS139" s="29"/>
      <c r="CT139" s="34"/>
      <c r="CV139" s="26">
        <v>0</v>
      </c>
      <c r="CW139" s="29"/>
      <c r="CX139" s="30"/>
      <c r="CZ139" s="26">
        <v>0</v>
      </c>
      <c r="DA139" s="29"/>
      <c r="DB139" s="30"/>
      <c r="DD139" s="26">
        <v>0</v>
      </c>
      <c r="DE139" s="29"/>
      <c r="DH139" s="26">
        <v>0</v>
      </c>
      <c r="DI139" s="29"/>
      <c r="DL139" s="26">
        <v>0</v>
      </c>
      <c r="DM139" s="29"/>
      <c r="DN139" s="30"/>
      <c r="DQ139" s="26">
        <v>0</v>
      </c>
      <c r="DR139" s="29"/>
      <c r="DS139" s="30"/>
      <c r="DV139" s="26">
        <v>0</v>
      </c>
      <c r="DW139" s="29"/>
      <c r="DZ139" s="26">
        <v>0</v>
      </c>
      <c r="EA139" s="29"/>
      <c r="EB139" s="30"/>
      <c r="EG139" s="26">
        <v>0</v>
      </c>
      <c r="EH139" s="29"/>
      <c r="EK139" s="26">
        <v>0</v>
      </c>
      <c r="EL139" s="29"/>
      <c r="EM139" s="30"/>
      <c r="EQ139" s="26">
        <v>0</v>
      </c>
      <c r="ER139" s="29"/>
      <c r="EW139" s="26">
        <v>0</v>
      </c>
      <c r="EX139" s="29"/>
      <c r="FA139" s="26">
        <v>0</v>
      </c>
      <c r="FB139" s="29"/>
      <c r="FC139" s="30"/>
      <c r="FE139" s="26">
        <v>0</v>
      </c>
      <c r="FF139" s="29"/>
      <c r="FG139" s="30"/>
      <c r="FI139" s="26">
        <v>0</v>
      </c>
      <c r="FJ139" s="29"/>
      <c r="FM139" s="26">
        <v>0</v>
      </c>
      <c r="FN139" s="29"/>
      <c r="FO139" s="30"/>
      <c r="FQ139" s="26">
        <v>0</v>
      </c>
      <c r="FR139" s="29"/>
      <c r="FS139" s="30"/>
      <c r="FU139" s="26">
        <v>0</v>
      </c>
      <c r="FV139" s="29"/>
      <c r="FY139" s="26">
        <v>0</v>
      </c>
      <c r="FZ139" s="32"/>
      <c r="GC139" s="26">
        <v>0</v>
      </c>
      <c r="GD139" s="29"/>
      <c r="GG139" s="26">
        <v>0</v>
      </c>
      <c r="GH139" s="32"/>
      <c r="GK139" s="26">
        <v>0</v>
      </c>
      <c r="GL139" s="29"/>
      <c r="GO139" s="26">
        <v>0</v>
      </c>
      <c r="GP139" s="32"/>
      <c r="GS139" s="26">
        <v>0</v>
      </c>
      <c r="GT139" s="29"/>
      <c r="GU139" s="34"/>
      <c r="GW139" s="26">
        <v>0</v>
      </c>
      <c r="GX139" s="32"/>
      <c r="HA139" s="26">
        <v>0</v>
      </c>
      <c r="HB139" s="32"/>
      <c r="HE139" s="26">
        <v>0</v>
      </c>
      <c r="HF139" s="32"/>
      <c r="HI139" s="26">
        <v>0</v>
      </c>
      <c r="HJ139" s="29"/>
      <c r="HK139" s="27"/>
      <c r="HM139" s="27"/>
      <c r="HO139" s="26">
        <v>0</v>
      </c>
      <c r="HP139" s="32"/>
      <c r="HQ139" s="31">
        <v>0</v>
      </c>
      <c r="HR139" s="31">
        <v>0</v>
      </c>
      <c r="HS139" s="26">
        <v>0</v>
      </c>
      <c r="HT139" s="32"/>
      <c r="HU139" s="31">
        <v>0</v>
      </c>
      <c r="HV139" s="31">
        <v>0</v>
      </c>
      <c r="HW139" s="26">
        <v>0</v>
      </c>
      <c r="HX139" s="32"/>
      <c r="HY139" s="34">
        <v>0</v>
      </c>
      <c r="HZ139" s="31">
        <v>0</v>
      </c>
      <c r="IA139" s="26">
        <v>0</v>
      </c>
      <c r="IB139" s="32"/>
    </row>
    <row r="140" spans="1:236" x14ac:dyDescent="0.25">
      <c r="A140" s="26" t="s">
        <v>267</v>
      </c>
      <c r="B140" s="27">
        <v>1</v>
      </c>
      <c r="I140" s="30"/>
      <c r="J140" s="35"/>
      <c r="K140" s="35"/>
      <c r="L140" s="35">
        <f t="shared" si="11"/>
        <v>0</v>
      </c>
      <c r="M140" s="29"/>
      <c r="N140" s="30"/>
      <c r="O140" s="35"/>
      <c r="P140" s="35">
        <f t="shared" si="12"/>
        <v>0</v>
      </c>
      <c r="Q140" s="29"/>
      <c r="R140" s="30"/>
      <c r="S140" s="35"/>
      <c r="T140" s="35">
        <f t="shared" si="13"/>
        <v>0</v>
      </c>
      <c r="U140" s="29"/>
      <c r="V140" s="35"/>
      <c r="X140" s="26">
        <v>0</v>
      </c>
      <c r="Y140" s="29"/>
      <c r="Z140" s="30"/>
      <c r="AB140" s="26">
        <v>0</v>
      </c>
      <c r="AC140" s="29"/>
      <c r="AF140" s="26">
        <v>0</v>
      </c>
      <c r="AG140" s="29"/>
      <c r="AH140" s="30"/>
      <c r="AJ140" s="26">
        <v>0</v>
      </c>
      <c r="AK140" s="29"/>
      <c r="AL140" s="30"/>
      <c r="AN140" s="26">
        <v>0</v>
      </c>
      <c r="AO140" s="29"/>
      <c r="AR140" s="26">
        <v>0</v>
      </c>
      <c r="AS140" s="29"/>
      <c r="AT140" s="30"/>
      <c r="AX140" s="26">
        <v>0</v>
      </c>
      <c r="AY140" s="29"/>
      <c r="AZ140" s="30"/>
      <c r="BB140" s="26">
        <v>0</v>
      </c>
      <c r="BC140" s="29"/>
      <c r="BH140" s="26">
        <v>0</v>
      </c>
      <c r="BI140" s="29"/>
      <c r="BL140" s="26">
        <v>0</v>
      </c>
      <c r="BM140" s="29"/>
      <c r="BN140" s="30"/>
      <c r="BP140" s="26">
        <v>0</v>
      </c>
      <c r="BQ140" s="29"/>
      <c r="BR140" s="30"/>
      <c r="BT140" s="26">
        <v>0</v>
      </c>
      <c r="BU140" s="29"/>
      <c r="BX140" s="26">
        <v>0</v>
      </c>
      <c r="BY140" s="29"/>
      <c r="BZ140" s="30"/>
      <c r="CA140">
        <v>39</v>
      </c>
      <c r="CB140">
        <v>40</v>
      </c>
      <c r="CC140" s="26">
        <v>-1</v>
      </c>
      <c r="CD140" s="29"/>
      <c r="CE140" s="30"/>
      <c r="CI140" s="26">
        <v>0</v>
      </c>
      <c r="CJ140" s="29"/>
      <c r="CK140" s="30"/>
      <c r="CL140">
        <v>12</v>
      </c>
      <c r="CM140">
        <v>10</v>
      </c>
      <c r="CN140" s="26">
        <v>2</v>
      </c>
      <c r="CO140" s="29"/>
      <c r="CR140" s="26">
        <v>0</v>
      </c>
      <c r="CS140" s="29"/>
      <c r="CT140" s="34"/>
      <c r="CV140" s="26">
        <v>0</v>
      </c>
      <c r="CW140" s="29"/>
      <c r="CX140" s="30"/>
      <c r="CZ140" s="26">
        <v>0</v>
      </c>
      <c r="DA140" s="29"/>
      <c r="DB140" s="30"/>
      <c r="DD140" s="26">
        <v>0</v>
      </c>
      <c r="DE140" s="29"/>
      <c r="DH140" s="26">
        <v>0</v>
      </c>
      <c r="DI140" s="29"/>
      <c r="DL140" s="26">
        <v>0</v>
      </c>
      <c r="DM140" s="29"/>
      <c r="DN140" s="30"/>
      <c r="DO140">
        <v>103</v>
      </c>
      <c r="DP140">
        <v>100</v>
      </c>
      <c r="DQ140" s="26">
        <v>3</v>
      </c>
      <c r="DR140" s="29"/>
      <c r="DS140" s="30"/>
      <c r="DT140">
        <v>20</v>
      </c>
      <c r="DU140" s="31">
        <v>20</v>
      </c>
      <c r="DV140" s="26">
        <v>0</v>
      </c>
      <c r="DW140" s="29"/>
      <c r="DZ140" s="26">
        <v>0</v>
      </c>
      <c r="EA140" s="29"/>
      <c r="EB140" s="34">
        <v>40</v>
      </c>
      <c r="EG140" s="26">
        <v>40</v>
      </c>
      <c r="EH140" s="29"/>
      <c r="EL140" s="29"/>
      <c r="EM140" s="30"/>
      <c r="ER140" s="29"/>
      <c r="EX140" s="29"/>
      <c r="FB140" s="29"/>
      <c r="FC140" s="30"/>
      <c r="FF140" s="29"/>
      <c r="FG140" s="30"/>
      <c r="FJ140" s="29"/>
      <c r="FN140" s="29"/>
      <c r="FO140" s="30"/>
      <c r="FR140" s="29"/>
      <c r="FS140" s="30"/>
      <c r="FV140" s="29"/>
      <c r="FZ140" s="32"/>
      <c r="GD140" s="29"/>
      <c r="GH140" s="32"/>
      <c r="GL140" s="29"/>
      <c r="GP140" s="32"/>
      <c r="GT140" s="29"/>
      <c r="GU140" s="34"/>
      <c r="GX140" s="32"/>
      <c r="HB140" s="32"/>
      <c r="HF140" s="32"/>
      <c r="HJ140" s="29"/>
      <c r="HK140" s="27"/>
      <c r="HM140" s="27"/>
      <c r="HP140" s="32"/>
      <c r="HQ140" s="31"/>
      <c r="HR140" s="31"/>
      <c r="HT140" s="32"/>
      <c r="HU140" s="31"/>
      <c r="HV140" s="31"/>
      <c r="HX140" s="32"/>
      <c r="HY140" s="34"/>
      <c r="HZ140" s="31"/>
      <c r="IB140" s="32"/>
    </row>
    <row r="141" spans="1:236" x14ac:dyDescent="0.25">
      <c r="A141" s="26" t="s">
        <v>268</v>
      </c>
      <c r="B141" s="27">
        <v>1</v>
      </c>
      <c r="I141" s="30"/>
      <c r="J141" s="35"/>
      <c r="K141" s="35"/>
      <c r="L141" s="35">
        <f t="shared" si="11"/>
        <v>0</v>
      </c>
      <c r="M141" s="29"/>
      <c r="N141" s="30"/>
      <c r="O141" s="35"/>
      <c r="P141" s="35">
        <f t="shared" si="12"/>
        <v>0</v>
      </c>
      <c r="Q141" s="29"/>
      <c r="R141" s="30"/>
      <c r="S141" s="35"/>
      <c r="T141" s="35">
        <f t="shared" si="13"/>
        <v>0</v>
      </c>
      <c r="U141" s="29"/>
      <c r="V141" s="35"/>
      <c r="X141" s="26">
        <v>0</v>
      </c>
      <c r="Y141" s="29"/>
      <c r="Z141" s="30"/>
      <c r="AB141" s="26">
        <v>0</v>
      </c>
      <c r="AC141" s="29"/>
      <c r="AF141" s="26">
        <v>0</v>
      </c>
      <c r="AG141" s="29"/>
      <c r="AH141" s="30"/>
      <c r="AJ141" s="26">
        <v>0</v>
      </c>
      <c r="AK141" s="29"/>
      <c r="AL141" s="30"/>
      <c r="AN141" s="26">
        <v>0</v>
      </c>
      <c r="AO141" s="29"/>
      <c r="AR141" s="26">
        <v>0</v>
      </c>
      <c r="AS141" s="29"/>
      <c r="AT141" s="30"/>
      <c r="AX141" s="26">
        <v>0</v>
      </c>
      <c r="AY141" s="29"/>
      <c r="AZ141" s="30"/>
      <c r="BB141" s="26">
        <v>0</v>
      </c>
      <c r="BC141" s="29"/>
      <c r="BH141" s="26">
        <v>0</v>
      </c>
      <c r="BI141" s="29"/>
      <c r="BL141" s="26">
        <v>0</v>
      </c>
      <c r="BM141" s="29"/>
      <c r="BN141" s="30"/>
      <c r="BP141" s="26">
        <v>0</v>
      </c>
      <c r="BQ141" s="29"/>
      <c r="BR141" s="30"/>
      <c r="BT141" s="26">
        <v>0</v>
      </c>
      <c r="BU141" s="29"/>
      <c r="BX141" s="26">
        <v>0</v>
      </c>
      <c r="BY141" s="29"/>
      <c r="BZ141" s="30"/>
      <c r="CC141" s="26">
        <v>0</v>
      </c>
      <c r="CD141" s="29"/>
      <c r="CE141" s="30"/>
      <c r="CI141" s="26">
        <v>0</v>
      </c>
      <c r="CJ141" s="29"/>
      <c r="CK141" s="30"/>
      <c r="CN141" s="26">
        <v>0</v>
      </c>
      <c r="CO141" s="29"/>
      <c r="CR141" s="26">
        <v>0</v>
      </c>
      <c r="CS141" s="29"/>
      <c r="CT141" s="34"/>
      <c r="CV141" s="26">
        <v>0</v>
      </c>
      <c r="CW141" s="29"/>
      <c r="CX141" s="30"/>
      <c r="CZ141" s="26">
        <v>0</v>
      </c>
      <c r="DA141" s="29"/>
      <c r="DB141" s="30"/>
      <c r="DD141" s="26">
        <v>0</v>
      </c>
      <c r="DE141" s="29"/>
      <c r="DG141" s="31">
        <v>54.695000000000007</v>
      </c>
      <c r="DH141" s="25">
        <v>-54.695000000000007</v>
      </c>
      <c r="DI141" s="29">
        <v>54.695000000000007</v>
      </c>
      <c r="DL141" s="26">
        <v>0</v>
      </c>
      <c r="DM141" s="29"/>
      <c r="DN141" s="28">
        <v>40</v>
      </c>
      <c r="DP141">
        <v>40</v>
      </c>
      <c r="DQ141" s="26">
        <v>0</v>
      </c>
      <c r="DR141" s="29"/>
      <c r="DS141" s="30"/>
      <c r="DV141" s="26">
        <v>0</v>
      </c>
      <c r="DW141" s="29"/>
      <c r="DZ141" s="26">
        <v>0</v>
      </c>
      <c r="EA141" s="29"/>
      <c r="EB141" s="30"/>
      <c r="EC141" s="31">
        <v>53</v>
      </c>
      <c r="ED141" s="31">
        <v>52</v>
      </c>
      <c r="EG141" s="26">
        <v>1</v>
      </c>
      <c r="EH141" s="29"/>
      <c r="EK141" s="26">
        <v>0</v>
      </c>
      <c r="EL141" s="29"/>
      <c r="EM141" s="30"/>
      <c r="ER141" s="29"/>
      <c r="EX141" s="29"/>
      <c r="FB141" s="29"/>
      <c r="FC141" s="30"/>
      <c r="FF141" s="29"/>
      <c r="FG141" s="30"/>
      <c r="FJ141" s="29"/>
      <c r="FN141" s="29"/>
      <c r="FO141" s="30"/>
      <c r="FR141" s="29"/>
      <c r="FS141" s="30"/>
      <c r="FV141" s="29"/>
      <c r="FZ141" s="32"/>
      <c r="GD141" s="29"/>
      <c r="GH141" s="32"/>
      <c r="GL141" s="29"/>
      <c r="GP141" s="32"/>
      <c r="GT141" s="29"/>
      <c r="GU141" s="34"/>
      <c r="GX141" s="32"/>
      <c r="HB141" s="32"/>
      <c r="HF141" s="32"/>
      <c r="HJ141" s="29"/>
      <c r="HK141" s="27"/>
      <c r="HM141" s="27"/>
      <c r="HP141" s="32"/>
      <c r="HQ141" s="31"/>
      <c r="HR141" s="31"/>
      <c r="HT141" s="32"/>
      <c r="HU141" s="31"/>
      <c r="HV141" s="31"/>
      <c r="HX141" s="32"/>
      <c r="HY141" s="34"/>
      <c r="HZ141" s="31"/>
      <c r="IB141" s="32"/>
    </row>
    <row r="142" spans="1:236" x14ac:dyDescent="0.25">
      <c r="A142" s="26" t="s">
        <v>269</v>
      </c>
      <c r="B142" s="27">
        <v>1</v>
      </c>
      <c r="I142" s="30"/>
      <c r="J142" s="35"/>
      <c r="K142" s="35"/>
      <c r="L142" s="35">
        <f t="shared" si="11"/>
        <v>0</v>
      </c>
      <c r="M142" s="29"/>
      <c r="N142" s="30"/>
      <c r="O142" s="35"/>
      <c r="P142" s="35">
        <f t="shared" si="12"/>
        <v>0</v>
      </c>
      <c r="Q142" s="29"/>
      <c r="R142" s="30"/>
      <c r="S142" s="35"/>
      <c r="T142" s="35">
        <f t="shared" si="13"/>
        <v>0</v>
      </c>
      <c r="U142" s="29"/>
      <c r="V142" s="35"/>
      <c r="X142" s="26">
        <v>0</v>
      </c>
      <c r="Y142" s="29"/>
      <c r="Z142" s="30"/>
      <c r="AB142" s="26">
        <v>0</v>
      </c>
      <c r="AC142" s="29"/>
      <c r="AF142" s="26">
        <v>0</v>
      </c>
      <c r="AG142" s="29"/>
      <c r="AH142" s="30"/>
      <c r="AJ142" s="26">
        <v>0</v>
      </c>
      <c r="AK142" s="29"/>
      <c r="AL142" s="30"/>
      <c r="AN142" s="26">
        <v>0</v>
      </c>
      <c r="AO142" s="29"/>
      <c r="AR142" s="26">
        <v>0</v>
      </c>
      <c r="AS142" s="29"/>
      <c r="AT142" s="30"/>
      <c r="AX142" s="26">
        <v>0</v>
      </c>
      <c r="AY142" s="29"/>
      <c r="AZ142" s="30"/>
      <c r="BB142" s="26">
        <v>0</v>
      </c>
      <c r="BC142" s="29"/>
      <c r="BH142" s="26">
        <v>0</v>
      </c>
      <c r="BI142" s="29"/>
      <c r="BL142" s="26">
        <v>0</v>
      </c>
      <c r="BM142" s="29"/>
      <c r="BN142" s="30"/>
      <c r="BP142" s="26">
        <v>0</v>
      </c>
      <c r="BQ142" s="29"/>
      <c r="BR142" s="30"/>
      <c r="BT142" s="26">
        <v>0</v>
      </c>
      <c r="BU142" s="29"/>
      <c r="BX142" s="26">
        <v>0</v>
      </c>
      <c r="BY142" s="29"/>
      <c r="BZ142" s="30"/>
      <c r="CC142" s="26">
        <v>0</v>
      </c>
      <c r="CD142" s="29"/>
      <c r="CE142" s="30"/>
      <c r="CI142" s="26">
        <v>0</v>
      </c>
      <c r="CJ142" s="29"/>
      <c r="CK142" s="30"/>
      <c r="CN142" s="26">
        <v>0</v>
      </c>
      <c r="CO142" s="29"/>
      <c r="CR142" s="26">
        <v>0</v>
      </c>
      <c r="CS142" s="29"/>
      <c r="CT142" s="34"/>
      <c r="CV142" s="26">
        <v>0</v>
      </c>
      <c r="CW142" s="29"/>
      <c r="CX142" s="30"/>
      <c r="CZ142" s="26">
        <v>0</v>
      </c>
      <c r="DA142" s="29"/>
      <c r="DB142" s="30"/>
      <c r="DD142" s="26">
        <v>0</v>
      </c>
      <c r="DE142" s="29"/>
      <c r="DH142" s="26">
        <v>0</v>
      </c>
      <c r="DI142" s="29"/>
      <c r="DK142">
        <v>8</v>
      </c>
      <c r="DL142" s="26">
        <v>-8</v>
      </c>
      <c r="DM142" s="29"/>
      <c r="DN142" s="30"/>
      <c r="DQ142" s="26">
        <v>0</v>
      </c>
      <c r="DR142" s="29"/>
      <c r="DS142" s="30"/>
      <c r="DU142">
        <v>40</v>
      </c>
      <c r="DV142" s="25">
        <v>-40</v>
      </c>
      <c r="DW142" s="29">
        <v>40</v>
      </c>
      <c r="DZ142" s="26">
        <v>0</v>
      </c>
      <c r="EA142" s="29"/>
      <c r="EB142" s="30"/>
      <c r="ED142" s="31">
        <v>52</v>
      </c>
      <c r="EG142" s="25">
        <v>-52</v>
      </c>
      <c r="EH142" s="29">
        <v>52</v>
      </c>
      <c r="EK142" s="26">
        <v>0</v>
      </c>
      <c r="EL142" s="29"/>
      <c r="EM142" s="30"/>
      <c r="ER142" s="29"/>
      <c r="EX142" s="29"/>
      <c r="FB142" s="29"/>
      <c r="FC142" s="30"/>
      <c r="FF142" s="29"/>
      <c r="FG142" s="30"/>
      <c r="FJ142" s="29"/>
      <c r="FN142" s="29"/>
      <c r="FO142" s="30"/>
      <c r="FR142" s="29"/>
      <c r="FS142" s="30"/>
      <c r="FV142" s="29"/>
      <c r="FZ142" s="32"/>
      <c r="GD142" s="29"/>
      <c r="GH142" s="32"/>
      <c r="GL142" s="29"/>
      <c r="GP142" s="32"/>
      <c r="GT142" s="29"/>
      <c r="GU142" s="34"/>
      <c r="GX142" s="32"/>
      <c r="HB142" s="32"/>
      <c r="HF142" s="32"/>
      <c r="HJ142" s="29"/>
      <c r="HK142" s="27"/>
      <c r="HM142" s="27"/>
      <c r="HP142" s="32"/>
      <c r="HQ142" s="31"/>
      <c r="HR142" s="31"/>
      <c r="HT142" s="32"/>
      <c r="HU142" s="31"/>
      <c r="HV142" s="31"/>
      <c r="HX142" s="32"/>
      <c r="HY142" s="34"/>
      <c r="HZ142" s="31"/>
      <c r="IB142" s="32"/>
    </row>
    <row r="143" spans="1:236" x14ac:dyDescent="0.25">
      <c r="A143" s="26" t="s">
        <v>270</v>
      </c>
      <c r="B143" s="27">
        <v>0.4</v>
      </c>
      <c r="I143" s="30"/>
      <c r="J143" s="35"/>
      <c r="K143" s="35"/>
      <c r="L143" s="35">
        <f t="shared" si="11"/>
        <v>0</v>
      </c>
      <c r="M143" s="29"/>
      <c r="N143" s="30"/>
      <c r="O143" s="35"/>
      <c r="P143" s="35">
        <f t="shared" si="12"/>
        <v>0</v>
      </c>
      <c r="Q143" s="29"/>
      <c r="R143" s="30"/>
      <c r="S143" s="35"/>
      <c r="T143" s="35">
        <f t="shared" si="13"/>
        <v>0</v>
      </c>
      <c r="U143" s="29"/>
      <c r="V143" s="35"/>
      <c r="X143" s="26">
        <v>0</v>
      </c>
      <c r="Y143" s="29"/>
      <c r="Z143" s="30"/>
      <c r="AB143" s="26">
        <v>0</v>
      </c>
      <c r="AC143" s="29"/>
      <c r="AF143" s="26">
        <v>0</v>
      </c>
      <c r="AG143" s="29"/>
      <c r="AH143" s="30"/>
      <c r="AJ143" s="26">
        <v>0</v>
      </c>
      <c r="AK143" s="29"/>
      <c r="AL143" s="30"/>
      <c r="AN143" s="26">
        <v>0</v>
      </c>
      <c r="AO143" s="29"/>
      <c r="AR143" s="26">
        <v>0</v>
      </c>
      <c r="AS143" s="29"/>
      <c r="AT143" s="30"/>
      <c r="AX143" s="26">
        <v>0</v>
      </c>
      <c r="AY143" s="29"/>
      <c r="AZ143" s="30"/>
      <c r="BB143" s="26">
        <v>0</v>
      </c>
      <c r="BC143" s="29"/>
      <c r="BH143" s="26">
        <v>0</v>
      </c>
      <c r="BI143" s="29"/>
      <c r="BL143" s="26">
        <v>0</v>
      </c>
      <c r="BM143" s="29"/>
      <c r="BN143" s="30"/>
      <c r="BP143" s="26">
        <v>0</v>
      </c>
      <c r="BQ143" s="29"/>
      <c r="BR143" s="30"/>
      <c r="BT143" s="26">
        <v>0</v>
      </c>
      <c r="BU143" s="29"/>
      <c r="BX143" s="26">
        <v>0</v>
      </c>
      <c r="BY143" s="29"/>
      <c r="BZ143" s="30"/>
      <c r="CC143" s="26">
        <v>0</v>
      </c>
      <c r="CD143" s="29"/>
      <c r="CE143" s="30"/>
      <c r="CI143" s="26">
        <v>0</v>
      </c>
      <c r="CJ143" s="29"/>
      <c r="CK143" s="30"/>
      <c r="CN143" s="26">
        <v>0</v>
      </c>
      <c r="CO143" s="29"/>
      <c r="CR143" s="26">
        <v>0</v>
      </c>
      <c r="CS143" s="29"/>
      <c r="CT143" s="34"/>
      <c r="CV143" s="26">
        <v>0</v>
      </c>
      <c r="CW143" s="29"/>
      <c r="CX143" s="30"/>
      <c r="CZ143" s="26">
        <v>0</v>
      </c>
      <c r="DA143" s="29"/>
      <c r="DB143" s="30"/>
      <c r="DD143" s="26">
        <v>0</v>
      </c>
      <c r="DE143" s="29"/>
      <c r="DH143" s="26">
        <v>0</v>
      </c>
      <c r="DI143" s="29"/>
      <c r="DL143" s="26">
        <v>0</v>
      </c>
      <c r="DM143" s="29"/>
      <c r="DN143" s="30"/>
      <c r="DQ143" s="26">
        <v>0</v>
      </c>
      <c r="DR143" s="29"/>
      <c r="DS143" s="30"/>
      <c r="DV143" s="26">
        <v>0</v>
      </c>
      <c r="DW143" s="29"/>
      <c r="DZ143" s="26">
        <v>0</v>
      </c>
      <c r="EA143" s="29"/>
      <c r="EB143" s="30"/>
      <c r="EG143" s="26">
        <v>0</v>
      </c>
      <c r="EH143" s="29"/>
      <c r="EK143" s="26">
        <v>0</v>
      </c>
      <c r="EL143" s="29"/>
      <c r="EM143" s="30"/>
      <c r="EP143">
        <v>16</v>
      </c>
      <c r="EQ143" s="25">
        <v>-16</v>
      </c>
      <c r="ER143" s="29">
        <v>6.4</v>
      </c>
      <c r="EV143">
        <v>16</v>
      </c>
      <c r="EW143" s="25">
        <v>-16</v>
      </c>
      <c r="EX143" s="29">
        <v>6.4</v>
      </c>
      <c r="EZ143" s="31">
        <v>8</v>
      </c>
      <c r="FA143" s="25">
        <v>-8</v>
      </c>
      <c r="FB143" s="29">
        <v>3.2</v>
      </c>
      <c r="FC143" s="30"/>
      <c r="FE143" s="26">
        <v>0</v>
      </c>
      <c r="FF143" s="29"/>
      <c r="FG143" s="30"/>
      <c r="FI143" s="26">
        <v>0</v>
      </c>
      <c r="FJ143" s="29"/>
      <c r="FN143" s="29"/>
      <c r="FO143" s="30"/>
      <c r="FR143" s="29"/>
      <c r="FS143" s="30"/>
      <c r="FV143" s="29"/>
      <c r="FZ143" s="32"/>
      <c r="GD143" s="29"/>
      <c r="GH143" s="32"/>
      <c r="GL143" s="29"/>
      <c r="GP143" s="32"/>
      <c r="GR143" s="31"/>
      <c r="GT143" s="29"/>
      <c r="GU143" s="34"/>
      <c r="GX143" s="32"/>
      <c r="HB143" s="32"/>
      <c r="HF143" s="32"/>
      <c r="HJ143" s="29"/>
      <c r="HK143" s="27"/>
      <c r="HM143" s="27"/>
      <c r="HP143" s="32"/>
      <c r="HQ143" s="31"/>
      <c r="HR143" s="31"/>
      <c r="HT143" s="32"/>
      <c r="HU143" s="31"/>
      <c r="HV143" s="31"/>
      <c r="HX143" s="32"/>
      <c r="HY143" s="34"/>
      <c r="HZ143" s="31"/>
      <c r="IB143" s="32"/>
    </row>
    <row r="144" spans="1:236" x14ac:dyDescent="0.25">
      <c r="A144" s="26" t="s">
        <v>271</v>
      </c>
      <c r="B144" s="27">
        <v>0.41</v>
      </c>
      <c r="I144" s="30"/>
      <c r="J144" s="35"/>
      <c r="K144" s="35"/>
      <c r="L144" s="35">
        <f t="shared" si="11"/>
        <v>0</v>
      </c>
      <c r="M144" s="29"/>
      <c r="N144" s="30"/>
      <c r="O144" s="35"/>
      <c r="P144" s="35">
        <f t="shared" si="12"/>
        <v>0</v>
      </c>
      <c r="Q144" s="29"/>
      <c r="R144" s="30"/>
      <c r="S144" s="35"/>
      <c r="T144" s="35">
        <f t="shared" si="13"/>
        <v>0</v>
      </c>
      <c r="U144" s="29"/>
      <c r="V144" s="35"/>
      <c r="X144" s="26">
        <v>0</v>
      </c>
      <c r="Y144" s="29"/>
      <c r="Z144" s="30"/>
      <c r="AB144" s="26">
        <v>0</v>
      </c>
      <c r="AC144" s="29"/>
      <c r="AF144" s="26">
        <v>0</v>
      </c>
      <c r="AG144" s="29"/>
      <c r="AH144" s="30"/>
      <c r="AJ144" s="26">
        <v>0</v>
      </c>
      <c r="AK144" s="29"/>
      <c r="AL144" s="30"/>
      <c r="AN144" s="26">
        <v>0</v>
      </c>
      <c r="AO144" s="29"/>
      <c r="AR144" s="26">
        <v>0</v>
      </c>
      <c r="AS144" s="29"/>
      <c r="AT144" s="30"/>
      <c r="AX144" s="26">
        <v>0</v>
      </c>
      <c r="AY144" s="29"/>
      <c r="AZ144" s="30"/>
      <c r="BB144" s="26">
        <v>0</v>
      </c>
      <c r="BC144" s="29"/>
      <c r="BH144" s="26">
        <v>0</v>
      </c>
      <c r="BI144" s="29"/>
      <c r="BL144" s="26">
        <v>0</v>
      </c>
      <c r="BM144" s="29"/>
      <c r="BN144" s="30"/>
      <c r="BP144" s="26">
        <v>0</v>
      </c>
      <c r="BQ144" s="29"/>
      <c r="BR144" s="30"/>
      <c r="BT144" s="26">
        <v>0</v>
      </c>
      <c r="BU144" s="29"/>
      <c r="BX144" s="26">
        <v>0</v>
      </c>
      <c r="BY144" s="29"/>
      <c r="BZ144" s="30"/>
      <c r="CC144" s="26">
        <v>0</v>
      </c>
      <c r="CD144" s="29"/>
      <c r="CE144" s="30"/>
      <c r="CI144" s="26">
        <v>0</v>
      </c>
      <c r="CJ144" s="29"/>
      <c r="CK144" s="30"/>
      <c r="CN144" s="26">
        <v>0</v>
      </c>
      <c r="CO144" s="29"/>
      <c r="CR144" s="26">
        <v>0</v>
      </c>
      <c r="CS144" s="29"/>
      <c r="CT144" s="34"/>
      <c r="CV144" s="26">
        <v>0</v>
      </c>
      <c r="CW144" s="29"/>
      <c r="CX144" s="30"/>
      <c r="CZ144" s="26">
        <v>0</v>
      </c>
      <c r="DA144" s="29"/>
      <c r="DB144" s="30"/>
      <c r="DD144" s="26">
        <v>0</v>
      </c>
      <c r="DE144" s="29"/>
      <c r="DH144" s="26">
        <v>0</v>
      </c>
      <c r="DI144" s="29"/>
      <c r="DL144" s="26">
        <v>0</v>
      </c>
      <c r="DM144" s="29"/>
      <c r="DN144" s="30"/>
      <c r="DQ144" s="26">
        <v>0</v>
      </c>
      <c r="DR144" s="29"/>
      <c r="DS144" s="30"/>
      <c r="DV144" s="26">
        <v>0</v>
      </c>
      <c r="DW144" s="29"/>
      <c r="DZ144" s="26">
        <v>0</v>
      </c>
      <c r="EA144" s="29"/>
      <c r="EB144" s="30"/>
      <c r="EG144" s="26">
        <v>0</v>
      </c>
      <c r="EH144" s="29"/>
      <c r="EK144" s="26">
        <v>0</v>
      </c>
      <c r="EL144" s="29"/>
      <c r="EM144" s="30"/>
      <c r="EQ144" s="26">
        <v>0</v>
      </c>
      <c r="ER144" s="29"/>
      <c r="EW144" s="26">
        <v>0</v>
      </c>
      <c r="EX144" s="29"/>
      <c r="FA144" s="26">
        <v>0</v>
      </c>
      <c r="FB144" s="29"/>
      <c r="FC144" s="30"/>
      <c r="FE144" s="26">
        <v>0</v>
      </c>
      <c r="FF144" s="29"/>
      <c r="FG144" s="30"/>
      <c r="FI144" s="26">
        <v>0</v>
      </c>
      <c r="FJ144" s="29"/>
      <c r="FM144" s="26">
        <v>0</v>
      </c>
      <c r="FN144" s="29"/>
      <c r="FO144" s="30"/>
      <c r="FQ144" s="26">
        <v>0</v>
      </c>
      <c r="FR144" s="29"/>
      <c r="FS144" s="30"/>
      <c r="FU144" s="26">
        <v>0</v>
      </c>
      <c r="FV144" s="29"/>
      <c r="FY144" s="26">
        <v>0</v>
      </c>
      <c r="FZ144" s="32"/>
      <c r="GC144" s="26">
        <v>0</v>
      </c>
      <c r="GD144" s="29"/>
      <c r="GG144" s="26">
        <v>0</v>
      </c>
      <c r="GH144" s="32"/>
      <c r="GK144" s="26">
        <v>0</v>
      </c>
      <c r="GL144" s="29"/>
      <c r="GO144" s="26">
        <v>0</v>
      </c>
      <c r="GP144" s="32"/>
      <c r="GS144" s="26">
        <v>0</v>
      </c>
      <c r="GT144" s="29"/>
      <c r="GU144" s="34"/>
      <c r="GW144" s="26">
        <v>0</v>
      </c>
      <c r="GX144" s="32"/>
      <c r="HA144" s="26">
        <v>0</v>
      </c>
      <c r="HB144" s="32"/>
      <c r="HE144" s="26">
        <v>0</v>
      </c>
      <c r="HF144" s="32"/>
      <c r="HI144" s="26">
        <v>0</v>
      </c>
      <c r="HJ144" s="29"/>
      <c r="HK144" s="27"/>
      <c r="HM144" s="27"/>
      <c r="HO144" s="26">
        <v>0</v>
      </c>
      <c r="HP144" s="32"/>
      <c r="HQ144" s="31">
        <v>0</v>
      </c>
      <c r="HR144" s="31">
        <v>0</v>
      </c>
      <c r="HS144" s="26">
        <v>0</v>
      </c>
      <c r="HT144" s="32"/>
      <c r="HU144" s="31">
        <v>0</v>
      </c>
      <c r="HV144" s="31">
        <v>0</v>
      </c>
      <c r="HW144" s="26">
        <v>0</v>
      </c>
      <c r="HX144" s="32"/>
      <c r="HY144" s="6">
        <v>110</v>
      </c>
      <c r="HZ144" s="31">
        <v>0</v>
      </c>
      <c r="IA144" s="26">
        <v>0</v>
      </c>
      <c r="IB144" s="32"/>
    </row>
    <row r="145" spans="1:236" x14ac:dyDescent="0.25">
      <c r="A145" s="26" t="s">
        <v>272</v>
      </c>
      <c r="B145" s="27">
        <v>0.33</v>
      </c>
      <c r="I145" s="30"/>
      <c r="J145" s="35"/>
      <c r="K145" s="35"/>
      <c r="L145" s="35">
        <f t="shared" si="11"/>
        <v>0</v>
      </c>
      <c r="M145" s="29"/>
      <c r="N145" s="30"/>
      <c r="O145" s="35"/>
      <c r="P145" s="35">
        <f t="shared" si="12"/>
        <v>0</v>
      </c>
      <c r="Q145" s="29"/>
      <c r="R145" s="30"/>
      <c r="S145" s="35"/>
      <c r="T145" s="35">
        <f t="shared" si="13"/>
        <v>0</v>
      </c>
      <c r="U145" s="29"/>
      <c r="V145" s="35"/>
      <c r="X145" s="26">
        <v>0</v>
      </c>
      <c r="Y145" s="29"/>
      <c r="Z145" s="30"/>
      <c r="AB145" s="26">
        <v>0</v>
      </c>
      <c r="AC145" s="29"/>
      <c r="AF145" s="26">
        <v>0</v>
      </c>
      <c r="AG145" s="29"/>
      <c r="AH145" s="30"/>
      <c r="AJ145" s="26">
        <v>0</v>
      </c>
      <c r="AK145" s="29"/>
      <c r="AL145" s="30"/>
      <c r="AN145" s="26">
        <v>0</v>
      </c>
      <c r="AO145" s="29"/>
      <c r="AR145" s="26">
        <v>0</v>
      </c>
      <c r="AS145" s="29"/>
      <c r="AT145" s="30"/>
      <c r="AX145" s="26">
        <v>0</v>
      </c>
      <c r="AY145" s="29"/>
      <c r="AZ145" s="30"/>
      <c r="BB145" s="26">
        <v>0</v>
      </c>
      <c r="BC145" s="29"/>
      <c r="BH145" s="26">
        <v>0</v>
      </c>
      <c r="BI145" s="29"/>
      <c r="BL145" s="26">
        <v>0</v>
      </c>
      <c r="BM145" s="29"/>
      <c r="BN145" s="30"/>
      <c r="BP145" s="26">
        <v>0</v>
      </c>
      <c r="BQ145" s="29"/>
      <c r="BR145" s="30"/>
      <c r="BT145" s="26">
        <v>0</v>
      </c>
      <c r="BU145" s="29"/>
      <c r="BX145" s="26">
        <v>0</v>
      </c>
      <c r="BY145" s="29"/>
      <c r="BZ145" s="30"/>
      <c r="CC145" s="26">
        <v>0</v>
      </c>
      <c r="CD145" s="29"/>
      <c r="CE145" s="30"/>
      <c r="CI145" s="26">
        <v>0</v>
      </c>
      <c r="CJ145" s="29"/>
      <c r="CK145" s="30"/>
      <c r="CN145" s="26">
        <v>0</v>
      </c>
      <c r="CO145" s="29"/>
      <c r="CR145" s="26">
        <v>0</v>
      </c>
      <c r="CS145" s="29"/>
      <c r="CT145" s="34"/>
      <c r="CV145" s="26">
        <v>0</v>
      </c>
      <c r="CW145" s="29"/>
      <c r="CX145" s="30"/>
      <c r="CZ145" s="26">
        <v>0</v>
      </c>
      <c r="DA145" s="29"/>
      <c r="DB145" s="30"/>
      <c r="DD145" s="26">
        <v>0</v>
      </c>
      <c r="DE145" s="29"/>
      <c r="DH145" s="26">
        <v>0</v>
      </c>
      <c r="DI145" s="29"/>
      <c r="DL145" s="26">
        <v>0</v>
      </c>
      <c r="DM145" s="29"/>
      <c r="DN145" s="30"/>
      <c r="DQ145" s="26">
        <v>0</v>
      </c>
      <c r="DR145" s="29"/>
      <c r="DS145" s="30"/>
      <c r="DV145" s="26">
        <v>0</v>
      </c>
      <c r="DW145" s="29"/>
      <c r="DZ145" s="26">
        <v>0</v>
      </c>
      <c r="EA145" s="29"/>
      <c r="EB145" s="30"/>
      <c r="EG145" s="26">
        <v>0</v>
      </c>
      <c r="EH145" s="29"/>
      <c r="EK145" s="26">
        <v>0</v>
      </c>
      <c r="EL145" s="29"/>
      <c r="EM145" s="30"/>
      <c r="EQ145" s="26">
        <v>0</v>
      </c>
      <c r="ER145" s="29"/>
      <c r="EU145">
        <v>48</v>
      </c>
      <c r="EV145">
        <v>48</v>
      </c>
      <c r="EW145" s="26">
        <v>0</v>
      </c>
      <c r="EX145" s="29"/>
      <c r="FA145" s="26">
        <v>0</v>
      </c>
      <c r="FB145" s="29"/>
      <c r="FC145" s="30"/>
      <c r="FE145" s="26">
        <v>0</v>
      </c>
      <c r="FF145" s="29"/>
      <c r="FG145" s="28">
        <v>8</v>
      </c>
      <c r="FH145">
        <v>8</v>
      </c>
      <c r="FI145" s="26">
        <v>0</v>
      </c>
      <c r="FJ145" s="29"/>
      <c r="FK145">
        <v>32</v>
      </c>
      <c r="FL145">
        <v>32</v>
      </c>
      <c r="FM145" s="26">
        <v>0</v>
      </c>
      <c r="FN145" s="29"/>
      <c r="FO145" s="28">
        <v>16</v>
      </c>
      <c r="FP145">
        <v>16</v>
      </c>
      <c r="FQ145" s="26">
        <v>0</v>
      </c>
      <c r="FR145" s="29"/>
      <c r="FS145" s="28">
        <v>16</v>
      </c>
      <c r="FT145">
        <v>20</v>
      </c>
      <c r="FU145" s="26">
        <v>-4</v>
      </c>
      <c r="FV145" s="29"/>
      <c r="FW145">
        <v>16</v>
      </c>
      <c r="FX145">
        <v>16</v>
      </c>
      <c r="FY145" s="26">
        <v>0</v>
      </c>
      <c r="FZ145" s="32"/>
      <c r="GC145" s="26">
        <v>0</v>
      </c>
      <c r="GD145" s="29"/>
      <c r="GE145">
        <v>32</v>
      </c>
      <c r="GF145">
        <v>32</v>
      </c>
      <c r="GG145" s="26">
        <v>0</v>
      </c>
      <c r="GH145" s="32"/>
      <c r="GK145" s="26">
        <v>0</v>
      </c>
      <c r="GL145" s="29"/>
      <c r="GM145">
        <v>8</v>
      </c>
      <c r="GN145">
        <v>8</v>
      </c>
      <c r="GO145" s="26">
        <v>0</v>
      </c>
      <c r="GP145" s="32"/>
      <c r="GS145" s="26">
        <v>0</v>
      </c>
      <c r="GT145" s="29"/>
      <c r="GU145" s="34"/>
      <c r="GW145" s="26">
        <v>0</v>
      </c>
      <c r="GX145" s="32"/>
      <c r="HA145" s="26">
        <v>0</v>
      </c>
      <c r="HB145" s="32"/>
      <c r="HE145" s="26">
        <v>0</v>
      </c>
      <c r="HF145" s="32"/>
      <c r="HI145" s="26">
        <v>0</v>
      </c>
      <c r="HJ145" s="29"/>
      <c r="HK145">
        <v>48</v>
      </c>
      <c r="HL145">
        <v>50</v>
      </c>
      <c r="HM145">
        <v>32</v>
      </c>
      <c r="HN145">
        <v>34</v>
      </c>
      <c r="HO145" s="26">
        <v>-4</v>
      </c>
      <c r="HP145" s="32"/>
      <c r="HQ145" s="31">
        <v>96</v>
      </c>
      <c r="HR145" s="31">
        <v>100</v>
      </c>
      <c r="HS145" s="26">
        <v>-4</v>
      </c>
      <c r="HT145" s="32"/>
      <c r="HX145" s="32"/>
      <c r="HY145" s="34"/>
      <c r="IB145" s="32"/>
    </row>
    <row r="146" spans="1:236" x14ac:dyDescent="0.25">
      <c r="A146" s="26" t="s">
        <v>273</v>
      </c>
      <c r="B146" s="27">
        <v>0.3</v>
      </c>
      <c r="I146" s="30"/>
      <c r="J146" s="35"/>
      <c r="K146" s="35"/>
      <c r="L146" s="35">
        <f t="shared" si="11"/>
        <v>0</v>
      </c>
      <c r="M146" s="29"/>
      <c r="N146" s="30"/>
      <c r="O146" s="35"/>
      <c r="P146" s="35">
        <f t="shared" si="12"/>
        <v>0</v>
      </c>
      <c r="Q146" s="29"/>
      <c r="R146" s="30"/>
      <c r="S146" s="35"/>
      <c r="T146" s="35">
        <f t="shared" si="13"/>
        <v>0</v>
      </c>
      <c r="U146" s="29"/>
      <c r="V146" s="35"/>
      <c r="X146" s="26">
        <v>0</v>
      </c>
      <c r="Y146" s="29"/>
      <c r="Z146" s="30"/>
      <c r="AB146" s="26">
        <v>0</v>
      </c>
      <c r="AC146" s="29"/>
      <c r="AF146" s="26">
        <v>0</v>
      </c>
      <c r="AG146" s="29"/>
      <c r="AH146" s="30"/>
      <c r="AJ146" s="26">
        <v>0</v>
      </c>
      <c r="AK146" s="29"/>
      <c r="AL146" s="30"/>
      <c r="AN146" s="26">
        <v>0</v>
      </c>
      <c r="AO146" s="29"/>
      <c r="AR146" s="26">
        <v>0</v>
      </c>
      <c r="AS146" s="29"/>
      <c r="AT146" s="30"/>
      <c r="AX146" s="26">
        <v>0</v>
      </c>
      <c r="AY146" s="29"/>
      <c r="AZ146" s="30"/>
      <c r="BB146" s="26">
        <v>0</v>
      </c>
      <c r="BC146" s="29"/>
      <c r="BH146" s="26">
        <v>0</v>
      </c>
      <c r="BI146" s="29"/>
      <c r="BL146" s="26">
        <v>0</v>
      </c>
      <c r="BM146" s="29"/>
      <c r="BN146" s="30"/>
      <c r="BP146" s="26">
        <v>0</v>
      </c>
      <c r="BQ146" s="29"/>
      <c r="BR146" s="30"/>
      <c r="BT146" s="26">
        <v>0</v>
      </c>
      <c r="BU146" s="29"/>
      <c r="BX146" s="26">
        <v>0</v>
      </c>
      <c r="BY146" s="29"/>
      <c r="BZ146" s="30"/>
      <c r="CC146" s="26">
        <v>0</v>
      </c>
      <c r="CD146" s="29"/>
      <c r="CE146" s="30"/>
      <c r="CI146" s="26">
        <v>0</v>
      </c>
      <c r="CJ146" s="29"/>
      <c r="CK146" s="30"/>
      <c r="CN146" s="26">
        <v>0</v>
      </c>
      <c r="CO146" s="29"/>
      <c r="CR146" s="26">
        <v>0</v>
      </c>
      <c r="CS146" s="29"/>
      <c r="CT146" s="34"/>
      <c r="CV146" s="26">
        <v>0</v>
      </c>
      <c r="CW146" s="29"/>
      <c r="CX146" s="30"/>
      <c r="CZ146" s="26">
        <v>0</v>
      </c>
      <c r="DA146" s="29"/>
      <c r="DB146" s="30"/>
      <c r="DD146" s="26">
        <v>0</v>
      </c>
      <c r="DE146" s="29"/>
      <c r="DH146" s="26">
        <v>0</v>
      </c>
      <c r="DI146" s="29"/>
      <c r="DL146" s="26">
        <v>0</v>
      </c>
      <c r="DM146" s="29"/>
      <c r="DN146" s="30"/>
      <c r="DQ146" s="26">
        <v>0</v>
      </c>
      <c r="DR146" s="29"/>
      <c r="DS146" s="30"/>
      <c r="DV146" s="26">
        <v>0</v>
      </c>
      <c r="DW146" s="29"/>
      <c r="DZ146" s="26">
        <v>0</v>
      </c>
      <c r="EA146" s="29"/>
      <c r="EB146" s="30"/>
      <c r="EG146" s="26">
        <v>0</v>
      </c>
      <c r="EH146" s="29"/>
      <c r="EK146" s="26">
        <v>0</v>
      </c>
      <c r="EL146" s="29"/>
      <c r="EM146" s="30"/>
      <c r="EQ146" s="26">
        <v>0</v>
      </c>
      <c r="ER146" s="29"/>
      <c r="EW146" s="26">
        <v>0</v>
      </c>
      <c r="EX146" s="29"/>
      <c r="FA146" s="26">
        <v>0</v>
      </c>
      <c r="FB146" s="29"/>
      <c r="FC146" s="30"/>
      <c r="FE146" s="26">
        <v>0</v>
      </c>
      <c r="FF146" s="29"/>
      <c r="FG146" s="30"/>
      <c r="FI146" s="26">
        <v>0</v>
      </c>
      <c r="FJ146" s="29"/>
      <c r="FM146" s="26">
        <v>0</v>
      </c>
      <c r="FN146" s="29"/>
      <c r="FO146" s="28">
        <v>84</v>
      </c>
      <c r="FP146">
        <v>280</v>
      </c>
      <c r="FQ146" s="25">
        <v>-196</v>
      </c>
      <c r="FR146" s="29">
        <v>58.8</v>
      </c>
      <c r="FS146" s="30"/>
      <c r="FU146" s="26">
        <v>0</v>
      </c>
      <c r="FV146" s="29"/>
      <c r="FY146" s="26">
        <v>0</v>
      </c>
      <c r="FZ146" s="32"/>
      <c r="GA146">
        <v>18</v>
      </c>
      <c r="GB146">
        <v>16</v>
      </c>
      <c r="GC146" s="26">
        <v>2</v>
      </c>
      <c r="GD146" s="29"/>
      <c r="GG146" s="26">
        <v>0</v>
      </c>
      <c r="GH146" s="32"/>
      <c r="GK146" s="26">
        <v>0</v>
      </c>
      <c r="GL146" s="29"/>
      <c r="GM146">
        <v>30</v>
      </c>
      <c r="GN146">
        <v>31</v>
      </c>
      <c r="GO146" s="26">
        <v>-1</v>
      </c>
      <c r="GP146" s="32"/>
      <c r="GS146" s="26">
        <v>0</v>
      </c>
      <c r="GT146" s="29"/>
      <c r="GU146" s="34"/>
      <c r="GW146" s="26">
        <v>0</v>
      </c>
      <c r="GX146" s="32"/>
      <c r="GY146">
        <v>30</v>
      </c>
      <c r="GZ146">
        <v>33</v>
      </c>
      <c r="HA146" s="26">
        <v>-3</v>
      </c>
      <c r="HB146" s="32"/>
      <c r="HC146">
        <v>24</v>
      </c>
      <c r="HD146">
        <v>25</v>
      </c>
      <c r="HE146" s="26">
        <v>1</v>
      </c>
      <c r="HF146" s="32"/>
      <c r="HI146" s="26">
        <v>0</v>
      </c>
      <c r="HJ146" s="29"/>
      <c r="HK146">
        <v>60</v>
      </c>
      <c r="HL146">
        <v>60</v>
      </c>
      <c r="HM146">
        <v>42</v>
      </c>
      <c r="HN146">
        <v>40</v>
      </c>
      <c r="HO146" s="26">
        <v>2</v>
      </c>
      <c r="HP146" s="32"/>
      <c r="HQ146" s="31">
        <v>48</v>
      </c>
      <c r="HR146" s="31">
        <v>50</v>
      </c>
      <c r="HS146" s="26">
        <v>-2</v>
      </c>
      <c r="HT146" s="32"/>
      <c r="HX146" s="32"/>
      <c r="HY146" s="34"/>
      <c r="IB146" s="32"/>
    </row>
    <row r="147" spans="1:236" x14ac:dyDescent="0.25">
      <c r="A147" s="26" t="s">
        <v>274</v>
      </c>
      <c r="B147" s="27">
        <v>1</v>
      </c>
      <c r="I147" s="30"/>
      <c r="J147" s="35"/>
      <c r="K147" s="35"/>
      <c r="L147" s="35">
        <f t="shared" si="11"/>
        <v>0</v>
      </c>
      <c r="M147" s="29"/>
      <c r="N147" s="30"/>
      <c r="O147" s="35"/>
      <c r="P147" s="35">
        <f t="shared" si="12"/>
        <v>0</v>
      </c>
      <c r="Q147" s="29"/>
      <c r="R147" s="30"/>
      <c r="S147" s="35"/>
      <c r="T147" s="35">
        <f t="shared" si="13"/>
        <v>0</v>
      </c>
      <c r="U147" s="29"/>
      <c r="V147" s="35"/>
      <c r="X147" s="26">
        <v>0</v>
      </c>
      <c r="Y147" s="29"/>
      <c r="Z147" s="30"/>
      <c r="AB147" s="26">
        <v>0</v>
      </c>
      <c r="AC147" s="29"/>
      <c r="AF147" s="26">
        <v>0</v>
      </c>
      <c r="AG147" s="29"/>
      <c r="AH147" s="30"/>
      <c r="AJ147" s="26">
        <v>0</v>
      </c>
      <c r="AK147" s="29"/>
      <c r="AL147" s="30"/>
      <c r="AN147" s="26">
        <v>0</v>
      </c>
      <c r="AO147" s="29"/>
      <c r="AR147" s="26">
        <v>0</v>
      </c>
      <c r="AS147" s="29"/>
      <c r="AT147" s="30"/>
      <c r="AX147" s="26">
        <v>0</v>
      </c>
      <c r="AY147" s="29"/>
      <c r="AZ147" s="30"/>
      <c r="BB147" s="26">
        <v>0</v>
      </c>
      <c r="BC147" s="29"/>
      <c r="BH147" s="26">
        <v>0</v>
      </c>
      <c r="BI147" s="29"/>
      <c r="BL147" s="26">
        <v>0</v>
      </c>
      <c r="BM147" s="29"/>
      <c r="BN147" s="30"/>
      <c r="BP147" s="26">
        <v>0</v>
      </c>
      <c r="BQ147" s="29"/>
      <c r="BR147" s="30"/>
      <c r="BT147" s="26">
        <v>0</v>
      </c>
      <c r="BU147" s="29"/>
      <c r="BX147" s="26">
        <v>0</v>
      </c>
      <c r="BY147" s="29"/>
      <c r="BZ147" s="30"/>
      <c r="CC147" s="26">
        <v>0</v>
      </c>
      <c r="CD147" s="29"/>
      <c r="CE147" s="30"/>
      <c r="CI147" s="26">
        <v>0</v>
      </c>
      <c r="CJ147" s="29"/>
      <c r="CK147" s="30"/>
      <c r="CN147" s="26">
        <v>0</v>
      </c>
      <c r="CO147" s="29"/>
      <c r="CR147" s="26">
        <v>0</v>
      </c>
      <c r="CS147" s="29"/>
      <c r="CT147" s="34"/>
      <c r="CV147" s="26">
        <v>0</v>
      </c>
      <c r="CW147" s="29"/>
      <c r="CX147" s="30"/>
      <c r="CZ147" s="26">
        <v>0</v>
      </c>
      <c r="DA147" s="29"/>
      <c r="DB147" s="30"/>
      <c r="DD147" s="26">
        <v>0</v>
      </c>
      <c r="DE147" s="29"/>
      <c r="DH147" s="26">
        <v>0</v>
      </c>
      <c r="DI147" s="29"/>
      <c r="DL147" s="26">
        <v>0</v>
      </c>
      <c r="DM147" s="29"/>
      <c r="DN147" s="30"/>
      <c r="DQ147" s="26">
        <v>0</v>
      </c>
      <c r="DR147" s="29"/>
      <c r="DS147" s="30"/>
      <c r="DV147" s="26">
        <v>0</v>
      </c>
      <c r="DW147" s="29"/>
      <c r="DZ147" s="26">
        <v>0</v>
      </c>
      <c r="EA147" s="29"/>
      <c r="EB147" s="30"/>
      <c r="EG147" s="26">
        <v>0</v>
      </c>
      <c r="EH147" s="29"/>
      <c r="EK147" s="26">
        <v>0</v>
      </c>
      <c r="EL147" s="29"/>
      <c r="EM147" s="30"/>
      <c r="EQ147" s="26">
        <v>0</v>
      </c>
      <c r="ER147" s="29"/>
      <c r="EW147" s="26">
        <v>0</v>
      </c>
      <c r="EX147" s="29"/>
      <c r="FA147" s="26">
        <v>0</v>
      </c>
      <c r="FB147" s="29"/>
      <c r="FC147" s="30"/>
      <c r="FE147" s="26">
        <v>0</v>
      </c>
      <c r="FF147" s="29"/>
      <c r="FG147" s="30"/>
      <c r="FI147" s="26">
        <v>0</v>
      </c>
      <c r="FJ147" s="29"/>
      <c r="FM147" s="26">
        <v>0</v>
      </c>
      <c r="FN147" s="29"/>
      <c r="FO147" s="30"/>
      <c r="FQ147" s="26">
        <v>0</v>
      </c>
      <c r="FR147" s="29"/>
      <c r="FS147" s="30"/>
      <c r="FU147" s="26">
        <v>0</v>
      </c>
      <c r="FV147" s="29"/>
      <c r="FY147" s="26">
        <v>0</v>
      </c>
      <c r="FZ147" s="32"/>
      <c r="GC147" s="26">
        <v>0</v>
      </c>
      <c r="GD147" s="29"/>
      <c r="GE147">
        <v>37</v>
      </c>
      <c r="GF147">
        <v>40</v>
      </c>
      <c r="GG147" s="26">
        <v>-3</v>
      </c>
      <c r="GH147" s="32"/>
      <c r="GI147">
        <v>49</v>
      </c>
      <c r="GJ147">
        <v>50</v>
      </c>
      <c r="GK147" s="26">
        <v>-1</v>
      </c>
      <c r="GL147" s="29"/>
      <c r="GM147">
        <v>38</v>
      </c>
      <c r="GN147">
        <v>42</v>
      </c>
      <c r="GO147" s="26">
        <v>-4</v>
      </c>
      <c r="GP147" s="32"/>
      <c r="GQ147">
        <v>6</v>
      </c>
      <c r="GR147" s="31">
        <v>8.7494000000000085</v>
      </c>
      <c r="GS147" s="26">
        <v>-2.7494000000000089</v>
      </c>
      <c r="GT147" s="29"/>
      <c r="GU147" s="34"/>
      <c r="GW147" s="26">
        <v>0</v>
      </c>
      <c r="GX147" s="32"/>
      <c r="GY147">
        <v>31</v>
      </c>
      <c r="GZ147">
        <v>33</v>
      </c>
      <c r="HA147" s="26">
        <v>-2</v>
      </c>
      <c r="HB147" s="32"/>
      <c r="HC147">
        <v>62</v>
      </c>
      <c r="HD147">
        <v>62</v>
      </c>
      <c r="HE147" s="26">
        <v>0</v>
      </c>
      <c r="HF147" s="32"/>
      <c r="HI147" s="26">
        <v>0</v>
      </c>
      <c r="HJ147" s="29"/>
      <c r="HK147">
        <v>49</v>
      </c>
      <c r="HL147">
        <v>50</v>
      </c>
      <c r="HM147">
        <v>43</v>
      </c>
      <c r="HN147">
        <v>46</v>
      </c>
      <c r="HO147" s="26">
        <v>-4</v>
      </c>
      <c r="HP147" s="32"/>
      <c r="HT147" s="32"/>
      <c r="HX147" s="32"/>
      <c r="HY147" s="34"/>
      <c r="IB147" s="32"/>
    </row>
    <row r="148" spans="1:236" x14ac:dyDescent="0.25">
      <c r="A148" s="26" t="s">
        <v>275</v>
      </c>
      <c r="B148" s="27">
        <v>1</v>
      </c>
      <c r="I148" s="30"/>
      <c r="J148" s="35"/>
      <c r="K148" s="35"/>
      <c r="L148" s="35">
        <f t="shared" si="11"/>
        <v>0</v>
      </c>
      <c r="M148" s="29"/>
      <c r="N148" s="30"/>
      <c r="O148" s="35"/>
      <c r="P148" s="35">
        <f t="shared" si="12"/>
        <v>0</v>
      </c>
      <c r="Q148" s="29"/>
      <c r="R148" s="30"/>
      <c r="S148" s="35"/>
      <c r="T148" s="35">
        <f t="shared" si="13"/>
        <v>0</v>
      </c>
      <c r="U148" s="29"/>
      <c r="V148" s="35"/>
      <c r="X148" s="26">
        <v>0</v>
      </c>
      <c r="Y148" s="29"/>
      <c r="Z148" s="30"/>
      <c r="AB148" s="26">
        <v>0</v>
      </c>
      <c r="AC148" s="29"/>
      <c r="AF148" s="26">
        <v>0</v>
      </c>
      <c r="AG148" s="29"/>
      <c r="AH148" s="30"/>
      <c r="AJ148" s="26">
        <v>0</v>
      </c>
      <c r="AK148" s="29"/>
      <c r="AL148" s="30"/>
      <c r="AN148" s="26">
        <v>0</v>
      </c>
      <c r="AO148" s="29"/>
      <c r="AR148" s="26">
        <v>0</v>
      </c>
      <c r="AS148" s="29"/>
      <c r="AT148" s="30"/>
      <c r="AX148" s="26">
        <v>0</v>
      </c>
      <c r="AY148" s="29"/>
      <c r="AZ148" s="30"/>
      <c r="BB148" s="26">
        <v>0</v>
      </c>
      <c r="BC148" s="29"/>
      <c r="BH148" s="26">
        <v>0</v>
      </c>
      <c r="BI148" s="29"/>
      <c r="BL148" s="26">
        <v>0</v>
      </c>
      <c r="BM148" s="29"/>
      <c r="BN148" s="30"/>
      <c r="BP148" s="26">
        <v>0</v>
      </c>
      <c r="BQ148" s="29"/>
      <c r="BR148" s="30"/>
      <c r="BT148" s="26">
        <v>0</v>
      </c>
      <c r="BU148" s="29"/>
      <c r="BX148" s="26">
        <v>0</v>
      </c>
      <c r="BY148" s="29"/>
      <c r="BZ148" s="30"/>
      <c r="CC148" s="26">
        <v>0</v>
      </c>
      <c r="CD148" s="29"/>
      <c r="CE148" s="30"/>
      <c r="CI148" s="26">
        <v>0</v>
      </c>
      <c r="CJ148" s="29"/>
      <c r="CK148" s="30"/>
      <c r="CN148" s="26">
        <v>0</v>
      </c>
      <c r="CO148" s="29"/>
      <c r="CR148" s="26">
        <v>0</v>
      </c>
      <c r="CS148" s="29"/>
      <c r="CT148" s="34"/>
      <c r="CV148" s="26">
        <v>0</v>
      </c>
      <c r="CW148" s="29"/>
      <c r="CX148" s="30"/>
      <c r="CZ148" s="26">
        <v>0</v>
      </c>
      <c r="DA148" s="29"/>
      <c r="DB148" s="30"/>
      <c r="DD148" s="26">
        <v>0</v>
      </c>
      <c r="DE148" s="29"/>
      <c r="DH148" s="26">
        <v>0</v>
      </c>
      <c r="DI148" s="29"/>
      <c r="DL148" s="26">
        <v>0</v>
      </c>
      <c r="DM148" s="29"/>
      <c r="DN148" s="30"/>
      <c r="DQ148" s="26">
        <v>0</v>
      </c>
      <c r="DR148" s="29"/>
      <c r="DS148" s="30"/>
      <c r="DV148" s="26">
        <v>0</v>
      </c>
      <c r="DW148" s="29"/>
      <c r="DZ148" s="26">
        <v>0</v>
      </c>
      <c r="EA148" s="29"/>
      <c r="EB148" s="30"/>
      <c r="EG148" s="26">
        <v>0</v>
      </c>
      <c r="EH148" s="29"/>
      <c r="EK148" s="26">
        <v>0</v>
      </c>
      <c r="EL148" s="29"/>
      <c r="EM148" s="30"/>
      <c r="EQ148" s="26">
        <v>0</v>
      </c>
      <c r="ER148" s="29"/>
      <c r="EW148" s="26">
        <v>0</v>
      </c>
      <c r="EX148" s="29"/>
      <c r="FA148" s="26">
        <v>0</v>
      </c>
      <c r="FB148" s="29"/>
      <c r="FC148" s="30"/>
      <c r="FE148" s="26">
        <v>0</v>
      </c>
      <c r="FF148" s="29"/>
      <c r="FG148" s="30"/>
      <c r="FI148" s="26">
        <v>0</v>
      </c>
      <c r="FJ148" s="29"/>
      <c r="FM148" s="26">
        <v>0</v>
      </c>
      <c r="FN148" s="29"/>
      <c r="FO148" s="30"/>
      <c r="FQ148" s="26">
        <v>0</v>
      </c>
      <c r="FR148" s="29"/>
      <c r="FS148" s="30"/>
      <c r="FU148" s="26">
        <v>0</v>
      </c>
      <c r="FV148" s="29"/>
      <c r="FY148" s="26">
        <v>0</v>
      </c>
      <c r="FZ148" s="32"/>
      <c r="GC148" s="26">
        <v>0</v>
      </c>
      <c r="GD148" s="29"/>
      <c r="GE148">
        <v>18</v>
      </c>
      <c r="GF148">
        <v>20</v>
      </c>
      <c r="GG148" s="26">
        <v>-2</v>
      </c>
      <c r="GH148" s="32"/>
      <c r="GI148">
        <v>68</v>
      </c>
      <c r="GJ148">
        <v>65</v>
      </c>
      <c r="GK148" s="26">
        <v>3</v>
      </c>
      <c r="GL148" s="29"/>
      <c r="GM148">
        <v>6</v>
      </c>
      <c r="GN148">
        <v>8</v>
      </c>
      <c r="GO148" s="26">
        <v>-2</v>
      </c>
      <c r="GP148" s="32"/>
      <c r="GQ148">
        <v>31</v>
      </c>
      <c r="GR148" s="31">
        <v>31.628999999999991</v>
      </c>
      <c r="GS148" s="26">
        <v>-0.62899999999999068</v>
      </c>
      <c r="GT148" s="29"/>
      <c r="GU148" s="28">
        <v>12</v>
      </c>
      <c r="GV148" s="31">
        <v>12</v>
      </c>
      <c r="GW148" s="26">
        <v>0</v>
      </c>
      <c r="GX148" s="32"/>
      <c r="GY148">
        <v>31</v>
      </c>
      <c r="GZ148">
        <v>32</v>
      </c>
      <c r="HA148" s="26">
        <v>-1</v>
      </c>
      <c r="HB148" s="32"/>
      <c r="HC148">
        <v>19</v>
      </c>
      <c r="HD148">
        <v>20</v>
      </c>
      <c r="HE148" s="26">
        <v>1</v>
      </c>
      <c r="HF148" s="32"/>
      <c r="HI148" s="26">
        <v>0</v>
      </c>
      <c r="HJ148" s="29"/>
      <c r="HK148" s="27"/>
      <c r="HM148" s="12">
        <v>49</v>
      </c>
      <c r="HO148" s="26">
        <v>0</v>
      </c>
      <c r="HP148" s="32"/>
      <c r="HT148" s="32"/>
      <c r="HX148" s="32"/>
      <c r="HY148" s="34"/>
      <c r="IB148" s="32"/>
    </row>
    <row r="149" spans="1:236" x14ac:dyDescent="0.25">
      <c r="A149" s="26" t="s">
        <v>276</v>
      </c>
      <c r="B149" s="27">
        <v>1</v>
      </c>
      <c r="E149">
        <v>30</v>
      </c>
      <c r="F149">
        <v>30</v>
      </c>
      <c r="I149" s="30"/>
      <c r="J149" s="36">
        <v>13</v>
      </c>
      <c r="K149" s="36">
        <v>12</v>
      </c>
      <c r="L149" s="35">
        <f t="shared" si="11"/>
        <v>1</v>
      </c>
      <c r="M149" s="29"/>
      <c r="N149" s="28">
        <v>47</v>
      </c>
      <c r="O149" s="36">
        <v>43</v>
      </c>
      <c r="P149" s="35">
        <f t="shared" si="12"/>
        <v>4</v>
      </c>
      <c r="Q149" s="29"/>
      <c r="R149" s="28">
        <v>84</v>
      </c>
      <c r="S149" s="36">
        <v>81</v>
      </c>
      <c r="T149" s="35">
        <f t="shared" si="13"/>
        <v>3</v>
      </c>
      <c r="U149" s="29"/>
      <c r="V149" s="35"/>
      <c r="X149" s="26">
        <v>0</v>
      </c>
      <c r="Y149" s="29"/>
      <c r="Z149" s="28">
        <v>6</v>
      </c>
      <c r="AA149">
        <v>6</v>
      </c>
      <c r="AB149" s="26">
        <v>0</v>
      </c>
      <c r="AC149" s="29"/>
      <c r="AD149">
        <v>101</v>
      </c>
      <c r="AE149">
        <v>94</v>
      </c>
      <c r="AF149" s="26">
        <v>7</v>
      </c>
      <c r="AG149" s="29"/>
      <c r="AH149" s="30"/>
      <c r="AJ149" s="26">
        <v>0</v>
      </c>
      <c r="AK149" s="29"/>
      <c r="AL149" s="28">
        <v>67</v>
      </c>
      <c r="AM149">
        <v>61</v>
      </c>
      <c r="AN149" s="26">
        <v>6</v>
      </c>
      <c r="AO149" s="29"/>
      <c r="AP149">
        <v>47</v>
      </c>
      <c r="AQ149">
        <v>45</v>
      </c>
      <c r="AR149" s="26">
        <v>2</v>
      </c>
      <c r="AS149" s="29"/>
      <c r="AT149" s="28">
        <v>9</v>
      </c>
      <c r="AU149">
        <v>8</v>
      </c>
      <c r="AX149" s="26">
        <v>1</v>
      </c>
      <c r="AY149" s="29"/>
      <c r="AZ149" s="30"/>
      <c r="BB149" s="26">
        <v>0</v>
      </c>
      <c r="BC149" s="29"/>
      <c r="BF149">
        <v>80</v>
      </c>
      <c r="BG149">
        <v>76</v>
      </c>
      <c r="BH149" s="26">
        <v>4</v>
      </c>
      <c r="BI149" s="29"/>
      <c r="BL149" s="26">
        <v>0</v>
      </c>
      <c r="BM149" s="29"/>
      <c r="BN149" s="30"/>
      <c r="BP149" s="26">
        <v>0</v>
      </c>
      <c r="BQ149" s="29"/>
      <c r="BR149" s="28">
        <v>87</v>
      </c>
      <c r="BS149">
        <v>84</v>
      </c>
      <c r="BT149" s="26">
        <v>3</v>
      </c>
      <c r="BU149" s="29"/>
      <c r="BV149">
        <v>18</v>
      </c>
      <c r="BW149">
        <v>17</v>
      </c>
      <c r="BX149" s="26">
        <v>1</v>
      </c>
      <c r="BY149" s="29"/>
      <c r="BZ149" s="28">
        <v>12</v>
      </c>
      <c r="CB149">
        <v>10</v>
      </c>
      <c r="CC149" s="26">
        <v>2</v>
      </c>
      <c r="CD149" s="29"/>
      <c r="CE149" s="30"/>
      <c r="CG149">
        <v>19</v>
      </c>
      <c r="CH149">
        <v>18</v>
      </c>
      <c r="CI149" s="26">
        <v>1</v>
      </c>
      <c r="CJ149" s="29"/>
      <c r="CK149" s="28">
        <v>60</v>
      </c>
      <c r="CM149">
        <v>56</v>
      </c>
      <c r="CN149" s="26">
        <v>4</v>
      </c>
      <c r="CO149" s="29"/>
      <c r="CR149" s="26">
        <v>0</v>
      </c>
      <c r="CS149" s="29"/>
      <c r="CT149" s="34"/>
      <c r="CV149" s="26">
        <v>0</v>
      </c>
      <c r="CW149" s="29"/>
      <c r="CX149" s="30"/>
      <c r="CZ149" s="26">
        <v>0</v>
      </c>
      <c r="DA149" s="29"/>
      <c r="DB149" s="28">
        <v>74</v>
      </c>
      <c r="DC149">
        <v>70</v>
      </c>
      <c r="DD149" s="26">
        <v>4</v>
      </c>
      <c r="DE149" s="29"/>
      <c r="DH149" s="26">
        <v>0</v>
      </c>
      <c r="DI149" s="29"/>
      <c r="DJ149">
        <v>102</v>
      </c>
      <c r="DK149">
        <v>97</v>
      </c>
      <c r="DL149" s="26">
        <v>5</v>
      </c>
      <c r="DM149" s="29"/>
      <c r="DN149" s="28">
        <v>12</v>
      </c>
      <c r="DP149">
        <v>11</v>
      </c>
      <c r="DQ149" s="26">
        <v>1</v>
      </c>
      <c r="DR149" s="29"/>
      <c r="DS149" s="30"/>
      <c r="DV149" s="26">
        <v>0</v>
      </c>
      <c r="DW149" s="29"/>
      <c r="DZ149" s="26">
        <v>0</v>
      </c>
      <c r="EA149" s="29"/>
      <c r="EB149" s="30"/>
      <c r="EC149">
        <v>19</v>
      </c>
      <c r="ED149">
        <v>20</v>
      </c>
      <c r="EE149">
        <v>34</v>
      </c>
      <c r="EF149">
        <v>31</v>
      </c>
      <c r="EG149" s="26">
        <v>2</v>
      </c>
      <c r="EH149" s="29"/>
      <c r="EI149">
        <v>22</v>
      </c>
      <c r="EJ149" s="31">
        <v>19.895799999999991</v>
      </c>
      <c r="EK149" s="26">
        <v>2.104200000000009</v>
      </c>
      <c r="EL149" s="29"/>
      <c r="EM149" s="30"/>
      <c r="EQ149" s="26">
        <v>0</v>
      </c>
      <c r="ER149" s="29"/>
      <c r="ES149">
        <v>62</v>
      </c>
      <c r="ET149">
        <v>60</v>
      </c>
      <c r="EU149">
        <v>74</v>
      </c>
      <c r="EV149">
        <v>70</v>
      </c>
      <c r="EW149" s="26">
        <v>6</v>
      </c>
      <c r="EX149" s="29"/>
      <c r="EY149">
        <v>6</v>
      </c>
      <c r="EZ149" s="31">
        <v>5.1883999999999997</v>
      </c>
      <c r="FA149" s="26">
        <v>0.81160000000000032</v>
      </c>
      <c r="FB149" s="29"/>
      <c r="FC149" s="28">
        <v>13</v>
      </c>
      <c r="FD149">
        <v>10</v>
      </c>
      <c r="FE149" s="26">
        <v>3</v>
      </c>
      <c r="FF149" s="29"/>
      <c r="FG149" s="30"/>
      <c r="FI149" s="26">
        <v>0</v>
      </c>
      <c r="FJ149" s="29"/>
      <c r="FK149">
        <v>21</v>
      </c>
      <c r="FL149">
        <v>20</v>
      </c>
      <c r="FM149" s="26">
        <v>1</v>
      </c>
      <c r="FN149" s="29"/>
      <c r="FO149" s="28">
        <v>120</v>
      </c>
      <c r="FP149">
        <v>110</v>
      </c>
      <c r="FQ149" s="26">
        <v>10</v>
      </c>
      <c r="FR149" s="29"/>
      <c r="FS149" s="28">
        <v>3</v>
      </c>
      <c r="FT149">
        <v>3</v>
      </c>
      <c r="FU149" s="26">
        <v>0</v>
      </c>
      <c r="FV149" s="29"/>
      <c r="FW149">
        <v>45</v>
      </c>
      <c r="FX149" s="26">
        <v>40</v>
      </c>
      <c r="FY149" s="26">
        <v>5</v>
      </c>
      <c r="FZ149" s="32"/>
      <c r="GA149">
        <v>65</v>
      </c>
      <c r="GB149" s="31">
        <v>60</v>
      </c>
      <c r="GC149" s="26">
        <v>5</v>
      </c>
      <c r="GD149" s="29"/>
      <c r="GG149" s="26">
        <v>0</v>
      </c>
      <c r="GH149" s="32"/>
      <c r="GL149" s="29"/>
      <c r="GP149" s="32"/>
      <c r="GT149" s="29"/>
      <c r="GU149" s="28"/>
      <c r="GX149" s="32"/>
      <c r="HB149" s="32"/>
      <c r="HF149" s="32"/>
      <c r="HH149" s="31"/>
      <c r="HJ149" s="29"/>
      <c r="HK149" s="27"/>
      <c r="HP149" s="32"/>
      <c r="HT149" s="32"/>
      <c r="HX149" s="32"/>
      <c r="HY149" s="34"/>
      <c r="IB149" s="32"/>
    </row>
    <row r="150" spans="1:236" x14ac:dyDescent="0.25">
      <c r="A150" s="26" t="s">
        <v>277</v>
      </c>
      <c r="B150" s="27">
        <v>0.41</v>
      </c>
      <c r="E150">
        <v>200</v>
      </c>
      <c r="F150">
        <v>127</v>
      </c>
      <c r="I150" s="30"/>
      <c r="J150" s="36">
        <v>240</v>
      </c>
      <c r="K150" s="36">
        <v>245</v>
      </c>
      <c r="L150" s="35">
        <f t="shared" si="11"/>
        <v>-5</v>
      </c>
      <c r="M150" s="29"/>
      <c r="N150" s="30"/>
      <c r="O150" s="35"/>
      <c r="P150" s="35">
        <f t="shared" si="12"/>
        <v>0</v>
      </c>
      <c r="Q150" s="29"/>
      <c r="R150" s="28">
        <v>200</v>
      </c>
      <c r="S150" s="36">
        <v>200</v>
      </c>
      <c r="T150" s="35">
        <f t="shared" si="13"/>
        <v>0</v>
      </c>
      <c r="U150" s="29"/>
      <c r="V150" s="36">
        <v>370</v>
      </c>
      <c r="W150">
        <v>373</v>
      </c>
      <c r="X150" s="26">
        <v>-3</v>
      </c>
      <c r="Y150" s="29"/>
      <c r="Z150" s="28">
        <v>70</v>
      </c>
      <c r="AA150">
        <v>73</v>
      </c>
      <c r="AB150" s="26">
        <v>-3</v>
      </c>
      <c r="AC150" s="29"/>
      <c r="AD150">
        <v>250</v>
      </c>
      <c r="AE150">
        <v>250</v>
      </c>
      <c r="AF150" s="26">
        <v>0</v>
      </c>
      <c r="AG150" s="29"/>
      <c r="AH150" s="30"/>
      <c r="AJ150" s="26">
        <v>0</v>
      </c>
      <c r="AK150" s="29"/>
      <c r="AL150" s="28">
        <v>240</v>
      </c>
      <c r="AM150">
        <v>240</v>
      </c>
      <c r="AN150" s="26">
        <v>0</v>
      </c>
      <c r="AO150" s="29"/>
      <c r="AR150" s="26">
        <v>0</v>
      </c>
      <c r="AS150" s="29"/>
      <c r="AT150" s="30"/>
      <c r="AX150" s="26">
        <v>0</v>
      </c>
      <c r="AY150" s="29"/>
      <c r="AZ150" s="28">
        <v>210</v>
      </c>
      <c r="BA150">
        <v>213</v>
      </c>
      <c r="BB150" s="26">
        <v>-3</v>
      </c>
      <c r="BC150" s="29"/>
      <c r="BF150">
        <v>10</v>
      </c>
      <c r="BG150">
        <v>13</v>
      </c>
      <c r="BH150" s="26">
        <v>-3</v>
      </c>
      <c r="BI150" s="29"/>
      <c r="BJ150">
        <v>160</v>
      </c>
      <c r="BK150">
        <v>160</v>
      </c>
      <c r="BL150" s="26">
        <v>0</v>
      </c>
      <c r="BM150" s="29"/>
      <c r="BN150" s="30"/>
      <c r="BP150" s="26">
        <v>0</v>
      </c>
      <c r="BQ150" s="29"/>
      <c r="BR150" s="28">
        <v>80</v>
      </c>
      <c r="BS150">
        <v>83</v>
      </c>
      <c r="BT150" s="26">
        <v>-3</v>
      </c>
      <c r="BU150" s="29"/>
      <c r="BV150">
        <v>100</v>
      </c>
      <c r="BW150">
        <v>98</v>
      </c>
      <c r="BX150" s="26">
        <v>2</v>
      </c>
      <c r="BY150" s="29"/>
      <c r="BZ150" s="28">
        <v>50</v>
      </c>
      <c r="CB150">
        <v>56</v>
      </c>
      <c r="CC150" s="26">
        <v>-6</v>
      </c>
      <c r="CD150" s="29"/>
      <c r="CE150" s="30"/>
      <c r="CG150">
        <v>60</v>
      </c>
      <c r="CH150">
        <v>58</v>
      </c>
      <c r="CI150" s="26">
        <v>2</v>
      </c>
      <c r="CJ150" s="29"/>
      <c r="CK150" s="28">
        <v>80</v>
      </c>
      <c r="CM150">
        <v>86</v>
      </c>
      <c r="CN150" s="26">
        <v>-6</v>
      </c>
      <c r="CO150" s="29"/>
      <c r="CP150">
        <v>100</v>
      </c>
      <c r="CQ150" s="26">
        <v>105</v>
      </c>
      <c r="CR150" s="26">
        <v>-5</v>
      </c>
      <c r="CS150" s="29"/>
      <c r="CT150" s="34"/>
      <c r="CV150" s="26">
        <v>0</v>
      </c>
      <c r="CW150" s="29"/>
      <c r="CX150" s="28">
        <v>30</v>
      </c>
      <c r="CY150" s="26">
        <v>32.200000000000017</v>
      </c>
      <c r="CZ150" s="26">
        <v>-2.2000000000000171</v>
      </c>
      <c r="DA150" s="29"/>
      <c r="DB150" s="28">
        <v>110</v>
      </c>
      <c r="DC150">
        <v>117</v>
      </c>
      <c r="DD150" s="26">
        <v>-7</v>
      </c>
      <c r="DE150" s="29"/>
      <c r="DF150">
        <v>20</v>
      </c>
      <c r="DG150" s="31">
        <v>23</v>
      </c>
      <c r="DH150" s="26">
        <v>-3</v>
      </c>
      <c r="DI150" s="29"/>
      <c r="DJ150">
        <v>100</v>
      </c>
      <c r="DK150">
        <v>100</v>
      </c>
      <c r="DL150" s="26">
        <v>0</v>
      </c>
      <c r="DM150" s="29"/>
      <c r="DN150" s="30"/>
      <c r="DQ150" s="26">
        <v>0</v>
      </c>
      <c r="DR150" s="29"/>
      <c r="DS150" s="28">
        <v>60</v>
      </c>
      <c r="DU150">
        <v>59</v>
      </c>
      <c r="DV150" s="26">
        <v>1</v>
      </c>
      <c r="DW150" s="29"/>
      <c r="DX150">
        <v>40</v>
      </c>
      <c r="DY150" s="31">
        <v>47.399999999999991</v>
      </c>
      <c r="DZ150" s="26">
        <v>-7.3999999999999906</v>
      </c>
      <c r="EA150" s="29"/>
      <c r="EB150" s="30"/>
      <c r="EE150">
        <v>40</v>
      </c>
      <c r="EF150">
        <v>39</v>
      </c>
      <c r="EG150" s="26">
        <v>1</v>
      </c>
      <c r="EH150" s="29"/>
      <c r="EI150">
        <v>20</v>
      </c>
      <c r="EJ150" s="31">
        <v>23.8</v>
      </c>
      <c r="EK150" s="26">
        <v>-3.8000000000000012</v>
      </c>
      <c r="EL150" s="29"/>
      <c r="EM150" s="30"/>
      <c r="EO150">
        <v>10</v>
      </c>
      <c r="EP150">
        <v>8</v>
      </c>
      <c r="EQ150" s="26">
        <v>2</v>
      </c>
      <c r="ER150" s="29"/>
      <c r="EU150">
        <v>60</v>
      </c>
      <c r="EV150">
        <v>60</v>
      </c>
      <c r="EW150" s="26">
        <v>0</v>
      </c>
      <c r="EX150" s="29"/>
      <c r="EY150">
        <v>10</v>
      </c>
      <c r="EZ150" s="31">
        <v>10</v>
      </c>
      <c r="FA150" s="26">
        <v>0</v>
      </c>
      <c r="FB150" s="29"/>
      <c r="FC150" s="28">
        <v>20</v>
      </c>
      <c r="FD150">
        <v>20</v>
      </c>
      <c r="FE150" s="26">
        <v>0</v>
      </c>
      <c r="FF150" s="29"/>
      <c r="FG150" s="28">
        <v>10</v>
      </c>
      <c r="FH150">
        <v>10</v>
      </c>
      <c r="FI150" s="26">
        <v>0</v>
      </c>
      <c r="FJ150" s="29"/>
      <c r="FK150">
        <v>20</v>
      </c>
      <c r="FL150">
        <v>20</v>
      </c>
      <c r="FM150" s="26">
        <v>0</v>
      </c>
      <c r="FN150" s="29"/>
      <c r="FO150" s="28">
        <v>60</v>
      </c>
      <c r="FP150">
        <v>58</v>
      </c>
      <c r="FQ150" s="26">
        <v>2</v>
      </c>
      <c r="FR150" s="29"/>
      <c r="FS150" s="30"/>
      <c r="FU150" s="26">
        <v>0</v>
      </c>
      <c r="FV150" s="29"/>
      <c r="FW150">
        <v>20</v>
      </c>
      <c r="FX150" s="26">
        <v>20</v>
      </c>
      <c r="FY150" s="26">
        <v>0</v>
      </c>
      <c r="FZ150" s="32"/>
      <c r="GA150">
        <v>40</v>
      </c>
      <c r="GB150" s="31">
        <v>40</v>
      </c>
      <c r="GC150" s="26">
        <v>0</v>
      </c>
      <c r="GD150" s="29"/>
      <c r="GG150" s="26">
        <v>0</v>
      </c>
      <c r="GH150" s="32"/>
      <c r="GL150" s="29"/>
      <c r="GP150" s="32"/>
      <c r="GT150" s="29"/>
      <c r="GU150" s="28"/>
      <c r="GX150" s="32"/>
      <c r="HB150" s="32"/>
      <c r="HF150" s="32"/>
      <c r="HH150" s="31"/>
      <c r="HJ150" s="29"/>
      <c r="HK150" s="27"/>
      <c r="HP150" s="32"/>
      <c r="HT150" s="32"/>
      <c r="HX150" s="32"/>
      <c r="HY150" s="34"/>
      <c r="IB150" s="32"/>
    </row>
    <row r="151" spans="1:236" x14ac:dyDescent="0.25">
      <c r="A151" s="26" t="s">
        <v>278</v>
      </c>
      <c r="B151" s="27">
        <v>1</v>
      </c>
      <c r="E151">
        <v>78</v>
      </c>
      <c r="I151" s="30"/>
      <c r="J151" s="36">
        <v>149</v>
      </c>
      <c r="K151" s="36">
        <v>147</v>
      </c>
      <c r="L151" s="35">
        <f t="shared" si="11"/>
        <v>2</v>
      </c>
      <c r="M151" s="29"/>
      <c r="N151" s="30"/>
      <c r="O151" s="35"/>
      <c r="P151" s="35">
        <f t="shared" si="12"/>
        <v>0</v>
      </c>
      <c r="Q151" s="29"/>
      <c r="R151" s="28">
        <v>415</v>
      </c>
      <c r="S151" s="36">
        <v>400</v>
      </c>
      <c r="T151" s="35">
        <f t="shared" si="13"/>
        <v>15</v>
      </c>
      <c r="U151" s="29"/>
      <c r="V151" s="36">
        <v>237</v>
      </c>
      <c r="W151">
        <v>228</v>
      </c>
      <c r="X151" s="26">
        <v>9</v>
      </c>
      <c r="Y151" s="29"/>
      <c r="Z151" s="28">
        <v>6</v>
      </c>
      <c r="AA151">
        <v>4</v>
      </c>
      <c r="AB151" s="26">
        <v>2</v>
      </c>
      <c r="AC151" s="29"/>
      <c r="AD151">
        <v>267</v>
      </c>
      <c r="AE151">
        <v>260</v>
      </c>
      <c r="AF151" s="26">
        <v>7</v>
      </c>
      <c r="AG151" s="29"/>
      <c r="AH151" s="28">
        <v>68</v>
      </c>
      <c r="AI151">
        <v>64</v>
      </c>
      <c r="AJ151" s="26">
        <v>4</v>
      </c>
      <c r="AK151" s="29"/>
      <c r="AL151" s="28">
        <v>156</v>
      </c>
      <c r="AM151">
        <v>153</v>
      </c>
      <c r="AN151" s="26">
        <v>3</v>
      </c>
      <c r="AO151" s="29"/>
      <c r="AQ151">
        <v>30</v>
      </c>
      <c r="AR151" s="25">
        <v>-30</v>
      </c>
      <c r="AS151" s="29">
        <v>30</v>
      </c>
      <c r="AT151" s="28">
        <v>81</v>
      </c>
      <c r="AU151">
        <v>80</v>
      </c>
      <c r="AV151">
        <v>95</v>
      </c>
      <c r="AW151">
        <v>93</v>
      </c>
      <c r="AX151" s="26">
        <v>3</v>
      </c>
      <c r="AY151" s="29"/>
      <c r="AZ151" s="28">
        <v>37</v>
      </c>
      <c r="BA151">
        <v>39</v>
      </c>
      <c r="BB151" s="26">
        <v>-2</v>
      </c>
      <c r="BC151" s="29"/>
      <c r="BD151">
        <v>49</v>
      </c>
      <c r="BE151">
        <v>50</v>
      </c>
      <c r="BF151">
        <v>125</v>
      </c>
      <c r="BG151">
        <v>120</v>
      </c>
      <c r="BH151" s="26">
        <v>4</v>
      </c>
      <c r="BI151" s="29"/>
      <c r="BJ151">
        <v>37</v>
      </c>
      <c r="BK151">
        <v>38</v>
      </c>
      <c r="BL151" s="26">
        <v>-1</v>
      </c>
      <c r="BM151" s="29"/>
      <c r="BN151" s="28">
        <v>106</v>
      </c>
      <c r="BO151">
        <v>106</v>
      </c>
      <c r="BP151" s="26">
        <v>0</v>
      </c>
      <c r="BQ151" s="29"/>
      <c r="BR151" s="28">
        <v>25</v>
      </c>
      <c r="BS151">
        <v>27</v>
      </c>
      <c r="BT151" s="26">
        <v>-2</v>
      </c>
      <c r="BU151" s="29"/>
      <c r="BV151">
        <v>135</v>
      </c>
      <c r="BW151">
        <v>135</v>
      </c>
      <c r="BX151" s="26">
        <v>0</v>
      </c>
      <c r="BY151" s="29"/>
      <c r="BZ151" s="28">
        <v>19</v>
      </c>
      <c r="CB151">
        <v>16</v>
      </c>
      <c r="CC151" s="26">
        <v>3</v>
      </c>
      <c r="CD151" s="29"/>
      <c r="CE151" s="30"/>
      <c r="CG151">
        <v>74</v>
      </c>
      <c r="CH151">
        <v>72</v>
      </c>
      <c r="CI151" s="26">
        <v>2</v>
      </c>
      <c r="CJ151" s="29"/>
      <c r="CK151" s="28">
        <v>130</v>
      </c>
      <c r="CM151">
        <v>124</v>
      </c>
      <c r="CN151" s="26">
        <v>6</v>
      </c>
      <c r="CO151" s="29"/>
      <c r="CP151">
        <v>63</v>
      </c>
      <c r="CQ151" s="26">
        <v>62.457799999999992</v>
      </c>
      <c r="CR151" s="26">
        <v>0.54220000000000823</v>
      </c>
      <c r="CS151" s="29"/>
      <c r="CT151" s="34"/>
      <c r="CV151" s="26">
        <v>0</v>
      </c>
      <c r="CW151" s="29"/>
      <c r="CX151" s="28">
        <v>114</v>
      </c>
      <c r="CY151" s="26">
        <v>105.94540000000001</v>
      </c>
      <c r="CZ151" s="26">
        <v>8.0545999999999935</v>
      </c>
      <c r="DA151" s="29"/>
      <c r="DB151" s="30"/>
      <c r="DD151" s="26">
        <v>0</v>
      </c>
      <c r="DE151" s="29"/>
      <c r="DH151" s="26">
        <v>0</v>
      </c>
      <c r="DI151" s="29"/>
      <c r="DJ151">
        <v>157</v>
      </c>
      <c r="DK151">
        <v>150</v>
      </c>
      <c r="DL151" s="26">
        <v>7</v>
      </c>
      <c r="DM151" s="29"/>
      <c r="DN151" s="28">
        <v>12</v>
      </c>
      <c r="DP151">
        <v>15</v>
      </c>
      <c r="DQ151" s="26">
        <v>-3</v>
      </c>
      <c r="DR151" s="29"/>
      <c r="DS151" s="30"/>
      <c r="DV151" s="26">
        <v>0</v>
      </c>
      <c r="DW151" s="29"/>
      <c r="DZ151" s="26">
        <v>0</v>
      </c>
      <c r="EA151" s="29"/>
      <c r="EB151" s="30"/>
      <c r="EG151" s="26">
        <v>0</v>
      </c>
      <c r="EH151" s="29"/>
      <c r="EI151">
        <v>87</v>
      </c>
      <c r="EJ151" s="31">
        <v>84.713800000000006</v>
      </c>
      <c r="EK151" s="26">
        <v>2.2861999999999938</v>
      </c>
      <c r="EL151" s="29"/>
      <c r="EM151" s="30"/>
      <c r="EQ151" s="26">
        <v>0</v>
      </c>
      <c r="ER151" s="29"/>
      <c r="EW151" s="26">
        <v>0</v>
      </c>
      <c r="EX151" s="29"/>
      <c r="EY151">
        <v>124</v>
      </c>
      <c r="EZ151" s="31">
        <v>120.7676</v>
      </c>
      <c r="FA151" s="26">
        <v>3.2323999999999979</v>
      </c>
      <c r="FB151" s="29"/>
      <c r="FC151" s="28">
        <v>38</v>
      </c>
      <c r="FD151">
        <v>35</v>
      </c>
      <c r="FE151" s="26">
        <v>3</v>
      </c>
      <c r="FF151" s="29"/>
      <c r="FG151" s="28">
        <v>61</v>
      </c>
      <c r="FH151">
        <v>60</v>
      </c>
      <c r="FI151" s="26">
        <v>1</v>
      </c>
      <c r="FJ151" s="29"/>
      <c r="FM151" s="26">
        <v>0</v>
      </c>
      <c r="FN151" s="29"/>
      <c r="FO151" s="28">
        <v>43</v>
      </c>
      <c r="FP151">
        <v>40</v>
      </c>
      <c r="FQ151" s="26">
        <v>3</v>
      </c>
      <c r="FR151" s="29"/>
      <c r="FS151" s="28">
        <v>49</v>
      </c>
      <c r="FT151">
        <v>46</v>
      </c>
      <c r="FU151" s="26">
        <v>3</v>
      </c>
      <c r="FV151" s="29"/>
      <c r="FY151" s="26">
        <v>0</v>
      </c>
      <c r="FZ151" s="32"/>
      <c r="GA151" s="26">
        <v>44</v>
      </c>
      <c r="GB151" s="31">
        <v>40</v>
      </c>
      <c r="GC151" s="26">
        <v>4</v>
      </c>
      <c r="GD151" s="29"/>
      <c r="GG151" s="26">
        <v>0</v>
      </c>
      <c r="GH151" s="32"/>
      <c r="GL151" s="29"/>
      <c r="GP151" s="32"/>
      <c r="GT151" s="29"/>
      <c r="GU151" s="28"/>
      <c r="GX151" s="32"/>
      <c r="HB151" s="32"/>
      <c r="HF151" s="32"/>
      <c r="HH151" s="31"/>
      <c r="HJ151" s="29"/>
      <c r="HK151" s="27"/>
      <c r="HP151" s="32"/>
      <c r="HT151" s="32"/>
      <c r="HX151" s="32"/>
      <c r="HY151" s="34"/>
      <c r="IB151" s="32"/>
    </row>
    <row r="152" spans="1:236" x14ac:dyDescent="0.25">
      <c r="A152" s="26" t="s">
        <v>279</v>
      </c>
      <c r="B152" s="27">
        <v>0.35</v>
      </c>
      <c r="I152" s="30"/>
      <c r="J152" s="36">
        <v>136</v>
      </c>
      <c r="K152" s="36">
        <v>138</v>
      </c>
      <c r="L152" s="35">
        <f t="shared" si="11"/>
        <v>-2</v>
      </c>
      <c r="M152" s="29"/>
      <c r="N152" s="28">
        <v>72</v>
      </c>
      <c r="O152" s="36">
        <v>75</v>
      </c>
      <c r="P152" s="35">
        <f t="shared" si="12"/>
        <v>-3</v>
      </c>
      <c r="Q152" s="29"/>
      <c r="R152" s="28">
        <v>64</v>
      </c>
      <c r="S152" s="36">
        <v>73</v>
      </c>
      <c r="T152" s="35">
        <f t="shared" si="13"/>
        <v>-9</v>
      </c>
      <c r="U152" s="29"/>
      <c r="V152" s="36">
        <v>8</v>
      </c>
      <c r="W152">
        <v>8</v>
      </c>
      <c r="X152" s="26">
        <v>0</v>
      </c>
      <c r="Y152" s="29"/>
      <c r="Z152" s="28">
        <v>96</v>
      </c>
      <c r="AA152">
        <v>96</v>
      </c>
      <c r="AB152" s="26">
        <v>0</v>
      </c>
      <c r="AC152" s="29"/>
      <c r="AD152">
        <v>16</v>
      </c>
      <c r="AE152">
        <v>15</v>
      </c>
      <c r="AF152" s="26">
        <v>1</v>
      </c>
      <c r="AG152" s="29"/>
      <c r="AH152" s="28">
        <v>64</v>
      </c>
      <c r="AI152">
        <v>64</v>
      </c>
      <c r="AJ152" s="26">
        <v>0</v>
      </c>
      <c r="AK152" s="29"/>
      <c r="AL152" s="30"/>
      <c r="AN152" s="26">
        <v>0</v>
      </c>
      <c r="AO152" s="29"/>
      <c r="AR152" s="26">
        <v>0</v>
      </c>
      <c r="AS152" s="29"/>
      <c r="AT152" s="28">
        <v>40</v>
      </c>
      <c r="AU152">
        <v>40</v>
      </c>
      <c r="AV152">
        <v>48</v>
      </c>
      <c r="AW152">
        <v>53</v>
      </c>
      <c r="AX152" s="26">
        <v>-5</v>
      </c>
      <c r="AY152" s="29"/>
      <c r="AZ152" s="30"/>
      <c r="BA152">
        <v>19</v>
      </c>
      <c r="BB152" s="25">
        <v>-19</v>
      </c>
      <c r="BC152" s="29">
        <v>6.6499999999999986</v>
      </c>
      <c r="BF152">
        <v>48</v>
      </c>
      <c r="BG152">
        <v>51</v>
      </c>
      <c r="BH152" s="26">
        <v>-3</v>
      </c>
      <c r="BI152" s="29"/>
      <c r="BJ152">
        <v>8</v>
      </c>
      <c r="BK152">
        <v>8</v>
      </c>
      <c r="BL152" s="26">
        <v>0</v>
      </c>
      <c r="BM152" s="29"/>
      <c r="BN152" s="30"/>
      <c r="BP152" s="26">
        <v>0</v>
      </c>
      <c r="BQ152" s="29"/>
      <c r="BR152" s="28">
        <v>64</v>
      </c>
      <c r="BS152">
        <v>64</v>
      </c>
      <c r="BT152" s="26">
        <v>0</v>
      </c>
      <c r="BU152" s="29"/>
      <c r="BX152" s="26">
        <v>0</v>
      </c>
      <c r="BY152" s="29"/>
      <c r="BZ152" s="30"/>
      <c r="CC152" s="26">
        <v>0</v>
      </c>
      <c r="CD152" s="29"/>
      <c r="CE152" s="30"/>
      <c r="CG152">
        <v>64</v>
      </c>
      <c r="CH152">
        <v>65</v>
      </c>
      <c r="CI152" s="26">
        <v>-1</v>
      </c>
      <c r="CJ152" s="29"/>
      <c r="CK152" s="30"/>
      <c r="CN152" s="26">
        <v>0</v>
      </c>
      <c r="CO152" s="29"/>
      <c r="CP152">
        <v>48</v>
      </c>
      <c r="CQ152" s="26">
        <v>46.8</v>
      </c>
      <c r="CR152" s="26">
        <v>1.2000000000000031</v>
      </c>
      <c r="CS152" s="29"/>
      <c r="CT152" s="34"/>
      <c r="CV152" s="26">
        <v>0</v>
      </c>
      <c r="CW152" s="29"/>
      <c r="CX152" s="28">
        <v>8</v>
      </c>
      <c r="CY152" s="26">
        <v>8</v>
      </c>
      <c r="CZ152" s="26">
        <v>0</v>
      </c>
      <c r="DA152" s="29"/>
      <c r="DB152" s="28">
        <v>32</v>
      </c>
      <c r="DC152">
        <v>35</v>
      </c>
      <c r="DD152" s="26">
        <v>-3</v>
      </c>
      <c r="DE152" s="29"/>
      <c r="DH152" s="26">
        <v>0</v>
      </c>
      <c r="DI152" s="29"/>
      <c r="DJ152">
        <v>32</v>
      </c>
      <c r="DK152">
        <v>35</v>
      </c>
      <c r="DL152" s="26">
        <v>-3</v>
      </c>
      <c r="DM152" s="29"/>
      <c r="DN152" s="30"/>
      <c r="DQ152" s="26">
        <v>0</v>
      </c>
      <c r="DR152" s="29"/>
      <c r="DS152" s="30"/>
      <c r="DV152" s="26">
        <v>0</v>
      </c>
      <c r="DW152" s="29"/>
      <c r="DZ152" s="26">
        <v>0</v>
      </c>
      <c r="EA152" s="29"/>
      <c r="EB152" s="30"/>
      <c r="EE152">
        <v>16</v>
      </c>
      <c r="EF152">
        <v>17</v>
      </c>
      <c r="EG152" s="26">
        <v>-1</v>
      </c>
      <c r="EH152" s="29"/>
      <c r="EI152">
        <v>40</v>
      </c>
      <c r="EJ152" s="31">
        <v>44.8</v>
      </c>
      <c r="EK152" s="26">
        <v>-4.7999999999999972</v>
      </c>
      <c r="EL152" s="29"/>
      <c r="EM152" s="30"/>
      <c r="EO152">
        <v>16</v>
      </c>
      <c r="EP152">
        <v>21</v>
      </c>
      <c r="EQ152" s="26">
        <v>-5</v>
      </c>
      <c r="ER152" s="29"/>
      <c r="EU152">
        <v>32</v>
      </c>
      <c r="EV152">
        <v>30</v>
      </c>
      <c r="EW152" s="26">
        <v>2</v>
      </c>
      <c r="EX152" s="29"/>
      <c r="FA152" s="26">
        <v>0</v>
      </c>
      <c r="FB152" s="29"/>
      <c r="FC152" s="30"/>
      <c r="FE152" s="26">
        <v>0</v>
      </c>
      <c r="FF152" s="29"/>
      <c r="FG152" s="28">
        <v>40</v>
      </c>
      <c r="FH152" s="26">
        <v>40</v>
      </c>
      <c r="FI152" s="26">
        <v>0</v>
      </c>
      <c r="FJ152" s="29"/>
      <c r="FM152" s="26">
        <v>0</v>
      </c>
      <c r="FN152" s="29"/>
      <c r="FO152" s="28">
        <v>16</v>
      </c>
      <c r="FP152">
        <v>16</v>
      </c>
      <c r="FQ152" s="26">
        <v>0</v>
      </c>
      <c r="FR152" s="29"/>
      <c r="FS152" s="30"/>
      <c r="FV152" s="29"/>
      <c r="FZ152" s="32"/>
      <c r="GD152" s="29"/>
      <c r="GH152" s="32"/>
      <c r="GL152" s="29"/>
      <c r="GP152" s="32"/>
      <c r="GR152" s="27"/>
      <c r="GT152" s="29"/>
      <c r="GU152" s="28"/>
      <c r="GX152" s="32"/>
      <c r="HA152" s="31"/>
      <c r="HB152" s="32"/>
      <c r="HF152" s="32"/>
      <c r="HH152" s="31"/>
      <c r="HJ152" s="29"/>
      <c r="HK152" s="27"/>
      <c r="HP152" s="32"/>
      <c r="HT152" s="32"/>
      <c r="HX152" s="32"/>
      <c r="HY152" s="34"/>
      <c r="IB152" s="32"/>
    </row>
    <row r="153" spans="1:236" x14ac:dyDescent="0.25">
      <c r="A153" s="26" t="s">
        <v>280</v>
      </c>
      <c r="B153" s="27">
        <v>1</v>
      </c>
      <c r="I153" s="30"/>
      <c r="J153" s="36">
        <v>31</v>
      </c>
      <c r="K153" s="36">
        <v>28</v>
      </c>
      <c r="L153" s="35">
        <f t="shared" si="11"/>
        <v>3</v>
      </c>
      <c r="M153" s="29"/>
      <c r="N153" s="28">
        <v>169</v>
      </c>
      <c r="O153" s="36">
        <v>171</v>
      </c>
      <c r="P153" s="35">
        <f t="shared" si="12"/>
        <v>-2</v>
      </c>
      <c r="Q153" s="29"/>
      <c r="R153" s="30"/>
      <c r="S153" s="35"/>
      <c r="T153" s="35">
        <f t="shared" si="13"/>
        <v>0</v>
      </c>
      <c r="U153" s="29"/>
      <c r="V153" s="36">
        <v>111</v>
      </c>
      <c r="W153">
        <v>110</v>
      </c>
      <c r="X153" s="26">
        <v>1</v>
      </c>
      <c r="Y153" s="29"/>
      <c r="Z153" s="28">
        <v>18</v>
      </c>
      <c r="AA153">
        <v>16</v>
      </c>
      <c r="AB153" s="26">
        <v>2</v>
      </c>
      <c r="AC153" s="29"/>
      <c r="AD153">
        <v>85</v>
      </c>
      <c r="AE153">
        <v>82</v>
      </c>
      <c r="AF153" s="26">
        <v>3</v>
      </c>
      <c r="AG153" s="29"/>
      <c r="AH153" s="30"/>
      <c r="AJ153" s="26">
        <v>0</v>
      </c>
      <c r="AK153" s="29"/>
      <c r="AL153" s="28">
        <v>112</v>
      </c>
      <c r="AM153">
        <v>106</v>
      </c>
      <c r="AN153" s="26">
        <v>6</v>
      </c>
      <c r="AO153" s="29"/>
      <c r="AP153">
        <v>31</v>
      </c>
      <c r="AQ153">
        <v>32</v>
      </c>
      <c r="AR153" s="26">
        <v>-1</v>
      </c>
      <c r="AS153" s="29"/>
      <c r="AT153" s="30"/>
      <c r="AX153" s="26">
        <v>0</v>
      </c>
      <c r="AY153" s="29"/>
      <c r="AZ153" s="28">
        <v>117</v>
      </c>
      <c r="BA153">
        <v>112</v>
      </c>
      <c r="BB153" s="26">
        <v>5</v>
      </c>
      <c r="BC153" s="29"/>
      <c r="BF153">
        <v>38</v>
      </c>
      <c r="BG153">
        <v>36</v>
      </c>
      <c r="BH153" s="26">
        <v>2</v>
      </c>
      <c r="BI153" s="29"/>
      <c r="BL153" s="26">
        <v>0</v>
      </c>
      <c r="BM153" s="29"/>
      <c r="BN153" s="28">
        <v>69</v>
      </c>
      <c r="BO153">
        <v>68</v>
      </c>
      <c r="BP153" s="26">
        <v>1</v>
      </c>
      <c r="BQ153" s="29"/>
      <c r="BR153" s="30"/>
      <c r="BS153">
        <v>87</v>
      </c>
      <c r="BT153" s="25">
        <v>-87</v>
      </c>
      <c r="BU153" s="29">
        <v>87</v>
      </c>
      <c r="BX153" s="26">
        <v>0</v>
      </c>
      <c r="BY153" s="29"/>
      <c r="BZ153" s="28">
        <v>74</v>
      </c>
      <c r="CB153">
        <v>73</v>
      </c>
      <c r="CC153" s="26">
        <v>1</v>
      </c>
      <c r="CD153" s="29"/>
      <c r="CE153" s="30"/>
      <c r="CI153" s="26">
        <v>0</v>
      </c>
      <c r="CJ153" s="29"/>
      <c r="CK153" s="28">
        <v>88</v>
      </c>
      <c r="CM153">
        <v>85</v>
      </c>
      <c r="CN153" s="26">
        <v>3</v>
      </c>
      <c r="CO153" s="29"/>
      <c r="CP153">
        <v>36</v>
      </c>
      <c r="CQ153" s="26">
        <v>35.914600000000007</v>
      </c>
      <c r="CR153" s="26">
        <v>8.5399999999992815E-2</v>
      </c>
      <c r="CS153" s="29"/>
      <c r="CT153" s="28">
        <v>24</v>
      </c>
      <c r="CU153" s="26">
        <v>25.658000000000001</v>
      </c>
      <c r="CV153" s="26">
        <v>-1.658000000000001</v>
      </c>
      <c r="CW153" s="29"/>
      <c r="CX153" s="30"/>
      <c r="CZ153" s="26">
        <v>0</v>
      </c>
      <c r="DA153" s="29"/>
      <c r="DB153" s="28">
        <v>12</v>
      </c>
      <c r="DC153">
        <v>11</v>
      </c>
      <c r="DD153" s="26">
        <v>1</v>
      </c>
      <c r="DE153" s="29"/>
      <c r="DF153">
        <v>43</v>
      </c>
      <c r="DG153" s="31">
        <v>41.936999999999998</v>
      </c>
      <c r="DH153" s="26">
        <v>1.0630000000000019</v>
      </c>
      <c r="DI153" s="29"/>
      <c r="DJ153">
        <v>44</v>
      </c>
      <c r="DK153">
        <v>45</v>
      </c>
      <c r="DL153" s="26">
        <v>-1</v>
      </c>
      <c r="DM153" s="29"/>
      <c r="DN153" s="30"/>
      <c r="DQ153" s="26">
        <v>0</v>
      </c>
      <c r="DR153" s="29"/>
      <c r="DS153" s="28">
        <v>13</v>
      </c>
      <c r="DU153">
        <v>11</v>
      </c>
      <c r="DV153" s="26">
        <v>2</v>
      </c>
      <c r="DW153" s="29"/>
      <c r="DZ153" s="26">
        <v>0</v>
      </c>
      <c r="EA153" s="29"/>
      <c r="EB153" s="30"/>
      <c r="EG153" s="26">
        <v>0</v>
      </c>
      <c r="EH153" s="29"/>
      <c r="EI153">
        <v>37</v>
      </c>
      <c r="EJ153" s="31">
        <v>37.338799999999999</v>
      </c>
      <c r="EK153" s="26">
        <v>-0.3387999999999991</v>
      </c>
      <c r="EL153" s="29"/>
      <c r="EM153" s="30"/>
      <c r="EQ153" s="26">
        <v>0</v>
      </c>
      <c r="ER153" s="29"/>
      <c r="EW153" s="26">
        <v>0</v>
      </c>
      <c r="EX153" s="29"/>
      <c r="EY153">
        <v>82</v>
      </c>
      <c r="EZ153" s="31">
        <v>80</v>
      </c>
      <c r="FA153" s="26">
        <v>2</v>
      </c>
      <c r="FB153" s="29"/>
      <c r="FC153" s="28">
        <v>37</v>
      </c>
      <c r="FD153">
        <v>35</v>
      </c>
      <c r="FE153" s="26">
        <v>2</v>
      </c>
      <c r="FF153" s="29"/>
      <c r="FG153" s="30"/>
      <c r="FI153" s="26">
        <v>0</v>
      </c>
      <c r="FJ153" s="29"/>
      <c r="FK153" s="26">
        <v>44</v>
      </c>
      <c r="FL153" s="26">
        <v>40</v>
      </c>
      <c r="FM153" s="26">
        <v>4</v>
      </c>
      <c r="FN153" s="29"/>
      <c r="FO153" s="30"/>
      <c r="FQ153" s="26">
        <v>0</v>
      </c>
      <c r="FR153" s="29"/>
      <c r="FS153" s="30"/>
      <c r="FV153" s="29"/>
      <c r="FZ153" s="32"/>
      <c r="GD153" s="29"/>
      <c r="GH153" s="32"/>
      <c r="GL153" s="29"/>
      <c r="GP153" s="32"/>
      <c r="GR153" s="27"/>
      <c r="GT153" s="29"/>
      <c r="GU153" s="28"/>
      <c r="GX153" s="32"/>
      <c r="HA153" s="31"/>
      <c r="HB153" s="32"/>
      <c r="HF153" s="32"/>
      <c r="HH153" s="31"/>
      <c r="HJ153" s="29"/>
      <c r="HK153" s="27"/>
      <c r="HP153" s="32"/>
      <c r="HT153" s="32"/>
      <c r="HX153" s="32"/>
      <c r="HY153" s="34"/>
      <c r="IB153" s="32"/>
    </row>
    <row r="154" spans="1:236" x14ac:dyDescent="0.25">
      <c r="A154" s="26" t="s">
        <v>281</v>
      </c>
      <c r="B154" s="27">
        <v>0.4</v>
      </c>
      <c r="I154" s="30"/>
      <c r="J154" s="35"/>
      <c r="K154" s="36">
        <v>455</v>
      </c>
      <c r="L154" s="35">
        <f>J176-K154</f>
        <v>1</v>
      </c>
      <c r="M154" s="29"/>
      <c r="N154" s="30"/>
      <c r="O154" s="35"/>
      <c r="P154" s="35">
        <f t="shared" si="12"/>
        <v>0</v>
      </c>
      <c r="Q154" s="29"/>
      <c r="R154" s="28">
        <v>350</v>
      </c>
      <c r="S154" s="36">
        <v>357</v>
      </c>
      <c r="T154" s="35">
        <f t="shared" si="13"/>
        <v>-7</v>
      </c>
      <c r="U154" s="29"/>
      <c r="V154" s="35"/>
      <c r="X154" s="26">
        <v>0</v>
      </c>
      <c r="Y154" s="29"/>
      <c r="Z154" s="28">
        <v>300</v>
      </c>
      <c r="AA154">
        <v>304</v>
      </c>
      <c r="AB154" s="26">
        <v>-4</v>
      </c>
      <c r="AC154" s="29"/>
      <c r="AD154">
        <v>10</v>
      </c>
      <c r="AE154">
        <v>16</v>
      </c>
      <c r="AF154" s="26">
        <v>-6</v>
      </c>
      <c r="AG154" s="29"/>
      <c r="AH154" s="28">
        <v>90</v>
      </c>
      <c r="AI154">
        <v>90</v>
      </c>
      <c r="AJ154" s="26">
        <v>0</v>
      </c>
      <c r="AK154" s="29"/>
      <c r="AL154" s="28">
        <v>110</v>
      </c>
      <c r="AM154">
        <v>117</v>
      </c>
      <c r="AN154" s="26">
        <v>-7</v>
      </c>
      <c r="AO154" s="29"/>
      <c r="AR154" s="26">
        <v>0</v>
      </c>
      <c r="AS154" s="29"/>
      <c r="AT154" s="30"/>
      <c r="AU154">
        <v>80</v>
      </c>
      <c r="AV154">
        <v>80</v>
      </c>
      <c r="AW154">
        <v>82</v>
      </c>
      <c r="AX154" s="25">
        <v>-82</v>
      </c>
      <c r="AY154" s="29">
        <v>81.599999999999994</v>
      </c>
      <c r="AZ154" s="28">
        <v>90</v>
      </c>
      <c r="BA154">
        <v>97</v>
      </c>
      <c r="BB154" s="26">
        <v>-7</v>
      </c>
      <c r="BC154" s="29"/>
      <c r="BF154">
        <v>10</v>
      </c>
      <c r="BG154">
        <v>8</v>
      </c>
      <c r="BH154" s="26">
        <v>2</v>
      </c>
      <c r="BI154" s="29"/>
      <c r="BJ154">
        <v>160</v>
      </c>
      <c r="BK154">
        <v>162</v>
      </c>
      <c r="BL154" s="26">
        <v>-2</v>
      </c>
      <c r="BM154" s="29"/>
      <c r="BN154" s="28">
        <v>90</v>
      </c>
      <c r="BO154">
        <v>90</v>
      </c>
      <c r="BP154" s="26">
        <v>0</v>
      </c>
      <c r="BQ154" s="29"/>
      <c r="BR154" s="28">
        <v>10</v>
      </c>
      <c r="BS154">
        <v>8</v>
      </c>
      <c r="BT154" s="26">
        <v>2</v>
      </c>
      <c r="BU154" s="29"/>
      <c r="BV154">
        <v>130</v>
      </c>
      <c r="BW154">
        <v>128</v>
      </c>
      <c r="BX154" s="26">
        <v>2</v>
      </c>
      <c r="BY154" s="29"/>
      <c r="BZ154" s="28">
        <v>40</v>
      </c>
      <c r="CB154">
        <v>38</v>
      </c>
      <c r="CC154" s="26">
        <v>2</v>
      </c>
      <c r="CD154" s="29"/>
      <c r="CE154" s="30"/>
      <c r="CI154" s="26">
        <v>0</v>
      </c>
      <c r="CJ154" s="29"/>
      <c r="CK154" s="28">
        <v>160</v>
      </c>
      <c r="CM154">
        <v>162</v>
      </c>
      <c r="CN154" s="26">
        <v>-2</v>
      </c>
      <c r="CO154" s="29"/>
      <c r="CR154" s="26">
        <v>0</v>
      </c>
      <c r="CS154" s="29"/>
      <c r="CT154" s="28">
        <v>110</v>
      </c>
      <c r="CU154" s="26">
        <v>116</v>
      </c>
      <c r="CV154" s="26">
        <v>-6</v>
      </c>
      <c r="CW154" s="29"/>
      <c r="CX154" s="28">
        <v>10</v>
      </c>
      <c r="CY154" s="26">
        <v>13.400000000000009</v>
      </c>
      <c r="CZ154" s="26">
        <v>-3.4000000000000088</v>
      </c>
      <c r="DA154" s="29"/>
      <c r="DB154" s="30"/>
      <c r="DC154">
        <v>74</v>
      </c>
      <c r="DD154" s="25">
        <v>-74</v>
      </c>
      <c r="DE154" s="32">
        <v>29.6</v>
      </c>
      <c r="DF154">
        <v>90</v>
      </c>
      <c r="DG154" s="31">
        <v>95.200000000000017</v>
      </c>
      <c r="DH154" s="26">
        <v>-5.2000000000000171</v>
      </c>
      <c r="DI154" s="29"/>
      <c r="DJ154">
        <v>70</v>
      </c>
      <c r="DK154">
        <v>77</v>
      </c>
      <c r="DL154" s="26">
        <v>-7</v>
      </c>
      <c r="DM154" s="29"/>
      <c r="DN154" s="30"/>
      <c r="DQ154" s="26">
        <v>0</v>
      </c>
      <c r="DR154" s="29"/>
      <c r="DS154" s="28">
        <v>50</v>
      </c>
      <c r="DU154">
        <v>55</v>
      </c>
      <c r="DV154" s="26">
        <v>-5</v>
      </c>
      <c r="DW154" s="29"/>
      <c r="DX154">
        <v>80</v>
      </c>
      <c r="DY154" s="31">
        <v>80.200000000000017</v>
      </c>
      <c r="DZ154" s="26">
        <v>-0.20000000000001711</v>
      </c>
      <c r="EA154" s="29"/>
      <c r="EB154" s="30"/>
      <c r="EE154">
        <v>30</v>
      </c>
      <c r="EF154">
        <v>30</v>
      </c>
      <c r="EG154" s="26">
        <v>0</v>
      </c>
      <c r="EH154" s="29"/>
      <c r="EI154">
        <v>70</v>
      </c>
      <c r="EJ154" s="31">
        <v>76.400000000000006</v>
      </c>
      <c r="EK154" s="26">
        <v>-6.4000000000000057</v>
      </c>
      <c r="EL154" s="29"/>
      <c r="EM154" s="30"/>
      <c r="EO154">
        <v>40</v>
      </c>
      <c r="EP154">
        <v>44</v>
      </c>
      <c r="EQ154" s="26">
        <v>-4</v>
      </c>
      <c r="ER154" s="29"/>
      <c r="ES154">
        <v>40</v>
      </c>
      <c r="ET154">
        <v>40</v>
      </c>
      <c r="EU154">
        <v>50</v>
      </c>
      <c r="EV154">
        <v>50</v>
      </c>
      <c r="EW154" s="26">
        <v>0</v>
      </c>
      <c r="EX154" s="29"/>
      <c r="FA154" s="26">
        <v>0</v>
      </c>
      <c r="FB154" s="29"/>
      <c r="FC154" s="28">
        <v>40</v>
      </c>
      <c r="FD154">
        <v>38</v>
      </c>
      <c r="FE154" s="26">
        <v>2</v>
      </c>
      <c r="FF154" s="29"/>
      <c r="FG154" s="28">
        <v>70</v>
      </c>
      <c r="FH154">
        <v>70</v>
      </c>
      <c r="FI154" s="26">
        <v>0</v>
      </c>
      <c r="FJ154" s="29"/>
      <c r="FK154">
        <v>20</v>
      </c>
      <c r="FL154">
        <v>20</v>
      </c>
      <c r="FM154" s="26">
        <v>0</v>
      </c>
      <c r="FN154" s="29"/>
      <c r="FO154" s="28">
        <v>60</v>
      </c>
      <c r="FP154">
        <v>64</v>
      </c>
      <c r="FQ154" s="26">
        <v>-4</v>
      </c>
      <c r="FR154" s="29"/>
      <c r="FS154" s="30"/>
      <c r="FU154" s="26">
        <v>0</v>
      </c>
      <c r="FV154" s="29"/>
      <c r="FW154">
        <v>60</v>
      </c>
      <c r="FX154" s="26">
        <v>60</v>
      </c>
      <c r="FY154" s="26">
        <v>0</v>
      </c>
      <c r="FZ154" s="32"/>
      <c r="GA154">
        <v>10</v>
      </c>
      <c r="GB154" s="31">
        <v>8</v>
      </c>
      <c r="GC154" s="26">
        <v>2</v>
      </c>
      <c r="GD154" s="29"/>
      <c r="GG154" s="26">
        <v>0</v>
      </c>
      <c r="GH154" s="32"/>
      <c r="GL154" s="29"/>
      <c r="GP154" s="32"/>
      <c r="GT154" s="29"/>
      <c r="GU154" s="28"/>
      <c r="GX154" s="32"/>
      <c r="HB154" s="32"/>
      <c r="HF154" s="32"/>
      <c r="HH154" s="31"/>
      <c r="HJ154" s="29"/>
      <c r="HK154" s="27"/>
      <c r="HP154" s="32"/>
      <c r="HT154" s="32"/>
      <c r="HX154" s="32"/>
      <c r="HY154" s="34"/>
      <c r="IB154" s="32"/>
    </row>
    <row r="155" spans="1:236" x14ac:dyDescent="0.25">
      <c r="A155" s="26" t="s">
        <v>282</v>
      </c>
      <c r="B155" s="27">
        <v>0.41</v>
      </c>
      <c r="E155">
        <v>100</v>
      </c>
      <c r="F155">
        <v>80</v>
      </c>
      <c r="I155" s="30"/>
      <c r="J155" s="36">
        <v>220</v>
      </c>
      <c r="K155" s="36">
        <v>221</v>
      </c>
      <c r="L155" s="35">
        <f t="shared" si="11"/>
        <v>-1</v>
      </c>
      <c r="M155" s="29"/>
      <c r="N155" s="28">
        <v>100</v>
      </c>
      <c r="O155" s="36">
        <v>101</v>
      </c>
      <c r="P155" s="35">
        <f t="shared" si="12"/>
        <v>-1</v>
      </c>
      <c r="Q155" s="29"/>
      <c r="R155" s="28">
        <v>350</v>
      </c>
      <c r="S155" s="36">
        <v>354</v>
      </c>
      <c r="T155" s="35">
        <f t="shared" si="13"/>
        <v>-4</v>
      </c>
      <c r="U155" s="29"/>
      <c r="V155" s="36">
        <v>80</v>
      </c>
      <c r="W155">
        <v>86</v>
      </c>
      <c r="X155" s="26">
        <v>-6</v>
      </c>
      <c r="Y155" s="29"/>
      <c r="Z155" s="28">
        <v>270</v>
      </c>
      <c r="AA155">
        <v>274</v>
      </c>
      <c r="AB155" s="26">
        <v>-4</v>
      </c>
      <c r="AC155" s="29"/>
      <c r="AF155" s="26">
        <v>0</v>
      </c>
      <c r="AG155" s="29"/>
      <c r="AH155" s="28">
        <v>250</v>
      </c>
      <c r="AI155">
        <v>252</v>
      </c>
      <c r="AJ155" s="26">
        <v>-2</v>
      </c>
      <c r="AK155" s="29"/>
      <c r="AL155" s="28">
        <v>10</v>
      </c>
      <c r="AM155">
        <v>4</v>
      </c>
      <c r="AN155" s="26">
        <v>6</v>
      </c>
      <c r="AO155" s="29"/>
      <c r="AP155">
        <v>60</v>
      </c>
      <c r="AQ155">
        <v>66</v>
      </c>
      <c r="AR155" s="26">
        <v>-6</v>
      </c>
      <c r="AS155" s="29"/>
      <c r="AT155" s="28">
        <v>50</v>
      </c>
      <c r="AU155">
        <v>50</v>
      </c>
      <c r="AV155">
        <v>80</v>
      </c>
      <c r="AW155">
        <v>83</v>
      </c>
      <c r="AX155" s="26">
        <v>-3</v>
      </c>
      <c r="AY155" s="29"/>
      <c r="AZ155" s="28">
        <v>30</v>
      </c>
      <c r="BA155">
        <v>35</v>
      </c>
      <c r="BB155" s="26">
        <v>-5</v>
      </c>
      <c r="BC155" s="29"/>
      <c r="BF155">
        <v>30</v>
      </c>
      <c r="BG155">
        <v>28</v>
      </c>
      <c r="BH155" s="26">
        <v>2</v>
      </c>
      <c r="BI155" s="29"/>
      <c r="BJ155">
        <v>50</v>
      </c>
      <c r="BK155">
        <v>49</v>
      </c>
      <c r="BL155" s="26">
        <v>1</v>
      </c>
      <c r="BM155" s="29"/>
      <c r="BN155" s="28">
        <v>130</v>
      </c>
      <c r="BO155">
        <v>130</v>
      </c>
      <c r="BP155" s="26">
        <v>0</v>
      </c>
      <c r="BQ155" s="29"/>
      <c r="BR155" s="28">
        <v>50</v>
      </c>
      <c r="BS155">
        <v>53</v>
      </c>
      <c r="BT155" s="26">
        <v>-3</v>
      </c>
      <c r="BU155" s="29"/>
      <c r="BX155" s="26">
        <v>0</v>
      </c>
      <c r="BY155" s="29"/>
      <c r="BZ155" s="28">
        <v>80</v>
      </c>
      <c r="CB155">
        <v>81</v>
      </c>
      <c r="CC155" s="26">
        <v>-1</v>
      </c>
      <c r="CD155" s="29"/>
      <c r="CE155" s="30"/>
      <c r="CG155">
        <v>120</v>
      </c>
      <c r="CH155">
        <v>121</v>
      </c>
      <c r="CI155" s="26">
        <v>-1</v>
      </c>
      <c r="CJ155" s="29"/>
      <c r="CK155" s="30"/>
      <c r="CN155" s="26">
        <v>0</v>
      </c>
      <c r="CO155" s="29"/>
      <c r="CP155">
        <v>130</v>
      </c>
      <c r="CQ155" s="26">
        <v>131</v>
      </c>
      <c r="CR155" s="26">
        <v>-1</v>
      </c>
      <c r="CS155" s="29"/>
      <c r="CT155" s="34"/>
      <c r="CV155" s="26">
        <v>0</v>
      </c>
      <c r="CW155" s="29"/>
      <c r="CX155" s="28">
        <v>10</v>
      </c>
      <c r="CY155" s="26">
        <v>5.2000000000000028</v>
      </c>
      <c r="CZ155" s="26">
        <v>4.7999999999999972</v>
      </c>
      <c r="DA155" s="29"/>
      <c r="DB155" s="28">
        <v>90</v>
      </c>
      <c r="DC155">
        <v>94</v>
      </c>
      <c r="DD155" s="26">
        <v>-4</v>
      </c>
      <c r="DE155" s="29"/>
      <c r="DH155" s="26">
        <v>0</v>
      </c>
      <c r="DI155" s="29"/>
      <c r="DJ155">
        <v>90</v>
      </c>
      <c r="DK155">
        <v>94</v>
      </c>
      <c r="DL155" s="26">
        <v>-4</v>
      </c>
      <c r="DM155" s="29"/>
      <c r="DN155" s="28">
        <v>60</v>
      </c>
      <c r="DP155">
        <v>62</v>
      </c>
      <c r="DQ155" s="26">
        <v>-2</v>
      </c>
      <c r="DR155" s="29"/>
      <c r="DS155" s="28">
        <v>30</v>
      </c>
      <c r="DU155">
        <v>34</v>
      </c>
      <c r="DV155" s="26">
        <v>-4</v>
      </c>
      <c r="DW155" s="29"/>
      <c r="DX155">
        <v>40</v>
      </c>
      <c r="DY155" s="31">
        <v>44</v>
      </c>
      <c r="DZ155" s="26">
        <v>-4</v>
      </c>
      <c r="EA155" s="29"/>
      <c r="EB155" s="30"/>
      <c r="EE155">
        <v>10</v>
      </c>
      <c r="EF155">
        <v>15</v>
      </c>
      <c r="EG155" s="26">
        <v>-5</v>
      </c>
      <c r="EH155" s="29"/>
      <c r="EI155">
        <v>60</v>
      </c>
      <c r="EJ155" s="31">
        <v>61</v>
      </c>
      <c r="EK155" s="26">
        <v>-1</v>
      </c>
      <c r="EL155" s="29"/>
      <c r="EM155" s="30"/>
      <c r="EO155">
        <v>20</v>
      </c>
      <c r="EP155">
        <v>26</v>
      </c>
      <c r="EQ155" s="26">
        <v>-6</v>
      </c>
      <c r="ER155" s="29"/>
      <c r="EU155">
        <v>50</v>
      </c>
      <c r="EV155">
        <v>50</v>
      </c>
      <c r="EW155" s="26">
        <v>0</v>
      </c>
      <c r="EX155" s="29"/>
      <c r="FA155" s="26">
        <v>0</v>
      </c>
      <c r="FB155" s="29"/>
      <c r="FC155" s="28">
        <v>20</v>
      </c>
      <c r="FD155">
        <v>20</v>
      </c>
      <c r="FE155" s="26">
        <v>0</v>
      </c>
      <c r="FF155" s="29"/>
      <c r="FG155" s="28">
        <v>10</v>
      </c>
      <c r="FH155">
        <v>10</v>
      </c>
      <c r="FI155" s="26">
        <v>0</v>
      </c>
      <c r="FJ155" s="29"/>
      <c r="FK155">
        <v>20</v>
      </c>
      <c r="FL155">
        <v>20</v>
      </c>
      <c r="FM155" s="26">
        <v>0</v>
      </c>
      <c r="FN155" s="29"/>
      <c r="FO155" s="28">
        <v>50</v>
      </c>
      <c r="FP155">
        <v>50</v>
      </c>
      <c r="FQ155" s="26">
        <v>0</v>
      </c>
      <c r="FR155" s="29"/>
      <c r="FS155" s="30"/>
      <c r="FU155" s="26">
        <v>0</v>
      </c>
      <c r="FV155" s="29"/>
      <c r="FW155">
        <v>20</v>
      </c>
      <c r="FX155" s="26">
        <v>20</v>
      </c>
      <c r="FY155" s="26">
        <v>0</v>
      </c>
      <c r="FZ155" s="32"/>
      <c r="GA155">
        <v>20</v>
      </c>
      <c r="GB155" s="31">
        <v>20</v>
      </c>
      <c r="GC155" s="26">
        <v>0</v>
      </c>
      <c r="GD155" s="29"/>
      <c r="GG155" s="26">
        <v>0</v>
      </c>
      <c r="GH155" s="32"/>
      <c r="GL155" s="29"/>
      <c r="GP155" s="32"/>
      <c r="GT155" s="29"/>
      <c r="GU155" s="28"/>
      <c r="GX155" s="32"/>
      <c r="HB155" s="32"/>
      <c r="HF155" s="32"/>
      <c r="HH155" s="31"/>
      <c r="HJ155" s="29"/>
      <c r="HK155" s="27"/>
      <c r="HP155" s="32"/>
      <c r="HT155" s="32"/>
      <c r="HX155" s="32"/>
      <c r="HY155" s="34"/>
      <c r="IB155" s="32"/>
    </row>
    <row r="156" spans="1:236" x14ac:dyDescent="0.25">
      <c r="A156" s="26" t="s">
        <v>283</v>
      </c>
      <c r="B156" s="27">
        <v>1</v>
      </c>
      <c r="E156">
        <v>150</v>
      </c>
      <c r="F156">
        <v>125</v>
      </c>
      <c r="I156" s="30"/>
      <c r="J156" s="35"/>
      <c r="K156" s="35"/>
      <c r="L156" s="35">
        <f t="shared" si="11"/>
        <v>0</v>
      </c>
      <c r="M156" s="29"/>
      <c r="N156" s="28">
        <v>365</v>
      </c>
      <c r="O156" s="36">
        <v>351</v>
      </c>
      <c r="P156" s="35">
        <f t="shared" si="12"/>
        <v>14</v>
      </c>
      <c r="Q156" s="29"/>
      <c r="R156" s="30"/>
      <c r="S156" s="35"/>
      <c r="T156" s="35">
        <f t="shared" si="13"/>
        <v>0</v>
      </c>
      <c r="U156" s="29"/>
      <c r="V156" s="36">
        <v>226</v>
      </c>
      <c r="W156">
        <v>223</v>
      </c>
      <c r="X156" s="26">
        <v>3</v>
      </c>
      <c r="Y156" s="29"/>
      <c r="Z156" s="28">
        <v>251</v>
      </c>
      <c r="AA156">
        <v>238</v>
      </c>
      <c r="AB156" s="26">
        <v>13</v>
      </c>
      <c r="AC156" s="29"/>
      <c r="AF156" s="26">
        <v>0</v>
      </c>
      <c r="AG156" s="29"/>
      <c r="AH156" s="28">
        <v>295</v>
      </c>
      <c r="AI156">
        <v>285</v>
      </c>
      <c r="AJ156" s="26">
        <v>10</v>
      </c>
      <c r="AK156" s="29"/>
      <c r="AL156" s="30"/>
      <c r="AN156" s="26">
        <v>0</v>
      </c>
      <c r="AO156" s="29"/>
      <c r="AR156" s="26">
        <v>0</v>
      </c>
      <c r="AS156" s="29"/>
      <c r="AT156" s="28">
        <v>145</v>
      </c>
      <c r="AU156">
        <v>140</v>
      </c>
      <c r="AV156">
        <v>143</v>
      </c>
      <c r="AW156">
        <v>141</v>
      </c>
      <c r="AX156" s="26">
        <v>7</v>
      </c>
      <c r="AY156" s="29"/>
      <c r="AZ156" s="30"/>
      <c r="BB156" s="26">
        <v>0</v>
      </c>
      <c r="BC156" s="29"/>
      <c r="BF156">
        <v>220</v>
      </c>
      <c r="BG156">
        <v>208</v>
      </c>
      <c r="BH156" s="26">
        <v>12</v>
      </c>
      <c r="BI156" s="29"/>
      <c r="BL156" s="26">
        <v>0</v>
      </c>
      <c r="BM156" s="29"/>
      <c r="BN156" s="30"/>
      <c r="BP156" s="26">
        <v>0</v>
      </c>
      <c r="BQ156" s="29"/>
      <c r="BR156" s="28">
        <v>163</v>
      </c>
      <c r="BS156">
        <v>156</v>
      </c>
      <c r="BT156" s="26">
        <v>7</v>
      </c>
      <c r="BU156" s="29"/>
      <c r="BX156" s="26">
        <v>0</v>
      </c>
      <c r="BY156" s="29"/>
      <c r="BZ156" s="28">
        <v>44</v>
      </c>
      <c r="CB156">
        <v>67</v>
      </c>
      <c r="CC156" s="25">
        <v>-23</v>
      </c>
      <c r="CD156" s="29">
        <v>23</v>
      </c>
      <c r="CE156" s="30"/>
      <c r="CG156">
        <v>100</v>
      </c>
      <c r="CH156">
        <v>97</v>
      </c>
      <c r="CI156" s="26">
        <v>3</v>
      </c>
      <c r="CJ156" s="29"/>
      <c r="CK156" s="30"/>
      <c r="CN156" s="26">
        <v>0</v>
      </c>
      <c r="CO156" s="29"/>
      <c r="CP156">
        <v>111</v>
      </c>
      <c r="CQ156" s="26">
        <v>110.8314</v>
      </c>
      <c r="CR156" s="26">
        <v>0.16859999999999789</v>
      </c>
      <c r="CS156" s="29"/>
      <c r="CT156" s="34"/>
      <c r="CV156" s="26">
        <v>0</v>
      </c>
      <c r="CW156" s="29"/>
      <c r="CX156" s="28">
        <v>19</v>
      </c>
      <c r="CY156" s="26">
        <v>17.182600000000001</v>
      </c>
      <c r="CZ156" s="26">
        <v>1.817399999999999</v>
      </c>
      <c r="DA156" s="29"/>
      <c r="DB156" s="28">
        <v>89</v>
      </c>
      <c r="DC156">
        <v>83</v>
      </c>
      <c r="DD156" s="26">
        <v>6</v>
      </c>
      <c r="DE156" s="29"/>
      <c r="DH156" s="26">
        <v>0</v>
      </c>
      <c r="DI156" s="29"/>
      <c r="DJ156">
        <v>118</v>
      </c>
      <c r="DK156">
        <v>116</v>
      </c>
      <c r="DL156" s="26">
        <v>2</v>
      </c>
      <c r="DM156" s="29"/>
      <c r="DN156" s="28">
        <v>44</v>
      </c>
      <c r="DP156">
        <v>45</v>
      </c>
      <c r="DQ156" s="26">
        <v>-1</v>
      </c>
      <c r="DR156" s="29"/>
      <c r="DS156" s="30"/>
      <c r="DV156" s="26">
        <v>0</v>
      </c>
      <c r="DW156" s="29"/>
      <c r="DZ156" s="26">
        <v>0</v>
      </c>
      <c r="EA156" s="29"/>
      <c r="EB156" s="30"/>
      <c r="EC156">
        <v>50</v>
      </c>
      <c r="ED156">
        <v>50</v>
      </c>
      <c r="EE156">
        <v>56</v>
      </c>
      <c r="EF156">
        <v>53</v>
      </c>
      <c r="EG156" s="26">
        <v>3</v>
      </c>
      <c r="EH156" s="29"/>
      <c r="EK156" s="26">
        <v>0</v>
      </c>
      <c r="EL156" s="29"/>
      <c r="EM156" s="30"/>
      <c r="EQ156" s="26">
        <v>0</v>
      </c>
      <c r="ER156" s="29"/>
      <c r="EW156" s="26">
        <v>0</v>
      </c>
      <c r="EX156" s="29"/>
      <c r="FA156" s="26">
        <v>0</v>
      </c>
      <c r="FB156" s="29"/>
      <c r="FC156" s="28">
        <v>69</v>
      </c>
      <c r="FD156">
        <v>65</v>
      </c>
      <c r="FE156" s="26">
        <v>4</v>
      </c>
      <c r="FF156" s="29"/>
      <c r="FG156" s="28">
        <v>75</v>
      </c>
      <c r="FH156">
        <v>72</v>
      </c>
      <c r="FI156" s="26">
        <v>3</v>
      </c>
      <c r="FJ156" s="29"/>
      <c r="FK156">
        <v>31</v>
      </c>
      <c r="FL156">
        <v>30</v>
      </c>
      <c r="FM156" s="26">
        <v>1</v>
      </c>
      <c r="FN156" s="29"/>
      <c r="FO156" s="28">
        <v>50</v>
      </c>
      <c r="FP156">
        <v>50</v>
      </c>
      <c r="FQ156" s="26">
        <v>0</v>
      </c>
      <c r="FR156" s="29"/>
      <c r="FS156" s="28">
        <v>50</v>
      </c>
      <c r="FT156">
        <v>51</v>
      </c>
      <c r="FU156" s="26">
        <v>-1</v>
      </c>
      <c r="FV156" s="29"/>
      <c r="FW156">
        <v>19</v>
      </c>
      <c r="FX156" s="26">
        <v>20</v>
      </c>
      <c r="FY156" s="26">
        <v>-1</v>
      </c>
      <c r="FZ156" s="32"/>
      <c r="GA156">
        <v>44</v>
      </c>
      <c r="GB156" s="31">
        <v>40</v>
      </c>
      <c r="GC156" s="26">
        <v>4</v>
      </c>
      <c r="GD156" s="29"/>
      <c r="GG156" s="26">
        <v>0</v>
      </c>
      <c r="GH156" s="32"/>
      <c r="GL156" s="29"/>
      <c r="GP156" s="32"/>
      <c r="GT156" s="29"/>
      <c r="GU156" s="28"/>
      <c r="GX156" s="32"/>
      <c r="HB156" s="32"/>
      <c r="HF156" s="32"/>
      <c r="HH156" s="31"/>
      <c r="HJ156" s="29"/>
      <c r="HK156" s="27"/>
      <c r="HP156" s="32"/>
      <c r="HT156" s="32"/>
      <c r="HX156" s="32"/>
      <c r="HY156" s="34"/>
      <c r="IB156" s="32"/>
    </row>
    <row r="157" spans="1:236" x14ac:dyDescent="0.25">
      <c r="A157" s="26" t="s">
        <v>284</v>
      </c>
      <c r="B157" s="27">
        <v>0.35</v>
      </c>
      <c r="I157" s="30"/>
      <c r="J157" s="36">
        <v>138</v>
      </c>
      <c r="K157" s="36">
        <v>140</v>
      </c>
      <c r="L157" s="35">
        <f t="shared" si="11"/>
        <v>-2</v>
      </c>
      <c r="M157" s="29"/>
      <c r="N157" s="28">
        <v>54</v>
      </c>
      <c r="O157" s="36">
        <v>52</v>
      </c>
      <c r="P157" s="35">
        <f t="shared" si="12"/>
        <v>2</v>
      </c>
      <c r="Q157" s="29"/>
      <c r="R157" s="28">
        <v>84</v>
      </c>
      <c r="S157" s="36">
        <v>83</v>
      </c>
      <c r="T157" s="35">
        <f t="shared" si="13"/>
        <v>1</v>
      </c>
      <c r="U157" s="29"/>
      <c r="V157" s="36">
        <v>60</v>
      </c>
      <c r="W157">
        <v>59</v>
      </c>
      <c r="X157" s="26">
        <v>1</v>
      </c>
      <c r="Y157" s="29"/>
      <c r="Z157" s="28">
        <v>36</v>
      </c>
      <c r="AA157">
        <v>37</v>
      </c>
      <c r="AB157" s="26">
        <v>-1</v>
      </c>
      <c r="AC157" s="29"/>
      <c r="AD157">
        <v>48</v>
      </c>
      <c r="AE157">
        <v>46</v>
      </c>
      <c r="AF157" s="26">
        <v>2</v>
      </c>
      <c r="AG157" s="29"/>
      <c r="AH157" s="30"/>
      <c r="AJ157" s="26">
        <v>0</v>
      </c>
      <c r="AK157" s="29"/>
      <c r="AL157" s="28">
        <v>54</v>
      </c>
      <c r="AM157">
        <v>55</v>
      </c>
      <c r="AN157" s="26">
        <v>-1</v>
      </c>
      <c r="AO157" s="29"/>
      <c r="AQ157">
        <v>9</v>
      </c>
      <c r="AR157" s="25">
        <v>-9</v>
      </c>
      <c r="AS157" s="29">
        <v>3.15</v>
      </c>
      <c r="AT157" s="28">
        <v>24</v>
      </c>
      <c r="AU157">
        <v>24</v>
      </c>
      <c r="AV157">
        <v>18</v>
      </c>
      <c r="AW157">
        <v>27</v>
      </c>
      <c r="AX157" s="26">
        <v>-9</v>
      </c>
      <c r="AY157" s="29"/>
      <c r="AZ157" s="30"/>
      <c r="BB157" s="26">
        <v>0</v>
      </c>
      <c r="BC157" s="29"/>
      <c r="BF157">
        <v>54</v>
      </c>
      <c r="BG157">
        <v>53</v>
      </c>
      <c r="BH157" s="26">
        <v>1</v>
      </c>
      <c r="BI157" s="29"/>
      <c r="BJ157">
        <v>18</v>
      </c>
      <c r="BK157">
        <v>16</v>
      </c>
      <c r="BL157" s="26">
        <v>2</v>
      </c>
      <c r="BM157" s="29"/>
      <c r="BN157" s="30"/>
      <c r="BP157" s="26">
        <v>0</v>
      </c>
      <c r="BQ157" s="29"/>
      <c r="BR157" s="30"/>
      <c r="BT157" s="26">
        <v>0</v>
      </c>
      <c r="BU157" s="29"/>
      <c r="BV157">
        <v>48</v>
      </c>
      <c r="BW157">
        <v>48</v>
      </c>
      <c r="BX157" s="26">
        <v>0</v>
      </c>
      <c r="BY157" s="29"/>
      <c r="BZ157" s="28">
        <v>12</v>
      </c>
      <c r="CB157">
        <v>10</v>
      </c>
      <c r="CC157" s="26">
        <v>2</v>
      </c>
      <c r="CD157" s="29"/>
      <c r="CE157" s="30"/>
      <c r="CI157" s="26">
        <v>0</v>
      </c>
      <c r="CJ157" s="29"/>
      <c r="CK157" s="28">
        <v>72</v>
      </c>
      <c r="CM157">
        <v>70</v>
      </c>
      <c r="CN157" s="26">
        <v>2</v>
      </c>
      <c r="CO157" s="29"/>
      <c r="CR157" s="26">
        <v>0</v>
      </c>
      <c r="CS157" s="29"/>
      <c r="CT157" s="28">
        <v>42</v>
      </c>
      <c r="CU157" s="26">
        <v>45</v>
      </c>
      <c r="CV157" s="26">
        <v>-3</v>
      </c>
      <c r="CW157" s="29"/>
      <c r="CX157" s="30"/>
      <c r="CZ157" s="26">
        <v>0</v>
      </c>
      <c r="DA157" s="29"/>
      <c r="DB157" s="30"/>
      <c r="DD157" s="26">
        <v>0</v>
      </c>
      <c r="DE157" s="29"/>
      <c r="DH157" s="26">
        <v>0</v>
      </c>
      <c r="DI157" s="29"/>
      <c r="DJ157">
        <v>66</v>
      </c>
      <c r="DK157">
        <v>66</v>
      </c>
      <c r="DL157" s="26">
        <v>0</v>
      </c>
      <c r="DM157" s="29"/>
      <c r="DN157" s="30"/>
      <c r="DQ157" s="26">
        <v>0</v>
      </c>
      <c r="DR157" s="29"/>
      <c r="DS157" s="28">
        <v>30</v>
      </c>
      <c r="DU157">
        <v>32</v>
      </c>
      <c r="DV157" s="26">
        <v>-2</v>
      </c>
      <c r="DW157" s="29"/>
      <c r="DX157">
        <v>54</v>
      </c>
      <c r="DY157" s="31">
        <v>53</v>
      </c>
      <c r="DZ157" s="26">
        <v>1</v>
      </c>
      <c r="EA157" s="29"/>
      <c r="EB157" s="30"/>
      <c r="EG157" s="26">
        <v>0</v>
      </c>
      <c r="EH157" s="29"/>
      <c r="EI157">
        <v>54</v>
      </c>
      <c r="EJ157" s="31">
        <v>52</v>
      </c>
      <c r="EK157" s="26">
        <v>2</v>
      </c>
      <c r="EL157" s="29"/>
      <c r="EM157" s="30"/>
      <c r="EO157">
        <v>12</v>
      </c>
      <c r="EP157">
        <v>10</v>
      </c>
      <c r="EQ157" s="26">
        <v>2</v>
      </c>
      <c r="ER157" s="29"/>
      <c r="EU157">
        <v>12</v>
      </c>
      <c r="EV157">
        <v>11</v>
      </c>
      <c r="EW157" s="26">
        <v>1</v>
      </c>
      <c r="EX157" s="29"/>
      <c r="EY157">
        <v>24</v>
      </c>
      <c r="EZ157" s="31">
        <v>24</v>
      </c>
      <c r="FA157" s="26">
        <v>0</v>
      </c>
      <c r="FB157" s="29"/>
      <c r="FC157" s="28">
        <v>24</v>
      </c>
      <c r="FD157">
        <v>26</v>
      </c>
      <c r="FE157" s="26">
        <v>-2</v>
      </c>
      <c r="FF157" s="29"/>
      <c r="FG157" s="30"/>
      <c r="FI157" s="26">
        <v>0</v>
      </c>
      <c r="FJ157" s="29"/>
      <c r="FK157">
        <v>36</v>
      </c>
      <c r="FL157">
        <v>37</v>
      </c>
      <c r="FM157" s="26">
        <v>-1</v>
      </c>
      <c r="FN157" s="29"/>
      <c r="FO157" s="28">
        <v>12</v>
      </c>
      <c r="FP157">
        <v>10</v>
      </c>
      <c r="FQ157" s="26">
        <v>2</v>
      </c>
      <c r="FR157" s="29"/>
      <c r="FS157" s="30"/>
      <c r="FU157" s="26">
        <v>0</v>
      </c>
      <c r="FV157" s="29"/>
      <c r="FW157">
        <v>24</v>
      </c>
      <c r="FX157" s="26">
        <v>24</v>
      </c>
      <c r="FY157" s="26">
        <v>0</v>
      </c>
      <c r="FZ157" s="32"/>
      <c r="GA157">
        <v>12</v>
      </c>
      <c r="GB157" s="31">
        <v>10</v>
      </c>
      <c r="GC157" s="26">
        <v>2</v>
      </c>
      <c r="GD157" s="29"/>
      <c r="GG157" s="26">
        <v>0</v>
      </c>
      <c r="GH157" s="32"/>
      <c r="GL157" s="29"/>
      <c r="GP157" s="32"/>
      <c r="GT157" s="29"/>
      <c r="GU157" s="28"/>
      <c r="GX157" s="32"/>
      <c r="HB157" s="32"/>
      <c r="HF157" s="32"/>
      <c r="HH157" s="31"/>
      <c r="HJ157" s="29"/>
      <c r="HK157" s="27"/>
      <c r="HP157" s="32"/>
      <c r="HT157" s="32"/>
      <c r="HX157" s="32"/>
      <c r="HY157" s="34"/>
      <c r="IB157" s="32"/>
    </row>
    <row r="158" spans="1:236" x14ac:dyDescent="0.25">
      <c r="A158" s="26" t="s">
        <v>285</v>
      </c>
      <c r="B158" s="27">
        <v>0.14000000000000001</v>
      </c>
      <c r="I158" s="30"/>
      <c r="J158" s="36">
        <v>190</v>
      </c>
      <c r="K158" s="36">
        <v>195</v>
      </c>
      <c r="L158" s="35">
        <f t="shared" si="11"/>
        <v>-5</v>
      </c>
      <c r="M158" s="29"/>
      <c r="N158" s="30"/>
      <c r="O158" s="35"/>
      <c r="P158" s="35">
        <f t="shared" si="12"/>
        <v>0</v>
      </c>
      <c r="Q158" s="29"/>
      <c r="R158" s="28">
        <v>130</v>
      </c>
      <c r="S158" s="36">
        <v>131</v>
      </c>
      <c r="T158" s="35">
        <f t="shared" si="13"/>
        <v>-1</v>
      </c>
      <c r="U158" s="29"/>
      <c r="V158" s="35"/>
      <c r="X158" s="26">
        <v>0</v>
      </c>
      <c r="Y158" s="29"/>
      <c r="Z158" s="28">
        <v>70</v>
      </c>
      <c r="AA158">
        <v>70</v>
      </c>
      <c r="AB158" s="26">
        <v>0</v>
      </c>
      <c r="AC158" s="29"/>
      <c r="AD158">
        <v>10</v>
      </c>
      <c r="AE158">
        <v>10</v>
      </c>
      <c r="AF158" s="26">
        <v>0</v>
      </c>
      <c r="AG158" s="29"/>
      <c r="AH158" s="28">
        <v>40</v>
      </c>
      <c r="AI158">
        <v>43</v>
      </c>
      <c r="AJ158" s="26">
        <v>-3</v>
      </c>
      <c r="AK158" s="29"/>
      <c r="AL158" s="30"/>
      <c r="AN158" s="26">
        <v>0</v>
      </c>
      <c r="AO158" s="29"/>
      <c r="AR158" s="26">
        <v>0</v>
      </c>
      <c r="AS158" s="29"/>
      <c r="AT158" s="30"/>
      <c r="AU158">
        <v>24</v>
      </c>
      <c r="AV158">
        <v>30</v>
      </c>
      <c r="AW158">
        <v>32</v>
      </c>
      <c r="AX158" s="25">
        <v>-26</v>
      </c>
      <c r="AY158" s="29">
        <v>25.86</v>
      </c>
      <c r="AZ158" s="30"/>
      <c r="BB158" s="26">
        <v>0</v>
      </c>
      <c r="BC158" s="29"/>
      <c r="BF158">
        <v>50</v>
      </c>
      <c r="BG158">
        <v>48</v>
      </c>
      <c r="BH158" s="26">
        <v>2</v>
      </c>
      <c r="BI158" s="29"/>
      <c r="BL158" s="26">
        <v>0</v>
      </c>
      <c r="BM158" s="29"/>
      <c r="BN158" s="30"/>
      <c r="BP158" s="26">
        <v>0</v>
      </c>
      <c r="BQ158" s="29"/>
      <c r="BR158" s="30">
        <v>30</v>
      </c>
      <c r="BS158" s="26">
        <v>30</v>
      </c>
      <c r="BT158" s="26">
        <v>0</v>
      </c>
      <c r="BU158" s="29"/>
      <c r="BX158" s="26">
        <v>0</v>
      </c>
      <c r="BY158" s="29"/>
      <c r="BZ158" s="30"/>
      <c r="CC158" s="26">
        <v>0</v>
      </c>
      <c r="CD158" s="29"/>
      <c r="CE158" s="30"/>
      <c r="CI158" s="26">
        <v>0</v>
      </c>
      <c r="CJ158" s="29"/>
      <c r="CK158" s="30"/>
      <c r="CO158" s="32"/>
      <c r="CS158" s="29"/>
      <c r="CT158" s="28"/>
      <c r="CW158" s="29"/>
      <c r="CX158" s="30"/>
      <c r="DA158" s="29"/>
      <c r="DB158" s="30"/>
      <c r="DE158" s="29"/>
      <c r="DI158" s="29"/>
      <c r="DM158" s="29"/>
      <c r="DN158" s="30"/>
      <c r="DR158" s="29"/>
      <c r="DS158" s="28"/>
      <c r="DW158" s="29"/>
      <c r="EA158" s="29"/>
      <c r="EB158" s="30"/>
      <c r="EH158" s="29"/>
      <c r="EL158" s="29"/>
      <c r="EM158" s="30"/>
      <c r="ER158" s="29"/>
      <c r="EX158" s="29"/>
      <c r="EZ158" s="31"/>
      <c r="FB158" s="29"/>
      <c r="FC158" s="28"/>
      <c r="FF158" s="29"/>
      <c r="FG158" s="30"/>
      <c r="FJ158" s="29"/>
      <c r="FN158" s="29"/>
      <c r="FO158" s="28"/>
      <c r="FR158" s="29"/>
      <c r="FS158" s="30"/>
      <c r="FV158" s="29"/>
      <c r="FZ158" s="32"/>
      <c r="GB158" s="31"/>
      <c r="GD158" s="29"/>
      <c r="GH158" s="32"/>
      <c r="GL158" s="29"/>
      <c r="GP158" s="32"/>
      <c r="GT158" s="29"/>
      <c r="GU158" s="28"/>
      <c r="GX158" s="32"/>
      <c r="HB158" s="32"/>
      <c r="HF158" s="32"/>
      <c r="HH158" s="31"/>
      <c r="HJ158" s="29"/>
      <c r="HK158" s="27"/>
      <c r="HP158" s="32"/>
      <c r="HT158" s="32"/>
      <c r="HX158" s="32"/>
      <c r="HY158" s="34"/>
      <c r="IB158" s="32"/>
    </row>
    <row r="159" spans="1:236" x14ac:dyDescent="0.25">
      <c r="A159" s="26" t="s">
        <v>286</v>
      </c>
      <c r="B159" s="27">
        <v>0.18</v>
      </c>
      <c r="E159">
        <v>40</v>
      </c>
      <c r="F159">
        <v>67</v>
      </c>
      <c r="I159" s="30"/>
      <c r="J159" s="35"/>
      <c r="K159" s="35"/>
      <c r="L159" s="35">
        <f t="shared" si="11"/>
        <v>0</v>
      </c>
      <c r="M159" s="29"/>
      <c r="N159" s="28">
        <v>220</v>
      </c>
      <c r="O159" s="36">
        <v>224</v>
      </c>
      <c r="P159" s="35">
        <f t="shared" si="12"/>
        <v>-4</v>
      </c>
      <c r="Q159" s="29"/>
      <c r="R159" s="30"/>
      <c r="S159" s="35"/>
      <c r="T159" s="35">
        <f t="shared" si="13"/>
        <v>0</v>
      </c>
      <c r="U159" s="29"/>
      <c r="V159" s="36">
        <v>150</v>
      </c>
      <c r="W159">
        <v>153</v>
      </c>
      <c r="X159" s="26">
        <v>-3</v>
      </c>
      <c r="Y159" s="29"/>
      <c r="Z159" s="30"/>
      <c r="AB159" s="26">
        <v>0</v>
      </c>
      <c r="AC159" s="29"/>
      <c r="AD159">
        <v>100</v>
      </c>
      <c r="AE159">
        <v>100</v>
      </c>
      <c r="AF159" s="26">
        <v>0</v>
      </c>
      <c r="AG159" s="29"/>
      <c r="AH159" s="30"/>
      <c r="AJ159" s="26">
        <v>0</v>
      </c>
      <c r="AK159" s="29"/>
      <c r="AL159" s="28">
        <v>60</v>
      </c>
      <c r="AM159">
        <v>59</v>
      </c>
      <c r="AN159" s="26">
        <v>1</v>
      </c>
      <c r="AO159" s="29"/>
      <c r="AR159" s="26">
        <v>0</v>
      </c>
      <c r="AS159" s="29"/>
      <c r="AT159" s="30"/>
      <c r="AX159" s="26">
        <v>0</v>
      </c>
      <c r="AY159" s="29"/>
      <c r="AZ159" s="28">
        <v>50</v>
      </c>
      <c r="BA159">
        <v>49</v>
      </c>
      <c r="BB159" s="26">
        <v>1</v>
      </c>
      <c r="BC159" s="29"/>
      <c r="BH159" s="26">
        <v>0</v>
      </c>
      <c r="BI159" s="29"/>
      <c r="BL159" s="26">
        <v>0</v>
      </c>
      <c r="BM159" s="29"/>
      <c r="BN159" s="28">
        <v>50</v>
      </c>
      <c r="BO159">
        <v>49</v>
      </c>
      <c r="BP159" s="26">
        <v>1</v>
      </c>
      <c r="BQ159" s="29"/>
      <c r="BR159" s="30"/>
      <c r="BT159" s="26">
        <v>0</v>
      </c>
      <c r="BU159" s="29"/>
      <c r="BX159" s="26">
        <v>0</v>
      </c>
      <c r="BY159" s="29"/>
      <c r="BZ159" s="28">
        <v>30</v>
      </c>
      <c r="CB159">
        <v>35</v>
      </c>
      <c r="CC159" s="26">
        <v>-5</v>
      </c>
      <c r="CD159" s="29"/>
      <c r="CE159" s="30"/>
      <c r="CI159" s="26">
        <v>0</v>
      </c>
      <c r="CJ159" s="29"/>
      <c r="CK159" s="28">
        <v>30</v>
      </c>
      <c r="CM159">
        <v>34</v>
      </c>
      <c r="CN159" s="26">
        <v>-4</v>
      </c>
      <c r="CO159" s="29"/>
      <c r="CR159" s="26">
        <v>0</v>
      </c>
      <c r="CS159" s="29"/>
      <c r="CT159" s="34"/>
      <c r="CV159" s="26">
        <v>0</v>
      </c>
      <c r="CW159" s="29"/>
      <c r="CX159" s="28">
        <v>10</v>
      </c>
      <c r="CY159" s="26">
        <v>6</v>
      </c>
      <c r="CZ159" s="26">
        <v>4</v>
      </c>
      <c r="DA159" s="29"/>
      <c r="DB159" s="28">
        <v>20</v>
      </c>
      <c r="DC159">
        <v>18</v>
      </c>
      <c r="DD159" s="26">
        <v>2</v>
      </c>
      <c r="DE159" s="29"/>
      <c r="DF159">
        <v>10</v>
      </c>
      <c r="DG159" s="31">
        <v>14.2</v>
      </c>
      <c r="DH159" s="26">
        <v>-4.1999999999999993</v>
      </c>
      <c r="DI159" s="29"/>
      <c r="DJ159">
        <v>10</v>
      </c>
      <c r="DK159">
        <v>15</v>
      </c>
      <c r="DL159" s="26">
        <v>-5</v>
      </c>
      <c r="DM159" s="29"/>
      <c r="DN159" s="28">
        <v>10</v>
      </c>
      <c r="DP159">
        <v>14</v>
      </c>
      <c r="DQ159" s="26">
        <v>-4</v>
      </c>
      <c r="DR159" s="29"/>
      <c r="DS159" s="28">
        <v>10</v>
      </c>
      <c r="DU159">
        <v>8</v>
      </c>
      <c r="DV159" s="26">
        <v>2</v>
      </c>
      <c r="DW159" s="29"/>
      <c r="DZ159" s="26">
        <v>0</v>
      </c>
      <c r="EA159" s="29"/>
      <c r="EB159" s="30"/>
      <c r="EG159" s="26">
        <v>0</v>
      </c>
      <c r="EH159" s="29"/>
      <c r="EI159">
        <v>30</v>
      </c>
      <c r="EJ159" s="31">
        <v>35.4</v>
      </c>
      <c r="EK159" s="26">
        <v>-5.3999999999999986</v>
      </c>
      <c r="EL159" s="29"/>
      <c r="EM159" s="30"/>
      <c r="EQ159" s="26">
        <v>0</v>
      </c>
      <c r="ER159" s="29"/>
      <c r="EU159">
        <v>10</v>
      </c>
      <c r="EV159">
        <v>13</v>
      </c>
      <c r="EW159" s="26">
        <v>-3</v>
      </c>
      <c r="EX159" s="29"/>
      <c r="FA159" s="26">
        <v>0</v>
      </c>
      <c r="FB159" s="29"/>
      <c r="FC159" s="28">
        <v>40</v>
      </c>
      <c r="FD159">
        <v>40</v>
      </c>
      <c r="FE159" s="26">
        <v>0</v>
      </c>
      <c r="FF159" s="29"/>
      <c r="FG159" s="30"/>
      <c r="FI159" s="26">
        <v>0</v>
      </c>
      <c r="FJ159" s="29"/>
      <c r="FM159" s="26">
        <v>0</v>
      </c>
      <c r="FN159" s="29"/>
      <c r="FO159" s="30"/>
      <c r="FQ159" s="26">
        <v>0</v>
      </c>
      <c r="FR159" s="29"/>
      <c r="FS159" s="28">
        <v>10</v>
      </c>
      <c r="FT159">
        <v>10</v>
      </c>
      <c r="FU159" s="26">
        <v>0</v>
      </c>
      <c r="FV159" s="29"/>
      <c r="FY159" s="26">
        <v>0</v>
      </c>
      <c r="FZ159" s="32"/>
      <c r="GC159" s="26">
        <v>0</v>
      </c>
      <c r="GD159" s="29"/>
      <c r="GE159">
        <v>20</v>
      </c>
      <c r="GF159" s="26">
        <v>20</v>
      </c>
      <c r="GG159" s="26">
        <v>0</v>
      </c>
      <c r="GH159" s="32"/>
      <c r="GI159">
        <v>20</v>
      </c>
      <c r="GJ159">
        <v>20</v>
      </c>
      <c r="GK159" s="26">
        <v>0</v>
      </c>
      <c r="GL159" s="29"/>
      <c r="GP159" s="33"/>
      <c r="GT159" s="29"/>
      <c r="GU159" s="28"/>
      <c r="GX159" s="32"/>
      <c r="HB159" s="32"/>
      <c r="HF159" s="32"/>
      <c r="HJ159" s="29"/>
      <c r="HK159" s="27"/>
      <c r="HP159" s="32"/>
      <c r="HT159" s="32"/>
      <c r="HX159" s="32"/>
      <c r="HY159" s="34"/>
      <c r="IB159" s="32"/>
    </row>
    <row r="160" spans="1:236" x14ac:dyDescent="0.25">
      <c r="A160" s="26" t="s">
        <v>287</v>
      </c>
      <c r="B160" s="27">
        <v>1</v>
      </c>
      <c r="I160" s="30"/>
      <c r="J160" s="35"/>
      <c r="K160" s="35"/>
      <c r="L160" s="35">
        <f t="shared" si="11"/>
        <v>0</v>
      </c>
      <c r="M160" s="29"/>
      <c r="N160" s="30"/>
      <c r="O160" s="35"/>
      <c r="P160" s="35">
        <f t="shared" si="12"/>
        <v>0</v>
      </c>
      <c r="Q160" s="29"/>
      <c r="R160" s="30"/>
      <c r="S160" s="35"/>
      <c r="T160" s="35">
        <f t="shared" si="13"/>
        <v>0</v>
      </c>
      <c r="U160" s="29"/>
      <c r="V160" s="35"/>
      <c r="X160" s="26">
        <v>0</v>
      </c>
      <c r="Y160" s="29"/>
      <c r="Z160" s="30"/>
      <c r="AB160" s="26">
        <v>0</v>
      </c>
      <c r="AC160" s="29"/>
      <c r="AF160" s="26">
        <v>0</v>
      </c>
      <c r="AG160" s="29"/>
      <c r="AH160" s="30"/>
      <c r="AJ160" s="26">
        <v>0</v>
      </c>
      <c r="AK160" s="29"/>
      <c r="AL160" s="30"/>
      <c r="AN160" s="26">
        <v>0</v>
      </c>
      <c r="AO160" s="29"/>
      <c r="AR160" s="26">
        <v>0</v>
      </c>
      <c r="AS160" s="29"/>
      <c r="AT160" s="30"/>
      <c r="AX160" s="26">
        <v>0</v>
      </c>
      <c r="AY160" s="29"/>
      <c r="AZ160" s="30"/>
      <c r="BB160" s="26">
        <v>0</v>
      </c>
      <c r="BC160" s="29"/>
      <c r="BH160" s="26">
        <v>0</v>
      </c>
      <c r="BI160" s="29"/>
      <c r="BL160" s="26">
        <v>0</v>
      </c>
      <c r="BM160" s="29"/>
      <c r="BN160" s="30"/>
      <c r="BP160" s="26">
        <v>0</v>
      </c>
      <c r="BQ160" s="29"/>
      <c r="BR160" s="30"/>
      <c r="BT160" s="26">
        <v>0</v>
      </c>
      <c r="BU160" s="29"/>
      <c r="BW160">
        <v>8</v>
      </c>
      <c r="BX160" s="25">
        <v>-8</v>
      </c>
      <c r="BY160" s="29">
        <v>8</v>
      </c>
      <c r="BZ160" s="30"/>
      <c r="CC160" s="26">
        <v>0</v>
      </c>
      <c r="CD160" s="29"/>
      <c r="CE160" s="30"/>
      <c r="CH160">
        <v>33</v>
      </c>
      <c r="CI160" s="25">
        <v>-33</v>
      </c>
      <c r="CJ160" s="29">
        <v>33</v>
      </c>
      <c r="CK160" s="30"/>
      <c r="CN160" s="26">
        <v>0</v>
      </c>
      <c r="CO160" s="29"/>
      <c r="CR160" s="26">
        <v>0</v>
      </c>
      <c r="CS160" s="29"/>
      <c r="CT160" s="28">
        <v>24</v>
      </c>
      <c r="CU160" s="26">
        <v>24.22</v>
      </c>
      <c r="CV160" s="26">
        <v>-0.21999999999999889</v>
      </c>
      <c r="CW160" s="29"/>
      <c r="CX160" s="30"/>
      <c r="CY160" s="26">
        <v>50.449800000000003</v>
      </c>
      <c r="CZ160" s="25">
        <v>-50.449800000000003</v>
      </c>
      <c r="DA160" s="29">
        <v>50.449800000000003</v>
      </c>
      <c r="DB160" s="30"/>
      <c r="DD160" s="26">
        <v>0</v>
      </c>
      <c r="DE160" s="29"/>
      <c r="DF160">
        <v>41</v>
      </c>
      <c r="DG160" s="31">
        <v>39.878</v>
      </c>
      <c r="DH160" s="26">
        <v>1.1220000000000001</v>
      </c>
      <c r="DI160" s="29"/>
      <c r="DK160">
        <v>4</v>
      </c>
      <c r="DL160" s="25">
        <v>-4</v>
      </c>
      <c r="DM160" s="29">
        <v>4</v>
      </c>
      <c r="DN160" s="30"/>
      <c r="DQ160" s="26">
        <v>0</v>
      </c>
      <c r="DR160" s="29"/>
      <c r="DS160" s="30"/>
      <c r="DV160" s="26">
        <v>0</v>
      </c>
      <c r="DW160" s="29"/>
      <c r="DX160">
        <v>32</v>
      </c>
      <c r="DY160" s="31">
        <v>31.859200000000001</v>
      </c>
      <c r="DZ160" s="26">
        <v>0.1407999999999987</v>
      </c>
      <c r="EA160" s="29"/>
      <c r="EB160" s="30"/>
      <c r="EG160" s="26">
        <v>0</v>
      </c>
      <c r="EH160" s="29"/>
      <c r="EI160">
        <v>20</v>
      </c>
      <c r="EJ160" s="31">
        <v>21.08919999999998</v>
      </c>
      <c r="EK160" s="26">
        <v>-1.08919999999998</v>
      </c>
      <c r="EL160" s="29"/>
      <c r="EM160" s="30"/>
      <c r="EO160">
        <v>16</v>
      </c>
      <c r="EP160">
        <v>14</v>
      </c>
      <c r="EQ160" s="26">
        <v>2</v>
      </c>
      <c r="ER160" s="29"/>
      <c r="ES160">
        <v>33</v>
      </c>
      <c r="ET160">
        <v>30</v>
      </c>
      <c r="EU160">
        <v>32</v>
      </c>
      <c r="EV160">
        <v>30</v>
      </c>
      <c r="EW160" s="26">
        <v>5</v>
      </c>
      <c r="EX160" s="29"/>
      <c r="FA160" s="26">
        <v>0</v>
      </c>
      <c r="FB160" s="29"/>
      <c r="FC160" s="30"/>
      <c r="FE160" s="26">
        <v>0</v>
      </c>
      <c r="FF160" s="29"/>
      <c r="FG160" s="28">
        <v>49</v>
      </c>
      <c r="FH160" s="26">
        <v>50</v>
      </c>
      <c r="FI160" s="26">
        <v>-1</v>
      </c>
      <c r="FJ160" s="29"/>
      <c r="FM160" s="26">
        <v>0</v>
      </c>
      <c r="FN160" s="29"/>
      <c r="FO160" s="30"/>
      <c r="FQ160" s="26">
        <v>0</v>
      </c>
      <c r="FR160" s="29"/>
      <c r="FS160" s="30"/>
      <c r="FV160" s="29"/>
      <c r="FZ160" s="32"/>
      <c r="GD160" s="29"/>
      <c r="GH160" s="32"/>
      <c r="GL160" s="29"/>
      <c r="GP160" s="33"/>
      <c r="GT160" s="29"/>
      <c r="GU160" s="28"/>
      <c r="GX160" s="32"/>
      <c r="GY160" s="31"/>
      <c r="HB160" s="32"/>
      <c r="HF160" s="32"/>
      <c r="HJ160" s="29"/>
      <c r="HK160" s="27"/>
      <c r="HP160" s="32"/>
      <c r="HT160" s="32"/>
      <c r="HX160" s="32"/>
      <c r="HY160" s="34"/>
      <c r="IB160" s="32"/>
    </row>
    <row r="161" spans="1:236" x14ac:dyDescent="0.25">
      <c r="A161" s="26" t="s">
        <v>288</v>
      </c>
      <c r="B161" s="27">
        <v>0.4</v>
      </c>
      <c r="I161" s="30"/>
      <c r="J161" s="35"/>
      <c r="K161" s="36">
        <v>16</v>
      </c>
      <c r="L161" s="40">
        <f t="shared" si="11"/>
        <v>-16</v>
      </c>
      <c r="M161" s="29">
        <f>-1*L161*B161</f>
        <v>6.4</v>
      </c>
      <c r="N161" s="30"/>
      <c r="O161" s="36">
        <v>32</v>
      </c>
      <c r="P161" s="40">
        <f t="shared" si="12"/>
        <v>-32</v>
      </c>
      <c r="Q161" s="29">
        <f>-1*P161*B161</f>
        <v>12.8</v>
      </c>
      <c r="R161" s="30"/>
      <c r="S161" s="36">
        <v>8</v>
      </c>
      <c r="T161" s="40">
        <f t="shared" si="13"/>
        <v>-8</v>
      </c>
      <c r="U161" s="29">
        <f>-1*T161*B161</f>
        <v>3.2</v>
      </c>
      <c r="V161" s="35"/>
      <c r="W161">
        <v>35</v>
      </c>
      <c r="X161" s="25">
        <v>-35</v>
      </c>
      <c r="Y161" s="29">
        <v>14</v>
      </c>
      <c r="Z161" s="30"/>
      <c r="AA161">
        <v>38</v>
      </c>
      <c r="AB161" s="25">
        <v>-38</v>
      </c>
      <c r="AC161" s="29">
        <v>15.2</v>
      </c>
      <c r="AD161">
        <v>16</v>
      </c>
      <c r="AE161">
        <v>15</v>
      </c>
      <c r="AF161" s="26">
        <v>1</v>
      </c>
      <c r="AG161" s="29"/>
      <c r="AH161" s="30"/>
      <c r="AJ161" s="26">
        <v>0</v>
      </c>
      <c r="AK161" s="29"/>
      <c r="AL161" s="28">
        <v>32</v>
      </c>
      <c r="AM161">
        <v>30</v>
      </c>
      <c r="AN161" s="26">
        <v>2</v>
      </c>
      <c r="AO161" s="29"/>
      <c r="AR161" s="26">
        <v>0</v>
      </c>
      <c r="AS161" s="29"/>
      <c r="AT161" s="30"/>
      <c r="AV161">
        <v>8</v>
      </c>
      <c r="AW161">
        <v>8</v>
      </c>
      <c r="AX161" s="26">
        <v>0</v>
      </c>
      <c r="AY161" s="29"/>
      <c r="AZ161" s="28">
        <v>16</v>
      </c>
      <c r="BA161">
        <v>18</v>
      </c>
      <c r="BB161" s="26">
        <v>-2</v>
      </c>
      <c r="BC161" s="29"/>
      <c r="BH161" s="26">
        <v>0</v>
      </c>
      <c r="BI161" s="29"/>
      <c r="BJ161">
        <v>8</v>
      </c>
      <c r="BK161">
        <v>9</v>
      </c>
      <c r="BL161" s="26">
        <v>-1</v>
      </c>
      <c r="BM161" s="29"/>
      <c r="BN161" s="30"/>
      <c r="BP161" s="26">
        <v>0</v>
      </c>
      <c r="BQ161" s="29"/>
      <c r="BR161" s="28">
        <v>8</v>
      </c>
      <c r="BS161">
        <v>8</v>
      </c>
      <c r="BT161" s="26">
        <v>0</v>
      </c>
      <c r="BU161" s="29"/>
      <c r="BX161" s="26">
        <v>0</v>
      </c>
      <c r="BY161" s="29"/>
      <c r="BZ161" s="30"/>
      <c r="CC161" s="26">
        <v>0</v>
      </c>
      <c r="CD161" s="29"/>
      <c r="CE161" s="30"/>
      <c r="CG161">
        <v>8</v>
      </c>
      <c r="CH161">
        <v>12</v>
      </c>
      <c r="CI161" s="26">
        <v>-4</v>
      </c>
      <c r="CJ161" s="29"/>
      <c r="CK161" s="28">
        <v>8</v>
      </c>
      <c r="CM161">
        <v>8</v>
      </c>
      <c r="CN161" s="26">
        <v>0</v>
      </c>
      <c r="CO161" s="29"/>
      <c r="CP161">
        <v>8</v>
      </c>
      <c r="CQ161" s="26">
        <v>10.8</v>
      </c>
      <c r="CR161" s="26">
        <v>-2.8000000000000012</v>
      </c>
      <c r="CS161" s="29"/>
      <c r="CT161" s="34"/>
      <c r="CV161" s="26">
        <v>0</v>
      </c>
      <c r="CW161" s="29"/>
      <c r="CX161" s="28">
        <v>8</v>
      </c>
      <c r="CY161" s="26">
        <v>7.4</v>
      </c>
      <c r="CZ161" s="26">
        <v>0.59999999999999964</v>
      </c>
      <c r="DA161" s="29"/>
      <c r="DB161" s="30"/>
      <c r="DD161" s="26">
        <v>0</v>
      </c>
      <c r="DE161" s="29"/>
      <c r="DH161" s="26">
        <v>0</v>
      </c>
      <c r="DI161" s="29"/>
      <c r="DJ161">
        <v>8</v>
      </c>
      <c r="DK161">
        <v>8</v>
      </c>
      <c r="DL161" s="26">
        <v>0</v>
      </c>
      <c r="DM161" s="29"/>
      <c r="DN161" s="30"/>
      <c r="DQ161" s="26">
        <v>0</v>
      </c>
      <c r="DR161" s="29"/>
      <c r="DS161" s="28">
        <v>8</v>
      </c>
      <c r="DU161">
        <v>12</v>
      </c>
      <c r="DV161" s="26">
        <v>-4</v>
      </c>
      <c r="DW161" s="29"/>
      <c r="DZ161" s="26">
        <v>0</v>
      </c>
      <c r="EA161" s="29"/>
      <c r="EB161" s="30"/>
      <c r="EE161">
        <v>8</v>
      </c>
      <c r="EF161">
        <v>6</v>
      </c>
      <c r="EG161" s="26">
        <v>2</v>
      </c>
      <c r="EH161" s="29"/>
      <c r="EK161" s="26">
        <v>0</v>
      </c>
      <c r="EL161" s="29"/>
      <c r="EM161" s="30"/>
      <c r="EQ161" s="26">
        <v>0</v>
      </c>
      <c r="ER161" s="29"/>
      <c r="EW161" s="26">
        <v>0</v>
      </c>
      <c r="EX161" s="29"/>
      <c r="FA161" s="26">
        <v>0</v>
      </c>
      <c r="FB161" s="29"/>
      <c r="FC161" s="30"/>
      <c r="FE161" s="26">
        <v>0</v>
      </c>
      <c r="FF161" s="29"/>
      <c r="FG161" s="28">
        <v>16</v>
      </c>
      <c r="FH161">
        <v>16</v>
      </c>
      <c r="FI161" s="26">
        <v>0</v>
      </c>
      <c r="FJ161" s="29"/>
      <c r="FK161">
        <v>32</v>
      </c>
      <c r="FL161" s="26">
        <v>32</v>
      </c>
      <c r="FM161" s="26">
        <v>0</v>
      </c>
      <c r="FN161" s="29"/>
      <c r="FO161" s="30"/>
      <c r="FQ161" s="26">
        <v>0</v>
      </c>
      <c r="FR161" s="29"/>
      <c r="FS161" s="30"/>
      <c r="FV161" s="29"/>
      <c r="FZ161" s="32"/>
      <c r="GD161" s="29"/>
      <c r="GH161" s="32"/>
      <c r="GL161" s="29"/>
      <c r="GP161" s="33"/>
      <c r="GT161" s="29"/>
      <c r="GU161" s="28"/>
      <c r="GX161" s="32"/>
      <c r="HB161" s="32"/>
      <c r="HF161" s="32"/>
      <c r="HJ161" s="29"/>
      <c r="HK161" s="27"/>
      <c r="HP161" s="32"/>
      <c r="HT161" s="32"/>
      <c r="HX161" s="32"/>
      <c r="HY161" s="34"/>
      <c r="IB161" s="32"/>
    </row>
    <row r="162" spans="1:236" x14ac:dyDescent="0.25">
      <c r="A162" s="26" t="s">
        <v>289</v>
      </c>
      <c r="B162" s="27">
        <v>1</v>
      </c>
      <c r="I162" s="30"/>
      <c r="J162" s="35"/>
      <c r="K162" s="35"/>
      <c r="L162" s="35">
        <f t="shared" si="11"/>
        <v>0</v>
      </c>
      <c r="M162" s="29"/>
      <c r="N162" s="30"/>
      <c r="O162" s="35"/>
      <c r="P162" s="35">
        <f t="shared" si="12"/>
        <v>0</v>
      </c>
      <c r="Q162" s="29"/>
      <c r="R162" s="30"/>
      <c r="S162" s="35"/>
      <c r="T162" s="35">
        <f t="shared" si="13"/>
        <v>0</v>
      </c>
      <c r="U162" s="29"/>
      <c r="V162" s="35"/>
      <c r="X162" s="26">
        <v>0</v>
      </c>
      <c r="Y162" s="29"/>
      <c r="Z162" s="30"/>
      <c r="AB162" s="26">
        <v>0</v>
      </c>
      <c r="AC162" s="29"/>
      <c r="AF162" s="26">
        <v>0</v>
      </c>
      <c r="AG162" s="29"/>
      <c r="AH162" s="30"/>
      <c r="AJ162" s="26">
        <v>0</v>
      </c>
      <c r="AK162" s="29"/>
      <c r="AL162" s="30"/>
      <c r="AN162" s="26">
        <v>0</v>
      </c>
      <c r="AO162" s="29"/>
      <c r="AR162" s="26">
        <v>0</v>
      </c>
      <c r="AS162" s="29"/>
      <c r="AT162" s="30"/>
      <c r="AX162" s="26">
        <v>0</v>
      </c>
      <c r="AY162" s="29"/>
      <c r="AZ162" s="30"/>
      <c r="BB162" s="26">
        <v>0</v>
      </c>
      <c r="BC162" s="29"/>
      <c r="BH162" s="26">
        <v>0</v>
      </c>
      <c r="BI162" s="29"/>
      <c r="BL162" s="26">
        <v>0</v>
      </c>
      <c r="BM162" s="29"/>
      <c r="BN162" s="30"/>
      <c r="BP162" s="26">
        <v>0</v>
      </c>
      <c r="BQ162" s="29"/>
      <c r="BR162" s="30"/>
      <c r="BT162" s="26">
        <v>0</v>
      </c>
      <c r="BU162" s="29"/>
      <c r="BX162" s="26">
        <v>0</v>
      </c>
      <c r="BY162" s="29"/>
      <c r="BZ162" s="30"/>
      <c r="CC162" s="26">
        <v>0</v>
      </c>
      <c r="CD162" s="29"/>
      <c r="CE162" s="30"/>
      <c r="CI162" s="26">
        <v>0</v>
      </c>
      <c r="CJ162" s="29"/>
      <c r="CK162" s="30"/>
      <c r="CN162" s="26">
        <v>0</v>
      </c>
      <c r="CO162" s="29"/>
      <c r="CR162" s="26">
        <v>0</v>
      </c>
      <c r="CS162" s="29"/>
      <c r="CT162" s="34"/>
      <c r="CV162" s="26">
        <v>0</v>
      </c>
      <c r="CW162" s="29"/>
      <c r="CX162" s="30"/>
      <c r="CZ162" s="26">
        <v>0</v>
      </c>
      <c r="DA162" s="29"/>
      <c r="DB162" s="30"/>
      <c r="DD162" s="26">
        <v>0</v>
      </c>
      <c r="DE162" s="29"/>
      <c r="DH162" s="26">
        <v>0</v>
      </c>
      <c r="DI162" s="29"/>
      <c r="DL162" s="26">
        <v>0</v>
      </c>
      <c r="DM162" s="29"/>
      <c r="DN162" s="30"/>
      <c r="DQ162" s="26">
        <v>0</v>
      </c>
      <c r="DR162" s="29"/>
      <c r="DS162" s="30"/>
      <c r="DV162" s="26">
        <v>0</v>
      </c>
      <c r="DW162" s="29"/>
      <c r="DZ162" s="26">
        <v>0</v>
      </c>
      <c r="EA162" s="29"/>
      <c r="EB162" s="30"/>
      <c r="EG162" s="26">
        <v>0</v>
      </c>
      <c r="EH162" s="29"/>
      <c r="EK162" s="26">
        <v>0</v>
      </c>
      <c r="EL162" s="29"/>
      <c r="EM162" s="30"/>
      <c r="EQ162" s="26">
        <v>0</v>
      </c>
      <c r="ER162" s="29"/>
      <c r="EW162" s="26">
        <v>0</v>
      </c>
      <c r="EX162" s="29"/>
      <c r="FA162" s="26">
        <v>0</v>
      </c>
      <c r="FB162" s="29"/>
      <c r="FC162" s="28">
        <v>5</v>
      </c>
      <c r="FD162">
        <v>4</v>
      </c>
      <c r="FE162" s="26">
        <v>1</v>
      </c>
      <c r="FF162" s="29"/>
      <c r="FG162" s="28">
        <v>10</v>
      </c>
      <c r="FH162">
        <v>8</v>
      </c>
      <c r="FI162" s="26">
        <v>2</v>
      </c>
      <c r="FJ162" s="29"/>
      <c r="FM162" s="26">
        <v>0</v>
      </c>
      <c r="FN162" s="29"/>
      <c r="FO162" s="30"/>
      <c r="FQ162" s="26">
        <v>0</v>
      </c>
      <c r="FR162" s="29"/>
      <c r="FS162" s="30"/>
      <c r="FV162" s="29"/>
      <c r="FZ162" s="32"/>
      <c r="GD162" s="29"/>
      <c r="GH162" s="32"/>
      <c r="GI162" s="27"/>
      <c r="GL162" s="29"/>
      <c r="GP162" s="33"/>
      <c r="GT162" s="29"/>
      <c r="GU162" s="28"/>
      <c r="GX162" s="32"/>
      <c r="GY162" s="31"/>
      <c r="HB162" s="32"/>
      <c r="HF162" s="32"/>
      <c r="HJ162" s="29"/>
      <c r="HK162" s="27"/>
      <c r="HP162" s="32"/>
      <c r="HT162" s="32"/>
      <c r="HX162" s="32"/>
      <c r="HY162" s="34"/>
      <c r="IB162" s="32"/>
    </row>
    <row r="163" spans="1:236" x14ac:dyDescent="0.25">
      <c r="A163" s="26" t="s">
        <v>290</v>
      </c>
      <c r="B163" s="27">
        <v>0.84</v>
      </c>
      <c r="I163" s="30"/>
      <c r="J163" s="35"/>
      <c r="K163" s="35"/>
      <c r="L163" s="35">
        <f t="shared" si="11"/>
        <v>0</v>
      </c>
      <c r="M163" s="29"/>
      <c r="N163" s="30"/>
      <c r="O163" s="35"/>
      <c r="P163" s="35">
        <f t="shared" si="12"/>
        <v>0</v>
      </c>
      <c r="Q163" s="29"/>
      <c r="R163" s="30"/>
      <c r="S163" s="35"/>
      <c r="T163" s="35">
        <f t="shared" si="13"/>
        <v>0</v>
      </c>
      <c r="U163" s="29"/>
      <c r="V163" s="35"/>
      <c r="X163" s="26">
        <v>0</v>
      </c>
      <c r="Y163" s="29"/>
      <c r="Z163" s="30"/>
      <c r="AB163" s="26">
        <v>0</v>
      </c>
      <c r="AC163" s="29"/>
      <c r="AF163" s="26">
        <v>0</v>
      </c>
      <c r="AG163" s="29"/>
      <c r="AH163" s="30"/>
      <c r="AJ163" s="26">
        <v>0</v>
      </c>
      <c r="AK163" s="29"/>
      <c r="AL163" s="30"/>
      <c r="AN163" s="26">
        <v>0</v>
      </c>
      <c r="AO163" s="29"/>
      <c r="AR163" s="26">
        <v>0</v>
      </c>
      <c r="AS163" s="29"/>
      <c r="AT163" s="30"/>
      <c r="AX163" s="26">
        <v>0</v>
      </c>
      <c r="AY163" s="29"/>
      <c r="AZ163" s="30"/>
      <c r="BB163" s="26">
        <v>0</v>
      </c>
      <c r="BC163" s="29"/>
      <c r="BH163" s="26">
        <v>0</v>
      </c>
      <c r="BI163" s="29"/>
      <c r="BL163" s="26">
        <v>0</v>
      </c>
      <c r="BM163" s="29"/>
      <c r="BN163" s="30"/>
      <c r="BP163" s="26">
        <v>0</v>
      </c>
      <c r="BQ163" s="29"/>
      <c r="BR163" s="30"/>
      <c r="BT163" s="26">
        <v>0</v>
      </c>
      <c r="BU163" s="29"/>
      <c r="BX163" s="26">
        <v>0</v>
      </c>
      <c r="BY163" s="29"/>
      <c r="BZ163" s="30"/>
      <c r="CC163" s="26">
        <v>0</v>
      </c>
      <c r="CD163" s="29"/>
      <c r="CE163" s="30"/>
      <c r="CI163" s="26">
        <v>0</v>
      </c>
      <c r="CJ163" s="29"/>
      <c r="CK163" s="30"/>
      <c r="CN163" s="26">
        <v>0</v>
      </c>
      <c r="CO163" s="29"/>
      <c r="CR163" s="26">
        <v>0</v>
      </c>
      <c r="CS163" s="29"/>
      <c r="CT163" s="34"/>
      <c r="CV163" s="26">
        <v>0</v>
      </c>
      <c r="CW163" s="29"/>
      <c r="CX163" s="30"/>
      <c r="CZ163" s="26">
        <v>0</v>
      </c>
      <c r="DA163" s="29"/>
      <c r="DB163" s="30"/>
      <c r="DD163" s="26">
        <v>0</v>
      </c>
      <c r="DE163" s="29"/>
      <c r="DH163" s="26">
        <v>0</v>
      </c>
      <c r="DI163" s="29"/>
      <c r="DL163" s="26">
        <v>0</v>
      </c>
      <c r="DM163" s="29"/>
      <c r="DN163" s="30"/>
      <c r="DQ163" s="26">
        <v>0</v>
      </c>
      <c r="DR163" s="29"/>
      <c r="DS163" s="30"/>
      <c r="DV163" s="26">
        <v>0</v>
      </c>
      <c r="DW163" s="29"/>
      <c r="DZ163" s="26">
        <v>0</v>
      </c>
      <c r="EA163" s="29"/>
      <c r="EB163" s="30"/>
      <c r="EG163" s="26">
        <v>0</v>
      </c>
      <c r="EH163" s="29"/>
      <c r="EK163" s="26">
        <v>0</v>
      </c>
      <c r="EL163" s="29"/>
      <c r="EM163" s="30"/>
      <c r="EP163">
        <v>6</v>
      </c>
      <c r="EQ163" s="25">
        <v>-6</v>
      </c>
      <c r="ER163" s="29">
        <v>5.04</v>
      </c>
      <c r="EV163">
        <v>6</v>
      </c>
      <c r="EW163" s="25">
        <v>-6</v>
      </c>
      <c r="EX163" s="29">
        <v>5.04</v>
      </c>
      <c r="EZ163" s="31">
        <v>6</v>
      </c>
      <c r="FA163" s="25">
        <v>-6</v>
      </c>
      <c r="FB163" s="29">
        <v>5.04</v>
      </c>
      <c r="FC163" s="30"/>
      <c r="FE163" s="26">
        <v>0</v>
      </c>
      <c r="FF163" s="29"/>
      <c r="FG163" s="30"/>
      <c r="FI163" s="26">
        <v>0</v>
      </c>
      <c r="FJ163" s="29"/>
      <c r="FN163" s="29"/>
      <c r="FO163" s="30"/>
      <c r="FR163" s="29"/>
      <c r="FS163" s="30"/>
      <c r="FV163" s="29"/>
      <c r="FZ163" s="32"/>
      <c r="GD163" s="29"/>
      <c r="GH163" s="32"/>
      <c r="GI163" s="27"/>
      <c r="GL163" s="29"/>
      <c r="GP163" s="33"/>
      <c r="GT163" s="29"/>
      <c r="GU163" s="28"/>
      <c r="GX163" s="32"/>
      <c r="GY163" s="31"/>
      <c r="HB163" s="32"/>
      <c r="HF163" s="32"/>
      <c r="HJ163" s="29"/>
      <c r="HK163" s="27"/>
      <c r="HP163" s="32"/>
      <c r="HT163" s="32"/>
      <c r="HX163" s="32"/>
      <c r="HY163" s="34"/>
      <c r="IB163" s="32"/>
    </row>
    <row r="164" spans="1:236" x14ac:dyDescent="0.25">
      <c r="A164" s="26" t="s">
        <v>291</v>
      </c>
      <c r="B164" s="27">
        <v>0.84</v>
      </c>
      <c r="I164" s="30"/>
      <c r="J164" s="35"/>
      <c r="K164" s="35"/>
      <c r="L164" s="35">
        <f t="shared" si="11"/>
        <v>0</v>
      </c>
      <c r="M164" s="29"/>
      <c r="N164" s="30"/>
      <c r="O164" s="35"/>
      <c r="P164" s="35">
        <f t="shared" si="12"/>
        <v>0</v>
      </c>
      <c r="Q164" s="29"/>
      <c r="R164" s="30"/>
      <c r="S164" s="35"/>
      <c r="T164" s="35">
        <f t="shared" si="13"/>
        <v>0</v>
      </c>
      <c r="U164" s="29"/>
      <c r="V164" s="35"/>
      <c r="X164" s="26">
        <v>0</v>
      </c>
      <c r="Y164" s="29"/>
      <c r="Z164" s="30"/>
      <c r="AB164" s="26">
        <v>0</v>
      </c>
      <c r="AC164" s="29"/>
      <c r="AF164" s="26">
        <v>0</v>
      </c>
      <c r="AG164" s="29"/>
      <c r="AH164" s="30"/>
      <c r="AJ164" s="26">
        <v>0</v>
      </c>
      <c r="AK164" s="29"/>
      <c r="AL164" s="30"/>
      <c r="AN164" s="26">
        <v>0</v>
      </c>
      <c r="AO164" s="29"/>
      <c r="AR164" s="26">
        <v>0</v>
      </c>
      <c r="AS164" s="29"/>
      <c r="AT164" s="30"/>
      <c r="AX164" s="26">
        <v>0</v>
      </c>
      <c r="AY164" s="29"/>
      <c r="AZ164" s="30"/>
      <c r="BB164" s="26">
        <v>0</v>
      </c>
      <c r="BC164" s="29"/>
      <c r="BH164" s="26">
        <v>0</v>
      </c>
      <c r="BI164" s="29"/>
      <c r="BL164" s="26">
        <v>0</v>
      </c>
      <c r="BM164" s="29"/>
      <c r="BN164" s="30"/>
      <c r="BP164" s="26">
        <v>0</v>
      </c>
      <c r="BQ164" s="29"/>
      <c r="BR164" s="30"/>
      <c r="BT164" s="26">
        <v>0</v>
      </c>
      <c r="BU164" s="29"/>
      <c r="BX164" s="26">
        <v>0</v>
      </c>
      <c r="BY164" s="29"/>
      <c r="BZ164" s="30"/>
      <c r="CC164" s="26">
        <v>0</v>
      </c>
      <c r="CD164" s="29"/>
      <c r="CE164" s="30"/>
      <c r="CI164" s="26">
        <v>0</v>
      </c>
      <c r="CJ164" s="29"/>
      <c r="CK164" s="30"/>
      <c r="CN164" s="26">
        <v>0</v>
      </c>
      <c r="CO164" s="29"/>
      <c r="CR164" s="26">
        <v>0</v>
      </c>
      <c r="CS164" s="29"/>
      <c r="CT164" s="34"/>
      <c r="CV164" s="26">
        <v>0</v>
      </c>
      <c r="CW164" s="29"/>
      <c r="CX164" s="30"/>
      <c r="CZ164" s="26">
        <v>0</v>
      </c>
      <c r="DA164" s="29"/>
      <c r="DB164" s="30"/>
      <c r="DD164" s="26">
        <v>0</v>
      </c>
      <c r="DE164" s="29"/>
      <c r="DH164" s="26">
        <v>0</v>
      </c>
      <c r="DI164" s="29"/>
      <c r="DL164" s="26">
        <v>0</v>
      </c>
      <c r="DM164" s="29"/>
      <c r="DN164" s="30"/>
      <c r="DQ164" s="26">
        <v>0</v>
      </c>
      <c r="DR164" s="29"/>
      <c r="DS164" s="30"/>
      <c r="DV164" s="26">
        <v>0</v>
      </c>
      <c r="DW164" s="29"/>
      <c r="DZ164" s="26">
        <v>0</v>
      </c>
      <c r="EA164" s="29"/>
      <c r="EB164" s="30"/>
      <c r="EG164" s="26">
        <v>0</v>
      </c>
      <c r="EH164" s="29"/>
      <c r="EK164" s="26">
        <v>0</v>
      </c>
      <c r="EL164" s="29"/>
      <c r="EM164" s="30"/>
      <c r="EQ164" s="26">
        <v>0</v>
      </c>
      <c r="ER164" s="29"/>
      <c r="EW164" s="26">
        <v>0</v>
      </c>
      <c r="EX164" s="29"/>
      <c r="FA164" s="26">
        <v>0</v>
      </c>
      <c r="FB164" s="29"/>
      <c r="FC164" s="30"/>
      <c r="FE164" s="26">
        <v>0</v>
      </c>
      <c r="FF164" s="29"/>
      <c r="FG164" s="30"/>
      <c r="FI164" s="26">
        <v>0</v>
      </c>
      <c r="FJ164" s="29"/>
      <c r="FK164" s="26">
        <v>12</v>
      </c>
      <c r="FL164" s="26">
        <v>15</v>
      </c>
      <c r="FM164" s="26">
        <v>-3</v>
      </c>
      <c r="FN164" s="29"/>
      <c r="FO164" s="30"/>
      <c r="FQ164" s="26">
        <v>0</v>
      </c>
      <c r="FR164" s="29"/>
      <c r="FS164" s="30"/>
      <c r="FV164" s="29"/>
      <c r="FZ164" s="32"/>
      <c r="GD164" s="29"/>
      <c r="GH164" s="32"/>
      <c r="GL164" s="29"/>
      <c r="GP164" s="33"/>
      <c r="GT164" s="29"/>
      <c r="GU164" s="28"/>
      <c r="GX164" s="32"/>
      <c r="HB164" s="32"/>
      <c r="HF164" s="32"/>
      <c r="HJ164" s="29"/>
      <c r="HK164" s="27"/>
      <c r="HP164" s="32"/>
      <c r="HT164" s="32"/>
      <c r="HX164" s="32"/>
      <c r="HY164" s="34"/>
      <c r="IB164" s="32"/>
    </row>
    <row r="165" spans="1:236" x14ac:dyDescent="0.25">
      <c r="A165" s="26" t="s">
        <v>292</v>
      </c>
      <c r="B165" s="27">
        <v>0.35</v>
      </c>
      <c r="E165">
        <v>60</v>
      </c>
      <c r="F165">
        <v>142</v>
      </c>
      <c r="I165" s="30"/>
      <c r="J165" s="36">
        <v>264</v>
      </c>
      <c r="K165" s="36">
        <v>265</v>
      </c>
      <c r="L165" s="35">
        <f t="shared" si="11"/>
        <v>-1</v>
      </c>
      <c r="M165" s="29"/>
      <c r="N165" s="30"/>
      <c r="O165" s="35"/>
      <c r="P165" s="35">
        <f t="shared" si="12"/>
        <v>0</v>
      </c>
      <c r="Q165" s="29"/>
      <c r="R165" s="28">
        <v>168</v>
      </c>
      <c r="S165" s="36">
        <v>172</v>
      </c>
      <c r="T165" s="35">
        <f t="shared" si="13"/>
        <v>-4</v>
      </c>
      <c r="U165" s="29"/>
      <c r="V165" s="36">
        <v>208</v>
      </c>
      <c r="W165">
        <v>212</v>
      </c>
      <c r="X165" s="26">
        <v>-4</v>
      </c>
      <c r="Y165" s="29"/>
      <c r="Z165" s="28">
        <v>16</v>
      </c>
      <c r="AA165">
        <v>20</v>
      </c>
      <c r="AB165" s="26">
        <v>-4</v>
      </c>
      <c r="AC165" s="29"/>
      <c r="AD165">
        <v>216</v>
      </c>
      <c r="AE165">
        <v>220</v>
      </c>
      <c r="AF165" s="26">
        <v>-4</v>
      </c>
      <c r="AG165" s="29"/>
      <c r="AH165" s="28">
        <v>8</v>
      </c>
      <c r="AI165">
        <v>11</v>
      </c>
      <c r="AJ165" s="26">
        <v>-3</v>
      </c>
      <c r="AK165" s="29"/>
      <c r="AL165" s="28">
        <v>200</v>
      </c>
      <c r="AM165">
        <v>200</v>
      </c>
      <c r="AN165" s="26">
        <v>0</v>
      </c>
      <c r="AO165" s="29"/>
      <c r="AR165" s="26">
        <v>0</v>
      </c>
      <c r="AS165" s="29"/>
      <c r="AT165" s="28">
        <v>56</v>
      </c>
      <c r="AU165">
        <v>60</v>
      </c>
      <c r="AV165">
        <v>56</v>
      </c>
      <c r="AW165">
        <v>68</v>
      </c>
      <c r="AX165" s="25">
        <v>-16</v>
      </c>
      <c r="AY165" s="29">
        <v>15.65</v>
      </c>
      <c r="AZ165" s="28">
        <v>96</v>
      </c>
      <c r="BA165">
        <v>101</v>
      </c>
      <c r="BB165" s="26">
        <v>-5</v>
      </c>
      <c r="BC165" s="29"/>
      <c r="BF165">
        <v>64</v>
      </c>
      <c r="BG165">
        <v>62</v>
      </c>
      <c r="BH165" s="26">
        <v>2</v>
      </c>
      <c r="BI165" s="29"/>
      <c r="BL165" s="26">
        <v>0</v>
      </c>
      <c r="BM165" s="29"/>
      <c r="BN165" s="28">
        <v>120</v>
      </c>
      <c r="BO165">
        <v>123</v>
      </c>
      <c r="BP165" s="26">
        <v>-3</v>
      </c>
      <c r="BQ165" s="29"/>
      <c r="BR165" s="28">
        <v>32</v>
      </c>
      <c r="BS165">
        <v>34</v>
      </c>
      <c r="BT165" s="26">
        <v>-2</v>
      </c>
      <c r="BU165" s="29"/>
      <c r="BX165" s="26">
        <v>0</v>
      </c>
      <c r="BY165" s="29"/>
      <c r="BZ165" s="30"/>
      <c r="CC165" s="26">
        <v>0</v>
      </c>
      <c r="CD165" s="29"/>
      <c r="CE165" s="30"/>
      <c r="CG165">
        <v>56</v>
      </c>
      <c r="CH165">
        <v>57</v>
      </c>
      <c r="CI165" s="26">
        <v>-1</v>
      </c>
      <c r="CJ165" s="29"/>
      <c r="CK165" s="28">
        <v>128</v>
      </c>
      <c r="CM165">
        <v>126</v>
      </c>
      <c r="CN165" s="26">
        <v>2</v>
      </c>
      <c r="CO165" s="29"/>
      <c r="CP165">
        <v>72</v>
      </c>
      <c r="CQ165" s="26">
        <v>73.200000000000017</v>
      </c>
      <c r="CR165" s="26">
        <v>-1.2000000000000171</v>
      </c>
      <c r="CS165" s="29"/>
      <c r="CT165" s="28">
        <v>32</v>
      </c>
      <c r="CU165" s="26">
        <v>32</v>
      </c>
      <c r="CV165" s="26">
        <v>0</v>
      </c>
      <c r="CW165" s="29"/>
      <c r="CX165" s="28">
        <v>48</v>
      </c>
      <c r="CY165" s="26">
        <v>48.400000000000013</v>
      </c>
      <c r="CZ165" s="26">
        <v>-0.40000000000001279</v>
      </c>
      <c r="DA165" s="29"/>
      <c r="DB165" s="28">
        <v>48</v>
      </c>
      <c r="DC165">
        <v>47</v>
      </c>
      <c r="DD165" s="26">
        <v>1</v>
      </c>
      <c r="DE165" s="29"/>
      <c r="DF165">
        <v>64</v>
      </c>
      <c r="DG165" s="31">
        <v>62.599999999999987</v>
      </c>
      <c r="DH165" s="26">
        <v>1.400000000000013</v>
      </c>
      <c r="DI165" s="29"/>
      <c r="DJ165">
        <v>40</v>
      </c>
      <c r="DK165">
        <v>45</v>
      </c>
      <c r="DL165" s="26">
        <v>-5</v>
      </c>
      <c r="DM165" s="29"/>
      <c r="DN165" s="28">
        <v>16</v>
      </c>
      <c r="DP165">
        <v>20</v>
      </c>
      <c r="DQ165" s="26">
        <v>-4</v>
      </c>
      <c r="DR165" s="29"/>
      <c r="DS165" s="28">
        <v>160</v>
      </c>
      <c r="DU165">
        <v>163</v>
      </c>
      <c r="DV165" s="26">
        <v>-3</v>
      </c>
      <c r="DW165" s="29"/>
      <c r="DX165">
        <v>16</v>
      </c>
      <c r="DY165" s="31">
        <v>19.200000000000021</v>
      </c>
      <c r="DZ165" s="26">
        <v>-3.200000000000021</v>
      </c>
      <c r="EA165" s="29"/>
      <c r="EB165" s="30"/>
      <c r="EE165">
        <v>80</v>
      </c>
      <c r="EF165">
        <v>78</v>
      </c>
      <c r="EG165" s="26">
        <v>2</v>
      </c>
      <c r="EH165" s="29"/>
      <c r="EI165">
        <v>88</v>
      </c>
      <c r="EJ165" s="31">
        <v>93</v>
      </c>
      <c r="EK165" s="26">
        <v>-5</v>
      </c>
      <c r="EL165" s="29"/>
      <c r="EM165" s="30"/>
      <c r="EQ165" s="26">
        <v>0</v>
      </c>
      <c r="ER165" s="29"/>
      <c r="EU165">
        <v>136</v>
      </c>
      <c r="EV165" s="26">
        <v>140</v>
      </c>
      <c r="EW165" s="26">
        <v>-4</v>
      </c>
      <c r="EX165" s="29"/>
      <c r="FA165" s="26">
        <v>0</v>
      </c>
      <c r="FB165" s="29"/>
      <c r="FC165" s="28">
        <v>40</v>
      </c>
      <c r="FD165">
        <v>40</v>
      </c>
      <c r="FE165" s="26">
        <v>0</v>
      </c>
      <c r="FF165" s="29"/>
      <c r="FG165" s="28">
        <v>56</v>
      </c>
      <c r="FH165" s="26">
        <v>60</v>
      </c>
      <c r="FI165" s="26">
        <v>-4</v>
      </c>
      <c r="FJ165" s="29"/>
      <c r="FM165" s="26">
        <v>0</v>
      </c>
      <c r="FN165" s="29"/>
      <c r="FO165" s="30"/>
      <c r="FQ165" s="26">
        <v>0</v>
      </c>
      <c r="FR165" s="29"/>
      <c r="FS165" s="30"/>
      <c r="FV165" s="29"/>
      <c r="FZ165" s="32"/>
      <c r="GD165" s="29"/>
      <c r="GH165" s="32"/>
      <c r="GI165" s="27"/>
      <c r="GL165" s="29"/>
      <c r="GP165" s="33"/>
      <c r="GT165" s="29"/>
      <c r="GU165" s="28"/>
      <c r="GX165" s="32"/>
      <c r="GY165" s="31"/>
      <c r="HB165" s="32"/>
      <c r="HF165" s="32"/>
      <c r="HJ165" s="29"/>
      <c r="HK165" s="27"/>
      <c r="HP165" s="32"/>
      <c r="HT165" s="32"/>
      <c r="HX165" s="32"/>
      <c r="HY165" s="34"/>
      <c r="IB165" s="32"/>
    </row>
    <row r="166" spans="1:236" x14ac:dyDescent="0.25">
      <c r="A166" s="26" t="s">
        <v>293</v>
      </c>
      <c r="B166" s="27">
        <v>1</v>
      </c>
      <c r="E166">
        <v>80</v>
      </c>
      <c r="F166">
        <v>144</v>
      </c>
      <c r="I166" s="30"/>
      <c r="J166" s="36">
        <v>135</v>
      </c>
      <c r="K166" s="36">
        <v>134</v>
      </c>
      <c r="L166" s="35">
        <f t="shared" si="11"/>
        <v>1</v>
      </c>
      <c r="M166" s="29"/>
      <c r="N166" s="28">
        <v>292</v>
      </c>
      <c r="O166" s="36">
        <v>291</v>
      </c>
      <c r="P166" s="35">
        <f t="shared" si="12"/>
        <v>1</v>
      </c>
      <c r="Q166" s="29"/>
      <c r="R166" s="28">
        <v>79</v>
      </c>
      <c r="S166" s="36">
        <v>80</v>
      </c>
      <c r="T166" s="35">
        <f t="shared" si="13"/>
        <v>-1</v>
      </c>
      <c r="U166" s="29"/>
      <c r="V166" s="36">
        <v>192</v>
      </c>
      <c r="W166">
        <v>188</v>
      </c>
      <c r="X166" s="26">
        <v>4</v>
      </c>
      <c r="Y166" s="29"/>
      <c r="Z166" s="28">
        <v>205</v>
      </c>
      <c r="AA166">
        <v>209</v>
      </c>
      <c r="AB166" s="25">
        <v>-4</v>
      </c>
      <c r="AC166" s="29">
        <v>4</v>
      </c>
      <c r="AD166">
        <v>164</v>
      </c>
      <c r="AE166">
        <v>161</v>
      </c>
      <c r="AF166" s="26">
        <v>3</v>
      </c>
      <c r="AG166" s="29"/>
      <c r="AH166" s="28">
        <v>186</v>
      </c>
      <c r="AI166">
        <v>186</v>
      </c>
      <c r="AJ166" s="26">
        <v>0</v>
      </c>
      <c r="AK166" s="29"/>
      <c r="AL166" s="28">
        <v>163</v>
      </c>
      <c r="AM166">
        <v>164</v>
      </c>
      <c r="AN166" s="26">
        <v>-1</v>
      </c>
      <c r="AO166" s="29"/>
      <c r="AR166" s="26">
        <v>0</v>
      </c>
      <c r="AS166" s="29"/>
      <c r="AT166" s="28">
        <v>162</v>
      </c>
      <c r="AU166">
        <v>160</v>
      </c>
      <c r="AV166">
        <v>150</v>
      </c>
      <c r="AW166">
        <v>149</v>
      </c>
      <c r="AX166" s="26">
        <v>3</v>
      </c>
      <c r="AY166" s="29"/>
      <c r="AZ166" s="30"/>
      <c r="BB166" s="26">
        <v>0</v>
      </c>
      <c r="BC166" s="29"/>
      <c r="BD166">
        <v>101</v>
      </c>
      <c r="BE166">
        <v>100</v>
      </c>
      <c r="BF166">
        <v>230</v>
      </c>
      <c r="BG166">
        <v>231</v>
      </c>
      <c r="BH166" s="26">
        <v>0</v>
      </c>
      <c r="BI166" s="29"/>
      <c r="BJ166">
        <v>56</v>
      </c>
      <c r="BK166">
        <v>58</v>
      </c>
      <c r="BL166" s="26">
        <v>-2</v>
      </c>
      <c r="BM166" s="29"/>
      <c r="BN166" s="30"/>
      <c r="BP166" s="26">
        <v>0</v>
      </c>
      <c r="BQ166" s="29"/>
      <c r="BR166" s="28">
        <v>156</v>
      </c>
      <c r="BS166">
        <v>158</v>
      </c>
      <c r="BT166" s="26">
        <v>-2</v>
      </c>
      <c r="BU166" s="29"/>
      <c r="BV166">
        <v>169</v>
      </c>
      <c r="BW166">
        <v>170</v>
      </c>
      <c r="BX166" s="26">
        <v>-1</v>
      </c>
      <c r="BY166" s="29"/>
      <c r="BZ166" s="28">
        <v>62</v>
      </c>
      <c r="CB166">
        <v>63</v>
      </c>
      <c r="CC166" s="26">
        <v>-1</v>
      </c>
      <c r="CD166" s="29"/>
      <c r="CE166" s="30"/>
      <c r="CG166">
        <v>204</v>
      </c>
      <c r="CH166">
        <v>195</v>
      </c>
      <c r="CI166" s="26">
        <v>9</v>
      </c>
      <c r="CJ166" s="29"/>
      <c r="CK166" s="28">
        <v>56</v>
      </c>
      <c r="CM166">
        <v>55</v>
      </c>
      <c r="CN166" s="26">
        <v>1</v>
      </c>
      <c r="CO166" s="29"/>
      <c r="CP166">
        <v>118</v>
      </c>
      <c r="CQ166" s="26">
        <v>117.9328</v>
      </c>
      <c r="CR166" s="26">
        <v>6.7199999999999704E-2</v>
      </c>
      <c r="CS166" s="29"/>
      <c r="CT166" s="28">
        <v>57</v>
      </c>
      <c r="CU166" s="26">
        <v>56.322000000000017</v>
      </c>
      <c r="CV166" s="26">
        <v>0.67799999999998306</v>
      </c>
      <c r="CW166" s="29"/>
      <c r="CX166" s="28">
        <v>11</v>
      </c>
      <c r="CY166" s="26">
        <v>12.433199999999999</v>
      </c>
      <c r="CZ166" s="26">
        <v>-1.4331999999999989</v>
      </c>
      <c r="DA166" s="29"/>
      <c r="DB166" s="28">
        <v>62</v>
      </c>
      <c r="DC166">
        <v>60</v>
      </c>
      <c r="DD166" s="26">
        <v>2</v>
      </c>
      <c r="DE166" s="29"/>
      <c r="DF166">
        <v>107</v>
      </c>
      <c r="DG166" s="31">
        <v>104.83880000000001</v>
      </c>
      <c r="DH166" s="26">
        <v>2.1611999999999938</v>
      </c>
      <c r="DI166" s="29"/>
      <c r="DJ166">
        <v>73</v>
      </c>
      <c r="DK166">
        <v>73</v>
      </c>
      <c r="DL166" s="26">
        <v>0</v>
      </c>
      <c r="DM166" s="29"/>
      <c r="DN166" s="28">
        <v>68</v>
      </c>
      <c r="DP166">
        <v>65</v>
      </c>
      <c r="DQ166" s="26">
        <v>3</v>
      </c>
      <c r="DR166" s="29"/>
      <c r="DS166" s="28">
        <v>84</v>
      </c>
      <c r="DU166">
        <v>83</v>
      </c>
      <c r="DV166" s="26">
        <v>1</v>
      </c>
      <c r="DW166" s="29"/>
      <c r="DZ166" s="26">
        <v>0</v>
      </c>
      <c r="EA166" s="29"/>
      <c r="EB166" s="30"/>
      <c r="EC166">
        <v>101</v>
      </c>
      <c r="ED166">
        <v>100</v>
      </c>
      <c r="EE166">
        <v>101</v>
      </c>
      <c r="EF166">
        <v>101</v>
      </c>
      <c r="EG166" s="26">
        <v>1</v>
      </c>
      <c r="EH166" s="29"/>
      <c r="EI166">
        <v>22</v>
      </c>
      <c r="EJ166" s="31">
        <v>24.472999999999999</v>
      </c>
      <c r="EK166" s="26">
        <v>-2.472999999999999</v>
      </c>
      <c r="EL166" s="29"/>
      <c r="EM166" s="28">
        <v>61</v>
      </c>
      <c r="EN166">
        <v>60</v>
      </c>
      <c r="EO166">
        <v>107</v>
      </c>
      <c r="EP166">
        <v>104</v>
      </c>
      <c r="EQ166" s="26">
        <v>4</v>
      </c>
      <c r="ER166" s="29"/>
      <c r="EU166">
        <v>34</v>
      </c>
      <c r="EV166">
        <v>36</v>
      </c>
      <c r="EW166" s="26">
        <v>-2</v>
      </c>
      <c r="EX166" s="29"/>
      <c r="FA166" s="26">
        <v>0</v>
      </c>
      <c r="FB166" s="29"/>
      <c r="FC166" s="28">
        <v>129</v>
      </c>
      <c r="FD166">
        <v>130</v>
      </c>
      <c r="FE166" s="26">
        <v>-1</v>
      </c>
      <c r="FF166" s="29"/>
      <c r="FG166" s="28">
        <v>39</v>
      </c>
      <c r="FH166">
        <v>40</v>
      </c>
      <c r="FI166" s="26">
        <v>-1</v>
      </c>
      <c r="FJ166" s="29"/>
      <c r="FK166" s="26">
        <v>117</v>
      </c>
      <c r="FL166" s="26">
        <v>120</v>
      </c>
      <c r="FM166" s="26">
        <v>-3</v>
      </c>
      <c r="FN166" s="29"/>
      <c r="FO166" s="30"/>
      <c r="FQ166" s="26">
        <v>0</v>
      </c>
      <c r="FR166" s="29"/>
      <c r="FS166" s="30"/>
      <c r="FV166" s="29"/>
      <c r="FZ166" s="32"/>
      <c r="GD166" s="29"/>
      <c r="GH166" s="32"/>
      <c r="GL166" s="29"/>
      <c r="GP166" s="33"/>
      <c r="GQ166" s="27"/>
      <c r="GT166" s="29"/>
      <c r="GU166" s="28"/>
      <c r="GX166" s="32"/>
      <c r="GZ166" s="31"/>
      <c r="HB166" s="32"/>
      <c r="HF166" s="32"/>
      <c r="HJ166" s="29"/>
      <c r="HK166" s="27"/>
      <c r="HP166" s="32"/>
      <c r="HT166" s="32"/>
      <c r="HX166" s="32"/>
      <c r="HY166" s="34"/>
      <c r="IB166" s="32"/>
    </row>
    <row r="167" spans="1:236" x14ac:dyDescent="0.25">
      <c r="A167" s="26" t="s">
        <v>294</v>
      </c>
      <c r="B167" s="27">
        <v>0.35</v>
      </c>
      <c r="E167">
        <v>120</v>
      </c>
      <c r="F167">
        <v>171</v>
      </c>
      <c r="I167" s="28">
        <v>16</v>
      </c>
      <c r="J167" s="36">
        <v>88</v>
      </c>
      <c r="K167" s="36">
        <v>89</v>
      </c>
      <c r="L167" s="35">
        <f t="shared" si="11"/>
        <v>15</v>
      </c>
      <c r="M167" s="29"/>
      <c r="N167" s="28">
        <v>280</v>
      </c>
      <c r="O167" s="36">
        <v>300</v>
      </c>
      <c r="P167" s="40">
        <f t="shared" si="12"/>
        <v>-20</v>
      </c>
      <c r="Q167" s="29">
        <f>-1*P167*B167</f>
        <v>7</v>
      </c>
      <c r="R167" s="28">
        <v>344</v>
      </c>
      <c r="S167" s="36">
        <v>344</v>
      </c>
      <c r="T167" s="35">
        <f t="shared" si="13"/>
        <v>0</v>
      </c>
      <c r="U167" s="29"/>
      <c r="V167" s="36">
        <v>32</v>
      </c>
      <c r="W167">
        <v>30</v>
      </c>
      <c r="X167" s="26">
        <v>2</v>
      </c>
      <c r="Y167" s="29"/>
      <c r="Z167" s="28">
        <v>456</v>
      </c>
      <c r="AA167">
        <v>461</v>
      </c>
      <c r="AB167" s="26">
        <v>-5</v>
      </c>
      <c r="AC167" s="29"/>
      <c r="AF167" s="26">
        <v>0</v>
      </c>
      <c r="AG167" s="29"/>
      <c r="AH167" s="28">
        <v>280</v>
      </c>
      <c r="AI167">
        <v>284</v>
      </c>
      <c r="AJ167" s="26">
        <v>-4</v>
      </c>
      <c r="AK167" s="29"/>
      <c r="AL167" s="28">
        <v>248</v>
      </c>
      <c r="AM167">
        <v>246</v>
      </c>
      <c r="AN167" s="26">
        <v>2</v>
      </c>
      <c r="AO167" s="29"/>
      <c r="AP167">
        <v>8</v>
      </c>
      <c r="AQ167">
        <v>5</v>
      </c>
      <c r="AR167" s="26">
        <v>3</v>
      </c>
      <c r="AS167" s="29"/>
      <c r="AT167" s="28">
        <v>96</v>
      </c>
      <c r="AU167">
        <v>96</v>
      </c>
      <c r="AX167" s="26">
        <v>0</v>
      </c>
      <c r="AY167" s="29"/>
      <c r="AZ167" s="28">
        <v>296</v>
      </c>
      <c r="BA167">
        <v>301</v>
      </c>
      <c r="BB167" s="26">
        <v>-5</v>
      </c>
      <c r="BC167" s="29"/>
      <c r="BF167">
        <v>224</v>
      </c>
      <c r="BG167">
        <v>224</v>
      </c>
      <c r="BH167" s="26">
        <v>0</v>
      </c>
      <c r="BI167" s="29"/>
      <c r="BJ167">
        <v>128</v>
      </c>
      <c r="BK167">
        <v>131</v>
      </c>
      <c r="BL167" s="26">
        <v>-3</v>
      </c>
      <c r="BM167" s="29"/>
      <c r="BN167" s="28">
        <v>160</v>
      </c>
      <c r="BO167">
        <v>161</v>
      </c>
      <c r="BP167" s="26">
        <v>-1</v>
      </c>
      <c r="BQ167" s="29"/>
      <c r="BR167" s="28">
        <v>144</v>
      </c>
      <c r="BS167">
        <v>148</v>
      </c>
      <c r="BT167" s="26">
        <v>-4</v>
      </c>
      <c r="BU167" s="29"/>
      <c r="BV167">
        <v>32</v>
      </c>
      <c r="BW167">
        <v>33</v>
      </c>
      <c r="BX167" s="26">
        <v>-1</v>
      </c>
      <c r="BY167" s="29"/>
      <c r="BZ167" s="28">
        <v>192</v>
      </c>
      <c r="CB167">
        <v>195</v>
      </c>
      <c r="CC167" s="26">
        <v>-3</v>
      </c>
      <c r="CD167" s="29"/>
      <c r="CE167" s="30"/>
      <c r="CG167">
        <v>56</v>
      </c>
      <c r="CH167">
        <v>54</v>
      </c>
      <c r="CI167" s="26">
        <v>2</v>
      </c>
      <c r="CJ167" s="29"/>
      <c r="CK167" s="28">
        <v>224</v>
      </c>
      <c r="CM167">
        <v>223</v>
      </c>
      <c r="CN167" s="26">
        <v>1</v>
      </c>
      <c r="CO167" s="29"/>
      <c r="CP167">
        <v>144</v>
      </c>
      <c r="CQ167" s="26">
        <v>145.6</v>
      </c>
      <c r="CR167" s="26">
        <v>-1.5999999999999941</v>
      </c>
      <c r="CS167" s="29"/>
      <c r="CT167" s="28">
        <v>48</v>
      </c>
      <c r="CU167" s="26">
        <v>46</v>
      </c>
      <c r="CV167" s="26">
        <v>2</v>
      </c>
      <c r="CW167" s="29"/>
      <c r="CX167" s="28">
        <v>184</v>
      </c>
      <c r="CY167" s="26">
        <v>182.2</v>
      </c>
      <c r="CZ167" s="26">
        <v>1.8000000000000109</v>
      </c>
      <c r="DA167" s="29"/>
      <c r="DB167" s="28">
        <v>16</v>
      </c>
      <c r="DC167">
        <v>17</v>
      </c>
      <c r="DD167" s="26">
        <v>-1</v>
      </c>
      <c r="DE167" s="29"/>
      <c r="DF167">
        <v>136</v>
      </c>
      <c r="DG167" s="31">
        <v>140.80000000000001</v>
      </c>
      <c r="DH167" s="26">
        <v>-4.8000000000000114</v>
      </c>
      <c r="DI167" s="29"/>
      <c r="DJ167">
        <v>72</v>
      </c>
      <c r="DK167">
        <v>75</v>
      </c>
      <c r="DL167" s="26">
        <v>-3</v>
      </c>
      <c r="DM167" s="29"/>
      <c r="DN167" s="28">
        <v>32</v>
      </c>
      <c r="DP167">
        <v>30</v>
      </c>
      <c r="DQ167" s="26">
        <v>2</v>
      </c>
      <c r="DR167" s="29"/>
      <c r="DS167" s="28">
        <v>48</v>
      </c>
      <c r="DU167">
        <v>51</v>
      </c>
      <c r="DV167" s="26">
        <v>-3</v>
      </c>
      <c r="DW167" s="29"/>
      <c r="DX167">
        <v>152</v>
      </c>
      <c r="DY167" s="31">
        <v>153</v>
      </c>
      <c r="DZ167" s="26">
        <v>-1</v>
      </c>
      <c r="EA167" s="29"/>
      <c r="EB167" s="30"/>
      <c r="EE167">
        <v>48</v>
      </c>
      <c r="EF167">
        <v>48</v>
      </c>
      <c r="EG167" s="26">
        <v>0</v>
      </c>
      <c r="EH167" s="29"/>
      <c r="EK167" s="26">
        <v>0</v>
      </c>
      <c r="EL167" s="29"/>
      <c r="EM167" s="30"/>
      <c r="EO167">
        <v>144</v>
      </c>
      <c r="EP167">
        <v>146</v>
      </c>
      <c r="EQ167" s="26">
        <v>-2</v>
      </c>
      <c r="ER167" s="29"/>
      <c r="EW167" s="26">
        <v>0</v>
      </c>
      <c r="EX167" s="29"/>
      <c r="EY167">
        <v>96</v>
      </c>
      <c r="EZ167" s="31">
        <v>100</v>
      </c>
      <c r="FA167" s="26">
        <v>-4</v>
      </c>
      <c r="FB167" s="29"/>
      <c r="FC167" s="28">
        <v>72</v>
      </c>
      <c r="FD167">
        <v>70</v>
      </c>
      <c r="FE167" s="26">
        <v>2</v>
      </c>
      <c r="FF167" s="29"/>
      <c r="FG167" s="28">
        <v>32</v>
      </c>
      <c r="FH167">
        <v>30</v>
      </c>
      <c r="FI167" s="26">
        <v>2</v>
      </c>
      <c r="FJ167" s="29"/>
      <c r="FK167" s="26">
        <v>48</v>
      </c>
      <c r="FL167" s="26">
        <v>50</v>
      </c>
      <c r="FM167" s="26">
        <v>-2</v>
      </c>
      <c r="FN167" s="29"/>
      <c r="FO167" s="30"/>
      <c r="FQ167" s="26">
        <v>0</v>
      </c>
      <c r="FR167" s="29"/>
      <c r="FS167" s="30"/>
      <c r="FV167" s="29"/>
      <c r="FZ167" s="32"/>
      <c r="GD167" s="29"/>
      <c r="GH167" s="32"/>
      <c r="GL167" s="29"/>
      <c r="GP167" s="33"/>
      <c r="GQ167" s="27"/>
      <c r="GT167" s="29"/>
      <c r="GU167" s="28"/>
      <c r="GX167" s="32"/>
      <c r="GZ167" s="31"/>
      <c r="HB167" s="32"/>
      <c r="HF167" s="32"/>
      <c r="HJ167" s="29"/>
      <c r="HK167" s="27"/>
      <c r="HP167" s="32"/>
      <c r="HT167" s="32"/>
      <c r="HX167" s="32"/>
      <c r="HY167" s="34"/>
      <c r="IB167" s="32"/>
    </row>
    <row r="168" spans="1:236" x14ac:dyDescent="0.25">
      <c r="A168" s="26" t="s">
        <v>295</v>
      </c>
      <c r="B168" s="27">
        <v>0.28000000000000003</v>
      </c>
      <c r="I168" s="30"/>
      <c r="J168" s="35"/>
      <c r="K168" s="35"/>
      <c r="L168" s="35">
        <f t="shared" si="11"/>
        <v>0</v>
      </c>
      <c r="M168" s="29"/>
      <c r="N168" s="30"/>
      <c r="O168" s="35"/>
      <c r="P168" s="35">
        <f t="shared" si="12"/>
        <v>0</v>
      </c>
      <c r="Q168" s="29"/>
      <c r="R168" s="30"/>
      <c r="S168" s="35"/>
      <c r="T168" s="35">
        <f t="shared" si="13"/>
        <v>0</v>
      </c>
      <c r="U168" s="29"/>
      <c r="V168" s="35"/>
      <c r="X168" s="26">
        <v>0</v>
      </c>
      <c r="Y168" s="29"/>
      <c r="Z168" s="30"/>
      <c r="AB168" s="26">
        <v>0</v>
      </c>
      <c r="AC168" s="29"/>
      <c r="AF168" s="26">
        <v>0</v>
      </c>
      <c r="AG168" s="29"/>
      <c r="AH168" s="30"/>
      <c r="AJ168" s="26">
        <v>0</v>
      </c>
      <c r="AK168" s="29"/>
      <c r="AL168" s="30"/>
      <c r="AN168" s="26">
        <v>0</v>
      </c>
      <c r="AO168" s="29"/>
      <c r="AR168" s="26">
        <v>0</v>
      </c>
      <c r="AS168" s="29"/>
      <c r="AT168" s="30"/>
      <c r="AX168" s="26">
        <v>0</v>
      </c>
      <c r="AY168" s="29"/>
      <c r="AZ168" s="30"/>
      <c r="BB168" s="26">
        <v>0</v>
      </c>
      <c r="BC168" s="29"/>
      <c r="BH168" s="26">
        <v>0</v>
      </c>
      <c r="BI168" s="29"/>
      <c r="BL168" s="26">
        <v>0</v>
      </c>
      <c r="BM168" s="29"/>
      <c r="BN168" s="30"/>
      <c r="BP168" s="26">
        <v>0</v>
      </c>
      <c r="BQ168" s="29"/>
      <c r="BR168" s="30"/>
      <c r="BT168" s="26">
        <v>0</v>
      </c>
      <c r="BU168" s="29"/>
      <c r="BX168" s="26">
        <v>0</v>
      </c>
      <c r="BY168" s="29"/>
      <c r="BZ168" s="30"/>
      <c r="CC168" s="26">
        <v>0</v>
      </c>
      <c r="CD168" s="29"/>
      <c r="CE168" s="30"/>
      <c r="CI168" s="26">
        <v>0</v>
      </c>
      <c r="CJ168" s="29"/>
      <c r="CK168" s="30"/>
      <c r="CN168" s="26">
        <v>0</v>
      </c>
      <c r="CO168" s="29"/>
      <c r="CR168" s="26">
        <v>0</v>
      </c>
      <c r="CS168" s="29"/>
      <c r="CT168" s="34"/>
      <c r="CV168" s="26">
        <v>0</v>
      </c>
      <c r="CW168" s="29"/>
      <c r="CX168" s="30"/>
      <c r="CZ168" s="26">
        <v>0</v>
      </c>
      <c r="DA168" s="29"/>
      <c r="DB168" s="30"/>
      <c r="DD168" s="26">
        <v>0</v>
      </c>
      <c r="DE168" s="29"/>
      <c r="DH168" s="26">
        <v>0</v>
      </c>
      <c r="DI168" s="29"/>
      <c r="DL168" s="26">
        <v>0</v>
      </c>
      <c r="DM168" s="29"/>
      <c r="DN168" s="30"/>
      <c r="DQ168" s="26">
        <v>0</v>
      </c>
      <c r="DR168" s="29"/>
      <c r="DS168" s="30"/>
      <c r="DV168" s="26">
        <v>0</v>
      </c>
      <c r="DW168" s="29"/>
      <c r="DZ168" s="26">
        <v>0</v>
      </c>
      <c r="EA168" s="29"/>
      <c r="EB168" s="30"/>
      <c r="EF168">
        <v>34</v>
      </c>
      <c r="EG168" s="26">
        <v>-2</v>
      </c>
      <c r="EH168" s="29"/>
      <c r="EK168" s="26">
        <v>0</v>
      </c>
      <c r="EL168" s="29"/>
      <c r="EM168" s="30"/>
      <c r="EQ168" s="26">
        <v>0</v>
      </c>
      <c r="ER168" s="29"/>
      <c r="EU168">
        <v>32</v>
      </c>
      <c r="EV168">
        <v>30</v>
      </c>
      <c r="EW168" s="26">
        <v>2</v>
      </c>
      <c r="EX168" s="29"/>
      <c r="FA168" s="26">
        <v>0</v>
      </c>
      <c r="FB168" s="29"/>
      <c r="FC168" s="28">
        <v>16</v>
      </c>
      <c r="FD168">
        <v>16</v>
      </c>
      <c r="FE168" s="26">
        <v>0</v>
      </c>
      <c r="FF168" s="29"/>
      <c r="FG168" s="30"/>
      <c r="FH168" s="19">
        <v>24</v>
      </c>
      <c r="FI168" s="26">
        <v>-24</v>
      </c>
      <c r="FJ168" s="29">
        <v>6.7200000000000006</v>
      </c>
      <c r="FK168" s="26">
        <v>16</v>
      </c>
      <c r="FL168" s="26">
        <v>16</v>
      </c>
      <c r="FM168" s="26">
        <v>0</v>
      </c>
      <c r="FN168" s="29"/>
      <c r="FO168" s="30"/>
      <c r="FQ168" s="26">
        <v>0</v>
      </c>
      <c r="FR168" s="29"/>
      <c r="FS168" s="30"/>
      <c r="FV168" s="29"/>
      <c r="FZ168" s="32"/>
      <c r="GD168" s="29"/>
      <c r="GH168" s="32"/>
      <c r="GL168" s="29"/>
      <c r="GP168" s="33"/>
      <c r="GQ168" s="27"/>
      <c r="GT168" s="29"/>
      <c r="GU168" s="28"/>
      <c r="GX168" s="32"/>
      <c r="GZ168" s="31"/>
      <c r="HB168" s="32"/>
      <c r="HF168" s="32"/>
      <c r="HJ168" s="29"/>
      <c r="HK168" s="27"/>
      <c r="HP168" s="32"/>
      <c r="HT168" s="32"/>
      <c r="HX168" s="32"/>
      <c r="HY168" s="34"/>
      <c r="IB168" s="32"/>
    </row>
    <row r="169" spans="1:236" x14ac:dyDescent="0.25">
      <c r="A169" s="26" t="s">
        <v>296</v>
      </c>
      <c r="B169" s="27">
        <v>0.3</v>
      </c>
      <c r="I169" s="30"/>
      <c r="J169" s="36">
        <v>84</v>
      </c>
      <c r="K169" s="36">
        <v>86</v>
      </c>
      <c r="L169" s="35">
        <f t="shared" si="11"/>
        <v>-2</v>
      </c>
      <c r="M169" s="29"/>
      <c r="N169" s="30"/>
      <c r="O169" s="35"/>
      <c r="P169" s="35">
        <f t="shared" si="12"/>
        <v>0</v>
      </c>
      <c r="Q169" s="29"/>
      <c r="R169" s="28">
        <v>72</v>
      </c>
      <c r="S169" s="36">
        <v>72</v>
      </c>
      <c r="T169" s="35">
        <f t="shared" si="13"/>
        <v>0</v>
      </c>
      <c r="U169" s="29"/>
      <c r="V169" s="36">
        <v>24</v>
      </c>
      <c r="W169">
        <v>24</v>
      </c>
      <c r="X169" s="26">
        <v>0</v>
      </c>
      <c r="Y169" s="29"/>
      <c r="Z169" s="28">
        <v>24</v>
      </c>
      <c r="AA169">
        <v>27</v>
      </c>
      <c r="AB169" s="26">
        <v>-3</v>
      </c>
      <c r="AC169" s="29"/>
      <c r="AD169">
        <v>12</v>
      </c>
      <c r="AE169">
        <v>10</v>
      </c>
      <c r="AF169" s="26">
        <v>2</v>
      </c>
      <c r="AG169" s="29"/>
      <c r="AH169" s="28">
        <v>42</v>
      </c>
      <c r="AI169">
        <v>43</v>
      </c>
      <c r="AJ169" s="26">
        <v>-1</v>
      </c>
      <c r="AK169" s="29"/>
      <c r="AL169" s="30"/>
      <c r="AN169" s="26">
        <v>0</v>
      </c>
      <c r="AO169" s="29"/>
      <c r="AP169">
        <v>42</v>
      </c>
      <c r="AQ169">
        <v>41</v>
      </c>
      <c r="AR169" s="26">
        <v>1</v>
      </c>
      <c r="AS169" s="29"/>
      <c r="AT169" s="28">
        <v>6</v>
      </c>
      <c r="AU169">
        <v>6</v>
      </c>
      <c r="AX169" s="26">
        <v>0</v>
      </c>
      <c r="AY169" s="29"/>
      <c r="AZ169" s="28">
        <v>6</v>
      </c>
      <c r="BA169">
        <v>8</v>
      </c>
      <c r="BB169" s="26">
        <v>-2</v>
      </c>
      <c r="BC169" s="29"/>
      <c r="BF169">
        <v>12</v>
      </c>
      <c r="BG169">
        <v>15</v>
      </c>
      <c r="BH169" s="26">
        <v>-3</v>
      </c>
      <c r="BI169" s="29"/>
      <c r="BJ169">
        <v>30</v>
      </c>
      <c r="BK169">
        <v>30</v>
      </c>
      <c r="BL169" s="26">
        <v>0</v>
      </c>
      <c r="BM169" s="29"/>
      <c r="BN169" s="30"/>
      <c r="BP169" s="26">
        <v>0</v>
      </c>
      <c r="BQ169" s="29"/>
      <c r="BR169" s="28">
        <v>18</v>
      </c>
      <c r="BS169">
        <v>20</v>
      </c>
      <c r="BT169" s="26">
        <v>-2</v>
      </c>
      <c r="BU169" s="29"/>
      <c r="BV169">
        <v>30</v>
      </c>
      <c r="BW169">
        <v>30</v>
      </c>
      <c r="BX169" s="26">
        <v>0</v>
      </c>
      <c r="BY169" s="29"/>
      <c r="BZ169" s="30"/>
      <c r="CC169" s="26">
        <v>0</v>
      </c>
      <c r="CD169" s="29"/>
      <c r="CE169" s="30"/>
      <c r="CI169" s="26">
        <v>0</v>
      </c>
      <c r="CJ169" s="29"/>
      <c r="CK169" s="28">
        <v>12</v>
      </c>
      <c r="CM169">
        <v>11</v>
      </c>
      <c r="CN169" s="26">
        <v>1</v>
      </c>
      <c r="CO169" s="29"/>
      <c r="CR169" s="26">
        <v>0</v>
      </c>
      <c r="CS169" s="29"/>
      <c r="CT169" s="34"/>
      <c r="CV169" s="26">
        <v>0</v>
      </c>
      <c r="CW169" s="29"/>
      <c r="CX169" s="30"/>
      <c r="CZ169" s="26">
        <v>0</v>
      </c>
      <c r="DA169" s="29"/>
      <c r="DB169" s="28">
        <v>42</v>
      </c>
      <c r="DC169">
        <v>41</v>
      </c>
      <c r="DD169" s="26">
        <v>1</v>
      </c>
      <c r="DE169" s="29"/>
      <c r="DF169">
        <v>18</v>
      </c>
      <c r="DG169" s="31">
        <v>19.2</v>
      </c>
      <c r="DH169" s="26">
        <v>-1.1999999999999991</v>
      </c>
      <c r="DI169" s="29"/>
      <c r="DL169" s="26">
        <v>0</v>
      </c>
      <c r="DM169" s="29"/>
      <c r="DN169" s="28">
        <v>72</v>
      </c>
      <c r="DP169">
        <v>72</v>
      </c>
      <c r="DQ169" s="26">
        <v>0</v>
      </c>
      <c r="DR169" s="29"/>
      <c r="DS169" s="30"/>
      <c r="DV169" s="26">
        <v>0</v>
      </c>
      <c r="DW169" s="29"/>
      <c r="DZ169" s="26">
        <v>0</v>
      </c>
      <c r="EA169" s="29"/>
      <c r="EB169" s="30"/>
      <c r="EC169" s="31">
        <v>42</v>
      </c>
      <c r="ED169" s="31">
        <v>42</v>
      </c>
      <c r="EG169" s="26">
        <v>0</v>
      </c>
      <c r="EH169" s="29"/>
      <c r="EK169" s="26">
        <v>0</v>
      </c>
      <c r="EL169" s="29"/>
      <c r="EM169" s="30"/>
      <c r="ER169" s="29"/>
      <c r="EX169" s="29"/>
      <c r="FB169" s="29"/>
      <c r="FC169" s="28"/>
      <c r="FF169" s="29"/>
      <c r="FG169" s="30"/>
      <c r="FJ169" s="29"/>
      <c r="FN169" s="29"/>
      <c r="FO169" s="30"/>
      <c r="FR169" s="29"/>
      <c r="FS169" s="30"/>
      <c r="FV169" s="29"/>
      <c r="FX169" s="27"/>
      <c r="FZ169" s="32"/>
      <c r="GD169" s="29"/>
      <c r="GG169" s="31"/>
      <c r="GH169" s="32"/>
      <c r="GL169" s="29"/>
      <c r="GP169" s="33"/>
      <c r="GQ169" s="27"/>
      <c r="GT169" s="29"/>
      <c r="GU169" s="28"/>
      <c r="GX169" s="32"/>
      <c r="GZ169" s="31"/>
      <c r="HB169" s="32"/>
      <c r="HF169" s="32"/>
      <c r="HJ169" s="29"/>
      <c r="HK169" s="27"/>
      <c r="HP169" s="32"/>
      <c r="HT169" s="32"/>
      <c r="HX169" s="32"/>
      <c r="HY169" s="34"/>
      <c r="IB169" s="32"/>
    </row>
    <row r="170" spans="1:236" x14ac:dyDescent="0.25">
      <c r="A170" s="26" t="s">
        <v>297</v>
      </c>
      <c r="B170" s="27">
        <v>0.18</v>
      </c>
      <c r="I170" s="30"/>
      <c r="J170" s="35"/>
      <c r="K170" s="35"/>
      <c r="L170" s="35">
        <f t="shared" si="11"/>
        <v>0</v>
      </c>
      <c r="M170" s="29"/>
      <c r="N170" s="30"/>
      <c r="O170" s="35"/>
      <c r="P170" s="35">
        <f t="shared" si="12"/>
        <v>0</v>
      </c>
      <c r="Q170" s="29"/>
      <c r="R170" s="30"/>
      <c r="S170" s="35"/>
      <c r="T170" s="35">
        <f t="shared" si="13"/>
        <v>0</v>
      </c>
      <c r="U170" s="29"/>
      <c r="V170" s="35"/>
      <c r="X170" s="26">
        <v>0</v>
      </c>
      <c r="Y170" s="29"/>
      <c r="Z170" s="30"/>
      <c r="AB170" s="26">
        <v>0</v>
      </c>
      <c r="AC170" s="29"/>
      <c r="AE170">
        <v>20</v>
      </c>
      <c r="AF170" s="25">
        <v>-20</v>
      </c>
      <c r="AG170" s="29">
        <v>3.6</v>
      </c>
      <c r="AH170" s="30"/>
      <c r="AI170">
        <v>20</v>
      </c>
      <c r="AJ170" s="25">
        <v>-20</v>
      </c>
      <c r="AK170" s="29">
        <v>3.6</v>
      </c>
      <c r="AL170" s="30"/>
      <c r="AM170">
        <v>20</v>
      </c>
      <c r="AN170" s="25">
        <v>-20</v>
      </c>
      <c r="AO170" s="29">
        <v>3.6</v>
      </c>
      <c r="AR170" s="26">
        <v>0</v>
      </c>
      <c r="AS170" s="29"/>
      <c r="AT170" s="30"/>
      <c r="AW170">
        <v>20</v>
      </c>
      <c r="AX170" s="25">
        <v>-20</v>
      </c>
      <c r="AY170" s="29">
        <v>19.82</v>
      </c>
      <c r="AZ170" s="28">
        <v>16</v>
      </c>
      <c r="BA170">
        <v>20</v>
      </c>
      <c r="BB170" s="26">
        <v>-4</v>
      </c>
      <c r="BC170" s="29"/>
      <c r="BG170">
        <v>20</v>
      </c>
      <c r="BH170" s="25">
        <v>-20</v>
      </c>
      <c r="BI170" s="29">
        <v>3.6</v>
      </c>
      <c r="BL170" s="26">
        <v>0</v>
      </c>
      <c r="BM170" s="29"/>
      <c r="BN170" s="30"/>
      <c r="BO170">
        <v>10</v>
      </c>
      <c r="BP170" s="25">
        <v>-10</v>
      </c>
      <c r="BQ170" s="29">
        <v>1.8</v>
      </c>
      <c r="BR170" s="30"/>
      <c r="BT170" s="26">
        <v>0</v>
      </c>
      <c r="BU170" s="29"/>
      <c r="BV170">
        <v>8</v>
      </c>
      <c r="BW170">
        <v>10</v>
      </c>
      <c r="BX170" s="26">
        <v>-2</v>
      </c>
      <c r="BY170" s="29"/>
      <c r="BZ170" s="30"/>
      <c r="CB170">
        <v>12</v>
      </c>
      <c r="CC170" s="25">
        <v>-12</v>
      </c>
      <c r="CD170" s="29">
        <v>2.16</v>
      </c>
      <c r="CE170" s="30"/>
      <c r="CH170">
        <v>10</v>
      </c>
      <c r="CI170" s="25">
        <v>-10</v>
      </c>
      <c r="CJ170" s="29">
        <v>1.8</v>
      </c>
      <c r="CK170" s="30"/>
      <c r="CN170" s="26">
        <v>0</v>
      </c>
      <c r="CO170" s="29"/>
      <c r="CQ170" s="26">
        <v>7</v>
      </c>
      <c r="CR170" s="26">
        <v>-7</v>
      </c>
      <c r="CS170" s="29"/>
      <c r="CT170" s="34"/>
      <c r="CV170" s="26">
        <v>0</v>
      </c>
      <c r="CW170" s="29"/>
      <c r="CX170" s="30"/>
      <c r="CZ170" s="26">
        <v>0</v>
      </c>
      <c r="DA170" s="29"/>
      <c r="DB170" s="30">
        <v>24</v>
      </c>
      <c r="DC170">
        <v>50</v>
      </c>
      <c r="DD170" s="25">
        <v>-26</v>
      </c>
      <c r="DE170" s="32">
        <v>4.68</v>
      </c>
      <c r="DH170" s="26">
        <v>0</v>
      </c>
      <c r="DI170" s="29"/>
      <c r="DL170" s="26">
        <v>0</v>
      </c>
      <c r="DM170" s="29"/>
      <c r="DN170" s="30"/>
      <c r="DQ170" s="26">
        <v>0</v>
      </c>
      <c r="DR170" s="29"/>
      <c r="DS170" s="30"/>
      <c r="DV170" s="26">
        <v>0</v>
      </c>
      <c r="DW170" s="29"/>
      <c r="EA170" s="29"/>
      <c r="EB170" s="30"/>
      <c r="EH170" s="29"/>
      <c r="EL170" s="29"/>
      <c r="EM170" s="30"/>
      <c r="ER170" s="29"/>
      <c r="EX170" s="29"/>
      <c r="FB170" s="29"/>
      <c r="FC170" s="28"/>
      <c r="FF170" s="29"/>
      <c r="FG170" s="30"/>
      <c r="FJ170" s="29"/>
      <c r="FK170" s="27"/>
      <c r="FM170" s="27"/>
      <c r="FN170" s="29"/>
      <c r="FO170" s="30"/>
      <c r="FR170" s="29"/>
      <c r="FS170" s="30"/>
      <c r="FT170" s="31"/>
      <c r="FV170" s="29"/>
      <c r="FX170" s="27"/>
      <c r="FZ170" s="32"/>
      <c r="GD170" s="29"/>
      <c r="GG170" s="31"/>
      <c r="GH170" s="32"/>
      <c r="GL170" s="29"/>
      <c r="GP170" s="33"/>
      <c r="GQ170" s="27"/>
      <c r="GT170" s="29"/>
      <c r="GU170" s="28"/>
      <c r="GX170" s="32"/>
      <c r="GZ170" s="31"/>
      <c r="HB170" s="32"/>
      <c r="HF170" s="32"/>
      <c r="HJ170" s="29"/>
      <c r="HK170" s="27"/>
      <c r="HP170" s="32"/>
      <c r="HT170" s="32"/>
      <c r="HX170" s="32"/>
      <c r="HY170" s="34"/>
      <c r="IB170" s="32"/>
    </row>
    <row r="171" spans="1:236" x14ac:dyDescent="0.25">
      <c r="A171" s="26" t="s">
        <v>298</v>
      </c>
      <c r="B171" s="27">
        <v>0.3</v>
      </c>
      <c r="F171">
        <v>64</v>
      </c>
      <c r="I171" s="30"/>
      <c r="J171" s="35"/>
      <c r="K171" s="35"/>
      <c r="L171" s="35">
        <f t="shared" si="11"/>
        <v>0</v>
      </c>
      <c r="M171" s="29"/>
      <c r="N171" s="28">
        <v>104</v>
      </c>
      <c r="O171" s="36">
        <v>108</v>
      </c>
      <c r="P171" s="35">
        <f t="shared" si="12"/>
        <v>-4</v>
      </c>
      <c r="Q171" s="29"/>
      <c r="R171" s="28">
        <v>32</v>
      </c>
      <c r="S171" s="36">
        <v>31</v>
      </c>
      <c r="T171" s="35">
        <f t="shared" si="13"/>
        <v>1</v>
      </c>
      <c r="U171" s="29"/>
      <c r="V171" s="36">
        <v>8</v>
      </c>
      <c r="W171">
        <v>8</v>
      </c>
      <c r="X171" s="26">
        <v>0</v>
      </c>
      <c r="Y171" s="29"/>
      <c r="Z171" s="28">
        <v>72</v>
      </c>
      <c r="AA171">
        <v>73</v>
      </c>
      <c r="AB171" s="26">
        <v>-1</v>
      </c>
      <c r="AC171" s="29"/>
      <c r="AD171">
        <v>16</v>
      </c>
      <c r="AE171">
        <v>16</v>
      </c>
      <c r="AF171" s="26">
        <v>0</v>
      </c>
      <c r="AG171" s="29"/>
      <c r="AH171" s="28">
        <v>48</v>
      </c>
      <c r="AI171">
        <v>52</v>
      </c>
      <c r="AJ171" s="26">
        <v>-4</v>
      </c>
      <c r="AK171" s="29"/>
      <c r="AL171" s="28">
        <v>8</v>
      </c>
      <c r="AM171">
        <v>8</v>
      </c>
      <c r="AN171" s="26">
        <v>0</v>
      </c>
      <c r="AO171" s="29"/>
      <c r="AP171">
        <v>32</v>
      </c>
      <c r="AQ171">
        <v>32</v>
      </c>
      <c r="AR171" s="26">
        <v>0</v>
      </c>
      <c r="AS171" s="29"/>
      <c r="AT171" s="30"/>
      <c r="AX171" s="26">
        <v>0</v>
      </c>
      <c r="AY171" s="29"/>
      <c r="AZ171" s="30"/>
      <c r="BA171">
        <v>28</v>
      </c>
      <c r="BB171" s="25">
        <v>-28</v>
      </c>
      <c r="BC171" s="29">
        <v>8.4</v>
      </c>
      <c r="BF171">
        <v>8</v>
      </c>
      <c r="BG171">
        <v>8</v>
      </c>
      <c r="BH171" s="26">
        <v>0</v>
      </c>
      <c r="BI171" s="29"/>
      <c r="BL171" s="26">
        <v>0</v>
      </c>
      <c r="BM171" s="29"/>
      <c r="BN171" s="30"/>
      <c r="BP171" s="26">
        <v>0</v>
      </c>
      <c r="BQ171" s="29"/>
      <c r="BR171" s="30">
        <v>32</v>
      </c>
      <c r="BS171" s="26">
        <v>32</v>
      </c>
      <c r="BT171" s="26">
        <v>0</v>
      </c>
      <c r="BU171" s="29"/>
      <c r="BX171" s="26">
        <v>0</v>
      </c>
      <c r="BY171" s="29"/>
      <c r="BZ171" s="30"/>
      <c r="CC171" s="26">
        <v>0</v>
      </c>
      <c r="CD171" s="29"/>
      <c r="CE171" s="30"/>
      <c r="CI171" s="26">
        <v>0</v>
      </c>
      <c r="CJ171" s="29"/>
      <c r="CK171" s="30"/>
      <c r="CO171" s="32"/>
      <c r="CS171" s="29"/>
      <c r="CT171" s="34"/>
      <c r="CW171" s="29"/>
      <c r="CX171" s="30"/>
      <c r="DA171" s="29"/>
      <c r="DB171" s="30"/>
      <c r="DE171" s="32"/>
      <c r="DI171" s="29"/>
      <c r="DM171" s="29"/>
      <c r="DN171" s="30"/>
      <c r="DR171" s="29"/>
      <c r="DS171" s="30"/>
      <c r="DW171" s="29"/>
      <c r="EA171" s="29"/>
      <c r="EB171" s="30"/>
      <c r="EH171" s="29"/>
      <c r="EL171" s="29"/>
      <c r="EM171" s="30"/>
      <c r="EP171" s="27"/>
      <c r="ER171" s="29"/>
      <c r="EW171" s="31"/>
      <c r="EX171" s="29"/>
      <c r="EY171" s="31"/>
      <c r="FA171" s="31"/>
      <c r="FB171" s="29"/>
      <c r="FC171" s="28"/>
      <c r="FF171" s="29"/>
      <c r="FG171" s="30"/>
      <c r="FJ171" s="29"/>
      <c r="FK171" s="27"/>
      <c r="FM171" s="27"/>
      <c r="FN171" s="29"/>
      <c r="FO171" s="30"/>
      <c r="FR171" s="29"/>
      <c r="FS171" s="30"/>
      <c r="FT171" s="31"/>
      <c r="FV171" s="29"/>
      <c r="FX171" s="27"/>
      <c r="FZ171" s="32"/>
      <c r="GD171" s="29"/>
      <c r="GG171" s="31"/>
      <c r="GH171" s="32"/>
      <c r="GL171" s="29"/>
      <c r="GP171" s="33"/>
      <c r="GQ171" s="27"/>
      <c r="GT171" s="29"/>
      <c r="GU171" s="28"/>
      <c r="GX171" s="32"/>
      <c r="GZ171" s="31"/>
      <c r="HB171" s="32"/>
      <c r="HF171" s="32"/>
      <c r="HJ171" s="29"/>
      <c r="HK171" s="27"/>
      <c r="HP171" s="32"/>
      <c r="HT171" s="32"/>
      <c r="HX171" s="32"/>
      <c r="HY171" s="34"/>
      <c r="IB171" s="32"/>
    </row>
    <row r="172" spans="1:236" x14ac:dyDescent="0.25">
      <c r="A172" s="26" t="s">
        <v>299</v>
      </c>
      <c r="B172" s="27">
        <v>0.28000000000000003</v>
      </c>
      <c r="E172">
        <v>50</v>
      </c>
      <c r="F172">
        <v>75</v>
      </c>
      <c r="I172" s="30"/>
      <c r="J172" s="36">
        <v>96</v>
      </c>
      <c r="K172" s="36">
        <v>95</v>
      </c>
      <c r="L172" s="35">
        <f t="shared" si="11"/>
        <v>1</v>
      </c>
      <c r="M172" s="29"/>
      <c r="N172" s="28">
        <v>16</v>
      </c>
      <c r="O172" s="36">
        <v>20</v>
      </c>
      <c r="P172" s="35">
        <f t="shared" si="12"/>
        <v>-4</v>
      </c>
      <c r="Q172" s="29"/>
      <c r="R172" s="28">
        <v>120</v>
      </c>
      <c r="S172" s="36">
        <v>120</v>
      </c>
      <c r="T172" s="35">
        <f t="shared" si="13"/>
        <v>0</v>
      </c>
      <c r="U172" s="29"/>
      <c r="V172" s="35"/>
      <c r="X172" s="26">
        <v>0</v>
      </c>
      <c r="Y172" s="29"/>
      <c r="Z172" s="28">
        <v>112</v>
      </c>
      <c r="AA172">
        <v>112</v>
      </c>
      <c r="AB172" s="26">
        <v>0</v>
      </c>
      <c r="AC172" s="29"/>
      <c r="AF172" s="26">
        <v>0</v>
      </c>
      <c r="AG172" s="29"/>
      <c r="AH172" s="28">
        <v>96</v>
      </c>
      <c r="AI172">
        <v>99</v>
      </c>
      <c r="AJ172" s="26">
        <v>-3</v>
      </c>
      <c r="AK172" s="29"/>
      <c r="AL172" s="28">
        <v>16</v>
      </c>
      <c r="AM172">
        <v>16</v>
      </c>
      <c r="AN172" s="26">
        <v>0</v>
      </c>
      <c r="AO172" s="29"/>
      <c r="AR172" s="26">
        <v>0</v>
      </c>
      <c r="AS172" s="29"/>
      <c r="AT172" s="28">
        <v>40</v>
      </c>
      <c r="AU172">
        <v>40</v>
      </c>
      <c r="AV172">
        <v>40</v>
      </c>
      <c r="AW172">
        <v>40</v>
      </c>
      <c r="AX172" s="26">
        <v>0</v>
      </c>
      <c r="AY172" s="29"/>
      <c r="AZ172" s="30"/>
      <c r="BB172" s="26">
        <v>0</v>
      </c>
      <c r="BC172" s="29"/>
      <c r="BF172">
        <v>16</v>
      </c>
      <c r="BG172">
        <v>20</v>
      </c>
      <c r="BH172" s="26">
        <v>-4</v>
      </c>
      <c r="BI172" s="29"/>
      <c r="BJ172">
        <v>32</v>
      </c>
      <c r="BK172">
        <v>36</v>
      </c>
      <c r="BL172" s="26">
        <v>-4</v>
      </c>
      <c r="BM172" s="29"/>
      <c r="BN172" s="30"/>
      <c r="BP172" s="26">
        <v>0</v>
      </c>
      <c r="BQ172" s="29"/>
      <c r="BR172" s="28">
        <v>16</v>
      </c>
      <c r="BS172">
        <v>15</v>
      </c>
      <c r="BT172" s="26">
        <v>1</v>
      </c>
      <c r="BU172" s="29"/>
      <c r="BV172">
        <v>32</v>
      </c>
      <c r="BW172">
        <v>33</v>
      </c>
      <c r="BX172" s="26">
        <v>-1</v>
      </c>
      <c r="BY172" s="29"/>
      <c r="BZ172" s="30"/>
      <c r="CC172" s="26">
        <v>0</v>
      </c>
      <c r="CD172" s="29"/>
      <c r="CE172" s="30"/>
      <c r="CI172" s="26">
        <v>0</v>
      </c>
      <c r="CJ172" s="29"/>
      <c r="CK172" s="28">
        <v>40</v>
      </c>
      <c r="CM172">
        <v>43</v>
      </c>
      <c r="CN172" s="26">
        <v>-3</v>
      </c>
      <c r="CO172" s="29"/>
      <c r="CP172">
        <v>8</v>
      </c>
      <c r="CQ172" s="26">
        <v>6.6000000000000014</v>
      </c>
      <c r="CR172" s="26">
        <v>1.399999999999999</v>
      </c>
      <c r="CS172" s="29"/>
      <c r="CT172" s="28">
        <v>24</v>
      </c>
      <c r="CU172" s="26">
        <v>24</v>
      </c>
      <c r="CV172" s="26">
        <v>0</v>
      </c>
      <c r="CW172" s="29"/>
      <c r="CX172" s="28">
        <v>8</v>
      </c>
      <c r="CY172" s="26">
        <v>8</v>
      </c>
      <c r="CZ172" s="26">
        <v>0</v>
      </c>
      <c r="DA172" s="29"/>
      <c r="DB172" s="28">
        <v>16</v>
      </c>
      <c r="DC172">
        <v>18</v>
      </c>
      <c r="DD172" s="26">
        <v>-2</v>
      </c>
      <c r="DE172" s="29"/>
      <c r="DF172">
        <v>8</v>
      </c>
      <c r="DG172" s="31">
        <v>11.4</v>
      </c>
      <c r="DH172" s="26">
        <v>-3.4</v>
      </c>
      <c r="DI172" s="29"/>
      <c r="DJ172">
        <v>16</v>
      </c>
      <c r="DK172">
        <v>21</v>
      </c>
      <c r="DL172" s="26">
        <v>-5</v>
      </c>
      <c r="DM172" s="29"/>
      <c r="DN172" s="28">
        <v>16</v>
      </c>
      <c r="DP172">
        <v>18</v>
      </c>
      <c r="DQ172" s="26">
        <v>-2</v>
      </c>
      <c r="DR172" s="29"/>
      <c r="DS172" s="28">
        <v>24</v>
      </c>
      <c r="DU172">
        <v>24</v>
      </c>
      <c r="DV172" s="26">
        <v>0</v>
      </c>
      <c r="DW172" s="29"/>
      <c r="DZ172" s="26">
        <v>0</v>
      </c>
      <c r="EA172" s="29"/>
      <c r="EB172" s="30"/>
      <c r="EE172" s="31">
        <v>32</v>
      </c>
      <c r="EG172" s="26">
        <v>0</v>
      </c>
      <c r="EH172" s="29"/>
      <c r="EK172" s="26">
        <v>0</v>
      </c>
      <c r="EL172" s="29"/>
      <c r="EM172" s="30"/>
      <c r="ER172" s="29"/>
      <c r="EX172" s="29"/>
      <c r="FB172" s="29"/>
      <c r="FC172" s="28"/>
      <c r="FF172" s="29"/>
      <c r="FG172" s="30"/>
      <c r="FJ172" s="29"/>
      <c r="FN172" s="29"/>
      <c r="FO172" s="30"/>
      <c r="FR172" s="29"/>
      <c r="FS172" s="30"/>
      <c r="FV172" s="29"/>
      <c r="FX172" s="27"/>
      <c r="FZ172" s="32"/>
      <c r="GD172" s="29"/>
      <c r="GG172" s="31"/>
      <c r="GH172" s="32"/>
      <c r="GL172" s="29"/>
      <c r="GP172" s="33"/>
      <c r="GQ172" s="27"/>
      <c r="GT172" s="29"/>
      <c r="GU172" s="28"/>
      <c r="GX172" s="32"/>
      <c r="GZ172" s="31"/>
      <c r="HB172" s="32"/>
      <c r="HF172" s="32"/>
      <c r="HJ172" s="29"/>
      <c r="HK172" s="27"/>
      <c r="HP172" s="32"/>
      <c r="HT172" s="32"/>
      <c r="HX172" s="32"/>
      <c r="HY172" s="34"/>
      <c r="IB172" s="32"/>
    </row>
    <row r="173" spans="1:236" x14ac:dyDescent="0.25">
      <c r="A173" s="26" t="s">
        <v>300</v>
      </c>
      <c r="B173" s="27">
        <v>0.28000000000000003</v>
      </c>
      <c r="E173">
        <v>120</v>
      </c>
      <c r="F173">
        <v>228</v>
      </c>
      <c r="I173" s="30"/>
      <c r="J173" s="36">
        <v>160</v>
      </c>
      <c r="K173" s="36">
        <v>158</v>
      </c>
      <c r="L173" s="35">
        <f t="shared" si="11"/>
        <v>2</v>
      </c>
      <c r="M173" s="29"/>
      <c r="N173" s="30"/>
      <c r="O173" s="36">
        <v>171</v>
      </c>
      <c r="P173" s="40">
        <f t="shared" si="12"/>
        <v>-171</v>
      </c>
      <c r="Q173" s="29">
        <f>-1*P173*B173</f>
        <v>47.88</v>
      </c>
      <c r="R173" s="28">
        <v>256</v>
      </c>
      <c r="S173" s="36">
        <v>256</v>
      </c>
      <c r="T173" s="35">
        <f t="shared" si="13"/>
        <v>0</v>
      </c>
      <c r="U173" s="29"/>
      <c r="V173" s="36">
        <v>48</v>
      </c>
      <c r="W173">
        <v>50</v>
      </c>
      <c r="X173" s="26">
        <v>-2</v>
      </c>
      <c r="Y173" s="29"/>
      <c r="Z173" s="28">
        <v>336</v>
      </c>
      <c r="AA173">
        <v>337</v>
      </c>
      <c r="AB173" s="26">
        <v>-1</v>
      </c>
      <c r="AC173" s="29"/>
      <c r="AD173">
        <v>48</v>
      </c>
      <c r="AE173">
        <v>49</v>
      </c>
      <c r="AF173" s="26">
        <v>-1</v>
      </c>
      <c r="AG173" s="29"/>
      <c r="AH173" s="28">
        <v>112</v>
      </c>
      <c r="AI173">
        <v>112</v>
      </c>
      <c r="AJ173" s="26">
        <v>0</v>
      </c>
      <c r="AK173" s="29"/>
      <c r="AL173" s="28">
        <v>200</v>
      </c>
      <c r="AM173">
        <v>202</v>
      </c>
      <c r="AN173" s="26">
        <v>-2</v>
      </c>
      <c r="AO173" s="29"/>
      <c r="AP173">
        <v>48</v>
      </c>
      <c r="AQ173">
        <v>46</v>
      </c>
      <c r="AR173" s="26">
        <v>2</v>
      </c>
      <c r="AS173" s="29"/>
      <c r="AT173" s="28">
        <v>56</v>
      </c>
      <c r="AU173">
        <v>60</v>
      </c>
      <c r="AV173">
        <v>64</v>
      </c>
      <c r="AW173">
        <v>68</v>
      </c>
      <c r="AX173" s="26">
        <v>-8</v>
      </c>
      <c r="AY173" s="29"/>
      <c r="AZ173" s="30"/>
      <c r="BB173" s="26">
        <v>0</v>
      </c>
      <c r="BC173" s="29"/>
      <c r="BF173">
        <v>176</v>
      </c>
      <c r="BG173">
        <v>178</v>
      </c>
      <c r="BH173" s="26">
        <v>-2</v>
      </c>
      <c r="BI173" s="29"/>
      <c r="BJ173">
        <v>32</v>
      </c>
      <c r="BK173">
        <v>36</v>
      </c>
      <c r="BL173" s="26">
        <v>-4</v>
      </c>
      <c r="BM173" s="29"/>
      <c r="BN173" s="28">
        <v>144</v>
      </c>
      <c r="BO173">
        <v>146</v>
      </c>
      <c r="BP173" s="26">
        <v>-2</v>
      </c>
      <c r="BQ173" s="29"/>
      <c r="BR173" s="28">
        <v>96</v>
      </c>
      <c r="BS173">
        <v>95</v>
      </c>
      <c r="BT173" s="26">
        <v>1</v>
      </c>
      <c r="BU173" s="29"/>
      <c r="BV173">
        <v>88</v>
      </c>
      <c r="BW173">
        <v>92</v>
      </c>
      <c r="BX173" s="26">
        <v>-4</v>
      </c>
      <c r="BY173" s="29"/>
      <c r="BZ173" s="30"/>
      <c r="CC173" s="26">
        <v>0</v>
      </c>
      <c r="CD173" s="29"/>
      <c r="CE173" s="30"/>
      <c r="CG173">
        <v>112</v>
      </c>
      <c r="CH173">
        <v>117</v>
      </c>
      <c r="CI173" s="26">
        <v>-5</v>
      </c>
      <c r="CJ173" s="29"/>
      <c r="CK173" s="28">
        <v>136</v>
      </c>
      <c r="CM173">
        <v>141</v>
      </c>
      <c r="CN173" s="26">
        <v>-5</v>
      </c>
      <c r="CO173" s="29"/>
      <c r="CP173">
        <v>104</v>
      </c>
      <c r="CQ173" s="26">
        <v>105.8</v>
      </c>
      <c r="CR173" s="26">
        <v>-1.7999999999999969</v>
      </c>
      <c r="CS173" s="29"/>
      <c r="CT173" s="28">
        <v>16</v>
      </c>
      <c r="CU173" s="26">
        <v>20</v>
      </c>
      <c r="CV173" s="26">
        <v>-4</v>
      </c>
      <c r="CW173" s="29"/>
      <c r="CX173" s="28">
        <v>56</v>
      </c>
      <c r="CY173" s="26">
        <v>59.400000000000013</v>
      </c>
      <c r="CZ173" s="26">
        <v>-3.4000000000000128</v>
      </c>
      <c r="DA173" s="29"/>
      <c r="DB173" s="28">
        <v>16</v>
      </c>
      <c r="DC173">
        <v>16</v>
      </c>
      <c r="DD173" s="26">
        <v>0</v>
      </c>
      <c r="DE173" s="29"/>
      <c r="DF173">
        <v>120</v>
      </c>
      <c r="DG173" s="31">
        <v>124.8</v>
      </c>
      <c r="DH173" s="26">
        <v>-4.7999999999999972</v>
      </c>
      <c r="DI173" s="29"/>
      <c r="DJ173">
        <v>88</v>
      </c>
      <c r="DK173">
        <v>101</v>
      </c>
      <c r="DL173" s="25">
        <v>-13</v>
      </c>
      <c r="DM173" s="29">
        <v>3.640000000000001</v>
      </c>
      <c r="DN173" s="30"/>
      <c r="DQ173" s="26">
        <v>0</v>
      </c>
      <c r="DR173" s="29"/>
      <c r="DS173" s="28">
        <v>64</v>
      </c>
      <c r="DV173" s="26">
        <v>0</v>
      </c>
      <c r="DW173" s="29"/>
      <c r="DX173" s="31">
        <v>192</v>
      </c>
      <c r="DZ173" s="26">
        <v>0</v>
      </c>
      <c r="EA173" s="29"/>
      <c r="EB173" s="30"/>
      <c r="EG173" s="26">
        <v>0</v>
      </c>
      <c r="EH173" s="29"/>
      <c r="EL173" s="29"/>
      <c r="EM173" s="30"/>
      <c r="ER173" s="29"/>
      <c r="EX173" s="29"/>
      <c r="FB173" s="29"/>
      <c r="FC173" s="28"/>
      <c r="FF173" s="29"/>
      <c r="FG173" s="30"/>
      <c r="FJ173" s="29"/>
      <c r="FN173" s="29"/>
      <c r="FO173" s="30"/>
      <c r="FQ173" s="27"/>
      <c r="FR173" s="29"/>
      <c r="FS173" s="30"/>
      <c r="FV173" s="29"/>
      <c r="FX173" s="27"/>
      <c r="FZ173" s="32"/>
      <c r="GD173" s="29"/>
      <c r="GG173" s="31"/>
      <c r="GH173" s="32"/>
      <c r="GL173" s="29"/>
      <c r="GP173" s="33"/>
      <c r="GQ173" s="27"/>
      <c r="GT173" s="29"/>
      <c r="GU173" s="28"/>
      <c r="GX173" s="32"/>
      <c r="GZ173" s="31"/>
      <c r="HB173" s="32"/>
      <c r="HF173" s="32"/>
      <c r="HJ173" s="29"/>
      <c r="HK173" s="27"/>
      <c r="HP173" s="32"/>
      <c r="HT173" s="32"/>
      <c r="HX173" s="32"/>
      <c r="HY173" s="34"/>
      <c r="IB173" s="32"/>
    </row>
    <row r="174" spans="1:236" x14ac:dyDescent="0.25">
      <c r="A174" s="26" t="s">
        <v>301</v>
      </c>
      <c r="B174" s="27">
        <v>0.28000000000000003</v>
      </c>
      <c r="F174">
        <v>74</v>
      </c>
      <c r="I174" s="30"/>
      <c r="J174" s="36">
        <v>56</v>
      </c>
      <c r="K174" s="36">
        <v>58</v>
      </c>
      <c r="L174" s="35">
        <f t="shared" si="11"/>
        <v>-2</v>
      </c>
      <c r="M174" s="29"/>
      <c r="N174" s="28">
        <v>216</v>
      </c>
      <c r="O174" s="36">
        <v>214</v>
      </c>
      <c r="P174" s="35">
        <f t="shared" si="12"/>
        <v>2</v>
      </c>
      <c r="Q174" s="29"/>
      <c r="R174" s="28">
        <v>112</v>
      </c>
      <c r="S174" s="36">
        <v>113</v>
      </c>
      <c r="T174" s="35">
        <f t="shared" si="13"/>
        <v>-1</v>
      </c>
      <c r="U174" s="29"/>
      <c r="V174" s="36">
        <v>32</v>
      </c>
      <c r="W174">
        <v>30</v>
      </c>
      <c r="X174" s="26">
        <v>2</v>
      </c>
      <c r="Y174" s="29"/>
      <c r="Z174" s="28">
        <v>216</v>
      </c>
      <c r="AA174">
        <v>217</v>
      </c>
      <c r="AB174" s="26">
        <v>-1</v>
      </c>
      <c r="AC174" s="29"/>
      <c r="AD174">
        <v>8</v>
      </c>
      <c r="AE174">
        <v>8</v>
      </c>
      <c r="AF174" s="26">
        <v>0</v>
      </c>
      <c r="AG174" s="29"/>
      <c r="AH174" s="28">
        <v>144</v>
      </c>
      <c r="AI174">
        <v>143</v>
      </c>
      <c r="AJ174" s="26">
        <v>1</v>
      </c>
      <c r="AK174" s="29"/>
      <c r="AL174" s="28">
        <v>72</v>
      </c>
      <c r="AM174">
        <v>73</v>
      </c>
      <c r="AN174" s="26">
        <v>-1</v>
      </c>
      <c r="AO174" s="29"/>
      <c r="AP174">
        <v>24</v>
      </c>
      <c r="AQ174">
        <v>22</v>
      </c>
      <c r="AR174" s="26">
        <v>2</v>
      </c>
      <c r="AS174" s="29"/>
      <c r="AT174" s="30"/>
      <c r="AU174">
        <v>60</v>
      </c>
      <c r="AV174">
        <v>64</v>
      </c>
      <c r="AW174">
        <v>69</v>
      </c>
      <c r="AX174" s="25">
        <v>-65</v>
      </c>
      <c r="AY174" s="29">
        <v>64.72</v>
      </c>
      <c r="AZ174" s="28">
        <v>8</v>
      </c>
      <c r="BA174">
        <v>8</v>
      </c>
      <c r="BB174" s="26">
        <v>0</v>
      </c>
      <c r="BC174" s="29"/>
      <c r="BF174">
        <v>56</v>
      </c>
      <c r="BG174">
        <v>55</v>
      </c>
      <c r="BH174" s="26">
        <v>1</v>
      </c>
      <c r="BI174" s="29"/>
      <c r="BJ174">
        <v>112</v>
      </c>
      <c r="BK174">
        <v>112</v>
      </c>
      <c r="BL174" s="26">
        <v>0</v>
      </c>
      <c r="BM174" s="29"/>
      <c r="BN174" s="28">
        <v>72</v>
      </c>
      <c r="BO174">
        <v>75</v>
      </c>
      <c r="BP174" s="26">
        <v>-3</v>
      </c>
      <c r="BQ174" s="29"/>
      <c r="BR174" s="28">
        <v>40</v>
      </c>
      <c r="BS174">
        <v>40</v>
      </c>
      <c r="BT174" s="26">
        <v>0</v>
      </c>
      <c r="BU174" s="29"/>
      <c r="BV174">
        <v>88</v>
      </c>
      <c r="BW174">
        <v>86</v>
      </c>
      <c r="BX174" s="26">
        <v>2</v>
      </c>
      <c r="BY174" s="29"/>
      <c r="BZ174" s="30"/>
      <c r="CC174" s="26">
        <v>0</v>
      </c>
      <c r="CD174" s="29"/>
      <c r="CE174" s="30"/>
      <c r="CG174">
        <v>80</v>
      </c>
      <c r="CH174">
        <v>85</v>
      </c>
      <c r="CI174" s="26">
        <v>-5</v>
      </c>
      <c r="CJ174" s="29"/>
      <c r="CK174" s="28">
        <v>88</v>
      </c>
      <c r="CM174">
        <v>90</v>
      </c>
      <c r="CN174" s="26">
        <v>-2</v>
      </c>
      <c r="CO174" s="29"/>
      <c r="CP174">
        <v>64</v>
      </c>
      <c r="CQ174" s="26">
        <v>64.600000000000009</v>
      </c>
      <c r="CR174" s="26">
        <v>-0.60000000000000853</v>
      </c>
      <c r="CS174" s="29"/>
      <c r="CT174" s="28">
        <v>56</v>
      </c>
      <c r="CU174" s="26">
        <v>55</v>
      </c>
      <c r="CV174" s="26">
        <v>1</v>
      </c>
      <c r="CW174" s="29"/>
      <c r="CX174" s="28">
        <v>8</v>
      </c>
      <c r="CY174" s="26">
        <v>34.399999999999991</v>
      </c>
      <c r="CZ174" s="25">
        <v>-26.399999999999991</v>
      </c>
      <c r="DA174" s="29">
        <v>7.3919999999999986</v>
      </c>
      <c r="DB174" s="30"/>
      <c r="DD174" s="26">
        <v>0</v>
      </c>
      <c r="DE174" s="29"/>
      <c r="DF174">
        <v>24</v>
      </c>
      <c r="DG174" s="31">
        <v>23.399999999999991</v>
      </c>
      <c r="DH174" s="26">
        <v>0.60000000000000853</v>
      </c>
      <c r="DI174" s="29"/>
      <c r="DJ174">
        <v>72</v>
      </c>
      <c r="DK174">
        <v>73</v>
      </c>
      <c r="DL174" s="26">
        <v>-1</v>
      </c>
      <c r="DM174" s="29"/>
      <c r="DN174" s="28">
        <v>40</v>
      </c>
      <c r="DP174">
        <v>40</v>
      </c>
      <c r="DQ174" s="26">
        <v>0</v>
      </c>
      <c r="DR174" s="29"/>
      <c r="DS174" s="28">
        <v>80</v>
      </c>
      <c r="DU174">
        <v>78</v>
      </c>
      <c r="DV174" s="26">
        <v>2</v>
      </c>
      <c r="DW174" s="29"/>
      <c r="DZ174" s="26">
        <v>0</v>
      </c>
      <c r="EA174" s="29"/>
      <c r="EB174" s="30"/>
      <c r="EE174" s="31">
        <v>64</v>
      </c>
      <c r="EG174" s="26">
        <v>0</v>
      </c>
      <c r="EH174" s="29"/>
      <c r="EK174" s="26">
        <v>0</v>
      </c>
      <c r="EL174" s="29"/>
      <c r="EM174" s="30"/>
      <c r="ER174" s="29"/>
      <c r="EX174" s="29"/>
      <c r="FB174" s="29"/>
      <c r="FC174" s="28"/>
      <c r="FF174" s="29"/>
      <c r="FG174" s="30"/>
      <c r="FJ174" s="29"/>
      <c r="FN174" s="29"/>
      <c r="FO174" s="30"/>
      <c r="FR174" s="29"/>
      <c r="FS174" s="30"/>
      <c r="FV174" s="29"/>
      <c r="FX174" s="27"/>
      <c r="FZ174" s="32"/>
      <c r="GD174" s="29"/>
      <c r="GG174" s="31"/>
      <c r="GH174" s="32"/>
      <c r="GL174" s="29"/>
      <c r="GP174" s="33"/>
      <c r="GQ174" s="27"/>
      <c r="GT174" s="29"/>
      <c r="GU174" s="28"/>
      <c r="GX174" s="32"/>
      <c r="GZ174" s="31"/>
      <c r="HB174" s="32"/>
      <c r="HF174" s="32"/>
      <c r="HJ174" s="29"/>
      <c r="HK174" s="27"/>
      <c r="HP174" s="32"/>
      <c r="HT174" s="32"/>
      <c r="HX174" s="32"/>
      <c r="HY174" s="34"/>
      <c r="IB174" s="32"/>
    </row>
    <row r="175" spans="1:236" x14ac:dyDescent="0.25">
      <c r="A175" s="26" t="s">
        <v>302</v>
      </c>
      <c r="B175" s="27">
        <v>0.28000000000000003</v>
      </c>
      <c r="E175">
        <v>100</v>
      </c>
      <c r="F175">
        <v>144</v>
      </c>
      <c r="I175" s="30"/>
      <c r="J175" s="36">
        <v>200</v>
      </c>
      <c r="K175" s="36">
        <v>205</v>
      </c>
      <c r="L175" s="35">
        <f t="shared" si="11"/>
        <v>-5</v>
      </c>
      <c r="M175" s="29"/>
      <c r="N175" s="28">
        <v>112</v>
      </c>
      <c r="O175" s="36">
        <v>114</v>
      </c>
      <c r="P175" s="35">
        <f t="shared" si="12"/>
        <v>-2</v>
      </c>
      <c r="Q175" s="29"/>
      <c r="R175" s="28">
        <v>168</v>
      </c>
      <c r="S175" s="36">
        <v>177</v>
      </c>
      <c r="T175" s="35">
        <f t="shared" si="13"/>
        <v>-9</v>
      </c>
      <c r="U175" s="29"/>
      <c r="V175" s="36">
        <v>208</v>
      </c>
      <c r="W175">
        <v>210</v>
      </c>
      <c r="X175" s="26">
        <v>-2</v>
      </c>
      <c r="Y175" s="29"/>
      <c r="Z175" s="30"/>
      <c r="AB175" s="26">
        <v>0</v>
      </c>
      <c r="AC175" s="29"/>
      <c r="AD175">
        <v>232</v>
      </c>
      <c r="AE175">
        <v>234</v>
      </c>
      <c r="AF175" s="26">
        <v>-2</v>
      </c>
      <c r="AG175" s="29"/>
      <c r="AH175" s="30"/>
      <c r="AJ175" s="26">
        <v>0</v>
      </c>
      <c r="AK175" s="29"/>
      <c r="AL175" s="28">
        <v>128</v>
      </c>
      <c r="AM175">
        <v>131</v>
      </c>
      <c r="AN175" s="26">
        <v>-3</v>
      </c>
      <c r="AO175" s="29"/>
      <c r="AR175" s="26">
        <v>0</v>
      </c>
      <c r="AS175" s="29"/>
      <c r="AT175" s="30"/>
      <c r="AX175" s="26">
        <v>0</v>
      </c>
      <c r="AY175" s="29"/>
      <c r="AZ175" s="28">
        <v>96</v>
      </c>
      <c r="BA175">
        <v>95</v>
      </c>
      <c r="BB175" s="26">
        <v>1</v>
      </c>
      <c r="BC175" s="29"/>
      <c r="BH175" s="26">
        <v>0</v>
      </c>
      <c r="BI175" s="29"/>
      <c r="BJ175">
        <v>8</v>
      </c>
      <c r="BK175">
        <v>8</v>
      </c>
      <c r="BL175" s="26">
        <v>0</v>
      </c>
      <c r="BM175" s="29"/>
      <c r="BN175" s="28">
        <v>48</v>
      </c>
      <c r="BO175">
        <v>50</v>
      </c>
      <c r="BP175" s="26">
        <v>-2</v>
      </c>
      <c r="BQ175" s="29"/>
      <c r="BR175" s="30"/>
      <c r="BT175" s="26">
        <v>0</v>
      </c>
      <c r="BU175" s="29"/>
      <c r="BV175">
        <v>48</v>
      </c>
      <c r="BW175">
        <v>52</v>
      </c>
      <c r="BX175" s="26">
        <v>-4</v>
      </c>
      <c r="BY175" s="29"/>
      <c r="BZ175" s="30"/>
      <c r="CC175" s="26">
        <v>0</v>
      </c>
      <c r="CD175" s="29"/>
      <c r="CE175" s="30"/>
      <c r="CG175">
        <v>72</v>
      </c>
      <c r="CH175">
        <v>70</v>
      </c>
      <c r="CI175" s="26">
        <v>2</v>
      </c>
      <c r="CJ175" s="29"/>
      <c r="CK175" s="28">
        <v>56</v>
      </c>
      <c r="CM175">
        <v>56</v>
      </c>
      <c r="CN175" s="26">
        <v>0</v>
      </c>
      <c r="CO175" s="29"/>
      <c r="CP175">
        <v>48</v>
      </c>
      <c r="CQ175" s="26">
        <v>48.600000000000009</v>
      </c>
      <c r="CR175" s="26">
        <v>-0.60000000000000853</v>
      </c>
      <c r="CS175" s="29"/>
      <c r="CT175" s="28">
        <v>40</v>
      </c>
      <c r="CU175" s="26">
        <v>44</v>
      </c>
      <c r="CV175" s="26">
        <v>-4</v>
      </c>
      <c r="CW175" s="29"/>
      <c r="CX175" s="30"/>
      <c r="CZ175" s="26">
        <v>0</v>
      </c>
      <c r="DA175" s="29"/>
      <c r="DB175" s="28">
        <v>24</v>
      </c>
      <c r="DC175">
        <v>26</v>
      </c>
      <c r="DD175" s="26">
        <v>-2</v>
      </c>
      <c r="DE175" s="29"/>
      <c r="DH175" s="26">
        <v>0</v>
      </c>
      <c r="DI175" s="29"/>
      <c r="DL175" s="26">
        <v>0</v>
      </c>
      <c r="DM175" s="29"/>
      <c r="DN175" s="28">
        <v>48</v>
      </c>
      <c r="DP175">
        <v>49</v>
      </c>
      <c r="DQ175" s="26">
        <v>-1</v>
      </c>
      <c r="DR175" s="29"/>
      <c r="DS175" s="28">
        <v>48</v>
      </c>
      <c r="DU175">
        <v>48</v>
      </c>
      <c r="DV175" s="26">
        <v>0</v>
      </c>
      <c r="DW175" s="29"/>
      <c r="DZ175" s="26">
        <v>0</v>
      </c>
      <c r="EA175" s="29"/>
      <c r="EB175" s="30"/>
      <c r="EE175">
        <v>40</v>
      </c>
      <c r="EG175" s="26">
        <v>0</v>
      </c>
      <c r="EH175" s="29"/>
      <c r="EI175" s="22">
        <v>32</v>
      </c>
      <c r="EK175" s="26">
        <v>0</v>
      </c>
      <c r="EL175" s="29"/>
      <c r="EM175" s="30"/>
      <c r="ER175" s="29"/>
      <c r="EX175" s="29"/>
      <c r="FB175" s="29"/>
      <c r="FC175" s="28"/>
      <c r="FF175" s="29"/>
      <c r="FG175" s="30"/>
      <c r="FJ175" s="29"/>
      <c r="FN175" s="29"/>
      <c r="FO175" s="30"/>
      <c r="FR175" s="29"/>
      <c r="FS175" s="30"/>
      <c r="FV175" s="29"/>
      <c r="FX175" s="27"/>
      <c r="FZ175" s="32"/>
      <c r="GD175" s="29"/>
      <c r="GG175" s="31"/>
      <c r="GH175" s="32"/>
      <c r="GL175" s="29"/>
      <c r="GP175" s="33"/>
      <c r="GQ175" s="27"/>
      <c r="GT175" s="29"/>
      <c r="GU175" s="28"/>
      <c r="GX175" s="32"/>
      <c r="GZ175" s="31"/>
      <c r="HB175" s="32"/>
      <c r="HF175" s="32"/>
      <c r="HJ175" s="29"/>
      <c r="HK175" s="27"/>
      <c r="HP175" s="32"/>
      <c r="HT175" s="32"/>
      <c r="HX175" s="32"/>
      <c r="HY175" s="34"/>
      <c r="IB175" s="32"/>
    </row>
    <row r="176" spans="1:236" x14ac:dyDescent="0.25">
      <c r="A176" s="26" t="s">
        <v>303</v>
      </c>
      <c r="B176" s="27">
        <v>0.4</v>
      </c>
      <c r="I176" s="30"/>
      <c r="J176" s="36">
        <v>456</v>
      </c>
      <c r="K176" s="35"/>
      <c r="L176" s="35">
        <v>0</v>
      </c>
      <c r="M176" s="29"/>
      <c r="N176" s="30"/>
      <c r="O176" s="35"/>
      <c r="P176" s="35">
        <f t="shared" si="12"/>
        <v>0</v>
      </c>
      <c r="Q176" s="29"/>
      <c r="R176" s="30"/>
      <c r="S176" s="35"/>
      <c r="T176" s="35">
        <f t="shared" si="13"/>
        <v>0</v>
      </c>
      <c r="U176" s="29"/>
      <c r="V176" s="36"/>
      <c r="Y176" s="29"/>
      <c r="Z176" s="30"/>
      <c r="AC176" s="29"/>
      <c r="AG176" s="29"/>
      <c r="AH176" s="30"/>
      <c r="AK176" s="29"/>
      <c r="AL176" s="28"/>
      <c r="AO176" s="29"/>
      <c r="AS176" s="29"/>
      <c r="AT176" s="30"/>
      <c r="AY176" s="29"/>
      <c r="AZ176" s="28"/>
      <c r="BC176" s="29"/>
      <c r="BI176" s="29"/>
      <c r="BM176" s="29"/>
      <c r="BN176" s="28"/>
      <c r="BQ176" s="29"/>
      <c r="BR176" s="30"/>
      <c r="BU176" s="29"/>
      <c r="BY176" s="29"/>
      <c r="BZ176" s="30"/>
      <c r="CD176" s="29"/>
      <c r="CE176" s="30"/>
      <c r="CJ176" s="29"/>
      <c r="CK176" s="28"/>
      <c r="CM176" s="26"/>
      <c r="CO176" s="29"/>
      <c r="CQ176" s="26"/>
      <c r="CR176" s="26"/>
      <c r="CS176" s="29"/>
      <c r="CT176" s="28"/>
      <c r="CU176" s="26"/>
      <c r="CV176" s="26"/>
      <c r="CW176" s="29"/>
      <c r="CX176" s="30"/>
      <c r="CY176" s="31"/>
      <c r="CZ176" s="26"/>
      <c r="DA176" s="29"/>
      <c r="DB176" s="28"/>
      <c r="DC176" s="26"/>
      <c r="DD176" s="26"/>
      <c r="DE176" s="29"/>
      <c r="DF176" s="26"/>
      <c r="DG176" s="31"/>
      <c r="DH176" s="26"/>
      <c r="DI176" s="29"/>
      <c r="DK176" s="31"/>
      <c r="DL176" s="26"/>
      <c r="DM176" s="29"/>
      <c r="DN176" s="28"/>
      <c r="DR176" s="29"/>
      <c r="DS176" s="28"/>
      <c r="DW176" s="29"/>
      <c r="EA176" s="29"/>
      <c r="EB176" s="30"/>
      <c r="EH176" s="29"/>
      <c r="EL176" s="29"/>
      <c r="EM176" s="30"/>
      <c r="ER176" s="29"/>
      <c r="EX176" s="29"/>
      <c r="FB176" s="29"/>
      <c r="FC176" s="28"/>
      <c r="FF176" s="29"/>
      <c r="FG176" s="30"/>
      <c r="FJ176" s="29"/>
      <c r="FN176" s="29"/>
      <c r="FO176" s="30"/>
      <c r="FR176" s="29"/>
      <c r="FS176" s="30"/>
      <c r="FV176" s="29"/>
      <c r="FX176" s="27"/>
      <c r="FZ176" s="32"/>
      <c r="GD176" s="29"/>
      <c r="GG176" s="31"/>
      <c r="GH176" s="32"/>
      <c r="GL176" s="29"/>
      <c r="GP176" s="33"/>
      <c r="GQ176" s="27"/>
      <c r="GT176" s="29"/>
      <c r="GU176" s="28"/>
      <c r="GX176" s="32"/>
      <c r="GZ176" s="31"/>
      <c r="HB176" s="32"/>
      <c r="HF176" s="32"/>
      <c r="HJ176" s="29"/>
      <c r="HK176" s="27"/>
      <c r="HP176" s="32"/>
      <c r="HT176" s="32"/>
      <c r="HX176" s="32"/>
      <c r="HY176" s="34"/>
      <c r="IB176" s="32"/>
    </row>
    <row r="177" spans="1:236" x14ac:dyDescent="0.25">
      <c r="A177" s="26" t="s">
        <v>304</v>
      </c>
      <c r="B177" s="27">
        <v>0.33</v>
      </c>
      <c r="I177" s="30"/>
      <c r="J177" s="35"/>
      <c r="K177" s="35"/>
      <c r="L177" s="35">
        <f t="shared" si="11"/>
        <v>0</v>
      </c>
      <c r="M177" s="29"/>
      <c r="N177" s="30"/>
      <c r="O177" s="35"/>
      <c r="P177" s="35">
        <f t="shared" si="12"/>
        <v>0</v>
      </c>
      <c r="Q177" s="29"/>
      <c r="R177" s="30"/>
      <c r="S177" s="35"/>
      <c r="T177" s="35">
        <f t="shared" si="13"/>
        <v>0</v>
      </c>
      <c r="U177" s="29"/>
      <c r="V177" s="35"/>
      <c r="X177" s="26">
        <v>0</v>
      </c>
      <c r="Y177" s="29"/>
      <c r="Z177" s="30"/>
      <c r="AB177" s="26">
        <v>0</v>
      </c>
      <c r="AC177" s="29"/>
      <c r="AF177" s="26">
        <v>0</v>
      </c>
      <c r="AG177" s="29"/>
      <c r="AH177" s="30"/>
      <c r="AJ177" s="26">
        <v>0</v>
      </c>
      <c r="AK177" s="29"/>
      <c r="AL177" s="30"/>
      <c r="AN177" s="26">
        <v>0</v>
      </c>
      <c r="AO177" s="29"/>
      <c r="AR177" s="26">
        <v>0</v>
      </c>
      <c r="AS177" s="29"/>
      <c r="AT177" s="30"/>
      <c r="AX177" s="26">
        <v>0</v>
      </c>
      <c r="AY177" s="29"/>
      <c r="AZ177" s="30"/>
      <c r="BB177" s="26">
        <v>0</v>
      </c>
      <c r="BC177" s="29"/>
      <c r="BH177" s="26">
        <v>0</v>
      </c>
      <c r="BI177" s="29"/>
      <c r="BL177" s="26">
        <v>0</v>
      </c>
      <c r="BM177" s="29"/>
      <c r="BN177" s="30"/>
      <c r="BP177" s="26">
        <v>0</v>
      </c>
      <c r="BQ177" s="29"/>
      <c r="BR177" s="30"/>
      <c r="BT177" s="26">
        <v>0</v>
      </c>
      <c r="BU177" s="29"/>
      <c r="BX177" s="26">
        <v>0</v>
      </c>
      <c r="BY177" s="29"/>
      <c r="BZ177" s="28">
        <v>24</v>
      </c>
      <c r="CB177">
        <v>22</v>
      </c>
      <c r="CC177" s="26">
        <v>2</v>
      </c>
      <c r="CD177" s="29"/>
      <c r="CE177" s="30"/>
      <c r="CI177" s="26">
        <v>0</v>
      </c>
      <c r="CJ177" s="29"/>
      <c r="CK177" s="28">
        <v>24</v>
      </c>
      <c r="CM177">
        <v>28</v>
      </c>
      <c r="CN177" s="26">
        <v>-4</v>
      </c>
      <c r="CO177" s="29"/>
      <c r="CR177" s="26">
        <v>0</v>
      </c>
      <c r="CS177" s="29"/>
      <c r="CT177" s="28">
        <v>8</v>
      </c>
      <c r="CU177" s="26">
        <v>8</v>
      </c>
      <c r="CV177" s="26">
        <v>0</v>
      </c>
      <c r="CW177" s="29"/>
      <c r="CX177" s="30"/>
      <c r="CZ177" s="26">
        <v>0</v>
      </c>
      <c r="DA177" s="29"/>
      <c r="DB177" s="28">
        <v>16</v>
      </c>
      <c r="DC177">
        <v>16</v>
      </c>
      <c r="DD177" s="26">
        <v>0</v>
      </c>
      <c r="DE177" s="29"/>
      <c r="DF177">
        <v>8</v>
      </c>
      <c r="DG177" s="31">
        <v>13</v>
      </c>
      <c r="DH177" s="26">
        <v>-5</v>
      </c>
      <c r="DI177" s="29"/>
      <c r="DL177" s="26">
        <v>0</v>
      </c>
      <c r="DM177" s="29"/>
      <c r="DN177" s="28">
        <v>16</v>
      </c>
      <c r="DP177">
        <v>17</v>
      </c>
      <c r="DQ177" s="26">
        <v>-1</v>
      </c>
      <c r="DR177" s="29"/>
      <c r="DS177" s="30"/>
      <c r="DV177" s="26">
        <v>0</v>
      </c>
      <c r="DW177" s="32"/>
      <c r="EA177" s="29"/>
      <c r="EB177" s="30"/>
      <c r="EH177" s="29"/>
      <c r="EL177" s="29"/>
      <c r="EM177" s="30"/>
      <c r="ER177" s="29"/>
      <c r="EX177" s="29"/>
      <c r="FB177" s="29"/>
      <c r="FC177" s="28"/>
      <c r="FF177" s="29"/>
      <c r="FG177" s="30"/>
      <c r="FI177" s="27"/>
      <c r="FJ177" s="29"/>
      <c r="FN177" s="29"/>
      <c r="FO177" s="30"/>
      <c r="FP177" s="27"/>
      <c r="FR177" s="29"/>
      <c r="FS177" s="30"/>
      <c r="FV177" s="29"/>
      <c r="FX177" s="27"/>
      <c r="FY177" s="31"/>
      <c r="FZ177" s="32"/>
      <c r="GD177" s="29"/>
      <c r="GG177" s="31"/>
      <c r="GH177" s="32"/>
      <c r="GL177" s="29"/>
      <c r="GP177" s="33"/>
      <c r="GQ177" s="27"/>
      <c r="GT177" s="29"/>
      <c r="GU177" s="28"/>
      <c r="GX177" s="32"/>
      <c r="GZ177" s="31"/>
      <c r="HB177" s="32"/>
      <c r="HF177" s="32"/>
      <c r="HJ177" s="29"/>
      <c r="HK177" s="27"/>
      <c r="HP177" s="32"/>
      <c r="HT177" s="32"/>
      <c r="HX177" s="32"/>
      <c r="HY177" s="34"/>
      <c r="IB177" s="32"/>
    </row>
    <row r="178" spans="1:236" x14ac:dyDescent="0.25">
      <c r="A178" s="26" t="s">
        <v>305</v>
      </c>
      <c r="B178" s="27">
        <v>0.3</v>
      </c>
      <c r="F178">
        <v>83</v>
      </c>
      <c r="I178" s="30"/>
      <c r="J178" s="36">
        <v>21</v>
      </c>
      <c r="K178" s="36">
        <v>21</v>
      </c>
      <c r="L178" s="35">
        <f t="shared" si="11"/>
        <v>0</v>
      </c>
      <c r="M178" s="29"/>
      <c r="N178" s="28">
        <v>133</v>
      </c>
      <c r="O178" s="36">
        <v>134</v>
      </c>
      <c r="P178" s="35">
        <f t="shared" si="12"/>
        <v>-1</v>
      </c>
      <c r="Q178" s="29"/>
      <c r="R178" s="30"/>
      <c r="S178" s="35"/>
      <c r="T178" s="35">
        <f t="shared" si="13"/>
        <v>0</v>
      </c>
      <c r="U178" s="29"/>
      <c r="V178" s="36">
        <v>126</v>
      </c>
      <c r="W178">
        <v>125</v>
      </c>
      <c r="X178" s="26">
        <v>1</v>
      </c>
      <c r="Y178" s="29"/>
      <c r="Z178" s="28">
        <v>91</v>
      </c>
      <c r="AA178">
        <v>89</v>
      </c>
      <c r="AB178" s="26">
        <v>2</v>
      </c>
      <c r="AC178" s="29"/>
      <c r="AF178" s="26">
        <v>0</v>
      </c>
      <c r="AG178" s="29"/>
      <c r="AH178" s="28">
        <v>133</v>
      </c>
      <c r="AI178">
        <v>132</v>
      </c>
      <c r="AJ178" s="26">
        <v>1</v>
      </c>
      <c r="AK178" s="29"/>
      <c r="AL178" s="30"/>
      <c r="AN178" s="26">
        <v>0</v>
      </c>
      <c r="AO178" s="29"/>
      <c r="AP178">
        <v>84</v>
      </c>
      <c r="AQ178">
        <v>84</v>
      </c>
      <c r="AR178" s="26">
        <v>0</v>
      </c>
      <c r="AS178" s="29"/>
      <c r="AT178" s="28">
        <v>14</v>
      </c>
      <c r="AU178">
        <v>14</v>
      </c>
      <c r="AV178">
        <v>21</v>
      </c>
      <c r="AW178">
        <v>21</v>
      </c>
      <c r="AX178" s="26">
        <v>0</v>
      </c>
      <c r="AY178" s="29"/>
      <c r="AZ178" s="28">
        <v>7</v>
      </c>
      <c r="BA178">
        <v>7</v>
      </c>
      <c r="BB178" s="26">
        <v>0</v>
      </c>
      <c r="BC178" s="29"/>
      <c r="BF178">
        <v>70</v>
      </c>
      <c r="BG178">
        <v>70</v>
      </c>
      <c r="BH178" s="26">
        <v>0</v>
      </c>
      <c r="BI178" s="29"/>
      <c r="BL178" s="26">
        <v>0</v>
      </c>
      <c r="BM178" s="29"/>
      <c r="BN178" s="28">
        <v>56</v>
      </c>
      <c r="BO178">
        <v>59</v>
      </c>
      <c r="BP178" s="26">
        <v>-3</v>
      </c>
      <c r="BQ178" s="29"/>
      <c r="BR178" s="28">
        <v>28</v>
      </c>
      <c r="BS178">
        <v>28</v>
      </c>
      <c r="BT178" s="26">
        <v>0</v>
      </c>
      <c r="BU178" s="29"/>
      <c r="BV178">
        <v>14</v>
      </c>
      <c r="BW178">
        <v>18</v>
      </c>
      <c r="BX178" s="26">
        <v>-4</v>
      </c>
      <c r="BY178" s="29"/>
      <c r="BZ178" s="28">
        <v>42</v>
      </c>
      <c r="CB178">
        <v>41</v>
      </c>
      <c r="CC178" s="26">
        <v>1</v>
      </c>
      <c r="CD178" s="29"/>
      <c r="CE178" s="30"/>
      <c r="CG178">
        <v>7</v>
      </c>
      <c r="CH178">
        <v>10</v>
      </c>
      <c r="CI178" s="26">
        <v>-3</v>
      </c>
      <c r="CJ178" s="29"/>
      <c r="CK178" s="28">
        <v>49</v>
      </c>
      <c r="CM178" s="26">
        <v>48</v>
      </c>
      <c r="CN178" s="26">
        <v>1</v>
      </c>
      <c r="CO178" s="29"/>
      <c r="CR178" s="26">
        <v>0</v>
      </c>
      <c r="CS178" s="29"/>
      <c r="CT178" s="34"/>
      <c r="CV178" s="26">
        <v>0</v>
      </c>
      <c r="CW178" s="29"/>
      <c r="CX178" s="30"/>
      <c r="CZ178" s="26">
        <v>0</v>
      </c>
      <c r="DA178" s="29"/>
      <c r="DB178" s="30">
        <v>98</v>
      </c>
      <c r="DC178">
        <v>100</v>
      </c>
      <c r="DD178" s="26">
        <v>-2</v>
      </c>
      <c r="DE178" s="29"/>
      <c r="DH178" s="26">
        <v>0</v>
      </c>
      <c r="DI178" s="29"/>
      <c r="DL178" s="26">
        <v>0</v>
      </c>
      <c r="DM178" s="29"/>
      <c r="DN178" s="30"/>
      <c r="DQ178" s="26">
        <v>0</v>
      </c>
      <c r="DR178" s="29"/>
      <c r="DS178" s="30"/>
      <c r="DV178" s="26">
        <v>0</v>
      </c>
      <c r="DW178" s="32"/>
      <c r="EA178" s="29"/>
      <c r="EB178" s="30"/>
      <c r="EH178" s="29"/>
      <c r="EL178" s="29"/>
      <c r="EM178" s="30"/>
      <c r="ER178" s="29"/>
      <c r="EX178" s="29"/>
      <c r="FB178" s="29"/>
      <c r="FC178" s="28"/>
      <c r="FF178" s="29"/>
      <c r="FG178" s="30"/>
      <c r="FI178" s="27"/>
      <c r="FJ178" s="29"/>
      <c r="FN178" s="29"/>
      <c r="FO178" s="30"/>
      <c r="FP178" s="27"/>
      <c r="FR178" s="29"/>
      <c r="FS178" s="30"/>
      <c r="FV178" s="29"/>
      <c r="FX178" s="27"/>
      <c r="FY178" s="31"/>
      <c r="FZ178" s="32"/>
      <c r="GD178" s="29"/>
      <c r="GG178" s="31"/>
      <c r="GH178" s="32"/>
      <c r="GL178" s="29"/>
      <c r="GP178" s="33"/>
      <c r="GQ178" s="27"/>
      <c r="GT178" s="29"/>
      <c r="GU178" s="28"/>
      <c r="GX178" s="32"/>
      <c r="GZ178" s="31"/>
      <c r="HB178" s="32"/>
      <c r="HF178" s="32"/>
      <c r="HJ178" s="29"/>
      <c r="HK178" s="27"/>
      <c r="HP178" s="32"/>
      <c r="HT178" s="32"/>
      <c r="HX178" s="32"/>
      <c r="HY178" s="34"/>
      <c r="IB178" s="32"/>
    </row>
    <row r="179" spans="1:236" x14ac:dyDescent="0.25">
      <c r="A179" s="26" t="s">
        <v>306</v>
      </c>
      <c r="B179" s="27">
        <v>1</v>
      </c>
      <c r="I179" s="30"/>
      <c r="J179" s="36">
        <v>23</v>
      </c>
      <c r="K179" s="35"/>
      <c r="L179" s="35">
        <f t="shared" si="11"/>
        <v>23</v>
      </c>
      <c r="M179" s="29"/>
      <c r="N179" s="30"/>
      <c r="O179" s="35"/>
      <c r="P179" s="35">
        <f t="shared" si="12"/>
        <v>0</v>
      </c>
      <c r="Q179" s="29"/>
      <c r="R179" s="30"/>
      <c r="S179" s="35"/>
      <c r="T179" s="35">
        <f t="shared" si="13"/>
        <v>0</v>
      </c>
      <c r="U179" s="29"/>
      <c r="V179" s="36"/>
      <c r="Y179" s="29"/>
      <c r="Z179" s="28"/>
      <c r="AC179" s="29"/>
      <c r="AG179" s="29"/>
      <c r="AH179" s="28"/>
      <c r="AK179" s="29"/>
      <c r="AL179" s="30"/>
      <c r="AO179" s="29"/>
      <c r="AS179" s="29"/>
      <c r="AT179" s="28"/>
      <c r="AY179" s="29"/>
      <c r="AZ179" s="28"/>
      <c r="BC179" s="29"/>
      <c r="BI179" s="29"/>
      <c r="BM179" s="29"/>
      <c r="BN179" s="28"/>
      <c r="BQ179" s="29"/>
      <c r="BR179" s="28"/>
      <c r="BU179" s="29"/>
      <c r="BY179" s="29"/>
      <c r="BZ179" s="28"/>
      <c r="CD179" s="29"/>
      <c r="CE179" s="30"/>
      <c r="CJ179" s="29"/>
      <c r="CK179" s="28"/>
      <c r="CO179" s="29"/>
      <c r="CR179" s="26"/>
      <c r="CS179" s="29"/>
      <c r="CT179" s="34"/>
      <c r="CV179" s="26"/>
      <c r="CW179" s="29"/>
      <c r="CX179" s="30"/>
      <c r="DA179" s="29"/>
      <c r="DB179" s="30"/>
      <c r="DD179" s="26"/>
      <c r="DE179" s="29"/>
      <c r="DI179" s="29"/>
      <c r="DM179" s="29"/>
      <c r="DN179" s="30"/>
      <c r="DR179" s="29"/>
      <c r="DS179" s="30"/>
      <c r="DW179" s="32"/>
      <c r="EA179" s="29"/>
      <c r="EB179" s="30"/>
      <c r="EH179" s="29"/>
      <c r="EL179" s="29"/>
      <c r="EM179" s="30"/>
      <c r="ER179" s="29"/>
      <c r="EX179" s="29"/>
      <c r="FB179" s="29"/>
      <c r="FC179" s="28"/>
      <c r="FF179" s="29"/>
      <c r="FG179" s="30"/>
      <c r="FI179" s="27"/>
      <c r="FJ179" s="29"/>
      <c r="FN179" s="29"/>
      <c r="FO179" s="30"/>
      <c r="FP179" s="27"/>
      <c r="FR179" s="29"/>
      <c r="FS179" s="30"/>
      <c r="FV179" s="29"/>
      <c r="FX179" s="27"/>
      <c r="FY179" s="31"/>
      <c r="FZ179" s="32"/>
      <c r="GD179" s="29"/>
      <c r="GG179" s="31"/>
      <c r="GH179" s="32"/>
      <c r="GL179" s="29"/>
      <c r="GP179" s="33"/>
      <c r="GQ179" s="27"/>
      <c r="GT179" s="29"/>
      <c r="GU179" s="28"/>
      <c r="GX179" s="32"/>
      <c r="GZ179" s="31"/>
      <c r="HB179" s="32"/>
      <c r="HF179" s="32"/>
      <c r="HJ179" s="29"/>
      <c r="HK179" s="27"/>
      <c r="HP179" s="32"/>
      <c r="HT179" s="32"/>
      <c r="HX179" s="32"/>
      <c r="HY179" s="34"/>
      <c r="IB179" s="32"/>
    </row>
    <row r="180" spans="1:236" x14ac:dyDescent="0.25">
      <c r="A180" s="26" t="s">
        <v>307</v>
      </c>
      <c r="B180" s="27">
        <v>0.25</v>
      </c>
      <c r="I180" s="30"/>
      <c r="J180" s="35"/>
      <c r="K180" s="35"/>
      <c r="L180" s="35">
        <f t="shared" si="11"/>
        <v>0</v>
      </c>
      <c r="M180" s="29"/>
      <c r="N180" s="30"/>
      <c r="O180" s="35"/>
      <c r="P180" s="35">
        <f t="shared" si="12"/>
        <v>0</v>
      </c>
      <c r="Q180" s="29"/>
      <c r="R180" s="30"/>
      <c r="S180" s="35"/>
      <c r="T180" s="35">
        <f t="shared" si="13"/>
        <v>0</v>
      </c>
      <c r="U180" s="29"/>
      <c r="V180" s="35"/>
      <c r="X180" s="26">
        <v>0</v>
      </c>
      <c r="Y180" s="29"/>
      <c r="Z180" s="30"/>
      <c r="AB180" s="26">
        <v>0</v>
      </c>
      <c r="AC180" s="29"/>
      <c r="AF180" s="26">
        <v>0</v>
      </c>
      <c r="AG180" s="29"/>
      <c r="AH180" s="30"/>
      <c r="AJ180" s="26">
        <v>0</v>
      </c>
      <c r="AK180" s="29"/>
      <c r="AL180" s="30"/>
      <c r="AN180" s="26">
        <v>0</v>
      </c>
      <c r="AO180" s="29"/>
      <c r="AR180" s="26">
        <v>0</v>
      </c>
      <c r="AS180" s="29"/>
      <c r="AT180" s="28">
        <v>16</v>
      </c>
      <c r="AX180" s="26">
        <v>16</v>
      </c>
      <c r="AY180" s="29"/>
      <c r="AZ180" s="30"/>
      <c r="BB180" s="26">
        <v>0</v>
      </c>
      <c r="BC180" s="29"/>
      <c r="BI180" s="29"/>
      <c r="BM180" s="29"/>
      <c r="BN180" s="28"/>
      <c r="BQ180" s="29"/>
      <c r="BR180" s="28"/>
      <c r="BU180" s="29"/>
      <c r="BY180" s="29"/>
      <c r="BZ180" s="28"/>
      <c r="CD180" s="29"/>
      <c r="CE180" s="30"/>
      <c r="CJ180" s="29"/>
      <c r="CK180" s="28"/>
      <c r="CO180" s="29"/>
      <c r="CS180" s="29"/>
      <c r="CT180" s="34"/>
      <c r="CW180" s="29"/>
      <c r="CX180" s="30"/>
      <c r="DA180" s="29"/>
      <c r="DB180" s="30"/>
      <c r="DE180" s="29"/>
      <c r="DI180" s="29"/>
      <c r="DM180" s="29"/>
      <c r="DN180" s="30"/>
      <c r="DR180" s="29"/>
      <c r="DS180" s="30"/>
      <c r="DW180" s="32"/>
      <c r="EA180" s="29"/>
      <c r="EB180" s="30"/>
      <c r="EF180" s="31"/>
      <c r="EH180" s="29"/>
      <c r="EL180" s="29"/>
      <c r="EM180" s="30"/>
      <c r="ER180" s="29"/>
      <c r="EX180" s="29"/>
      <c r="FB180" s="29"/>
      <c r="FC180" s="28"/>
      <c r="FF180" s="29"/>
      <c r="FG180" s="30"/>
      <c r="FI180" s="27"/>
      <c r="FJ180" s="29"/>
      <c r="FN180" s="29"/>
      <c r="FO180" s="30"/>
      <c r="FP180" s="27"/>
      <c r="FR180" s="29"/>
      <c r="FS180" s="30"/>
      <c r="FV180" s="29"/>
      <c r="FX180" s="27"/>
      <c r="FY180" s="31"/>
      <c r="FZ180" s="32"/>
      <c r="GD180" s="29"/>
      <c r="GG180" s="31"/>
      <c r="GH180" s="32"/>
      <c r="GL180" s="29"/>
      <c r="GP180" s="33"/>
      <c r="GQ180" s="27"/>
      <c r="GT180" s="29"/>
      <c r="GU180" s="28"/>
      <c r="GX180" s="32"/>
      <c r="GZ180" s="31"/>
      <c r="HB180" s="32"/>
      <c r="HF180" s="32"/>
      <c r="HJ180" s="29"/>
      <c r="HK180" s="27"/>
      <c r="HP180" s="32"/>
      <c r="HT180" s="32"/>
      <c r="HX180" s="32"/>
      <c r="HY180" s="34"/>
      <c r="IB180" s="32"/>
    </row>
    <row r="181" spans="1:236" x14ac:dyDescent="0.25">
      <c r="A181" s="26" t="s">
        <v>308</v>
      </c>
      <c r="B181" s="27">
        <v>0.4</v>
      </c>
      <c r="I181" s="30"/>
      <c r="J181" s="35"/>
      <c r="K181" s="35"/>
      <c r="L181" s="35">
        <f t="shared" si="11"/>
        <v>0</v>
      </c>
      <c r="M181" s="29"/>
      <c r="N181" s="28">
        <v>48</v>
      </c>
      <c r="O181" s="35"/>
      <c r="P181" s="35">
        <v>0</v>
      </c>
      <c r="Q181" s="29"/>
      <c r="R181" s="30">
        <v>8</v>
      </c>
      <c r="S181" s="35"/>
      <c r="T181" s="35">
        <v>0</v>
      </c>
      <c r="U181" s="29"/>
      <c r="V181" s="35"/>
      <c r="Y181" s="29"/>
      <c r="Z181" s="30"/>
      <c r="AC181" s="29"/>
      <c r="AG181" s="29"/>
      <c r="AH181" s="30"/>
      <c r="AK181" s="29"/>
      <c r="AL181" s="30"/>
      <c r="AO181" s="29"/>
      <c r="AS181" s="29"/>
      <c r="AT181" s="28"/>
      <c r="AY181" s="29"/>
      <c r="AZ181" s="30"/>
      <c r="BC181" s="29"/>
      <c r="BI181" s="29"/>
      <c r="BM181" s="29"/>
      <c r="BN181" s="28"/>
      <c r="BQ181" s="29"/>
      <c r="BR181" s="28"/>
      <c r="BU181" s="29"/>
      <c r="BY181" s="29"/>
      <c r="BZ181" s="28"/>
      <c r="CD181" s="29"/>
      <c r="CE181" s="30"/>
      <c r="CJ181" s="29"/>
      <c r="CK181" s="28"/>
      <c r="CO181" s="29"/>
      <c r="CP181" s="31"/>
      <c r="CR181" s="26"/>
      <c r="CS181" s="29"/>
      <c r="CT181" s="34"/>
      <c r="CV181" s="26"/>
      <c r="CW181" s="29"/>
      <c r="CX181" s="30"/>
      <c r="CY181" s="27"/>
      <c r="DA181" s="29"/>
      <c r="DB181" s="30"/>
      <c r="DC181" s="31"/>
      <c r="DE181" s="29"/>
      <c r="DF181" s="27"/>
      <c r="DI181" s="29"/>
      <c r="DJ181" s="26"/>
      <c r="DM181" s="29"/>
      <c r="DN181" s="30"/>
      <c r="DO181" s="31"/>
      <c r="DR181" s="29"/>
      <c r="DS181" s="30"/>
      <c r="DW181" s="32"/>
      <c r="EA181" s="29"/>
      <c r="EB181" s="30"/>
      <c r="EF181" s="31"/>
      <c r="EH181" s="29"/>
      <c r="EL181" s="29"/>
      <c r="EM181" s="30"/>
      <c r="ER181" s="29"/>
      <c r="EX181" s="29"/>
      <c r="FB181" s="29"/>
      <c r="FC181" s="28"/>
      <c r="FF181" s="29"/>
      <c r="FG181" s="30"/>
      <c r="FI181" s="27"/>
      <c r="FJ181" s="29"/>
      <c r="FN181" s="29"/>
      <c r="FO181" s="30"/>
      <c r="FP181" s="27"/>
      <c r="FR181" s="29"/>
      <c r="FS181" s="30"/>
      <c r="FV181" s="29"/>
      <c r="FX181" s="27"/>
      <c r="FY181" s="31"/>
      <c r="FZ181" s="32"/>
      <c r="GD181" s="29"/>
      <c r="GG181" s="31"/>
      <c r="GH181" s="32"/>
      <c r="GL181" s="29"/>
      <c r="GP181" s="33"/>
      <c r="GQ181" s="27"/>
      <c r="GT181" s="29"/>
      <c r="GU181" s="28"/>
      <c r="GX181" s="32"/>
      <c r="GZ181" s="31"/>
      <c r="HB181" s="32"/>
      <c r="HF181" s="32"/>
      <c r="HJ181" s="29"/>
      <c r="HK181" s="27"/>
      <c r="HP181" s="32"/>
      <c r="HT181" s="32"/>
      <c r="HX181" s="32"/>
      <c r="HY181" s="34"/>
      <c r="IB181" s="32"/>
    </row>
    <row r="182" spans="1:236" ht="15.75" customHeight="1" thickBot="1" x14ac:dyDescent="0.3">
      <c r="A182" s="26" t="s">
        <v>309</v>
      </c>
      <c r="B182" s="27">
        <v>0.18</v>
      </c>
      <c r="I182" s="18"/>
      <c r="J182" s="9"/>
      <c r="K182" s="9"/>
      <c r="L182" s="9">
        <f t="shared" si="11"/>
        <v>0</v>
      </c>
      <c r="M182" s="14"/>
      <c r="N182" s="18"/>
      <c r="O182" s="9"/>
      <c r="P182" s="9">
        <f t="shared" si="12"/>
        <v>0</v>
      </c>
      <c r="Q182" s="14"/>
      <c r="R182" s="18"/>
      <c r="S182" s="9"/>
      <c r="T182" s="9">
        <f t="shared" si="13"/>
        <v>0</v>
      </c>
      <c r="U182" s="14"/>
      <c r="V182" s="9"/>
      <c r="W182" s="9"/>
      <c r="X182" s="9">
        <v>0</v>
      </c>
      <c r="Y182" s="14"/>
      <c r="Z182" s="18"/>
      <c r="AA182" s="9"/>
      <c r="AB182" s="9">
        <v>0</v>
      </c>
      <c r="AC182" s="14"/>
      <c r="AD182" s="9"/>
      <c r="AE182" s="9"/>
      <c r="AF182" s="9">
        <v>0</v>
      </c>
      <c r="AG182" s="14"/>
      <c r="AH182" s="18"/>
      <c r="AI182" s="9"/>
      <c r="AJ182" s="9">
        <v>0</v>
      </c>
      <c r="AK182" s="14"/>
      <c r="AL182" s="18"/>
      <c r="AM182" s="9"/>
      <c r="AN182" s="9">
        <v>0</v>
      </c>
      <c r="AO182" s="14"/>
      <c r="AP182" s="9"/>
      <c r="AQ182" s="9"/>
      <c r="AR182" s="9">
        <v>0</v>
      </c>
      <c r="AS182" s="14"/>
      <c r="AT182" s="18"/>
      <c r="AU182" s="9"/>
      <c r="AV182" s="9"/>
      <c r="AW182" s="9"/>
      <c r="AX182" s="9">
        <v>0</v>
      </c>
      <c r="AY182" s="14"/>
      <c r="AZ182" s="18"/>
      <c r="BA182" s="9"/>
      <c r="BB182" s="9">
        <v>0</v>
      </c>
      <c r="BC182" s="14"/>
      <c r="BD182" s="9"/>
      <c r="BE182" s="9"/>
      <c r="BF182" s="9"/>
      <c r="BG182" s="9"/>
      <c r="BH182" s="9">
        <v>0</v>
      </c>
      <c r="BI182" s="14"/>
      <c r="BJ182" s="9"/>
      <c r="BK182" s="9"/>
      <c r="BL182" s="9">
        <v>0</v>
      </c>
      <c r="BM182" s="14"/>
      <c r="BN182" s="18"/>
      <c r="BO182" s="9"/>
      <c r="BP182" s="9">
        <v>0</v>
      </c>
      <c r="BQ182" s="14"/>
      <c r="BR182" s="18"/>
      <c r="BS182" s="9"/>
      <c r="BT182" s="9">
        <v>0</v>
      </c>
      <c r="BU182" s="14"/>
      <c r="BV182" s="9"/>
      <c r="BW182" s="9"/>
      <c r="BX182" s="9">
        <v>0</v>
      </c>
      <c r="BY182" s="14"/>
      <c r="BZ182" s="18"/>
      <c r="CA182" s="9"/>
      <c r="CB182" s="9"/>
      <c r="CC182" s="9">
        <v>0</v>
      </c>
      <c r="CD182" s="14"/>
      <c r="CE182" s="18"/>
      <c r="CF182" s="9"/>
      <c r="CG182" s="9"/>
      <c r="CH182" s="9"/>
      <c r="CI182" s="9">
        <v>0</v>
      </c>
      <c r="CJ182" s="14"/>
      <c r="CK182" s="18"/>
      <c r="CL182" s="9"/>
      <c r="CM182" s="9"/>
      <c r="CN182" s="9">
        <v>0</v>
      </c>
      <c r="CO182" s="14"/>
      <c r="CP182" s="9"/>
      <c r="CQ182" s="9"/>
      <c r="CR182" s="9">
        <v>0</v>
      </c>
      <c r="CS182" s="14"/>
      <c r="CT182" s="7"/>
      <c r="CU182" s="9"/>
      <c r="CV182" s="9">
        <v>0</v>
      </c>
      <c r="CW182" s="14"/>
      <c r="CX182" s="18"/>
      <c r="CY182" s="9"/>
      <c r="CZ182" s="9">
        <v>0</v>
      </c>
      <c r="DA182" s="14"/>
      <c r="DB182" s="18"/>
      <c r="DC182" s="9"/>
      <c r="DD182" s="9">
        <v>0</v>
      </c>
      <c r="DE182" s="14"/>
      <c r="DF182" s="9"/>
      <c r="DG182" s="9"/>
      <c r="DH182" s="9">
        <v>0</v>
      </c>
      <c r="DI182" s="14"/>
      <c r="DJ182" s="9"/>
      <c r="DK182" s="9"/>
      <c r="DL182" s="9">
        <v>0</v>
      </c>
      <c r="DM182" s="14"/>
      <c r="DN182" s="18"/>
      <c r="DO182" s="9"/>
      <c r="DP182" s="9"/>
      <c r="DQ182" s="9">
        <v>0</v>
      </c>
      <c r="DR182" s="14"/>
      <c r="DS182" s="18"/>
      <c r="DT182" s="9"/>
      <c r="DU182" s="9"/>
      <c r="DV182" s="9">
        <v>0</v>
      </c>
      <c r="DW182" s="14"/>
      <c r="DX182" s="8"/>
      <c r="DY182" s="9"/>
      <c r="DZ182" s="9">
        <v>0</v>
      </c>
      <c r="EA182" s="14"/>
      <c r="EB182" s="18"/>
      <c r="EC182" s="8"/>
      <c r="ED182" s="9"/>
      <c r="EE182" s="9"/>
      <c r="EF182" s="9"/>
      <c r="EG182" s="9">
        <v>0</v>
      </c>
      <c r="EH182" s="14"/>
      <c r="EI182" s="9"/>
      <c r="EJ182" s="9"/>
      <c r="EK182" s="9">
        <v>0</v>
      </c>
      <c r="EL182" s="14"/>
      <c r="EM182" s="18"/>
      <c r="EN182" s="9"/>
      <c r="EO182" s="9"/>
      <c r="EP182" s="9"/>
      <c r="EQ182" s="9">
        <v>0</v>
      </c>
      <c r="ER182" s="14"/>
      <c r="ES182" s="9"/>
      <c r="ET182" s="9"/>
      <c r="EU182" s="9"/>
      <c r="EV182" s="9"/>
      <c r="EW182" s="9">
        <v>0</v>
      </c>
      <c r="EX182" s="14"/>
      <c r="EY182" s="9"/>
      <c r="EZ182" s="9"/>
      <c r="FA182" s="9">
        <v>0</v>
      </c>
      <c r="FB182" s="14"/>
      <c r="FC182" s="18"/>
      <c r="FD182" s="9"/>
      <c r="FE182" s="9">
        <v>0</v>
      </c>
      <c r="FF182" s="14"/>
      <c r="FG182" s="18"/>
      <c r="FH182" s="9"/>
      <c r="FI182" s="9">
        <v>0</v>
      </c>
      <c r="FJ182" s="14"/>
      <c r="FK182" s="9"/>
      <c r="FL182" s="9"/>
      <c r="FM182" s="9">
        <v>0</v>
      </c>
      <c r="FN182" s="14"/>
      <c r="FO182" s="18"/>
      <c r="FP182" s="9"/>
      <c r="FQ182" s="9">
        <v>0</v>
      </c>
      <c r="FR182" s="14"/>
      <c r="FS182" s="18"/>
      <c r="FT182" s="9"/>
      <c r="FU182" s="9">
        <v>0</v>
      </c>
      <c r="FV182" s="14"/>
      <c r="FW182" s="9"/>
      <c r="FX182" s="9"/>
      <c r="FY182" s="9">
        <v>0</v>
      </c>
      <c r="FZ182" s="10"/>
      <c r="GA182" s="9"/>
      <c r="GB182" s="8"/>
      <c r="GC182" s="9">
        <v>0</v>
      </c>
      <c r="GD182" s="14"/>
      <c r="GE182" s="8"/>
      <c r="GF182" s="15"/>
      <c r="GG182" s="9">
        <v>0</v>
      </c>
      <c r="GH182" s="10"/>
      <c r="GI182" s="8"/>
      <c r="GJ182" s="15"/>
      <c r="GK182" s="9">
        <v>0</v>
      </c>
      <c r="GL182" s="14"/>
      <c r="GM182" s="9"/>
      <c r="GN182" s="9"/>
      <c r="GO182" s="9">
        <v>0</v>
      </c>
      <c r="GP182" s="10"/>
      <c r="GQ182" s="15"/>
      <c r="GR182" s="8"/>
      <c r="GS182" s="9">
        <v>0</v>
      </c>
      <c r="GT182" s="14"/>
      <c r="GU182" s="7"/>
      <c r="GV182" s="15"/>
      <c r="GW182" s="9">
        <v>0</v>
      </c>
      <c r="GX182" s="10"/>
      <c r="GY182" s="8"/>
      <c r="GZ182" s="15"/>
      <c r="HA182" s="9">
        <v>0</v>
      </c>
      <c r="HB182" s="10"/>
      <c r="HC182" s="8"/>
      <c r="HD182" s="8"/>
      <c r="HE182" s="9">
        <v>0</v>
      </c>
      <c r="HF182" s="10"/>
      <c r="HG182" s="9"/>
      <c r="HH182" s="8"/>
      <c r="HI182" s="9">
        <v>0</v>
      </c>
      <c r="HJ182" s="14"/>
      <c r="HK182" s="13">
        <v>40</v>
      </c>
      <c r="HL182" s="13">
        <v>40</v>
      </c>
      <c r="HM182" s="13">
        <v>30</v>
      </c>
      <c r="HN182" s="13">
        <v>32</v>
      </c>
      <c r="HO182" s="9">
        <v>-2</v>
      </c>
      <c r="HP182" s="10"/>
      <c r="HQ182" s="8">
        <v>30</v>
      </c>
      <c r="HR182" s="8">
        <v>30</v>
      </c>
      <c r="HS182" s="9">
        <v>0</v>
      </c>
      <c r="HT182" s="10"/>
      <c r="HU182" s="8">
        <v>0</v>
      </c>
      <c r="HV182" s="8">
        <v>0</v>
      </c>
      <c r="HW182" s="9">
        <v>0</v>
      </c>
      <c r="HX182" s="10"/>
      <c r="HY182" s="7">
        <v>0</v>
      </c>
      <c r="HZ182" s="8">
        <v>0</v>
      </c>
      <c r="IA182" s="9">
        <v>0</v>
      </c>
      <c r="IB182" s="10"/>
    </row>
  </sheetData>
  <autoFilter ref="A1:DL182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Донецк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2025-11-07T11:05:41Z</dcterms:modified>
</cp:coreProperties>
</file>