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0E9B9235-F909-42CA-97D3-DA3578B153D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Донецк!$A$1:$DN$183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173" i="1" l="1"/>
  <c r="O136" i="1"/>
  <c r="O9" i="1"/>
  <c r="N29" i="1"/>
  <c r="N4" i="1"/>
  <c r="N5" i="1"/>
  <c r="N6" i="1"/>
  <c r="N7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3" i="1"/>
  <c r="II2" i="1" l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H2" i="1"/>
  <c r="G2" i="1"/>
  <c r="E2" i="1"/>
  <c r="D2" i="1"/>
  <c r="C2" i="1"/>
  <c r="J2" i="1"/>
  <c r="F2" i="1"/>
</calcChain>
</file>

<file path=xl/sharedStrings.xml><?xml version="1.0" encoding="utf-8"?>
<sst xmlns="http://schemas.openxmlformats.org/spreadsheetml/2006/main" count="424" uniqueCount="316">
  <si>
    <t>Номенклатура</t>
  </si>
  <si>
    <t>кооф</t>
  </si>
  <si>
    <t>19,11,пр</t>
  </si>
  <si>
    <t>14,11,пр</t>
  </si>
  <si>
    <t>разн.шт.</t>
  </si>
  <si>
    <t>недогруз вес</t>
  </si>
  <si>
    <t>17,11,</t>
  </si>
  <si>
    <t>15,11,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</si>
  <si>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</si>
  <si>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</si>
  <si>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</si>
  <si>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</si>
  <si>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</si>
  <si>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</si>
  <si>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</si>
  <si>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</si>
  <si>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</si>
  <si>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</si>
  <si>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</si>
  <si>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</si>
  <si>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</si>
  <si>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</si>
  <si>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</si>
  <si>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</si>
  <si>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</si>
  <si>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</si>
  <si>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</si>
  <si>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</si>
  <si>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</si>
  <si>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</si>
  <si>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</si>
  <si>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</si>
  <si>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</si>
  <si>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</si>
  <si>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</si>
  <si>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</si>
  <si>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</si>
  <si>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</si>
  <si>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</si>
  <si>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</si>
  <si>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</si>
  <si>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</si>
  <si>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</si>
  <si>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</si>
  <si>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</si>
  <si>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</si>
  <si>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</si>
  <si>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</si>
  <si>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</si>
  <si>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</si>
  <si>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</si>
  <si>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</si>
  <si>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</si>
  <si>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</si>
  <si>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</si>
  <si>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</si>
  <si>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</si>
  <si>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</si>
  <si>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</si>
  <si>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</si>
  <si>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</si>
  <si>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</si>
  <si>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</si>
  <si>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</si>
  <si>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</si>
  <si>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</si>
  <si>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</si>
  <si>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</si>
  <si>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</si>
  <si>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</si>
  <si>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</si>
  <si>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</si>
  <si>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</si>
  <si>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</si>
  <si>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</si>
  <si>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</si>
  <si>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</si>
  <si>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</si>
  <si>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</si>
  <si>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</si>
  <si>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</si>
  <si>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</si>
  <si>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</si>
  <si>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</si>
  <si>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</si>
  <si>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</si>
  <si>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</si>
  <si>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</si>
  <si>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</si>
  <si>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</si>
  <si>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</si>
  <si>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</si>
  <si>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</si>
  <si>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</si>
  <si>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</si>
  <si>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</si>
  <si>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</si>
  <si>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</si>
  <si>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</si>
  <si>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</si>
  <si>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</si>
  <si>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</si>
  <si>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</si>
  <si>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</si>
  <si>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</si>
  <si>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</si>
  <si>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</si>
  <si>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</si>
  <si>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</si>
  <si>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</si>
  <si>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</si>
  <si>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</si>
  <si>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</si>
  <si>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</si>
  <si>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</si>
  <si>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</si>
  <si>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</si>
  <si>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</si>
  <si>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</si>
  <si>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</si>
  <si>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</si>
  <si>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16,12,пр</t>
  </si>
  <si>
    <t>14,12,</t>
  </si>
  <si>
    <t>02,12,пр</t>
  </si>
  <si>
    <t>30,11,</t>
  </si>
  <si>
    <t>28,11,пр</t>
  </si>
  <si>
    <t>25,11,</t>
  </si>
  <si>
    <t>25,11,пр</t>
  </si>
  <si>
    <t>23,11,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</si>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</sst>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0" fontId="0" fillId="0" borderId="5" xfId="0" applyBorder="1"/>
    <xf numFmtId="165" fontId="0" fillId="0" borderId="3" xfId="0" applyNumberFormat="1" applyBorder="1"/>
    <xf numFmtId="164" fontId="1" fillId="3" borderId="0" xfId="1" applyNumberFormat="1" applyFill="1"/>
    <xf numFmtId="164" fontId="0" fillId="6" borderId="0" xfId="0" applyNumberFormat="1" applyFill="1"/>
    <xf numFmtId="164" fontId="0" fillId="0" borderId="0" xfId="0" applyNumberFormat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5" xfId="0" applyNumberFormat="1" applyBorder="1"/>
    <xf numFmtId="1" fontId="0" fillId="0" borderId="3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ill="1" applyBorder="1"/>
    <xf numFmtId="164" fontId="1" fillId="3" borderId="0" xfId="1" applyNumberFormat="1" applyFill="1" applyBorder="1"/>
    <xf numFmtId="164" fontId="1" fillId="3" borderId="3" xfId="1" applyNumberFormat="1" applyFill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I18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6" sqref="H6"/>
    </sheetView>
  </sheetViews>
  <sheetFormatPr defaultRowHeight="15" x14ac:dyDescent="0.25"/>
  <cols>
    <col min="1" max="1" width="62.5703125" style="28" bestFit="1" customWidth="1"/>
    <col min="2" max="2" width="6.85546875" style="29" customWidth="1"/>
    <col min="3" max="89" width="10.7109375" style="28" customWidth="1"/>
    <col min="90" max="90" width="10.7109375" style="32" customWidth="1"/>
    <col min="91" max="92" width="10.7109375" style="28" customWidth="1"/>
    <col min="93" max="93" width="10.7109375" style="32" customWidth="1"/>
    <col min="94" max="96" width="10.7109375" style="28" customWidth="1"/>
    <col min="97" max="97" width="10.7109375" style="29" customWidth="1"/>
    <col min="98" max="98" width="10.7109375" style="32" customWidth="1"/>
    <col min="99" max="100" width="10.7109375" style="28" customWidth="1"/>
    <col min="101" max="101" width="10.7109375" style="32" customWidth="1"/>
    <col min="102" max="102" width="10.7109375" style="29" customWidth="1"/>
    <col min="103" max="104" width="10.7109375" style="32" customWidth="1"/>
    <col min="105" max="105" width="10.7109375" style="28" customWidth="1"/>
    <col min="106" max="106" width="10.7109375" style="32" customWidth="1"/>
    <col min="107" max="107" width="10.7109375" style="29" customWidth="1"/>
    <col min="108" max="108" width="10.7109375" style="28" customWidth="1"/>
    <col min="109" max="109" width="10.7109375" style="29" customWidth="1"/>
    <col min="110" max="110" width="10.7109375" style="32" customWidth="1"/>
    <col min="111" max="111" width="10.7109375" style="28" customWidth="1"/>
    <col min="112" max="112" width="10.7109375" style="32" customWidth="1"/>
    <col min="113" max="113" width="10.7109375" style="28" customWidth="1"/>
    <col min="114" max="116" width="10.7109375" style="32" customWidth="1"/>
    <col min="117" max="117" width="10.7109375" style="28" customWidth="1"/>
    <col min="118" max="118" width="10.7109375" style="32" customWidth="1"/>
    <col min="119" max="120" width="10.7109375" style="28" customWidth="1"/>
    <col min="121" max="206" width="9.140625" style="28" customWidth="1"/>
    <col min="207" max="16384" width="9.140625" style="28"/>
  </cols>
  <sheetData>
    <row r="1" spans="1:243" x14ac:dyDescent="0.25">
      <c r="A1" s="28" t="s">
        <v>0</v>
      </c>
      <c r="B1" s="29" t="s">
        <v>1</v>
      </c>
      <c r="C1" s="28" t="s">
        <v>4</v>
      </c>
      <c r="D1" s="28" t="s">
        <v>5</v>
      </c>
      <c r="E1" s="20" t="s">
        <v>6</v>
      </c>
      <c r="F1" s="11" t="s">
        <v>2</v>
      </c>
      <c r="G1" s="20" t="s">
        <v>7</v>
      </c>
      <c r="H1" s="28" t="s">
        <v>4</v>
      </c>
      <c r="I1" s="28" t="s">
        <v>5</v>
      </c>
      <c r="J1" s="5" t="s">
        <v>3</v>
      </c>
      <c r="K1" s="2" t="s">
        <v>8</v>
      </c>
      <c r="L1" s="11" t="s">
        <v>9</v>
      </c>
      <c r="M1" s="2" t="s">
        <v>10</v>
      </c>
      <c r="N1" s="1" t="s">
        <v>4</v>
      </c>
      <c r="O1" s="17" t="s">
        <v>5</v>
      </c>
      <c r="P1" s="11" t="s">
        <v>11</v>
      </c>
      <c r="Q1" s="11" t="s">
        <v>12</v>
      </c>
      <c r="R1" s="2" t="s">
        <v>13</v>
      </c>
      <c r="S1" s="1" t="s">
        <v>4</v>
      </c>
      <c r="T1" s="17" t="s">
        <v>5</v>
      </c>
      <c r="U1" s="5" t="s">
        <v>14</v>
      </c>
      <c r="V1" s="2" t="s">
        <v>15</v>
      </c>
      <c r="W1" s="1" t="s">
        <v>4</v>
      </c>
      <c r="X1" s="17" t="s">
        <v>5</v>
      </c>
      <c r="Y1" s="5" t="s">
        <v>16</v>
      </c>
      <c r="Z1" s="2" t="s">
        <v>17</v>
      </c>
      <c r="AA1" s="1" t="s">
        <v>4</v>
      </c>
      <c r="AB1" s="17" t="s">
        <v>5</v>
      </c>
      <c r="AC1" s="11" t="s">
        <v>18</v>
      </c>
      <c r="AD1" s="2" t="s">
        <v>19</v>
      </c>
      <c r="AE1" s="1" t="s">
        <v>4</v>
      </c>
      <c r="AF1" s="17" t="s">
        <v>5</v>
      </c>
      <c r="AG1" s="5" t="s">
        <v>20</v>
      </c>
      <c r="AH1" s="2" t="s">
        <v>21</v>
      </c>
      <c r="AI1" s="1" t="s">
        <v>4</v>
      </c>
      <c r="AJ1" s="17" t="s">
        <v>5</v>
      </c>
      <c r="AK1" s="11" t="s">
        <v>22</v>
      </c>
      <c r="AL1" s="2" t="s">
        <v>23</v>
      </c>
      <c r="AM1" s="1" t="s">
        <v>4</v>
      </c>
      <c r="AN1" s="17" t="s">
        <v>5</v>
      </c>
      <c r="AO1" s="5" t="s">
        <v>24</v>
      </c>
      <c r="AP1" s="2" t="s">
        <v>25</v>
      </c>
      <c r="AQ1" s="1" t="s">
        <v>4</v>
      </c>
      <c r="AR1" s="17" t="s">
        <v>5</v>
      </c>
      <c r="AS1" s="5" t="s">
        <v>26</v>
      </c>
      <c r="AT1" s="2" t="s">
        <v>27</v>
      </c>
      <c r="AU1" s="1" t="s">
        <v>4</v>
      </c>
      <c r="AV1" s="17" t="s">
        <v>5</v>
      </c>
      <c r="AW1" s="11" t="s">
        <v>28</v>
      </c>
      <c r="AX1" s="2" t="s">
        <v>29</v>
      </c>
      <c r="AY1" s="1" t="s">
        <v>4</v>
      </c>
      <c r="AZ1" s="17" t="s">
        <v>5</v>
      </c>
      <c r="BA1" s="5" t="s">
        <v>30</v>
      </c>
      <c r="BB1" s="2" t="s">
        <v>31</v>
      </c>
      <c r="BC1" s="11" t="s">
        <v>32</v>
      </c>
      <c r="BD1" s="2" t="s">
        <v>33</v>
      </c>
      <c r="BE1" s="1" t="s">
        <v>4</v>
      </c>
      <c r="BF1" s="17" t="s">
        <v>5</v>
      </c>
      <c r="BG1" s="5" t="s">
        <v>34</v>
      </c>
      <c r="BH1" s="2" t="s">
        <v>35</v>
      </c>
      <c r="BI1" s="1" t="s">
        <v>4</v>
      </c>
      <c r="BJ1" s="17" t="s">
        <v>5</v>
      </c>
      <c r="BK1" s="11" t="s">
        <v>36</v>
      </c>
      <c r="BL1" s="2" t="s">
        <v>37</v>
      </c>
      <c r="BM1" s="11" t="s">
        <v>38</v>
      </c>
      <c r="BN1" s="2" t="s">
        <v>39</v>
      </c>
      <c r="BO1" s="1" t="s">
        <v>4</v>
      </c>
      <c r="BP1" s="17" t="s">
        <v>5</v>
      </c>
      <c r="BQ1" s="11" t="s">
        <v>40</v>
      </c>
      <c r="BR1" s="2" t="s">
        <v>41</v>
      </c>
      <c r="BS1" s="1" t="s">
        <v>4</v>
      </c>
      <c r="BT1" s="17" t="s">
        <v>5</v>
      </c>
      <c r="BU1" s="5" t="s">
        <v>42</v>
      </c>
      <c r="BV1" s="2" t="s">
        <v>43</v>
      </c>
      <c r="BW1" s="1" t="s">
        <v>4</v>
      </c>
      <c r="BX1" s="17" t="s">
        <v>5</v>
      </c>
      <c r="BY1" s="5" t="s">
        <v>44</v>
      </c>
      <c r="BZ1" s="2" t="s">
        <v>45</v>
      </c>
      <c r="CA1" s="1" t="s">
        <v>4</v>
      </c>
      <c r="CB1" s="17" t="s">
        <v>5</v>
      </c>
      <c r="CC1" s="11" t="s">
        <v>46</v>
      </c>
      <c r="CD1" s="2" t="s">
        <v>47</v>
      </c>
      <c r="CE1" s="1" t="s">
        <v>4</v>
      </c>
      <c r="CF1" s="17" t="s">
        <v>5</v>
      </c>
      <c r="CG1" s="5" t="s">
        <v>48</v>
      </c>
      <c r="CH1" s="11" t="s">
        <v>49</v>
      </c>
      <c r="CI1" s="2" t="s">
        <v>50</v>
      </c>
      <c r="CJ1" s="1" t="s">
        <v>4</v>
      </c>
      <c r="CK1" s="17" t="s">
        <v>5</v>
      </c>
      <c r="CL1" s="5" t="s">
        <v>51</v>
      </c>
      <c r="CM1" s="2" t="s">
        <v>52</v>
      </c>
      <c r="CN1" s="11" t="s">
        <v>53</v>
      </c>
      <c r="CO1" s="2" t="s">
        <v>54</v>
      </c>
      <c r="CP1" s="1" t="s">
        <v>4</v>
      </c>
      <c r="CQ1" s="17" t="s">
        <v>5</v>
      </c>
      <c r="CR1" s="5" t="s">
        <v>55</v>
      </c>
      <c r="CS1" s="11" t="s">
        <v>56</v>
      </c>
      <c r="CT1" s="2" t="s">
        <v>57</v>
      </c>
      <c r="CU1" s="1" t="s">
        <v>4</v>
      </c>
      <c r="CV1" s="17" t="s">
        <v>5</v>
      </c>
      <c r="CW1" s="11" t="s">
        <v>58</v>
      </c>
      <c r="CX1" s="2" t="s">
        <v>59</v>
      </c>
      <c r="CY1" s="1" t="s">
        <v>4</v>
      </c>
      <c r="CZ1" s="17" t="s">
        <v>5</v>
      </c>
      <c r="DA1" s="5" t="s">
        <v>60</v>
      </c>
      <c r="DB1" s="2" t="s">
        <v>61</v>
      </c>
      <c r="DC1" s="1" t="s">
        <v>4</v>
      </c>
      <c r="DD1" s="17" t="s">
        <v>5</v>
      </c>
      <c r="DE1" s="5" t="s">
        <v>62</v>
      </c>
      <c r="DF1" s="2" t="s">
        <v>63</v>
      </c>
      <c r="DG1" s="1" t="s">
        <v>4</v>
      </c>
      <c r="DH1" s="17" t="s">
        <v>5</v>
      </c>
      <c r="DI1" s="5" t="s">
        <v>64</v>
      </c>
      <c r="DJ1" s="2" t="s">
        <v>65</v>
      </c>
      <c r="DK1" s="1" t="s">
        <v>4</v>
      </c>
      <c r="DL1" s="17" t="s">
        <v>5</v>
      </c>
      <c r="DM1" s="11" t="s">
        <v>66</v>
      </c>
      <c r="DN1" s="2" t="s">
        <v>67</v>
      </c>
      <c r="DO1" s="1" t="s">
        <v>4</v>
      </c>
      <c r="DP1" s="17" t="s">
        <v>5</v>
      </c>
      <c r="DQ1" s="11" t="s">
        <v>68</v>
      </c>
      <c r="DR1" s="2" t="s">
        <v>69</v>
      </c>
      <c r="DS1" s="1" t="s">
        <v>4</v>
      </c>
      <c r="DT1" s="17" t="s">
        <v>5</v>
      </c>
      <c r="DU1" s="5" t="s">
        <v>70</v>
      </c>
      <c r="DV1" s="11" t="s">
        <v>71</v>
      </c>
      <c r="DW1" s="2" t="s">
        <v>72</v>
      </c>
      <c r="DX1" s="1" t="s">
        <v>4</v>
      </c>
      <c r="DY1" s="17" t="s">
        <v>5</v>
      </c>
      <c r="DZ1" s="5" t="s">
        <v>73</v>
      </c>
      <c r="EA1" s="11" t="s">
        <v>74</v>
      </c>
      <c r="EB1" s="2" t="s">
        <v>75</v>
      </c>
      <c r="EC1" s="1" t="s">
        <v>4</v>
      </c>
      <c r="ED1" s="17" t="s">
        <v>5</v>
      </c>
      <c r="EE1" s="11" t="s">
        <v>76</v>
      </c>
      <c r="EF1" s="2" t="s">
        <v>77</v>
      </c>
      <c r="EG1" s="1" t="s">
        <v>4</v>
      </c>
      <c r="EH1" s="17" t="s">
        <v>5</v>
      </c>
      <c r="EI1" s="5" t="s">
        <v>78</v>
      </c>
      <c r="EJ1" s="11" t="s">
        <v>79</v>
      </c>
      <c r="EK1" s="2" t="s">
        <v>80</v>
      </c>
      <c r="EL1" s="11" t="s">
        <v>81</v>
      </c>
      <c r="EM1" s="2" t="s">
        <v>82</v>
      </c>
      <c r="EN1" s="1" t="s">
        <v>4</v>
      </c>
      <c r="EO1" s="17" t="s">
        <v>5</v>
      </c>
      <c r="EP1" s="11" t="s">
        <v>83</v>
      </c>
      <c r="EQ1" s="2" t="s">
        <v>84</v>
      </c>
      <c r="ER1" s="1" t="s">
        <v>4</v>
      </c>
      <c r="ES1" s="17" t="s">
        <v>5</v>
      </c>
      <c r="ET1" s="5" t="s">
        <v>85</v>
      </c>
      <c r="EU1" s="2" t="s">
        <v>86</v>
      </c>
      <c r="EV1" s="11" t="s">
        <v>87</v>
      </c>
      <c r="EW1" s="2" t="s">
        <v>88</v>
      </c>
      <c r="EX1" s="1" t="s">
        <v>4</v>
      </c>
      <c r="EY1" s="17" t="s">
        <v>5</v>
      </c>
      <c r="EZ1" s="11" t="s">
        <v>89</v>
      </c>
      <c r="FA1" s="2" t="s">
        <v>90</v>
      </c>
      <c r="FB1" s="5" t="s">
        <v>91</v>
      </c>
      <c r="FC1" s="2" t="s">
        <v>92</v>
      </c>
      <c r="FD1" s="1" t="s">
        <v>4</v>
      </c>
      <c r="FE1" s="17" t="s">
        <v>5</v>
      </c>
      <c r="FF1" s="11" t="s">
        <v>93</v>
      </c>
      <c r="FG1" s="2" t="s">
        <v>94</v>
      </c>
      <c r="FH1" s="1" t="s">
        <v>4</v>
      </c>
      <c r="FI1" s="17" t="s">
        <v>5</v>
      </c>
      <c r="FJ1" s="5" t="s">
        <v>95</v>
      </c>
      <c r="FK1" s="2" t="s">
        <v>96</v>
      </c>
      <c r="FL1" s="1" t="s">
        <v>4</v>
      </c>
      <c r="FM1" s="17" t="s">
        <v>5</v>
      </c>
      <c r="FN1" s="5" t="s">
        <v>97</v>
      </c>
      <c r="FO1" s="2" t="s">
        <v>98</v>
      </c>
      <c r="FP1" s="1" t="s">
        <v>4</v>
      </c>
      <c r="FQ1" s="17" t="s">
        <v>5</v>
      </c>
      <c r="FR1" s="11" t="s">
        <v>99</v>
      </c>
      <c r="FS1" s="2" t="s">
        <v>100</v>
      </c>
      <c r="FT1" s="1" t="s">
        <v>4</v>
      </c>
      <c r="FU1" s="17" t="s">
        <v>5</v>
      </c>
      <c r="FV1" s="5" t="s">
        <v>101</v>
      </c>
      <c r="FW1" s="2" t="s">
        <v>102</v>
      </c>
      <c r="FX1" s="1" t="s">
        <v>4</v>
      </c>
      <c r="FY1" s="17" t="s">
        <v>5</v>
      </c>
      <c r="FZ1" s="5" t="s">
        <v>103</v>
      </c>
      <c r="GA1" s="2" t="s">
        <v>104</v>
      </c>
      <c r="GB1" s="1" t="s">
        <v>4</v>
      </c>
      <c r="GC1" s="17" t="s">
        <v>5</v>
      </c>
      <c r="GD1" s="11" t="s">
        <v>105</v>
      </c>
      <c r="GE1" s="2" t="s">
        <v>106</v>
      </c>
      <c r="GF1" s="1" t="s">
        <v>4</v>
      </c>
      <c r="GG1" s="17" t="s">
        <v>5</v>
      </c>
      <c r="GH1" s="11" t="s">
        <v>107</v>
      </c>
      <c r="GI1" s="2" t="s">
        <v>108</v>
      </c>
      <c r="GJ1" s="1" t="s">
        <v>4</v>
      </c>
      <c r="GK1" s="17" t="s">
        <v>5</v>
      </c>
      <c r="GL1" s="11" t="s">
        <v>109</v>
      </c>
      <c r="GM1" s="2" t="s">
        <v>110</v>
      </c>
      <c r="GN1" s="1" t="s">
        <v>4</v>
      </c>
      <c r="GO1" s="3" t="s">
        <v>5</v>
      </c>
      <c r="GP1" s="11" t="s">
        <v>111</v>
      </c>
      <c r="GQ1" s="2" t="s">
        <v>112</v>
      </c>
      <c r="GR1" s="1" t="s">
        <v>4</v>
      </c>
      <c r="GS1" s="17" t="s">
        <v>5</v>
      </c>
      <c r="GT1" s="11" t="s">
        <v>113</v>
      </c>
      <c r="GU1" s="2" t="s">
        <v>114</v>
      </c>
      <c r="GV1" s="1" t="s">
        <v>4</v>
      </c>
      <c r="GW1" s="17" t="s">
        <v>5</v>
      </c>
      <c r="GX1" s="11" t="s">
        <v>115</v>
      </c>
      <c r="GY1" s="2" t="s">
        <v>116</v>
      </c>
      <c r="GZ1" s="1" t="s">
        <v>4</v>
      </c>
      <c r="HA1" s="17" t="s">
        <v>5</v>
      </c>
      <c r="HB1" s="5" t="s">
        <v>117</v>
      </c>
      <c r="HC1" s="2" t="s">
        <v>118</v>
      </c>
      <c r="HD1" s="1" t="s">
        <v>4</v>
      </c>
      <c r="HE1" s="3" t="s">
        <v>5</v>
      </c>
      <c r="HF1" s="11" t="s">
        <v>119</v>
      </c>
      <c r="HG1" s="2" t="s">
        <v>120</v>
      </c>
      <c r="HH1" s="1" t="s">
        <v>4</v>
      </c>
      <c r="HI1" s="3" t="s">
        <v>5</v>
      </c>
      <c r="HJ1" s="11" t="s">
        <v>121</v>
      </c>
      <c r="HK1" s="2" t="s">
        <v>122</v>
      </c>
      <c r="HL1" s="1" t="s">
        <v>4</v>
      </c>
      <c r="HM1" s="3" t="s">
        <v>5</v>
      </c>
      <c r="HN1" s="11" t="s">
        <v>123</v>
      </c>
      <c r="HO1" s="2" t="s">
        <v>124</v>
      </c>
      <c r="HP1" s="1" t="s">
        <v>4</v>
      </c>
      <c r="HQ1" s="3" t="s">
        <v>5</v>
      </c>
      <c r="HR1" s="11" t="s">
        <v>125</v>
      </c>
      <c r="HS1" s="2" t="s">
        <v>126</v>
      </c>
      <c r="HT1" s="11" t="s">
        <v>127</v>
      </c>
      <c r="HU1" s="2" t="s">
        <v>128</v>
      </c>
      <c r="HV1" s="1" t="s">
        <v>4</v>
      </c>
      <c r="HW1" s="3" t="s">
        <v>5</v>
      </c>
      <c r="HX1" s="11" t="s">
        <v>129</v>
      </c>
      <c r="HY1" s="2" t="s">
        <v>130</v>
      </c>
      <c r="HZ1" s="1" t="s">
        <v>4</v>
      </c>
      <c r="IA1" s="3" t="s">
        <v>5</v>
      </c>
      <c r="IB1" s="11" t="s">
        <v>131</v>
      </c>
      <c r="IC1" s="2" t="s">
        <v>132</v>
      </c>
      <c r="ID1" s="1" t="s">
        <v>4</v>
      </c>
      <c r="IE1" s="3" t="s">
        <v>5</v>
      </c>
      <c r="IF1" s="5" t="s">
        <v>133</v>
      </c>
      <c r="IG1" s="2" t="s">
        <v>134</v>
      </c>
      <c r="IH1" s="1" t="s">
        <v>4</v>
      </c>
      <c r="II1" s="3" t="s">
        <v>5</v>
      </c>
    </row>
    <row r="2" spans="1:243" x14ac:dyDescent="0.25">
      <c r="C2" s="26">
        <f t="shared" ref="C2:BO2" si="0">SUM(C3:C183)</f>
        <v>0</v>
      </c>
      <c r="D2" s="26">
        <f t="shared" si="0"/>
        <v>0</v>
      </c>
      <c r="E2" s="26">
        <f t="shared" si="0"/>
        <v>1865</v>
      </c>
      <c r="F2" s="26">
        <f>SUM(F3:F183)</f>
        <v>3709</v>
      </c>
      <c r="G2" s="26">
        <f t="shared" si="0"/>
        <v>3867</v>
      </c>
      <c r="H2" s="26">
        <f t="shared" si="0"/>
        <v>0</v>
      </c>
      <c r="I2" s="26">
        <f t="shared" si="0"/>
        <v>0</v>
      </c>
      <c r="J2" s="37">
        <f>SUM(J3:J183)</f>
        <v>3524</v>
      </c>
      <c r="K2" s="38">
        <f t="shared" si="0"/>
        <v>3568</v>
      </c>
      <c r="L2" s="38">
        <f t="shared" si="0"/>
        <v>3382</v>
      </c>
      <c r="M2" s="38">
        <f t="shared" si="0"/>
        <v>3712</v>
      </c>
      <c r="N2" s="38">
        <f t="shared" si="0"/>
        <v>-374</v>
      </c>
      <c r="O2" s="39">
        <f t="shared" si="0"/>
        <v>252.64</v>
      </c>
      <c r="P2" s="26">
        <f t="shared" si="0"/>
        <v>26</v>
      </c>
      <c r="Q2" s="26">
        <f t="shared" si="0"/>
        <v>7502</v>
      </c>
      <c r="R2" s="26">
        <f t="shared" si="0"/>
        <v>7672</v>
      </c>
      <c r="S2" s="26">
        <f t="shared" si="0"/>
        <v>-144</v>
      </c>
      <c r="T2" s="26">
        <f t="shared" si="0"/>
        <v>67.67</v>
      </c>
      <c r="U2" s="26">
        <f t="shared" si="0"/>
        <v>8264</v>
      </c>
      <c r="V2" s="26">
        <f t="shared" si="0"/>
        <v>8680</v>
      </c>
      <c r="W2" s="26">
        <f t="shared" si="0"/>
        <v>-416</v>
      </c>
      <c r="X2" s="26">
        <f t="shared" si="0"/>
        <v>142.64000000000001</v>
      </c>
      <c r="Y2" s="26">
        <f t="shared" si="0"/>
        <v>7778</v>
      </c>
      <c r="Z2" s="26">
        <f t="shared" si="0"/>
        <v>8104</v>
      </c>
      <c r="AA2" s="26">
        <f t="shared" si="0"/>
        <v>-326</v>
      </c>
      <c r="AB2" s="26">
        <f t="shared" si="0"/>
        <v>78.88000000000001</v>
      </c>
      <c r="AC2" s="26">
        <f t="shared" si="0"/>
        <v>7096</v>
      </c>
      <c r="AD2" s="26">
        <f t="shared" si="0"/>
        <v>7374</v>
      </c>
      <c r="AE2" s="26">
        <f t="shared" si="0"/>
        <v>-278</v>
      </c>
      <c r="AF2" s="26">
        <f t="shared" si="0"/>
        <v>114.56</v>
      </c>
      <c r="AG2" s="26">
        <f t="shared" si="0"/>
        <v>7023</v>
      </c>
      <c r="AH2" s="26">
        <f t="shared" si="0"/>
        <v>7192</v>
      </c>
      <c r="AI2" s="26">
        <f t="shared" si="0"/>
        <v>-169</v>
      </c>
      <c r="AJ2" s="26">
        <f t="shared" si="0"/>
        <v>56.120000000000005</v>
      </c>
      <c r="AK2" s="26">
        <f t="shared" si="0"/>
        <v>6649</v>
      </c>
      <c r="AL2" s="26">
        <f t="shared" si="0"/>
        <v>6750</v>
      </c>
      <c r="AM2" s="26">
        <f t="shared" si="0"/>
        <v>-101</v>
      </c>
      <c r="AN2" s="26">
        <f t="shared" si="0"/>
        <v>44.3</v>
      </c>
      <c r="AO2" s="26">
        <f t="shared" si="0"/>
        <v>5779</v>
      </c>
      <c r="AP2" s="26">
        <f t="shared" si="0"/>
        <v>5958</v>
      </c>
      <c r="AQ2" s="26">
        <f t="shared" si="0"/>
        <v>-179</v>
      </c>
      <c r="AR2" s="26">
        <f t="shared" si="0"/>
        <v>42.8</v>
      </c>
      <c r="AS2" s="26">
        <f t="shared" si="0"/>
        <v>4684</v>
      </c>
      <c r="AT2" s="26">
        <f t="shared" si="0"/>
        <v>5523</v>
      </c>
      <c r="AU2" s="26">
        <f t="shared" si="0"/>
        <v>-839</v>
      </c>
      <c r="AV2" s="26">
        <f t="shared" si="0"/>
        <v>787.4</v>
      </c>
      <c r="AW2" s="26">
        <f t="shared" si="0"/>
        <v>1018</v>
      </c>
      <c r="AX2" s="26">
        <f t="shared" si="0"/>
        <v>1081</v>
      </c>
      <c r="AY2" s="26">
        <f t="shared" si="0"/>
        <v>-63</v>
      </c>
      <c r="AZ2" s="26">
        <f t="shared" si="0"/>
        <v>37.449999999999996</v>
      </c>
      <c r="BA2" s="26">
        <f t="shared" si="0"/>
        <v>2831</v>
      </c>
      <c r="BB2" s="26">
        <f t="shared" si="0"/>
        <v>3160</v>
      </c>
      <c r="BC2" s="26">
        <f t="shared" si="0"/>
        <v>3410</v>
      </c>
      <c r="BD2" s="26">
        <f t="shared" si="0"/>
        <v>3646</v>
      </c>
      <c r="BE2" s="26">
        <f t="shared" si="0"/>
        <v>-565</v>
      </c>
      <c r="BF2" s="26">
        <f t="shared" si="0"/>
        <v>598.79</v>
      </c>
      <c r="BG2" s="26">
        <f t="shared" si="0"/>
        <v>2462</v>
      </c>
      <c r="BH2" s="26">
        <f t="shared" si="0"/>
        <v>2571</v>
      </c>
      <c r="BI2" s="26">
        <f t="shared" si="0"/>
        <v>-109</v>
      </c>
      <c r="BJ2" s="26">
        <f t="shared" si="0"/>
        <v>16.850000000000001</v>
      </c>
      <c r="BK2" s="26">
        <f t="shared" si="0"/>
        <v>863</v>
      </c>
      <c r="BL2" s="26">
        <f t="shared" si="0"/>
        <v>950</v>
      </c>
      <c r="BM2" s="26">
        <f t="shared" si="0"/>
        <v>5312</v>
      </c>
      <c r="BN2" s="26">
        <f t="shared" si="0"/>
        <v>5324</v>
      </c>
      <c r="BO2" s="26">
        <f t="shared" si="0"/>
        <v>-99</v>
      </c>
      <c r="BP2" s="26">
        <f t="shared" ref="BP2:EA2" si="1">SUM(BP3:BP183)</f>
        <v>103.39999999999999</v>
      </c>
      <c r="BQ2" s="26">
        <f t="shared" si="1"/>
        <v>2197</v>
      </c>
      <c r="BR2" s="26">
        <f t="shared" si="1"/>
        <v>2318</v>
      </c>
      <c r="BS2" s="26">
        <f t="shared" si="1"/>
        <v>-121</v>
      </c>
      <c r="BT2" s="26">
        <f t="shared" si="1"/>
        <v>13.4</v>
      </c>
      <c r="BU2" s="26">
        <f t="shared" si="1"/>
        <v>4131</v>
      </c>
      <c r="BV2" s="26">
        <f t="shared" si="1"/>
        <v>4210</v>
      </c>
      <c r="BW2" s="26">
        <f t="shared" si="1"/>
        <v>-79</v>
      </c>
      <c r="BX2" s="26">
        <f t="shared" si="1"/>
        <v>27.27</v>
      </c>
      <c r="BY2" s="26">
        <f t="shared" si="1"/>
        <v>2999</v>
      </c>
      <c r="BZ2" s="26">
        <f t="shared" si="1"/>
        <v>3128</v>
      </c>
      <c r="CA2" s="26">
        <f t="shared" si="1"/>
        <v>-129</v>
      </c>
      <c r="CB2" s="26">
        <f t="shared" si="1"/>
        <v>105.88</v>
      </c>
      <c r="CC2" s="26">
        <f t="shared" si="1"/>
        <v>3175</v>
      </c>
      <c r="CD2" s="26">
        <f t="shared" si="1"/>
        <v>3208</v>
      </c>
      <c r="CE2" s="26">
        <f t="shared" si="1"/>
        <v>-33</v>
      </c>
      <c r="CF2" s="26">
        <f t="shared" si="1"/>
        <v>8</v>
      </c>
      <c r="CG2" s="26">
        <f t="shared" si="1"/>
        <v>2418</v>
      </c>
      <c r="CH2" s="26">
        <f t="shared" si="1"/>
        <v>39</v>
      </c>
      <c r="CI2" s="26">
        <f t="shared" si="1"/>
        <v>2481</v>
      </c>
      <c r="CJ2" s="26">
        <f t="shared" si="1"/>
        <v>-24</v>
      </c>
      <c r="CK2" s="26">
        <f t="shared" si="1"/>
        <v>25.16</v>
      </c>
      <c r="CL2" s="26">
        <f t="shared" si="1"/>
        <v>433</v>
      </c>
      <c r="CM2" s="26">
        <f t="shared" si="1"/>
        <v>430</v>
      </c>
      <c r="CN2" s="26">
        <f t="shared" si="1"/>
        <v>3758</v>
      </c>
      <c r="CO2" s="26">
        <f t="shared" si="1"/>
        <v>3799</v>
      </c>
      <c r="CP2" s="26">
        <f t="shared" si="1"/>
        <v>-38</v>
      </c>
      <c r="CQ2" s="26">
        <f t="shared" si="1"/>
        <v>36.799999999999997</v>
      </c>
      <c r="CR2" s="26">
        <f t="shared" si="1"/>
        <v>4458</v>
      </c>
      <c r="CS2" s="26">
        <f t="shared" si="1"/>
        <v>12</v>
      </c>
      <c r="CT2" s="26">
        <f t="shared" si="1"/>
        <v>4579</v>
      </c>
      <c r="CU2" s="26">
        <f t="shared" si="1"/>
        <v>-109</v>
      </c>
      <c r="CV2" s="26">
        <f t="shared" si="1"/>
        <v>35.4</v>
      </c>
      <c r="CW2" s="26">
        <f t="shared" si="1"/>
        <v>4058</v>
      </c>
      <c r="CX2" s="26">
        <f t="shared" si="1"/>
        <v>4150.0834000000013</v>
      </c>
      <c r="CY2" s="26">
        <f t="shared" si="1"/>
        <v>-92.083399999999969</v>
      </c>
      <c r="CZ2" s="26">
        <f t="shared" si="1"/>
        <v>68.854599999999991</v>
      </c>
      <c r="DA2" s="26">
        <f t="shared" si="1"/>
        <v>1543</v>
      </c>
      <c r="DB2" s="26">
        <f t="shared" si="1"/>
        <v>1485.952</v>
      </c>
      <c r="DC2" s="26">
        <f t="shared" si="1"/>
        <v>57.04800000000003</v>
      </c>
      <c r="DD2" s="26">
        <f t="shared" si="1"/>
        <v>0</v>
      </c>
      <c r="DE2" s="26">
        <f t="shared" si="1"/>
        <v>2707</v>
      </c>
      <c r="DF2" s="26">
        <f t="shared" si="1"/>
        <v>2788.2868000000003</v>
      </c>
      <c r="DG2" s="26">
        <f t="shared" si="1"/>
        <v>-81.286799999999886</v>
      </c>
      <c r="DH2" s="26">
        <f t="shared" si="1"/>
        <v>61.411799999999992</v>
      </c>
      <c r="DI2" s="26">
        <f t="shared" si="1"/>
        <v>1887</v>
      </c>
      <c r="DJ2" s="26">
        <f t="shared" si="1"/>
        <v>1993</v>
      </c>
      <c r="DK2" s="26">
        <f t="shared" si="1"/>
        <v>-106</v>
      </c>
      <c r="DL2" s="26">
        <f t="shared" si="1"/>
        <v>35.540000000000006</v>
      </c>
      <c r="DM2" s="26">
        <f t="shared" si="1"/>
        <v>2874</v>
      </c>
      <c r="DN2" s="26">
        <f t="shared" si="1"/>
        <v>2929.4846000000002</v>
      </c>
      <c r="DO2" s="26">
        <f t="shared" si="1"/>
        <v>-55.484600000000178</v>
      </c>
      <c r="DP2" s="26">
        <f t="shared" si="1"/>
        <v>54.695000000000007</v>
      </c>
      <c r="DQ2" s="26">
        <f t="shared" si="1"/>
        <v>3901</v>
      </c>
      <c r="DR2" s="26">
        <f t="shared" si="1"/>
        <v>3935</v>
      </c>
      <c r="DS2" s="26">
        <f t="shared" si="1"/>
        <v>-34</v>
      </c>
      <c r="DT2" s="26">
        <f t="shared" si="1"/>
        <v>9.39</v>
      </c>
      <c r="DU2" s="26">
        <f t="shared" si="1"/>
        <v>1310</v>
      </c>
      <c r="DV2" s="26">
        <f t="shared" si="1"/>
        <v>103</v>
      </c>
      <c r="DW2" s="26">
        <f t="shared" si="1"/>
        <v>1415</v>
      </c>
      <c r="DX2" s="26">
        <f t="shared" si="1"/>
        <v>-2</v>
      </c>
      <c r="DY2" s="26">
        <f t="shared" si="1"/>
        <v>0</v>
      </c>
      <c r="DZ2" s="26">
        <f t="shared" si="1"/>
        <v>2194</v>
      </c>
      <c r="EA2" s="26">
        <f t="shared" si="1"/>
        <v>20</v>
      </c>
      <c r="EB2" s="26">
        <f t="shared" ref="EB2:GM2" si="2">SUM(EB3:EB183)</f>
        <v>2463</v>
      </c>
      <c r="EC2" s="26">
        <f t="shared" si="2"/>
        <v>-249</v>
      </c>
      <c r="ED2" s="26">
        <f t="shared" si="2"/>
        <v>226</v>
      </c>
      <c r="EE2" s="26">
        <f t="shared" si="2"/>
        <v>1511</v>
      </c>
      <c r="EF2" s="26">
        <f t="shared" si="2"/>
        <v>1536.0814000000005</v>
      </c>
      <c r="EG2" s="26">
        <f t="shared" si="2"/>
        <v>-25.081400000000126</v>
      </c>
      <c r="EH2" s="26">
        <f t="shared" si="2"/>
        <v>0</v>
      </c>
      <c r="EI2" s="26">
        <f t="shared" si="2"/>
        <v>40</v>
      </c>
      <c r="EJ2" s="26">
        <f t="shared" si="2"/>
        <v>1707</v>
      </c>
      <c r="EK2" s="26">
        <f t="shared" si="2"/>
        <v>1888</v>
      </c>
      <c r="EL2" s="26">
        <f t="shared" si="2"/>
        <v>2563</v>
      </c>
      <c r="EM2" s="26">
        <f t="shared" si="2"/>
        <v>2586</v>
      </c>
      <c r="EN2" s="26">
        <f t="shared" si="2"/>
        <v>-164</v>
      </c>
      <c r="EO2" s="26">
        <f t="shared" si="2"/>
        <v>215</v>
      </c>
      <c r="EP2" s="26">
        <f t="shared" si="2"/>
        <v>2740</v>
      </c>
      <c r="EQ2" s="26">
        <f t="shared" si="2"/>
        <v>2850.0293999999999</v>
      </c>
      <c r="ER2" s="26">
        <f t="shared" si="2"/>
        <v>-110.0294</v>
      </c>
      <c r="ES2" s="26">
        <f t="shared" si="2"/>
        <v>18.872</v>
      </c>
      <c r="ET2" s="26">
        <f t="shared" si="2"/>
        <v>413</v>
      </c>
      <c r="EU2" s="26">
        <f t="shared" si="2"/>
        <v>400</v>
      </c>
      <c r="EV2" s="26">
        <f t="shared" si="2"/>
        <v>1612</v>
      </c>
      <c r="EW2" s="26">
        <f t="shared" si="2"/>
        <v>1665</v>
      </c>
      <c r="EX2" s="26">
        <f t="shared" si="2"/>
        <v>-40</v>
      </c>
      <c r="EY2" s="26">
        <f t="shared" si="2"/>
        <v>11.440000000000001</v>
      </c>
      <c r="EZ2" s="26">
        <f t="shared" si="2"/>
        <v>1395</v>
      </c>
      <c r="FA2" s="26">
        <f t="shared" si="2"/>
        <v>1394</v>
      </c>
      <c r="FB2" s="26">
        <f t="shared" si="2"/>
        <v>2550</v>
      </c>
      <c r="FC2" s="26">
        <f t="shared" si="2"/>
        <v>2581</v>
      </c>
      <c r="FD2" s="26">
        <f t="shared" si="2"/>
        <v>-30</v>
      </c>
      <c r="FE2" s="26">
        <f t="shared" si="2"/>
        <v>11.440000000000001</v>
      </c>
      <c r="FF2" s="26">
        <f t="shared" si="2"/>
        <v>2002</v>
      </c>
      <c r="FG2" s="26">
        <f t="shared" si="2"/>
        <v>2012.7349999999997</v>
      </c>
      <c r="FH2" s="26">
        <f t="shared" si="2"/>
        <v>-10.735000000000012</v>
      </c>
      <c r="FI2" s="26">
        <f t="shared" si="2"/>
        <v>8.24</v>
      </c>
      <c r="FJ2" s="26">
        <f t="shared" si="2"/>
        <v>3168</v>
      </c>
      <c r="FK2" s="26">
        <f t="shared" si="2"/>
        <v>3135</v>
      </c>
      <c r="FL2" s="26">
        <f t="shared" si="2"/>
        <v>33</v>
      </c>
      <c r="FM2" s="26">
        <f t="shared" si="2"/>
        <v>4</v>
      </c>
      <c r="FN2" s="26">
        <f t="shared" si="2"/>
        <v>2204</v>
      </c>
      <c r="FO2" s="26">
        <f t="shared" si="2"/>
        <v>2211</v>
      </c>
      <c r="FP2" s="26">
        <f t="shared" si="2"/>
        <v>-7</v>
      </c>
      <c r="FQ2" s="26">
        <f t="shared" si="2"/>
        <v>6.7200000000000006</v>
      </c>
      <c r="FR2" s="26">
        <f t="shared" si="2"/>
        <v>1956</v>
      </c>
      <c r="FS2" s="26">
        <f t="shared" si="2"/>
        <v>1959</v>
      </c>
      <c r="FT2" s="26">
        <f t="shared" si="2"/>
        <v>-3</v>
      </c>
      <c r="FU2" s="26">
        <f t="shared" si="2"/>
        <v>0</v>
      </c>
      <c r="FV2" s="26">
        <f t="shared" si="2"/>
        <v>3080</v>
      </c>
      <c r="FW2" s="26">
        <f t="shared" si="2"/>
        <v>3297</v>
      </c>
      <c r="FX2" s="26">
        <f t="shared" si="2"/>
        <v>-217</v>
      </c>
      <c r="FY2" s="26">
        <f t="shared" si="2"/>
        <v>81.8</v>
      </c>
      <c r="FZ2" s="26">
        <f t="shared" si="2"/>
        <v>1608</v>
      </c>
      <c r="GA2" s="26">
        <f t="shared" si="2"/>
        <v>1632</v>
      </c>
      <c r="GB2" s="26">
        <f t="shared" si="2"/>
        <v>-24</v>
      </c>
      <c r="GC2" s="26">
        <f t="shared" si="2"/>
        <v>14</v>
      </c>
      <c r="GD2" s="26">
        <f t="shared" si="2"/>
        <v>1617</v>
      </c>
      <c r="GE2" s="26">
        <f t="shared" si="2"/>
        <v>1625</v>
      </c>
      <c r="GF2" s="26">
        <f t="shared" si="2"/>
        <v>-8</v>
      </c>
      <c r="GG2" s="26">
        <f t="shared" si="2"/>
        <v>2.64</v>
      </c>
      <c r="GH2" s="26">
        <f t="shared" si="2"/>
        <v>2165</v>
      </c>
      <c r="GI2" s="26">
        <f t="shared" si="2"/>
        <v>2157</v>
      </c>
      <c r="GJ2" s="26">
        <f t="shared" si="2"/>
        <v>8</v>
      </c>
      <c r="GK2" s="26">
        <f t="shared" si="2"/>
        <v>0</v>
      </c>
      <c r="GL2" s="26">
        <f t="shared" si="2"/>
        <v>1181</v>
      </c>
      <c r="GM2" s="26">
        <f t="shared" si="2"/>
        <v>1288.9999999999998</v>
      </c>
      <c r="GN2" s="26">
        <f t="shared" ref="GN2:II2" si="3">SUM(GN3:GN183)</f>
        <v>-108.00000000000001</v>
      </c>
      <c r="GO2" s="26">
        <f t="shared" si="3"/>
        <v>82</v>
      </c>
      <c r="GP2" s="26">
        <f t="shared" si="3"/>
        <v>1759</v>
      </c>
      <c r="GQ2" s="26">
        <f t="shared" si="3"/>
        <v>1836</v>
      </c>
      <c r="GR2" s="26">
        <f t="shared" si="3"/>
        <v>-77</v>
      </c>
      <c r="GS2" s="26">
        <f t="shared" si="3"/>
        <v>34.4</v>
      </c>
      <c r="GT2" s="26">
        <f t="shared" si="3"/>
        <v>727</v>
      </c>
      <c r="GU2" s="26">
        <f t="shared" si="3"/>
        <v>781</v>
      </c>
      <c r="GV2" s="26">
        <f t="shared" si="3"/>
        <v>-54</v>
      </c>
      <c r="GW2" s="26">
        <f t="shared" si="3"/>
        <v>1.8</v>
      </c>
      <c r="GX2" s="26">
        <f t="shared" si="3"/>
        <v>992</v>
      </c>
      <c r="GY2" s="26">
        <f t="shared" si="3"/>
        <v>1012.1845999999999</v>
      </c>
      <c r="GZ2" s="26">
        <f t="shared" si="3"/>
        <v>-20.184599999999982</v>
      </c>
      <c r="HA2" s="26">
        <f t="shared" si="3"/>
        <v>0</v>
      </c>
      <c r="HB2" s="26">
        <f t="shared" si="3"/>
        <v>1355</v>
      </c>
      <c r="HC2" s="26">
        <f t="shared" si="3"/>
        <v>1344.6</v>
      </c>
      <c r="HD2" s="26">
        <f t="shared" si="3"/>
        <v>10.4</v>
      </c>
      <c r="HE2" s="26">
        <f t="shared" si="3"/>
        <v>0</v>
      </c>
      <c r="HF2" s="26">
        <f t="shared" si="3"/>
        <v>2124</v>
      </c>
      <c r="HG2" s="26">
        <f t="shared" si="3"/>
        <v>2108</v>
      </c>
      <c r="HH2" s="26">
        <f t="shared" si="3"/>
        <v>16</v>
      </c>
      <c r="HI2" s="26">
        <f t="shared" si="3"/>
        <v>0</v>
      </c>
      <c r="HJ2" s="26">
        <f t="shared" si="3"/>
        <v>609</v>
      </c>
      <c r="HK2" s="26">
        <f t="shared" si="3"/>
        <v>602</v>
      </c>
      <c r="HL2" s="26">
        <f t="shared" si="3"/>
        <v>-7</v>
      </c>
      <c r="HM2" s="26">
        <f t="shared" si="3"/>
        <v>0</v>
      </c>
      <c r="HN2" s="26">
        <f t="shared" si="3"/>
        <v>466</v>
      </c>
      <c r="HO2" s="26">
        <f t="shared" si="3"/>
        <v>469</v>
      </c>
      <c r="HP2" s="26">
        <f t="shared" si="3"/>
        <v>-3</v>
      </c>
      <c r="HQ2" s="26">
        <f t="shared" si="3"/>
        <v>0</v>
      </c>
      <c r="HR2" s="26">
        <f t="shared" si="3"/>
        <v>2807</v>
      </c>
      <c r="HS2" s="26">
        <f t="shared" si="3"/>
        <v>2886</v>
      </c>
      <c r="HT2" s="26">
        <f t="shared" si="3"/>
        <v>2724</v>
      </c>
      <c r="HU2" s="26">
        <f t="shared" si="3"/>
        <v>2778</v>
      </c>
      <c r="HV2" s="26">
        <f t="shared" si="3"/>
        <v>-133</v>
      </c>
      <c r="HW2" s="26">
        <f t="shared" si="3"/>
        <v>70</v>
      </c>
      <c r="HX2" s="26">
        <f t="shared" si="3"/>
        <v>2922.3589999999999</v>
      </c>
      <c r="HY2" s="26">
        <f t="shared" si="3"/>
        <v>2907</v>
      </c>
      <c r="HZ2" s="26">
        <f t="shared" si="3"/>
        <v>15.359000000000041</v>
      </c>
      <c r="IA2" s="26">
        <f t="shared" si="3"/>
        <v>0</v>
      </c>
      <c r="IB2" s="26">
        <f t="shared" si="3"/>
        <v>1830.2590000000002</v>
      </c>
      <c r="IC2" s="26">
        <f t="shared" si="3"/>
        <v>1812.3815999999999</v>
      </c>
      <c r="ID2" s="26">
        <f t="shared" si="3"/>
        <v>17.877399999999998</v>
      </c>
      <c r="IE2" s="26">
        <f t="shared" si="3"/>
        <v>0</v>
      </c>
      <c r="IF2" s="26">
        <f t="shared" si="3"/>
        <v>753.71799999999996</v>
      </c>
      <c r="IG2" s="26">
        <f t="shared" si="3"/>
        <v>759.41800000000001</v>
      </c>
      <c r="IH2" s="26">
        <f t="shared" si="3"/>
        <v>-5.7000000000000099</v>
      </c>
      <c r="II2" s="26">
        <f t="shared" si="3"/>
        <v>3.85</v>
      </c>
    </row>
    <row r="3" spans="1:243" x14ac:dyDescent="0.25">
      <c r="A3" s="28" t="s">
        <v>135</v>
      </c>
      <c r="B3" s="29">
        <v>1</v>
      </c>
      <c r="J3" s="30"/>
      <c r="K3" s="35"/>
      <c r="L3" s="35"/>
      <c r="M3" s="35"/>
      <c r="N3" s="35">
        <f>J3+L3-K3-M3</f>
        <v>0</v>
      </c>
      <c r="O3" s="31"/>
      <c r="P3" s="35"/>
      <c r="S3" s="28">
        <v>0</v>
      </c>
      <c r="T3" s="31"/>
      <c r="U3" s="30"/>
      <c r="W3" s="28">
        <v>0</v>
      </c>
      <c r="X3" s="31"/>
      <c r="Y3" s="30"/>
      <c r="AA3" s="28">
        <v>0</v>
      </c>
      <c r="AB3" s="31"/>
      <c r="AE3" s="28">
        <v>0</v>
      </c>
      <c r="AF3" s="31"/>
      <c r="AG3" s="30"/>
      <c r="AI3" s="28">
        <v>0</v>
      </c>
      <c r="AJ3" s="31"/>
      <c r="AM3" s="28">
        <v>0</v>
      </c>
      <c r="AN3" s="31"/>
      <c r="AO3" s="30"/>
      <c r="AQ3" s="28">
        <v>0</v>
      </c>
      <c r="AR3" s="31"/>
      <c r="AS3" s="30"/>
      <c r="AU3" s="28">
        <v>0</v>
      </c>
      <c r="AV3" s="31"/>
      <c r="AY3" s="28">
        <v>0</v>
      </c>
      <c r="AZ3" s="31"/>
      <c r="BA3" s="30"/>
      <c r="BE3" s="28">
        <v>0</v>
      </c>
      <c r="BF3" s="31"/>
      <c r="BG3" s="30"/>
      <c r="BI3" s="28">
        <v>0</v>
      </c>
      <c r="BJ3" s="31"/>
      <c r="BO3" s="28">
        <v>0</v>
      </c>
      <c r="BP3" s="31"/>
      <c r="BS3" s="28">
        <v>0</v>
      </c>
      <c r="BT3" s="31"/>
      <c r="BU3" s="30"/>
      <c r="BW3" s="28">
        <v>0</v>
      </c>
      <c r="BX3" s="31"/>
      <c r="BY3" s="30"/>
      <c r="CA3" s="28">
        <v>0</v>
      </c>
      <c r="CB3" s="31"/>
      <c r="CE3" s="28">
        <v>0</v>
      </c>
      <c r="CF3" s="31"/>
      <c r="CG3" s="30"/>
      <c r="CJ3" s="28">
        <v>0</v>
      </c>
      <c r="CK3" s="31"/>
      <c r="CL3" s="30"/>
      <c r="CP3" s="28">
        <v>0</v>
      </c>
      <c r="CQ3" s="31"/>
      <c r="CR3" s="30"/>
      <c r="CU3" s="28">
        <v>0</v>
      </c>
      <c r="CV3" s="31"/>
      <c r="CY3" s="28">
        <v>0</v>
      </c>
      <c r="CZ3" s="31"/>
      <c r="DA3" s="33"/>
      <c r="DC3" s="28">
        <v>0</v>
      </c>
      <c r="DD3" s="31"/>
      <c r="DE3" s="30"/>
      <c r="DG3" s="28">
        <v>0</v>
      </c>
      <c r="DH3" s="31"/>
      <c r="DI3" s="30"/>
      <c r="DK3" s="28">
        <v>0</v>
      </c>
      <c r="DL3" s="31"/>
      <c r="DO3" s="28">
        <v>0</v>
      </c>
      <c r="DP3" s="31"/>
      <c r="DS3" s="28">
        <v>0</v>
      </c>
      <c r="DT3" s="31"/>
      <c r="DU3" s="30"/>
      <c r="DX3" s="28">
        <v>0</v>
      </c>
      <c r="DY3" s="31"/>
      <c r="DZ3" s="30"/>
      <c r="EC3" s="28">
        <v>0</v>
      </c>
      <c r="ED3" s="31"/>
      <c r="EG3" s="28">
        <v>0</v>
      </c>
      <c r="EH3" s="31"/>
      <c r="EI3" s="30"/>
      <c r="EN3" s="28">
        <v>0</v>
      </c>
      <c r="EO3" s="31"/>
      <c r="ER3" s="28">
        <v>0</v>
      </c>
      <c r="ES3" s="31"/>
      <c r="ET3" s="30"/>
      <c r="EX3" s="28">
        <v>0</v>
      </c>
      <c r="EY3" s="31"/>
      <c r="FD3" s="28">
        <v>0</v>
      </c>
      <c r="FE3" s="31"/>
      <c r="FH3" s="28">
        <v>0</v>
      </c>
      <c r="FI3" s="31"/>
      <c r="FJ3" s="30"/>
      <c r="FL3" s="28">
        <v>0</v>
      </c>
      <c r="FM3" s="31"/>
      <c r="FN3" s="30"/>
      <c r="FP3" s="28">
        <v>0</v>
      </c>
      <c r="FQ3" s="31"/>
      <c r="FT3" s="28">
        <v>0</v>
      </c>
      <c r="FU3" s="31"/>
      <c r="FV3" s="30"/>
      <c r="FX3" s="28">
        <v>0</v>
      </c>
      <c r="FY3" s="31"/>
      <c r="FZ3" s="30"/>
      <c r="GB3" s="28">
        <v>0</v>
      </c>
      <c r="GC3" s="31"/>
      <c r="GF3" s="28">
        <v>0</v>
      </c>
      <c r="GG3" s="34"/>
      <c r="GJ3" s="28">
        <v>0</v>
      </c>
      <c r="GK3" s="31"/>
      <c r="GL3" s="32">
        <v>33</v>
      </c>
      <c r="GM3" s="32">
        <v>30</v>
      </c>
      <c r="GN3" s="28">
        <v>3</v>
      </c>
      <c r="GO3" s="34"/>
      <c r="GR3" s="28">
        <v>0</v>
      </c>
      <c r="GS3" s="31"/>
      <c r="GW3" s="34"/>
      <c r="HA3" s="31"/>
      <c r="HB3" s="24"/>
      <c r="HE3" s="34"/>
      <c r="HI3" s="34"/>
      <c r="HM3" s="34"/>
      <c r="HQ3" s="31"/>
      <c r="HR3" s="29"/>
      <c r="HW3" s="34"/>
      <c r="HX3" s="32"/>
      <c r="HY3" s="32"/>
      <c r="IA3" s="34"/>
      <c r="IB3" s="32"/>
      <c r="IC3" s="32"/>
      <c r="IE3" s="34"/>
      <c r="IF3" s="33"/>
      <c r="IG3" s="32"/>
      <c r="II3" s="34"/>
    </row>
    <row r="4" spans="1:243" x14ac:dyDescent="0.25">
      <c r="A4" s="28" t="s">
        <v>136</v>
      </c>
      <c r="B4" s="29">
        <v>0.4</v>
      </c>
      <c r="E4">
        <v>40</v>
      </c>
      <c r="F4">
        <v>80</v>
      </c>
      <c r="G4">
        <v>80</v>
      </c>
      <c r="J4" s="24">
        <v>8</v>
      </c>
      <c r="K4" s="36">
        <v>8</v>
      </c>
      <c r="L4" s="35"/>
      <c r="M4" s="35"/>
      <c r="N4" s="35">
        <f t="shared" ref="N4:N67" si="4">J4+L4-K4-M4</f>
        <v>0</v>
      </c>
      <c r="O4" s="31"/>
      <c r="P4" s="35"/>
      <c r="Q4">
        <v>72</v>
      </c>
      <c r="R4">
        <v>71</v>
      </c>
      <c r="S4" s="28">
        <v>1</v>
      </c>
      <c r="T4" s="31"/>
      <c r="U4" s="24">
        <v>72</v>
      </c>
      <c r="V4">
        <v>77</v>
      </c>
      <c r="W4" s="28">
        <v>-5</v>
      </c>
      <c r="X4" s="31"/>
      <c r="Y4" s="30"/>
      <c r="AA4" s="28">
        <v>0</v>
      </c>
      <c r="AB4" s="31"/>
      <c r="AC4">
        <v>88</v>
      </c>
      <c r="AD4">
        <v>90</v>
      </c>
      <c r="AE4" s="28">
        <v>-2</v>
      </c>
      <c r="AF4" s="31"/>
      <c r="AG4" s="24">
        <v>8</v>
      </c>
      <c r="AH4">
        <v>8</v>
      </c>
      <c r="AI4" s="28">
        <v>0</v>
      </c>
      <c r="AJ4" s="31"/>
      <c r="AK4">
        <v>56</v>
      </c>
      <c r="AL4">
        <v>60</v>
      </c>
      <c r="AM4" s="28">
        <v>-4</v>
      </c>
      <c r="AN4" s="31"/>
      <c r="AO4" s="30"/>
      <c r="AQ4" s="28">
        <v>0</v>
      </c>
      <c r="AR4" s="31"/>
      <c r="AS4" s="24">
        <v>40</v>
      </c>
      <c r="AT4">
        <v>41</v>
      </c>
      <c r="AU4" s="28">
        <v>-1</v>
      </c>
      <c r="AV4" s="31"/>
      <c r="AY4" s="28">
        <v>0</v>
      </c>
      <c r="AZ4" s="31"/>
      <c r="BA4" s="30"/>
      <c r="BE4" s="28">
        <v>0</v>
      </c>
      <c r="BF4" s="31"/>
      <c r="BG4" s="24">
        <v>32</v>
      </c>
      <c r="BH4">
        <v>32</v>
      </c>
      <c r="BI4" s="28">
        <v>0</v>
      </c>
      <c r="BJ4" s="31"/>
      <c r="BO4" s="28">
        <v>0</v>
      </c>
      <c r="BP4" s="31"/>
      <c r="BS4" s="28">
        <v>0</v>
      </c>
      <c r="BT4" s="31"/>
      <c r="BU4" s="30"/>
      <c r="BW4" s="28">
        <v>0</v>
      </c>
      <c r="BX4" s="31"/>
      <c r="BY4" s="24">
        <v>8</v>
      </c>
      <c r="BZ4">
        <v>8</v>
      </c>
      <c r="CA4" s="28">
        <v>0</v>
      </c>
      <c r="CB4" s="31"/>
      <c r="CE4" s="28">
        <v>0</v>
      </c>
      <c r="CF4" s="31"/>
      <c r="CG4" s="24">
        <v>16</v>
      </c>
      <c r="CI4">
        <v>16</v>
      </c>
      <c r="CJ4" s="28">
        <v>0</v>
      </c>
      <c r="CK4" s="31"/>
      <c r="CL4" s="30"/>
      <c r="CN4">
        <v>72</v>
      </c>
      <c r="CO4">
        <v>72</v>
      </c>
      <c r="CP4" s="28">
        <v>0</v>
      </c>
      <c r="CQ4" s="31"/>
      <c r="CR4" s="30"/>
      <c r="CU4" s="28">
        <v>0</v>
      </c>
      <c r="CV4" s="31"/>
      <c r="CW4">
        <v>40</v>
      </c>
      <c r="CX4" s="28">
        <v>38.200000000000003</v>
      </c>
      <c r="CY4" s="28">
        <v>1.7999999999999969</v>
      </c>
      <c r="CZ4" s="31"/>
      <c r="DA4" s="33"/>
      <c r="DC4" s="28">
        <v>0</v>
      </c>
      <c r="DD4" s="31"/>
      <c r="DE4" s="30"/>
      <c r="DG4" s="28">
        <v>0</v>
      </c>
      <c r="DH4" s="31"/>
      <c r="DI4" s="30"/>
      <c r="DK4" s="28">
        <v>0</v>
      </c>
      <c r="DL4" s="31"/>
      <c r="DM4">
        <v>48</v>
      </c>
      <c r="DN4" s="32">
        <v>52.400000000000013</v>
      </c>
      <c r="DO4" s="28">
        <v>-4.4000000000000128</v>
      </c>
      <c r="DP4" s="31"/>
      <c r="DS4" s="28">
        <v>0</v>
      </c>
      <c r="DT4" s="31"/>
      <c r="DU4" s="30"/>
      <c r="DX4" s="28">
        <v>0</v>
      </c>
      <c r="DY4" s="31"/>
      <c r="DZ4" s="30"/>
      <c r="EC4" s="28">
        <v>0</v>
      </c>
      <c r="ED4" s="31"/>
      <c r="EE4">
        <v>40</v>
      </c>
      <c r="EF4" s="32">
        <v>38.600000000000009</v>
      </c>
      <c r="EG4" s="28">
        <v>1.399999999999991</v>
      </c>
      <c r="EH4" s="31"/>
      <c r="EI4" s="30"/>
      <c r="EL4">
        <v>16</v>
      </c>
      <c r="EM4">
        <v>16</v>
      </c>
      <c r="EN4" s="28">
        <v>0</v>
      </c>
      <c r="EO4" s="31"/>
      <c r="EP4">
        <v>48</v>
      </c>
      <c r="EQ4" s="32">
        <v>49.899999999999991</v>
      </c>
      <c r="ER4" s="28">
        <v>-1.899999999999991</v>
      </c>
      <c r="ES4" s="31"/>
      <c r="ET4" s="30"/>
      <c r="EV4">
        <v>16</v>
      </c>
      <c r="EW4">
        <v>20</v>
      </c>
      <c r="EX4" s="28">
        <v>-4</v>
      </c>
      <c r="EY4" s="31"/>
      <c r="FD4" s="28">
        <v>0</v>
      </c>
      <c r="FE4" s="31"/>
      <c r="FF4">
        <v>40</v>
      </c>
      <c r="FG4" s="32">
        <v>40</v>
      </c>
      <c r="FH4" s="28">
        <v>0</v>
      </c>
      <c r="FI4" s="31"/>
      <c r="FJ4" s="24">
        <v>8</v>
      </c>
      <c r="FK4">
        <v>10</v>
      </c>
      <c r="FL4" s="28">
        <v>-2</v>
      </c>
      <c r="FM4" s="31"/>
      <c r="FN4" s="30"/>
      <c r="FP4" s="28">
        <v>0</v>
      </c>
      <c r="FQ4" s="31"/>
      <c r="FR4">
        <v>40</v>
      </c>
      <c r="FS4">
        <v>40</v>
      </c>
      <c r="FT4" s="28">
        <v>0</v>
      </c>
      <c r="FU4" s="31"/>
      <c r="FV4" s="24">
        <v>24</v>
      </c>
      <c r="FW4">
        <v>29</v>
      </c>
      <c r="FX4" s="28">
        <v>-5</v>
      </c>
      <c r="FY4" s="31"/>
      <c r="FZ4" s="30"/>
      <c r="GB4" s="28">
        <v>0</v>
      </c>
      <c r="GC4" s="31"/>
      <c r="GD4">
        <v>24</v>
      </c>
      <c r="GE4">
        <v>24</v>
      </c>
      <c r="GF4" s="28">
        <v>0</v>
      </c>
      <c r="GG4" s="34"/>
      <c r="GH4">
        <v>24</v>
      </c>
      <c r="GI4">
        <v>26</v>
      </c>
      <c r="GJ4" s="28">
        <v>-2</v>
      </c>
      <c r="GK4" s="31"/>
      <c r="GN4" s="28">
        <v>0</v>
      </c>
      <c r="GO4" s="34"/>
      <c r="GP4">
        <v>32</v>
      </c>
      <c r="GQ4">
        <v>32</v>
      </c>
      <c r="GR4" s="28">
        <v>0</v>
      </c>
      <c r="GS4" s="31"/>
      <c r="GV4" s="28">
        <v>0</v>
      </c>
      <c r="GW4" s="34"/>
      <c r="GZ4" s="28">
        <v>0</v>
      </c>
      <c r="HA4" s="31"/>
      <c r="HB4" s="24">
        <v>24</v>
      </c>
      <c r="HC4" s="32">
        <v>24</v>
      </c>
      <c r="HD4" s="28">
        <v>0</v>
      </c>
      <c r="HE4" s="34"/>
      <c r="HH4" s="28">
        <v>0</v>
      </c>
      <c r="HI4" s="34"/>
      <c r="HJ4">
        <v>24</v>
      </c>
      <c r="HK4">
        <v>24</v>
      </c>
      <c r="HL4" s="28">
        <v>0</v>
      </c>
      <c r="HM4" s="34"/>
      <c r="HP4" s="28">
        <v>0</v>
      </c>
      <c r="HQ4" s="31"/>
      <c r="HR4" s="29"/>
      <c r="HT4">
        <v>8</v>
      </c>
      <c r="HU4">
        <v>13</v>
      </c>
      <c r="HV4" s="28">
        <v>-5</v>
      </c>
      <c r="HW4" s="34"/>
      <c r="HX4" s="32">
        <v>120</v>
      </c>
      <c r="HY4" s="32">
        <v>120</v>
      </c>
      <c r="HZ4" s="28">
        <v>0</v>
      </c>
      <c r="IA4" s="34"/>
      <c r="IB4" s="32">
        <v>0</v>
      </c>
      <c r="IC4" s="32">
        <v>0</v>
      </c>
      <c r="ID4" s="28">
        <v>0</v>
      </c>
      <c r="IE4" s="34"/>
      <c r="IF4" s="33">
        <v>0</v>
      </c>
      <c r="IG4" s="32">
        <v>0</v>
      </c>
      <c r="IH4" s="28">
        <v>0</v>
      </c>
      <c r="II4" s="34"/>
    </row>
    <row r="5" spans="1:243" x14ac:dyDescent="0.25">
      <c r="A5" s="28" t="s">
        <v>137</v>
      </c>
      <c r="B5" s="29">
        <v>1</v>
      </c>
      <c r="E5">
        <v>25</v>
      </c>
      <c r="J5" s="30"/>
      <c r="K5" s="35"/>
      <c r="L5" s="36">
        <v>28</v>
      </c>
      <c r="M5" s="36">
        <v>29</v>
      </c>
      <c r="N5" s="35">
        <f t="shared" si="4"/>
        <v>-1</v>
      </c>
      <c r="O5" s="31"/>
      <c r="P5" s="35"/>
      <c r="Q5">
        <v>28</v>
      </c>
      <c r="R5">
        <v>25</v>
      </c>
      <c r="S5" s="28">
        <v>3</v>
      </c>
      <c r="T5" s="31"/>
      <c r="U5" s="24">
        <v>20</v>
      </c>
      <c r="V5">
        <v>20</v>
      </c>
      <c r="W5" s="28">
        <v>0</v>
      </c>
      <c r="X5" s="31"/>
      <c r="Y5" s="24">
        <v>28</v>
      </c>
      <c r="Z5">
        <v>26</v>
      </c>
      <c r="AA5" s="28">
        <v>2</v>
      </c>
      <c r="AB5" s="31"/>
      <c r="AC5">
        <v>8</v>
      </c>
      <c r="AD5">
        <v>9</v>
      </c>
      <c r="AE5" s="28">
        <v>-1</v>
      </c>
      <c r="AF5" s="31"/>
      <c r="AG5" s="24">
        <v>12</v>
      </c>
      <c r="AH5">
        <v>10</v>
      </c>
      <c r="AI5" s="28">
        <v>2</v>
      </c>
      <c r="AJ5" s="31"/>
      <c r="AK5">
        <v>23</v>
      </c>
      <c r="AL5">
        <v>22</v>
      </c>
      <c r="AM5" s="28">
        <v>1</v>
      </c>
      <c r="AN5" s="31"/>
      <c r="AO5" s="24">
        <v>4</v>
      </c>
      <c r="AP5">
        <v>4</v>
      </c>
      <c r="AQ5" s="28">
        <v>0</v>
      </c>
      <c r="AR5" s="31"/>
      <c r="AS5" s="24">
        <v>4</v>
      </c>
      <c r="AT5">
        <v>4</v>
      </c>
      <c r="AU5" s="28">
        <v>0</v>
      </c>
      <c r="AV5" s="31"/>
      <c r="AY5" s="28">
        <v>0</v>
      </c>
      <c r="AZ5" s="31"/>
      <c r="BA5" s="30"/>
      <c r="BC5">
        <v>12</v>
      </c>
      <c r="BD5">
        <v>14</v>
      </c>
      <c r="BE5" s="28">
        <v>-2</v>
      </c>
      <c r="BF5" s="31"/>
      <c r="BG5" s="30"/>
      <c r="BI5" s="28">
        <v>0</v>
      </c>
      <c r="BJ5" s="31"/>
      <c r="BO5" s="28">
        <v>0</v>
      </c>
      <c r="BP5" s="31"/>
      <c r="BS5" s="28">
        <v>0</v>
      </c>
      <c r="BT5" s="31"/>
      <c r="BU5" s="30"/>
      <c r="BW5" s="28">
        <v>0</v>
      </c>
      <c r="BX5" s="31"/>
      <c r="BY5" s="30"/>
      <c r="CA5" s="28">
        <v>0</v>
      </c>
      <c r="CB5" s="31"/>
      <c r="CE5" s="28">
        <v>0</v>
      </c>
      <c r="CF5" s="31"/>
      <c r="CG5" s="30"/>
      <c r="CJ5" s="28">
        <v>0</v>
      </c>
      <c r="CK5" s="31"/>
      <c r="CL5" s="30"/>
      <c r="CN5">
        <v>12</v>
      </c>
      <c r="CO5">
        <v>12</v>
      </c>
      <c r="CP5" s="28">
        <v>0</v>
      </c>
      <c r="CQ5" s="31"/>
      <c r="CR5" s="24">
        <v>31</v>
      </c>
      <c r="CT5">
        <v>31</v>
      </c>
      <c r="CU5" s="28">
        <v>0</v>
      </c>
      <c r="CV5" s="31"/>
      <c r="CY5" s="28">
        <v>0</v>
      </c>
      <c r="CZ5" s="31"/>
      <c r="DA5" s="33"/>
      <c r="DC5" s="28">
        <v>0</v>
      </c>
      <c r="DD5" s="31"/>
      <c r="DE5" s="24">
        <v>31</v>
      </c>
      <c r="DF5" s="28">
        <v>30.504999999999999</v>
      </c>
      <c r="DG5" s="28">
        <v>0.49500000000000099</v>
      </c>
      <c r="DH5" s="31"/>
      <c r="DI5" s="30"/>
      <c r="DK5" s="28">
        <v>0</v>
      </c>
      <c r="DL5" s="31"/>
      <c r="DO5" s="28">
        <v>0</v>
      </c>
      <c r="DP5" s="31"/>
      <c r="DS5" s="28">
        <v>0</v>
      </c>
      <c r="DT5" s="31"/>
      <c r="DU5" s="30"/>
      <c r="DX5" s="28">
        <v>0</v>
      </c>
      <c r="DY5" s="31"/>
      <c r="DZ5" s="30"/>
      <c r="EC5" s="28">
        <v>0</v>
      </c>
      <c r="ED5" s="31"/>
      <c r="EE5">
        <v>12</v>
      </c>
      <c r="EF5" s="32">
        <v>10.693199999999999</v>
      </c>
      <c r="EG5" s="28">
        <v>1.3068000000000011</v>
      </c>
      <c r="EH5" s="31"/>
      <c r="EI5" s="30"/>
      <c r="EL5">
        <v>27</v>
      </c>
      <c r="EM5">
        <v>27</v>
      </c>
      <c r="EN5" s="28">
        <v>0</v>
      </c>
      <c r="EO5" s="31"/>
      <c r="ER5" s="28">
        <v>0</v>
      </c>
      <c r="ES5" s="31"/>
      <c r="ET5" s="30"/>
      <c r="EX5" s="28">
        <v>0</v>
      </c>
      <c r="EY5" s="31"/>
      <c r="FD5" s="28">
        <v>0</v>
      </c>
      <c r="FE5" s="31"/>
      <c r="FH5" s="28">
        <v>0</v>
      </c>
      <c r="FI5" s="31"/>
      <c r="FJ5" s="30"/>
      <c r="FL5" s="28">
        <v>0</v>
      </c>
      <c r="FM5" s="31"/>
      <c r="FN5" s="24">
        <v>27</v>
      </c>
      <c r="FO5">
        <v>24</v>
      </c>
      <c r="FP5" s="28">
        <v>3</v>
      </c>
      <c r="FQ5" s="31"/>
      <c r="FT5" s="28">
        <v>0</v>
      </c>
      <c r="FU5" s="31"/>
      <c r="FV5" s="24">
        <v>20</v>
      </c>
      <c r="FW5">
        <v>21</v>
      </c>
      <c r="FX5" s="28">
        <v>-1</v>
      </c>
      <c r="FY5" s="31"/>
      <c r="FZ5" s="30"/>
      <c r="GB5" s="28">
        <v>0</v>
      </c>
      <c r="GC5" s="31"/>
      <c r="GF5" s="28">
        <v>0</v>
      </c>
      <c r="GG5" s="34"/>
      <c r="GJ5" s="28">
        <v>0</v>
      </c>
      <c r="GK5" s="31"/>
      <c r="GN5" s="28">
        <v>0</v>
      </c>
      <c r="GO5" s="34"/>
      <c r="GR5" s="28">
        <v>0</v>
      </c>
      <c r="GS5" s="31"/>
      <c r="GT5">
        <v>20</v>
      </c>
      <c r="GU5">
        <v>20</v>
      </c>
      <c r="GV5" s="28">
        <v>0</v>
      </c>
      <c r="GW5" s="34"/>
      <c r="GX5">
        <v>12</v>
      </c>
      <c r="GY5" s="32">
        <v>9.6679999999999957</v>
      </c>
      <c r="GZ5" s="28">
        <v>2.3320000000000038</v>
      </c>
      <c r="HA5" s="31"/>
      <c r="HB5" s="33"/>
      <c r="HD5" s="28">
        <v>0</v>
      </c>
      <c r="HE5" s="34"/>
      <c r="HF5">
        <v>32</v>
      </c>
      <c r="HG5">
        <v>30</v>
      </c>
      <c r="HH5" s="28">
        <v>2</v>
      </c>
      <c r="HI5" s="34"/>
      <c r="HL5" s="28">
        <v>0</v>
      </c>
      <c r="HM5" s="34"/>
      <c r="HP5" s="28">
        <v>0</v>
      </c>
      <c r="HQ5" s="31"/>
      <c r="HR5">
        <v>20</v>
      </c>
      <c r="HS5">
        <v>20</v>
      </c>
      <c r="HT5">
        <v>20</v>
      </c>
      <c r="HU5">
        <v>20</v>
      </c>
      <c r="HV5" s="28">
        <v>0</v>
      </c>
      <c r="HW5" s="34"/>
      <c r="HX5" s="32">
        <v>0</v>
      </c>
      <c r="HY5" s="32">
        <v>0</v>
      </c>
      <c r="HZ5" s="28">
        <v>0</v>
      </c>
      <c r="IA5" s="34"/>
      <c r="IB5" s="32">
        <v>0</v>
      </c>
      <c r="IC5" s="32">
        <v>0</v>
      </c>
      <c r="ID5" s="28">
        <v>0</v>
      </c>
      <c r="IE5" s="34"/>
      <c r="IF5" s="33">
        <v>0</v>
      </c>
      <c r="IG5" s="32">
        <v>0</v>
      </c>
      <c r="IH5" s="28">
        <v>0</v>
      </c>
      <c r="II5" s="34"/>
    </row>
    <row r="6" spans="1:243" x14ac:dyDescent="0.25">
      <c r="A6" s="28" t="s">
        <v>138</v>
      </c>
      <c r="B6" s="29">
        <v>1</v>
      </c>
      <c r="J6" s="30"/>
      <c r="K6" s="35"/>
      <c r="L6" s="35"/>
      <c r="M6" s="35"/>
      <c r="N6" s="35">
        <f t="shared" si="4"/>
        <v>0</v>
      </c>
      <c r="O6" s="31"/>
      <c r="P6" s="35"/>
      <c r="S6" s="28">
        <v>0</v>
      </c>
      <c r="T6" s="31"/>
      <c r="U6" s="30"/>
      <c r="W6" s="28">
        <v>0</v>
      </c>
      <c r="X6" s="31"/>
      <c r="Y6" s="30"/>
      <c r="AA6" s="28">
        <v>0</v>
      </c>
      <c r="AB6" s="31"/>
      <c r="AE6" s="28">
        <v>0</v>
      </c>
      <c r="AF6" s="31"/>
      <c r="AG6" s="30"/>
      <c r="AI6" s="28">
        <v>0</v>
      </c>
      <c r="AJ6" s="31"/>
      <c r="AM6" s="28">
        <v>0</v>
      </c>
      <c r="AN6" s="31"/>
      <c r="AO6" s="30"/>
      <c r="AQ6" s="28">
        <v>0</v>
      </c>
      <c r="AR6" s="31"/>
      <c r="AS6" s="30"/>
      <c r="AU6" s="28">
        <v>0</v>
      </c>
      <c r="AV6" s="31"/>
      <c r="AY6" s="28">
        <v>0</v>
      </c>
      <c r="AZ6" s="31"/>
      <c r="BA6" s="30"/>
      <c r="BE6" s="28">
        <v>0</v>
      </c>
      <c r="BF6" s="31"/>
      <c r="BG6" s="30"/>
      <c r="BI6" s="28">
        <v>0</v>
      </c>
      <c r="BJ6" s="31"/>
      <c r="BO6" s="28">
        <v>0</v>
      </c>
      <c r="BP6" s="31"/>
      <c r="BS6" s="28">
        <v>0</v>
      </c>
      <c r="BT6" s="31"/>
      <c r="BU6" s="30"/>
      <c r="BW6" s="28">
        <v>0</v>
      </c>
      <c r="BX6" s="31"/>
      <c r="BY6" s="30"/>
      <c r="CA6" s="28">
        <v>0</v>
      </c>
      <c r="CB6" s="31"/>
      <c r="CE6" s="28">
        <v>0</v>
      </c>
      <c r="CF6" s="31"/>
      <c r="CG6" s="30"/>
      <c r="CJ6" s="28">
        <v>0</v>
      </c>
      <c r="CK6" s="31"/>
      <c r="CL6" s="30"/>
      <c r="CP6" s="28">
        <v>0</v>
      </c>
      <c r="CQ6" s="31"/>
      <c r="CR6" s="30"/>
      <c r="CU6" s="28">
        <v>0</v>
      </c>
      <c r="CV6" s="31"/>
      <c r="CY6" s="28">
        <v>0</v>
      </c>
      <c r="CZ6" s="31"/>
      <c r="DA6" s="33"/>
      <c r="DC6" s="28">
        <v>0</v>
      </c>
      <c r="DD6" s="31"/>
      <c r="DE6" s="30"/>
      <c r="DG6" s="28">
        <v>0</v>
      </c>
      <c r="DH6" s="31"/>
      <c r="DI6" s="30"/>
      <c r="DK6" s="28">
        <v>0</v>
      </c>
      <c r="DL6" s="31"/>
      <c r="DO6" s="28">
        <v>0</v>
      </c>
      <c r="DP6" s="31"/>
      <c r="DS6" s="28">
        <v>0</v>
      </c>
      <c r="DT6" s="31"/>
      <c r="DU6" s="30"/>
      <c r="DX6" s="28">
        <v>0</v>
      </c>
      <c r="DY6" s="31"/>
      <c r="DZ6" s="30"/>
      <c r="EC6" s="28">
        <v>0</v>
      </c>
      <c r="ED6" s="31"/>
      <c r="EG6" s="28">
        <v>0</v>
      </c>
      <c r="EH6" s="31"/>
      <c r="EI6" s="30"/>
      <c r="EN6" s="28">
        <v>0</v>
      </c>
      <c r="EO6" s="31"/>
      <c r="ER6" s="28">
        <v>0</v>
      </c>
      <c r="ES6" s="31"/>
      <c r="ET6" s="30"/>
      <c r="EX6" s="28">
        <v>0</v>
      </c>
      <c r="EY6" s="31"/>
      <c r="FD6" s="28">
        <v>0</v>
      </c>
      <c r="FE6" s="31"/>
      <c r="FH6" s="28">
        <v>0</v>
      </c>
      <c r="FI6" s="31"/>
      <c r="FJ6" s="30"/>
      <c r="FL6" s="28">
        <v>0</v>
      </c>
      <c r="FM6" s="31"/>
      <c r="FN6" s="30"/>
      <c r="FP6" s="28">
        <v>0</v>
      </c>
      <c r="FQ6" s="31"/>
      <c r="FT6" s="28">
        <v>0</v>
      </c>
      <c r="FU6" s="31"/>
      <c r="FV6" s="30"/>
      <c r="FX6" s="28">
        <v>0</v>
      </c>
      <c r="FY6" s="31"/>
      <c r="FZ6" s="30"/>
      <c r="GB6" s="28">
        <v>0</v>
      </c>
      <c r="GC6" s="31"/>
      <c r="GF6" s="28">
        <v>0</v>
      </c>
      <c r="GG6" s="34"/>
      <c r="GJ6" s="28">
        <v>0</v>
      </c>
      <c r="GK6" s="31"/>
      <c r="GN6" s="28">
        <v>0</v>
      </c>
      <c r="GO6" s="34"/>
      <c r="GR6" s="28">
        <v>0</v>
      </c>
      <c r="GS6" s="31"/>
      <c r="GV6" s="28">
        <v>0</v>
      </c>
      <c r="GW6" s="34"/>
      <c r="GZ6" s="28">
        <v>0</v>
      </c>
      <c r="HA6" s="31"/>
      <c r="HB6" s="33"/>
      <c r="HD6" s="28">
        <v>0</v>
      </c>
      <c r="HE6" s="34"/>
      <c r="HH6" s="28">
        <v>0</v>
      </c>
      <c r="HI6" s="34"/>
      <c r="HL6" s="28">
        <v>0</v>
      </c>
      <c r="HM6" s="34"/>
      <c r="HP6" s="28">
        <v>0</v>
      </c>
      <c r="HQ6" s="31"/>
      <c r="HR6" s="29"/>
      <c r="HT6" s="29"/>
      <c r="HV6" s="28">
        <v>0</v>
      </c>
      <c r="HW6" s="34"/>
      <c r="HX6" s="32">
        <v>0</v>
      </c>
      <c r="HY6" s="32">
        <v>0</v>
      </c>
      <c r="HZ6" s="28">
        <v>0</v>
      </c>
      <c r="IA6" s="34"/>
      <c r="IB6" s="32">
        <v>0</v>
      </c>
      <c r="IC6" s="32">
        <v>0</v>
      </c>
      <c r="ID6" s="28">
        <v>0</v>
      </c>
      <c r="IE6" s="34"/>
      <c r="IF6" s="33">
        <v>0</v>
      </c>
      <c r="IG6" s="4">
        <v>64.418000000000006</v>
      </c>
      <c r="IH6" s="28">
        <v>1.018999999999991</v>
      </c>
      <c r="II6" s="34"/>
    </row>
    <row r="7" spans="1:243" x14ac:dyDescent="0.25">
      <c r="A7" s="28" t="s">
        <v>139</v>
      </c>
      <c r="B7" s="29">
        <v>1</v>
      </c>
      <c r="J7" s="30"/>
      <c r="K7" s="35"/>
      <c r="L7" s="35"/>
      <c r="M7" s="35"/>
      <c r="N7" s="35">
        <f t="shared" si="4"/>
        <v>0</v>
      </c>
      <c r="O7" s="31"/>
      <c r="P7" s="35"/>
      <c r="S7" s="28">
        <v>0</v>
      </c>
      <c r="T7" s="31"/>
      <c r="U7" s="30"/>
      <c r="W7" s="28">
        <v>0</v>
      </c>
      <c r="X7" s="31"/>
      <c r="Y7" s="30"/>
      <c r="AA7" s="28">
        <v>0</v>
      </c>
      <c r="AB7" s="31"/>
      <c r="AE7" s="28">
        <v>0</v>
      </c>
      <c r="AF7" s="31"/>
      <c r="AG7" s="30"/>
      <c r="AI7" s="28">
        <v>0</v>
      </c>
      <c r="AJ7" s="31"/>
      <c r="AM7" s="28">
        <v>0</v>
      </c>
      <c r="AN7" s="31"/>
      <c r="AO7" s="30"/>
      <c r="AQ7" s="28">
        <v>0</v>
      </c>
      <c r="AR7" s="31"/>
      <c r="AS7" s="30"/>
      <c r="AU7" s="28">
        <v>0</v>
      </c>
      <c r="AV7" s="31"/>
      <c r="AY7" s="28">
        <v>0</v>
      </c>
      <c r="AZ7" s="31"/>
      <c r="BA7" s="30"/>
      <c r="BE7" s="28">
        <v>0</v>
      </c>
      <c r="BF7" s="31"/>
      <c r="BG7" s="30"/>
      <c r="BI7" s="28">
        <v>0</v>
      </c>
      <c r="BJ7" s="31"/>
      <c r="BO7" s="28">
        <v>0</v>
      </c>
      <c r="BP7" s="31"/>
      <c r="BS7" s="28">
        <v>0</v>
      </c>
      <c r="BT7" s="31"/>
      <c r="BU7" s="30"/>
      <c r="BW7" s="28">
        <v>0</v>
      </c>
      <c r="BX7" s="31"/>
      <c r="BY7" s="30"/>
      <c r="CA7" s="28">
        <v>0</v>
      </c>
      <c r="CB7" s="31"/>
      <c r="CE7" s="28">
        <v>0</v>
      </c>
      <c r="CF7" s="31"/>
      <c r="CG7" s="30"/>
      <c r="CJ7" s="28">
        <v>0</v>
      </c>
      <c r="CK7" s="31"/>
      <c r="CL7" s="30"/>
      <c r="CP7" s="28">
        <v>0</v>
      </c>
      <c r="CQ7" s="31"/>
      <c r="CR7" s="30"/>
      <c r="CU7" s="28">
        <v>0</v>
      </c>
      <c r="CV7" s="31"/>
      <c r="CY7" s="28">
        <v>0</v>
      </c>
      <c r="CZ7" s="31"/>
      <c r="DA7" s="33"/>
      <c r="DC7" s="28">
        <v>0</v>
      </c>
      <c r="DD7" s="31"/>
      <c r="DE7" s="30"/>
      <c r="DG7" s="28">
        <v>0</v>
      </c>
      <c r="DH7" s="31"/>
      <c r="DI7" s="30"/>
      <c r="DK7" s="28">
        <v>0</v>
      </c>
      <c r="DL7" s="31"/>
      <c r="DO7" s="28">
        <v>0</v>
      </c>
      <c r="DP7" s="31"/>
      <c r="DS7" s="28">
        <v>0</v>
      </c>
      <c r="DT7" s="31"/>
      <c r="DU7" s="30"/>
      <c r="DX7" s="28">
        <v>0</v>
      </c>
      <c r="DY7" s="31"/>
      <c r="DZ7" s="30"/>
      <c r="EC7" s="28">
        <v>0</v>
      </c>
      <c r="ED7" s="31"/>
      <c r="EG7" s="28">
        <v>0</v>
      </c>
      <c r="EH7" s="31"/>
      <c r="EI7" s="30"/>
      <c r="EN7" s="28">
        <v>0</v>
      </c>
      <c r="EO7" s="31"/>
      <c r="ER7" s="28">
        <v>0</v>
      </c>
      <c r="ES7" s="31"/>
      <c r="ET7" s="30"/>
      <c r="EX7" s="28">
        <v>0</v>
      </c>
      <c r="EY7" s="31"/>
      <c r="FD7" s="28">
        <v>0</v>
      </c>
      <c r="FE7" s="31"/>
      <c r="FH7" s="28">
        <v>0</v>
      </c>
      <c r="FI7" s="31"/>
      <c r="FJ7" s="30"/>
      <c r="FL7" s="28">
        <v>0</v>
      </c>
      <c r="FM7" s="31"/>
      <c r="FN7" s="30"/>
      <c r="FP7" s="28">
        <v>0</v>
      </c>
      <c r="FQ7" s="31"/>
      <c r="FT7" s="28">
        <v>0</v>
      </c>
      <c r="FU7" s="31"/>
      <c r="FV7" s="30"/>
      <c r="FX7" s="28">
        <v>0</v>
      </c>
      <c r="FY7" s="31"/>
      <c r="FZ7" s="30"/>
      <c r="GB7" s="28">
        <v>0</v>
      </c>
      <c r="GC7" s="31"/>
      <c r="GF7" s="28">
        <v>0</v>
      </c>
      <c r="GG7" s="34"/>
      <c r="GJ7" s="28">
        <v>0</v>
      </c>
      <c r="GK7" s="31"/>
      <c r="GN7" s="28">
        <v>0</v>
      </c>
      <c r="GO7" s="34"/>
      <c r="GR7" s="28">
        <v>0</v>
      </c>
      <c r="GS7" s="31"/>
      <c r="GV7" s="28">
        <v>0</v>
      </c>
      <c r="GW7" s="34"/>
      <c r="GZ7" s="28">
        <v>0</v>
      </c>
      <c r="HA7" s="31"/>
      <c r="HB7" s="33"/>
      <c r="HD7" s="28">
        <v>0</v>
      </c>
      <c r="HE7" s="34"/>
      <c r="HH7" s="28">
        <v>0</v>
      </c>
      <c r="HI7" s="34"/>
      <c r="HL7" s="28">
        <v>0</v>
      </c>
      <c r="HM7" s="34"/>
      <c r="HP7" s="28">
        <v>0</v>
      </c>
      <c r="HQ7" s="31"/>
      <c r="HR7" s="29"/>
      <c r="HT7" s="29"/>
      <c r="HV7" s="28">
        <v>0</v>
      </c>
      <c r="HW7" s="34"/>
      <c r="HX7" s="32">
        <v>0</v>
      </c>
      <c r="HY7" s="32">
        <v>0</v>
      </c>
      <c r="HZ7" s="28">
        <v>0</v>
      </c>
      <c r="IA7" s="34"/>
      <c r="IB7" s="32">
        <v>0</v>
      </c>
      <c r="IC7" s="32">
        <v>0</v>
      </c>
      <c r="ID7" s="28">
        <v>0</v>
      </c>
      <c r="IE7" s="34"/>
      <c r="IF7" s="33">
        <v>12.08</v>
      </c>
      <c r="IG7" s="32">
        <v>10</v>
      </c>
      <c r="IH7" s="28">
        <v>2.08</v>
      </c>
      <c r="II7" s="34"/>
    </row>
    <row r="8" spans="1:243" x14ac:dyDescent="0.25">
      <c r="A8" s="28" t="s">
        <v>140</v>
      </c>
      <c r="B8" s="29">
        <v>0.25</v>
      </c>
      <c r="E8" s="28">
        <v>25</v>
      </c>
      <c r="J8" s="30"/>
      <c r="K8" s="35"/>
      <c r="L8" s="36">
        <v>16</v>
      </c>
      <c r="M8" s="35"/>
      <c r="N8" s="35">
        <v>0</v>
      </c>
      <c r="O8" s="31"/>
      <c r="P8" s="35"/>
      <c r="T8" s="31"/>
      <c r="U8" s="30"/>
      <c r="X8" s="31"/>
      <c r="Y8" s="30"/>
      <c r="AB8" s="31"/>
      <c r="AF8" s="31"/>
      <c r="AG8" s="30"/>
      <c r="AJ8" s="31"/>
      <c r="AN8" s="31"/>
      <c r="AO8" s="30"/>
      <c r="AR8" s="31"/>
      <c r="AS8" s="30"/>
      <c r="AV8" s="31"/>
      <c r="AZ8" s="31"/>
      <c r="BA8" s="30"/>
      <c r="BF8" s="31"/>
      <c r="BG8" s="30"/>
      <c r="BJ8" s="31"/>
      <c r="BP8" s="31"/>
      <c r="BT8" s="31"/>
      <c r="BU8" s="30"/>
      <c r="BX8" s="31"/>
      <c r="BY8" s="30"/>
      <c r="CB8" s="31"/>
      <c r="CF8" s="31"/>
      <c r="CG8" s="30"/>
      <c r="CK8" s="31"/>
      <c r="CL8" s="30"/>
      <c r="CQ8" s="31"/>
      <c r="CR8" s="30"/>
      <c r="CV8" s="31"/>
      <c r="CY8" s="28"/>
      <c r="CZ8" s="31"/>
      <c r="DA8" s="33"/>
      <c r="DD8" s="31"/>
      <c r="DE8" s="30"/>
      <c r="DF8" s="29"/>
      <c r="DH8" s="31"/>
      <c r="DI8" s="30"/>
      <c r="DJ8" s="28"/>
      <c r="DL8" s="31"/>
      <c r="DP8" s="31"/>
      <c r="DQ8" s="32"/>
      <c r="DT8" s="31"/>
      <c r="DU8" s="30"/>
      <c r="DY8" s="31"/>
      <c r="DZ8" s="30"/>
      <c r="ED8" s="31"/>
      <c r="EH8" s="31"/>
      <c r="EI8" s="30"/>
      <c r="EO8" s="31"/>
      <c r="ES8" s="31"/>
      <c r="ET8" s="30"/>
      <c r="EY8" s="31"/>
      <c r="FE8" s="31"/>
      <c r="FI8" s="31"/>
      <c r="FJ8" s="30"/>
      <c r="FM8" s="31"/>
      <c r="FN8" s="30"/>
      <c r="FQ8" s="31"/>
      <c r="FU8" s="31"/>
      <c r="FV8" s="30"/>
      <c r="FY8" s="31"/>
      <c r="FZ8" s="30"/>
      <c r="GC8" s="31"/>
      <c r="GG8" s="34"/>
      <c r="GK8" s="31"/>
      <c r="GO8" s="34"/>
      <c r="GS8" s="31"/>
      <c r="GW8" s="34"/>
      <c r="HA8" s="31"/>
      <c r="HB8" s="33"/>
      <c r="HE8" s="34"/>
      <c r="HI8" s="34"/>
      <c r="HM8" s="34"/>
      <c r="HQ8" s="31"/>
      <c r="HR8" s="29"/>
      <c r="HT8" s="29"/>
      <c r="HW8" s="34"/>
      <c r="HX8" s="32"/>
      <c r="HY8" s="32"/>
      <c r="IA8" s="34"/>
      <c r="IB8" s="32"/>
      <c r="IC8" s="32"/>
      <c r="IE8" s="34"/>
      <c r="IF8" s="33"/>
      <c r="IG8" s="32"/>
      <c r="II8" s="34"/>
    </row>
    <row r="9" spans="1:243" x14ac:dyDescent="0.25">
      <c r="A9" s="28" t="s">
        <v>141</v>
      </c>
      <c r="B9" s="29">
        <v>1</v>
      </c>
      <c r="E9">
        <v>200</v>
      </c>
      <c r="F9">
        <v>97</v>
      </c>
      <c r="G9">
        <v>100</v>
      </c>
      <c r="J9" s="24">
        <v>301</v>
      </c>
      <c r="K9" s="36">
        <v>300</v>
      </c>
      <c r="L9" s="35"/>
      <c r="M9" s="36">
        <v>236</v>
      </c>
      <c r="N9" s="40">
        <f t="shared" si="4"/>
        <v>-235</v>
      </c>
      <c r="O9" s="31">
        <f>-1*N9*B9</f>
        <v>235</v>
      </c>
      <c r="P9" s="35"/>
      <c r="Q9">
        <v>488</v>
      </c>
      <c r="R9">
        <v>489</v>
      </c>
      <c r="S9" s="28">
        <v>-1</v>
      </c>
      <c r="T9" s="31"/>
      <c r="U9" s="24">
        <v>202</v>
      </c>
      <c r="V9">
        <v>200</v>
      </c>
      <c r="W9" s="28">
        <v>2</v>
      </c>
      <c r="X9" s="31"/>
      <c r="Y9" s="24">
        <v>459</v>
      </c>
      <c r="Z9">
        <v>460</v>
      </c>
      <c r="AA9" s="28">
        <v>-1</v>
      </c>
      <c r="AB9" s="31"/>
      <c r="AC9">
        <v>321</v>
      </c>
      <c r="AD9">
        <v>324</v>
      </c>
      <c r="AE9" s="28">
        <v>-3</v>
      </c>
      <c r="AF9" s="31"/>
      <c r="AG9" s="24">
        <v>142</v>
      </c>
      <c r="AH9">
        <v>143</v>
      </c>
      <c r="AI9" s="28">
        <v>-1</v>
      </c>
      <c r="AJ9" s="31"/>
      <c r="AK9">
        <v>604</v>
      </c>
      <c r="AL9">
        <v>600</v>
      </c>
      <c r="AM9" s="28">
        <v>4</v>
      </c>
      <c r="AN9" s="31"/>
      <c r="AO9" s="24">
        <v>222</v>
      </c>
      <c r="AP9">
        <v>219</v>
      </c>
      <c r="AQ9" s="28">
        <v>3</v>
      </c>
      <c r="AR9" s="31"/>
      <c r="AS9" s="30"/>
      <c r="AT9">
        <v>609</v>
      </c>
      <c r="AU9" s="27">
        <v>-609</v>
      </c>
      <c r="AV9" s="31">
        <v>609</v>
      </c>
      <c r="AY9" s="28">
        <v>0</v>
      </c>
      <c r="AZ9" s="31"/>
      <c r="BA9" s="24">
        <v>151</v>
      </c>
      <c r="BB9">
        <v>150</v>
      </c>
      <c r="BC9">
        <v>113</v>
      </c>
      <c r="BD9">
        <v>112</v>
      </c>
      <c r="BE9" s="28">
        <v>2</v>
      </c>
      <c r="BF9" s="31"/>
      <c r="BG9" s="30"/>
      <c r="BI9" s="28">
        <v>0</v>
      </c>
      <c r="BJ9" s="31"/>
      <c r="BK9">
        <v>203</v>
      </c>
      <c r="BL9">
        <v>200</v>
      </c>
      <c r="BM9">
        <v>529</v>
      </c>
      <c r="BN9">
        <v>529</v>
      </c>
      <c r="BO9" s="28">
        <v>3</v>
      </c>
      <c r="BP9" s="31"/>
      <c r="BS9" s="28">
        <v>0</v>
      </c>
      <c r="BT9" s="31"/>
      <c r="BU9" s="24">
        <v>455</v>
      </c>
      <c r="BV9">
        <v>448</v>
      </c>
      <c r="BW9" s="28">
        <v>7</v>
      </c>
      <c r="BX9" s="31"/>
      <c r="BY9" s="30"/>
      <c r="CA9" s="28">
        <v>0</v>
      </c>
      <c r="CB9" s="31"/>
      <c r="CE9" s="28">
        <v>0</v>
      </c>
      <c r="CF9" s="31"/>
      <c r="CG9" s="24">
        <v>680</v>
      </c>
      <c r="CI9">
        <v>679</v>
      </c>
      <c r="CJ9" s="28">
        <v>1</v>
      </c>
      <c r="CK9" s="31"/>
      <c r="CL9" s="24">
        <v>101</v>
      </c>
      <c r="CM9">
        <v>100</v>
      </c>
      <c r="CN9">
        <v>250</v>
      </c>
      <c r="CO9">
        <v>245</v>
      </c>
      <c r="CP9" s="28">
        <v>6</v>
      </c>
      <c r="CQ9" s="31"/>
      <c r="CR9" s="24">
        <v>194</v>
      </c>
      <c r="CT9">
        <v>193</v>
      </c>
      <c r="CU9" s="28">
        <v>1</v>
      </c>
      <c r="CV9" s="31"/>
      <c r="CW9">
        <v>380</v>
      </c>
      <c r="CX9" s="28">
        <v>379.99</v>
      </c>
      <c r="CY9" s="28">
        <v>9.9999999999909051E-3</v>
      </c>
      <c r="CZ9" s="31"/>
      <c r="DA9" s="24">
        <v>16</v>
      </c>
      <c r="DB9" s="28">
        <v>13.61199999999997</v>
      </c>
      <c r="DC9" s="28">
        <v>2.3880000000000301</v>
      </c>
      <c r="DD9" s="31"/>
      <c r="DE9" s="24">
        <v>641</v>
      </c>
      <c r="DF9" s="28">
        <v>641.1733999999999</v>
      </c>
      <c r="DG9" s="28">
        <v>-0.17339999999990141</v>
      </c>
      <c r="DH9" s="31"/>
      <c r="DI9" s="24">
        <v>181</v>
      </c>
      <c r="DJ9">
        <v>183</v>
      </c>
      <c r="DK9" s="28">
        <v>-2</v>
      </c>
      <c r="DL9" s="31"/>
      <c r="DM9">
        <v>221</v>
      </c>
      <c r="DN9" s="32">
        <v>216.81680000000009</v>
      </c>
      <c r="DO9" s="28">
        <v>4.1831999999999141</v>
      </c>
      <c r="DP9" s="31"/>
      <c r="DQ9">
        <v>189</v>
      </c>
      <c r="DR9">
        <v>186</v>
      </c>
      <c r="DS9" s="28">
        <v>3</v>
      </c>
      <c r="DT9" s="31"/>
      <c r="DU9" s="24">
        <v>49</v>
      </c>
      <c r="DW9">
        <v>47</v>
      </c>
      <c r="DX9" s="28">
        <v>2</v>
      </c>
      <c r="DY9" s="31"/>
      <c r="DZ9" s="24">
        <v>394</v>
      </c>
      <c r="EB9">
        <v>394</v>
      </c>
      <c r="EC9" s="28">
        <v>0</v>
      </c>
      <c r="ED9" s="31"/>
      <c r="EG9" s="28">
        <v>0</v>
      </c>
      <c r="EH9" s="31"/>
      <c r="EI9" s="30"/>
      <c r="EJ9">
        <v>193</v>
      </c>
      <c r="EK9">
        <v>330</v>
      </c>
      <c r="EL9">
        <v>318</v>
      </c>
      <c r="EM9">
        <v>340</v>
      </c>
      <c r="EN9" s="27">
        <v>-159</v>
      </c>
      <c r="EO9" s="31">
        <v>159</v>
      </c>
      <c r="EP9">
        <v>218</v>
      </c>
      <c r="EQ9" s="32">
        <v>217.82759999999999</v>
      </c>
      <c r="ER9" s="28">
        <v>0.1724000000000103</v>
      </c>
      <c r="ES9" s="31"/>
      <c r="ET9" s="30"/>
      <c r="EX9" s="28">
        <v>0</v>
      </c>
      <c r="EY9" s="31"/>
      <c r="EZ9">
        <v>201</v>
      </c>
      <c r="FA9">
        <v>200</v>
      </c>
      <c r="FB9">
        <v>217</v>
      </c>
      <c r="FC9">
        <v>220</v>
      </c>
      <c r="FD9" s="28">
        <v>-2</v>
      </c>
      <c r="FE9" s="31"/>
      <c r="FF9">
        <v>134</v>
      </c>
      <c r="FG9" s="32">
        <v>132.59880000000001</v>
      </c>
      <c r="FH9" s="28">
        <v>1.4011999999999889</v>
      </c>
      <c r="FI9" s="31"/>
      <c r="FJ9" s="24">
        <v>69</v>
      </c>
      <c r="FK9">
        <v>70</v>
      </c>
      <c r="FL9" s="28">
        <v>-1</v>
      </c>
      <c r="FM9" s="31"/>
      <c r="FN9" s="24">
        <v>442</v>
      </c>
      <c r="FO9">
        <v>440</v>
      </c>
      <c r="FP9" s="28">
        <v>2</v>
      </c>
      <c r="FQ9" s="31"/>
      <c r="FR9">
        <v>281</v>
      </c>
      <c r="FS9">
        <v>280</v>
      </c>
      <c r="FT9" s="28">
        <v>1</v>
      </c>
      <c r="FU9" s="31"/>
      <c r="FV9" s="24">
        <v>162</v>
      </c>
      <c r="FW9">
        <v>160</v>
      </c>
      <c r="FX9" s="28">
        <v>2</v>
      </c>
      <c r="FY9" s="31"/>
      <c r="FZ9" s="30"/>
      <c r="GB9" s="28">
        <v>0</v>
      </c>
      <c r="GC9" s="31"/>
      <c r="GF9" s="28">
        <v>0</v>
      </c>
      <c r="GG9" s="34"/>
      <c r="GH9">
        <v>450</v>
      </c>
      <c r="GI9">
        <v>450</v>
      </c>
      <c r="GJ9" s="28">
        <v>0</v>
      </c>
      <c r="GK9" s="31"/>
      <c r="GL9">
        <v>61</v>
      </c>
      <c r="GM9">
        <v>60</v>
      </c>
      <c r="GN9" s="28">
        <v>1</v>
      </c>
      <c r="GO9" s="34"/>
      <c r="GP9">
        <v>253</v>
      </c>
      <c r="GQ9">
        <v>250</v>
      </c>
      <c r="GR9" s="28">
        <v>3</v>
      </c>
      <c r="GS9" s="31"/>
      <c r="GT9">
        <v>151</v>
      </c>
      <c r="GU9">
        <v>150</v>
      </c>
      <c r="GV9" s="28">
        <v>1</v>
      </c>
      <c r="GW9" s="34"/>
      <c r="GZ9" s="28">
        <v>0</v>
      </c>
      <c r="HA9" s="31"/>
      <c r="HB9" s="24">
        <v>259</v>
      </c>
      <c r="HC9" s="32">
        <v>260</v>
      </c>
      <c r="HD9" s="28">
        <v>-1</v>
      </c>
      <c r="HE9" s="34"/>
      <c r="HF9">
        <v>401</v>
      </c>
      <c r="HG9">
        <v>400</v>
      </c>
      <c r="HH9" s="28">
        <v>1</v>
      </c>
      <c r="HI9" s="34"/>
      <c r="HL9" s="28">
        <v>0</v>
      </c>
      <c r="HM9" s="34"/>
      <c r="HP9" s="28">
        <v>0</v>
      </c>
      <c r="HQ9" s="31"/>
      <c r="HR9">
        <v>249</v>
      </c>
      <c r="HS9">
        <v>250</v>
      </c>
      <c r="HT9">
        <v>170</v>
      </c>
      <c r="HU9">
        <v>170</v>
      </c>
      <c r="HV9" s="28">
        <v>-1</v>
      </c>
      <c r="HW9" s="34"/>
      <c r="HX9" s="32">
        <v>142.67500000000001</v>
      </c>
      <c r="HY9" s="32">
        <v>140</v>
      </c>
      <c r="HZ9" s="28">
        <v>2.6750000000000109</v>
      </c>
      <c r="IA9" s="34"/>
      <c r="IB9" s="32">
        <v>237.42500000000001</v>
      </c>
      <c r="IC9" s="32">
        <v>235.91720000000001</v>
      </c>
      <c r="ID9" s="28">
        <v>1.507800000000032</v>
      </c>
      <c r="IE9" s="34"/>
      <c r="IF9" s="33">
        <v>61.026000000000003</v>
      </c>
      <c r="IG9" s="32">
        <v>60</v>
      </c>
      <c r="IH9" s="28">
        <v>1.0260000000000029</v>
      </c>
      <c r="II9" s="34"/>
    </row>
    <row r="10" spans="1:243" x14ac:dyDescent="0.25">
      <c r="A10" s="28" t="s">
        <v>142</v>
      </c>
      <c r="B10" s="29">
        <v>1</v>
      </c>
      <c r="J10" s="30"/>
      <c r="K10" s="35"/>
      <c r="L10" s="35"/>
      <c r="M10" s="35"/>
      <c r="N10" s="35">
        <f t="shared" si="4"/>
        <v>0</v>
      </c>
      <c r="O10" s="31"/>
      <c r="P10" s="35"/>
      <c r="S10" s="28">
        <v>0</v>
      </c>
      <c r="T10" s="31"/>
      <c r="U10" s="30"/>
      <c r="W10" s="28">
        <v>0</v>
      </c>
      <c r="X10" s="31"/>
      <c r="Y10" s="30"/>
      <c r="AA10" s="28">
        <v>0</v>
      </c>
      <c r="AB10" s="31"/>
      <c r="AE10" s="28">
        <v>0</v>
      </c>
      <c r="AF10" s="31"/>
      <c r="AG10" s="30"/>
      <c r="AI10" s="28">
        <v>0</v>
      </c>
      <c r="AJ10" s="31"/>
      <c r="AM10" s="28">
        <v>0</v>
      </c>
      <c r="AN10" s="31"/>
      <c r="AO10" s="30"/>
      <c r="AQ10" s="28">
        <v>0</v>
      </c>
      <c r="AR10" s="31"/>
      <c r="AS10" s="30"/>
      <c r="AU10" s="28">
        <v>0</v>
      </c>
      <c r="AV10" s="31"/>
      <c r="AY10" s="28">
        <v>0</v>
      </c>
      <c r="AZ10" s="31"/>
      <c r="BA10" s="30"/>
      <c r="BE10" s="28">
        <v>0</v>
      </c>
      <c r="BF10" s="31"/>
      <c r="BG10" s="30"/>
      <c r="BI10" s="28">
        <v>0</v>
      </c>
      <c r="BJ10" s="31"/>
      <c r="BO10" s="28">
        <v>0</v>
      </c>
      <c r="BP10" s="31"/>
      <c r="BS10" s="28">
        <v>0</v>
      </c>
      <c r="BT10" s="31"/>
      <c r="BU10" s="30"/>
      <c r="BW10" s="28">
        <v>0</v>
      </c>
      <c r="BX10" s="31"/>
      <c r="BY10" s="30"/>
      <c r="CA10" s="28">
        <v>0</v>
      </c>
      <c r="CB10" s="31"/>
      <c r="CE10" s="28">
        <v>0</v>
      </c>
      <c r="CF10" s="31"/>
      <c r="CG10" s="30"/>
      <c r="CJ10" s="28">
        <v>0</v>
      </c>
      <c r="CK10" s="31"/>
      <c r="CL10" s="30"/>
      <c r="CP10" s="28">
        <v>0</v>
      </c>
      <c r="CQ10" s="31"/>
      <c r="CR10" s="30"/>
      <c r="CU10" s="28">
        <v>0</v>
      </c>
      <c r="CV10" s="31"/>
      <c r="CY10" s="28">
        <v>0</v>
      </c>
      <c r="CZ10" s="31"/>
      <c r="DA10" s="33"/>
      <c r="DC10" s="28">
        <v>0</v>
      </c>
      <c r="DD10" s="31"/>
      <c r="DE10" s="30"/>
      <c r="DG10" s="28">
        <v>0</v>
      </c>
      <c r="DH10" s="31"/>
      <c r="DI10" s="30"/>
      <c r="DK10" s="28">
        <v>0</v>
      </c>
      <c r="DL10" s="31"/>
      <c r="DO10" s="28">
        <v>0</v>
      </c>
      <c r="DP10" s="31"/>
      <c r="DS10" s="28">
        <v>0</v>
      </c>
      <c r="DT10" s="31"/>
      <c r="DU10" s="24">
        <v>4</v>
      </c>
      <c r="DW10">
        <v>5</v>
      </c>
      <c r="DX10" s="28">
        <v>-1</v>
      </c>
      <c r="DY10" s="31"/>
      <c r="DZ10" s="30"/>
      <c r="EC10" s="28">
        <v>0</v>
      </c>
      <c r="ED10" s="31"/>
      <c r="EG10" s="28">
        <v>0</v>
      </c>
      <c r="EH10" s="31"/>
      <c r="EI10" s="30"/>
      <c r="EN10" s="28">
        <v>0</v>
      </c>
      <c r="EO10" s="31"/>
      <c r="ER10" s="28">
        <v>0</v>
      </c>
      <c r="ES10" s="31"/>
      <c r="ET10" s="30"/>
      <c r="EX10" s="28">
        <v>0</v>
      </c>
      <c r="EY10" s="31"/>
      <c r="FD10" s="28">
        <v>0</v>
      </c>
      <c r="FE10" s="31"/>
      <c r="FF10">
        <v>24</v>
      </c>
      <c r="FG10" s="32">
        <v>22.714600000000001</v>
      </c>
      <c r="FH10" s="28">
        <v>1.285399999999999</v>
      </c>
      <c r="FI10" s="31"/>
      <c r="FJ10" s="30"/>
      <c r="FL10" s="28">
        <v>0</v>
      </c>
      <c r="FM10" s="31"/>
      <c r="FN10" s="24">
        <v>4</v>
      </c>
      <c r="FO10">
        <v>4</v>
      </c>
      <c r="FP10" s="28">
        <v>0</v>
      </c>
      <c r="FQ10" s="31"/>
      <c r="FT10" s="28">
        <v>0</v>
      </c>
      <c r="FU10" s="31"/>
      <c r="FV10" s="30"/>
      <c r="FX10" s="28">
        <v>0</v>
      </c>
      <c r="FY10" s="31"/>
      <c r="FZ10" s="30"/>
      <c r="GB10" s="28">
        <v>0</v>
      </c>
      <c r="GC10" s="31"/>
      <c r="GF10" s="28">
        <v>0</v>
      </c>
      <c r="GG10" s="34"/>
      <c r="GJ10" s="28">
        <v>0</v>
      </c>
      <c r="GK10" s="31"/>
      <c r="GN10" s="28">
        <v>0</v>
      </c>
      <c r="GO10" s="34"/>
      <c r="GR10" s="28">
        <v>0</v>
      </c>
      <c r="GS10" s="31"/>
      <c r="GV10" s="28">
        <v>0</v>
      </c>
      <c r="GW10" s="34"/>
      <c r="GZ10" s="28">
        <v>0</v>
      </c>
      <c r="HA10" s="31"/>
      <c r="HB10" s="33"/>
      <c r="HD10" s="28">
        <v>0</v>
      </c>
      <c r="HE10" s="34"/>
      <c r="HH10" s="28">
        <v>0</v>
      </c>
      <c r="HI10" s="34"/>
      <c r="HL10" s="28">
        <v>0</v>
      </c>
      <c r="HM10" s="34"/>
      <c r="HP10" s="28">
        <v>0</v>
      </c>
      <c r="HQ10" s="31"/>
      <c r="HR10">
        <v>81</v>
      </c>
      <c r="HS10">
        <v>80</v>
      </c>
      <c r="HT10">
        <v>68</v>
      </c>
      <c r="HU10">
        <v>70</v>
      </c>
      <c r="HV10" s="28">
        <v>-1</v>
      </c>
      <c r="HW10" s="34"/>
      <c r="HX10" s="32">
        <v>32.343000000000004</v>
      </c>
      <c r="HY10" s="32">
        <v>30</v>
      </c>
      <c r="HZ10" s="28">
        <v>2.343000000000004</v>
      </c>
      <c r="IA10" s="34"/>
      <c r="IB10" s="32">
        <v>0</v>
      </c>
      <c r="IC10" s="32">
        <v>0</v>
      </c>
      <c r="ID10" s="28">
        <v>0</v>
      </c>
      <c r="IE10" s="34"/>
      <c r="IF10" s="33">
        <v>0</v>
      </c>
      <c r="IG10" s="32">
        <v>0</v>
      </c>
      <c r="IH10" s="28">
        <v>0</v>
      </c>
      <c r="II10" s="34"/>
    </row>
    <row r="11" spans="1:243" x14ac:dyDescent="0.25">
      <c r="A11" s="28" t="s">
        <v>143</v>
      </c>
      <c r="B11" s="29">
        <v>1</v>
      </c>
      <c r="J11" s="30"/>
      <c r="K11" s="35"/>
      <c r="L11" s="35"/>
      <c r="M11" s="35"/>
      <c r="N11" s="35">
        <f t="shared" si="4"/>
        <v>0</v>
      </c>
      <c r="O11" s="31"/>
      <c r="P11" s="35"/>
      <c r="S11" s="28">
        <v>0</v>
      </c>
      <c r="T11" s="31"/>
      <c r="U11" s="30"/>
      <c r="W11" s="28">
        <v>0</v>
      </c>
      <c r="X11" s="31"/>
      <c r="Y11" s="30"/>
      <c r="AA11" s="28">
        <v>0</v>
      </c>
      <c r="AB11" s="31"/>
      <c r="AE11" s="28">
        <v>0</v>
      </c>
      <c r="AF11" s="31"/>
      <c r="AG11" s="30"/>
      <c r="AI11" s="28">
        <v>0</v>
      </c>
      <c r="AJ11" s="31"/>
      <c r="AM11" s="28">
        <v>0</v>
      </c>
      <c r="AN11" s="31"/>
      <c r="AO11" s="30"/>
      <c r="AQ11" s="28">
        <v>0</v>
      </c>
      <c r="AR11" s="31"/>
      <c r="AS11" s="30"/>
      <c r="AU11" s="28">
        <v>0</v>
      </c>
      <c r="AV11" s="31"/>
      <c r="AY11" s="28">
        <v>0</v>
      </c>
      <c r="AZ11" s="31"/>
      <c r="BA11" s="30"/>
      <c r="BE11" s="28">
        <v>0</v>
      </c>
      <c r="BF11" s="31"/>
      <c r="BG11" s="30"/>
      <c r="BI11" s="28">
        <v>0</v>
      </c>
      <c r="BJ11" s="31"/>
      <c r="BO11" s="28">
        <v>0</v>
      </c>
      <c r="BP11" s="31"/>
      <c r="BS11" s="28">
        <v>0</v>
      </c>
      <c r="BT11" s="31"/>
      <c r="BU11" s="30"/>
      <c r="BW11" s="28">
        <v>0</v>
      </c>
      <c r="BX11" s="31"/>
      <c r="BY11" s="30"/>
      <c r="CA11" s="28">
        <v>0</v>
      </c>
      <c r="CB11" s="31"/>
      <c r="CE11" s="28">
        <v>0</v>
      </c>
      <c r="CF11" s="31"/>
      <c r="CG11" s="30"/>
      <c r="CJ11" s="28">
        <v>0</v>
      </c>
      <c r="CK11" s="31"/>
      <c r="CL11" s="30"/>
      <c r="CP11" s="28">
        <v>0</v>
      </c>
      <c r="CQ11" s="31"/>
      <c r="CR11" s="30"/>
      <c r="CU11" s="28">
        <v>0</v>
      </c>
      <c r="CV11" s="31"/>
      <c r="CY11" s="28">
        <v>0</v>
      </c>
      <c r="CZ11" s="31"/>
      <c r="DA11" s="33"/>
      <c r="DC11" s="28">
        <v>0</v>
      </c>
      <c r="DD11" s="31"/>
      <c r="DE11" s="30"/>
      <c r="DG11" s="28">
        <v>0</v>
      </c>
      <c r="DH11" s="31"/>
      <c r="DI11" s="30"/>
      <c r="DK11" s="28">
        <v>0</v>
      </c>
      <c r="DL11" s="31"/>
      <c r="DO11" s="28">
        <v>0</v>
      </c>
      <c r="DP11" s="31"/>
      <c r="DS11" s="28">
        <v>0</v>
      </c>
      <c r="DT11" s="31"/>
      <c r="DU11" s="30"/>
      <c r="DX11" s="28">
        <v>0</v>
      </c>
      <c r="DY11" s="31"/>
      <c r="DZ11" s="30"/>
      <c r="EC11" s="28">
        <v>0</v>
      </c>
      <c r="ED11" s="31"/>
      <c r="EG11" s="28">
        <v>0</v>
      </c>
      <c r="EH11" s="31"/>
      <c r="EI11" s="30"/>
      <c r="EN11" s="28">
        <v>0</v>
      </c>
      <c r="EO11" s="31"/>
      <c r="ER11" s="28">
        <v>0</v>
      </c>
      <c r="ES11" s="31"/>
      <c r="ET11" s="30"/>
      <c r="EX11" s="28">
        <v>0</v>
      </c>
      <c r="EY11" s="31"/>
      <c r="EZ11">
        <v>89</v>
      </c>
      <c r="FA11">
        <v>90</v>
      </c>
      <c r="FB11">
        <v>103</v>
      </c>
      <c r="FC11">
        <v>100</v>
      </c>
      <c r="FD11" s="28">
        <v>2</v>
      </c>
      <c r="FE11" s="31"/>
      <c r="FF11">
        <v>12</v>
      </c>
      <c r="FG11" s="32">
        <v>10.5594</v>
      </c>
      <c r="FH11" s="28">
        <v>1.4406000000000001</v>
      </c>
      <c r="FI11" s="31"/>
      <c r="FJ11" s="24">
        <v>150</v>
      </c>
      <c r="FK11">
        <v>150</v>
      </c>
      <c r="FL11" s="28">
        <v>0</v>
      </c>
      <c r="FM11" s="31"/>
      <c r="FN11" s="24">
        <v>12</v>
      </c>
      <c r="FO11">
        <v>10</v>
      </c>
      <c r="FP11" s="28">
        <v>2</v>
      </c>
      <c r="FQ11" s="31"/>
      <c r="FR11">
        <v>33</v>
      </c>
      <c r="FS11">
        <v>30</v>
      </c>
      <c r="FT11" s="28">
        <v>3</v>
      </c>
      <c r="FU11" s="31"/>
      <c r="FV11" s="24">
        <v>137</v>
      </c>
      <c r="FW11">
        <v>160</v>
      </c>
      <c r="FX11" s="27">
        <v>-23</v>
      </c>
      <c r="FY11" s="31">
        <v>23</v>
      </c>
      <c r="FZ11" s="30"/>
      <c r="GB11" s="28">
        <v>0</v>
      </c>
      <c r="GC11" s="31"/>
      <c r="GD11">
        <v>61</v>
      </c>
      <c r="GE11">
        <v>60</v>
      </c>
      <c r="GF11" s="28">
        <v>1</v>
      </c>
      <c r="GG11" s="34"/>
      <c r="GH11">
        <v>61</v>
      </c>
      <c r="GI11">
        <v>61</v>
      </c>
      <c r="GJ11" s="28">
        <v>0</v>
      </c>
      <c r="GK11" s="31"/>
      <c r="GN11" s="28">
        <v>0</v>
      </c>
      <c r="GO11" s="34"/>
      <c r="GR11" s="28">
        <v>0</v>
      </c>
      <c r="GS11" s="31"/>
      <c r="GT11">
        <v>77</v>
      </c>
      <c r="GU11">
        <v>80</v>
      </c>
      <c r="GV11" s="28">
        <v>-3</v>
      </c>
      <c r="GW11" s="34"/>
      <c r="GX11">
        <v>86</v>
      </c>
      <c r="GY11" s="32">
        <v>83.295799999999986</v>
      </c>
      <c r="GZ11" s="28">
        <v>2.7042000000000139</v>
      </c>
      <c r="HA11" s="31"/>
      <c r="HB11" s="33"/>
      <c r="HD11" s="28">
        <v>0</v>
      </c>
      <c r="HE11" s="34"/>
      <c r="HF11">
        <v>60</v>
      </c>
      <c r="HG11">
        <v>59</v>
      </c>
      <c r="HH11" s="28">
        <v>1</v>
      </c>
      <c r="HI11" s="34"/>
      <c r="HJ11">
        <v>41</v>
      </c>
      <c r="HK11">
        <v>40</v>
      </c>
      <c r="HL11" s="28">
        <v>-1</v>
      </c>
      <c r="HM11" s="34"/>
      <c r="HP11" s="28">
        <v>0</v>
      </c>
      <c r="HQ11" s="31"/>
      <c r="HR11">
        <v>48</v>
      </c>
      <c r="HS11">
        <v>50</v>
      </c>
      <c r="HT11">
        <v>48</v>
      </c>
      <c r="HU11">
        <v>50</v>
      </c>
      <c r="HV11" s="28">
        <v>-4</v>
      </c>
      <c r="HW11" s="34"/>
      <c r="HX11" s="32">
        <v>100.88200000000001</v>
      </c>
      <c r="HY11" s="32">
        <v>100</v>
      </c>
      <c r="HZ11" s="28">
        <v>0.882000000000005</v>
      </c>
      <c r="IA11" s="34"/>
      <c r="IE11" s="34"/>
      <c r="IF11" s="33"/>
      <c r="II11" s="34"/>
    </row>
    <row r="12" spans="1:243" x14ac:dyDescent="0.25">
      <c r="A12" s="28" t="s">
        <v>144</v>
      </c>
      <c r="B12" s="29">
        <v>1</v>
      </c>
      <c r="J12" s="24">
        <v>199</v>
      </c>
      <c r="K12" s="36">
        <v>200</v>
      </c>
      <c r="L12" s="36">
        <v>162</v>
      </c>
      <c r="M12" s="36">
        <v>163</v>
      </c>
      <c r="N12" s="35">
        <f t="shared" si="4"/>
        <v>-2</v>
      </c>
      <c r="O12" s="31"/>
      <c r="P12" s="35"/>
      <c r="Q12">
        <v>54</v>
      </c>
      <c r="R12">
        <v>55</v>
      </c>
      <c r="S12" s="28">
        <v>-1</v>
      </c>
      <c r="T12" s="31"/>
      <c r="U12" s="24">
        <v>416</v>
      </c>
      <c r="V12">
        <v>418</v>
      </c>
      <c r="W12" s="28">
        <v>-2</v>
      </c>
      <c r="X12" s="31"/>
      <c r="Y12" s="24">
        <v>133</v>
      </c>
      <c r="Z12">
        <v>134</v>
      </c>
      <c r="AA12" s="28">
        <v>-1</v>
      </c>
      <c r="AB12" s="31"/>
      <c r="AC12">
        <v>165</v>
      </c>
      <c r="AD12">
        <v>166</v>
      </c>
      <c r="AE12" s="28">
        <v>-1</v>
      </c>
      <c r="AF12" s="31"/>
      <c r="AG12" s="24">
        <v>324</v>
      </c>
      <c r="AH12">
        <v>325</v>
      </c>
      <c r="AI12" s="28">
        <v>-1</v>
      </c>
      <c r="AJ12" s="31"/>
      <c r="AM12" s="28">
        <v>0</v>
      </c>
      <c r="AN12" s="31"/>
      <c r="AO12" s="24">
        <v>340</v>
      </c>
      <c r="AP12">
        <v>338</v>
      </c>
      <c r="AQ12" s="28">
        <v>2</v>
      </c>
      <c r="AR12" s="31"/>
      <c r="AS12" s="24">
        <v>16</v>
      </c>
      <c r="AT12">
        <v>14</v>
      </c>
      <c r="AU12" s="28">
        <v>2</v>
      </c>
      <c r="AV12" s="31"/>
      <c r="AY12" s="28">
        <v>0</v>
      </c>
      <c r="AZ12" s="31"/>
      <c r="BA12" s="24">
        <v>122</v>
      </c>
      <c r="BB12">
        <v>120</v>
      </c>
      <c r="BC12">
        <v>130</v>
      </c>
      <c r="BD12">
        <v>127</v>
      </c>
      <c r="BE12" s="28">
        <v>5</v>
      </c>
      <c r="BF12" s="31"/>
      <c r="BG12" s="30"/>
      <c r="BI12" s="28">
        <v>0</v>
      </c>
      <c r="BJ12" s="31"/>
      <c r="BL12">
        <v>100</v>
      </c>
      <c r="BM12">
        <v>247</v>
      </c>
      <c r="BN12">
        <v>245</v>
      </c>
      <c r="BO12" s="27">
        <v>-98</v>
      </c>
      <c r="BP12" s="31">
        <v>98</v>
      </c>
      <c r="BS12" s="28">
        <v>0</v>
      </c>
      <c r="BT12" s="31"/>
      <c r="BU12" s="24">
        <v>108</v>
      </c>
      <c r="BV12">
        <v>107</v>
      </c>
      <c r="BW12" s="28">
        <v>1</v>
      </c>
      <c r="BX12" s="31"/>
      <c r="BY12" s="24">
        <v>122</v>
      </c>
      <c r="BZ12">
        <v>121</v>
      </c>
      <c r="CA12" s="28">
        <v>1</v>
      </c>
      <c r="CB12" s="31"/>
      <c r="CC12">
        <v>153</v>
      </c>
      <c r="CD12">
        <v>155</v>
      </c>
      <c r="CE12" s="28">
        <v>-2</v>
      </c>
      <c r="CF12" s="31"/>
      <c r="CG12" s="30"/>
      <c r="CJ12" s="28">
        <v>0</v>
      </c>
      <c r="CK12" s="31"/>
      <c r="CL12" s="24">
        <v>81</v>
      </c>
      <c r="CM12">
        <v>80</v>
      </c>
      <c r="CN12">
        <v>155</v>
      </c>
      <c r="CO12">
        <v>154</v>
      </c>
      <c r="CP12" s="28">
        <v>2</v>
      </c>
      <c r="CQ12" s="31"/>
      <c r="CR12" s="24">
        <v>165</v>
      </c>
      <c r="CT12">
        <v>166</v>
      </c>
      <c r="CU12" s="28">
        <v>-1</v>
      </c>
      <c r="CV12" s="31"/>
      <c r="CW12">
        <v>117</v>
      </c>
      <c r="CX12" s="28">
        <v>170.65459999999999</v>
      </c>
      <c r="CY12" s="27">
        <v>-53.654599999999988</v>
      </c>
      <c r="CZ12" s="31">
        <v>53.654599999999988</v>
      </c>
      <c r="DA12" s="24">
        <v>20</v>
      </c>
      <c r="DB12" s="28">
        <v>17.89500000000001</v>
      </c>
      <c r="DC12" s="28">
        <v>2.1049999999999902</v>
      </c>
      <c r="DD12" s="31"/>
      <c r="DE12" s="24">
        <v>134</v>
      </c>
      <c r="DF12" s="28">
        <v>131.6874</v>
      </c>
      <c r="DG12" s="28">
        <v>2.3126000000000029</v>
      </c>
      <c r="DH12" s="31"/>
      <c r="DI12" s="24">
        <v>92</v>
      </c>
      <c r="DJ12">
        <v>93</v>
      </c>
      <c r="DK12" s="28">
        <v>-1</v>
      </c>
      <c r="DL12" s="31"/>
      <c r="DM12">
        <v>162</v>
      </c>
      <c r="DN12" s="32">
        <v>161.1116000000001</v>
      </c>
      <c r="DO12" s="28">
        <v>0.88839999999990482</v>
      </c>
      <c r="DP12" s="31"/>
      <c r="DQ12">
        <v>84</v>
      </c>
      <c r="DR12">
        <v>84</v>
      </c>
      <c r="DS12" s="28">
        <v>0</v>
      </c>
      <c r="DT12" s="31"/>
      <c r="DU12" s="24">
        <v>40</v>
      </c>
      <c r="DW12">
        <v>41</v>
      </c>
      <c r="DX12" s="28">
        <v>-1</v>
      </c>
      <c r="DY12" s="31"/>
      <c r="DZ12" s="30"/>
      <c r="EC12" s="28">
        <v>0</v>
      </c>
      <c r="ED12" s="31"/>
      <c r="EG12" s="28">
        <v>0</v>
      </c>
      <c r="EH12" s="31"/>
      <c r="EI12" s="30"/>
      <c r="EJ12">
        <v>150</v>
      </c>
      <c r="EK12">
        <v>150</v>
      </c>
      <c r="EL12">
        <v>146</v>
      </c>
      <c r="EM12">
        <v>144</v>
      </c>
      <c r="EN12" s="28">
        <v>2</v>
      </c>
      <c r="EO12" s="31"/>
      <c r="EP12">
        <v>81</v>
      </c>
      <c r="EQ12" s="32">
        <v>80.933599999999984</v>
      </c>
      <c r="ER12" s="28">
        <v>6.640000000001578E-2</v>
      </c>
      <c r="ES12" s="31"/>
      <c r="ET12" s="30"/>
      <c r="EV12">
        <v>142</v>
      </c>
      <c r="EW12">
        <v>142</v>
      </c>
      <c r="EX12" s="28">
        <v>0</v>
      </c>
      <c r="EY12" s="31"/>
      <c r="FB12">
        <v>60</v>
      </c>
      <c r="FC12">
        <v>60</v>
      </c>
      <c r="FD12" s="28">
        <v>0</v>
      </c>
      <c r="FE12" s="31"/>
      <c r="FF12">
        <v>149</v>
      </c>
      <c r="FG12" s="32">
        <v>151.0574</v>
      </c>
      <c r="FH12" s="28">
        <v>-2.0574000000000008</v>
      </c>
      <c r="FI12" s="31"/>
      <c r="FJ12" s="24">
        <v>210</v>
      </c>
      <c r="FK12">
        <v>210</v>
      </c>
      <c r="FL12" s="28">
        <v>0</v>
      </c>
      <c r="FM12" s="31"/>
      <c r="FN12" s="24">
        <v>65</v>
      </c>
      <c r="FO12">
        <v>64</v>
      </c>
      <c r="FP12" s="28">
        <v>1</v>
      </c>
      <c r="FQ12" s="31"/>
      <c r="FR12">
        <v>49</v>
      </c>
      <c r="FS12">
        <v>50</v>
      </c>
      <c r="FT12" s="28">
        <v>-1</v>
      </c>
      <c r="FU12" s="31"/>
      <c r="FV12" s="24">
        <v>151</v>
      </c>
      <c r="FW12">
        <v>149</v>
      </c>
      <c r="FX12" s="28">
        <v>2</v>
      </c>
      <c r="FY12" s="31"/>
      <c r="FZ12" s="30"/>
      <c r="GB12" s="28">
        <v>0</v>
      </c>
      <c r="GC12" s="31"/>
      <c r="GD12">
        <v>49</v>
      </c>
      <c r="GE12">
        <v>49</v>
      </c>
      <c r="GF12" s="28">
        <v>0</v>
      </c>
      <c r="GG12" s="34"/>
      <c r="GH12">
        <v>77</v>
      </c>
      <c r="GI12">
        <v>76</v>
      </c>
      <c r="GJ12" s="28">
        <v>1</v>
      </c>
      <c r="GK12" s="31"/>
      <c r="GN12" s="28">
        <v>0</v>
      </c>
      <c r="GO12" s="34"/>
      <c r="GP12">
        <v>81</v>
      </c>
      <c r="GQ12">
        <v>80</v>
      </c>
      <c r="GR12" s="28">
        <v>1</v>
      </c>
      <c r="GS12" s="31"/>
      <c r="GV12" s="28">
        <v>0</v>
      </c>
      <c r="GW12" s="34"/>
      <c r="GZ12" s="28">
        <v>0</v>
      </c>
      <c r="HA12" s="31"/>
      <c r="HB12" s="24">
        <v>109</v>
      </c>
      <c r="HC12" s="32">
        <v>110</v>
      </c>
      <c r="HD12" s="28">
        <v>-1</v>
      </c>
      <c r="HE12" s="34"/>
      <c r="HF12">
        <v>241</v>
      </c>
      <c r="HG12">
        <v>238</v>
      </c>
      <c r="HH12" s="28">
        <v>3</v>
      </c>
      <c r="HI12" s="34"/>
      <c r="HL12" s="28">
        <v>0</v>
      </c>
      <c r="HM12" s="34"/>
      <c r="HP12" s="28">
        <v>0</v>
      </c>
      <c r="HQ12" s="31"/>
      <c r="HR12">
        <v>102</v>
      </c>
      <c r="HS12">
        <v>100</v>
      </c>
      <c r="HT12">
        <v>88</v>
      </c>
      <c r="HU12">
        <v>89</v>
      </c>
      <c r="HV12" s="28">
        <v>1</v>
      </c>
      <c r="HW12" s="34"/>
      <c r="HX12" s="32">
        <v>129.37100000000001</v>
      </c>
      <c r="HY12" s="32">
        <v>130</v>
      </c>
      <c r="HZ12" s="28">
        <v>-0.62899999999999068</v>
      </c>
      <c r="IA12" s="34"/>
      <c r="IB12" s="32">
        <v>112.304</v>
      </c>
      <c r="IC12" s="32">
        <v>110.68680000000001</v>
      </c>
      <c r="ID12" s="28">
        <v>1.6171999999999971</v>
      </c>
      <c r="IE12" s="34"/>
      <c r="IF12" s="33">
        <v>0</v>
      </c>
      <c r="IG12" s="32">
        <v>0</v>
      </c>
      <c r="IH12" s="28">
        <v>0</v>
      </c>
      <c r="II12" s="34"/>
    </row>
    <row r="13" spans="1:243" x14ac:dyDescent="0.25">
      <c r="A13" s="28" t="s">
        <v>145</v>
      </c>
      <c r="B13" s="29">
        <v>1</v>
      </c>
      <c r="E13">
        <v>100</v>
      </c>
      <c r="F13">
        <v>49</v>
      </c>
      <c r="G13">
        <v>50</v>
      </c>
      <c r="J13" s="24">
        <v>248</v>
      </c>
      <c r="K13" s="36">
        <v>250</v>
      </c>
      <c r="L13" s="36">
        <v>145</v>
      </c>
      <c r="M13" s="36">
        <v>148</v>
      </c>
      <c r="N13" s="35">
        <f t="shared" si="4"/>
        <v>-5</v>
      </c>
      <c r="O13" s="31"/>
      <c r="P13" s="35"/>
      <c r="Q13">
        <v>391</v>
      </c>
      <c r="R13">
        <v>394</v>
      </c>
      <c r="S13" s="28">
        <v>-3</v>
      </c>
      <c r="T13" s="31"/>
      <c r="U13" s="24">
        <v>219</v>
      </c>
      <c r="V13">
        <v>217</v>
      </c>
      <c r="W13" s="28">
        <v>2</v>
      </c>
      <c r="X13" s="31"/>
      <c r="Y13" s="24">
        <v>219</v>
      </c>
      <c r="Z13">
        <v>220</v>
      </c>
      <c r="AA13" s="28">
        <v>-1</v>
      </c>
      <c r="AB13" s="31"/>
      <c r="AC13">
        <v>246</v>
      </c>
      <c r="AD13">
        <v>246</v>
      </c>
      <c r="AE13" s="28">
        <v>0</v>
      </c>
      <c r="AF13" s="31"/>
      <c r="AG13" s="24">
        <v>512</v>
      </c>
      <c r="AH13">
        <v>513</v>
      </c>
      <c r="AI13" s="28">
        <v>-1</v>
      </c>
      <c r="AJ13" s="31"/>
      <c r="AK13">
        <v>418</v>
      </c>
      <c r="AL13">
        <v>419</v>
      </c>
      <c r="AM13" s="28">
        <v>-1</v>
      </c>
      <c r="AN13" s="31"/>
      <c r="AO13" s="24">
        <v>396</v>
      </c>
      <c r="AP13">
        <v>395</v>
      </c>
      <c r="AQ13" s="28">
        <v>1</v>
      </c>
      <c r="AR13" s="31"/>
      <c r="AS13" s="30"/>
      <c r="AT13">
        <v>86</v>
      </c>
      <c r="AU13" s="27">
        <v>-86</v>
      </c>
      <c r="AV13" s="31">
        <v>86</v>
      </c>
      <c r="AY13" s="28">
        <v>0</v>
      </c>
      <c r="AZ13" s="31"/>
      <c r="BA13" s="24">
        <v>257</v>
      </c>
      <c r="BB13">
        <v>250</v>
      </c>
      <c r="BC13">
        <v>344</v>
      </c>
      <c r="BD13">
        <v>343</v>
      </c>
      <c r="BE13" s="28">
        <v>8</v>
      </c>
      <c r="BF13" s="31"/>
      <c r="BG13" s="30"/>
      <c r="BI13" s="28">
        <v>0</v>
      </c>
      <c r="BJ13" s="31"/>
      <c r="BK13">
        <v>150</v>
      </c>
      <c r="BL13">
        <v>150</v>
      </c>
      <c r="BM13">
        <v>344</v>
      </c>
      <c r="BN13">
        <v>344</v>
      </c>
      <c r="BO13" s="28">
        <v>0</v>
      </c>
      <c r="BP13" s="31"/>
      <c r="BQ13">
        <v>8</v>
      </c>
      <c r="BR13">
        <v>7</v>
      </c>
      <c r="BS13" s="28">
        <v>1</v>
      </c>
      <c r="BT13" s="31"/>
      <c r="BU13" s="24">
        <v>333</v>
      </c>
      <c r="BV13">
        <v>330</v>
      </c>
      <c r="BW13" s="28">
        <v>3</v>
      </c>
      <c r="BX13" s="31"/>
      <c r="BY13" s="24">
        <v>199</v>
      </c>
      <c r="BZ13">
        <v>199</v>
      </c>
      <c r="CA13" s="28">
        <v>0</v>
      </c>
      <c r="CB13" s="31"/>
      <c r="CC13">
        <v>174</v>
      </c>
      <c r="CD13">
        <v>172</v>
      </c>
      <c r="CE13" s="28">
        <v>2</v>
      </c>
      <c r="CF13" s="31"/>
      <c r="CG13" s="30"/>
      <c r="CJ13" s="28">
        <v>0</v>
      </c>
      <c r="CK13" s="31"/>
      <c r="CL13" s="24">
        <v>150</v>
      </c>
      <c r="CM13">
        <v>150</v>
      </c>
      <c r="CN13">
        <v>251</v>
      </c>
      <c r="CO13">
        <v>250</v>
      </c>
      <c r="CP13" s="28">
        <v>1</v>
      </c>
      <c r="CQ13" s="31"/>
      <c r="CR13" s="24">
        <v>214</v>
      </c>
      <c r="CT13">
        <v>216</v>
      </c>
      <c r="CU13" s="28">
        <v>-2</v>
      </c>
      <c r="CV13" s="31"/>
      <c r="CW13">
        <v>269</v>
      </c>
      <c r="CX13" s="28">
        <v>270.55499999999989</v>
      </c>
      <c r="CY13" s="28">
        <v>-1.5549999999998929</v>
      </c>
      <c r="CZ13" s="31"/>
      <c r="DA13" s="24">
        <v>49</v>
      </c>
      <c r="DB13" s="28">
        <v>47.744</v>
      </c>
      <c r="DC13" s="28">
        <v>1.256</v>
      </c>
      <c r="DD13" s="31"/>
      <c r="DE13" s="24">
        <v>52</v>
      </c>
      <c r="DF13" s="28">
        <v>50.623000000000019</v>
      </c>
      <c r="DG13" s="28">
        <v>1.3769999999999809</v>
      </c>
      <c r="DH13" s="31"/>
      <c r="DI13" s="30"/>
      <c r="DK13" s="28">
        <v>0</v>
      </c>
      <c r="DL13" s="31"/>
      <c r="DM13">
        <v>219</v>
      </c>
      <c r="DN13" s="32">
        <v>219.1028</v>
      </c>
      <c r="DO13" s="28">
        <v>-0.102800000000002</v>
      </c>
      <c r="DP13" s="31"/>
      <c r="DQ13">
        <v>244</v>
      </c>
      <c r="DR13">
        <v>241</v>
      </c>
      <c r="DS13" s="28">
        <v>3</v>
      </c>
      <c r="DT13" s="31"/>
      <c r="DU13" s="24">
        <v>97</v>
      </c>
      <c r="DW13">
        <v>95</v>
      </c>
      <c r="DX13" s="28">
        <v>2</v>
      </c>
      <c r="DY13" s="31"/>
      <c r="DZ13" s="24">
        <v>92</v>
      </c>
      <c r="EB13">
        <v>92</v>
      </c>
      <c r="EC13" s="28">
        <v>0</v>
      </c>
      <c r="ED13" s="31"/>
      <c r="EE13">
        <v>158</v>
      </c>
      <c r="EF13" s="32">
        <v>157.66000000000011</v>
      </c>
      <c r="EG13" s="28">
        <v>0.33999999999988972</v>
      </c>
      <c r="EH13" s="31"/>
      <c r="EI13" s="30"/>
      <c r="EJ13">
        <v>69</v>
      </c>
      <c r="EK13">
        <v>70</v>
      </c>
      <c r="EL13">
        <v>61</v>
      </c>
      <c r="EM13">
        <v>60</v>
      </c>
      <c r="EN13" s="28">
        <v>0</v>
      </c>
      <c r="EO13" s="31"/>
      <c r="EP13">
        <v>97</v>
      </c>
      <c r="EQ13" s="32">
        <v>97.200600000000037</v>
      </c>
      <c r="ER13" s="28">
        <v>-0.200600000000037</v>
      </c>
      <c r="ES13" s="31"/>
      <c r="ET13" s="30"/>
      <c r="EV13">
        <v>182</v>
      </c>
      <c r="EW13">
        <v>181</v>
      </c>
      <c r="EX13" s="28">
        <v>1</v>
      </c>
      <c r="EY13" s="31"/>
      <c r="EZ13">
        <v>69</v>
      </c>
      <c r="FA13">
        <v>70</v>
      </c>
      <c r="FB13">
        <v>102</v>
      </c>
      <c r="FC13">
        <v>100</v>
      </c>
      <c r="FD13" s="28">
        <v>1</v>
      </c>
      <c r="FE13" s="31"/>
      <c r="FF13">
        <v>32</v>
      </c>
      <c r="FG13" s="32">
        <v>30</v>
      </c>
      <c r="FH13" s="28">
        <v>2</v>
      </c>
      <c r="FI13" s="31"/>
      <c r="FJ13" s="24">
        <v>130</v>
      </c>
      <c r="FK13">
        <v>130</v>
      </c>
      <c r="FL13" s="28">
        <v>0</v>
      </c>
      <c r="FM13" s="31"/>
      <c r="FN13" s="24">
        <v>109</v>
      </c>
      <c r="FO13">
        <v>110</v>
      </c>
      <c r="FP13" s="28">
        <v>-1</v>
      </c>
      <c r="FQ13" s="31"/>
      <c r="FT13" s="28">
        <v>0</v>
      </c>
      <c r="FU13" s="31"/>
      <c r="FV13" s="24">
        <v>270</v>
      </c>
      <c r="FW13">
        <v>270</v>
      </c>
      <c r="FX13" s="28">
        <v>0</v>
      </c>
      <c r="FY13" s="31"/>
      <c r="FZ13" s="30"/>
      <c r="GB13" s="28">
        <v>0</v>
      </c>
      <c r="GC13" s="31"/>
      <c r="GD13">
        <v>163</v>
      </c>
      <c r="GE13">
        <v>160</v>
      </c>
      <c r="GF13" s="28">
        <v>3</v>
      </c>
      <c r="GG13" s="34"/>
      <c r="GH13">
        <v>85</v>
      </c>
      <c r="GI13">
        <v>85</v>
      </c>
      <c r="GJ13" s="28">
        <v>0</v>
      </c>
      <c r="GK13" s="31"/>
      <c r="GN13" s="28">
        <v>0</v>
      </c>
      <c r="GO13" s="34"/>
      <c r="GR13" s="28">
        <v>0</v>
      </c>
      <c r="GS13" s="31"/>
      <c r="GV13" s="28">
        <v>0</v>
      </c>
      <c r="GW13" s="34"/>
      <c r="GX13">
        <v>270</v>
      </c>
      <c r="GY13" s="32">
        <v>265.13799999999998</v>
      </c>
      <c r="GZ13" s="28">
        <v>4.8620000000000232</v>
      </c>
      <c r="HA13" s="31"/>
      <c r="HB13" s="24">
        <v>122</v>
      </c>
      <c r="HC13" s="32">
        <v>120</v>
      </c>
      <c r="HD13" s="28">
        <v>2</v>
      </c>
      <c r="HE13" s="34"/>
      <c r="HF13">
        <v>114</v>
      </c>
      <c r="HG13">
        <v>114</v>
      </c>
      <c r="HH13" s="28">
        <v>0</v>
      </c>
      <c r="HI13" s="34"/>
      <c r="HL13" s="28">
        <v>0</v>
      </c>
      <c r="HM13" s="34"/>
      <c r="HN13">
        <v>300</v>
      </c>
      <c r="HO13">
        <v>300</v>
      </c>
      <c r="HP13" s="28">
        <v>0</v>
      </c>
      <c r="HQ13" s="31"/>
      <c r="HR13">
        <v>102</v>
      </c>
      <c r="HS13">
        <v>100</v>
      </c>
      <c r="HT13">
        <v>82</v>
      </c>
      <c r="HU13">
        <v>80</v>
      </c>
      <c r="HV13" s="28">
        <v>4</v>
      </c>
      <c r="HW13" s="34"/>
      <c r="HX13" s="32">
        <v>121.492</v>
      </c>
      <c r="HY13" s="32">
        <v>120</v>
      </c>
      <c r="HZ13" s="28">
        <v>1.492000000000004</v>
      </c>
      <c r="IA13" s="34"/>
      <c r="IB13" s="32">
        <v>120.499</v>
      </c>
      <c r="IC13" s="32">
        <v>118.935</v>
      </c>
      <c r="ID13" s="28">
        <v>1.563999999999993</v>
      </c>
      <c r="IE13" s="34"/>
      <c r="IF13" s="33">
        <v>12.096</v>
      </c>
      <c r="IG13" s="32">
        <v>10</v>
      </c>
      <c r="IH13" s="28">
        <v>2.0960000000000001</v>
      </c>
      <c r="II13" s="34"/>
    </row>
    <row r="14" spans="1:243" x14ac:dyDescent="0.25">
      <c r="A14" s="28" t="s">
        <v>146</v>
      </c>
      <c r="B14" s="29">
        <v>0.25</v>
      </c>
      <c r="E14">
        <v>40</v>
      </c>
      <c r="F14">
        <v>64</v>
      </c>
      <c r="G14">
        <v>66</v>
      </c>
      <c r="J14" s="30"/>
      <c r="K14" s="35"/>
      <c r="L14" s="36">
        <v>24</v>
      </c>
      <c r="M14" s="36">
        <v>30</v>
      </c>
      <c r="N14" s="35">
        <f t="shared" si="4"/>
        <v>-6</v>
      </c>
      <c r="O14" s="31"/>
      <c r="P14" s="35"/>
      <c r="Q14">
        <v>16</v>
      </c>
      <c r="R14">
        <v>16</v>
      </c>
      <c r="S14" s="28">
        <v>0</v>
      </c>
      <c r="T14" s="31"/>
      <c r="U14" s="24">
        <v>120</v>
      </c>
      <c r="V14">
        <v>121</v>
      </c>
      <c r="W14" s="28">
        <v>-1</v>
      </c>
      <c r="X14" s="31"/>
      <c r="Y14" s="30"/>
      <c r="Z14">
        <v>76</v>
      </c>
      <c r="AA14" s="27">
        <v>-76</v>
      </c>
      <c r="AB14" s="31">
        <v>19</v>
      </c>
      <c r="AE14" s="28">
        <v>0</v>
      </c>
      <c r="AF14" s="31"/>
      <c r="AG14" s="24">
        <v>112</v>
      </c>
      <c r="AH14">
        <v>115</v>
      </c>
      <c r="AI14" s="28">
        <v>-3</v>
      </c>
      <c r="AJ14" s="31"/>
      <c r="AK14">
        <v>8</v>
      </c>
      <c r="AL14">
        <v>8</v>
      </c>
      <c r="AM14" s="28">
        <v>0</v>
      </c>
      <c r="AN14" s="31"/>
      <c r="AO14" s="24">
        <v>56</v>
      </c>
      <c r="AP14">
        <v>58</v>
      </c>
      <c r="AQ14" s="28">
        <v>-2</v>
      </c>
      <c r="AR14" s="31"/>
      <c r="AS14" s="30"/>
      <c r="AU14" s="28">
        <v>0</v>
      </c>
      <c r="AV14" s="31"/>
      <c r="AX14">
        <v>10</v>
      </c>
      <c r="AY14" s="27">
        <v>-10</v>
      </c>
      <c r="AZ14" s="31">
        <v>2.5</v>
      </c>
      <c r="BA14" s="24">
        <v>16</v>
      </c>
      <c r="BB14">
        <v>16</v>
      </c>
      <c r="BC14">
        <v>24</v>
      </c>
      <c r="BD14">
        <v>27</v>
      </c>
      <c r="BE14" s="28">
        <v>-3</v>
      </c>
      <c r="BF14" s="31"/>
      <c r="BG14" s="30"/>
      <c r="BI14" s="28">
        <v>0</v>
      </c>
      <c r="BJ14" s="31"/>
      <c r="BM14">
        <v>16</v>
      </c>
      <c r="BN14">
        <v>20</v>
      </c>
      <c r="BO14" s="28">
        <v>-4</v>
      </c>
      <c r="BP14" s="31"/>
      <c r="BQ14">
        <v>32</v>
      </c>
      <c r="BR14">
        <v>31</v>
      </c>
      <c r="BS14" s="28">
        <v>1</v>
      </c>
      <c r="BT14" s="31"/>
      <c r="BU14" s="24">
        <v>8</v>
      </c>
      <c r="BV14">
        <v>8</v>
      </c>
      <c r="BW14" s="28">
        <v>0</v>
      </c>
      <c r="BX14" s="31"/>
      <c r="BY14" s="24">
        <v>32</v>
      </c>
      <c r="BZ14">
        <v>32</v>
      </c>
      <c r="CA14" s="28">
        <v>0</v>
      </c>
      <c r="CB14" s="31"/>
      <c r="CE14" s="28">
        <v>0</v>
      </c>
      <c r="CF14" s="31"/>
      <c r="CG14" s="30"/>
      <c r="CJ14" s="28">
        <v>0</v>
      </c>
      <c r="CK14" s="31"/>
      <c r="CL14" s="30"/>
      <c r="CN14">
        <v>8</v>
      </c>
      <c r="CO14">
        <v>8</v>
      </c>
      <c r="CP14" s="28">
        <v>0</v>
      </c>
      <c r="CQ14" s="31"/>
      <c r="CR14" s="24">
        <v>40</v>
      </c>
      <c r="CT14">
        <v>44</v>
      </c>
      <c r="CU14" s="28">
        <v>-4</v>
      </c>
      <c r="CV14" s="31"/>
      <c r="CY14" s="28">
        <v>0</v>
      </c>
      <c r="CZ14" s="31"/>
      <c r="DA14" s="33"/>
      <c r="DC14" s="28">
        <v>0</v>
      </c>
      <c r="DD14" s="31"/>
      <c r="DE14" s="24">
        <v>40</v>
      </c>
      <c r="DF14" s="28">
        <v>41.4</v>
      </c>
      <c r="DG14" s="28">
        <v>-1.399999999999999</v>
      </c>
      <c r="DH14" s="31"/>
      <c r="DI14" s="30"/>
      <c r="DK14" s="28">
        <v>0</v>
      </c>
      <c r="DL14" s="31"/>
      <c r="DO14" s="28">
        <v>0</v>
      </c>
      <c r="DP14" s="31"/>
      <c r="DS14" s="28">
        <v>0</v>
      </c>
      <c r="DT14" s="31"/>
      <c r="DU14" s="30"/>
      <c r="DX14" s="28">
        <v>0</v>
      </c>
      <c r="DY14" s="31"/>
      <c r="DZ14" s="24">
        <v>16</v>
      </c>
      <c r="EB14">
        <v>21</v>
      </c>
      <c r="EC14" s="28">
        <v>-5</v>
      </c>
      <c r="ED14" s="31"/>
      <c r="EG14" s="28">
        <v>0</v>
      </c>
      <c r="EH14" s="31"/>
      <c r="EI14" s="30"/>
      <c r="EL14">
        <v>24</v>
      </c>
      <c r="EM14">
        <v>27</v>
      </c>
      <c r="EN14" s="28">
        <v>-3</v>
      </c>
      <c r="EO14" s="31"/>
      <c r="EP14">
        <v>16</v>
      </c>
      <c r="EQ14" s="32">
        <v>15</v>
      </c>
      <c r="ER14" s="28">
        <v>1</v>
      </c>
      <c r="ES14" s="31"/>
      <c r="ET14" s="30"/>
      <c r="EX14" s="28">
        <v>0</v>
      </c>
      <c r="EY14" s="31"/>
      <c r="FD14" s="28">
        <v>0</v>
      </c>
      <c r="FE14" s="31"/>
      <c r="FH14" s="28">
        <v>0</v>
      </c>
      <c r="FI14" s="31"/>
      <c r="FJ14" s="30"/>
      <c r="FL14" s="28">
        <v>0</v>
      </c>
      <c r="FM14" s="31"/>
      <c r="FN14" s="30"/>
      <c r="FP14" s="28">
        <v>0</v>
      </c>
      <c r="FQ14" s="31"/>
      <c r="FT14" s="28">
        <v>0</v>
      </c>
      <c r="FU14" s="31"/>
      <c r="FV14" s="24">
        <v>48</v>
      </c>
      <c r="FW14">
        <v>50</v>
      </c>
      <c r="FX14" s="28">
        <v>-2</v>
      </c>
      <c r="FY14" s="31"/>
      <c r="FZ14" s="30"/>
      <c r="GB14" s="28">
        <v>0</v>
      </c>
      <c r="GC14" s="31"/>
      <c r="GF14" s="28">
        <v>0</v>
      </c>
      <c r="GG14" s="34"/>
      <c r="GH14">
        <v>16</v>
      </c>
      <c r="GI14">
        <v>14</v>
      </c>
      <c r="GJ14" s="28">
        <v>2</v>
      </c>
      <c r="GK14" s="31"/>
      <c r="GN14" s="28">
        <v>0</v>
      </c>
      <c r="GO14" s="34"/>
      <c r="GR14" s="28">
        <v>0</v>
      </c>
      <c r="GS14" s="31"/>
      <c r="GV14" s="28">
        <v>0</v>
      </c>
      <c r="GW14" s="34"/>
      <c r="GZ14" s="28">
        <v>0</v>
      </c>
      <c r="HA14" s="31"/>
      <c r="HB14" s="33"/>
      <c r="HD14" s="28">
        <v>0</v>
      </c>
      <c r="HE14" s="34"/>
      <c r="HH14" s="28">
        <v>0</v>
      </c>
      <c r="HI14" s="34"/>
      <c r="HL14" s="28">
        <v>0</v>
      </c>
      <c r="HM14" s="34"/>
      <c r="HP14" s="28">
        <v>0</v>
      </c>
      <c r="HQ14" s="31"/>
      <c r="HR14">
        <v>32</v>
      </c>
      <c r="HS14">
        <v>32</v>
      </c>
      <c r="HT14">
        <v>24</v>
      </c>
      <c r="HU14">
        <v>28</v>
      </c>
      <c r="HV14" s="28">
        <v>-4</v>
      </c>
      <c r="HW14" s="34"/>
      <c r="HX14" s="32">
        <v>48</v>
      </c>
      <c r="HY14" s="32">
        <v>50</v>
      </c>
      <c r="HZ14" s="28">
        <v>-2</v>
      </c>
      <c r="IA14" s="34"/>
      <c r="IB14" s="32">
        <v>48</v>
      </c>
      <c r="IC14" s="32">
        <v>51.6</v>
      </c>
      <c r="ID14" s="28">
        <v>-3.600000000000001</v>
      </c>
      <c r="IE14" s="34"/>
      <c r="IF14" s="33">
        <v>0</v>
      </c>
      <c r="IG14" s="32">
        <v>0</v>
      </c>
      <c r="IH14" s="28">
        <v>0</v>
      </c>
      <c r="II14" s="34"/>
    </row>
    <row r="15" spans="1:243" x14ac:dyDescent="0.25">
      <c r="A15" s="28" t="s">
        <v>147</v>
      </c>
      <c r="B15" s="29">
        <v>0.15</v>
      </c>
      <c r="J15" s="30"/>
      <c r="K15" s="35"/>
      <c r="L15" s="35"/>
      <c r="M15" s="35"/>
      <c r="N15" s="35">
        <f t="shared" si="4"/>
        <v>0</v>
      </c>
      <c r="O15" s="31"/>
      <c r="P15" s="35"/>
      <c r="S15" s="28">
        <v>0</v>
      </c>
      <c r="T15" s="31"/>
      <c r="U15" s="30"/>
      <c r="W15" s="28">
        <v>0</v>
      </c>
      <c r="X15" s="31"/>
      <c r="Y15" s="30"/>
      <c r="AA15" s="28">
        <v>0</v>
      </c>
      <c r="AB15" s="31"/>
      <c r="AE15" s="28">
        <v>0</v>
      </c>
      <c r="AF15" s="31"/>
      <c r="AG15" s="30"/>
      <c r="AI15" s="28">
        <v>0</v>
      </c>
      <c r="AJ15" s="31"/>
      <c r="AM15" s="28">
        <v>0</v>
      </c>
      <c r="AN15" s="31"/>
      <c r="AO15" s="30"/>
      <c r="AQ15" s="28">
        <v>0</v>
      </c>
      <c r="AR15" s="31"/>
      <c r="AS15" s="30"/>
      <c r="AU15" s="28">
        <v>0</v>
      </c>
      <c r="AV15" s="31"/>
      <c r="AY15" s="28">
        <v>0</v>
      </c>
      <c r="AZ15" s="31"/>
      <c r="BA15" s="30"/>
      <c r="BE15" s="28">
        <v>0</v>
      </c>
      <c r="BF15" s="31"/>
      <c r="BG15" s="30"/>
      <c r="BI15" s="28">
        <v>0</v>
      </c>
      <c r="BJ15" s="31"/>
      <c r="BO15" s="28">
        <v>0</v>
      </c>
      <c r="BP15" s="31"/>
      <c r="BS15" s="28">
        <v>0</v>
      </c>
      <c r="BT15" s="31"/>
      <c r="BU15" s="30"/>
      <c r="BW15" s="28">
        <v>0</v>
      </c>
      <c r="BX15" s="31"/>
      <c r="BY15" s="30"/>
      <c r="CA15" s="28">
        <v>0</v>
      </c>
      <c r="CB15" s="31"/>
      <c r="CE15" s="28">
        <v>0</v>
      </c>
      <c r="CF15" s="31"/>
      <c r="CG15" s="30"/>
      <c r="CJ15" s="28">
        <v>0</v>
      </c>
      <c r="CK15" s="31"/>
      <c r="CL15" s="30"/>
      <c r="CP15" s="28">
        <v>0</v>
      </c>
      <c r="CQ15" s="31"/>
      <c r="CR15" s="30"/>
      <c r="CU15" s="28">
        <v>0</v>
      </c>
      <c r="CV15" s="31"/>
      <c r="CY15" s="28">
        <v>0</v>
      </c>
      <c r="CZ15" s="31"/>
      <c r="DA15" s="33"/>
      <c r="DC15" s="28">
        <v>0</v>
      </c>
      <c r="DD15" s="31"/>
      <c r="DE15" s="30"/>
      <c r="DG15" s="28">
        <v>0</v>
      </c>
      <c r="DH15" s="31"/>
      <c r="DI15" s="30"/>
      <c r="DK15" s="28">
        <v>0</v>
      </c>
      <c r="DL15" s="31"/>
      <c r="DO15" s="28">
        <v>0</v>
      </c>
      <c r="DP15" s="31"/>
      <c r="DS15" s="28">
        <v>0</v>
      </c>
      <c r="DT15" s="31"/>
      <c r="DU15" s="30"/>
      <c r="DX15" s="28">
        <v>0</v>
      </c>
      <c r="DY15" s="31"/>
      <c r="DZ15" s="30"/>
      <c r="EC15" s="28">
        <v>0</v>
      </c>
      <c r="ED15" s="31"/>
      <c r="EG15" s="28">
        <v>0</v>
      </c>
      <c r="EH15" s="31"/>
      <c r="EI15" s="30"/>
      <c r="EN15" s="28">
        <v>0</v>
      </c>
      <c r="EO15" s="31"/>
      <c r="ER15" s="28">
        <v>0</v>
      </c>
      <c r="ES15" s="31"/>
      <c r="ET15" s="30"/>
      <c r="EX15" s="28">
        <v>0</v>
      </c>
      <c r="EY15" s="31"/>
      <c r="FD15" s="28">
        <v>0</v>
      </c>
      <c r="FE15" s="31"/>
      <c r="FH15" s="28">
        <v>0</v>
      </c>
      <c r="FI15" s="31"/>
      <c r="FJ15" s="30"/>
      <c r="FL15" s="28">
        <v>0</v>
      </c>
      <c r="FM15" s="31"/>
      <c r="FN15" s="30"/>
      <c r="FP15" s="28">
        <v>0</v>
      </c>
      <c r="FQ15" s="31"/>
      <c r="FT15" s="28">
        <v>0</v>
      </c>
      <c r="FU15" s="31"/>
      <c r="FV15" s="30"/>
      <c r="FX15" s="28">
        <v>0</v>
      </c>
      <c r="FY15" s="31"/>
      <c r="FZ15" s="30"/>
      <c r="GB15" s="28">
        <v>0</v>
      </c>
      <c r="GC15" s="31"/>
      <c r="GF15" s="28">
        <v>0</v>
      </c>
      <c r="GG15" s="34"/>
      <c r="GJ15" s="28">
        <v>0</v>
      </c>
      <c r="GK15" s="31"/>
      <c r="GN15" s="28">
        <v>0</v>
      </c>
      <c r="GO15" s="34"/>
      <c r="GR15" s="28">
        <v>0</v>
      </c>
      <c r="GS15" s="31"/>
      <c r="GV15" s="28">
        <v>0</v>
      </c>
      <c r="GW15" s="34"/>
      <c r="GZ15" s="28">
        <v>0</v>
      </c>
      <c r="HA15" s="31"/>
      <c r="HB15" s="33"/>
      <c r="HD15" s="28">
        <v>0</v>
      </c>
      <c r="HE15" s="34"/>
      <c r="HH15" s="28">
        <v>0</v>
      </c>
      <c r="HI15" s="34"/>
      <c r="HL15" s="28">
        <v>0</v>
      </c>
      <c r="HM15" s="34"/>
      <c r="HP15" s="28">
        <v>0</v>
      </c>
      <c r="HQ15" s="31"/>
      <c r="HR15" s="29"/>
      <c r="HT15" s="29"/>
      <c r="HV15" s="28">
        <v>0</v>
      </c>
      <c r="HW15" s="34"/>
      <c r="HX15" s="32">
        <v>0</v>
      </c>
      <c r="HY15" s="32">
        <v>0</v>
      </c>
      <c r="HZ15" s="28">
        <v>0</v>
      </c>
      <c r="IA15" s="34"/>
      <c r="IB15" s="32">
        <v>0</v>
      </c>
      <c r="IC15" s="32">
        <v>0</v>
      </c>
      <c r="ID15" s="28">
        <v>0</v>
      </c>
      <c r="IE15" s="34"/>
      <c r="IF15" s="33">
        <v>0</v>
      </c>
      <c r="IG15" s="32">
        <v>0</v>
      </c>
      <c r="IH15" s="28">
        <v>0</v>
      </c>
      <c r="II15" s="34"/>
    </row>
    <row r="16" spans="1:243" x14ac:dyDescent="0.25">
      <c r="A16" s="28" t="s">
        <v>148</v>
      </c>
      <c r="B16" s="29">
        <v>0.15</v>
      </c>
      <c r="J16" s="30"/>
      <c r="K16" s="35"/>
      <c r="L16" s="35"/>
      <c r="M16" s="35"/>
      <c r="N16" s="35">
        <f t="shared" si="4"/>
        <v>0</v>
      </c>
      <c r="O16" s="31"/>
      <c r="P16" s="35"/>
      <c r="S16" s="28">
        <v>0</v>
      </c>
      <c r="T16" s="31"/>
      <c r="U16" s="30"/>
      <c r="W16" s="28">
        <v>0</v>
      </c>
      <c r="X16" s="31"/>
      <c r="Y16" s="30"/>
      <c r="AA16" s="28">
        <v>0</v>
      </c>
      <c r="AB16" s="31"/>
      <c r="AE16" s="28">
        <v>0</v>
      </c>
      <c r="AF16" s="31"/>
      <c r="AG16" s="30"/>
      <c r="AI16" s="28">
        <v>0</v>
      </c>
      <c r="AJ16" s="31"/>
      <c r="AM16" s="28">
        <v>0</v>
      </c>
      <c r="AN16" s="31"/>
      <c r="AO16" s="30"/>
      <c r="AQ16" s="28">
        <v>0</v>
      </c>
      <c r="AR16" s="31"/>
      <c r="AS16" s="30"/>
      <c r="AU16" s="28">
        <v>0</v>
      </c>
      <c r="AV16" s="31"/>
      <c r="AY16" s="28">
        <v>0</v>
      </c>
      <c r="AZ16" s="31"/>
      <c r="BA16" s="30"/>
      <c r="BE16" s="28">
        <v>0</v>
      </c>
      <c r="BF16" s="31"/>
      <c r="BG16" s="30"/>
      <c r="BI16" s="28">
        <v>0</v>
      </c>
      <c r="BJ16" s="31"/>
      <c r="BO16" s="28">
        <v>0</v>
      </c>
      <c r="BP16" s="31"/>
      <c r="BS16" s="28">
        <v>0</v>
      </c>
      <c r="BT16" s="31"/>
      <c r="BU16" s="30"/>
      <c r="BW16" s="28">
        <v>0</v>
      </c>
      <c r="BX16" s="31"/>
      <c r="BY16" s="30"/>
      <c r="CA16" s="28">
        <v>0</v>
      </c>
      <c r="CB16" s="31"/>
      <c r="CE16" s="28">
        <v>0</v>
      </c>
      <c r="CF16" s="31"/>
      <c r="CG16" s="30"/>
      <c r="CJ16" s="28">
        <v>0</v>
      </c>
      <c r="CK16" s="31"/>
      <c r="CL16" s="30"/>
      <c r="CP16" s="28">
        <v>0</v>
      </c>
      <c r="CQ16" s="31"/>
      <c r="CR16" s="30"/>
      <c r="CU16" s="28">
        <v>0</v>
      </c>
      <c r="CV16" s="31"/>
      <c r="CY16" s="28">
        <v>0</v>
      </c>
      <c r="CZ16" s="31"/>
      <c r="DA16" s="33"/>
      <c r="DC16" s="28">
        <v>0</v>
      </c>
      <c r="DD16" s="31"/>
      <c r="DE16" s="30"/>
      <c r="DG16" s="28">
        <v>0</v>
      </c>
      <c r="DH16" s="31"/>
      <c r="DI16" s="30"/>
      <c r="DK16" s="28">
        <v>0</v>
      </c>
      <c r="DL16" s="31"/>
      <c r="DO16" s="28">
        <v>0</v>
      </c>
      <c r="DP16" s="31"/>
      <c r="DS16" s="28">
        <v>0</v>
      </c>
      <c r="DT16" s="31"/>
      <c r="DU16" s="30"/>
      <c r="DX16" s="28">
        <v>0</v>
      </c>
      <c r="DY16" s="31"/>
      <c r="DZ16" s="30"/>
      <c r="EC16" s="28">
        <v>0</v>
      </c>
      <c r="ED16" s="31"/>
      <c r="EG16" s="28">
        <v>0</v>
      </c>
      <c r="EH16" s="31"/>
      <c r="EI16" s="30"/>
      <c r="EN16" s="28">
        <v>0</v>
      </c>
      <c r="EO16" s="31"/>
      <c r="ER16" s="28">
        <v>0</v>
      </c>
      <c r="ES16" s="31"/>
      <c r="ET16" s="30"/>
      <c r="EX16" s="28">
        <v>0</v>
      </c>
      <c r="EY16" s="31"/>
      <c r="FD16" s="28">
        <v>0</v>
      </c>
      <c r="FE16" s="31"/>
      <c r="FH16" s="28">
        <v>0</v>
      </c>
      <c r="FI16" s="31"/>
      <c r="FJ16" s="30"/>
      <c r="FL16" s="28">
        <v>0</v>
      </c>
      <c r="FM16" s="31"/>
      <c r="FN16" s="30"/>
      <c r="FP16" s="28">
        <v>0</v>
      </c>
      <c r="FQ16" s="31"/>
      <c r="FT16" s="28">
        <v>0</v>
      </c>
      <c r="FU16" s="31"/>
      <c r="FV16" s="30"/>
      <c r="FX16" s="28">
        <v>0</v>
      </c>
      <c r="FY16" s="31"/>
      <c r="FZ16" s="30"/>
      <c r="GB16" s="28">
        <v>0</v>
      </c>
      <c r="GC16" s="31"/>
      <c r="GF16" s="28">
        <v>0</v>
      </c>
      <c r="GG16" s="34"/>
      <c r="GJ16" s="28">
        <v>0</v>
      </c>
      <c r="GK16" s="31"/>
      <c r="GN16" s="28">
        <v>0</v>
      </c>
      <c r="GO16" s="34"/>
      <c r="GR16" s="28">
        <v>0</v>
      </c>
      <c r="GS16" s="31"/>
      <c r="GV16" s="28">
        <v>0</v>
      </c>
      <c r="GW16" s="34"/>
      <c r="GZ16" s="28">
        <v>0</v>
      </c>
      <c r="HA16" s="31"/>
      <c r="HB16" s="33"/>
      <c r="HD16" s="28">
        <v>0</v>
      </c>
      <c r="HE16" s="34"/>
      <c r="HH16" s="28">
        <v>0</v>
      </c>
      <c r="HI16" s="34"/>
      <c r="HL16" s="28">
        <v>0</v>
      </c>
      <c r="HM16" s="34"/>
      <c r="HP16" s="28">
        <v>0</v>
      </c>
      <c r="HQ16" s="31"/>
      <c r="HR16" s="29"/>
      <c r="HT16" s="29"/>
      <c r="HV16" s="28">
        <v>0</v>
      </c>
      <c r="HW16" s="34"/>
      <c r="HX16" s="32">
        <v>0</v>
      </c>
      <c r="HY16" s="32">
        <v>0</v>
      </c>
      <c r="HZ16" s="28">
        <v>0</v>
      </c>
      <c r="IA16" s="34"/>
      <c r="IB16" s="32">
        <v>0</v>
      </c>
      <c r="IC16" s="32">
        <v>0</v>
      </c>
      <c r="ID16" s="28">
        <v>0</v>
      </c>
      <c r="IE16" s="34"/>
      <c r="IF16" s="33">
        <v>0</v>
      </c>
      <c r="IG16" s="32">
        <v>0</v>
      </c>
      <c r="IH16" s="28">
        <v>0</v>
      </c>
      <c r="II16" s="34"/>
    </row>
    <row r="17" spans="1:243" x14ac:dyDescent="0.25">
      <c r="A17" s="28" t="s">
        <v>149</v>
      </c>
      <c r="B17" s="29">
        <v>0.15</v>
      </c>
      <c r="J17" s="30"/>
      <c r="K17" s="35"/>
      <c r="L17" s="35"/>
      <c r="M17" s="35"/>
      <c r="N17" s="35">
        <f t="shared" si="4"/>
        <v>0</v>
      </c>
      <c r="O17" s="31"/>
      <c r="P17" s="35"/>
      <c r="S17" s="28">
        <v>0</v>
      </c>
      <c r="T17" s="31"/>
      <c r="U17" s="30"/>
      <c r="W17" s="28">
        <v>0</v>
      </c>
      <c r="X17" s="31"/>
      <c r="Y17" s="30"/>
      <c r="AA17" s="28">
        <v>0</v>
      </c>
      <c r="AB17" s="31"/>
      <c r="AE17" s="28">
        <v>0</v>
      </c>
      <c r="AF17" s="31"/>
      <c r="AG17" s="30"/>
      <c r="AI17" s="28">
        <v>0</v>
      </c>
      <c r="AJ17" s="31"/>
      <c r="AM17" s="28">
        <v>0</v>
      </c>
      <c r="AN17" s="31"/>
      <c r="AO17" s="30"/>
      <c r="AQ17" s="28">
        <v>0</v>
      </c>
      <c r="AR17" s="31"/>
      <c r="AS17" s="30"/>
      <c r="AU17" s="28">
        <v>0</v>
      </c>
      <c r="AV17" s="31"/>
      <c r="AY17" s="28">
        <v>0</v>
      </c>
      <c r="AZ17" s="31"/>
      <c r="BA17" s="30"/>
      <c r="BE17" s="28">
        <v>0</v>
      </c>
      <c r="BF17" s="31"/>
      <c r="BG17" s="30"/>
      <c r="BI17" s="28">
        <v>0</v>
      </c>
      <c r="BJ17" s="31"/>
      <c r="BO17" s="28">
        <v>0</v>
      </c>
      <c r="BP17" s="31"/>
      <c r="BS17" s="28">
        <v>0</v>
      </c>
      <c r="BT17" s="31"/>
      <c r="BU17" s="30"/>
      <c r="BW17" s="28">
        <v>0</v>
      </c>
      <c r="BX17" s="31"/>
      <c r="BY17" s="30"/>
      <c r="CA17" s="28">
        <v>0</v>
      </c>
      <c r="CB17" s="31"/>
      <c r="CE17" s="28">
        <v>0</v>
      </c>
      <c r="CF17" s="31"/>
      <c r="CG17" s="30"/>
      <c r="CJ17" s="28">
        <v>0</v>
      </c>
      <c r="CK17" s="31"/>
      <c r="CL17" s="30"/>
      <c r="CP17" s="28">
        <v>0</v>
      </c>
      <c r="CQ17" s="31"/>
      <c r="CR17" s="30"/>
      <c r="CU17" s="28">
        <v>0</v>
      </c>
      <c r="CV17" s="31"/>
      <c r="CY17" s="28">
        <v>0</v>
      </c>
      <c r="CZ17" s="31"/>
      <c r="DA17" s="33"/>
      <c r="DC17" s="28">
        <v>0</v>
      </c>
      <c r="DD17" s="31"/>
      <c r="DE17" s="30"/>
      <c r="DG17" s="28">
        <v>0</v>
      </c>
      <c r="DH17" s="31"/>
      <c r="DI17" s="30"/>
      <c r="DK17" s="28">
        <v>0</v>
      </c>
      <c r="DL17" s="31"/>
      <c r="DO17" s="28">
        <v>0</v>
      </c>
      <c r="DP17" s="31"/>
      <c r="DS17" s="28">
        <v>0</v>
      </c>
      <c r="DT17" s="31"/>
      <c r="DU17" s="30"/>
      <c r="DX17" s="28">
        <v>0</v>
      </c>
      <c r="DY17" s="31"/>
      <c r="DZ17" s="30"/>
      <c r="EC17" s="28">
        <v>0</v>
      </c>
      <c r="ED17" s="31"/>
      <c r="EG17" s="28">
        <v>0</v>
      </c>
      <c r="EH17" s="31"/>
      <c r="EI17" s="30"/>
      <c r="EN17" s="28">
        <v>0</v>
      </c>
      <c r="EO17" s="31"/>
      <c r="ER17" s="28">
        <v>0</v>
      </c>
      <c r="ES17" s="31"/>
      <c r="ET17" s="30"/>
      <c r="EX17" s="28">
        <v>0</v>
      </c>
      <c r="EY17" s="31"/>
      <c r="FD17" s="28">
        <v>0</v>
      </c>
      <c r="FE17" s="31"/>
      <c r="FH17" s="28">
        <v>0</v>
      </c>
      <c r="FI17" s="31"/>
      <c r="FJ17" s="30"/>
      <c r="FL17" s="28">
        <v>0</v>
      </c>
      <c r="FM17" s="31"/>
      <c r="FN17" s="30"/>
      <c r="FP17" s="28">
        <v>0</v>
      </c>
      <c r="FQ17" s="31"/>
      <c r="FT17" s="28">
        <v>0</v>
      </c>
      <c r="FU17" s="31"/>
      <c r="FV17" s="30"/>
      <c r="FX17" s="28">
        <v>0</v>
      </c>
      <c r="FY17" s="31"/>
      <c r="FZ17" s="30"/>
      <c r="GB17" s="28">
        <v>0</v>
      </c>
      <c r="GC17" s="31"/>
      <c r="GF17" s="28">
        <v>0</v>
      </c>
      <c r="GG17" s="34"/>
      <c r="GJ17" s="28">
        <v>0</v>
      </c>
      <c r="GK17" s="31"/>
      <c r="GN17" s="28">
        <v>0</v>
      </c>
      <c r="GO17" s="34"/>
      <c r="GR17" s="28">
        <v>0</v>
      </c>
      <c r="GS17" s="31"/>
      <c r="GV17" s="28">
        <v>0</v>
      </c>
      <c r="GW17" s="34"/>
      <c r="GZ17" s="28">
        <v>0</v>
      </c>
      <c r="HA17" s="31"/>
      <c r="HB17" s="33"/>
      <c r="HD17" s="28">
        <v>0</v>
      </c>
      <c r="HE17" s="34"/>
      <c r="HH17" s="28">
        <v>0</v>
      </c>
      <c r="HI17" s="34"/>
      <c r="HL17" s="28">
        <v>0</v>
      </c>
      <c r="HM17" s="34"/>
      <c r="HP17" s="28">
        <v>0</v>
      </c>
      <c r="HQ17" s="31"/>
      <c r="HR17" s="29"/>
      <c r="HT17" s="29"/>
      <c r="HV17" s="28">
        <v>0</v>
      </c>
      <c r="HW17" s="34"/>
      <c r="HX17" s="32">
        <v>0</v>
      </c>
      <c r="HY17" s="32">
        <v>0</v>
      </c>
      <c r="HZ17" s="28">
        <v>0</v>
      </c>
      <c r="IA17" s="34"/>
      <c r="IB17" s="32">
        <v>0</v>
      </c>
      <c r="IC17" s="32">
        <v>0</v>
      </c>
      <c r="ID17" s="28">
        <v>0</v>
      </c>
      <c r="IE17" s="34"/>
      <c r="IF17" s="33">
        <v>0</v>
      </c>
      <c r="IG17" s="32">
        <v>0</v>
      </c>
      <c r="IH17" s="28">
        <v>0</v>
      </c>
      <c r="II17" s="34"/>
    </row>
    <row r="18" spans="1:243" x14ac:dyDescent="0.25">
      <c r="A18" s="28" t="s">
        <v>150</v>
      </c>
      <c r="B18" s="29">
        <v>1</v>
      </c>
      <c r="J18" s="30"/>
      <c r="K18" s="35"/>
      <c r="L18" s="35"/>
      <c r="M18" s="35"/>
      <c r="N18" s="35">
        <f t="shared" si="4"/>
        <v>0</v>
      </c>
      <c r="O18" s="31"/>
      <c r="P18" s="35"/>
      <c r="S18" s="28">
        <v>0</v>
      </c>
      <c r="T18" s="31"/>
      <c r="U18" s="30"/>
      <c r="W18" s="28">
        <v>0</v>
      </c>
      <c r="X18" s="31"/>
      <c r="Y18" s="30"/>
      <c r="AA18" s="28">
        <v>0</v>
      </c>
      <c r="AB18" s="31"/>
      <c r="AE18" s="28">
        <v>0</v>
      </c>
      <c r="AF18" s="31"/>
      <c r="AG18" s="30"/>
      <c r="AI18" s="28">
        <v>0</v>
      </c>
      <c r="AJ18" s="31"/>
      <c r="AM18" s="28">
        <v>0</v>
      </c>
      <c r="AN18" s="31"/>
      <c r="AO18" s="30"/>
      <c r="AQ18" s="28">
        <v>0</v>
      </c>
      <c r="AR18" s="31"/>
      <c r="AS18" s="30"/>
      <c r="AU18" s="28">
        <v>0</v>
      </c>
      <c r="AV18" s="31"/>
      <c r="AY18" s="28">
        <v>0</v>
      </c>
      <c r="AZ18" s="31"/>
      <c r="BA18" s="30"/>
      <c r="BE18" s="28">
        <v>0</v>
      </c>
      <c r="BF18" s="31"/>
      <c r="BG18" s="30"/>
      <c r="BI18" s="28">
        <v>0</v>
      </c>
      <c r="BJ18" s="31"/>
      <c r="BO18" s="28">
        <v>0</v>
      </c>
      <c r="BP18" s="31"/>
      <c r="BS18" s="28">
        <v>0</v>
      </c>
      <c r="BT18" s="31"/>
      <c r="BU18" s="30"/>
      <c r="BW18" s="28">
        <v>0</v>
      </c>
      <c r="BX18" s="31"/>
      <c r="BY18" s="30"/>
      <c r="CA18" s="28">
        <v>0</v>
      </c>
      <c r="CB18" s="31"/>
      <c r="CE18" s="28">
        <v>0</v>
      </c>
      <c r="CF18" s="31"/>
      <c r="CG18" s="30"/>
      <c r="CJ18" s="28">
        <v>0</v>
      </c>
      <c r="CK18" s="31"/>
      <c r="CL18" s="30"/>
      <c r="CP18" s="28">
        <v>0</v>
      </c>
      <c r="CQ18" s="31"/>
      <c r="CR18" s="30"/>
      <c r="CU18" s="28">
        <v>0</v>
      </c>
      <c r="CV18" s="31"/>
      <c r="CY18" s="28">
        <v>0</v>
      </c>
      <c r="CZ18" s="31"/>
      <c r="DA18" s="33"/>
      <c r="DC18" s="28">
        <v>0</v>
      </c>
      <c r="DD18" s="31"/>
      <c r="DE18" s="30"/>
      <c r="DG18" s="28">
        <v>0</v>
      </c>
      <c r="DH18" s="31"/>
      <c r="DI18" s="30"/>
      <c r="DK18" s="28">
        <v>0</v>
      </c>
      <c r="DL18" s="31"/>
      <c r="DO18" s="28">
        <v>0</v>
      </c>
      <c r="DP18" s="31"/>
      <c r="DS18" s="28">
        <v>0</v>
      </c>
      <c r="DT18" s="31"/>
      <c r="DU18" s="30"/>
      <c r="DX18" s="28">
        <v>0</v>
      </c>
      <c r="DY18" s="31"/>
      <c r="DZ18" s="30"/>
      <c r="EC18" s="28">
        <v>0</v>
      </c>
      <c r="ED18" s="31"/>
      <c r="EG18" s="28">
        <v>0</v>
      </c>
      <c r="EH18" s="31"/>
      <c r="EI18" s="30"/>
      <c r="EN18" s="28">
        <v>0</v>
      </c>
      <c r="EO18" s="31"/>
      <c r="ER18" s="28">
        <v>0</v>
      </c>
      <c r="ES18" s="31"/>
      <c r="ET18" s="30"/>
      <c r="EX18" s="28">
        <v>0</v>
      </c>
      <c r="EY18" s="31"/>
      <c r="FD18" s="28">
        <v>0</v>
      </c>
      <c r="FE18" s="31"/>
      <c r="FH18" s="28">
        <v>0</v>
      </c>
      <c r="FI18" s="31"/>
      <c r="FJ18" s="30"/>
      <c r="FL18" s="28">
        <v>0</v>
      </c>
      <c r="FM18" s="31"/>
      <c r="FN18" s="30"/>
      <c r="FP18" s="28">
        <v>0</v>
      </c>
      <c r="FQ18" s="31"/>
      <c r="FT18" s="28">
        <v>0</v>
      </c>
      <c r="FU18" s="31"/>
      <c r="FV18" s="30"/>
      <c r="FX18" s="28">
        <v>0</v>
      </c>
      <c r="FY18" s="31"/>
      <c r="FZ18" s="30"/>
      <c r="GB18" s="28">
        <v>0</v>
      </c>
      <c r="GC18" s="31"/>
      <c r="GF18" s="28">
        <v>0</v>
      </c>
      <c r="GG18" s="34"/>
      <c r="GJ18" s="28">
        <v>0</v>
      </c>
      <c r="GK18" s="31"/>
      <c r="GN18" s="28">
        <v>0</v>
      </c>
      <c r="GO18" s="34"/>
      <c r="GR18" s="28">
        <v>0</v>
      </c>
      <c r="GS18" s="31"/>
      <c r="GV18" s="28">
        <v>0</v>
      </c>
      <c r="GW18" s="34"/>
      <c r="GZ18" s="28">
        <v>0</v>
      </c>
      <c r="HA18" s="31"/>
      <c r="HB18" s="33"/>
      <c r="HD18" s="28">
        <v>0</v>
      </c>
      <c r="HE18" s="34"/>
      <c r="HH18" s="28">
        <v>0</v>
      </c>
      <c r="HI18" s="34"/>
      <c r="HL18" s="28">
        <v>0</v>
      </c>
      <c r="HM18" s="34"/>
      <c r="HP18" s="28">
        <v>0</v>
      </c>
      <c r="HQ18" s="31"/>
      <c r="HR18" s="29"/>
      <c r="HT18" s="29"/>
      <c r="HV18" s="28">
        <v>0</v>
      </c>
      <c r="HW18" s="34"/>
      <c r="HX18" s="32">
        <v>0</v>
      </c>
      <c r="HY18" s="32">
        <v>0</v>
      </c>
      <c r="HZ18" s="28">
        <v>0</v>
      </c>
      <c r="IA18" s="34"/>
      <c r="IB18" s="32">
        <v>0</v>
      </c>
      <c r="IC18" s="32">
        <v>0</v>
      </c>
      <c r="ID18" s="28">
        <v>0</v>
      </c>
      <c r="IE18" s="34"/>
      <c r="IF18" s="33">
        <v>0</v>
      </c>
      <c r="IG18" s="32">
        <v>0</v>
      </c>
      <c r="IH18" s="28">
        <v>0</v>
      </c>
      <c r="II18" s="34"/>
    </row>
    <row r="19" spans="1:243" x14ac:dyDescent="0.25">
      <c r="A19" s="28" t="s">
        <v>151</v>
      </c>
      <c r="B19" s="29">
        <v>1</v>
      </c>
      <c r="J19" s="30"/>
      <c r="K19" s="35"/>
      <c r="L19" s="35"/>
      <c r="M19" s="35"/>
      <c r="N19" s="35">
        <f t="shared" si="4"/>
        <v>0</v>
      </c>
      <c r="O19" s="31"/>
      <c r="P19" s="35"/>
      <c r="S19" s="28">
        <v>0</v>
      </c>
      <c r="T19" s="31"/>
      <c r="U19" s="30"/>
      <c r="W19" s="28">
        <v>0</v>
      </c>
      <c r="X19" s="31"/>
      <c r="Y19" s="30"/>
      <c r="AA19" s="28">
        <v>0</v>
      </c>
      <c r="AB19" s="31"/>
      <c r="AE19" s="28">
        <v>0</v>
      </c>
      <c r="AF19" s="31"/>
      <c r="AG19" s="30"/>
      <c r="AI19" s="28">
        <v>0</v>
      </c>
      <c r="AJ19" s="31"/>
      <c r="AM19" s="28">
        <v>0</v>
      </c>
      <c r="AN19" s="31"/>
      <c r="AO19" s="30"/>
      <c r="AQ19" s="28">
        <v>0</v>
      </c>
      <c r="AR19" s="31"/>
      <c r="AS19" s="30"/>
      <c r="AU19" s="28">
        <v>0</v>
      </c>
      <c r="AV19" s="31"/>
      <c r="AY19" s="28">
        <v>0</v>
      </c>
      <c r="AZ19" s="31"/>
      <c r="BA19" s="30"/>
      <c r="BE19" s="28">
        <v>0</v>
      </c>
      <c r="BF19" s="31"/>
      <c r="BG19" s="30"/>
      <c r="BI19" s="28">
        <v>0</v>
      </c>
      <c r="BJ19" s="31"/>
      <c r="BO19" s="28">
        <v>0</v>
      </c>
      <c r="BP19" s="31"/>
      <c r="BS19" s="28">
        <v>0</v>
      </c>
      <c r="BT19" s="31"/>
      <c r="BU19" s="30"/>
      <c r="BW19" s="28">
        <v>0</v>
      </c>
      <c r="BX19" s="31"/>
      <c r="BY19" s="30"/>
      <c r="CA19" s="28">
        <v>0</v>
      </c>
      <c r="CB19" s="31"/>
      <c r="CE19" s="28">
        <v>0</v>
      </c>
      <c r="CF19" s="31"/>
      <c r="CG19" s="30"/>
      <c r="CJ19" s="28">
        <v>0</v>
      </c>
      <c r="CK19" s="31"/>
      <c r="CL19" s="30"/>
      <c r="CP19" s="28">
        <v>0</v>
      </c>
      <c r="CQ19" s="31"/>
      <c r="CR19" s="30"/>
      <c r="CU19" s="28">
        <v>0</v>
      </c>
      <c r="CV19" s="31"/>
      <c r="CY19" s="28">
        <v>0</v>
      </c>
      <c r="CZ19" s="31"/>
      <c r="DA19" s="33"/>
      <c r="DC19" s="28">
        <v>0</v>
      </c>
      <c r="DD19" s="31"/>
      <c r="DE19" s="30"/>
      <c r="DG19" s="28">
        <v>0</v>
      </c>
      <c r="DH19" s="31"/>
      <c r="DI19" s="30"/>
      <c r="DK19" s="28">
        <v>0</v>
      </c>
      <c r="DL19" s="31"/>
      <c r="DO19" s="28">
        <v>0</v>
      </c>
      <c r="DP19" s="31"/>
      <c r="DS19" s="28">
        <v>0</v>
      </c>
      <c r="DT19" s="31"/>
      <c r="DU19" s="30"/>
      <c r="DX19" s="28">
        <v>0</v>
      </c>
      <c r="DY19" s="31"/>
      <c r="DZ19" s="30"/>
      <c r="EC19" s="28">
        <v>0</v>
      </c>
      <c r="ED19" s="31"/>
      <c r="EG19" s="28">
        <v>0</v>
      </c>
      <c r="EH19" s="31"/>
      <c r="EI19" s="30"/>
      <c r="EN19" s="28">
        <v>0</v>
      </c>
      <c r="EO19" s="31"/>
      <c r="ER19" s="28">
        <v>0</v>
      </c>
      <c r="ES19" s="31"/>
      <c r="ET19" s="30"/>
      <c r="EX19" s="28">
        <v>0</v>
      </c>
      <c r="EY19" s="31"/>
      <c r="FD19" s="28">
        <v>0</v>
      </c>
      <c r="FE19" s="31"/>
      <c r="FH19" s="28">
        <v>0</v>
      </c>
      <c r="FI19" s="31"/>
      <c r="FJ19" s="30"/>
      <c r="FL19" s="28">
        <v>0</v>
      </c>
      <c r="FM19" s="31"/>
      <c r="FN19" s="30"/>
      <c r="FP19" s="28">
        <v>0</v>
      </c>
      <c r="FQ19" s="31"/>
      <c r="FT19" s="28">
        <v>0</v>
      </c>
      <c r="FU19" s="31"/>
      <c r="FV19" s="30"/>
      <c r="FX19" s="28">
        <v>0</v>
      </c>
      <c r="FY19" s="31"/>
      <c r="FZ19" s="30"/>
      <c r="GB19" s="28">
        <v>0</v>
      </c>
      <c r="GC19" s="31"/>
      <c r="GF19" s="28">
        <v>0</v>
      </c>
      <c r="GG19" s="34"/>
      <c r="GJ19" s="28">
        <v>0</v>
      </c>
      <c r="GK19" s="31"/>
      <c r="GN19" s="28">
        <v>0</v>
      </c>
      <c r="GO19" s="34"/>
      <c r="GR19" s="28">
        <v>0</v>
      </c>
      <c r="GS19" s="31"/>
      <c r="GV19" s="28">
        <v>0</v>
      </c>
      <c r="GW19" s="34"/>
      <c r="GZ19" s="28">
        <v>0</v>
      </c>
      <c r="HA19" s="31"/>
      <c r="HB19" s="33"/>
      <c r="HD19" s="28">
        <v>0</v>
      </c>
      <c r="HE19" s="34"/>
      <c r="HH19" s="28">
        <v>0</v>
      </c>
      <c r="HI19" s="34"/>
      <c r="HL19" s="28">
        <v>0</v>
      </c>
      <c r="HM19" s="34"/>
      <c r="HP19" s="28">
        <v>0</v>
      </c>
      <c r="HQ19" s="31"/>
      <c r="HR19" s="29"/>
      <c r="HT19" s="29"/>
      <c r="HV19" s="28">
        <v>0</v>
      </c>
      <c r="HW19" s="34"/>
      <c r="HX19" s="32">
        <v>0</v>
      </c>
      <c r="HY19" s="32">
        <v>0</v>
      </c>
      <c r="HZ19" s="28">
        <v>0</v>
      </c>
      <c r="IA19" s="34"/>
      <c r="IB19" s="32">
        <v>0</v>
      </c>
      <c r="IC19" s="32">
        <v>0</v>
      </c>
      <c r="ID19" s="28">
        <v>0</v>
      </c>
      <c r="IE19" s="34"/>
      <c r="IF19" s="33">
        <v>0</v>
      </c>
      <c r="IG19" s="32">
        <v>0</v>
      </c>
      <c r="IH19" s="28">
        <v>0</v>
      </c>
      <c r="II19" s="34"/>
    </row>
    <row r="20" spans="1:243" x14ac:dyDescent="0.25">
      <c r="A20" s="28" t="s">
        <v>152</v>
      </c>
      <c r="B20" s="29">
        <v>1</v>
      </c>
      <c r="J20" s="30"/>
      <c r="K20" s="35"/>
      <c r="L20" s="35"/>
      <c r="M20" s="35"/>
      <c r="N20" s="35">
        <f t="shared" si="4"/>
        <v>0</v>
      </c>
      <c r="O20" s="31"/>
      <c r="P20" s="35"/>
      <c r="S20" s="28">
        <v>0</v>
      </c>
      <c r="T20" s="31"/>
      <c r="U20" s="30"/>
      <c r="W20" s="28">
        <v>0</v>
      </c>
      <c r="X20" s="31"/>
      <c r="Y20" s="30"/>
      <c r="AA20" s="28">
        <v>0</v>
      </c>
      <c r="AB20" s="31"/>
      <c r="AE20" s="28">
        <v>0</v>
      </c>
      <c r="AF20" s="31"/>
      <c r="AG20" s="30"/>
      <c r="AI20" s="28">
        <v>0</v>
      </c>
      <c r="AJ20" s="31"/>
      <c r="AM20" s="28">
        <v>0</v>
      </c>
      <c r="AN20" s="31"/>
      <c r="AO20" s="30"/>
      <c r="AQ20" s="28">
        <v>0</v>
      </c>
      <c r="AR20" s="31"/>
      <c r="AS20" s="30"/>
      <c r="AU20" s="28">
        <v>0</v>
      </c>
      <c r="AV20" s="31"/>
      <c r="AY20" s="28">
        <v>0</v>
      </c>
      <c r="AZ20" s="31"/>
      <c r="BA20" s="30"/>
      <c r="BE20" s="28">
        <v>0</v>
      </c>
      <c r="BF20" s="31"/>
      <c r="BG20" s="30"/>
      <c r="BI20" s="28">
        <v>0</v>
      </c>
      <c r="BJ20" s="31"/>
      <c r="BO20" s="28">
        <v>0</v>
      </c>
      <c r="BP20" s="31"/>
      <c r="BS20" s="28">
        <v>0</v>
      </c>
      <c r="BT20" s="31"/>
      <c r="BU20" s="30"/>
      <c r="BW20" s="28">
        <v>0</v>
      </c>
      <c r="BX20" s="31"/>
      <c r="BY20" s="30"/>
      <c r="CA20" s="28">
        <v>0</v>
      </c>
      <c r="CB20" s="31"/>
      <c r="CE20" s="28">
        <v>0</v>
      </c>
      <c r="CF20" s="31"/>
      <c r="CG20" s="30"/>
      <c r="CJ20" s="28">
        <v>0</v>
      </c>
      <c r="CK20" s="31"/>
      <c r="CL20" s="30"/>
      <c r="CP20" s="28">
        <v>0</v>
      </c>
      <c r="CQ20" s="31"/>
      <c r="CR20" s="30"/>
      <c r="CU20" s="28">
        <v>0</v>
      </c>
      <c r="CV20" s="31"/>
      <c r="CY20" s="28">
        <v>0</v>
      </c>
      <c r="CZ20" s="31"/>
      <c r="DA20" s="33"/>
      <c r="DC20" s="28">
        <v>0</v>
      </c>
      <c r="DD20" s="31"/>
      <c r="DE20" s="30"/>
      <c r="DG20" s="28">
        <v>0</v>
      </c>
      <c r="DH20" s="31"/>
      <c r="DI20" s="30"/>
      <c r="DK20" s="28">
        <v>0</v>
      </c>
      <c r="DL20" s="31"/>
      <c r="DO20" s="28">
        <v>0</v>
      </c>
      <c r="DP20" s="31"/>
      <c r="DS20" s="28">
        <v>0</v>
      </c>
      <c r="DT20" s="31"/>
      <c r="DU20" s="30"/>
      <c r="DX20" s="28">
        <v>0</v>
      </c>
      <c r="DY20" s="31"/>
      <c r="DZ20" s="30"/>
      <c r="EC20" s="28">
        <v>0</v>
      </c>
      <c r="ED20" s="31"/>
      <c r="EG20" s="28">
        <v>0</v>
      </c>
      <c r="EH20" s="31"/>
      <c r="EI20" s="30"/>
      <c r="EN20" s="28">
        <v>0</v>
      </c>
      <c r="EO20" s="31"/>
      <c r="ER20" s="28">
        <v>0</v>
      </c>
      <c r="ES20" s="31"/>
      <c r="ET20" s="30"/>
      <c r="EX20" s="28">
        <v>0</v>
      </c>
      <c r="EY20" s="31"/>
      <c r="FD20" s="28">
        <v>0</v>
      </c>
      <c r="FE20" s="31"/>
      <c r="FH20" s="28">
        <v>0</v>
      </c>
      <c r="FI20" s="31"/>
      <c r="FJ20" s="30"/>
      <c r="FL20" s="28">
        <v>0</v>
      </c>
      <c r="FM20" s="31"/>
      <c r="FN20" s="30"/>
      <c r="FP20" s="28">
        <v>0</v>
      </c>
      <c r="FQ20" s="31"/>
      <c r="FT20" s="28">
        <v>0</v>
      </c>
      <c r="FU20" s="31"/>
      <c r="FV20" s="30"/>
      <c r="FX20" s="28">
        <v>0</v>
      </c>
      <c r="FY20" s="31"/>
      <c r="FZ20" s="30"/>
      <c r="GB20" s="28">
        <v>0</v>
      </c>
      <c r="GC20" s="31"/>
      <c r="GF20" s="28">
        <v>0</v>
      </c>
      <c r="GG20" s="34"/>
      <c r="GJ20" s="28">
        <v>0</v>
      </c>
      <c r="GK20" s="31"/>
      <c r="GN20" s="28">
        <v>0</v>
      </c>
      <c r="GO20" s="34"/>
      <c r="GR20" s="28">
        <v>0</v>
      </c>
      <c r="GS20" s="31"/>
      <c r="GV20" s="28">
        <v>0</v>
      </c>
      <c r="GW20" s="34"/>
      <c r="GZ20" s="28">
        <v>0</v>
      </c>
      <c r="HA20" s="31"/>
      <c r="HB20" s="33"/>
      <c r="HD20" s="28">
        <v>0</v>
      </c>
      <c r="HE20" s="34"/>
      <c r="HH20" s="28">
        <v>0</v>
      </c>
      <c r="HI20" s="34"/>
      <c r="HL20" s="28">
        <v>0</v>
      </c>
      <c r="HM20" s="34"/>
      <c r="HP20" s="28">
        <v>0</v>
      </c>
      <c r="HQ20" s="31"/>
      <c r="HR20" s="29"/>
      <c r="HT20" s="29"/>
      <c r="HV20" s="28">
        <v>0</v>
      </c>
      <c r="HW20" s="34"/>
      <c r="HX20" s="32">
        <v>0</v>
      </c>
      <c r="HY20" s="32">
        <v>0</v>
      </c>
      <c r="HZ20" s="28">
        <v>0</v>
      </c>
      <c r="IA20" s="34"/>
      <c r="IB20" s="32">
        <v>0</v>
      </c>
      <c r="IC20" s="32">
        <v>0</v>
      </c>
      <c r="ID20" s="28">
        <v>0</v>
      </c>
      <c r="IE20" s="34"/>
      <c r="IF20" s="33">
        <v>0</v>
      </c>
      <c r="IG20" s="32">
        <v>0</v>
      </c>
      <c r="IH20" s="28">
        <v>0</v>
      </c>
      <c r="II20" s="34"/>
    </row>
    <row r="21" spans="1:243" x14ac:dyDescent="0.25">
      <c r="A21" s="28" t="s">
        <v>153</v>
      </c>
      <c r="B21" s="29">
        <v>1</v>
      </c>
      <c r="J21" s="30"/>
      <c r="K21" s="35"/>
      <c r="L21" s="35"/>
      <c r="M21" s="35"/>
      <c r="N21" s="35">
        <f t="shared" si="4"/>
        <v>0</v>
      </c>
      <c r="O21" s="31"/>
      <c r="P21" s="35"/>
      <c r="S21" s="28">
        <v>0</v>
      </c>
      <c r="T21" s="31"/>
      <c r="U21" s="30"/>
      <c r="W21" s="28">
        <v>0</v>
      </c>
      <c r="X21" s="31"/>
      <c r="Y21" s="30"/>
      <c r="AA21" s="28">
        <v>0</v>
      </c>
      <c r="AB21" s="31"/>
      <c r="AE21" s="28">
        <v>0</v>
      </c>
      <c r="AF21" s="31"/>
      <c r="AG21" s="30"/>
      <c r="AI21" s="28">
        <v>0</v>
      </c>
      <c r="AJ21" s="31"/>
      <c r="AM21" s="28">
        <v>0</v>
      </c>
      <c r="AN21" s="31"/>
      <c r="AO21" s="30"/>
      <c r="AQ21" s="28">
        <v>0</v>
      </c>
      <c r="AR21" s="31"/>
      <c r="AS21" s="30"/>
      <c r="AU21" s="28">
        <v>0</v>
      </c>
      <c r="AV21" s="31"/>
      <c r="AY21" s="28">
        <v>0</v>
      </c>
      <c r="AZ21" s="31"/>
      <c r="BA21" s="30"/>
      <c r="BE21" s="28">
        <v>0</v>
      </c>
      <c r="BF21" s="31"/>
      <c r="BG21" s="30"/>
      <c r="BI21" s="28">
        <v>0</v>
      </c>
      <c r="BJ21" s="31"/>
      <c r="BO21" s="28">
        <v>0</v>
      </c>
      <c r="BP21" s="31"/>
      <c r="BS21" s="28">
        <v>0</v>
      </c>
      <c r="BT21" s="31"/>
      <c r="BU21" s="30"/>
      <c r="BW21" s="28">
        <v>0</v>
      </c>
      <c r="BX21" s="31"/>
      <c r="BY21" s="30"/>
      <c r="CA21" s="28">
        <v>0</v>
      </c>
      <c r="CB21" s="31"/>
      <c r="CE21" s="28">
        <v>0</v>
      </c>
      <c r="CF21" s="31"/>
      <c r="CG21" s="30"/>
      <c r="CJ21" s="28">
        <v>0</v>
      </c>
      <c r="CK21" s="31"/>
      <c r="CL21" s="30"/>
      <c r="CP21" s="28">
        <v>0</v>
      </c>
      <c r="CQ21" s="31"/>
      <c r="CR21" s="30"/>
      <c r="CU21" s="28">
        <v>0</v>
      </c>
      <c r="CV21" s="31"/>
      <c r="CY21" s="28">
        <v>0</v>
      </c>
      <c r="CZ21" s="31"/>
      <c r="DA21" s="33"/>
      <c r="DC21" s="28">
        <v>0</v>
      </c>
      <c r="DD21" s="31"/>
      <c r="DE21" s="30"/>
      <c r="DG21" s="28">
        <v>0</v>
      </c>
      <c r="DH21" s="31"/>
      <c r="DI21" s="30"/>
      <c r="DK21" s="28">
        <v>0</v>
      </c>
      <c r="DL21" s="31"/>
      <c r="DO21" s="28">
        <v>0</v>
      </c>
      <c r="DP21" s="31"/>
      <c r="DS21" s="28">
        <v>0</v>
      </c>
      <c r="DT21" s="31"/>
      <c r="DU21" s="30"/>
      <c r="DX21" s="28">
        <v>0</v>
      </c>
      <c r="DY21" s="31"/>
      <c r="DZ21" s="30"/>
      <c r="EC21" s="28">
        <v>0</v>
      </c>
      <c r="ED21" s="31"/>
      <c r="EG21" s="28">
        <v>0</v>
      </c>
      <c r="EH21" s="31"/>
      <c r="EI21" s="30"/>
      <c r="EN21" s="28">
        <v>0</v>
      </c>
      <c r="EO21" s="31"/>
      <c r="ER21" s="28">
        <v>0</v>
      </c>
      <c r="ES21" s="31"/>
      <c r="ET21" s="30"/>
      <c r="EX21" s="28">
        <v>0</v>
      </c>
      <c r="EY21" s="31"/>
      <c r="FD21" s="28">
        <v>0</v>
      </c>
      <c r="FE21" s="31"/>
      <c r="FH21" s="28">
        <v>0</v>
      </c>
      <c r="FI21" s="31"/>
      <c r="FJ21" s="30"/>
      <c r="FL21" s="28">
        <v>0</v>
      </c>
      <c r="FM21" s="31"/>
      <c r="FN21" s="30"/>
      <c r="FP21" s="28">
        <v>0</v>
      </c>
      <c r="FQ21" s="31"/>
      <c r="FT21" s="28">
        <v>0</v>
      </c>
      <c r="FU21" s="31"/>
      <c r="FV21" s="30"/>
      <c r="FX21" s="28">
        <v>0</v>
      </c>
      <c r="FY21" s="31"/>
      <c r="FZ21" s="30"/>
      <c r="GB21" s="28">
        <v>0</v>
      </c>
      <c r="GC21" s="31"/>
      <c r="GF21" s="28">
        <v>0</v>
      </c>
      <c r="GG21" s="34"/>
      <c r="GJ21" s="28">
        <v>0</v>
      </c>
      <c r="GK21" s="31"/>
      <c r="GN21" s="28">
        <v>0</v>
      </c>
      <c r="GO21" s="34"/>
      <c r="GR21" s="28">
        <v>0</v>
      </c>
      <c r="GS21" s="31"/>
      <c r="GV21" s="28">
        <v>0</v>
      </c>
      <c r="GW21" s="34"/>
      <c r="GZ21" s="28">
        <v>0</v>
      </c>
      <c r="HA21" s="31"/>
      <c r="HB21" s="33"/>
      <c r="HD21" s="28">
        <v>0</v>
      </c>
      <c r="HE21" s="34"/>
      <c r="HH21" s="28">
        <v>0</v>
      </c>
      <c r="HI21" s="34"/>
      <c r="HL21" s="28">
        <v>0</v>
      </c>
      <c r="HM21" s="34"/>
      <c r="HP21" s="28">
        <v>0</v>
      </c>
      <c r="HQ21" s="31"/>
      <c r="HR21" s="29"/>
      <c r="HT21" s="29"/>
      <c r="HV21" s="28">
        <v>0</v>
      </c>
      <c r="HW21" s="34"/>
      <c r="HX21" s="32">
        <v>0</v>
      </c>
      <c r="HY21" s="32">
        <v>0</v>
      </c>
      <c r="HZ21" s="28">
        <v>0</v>
      </c>
      <c r="IA21" s="34"/>
      <c r="IB21" s="32">
        <v>0</v>
      </c>
      <c r="IC21" s="32">
        <v>0</v>
      </c>
      <c r="ID21" s="28">
        <v>0</v>
      </c>
      <c r="IE21" s="34"/>
      <c r="IF21" s="33">
        <v>0</v>
      </c>
      <c r="IG21" s="32">
        <v>0</v>
      </c>
      <c r="IH21" s="28">
        <v>0</v>
      </c>
      <c r="II21" s="34"/>
    </row>
    <row r="22" spans="1:243" x14ac:dyDescent="0.25">
      <c r="A22" s="28" t="s">
        <v>154</v>
      </c>
      <c r="B22" s="29">
        <v>1</v>
      </c>
      <c r="J22" s="30"/>
      <c r="K22" s="35"/>
      <c r="L22" s="35"/>
      <c r="M22" s="35"/>
      <c r="N22" s="35">
        <f t="shared" si="4"/>
        <v>0</v>
      </c>
      <c r="O22" s="31"/>
      <c r="P22" s="35"/>
      <c r="S22" s="28">
        <v>0</v>
      </c>
      <c r="T22" s="31"/>
      <c r="U22" s="30"/>
      <c r="W22" s="28">
        <v>0</v>
      </c>
      <c r="X22" s="31"/>
      <c r="Y22" s="30"/>
      <c r="AA22" s="28">
        <v>0</v>
      </c>
      <c r="AB22" s="31"/>
      <c r="AE22" s="28">
        <v>0</v>
      </c>
      <c r="AF22" s="31"/>
      <c r="AG22" s="30"/>
      <c r="AI22" s="28">
        <v>0</v>
      </c>
      <c r="AJ22" s="31"/>
      <c r="AM22" s="28">
        <v>0</v>
      </c>
      <c r="AN22" s="31"/>
      <c r="AO22" s="30"/>
      <c r="AQ22" s="28">
        <v>0</v>
      </c>
      <c r="AR22" s="31"/>
      <c r="AS22" s="30"/>
      <c r="AU22" s="28">
        <v>0</v>
      </c>
      <c r="AV22" s="31"/>
      <c r="AY22" s="28">
        <v>0</v>
      </c>
      <c r="AZ22" s="31"/>
      <c r="BA22" s="30"/>
      <c r="BE22" s="28">
        <v>0</v>
      </c>
      <c r="BF22" s="31"/>
      <c r="BG22" s="30"/>
      <c r="BI22" s="28">
        <v>0</v>
      </c>
      <c r="BJ22" s="31"/>
      <c r="BO22" s="28">
        <v>0</v>
      </c>
      <c r="BP22" s="31"/>
      <c r="BS22" s="28">
        <v>0</v>
      </c>
      <c r="BT22" s="31"/>
      <c r="BU22" s="30"/>
      <c r="BW22" s="28">
        <v>0</v>
      </c>
      <c r="BX22" s="31"/>
      <c r="BY22" s="30"/>
      <c r="CA22" s="28">
        <v>0</v>
      </c>
      <c r="CB22" s="31"/>
      <c r="CE22" s="28">
        <v>0</v>
      </c>
      <c r="CF22" s="31"/>
      <c r="CG22" s="30"/>
      <c r="CJ22" s="28">
        <v>0</v>
      </c>
      <c r="CK22" s="31"/>
      <c r="CL22" s="30"/>
      <c r="CP22" s="28">
        <v>0</v>
      </c>
      <c r="CQ22" s="31"/>
      <c r="CR22" s="30"/>
      <c r="CU22" s="28">
        <v>0</v>
      </c>
      <c r="CV22" s="31"/>
      <c r="CY22" s="28">
        <v>0</v>
      </c>
      <c r="CZ22" s="31"/>
      <c r="DA22" s="33"/>
      <c r="DC22" s="28">
        <v>0</v>
      </c>
      <c r="DD22" s="31"/>
      <c r="DE22" s="30"/>
      <c r="DG22" s="28">
        <v>0</v>
      </c>
      <c r="DH22" s="31"/>
      <c r="DI22" s="30"/>
      <c r="DK22" s="28">
        <v>0</v>
      </c>
      <c r="DL22" s="31"/>
      <c r="DO22" s="28">
        <v>0</v>
      </c>
      <c r="DP22" s="31"/>
      <c r="DS22" s="28">
        <v>0</v>
      </c>
      <c r="DT22" s="31"/>
      <c r="DU22" s="30"/>
      <c r="DX22" s="28">
        <v>0</v>
      </c>
      <c r="DY22" s="31"/>
      <c r="DZ22" s="30"/>
      <c r="EC22" s="28">
        <v>0</v>
      </c>
      <c r="ED22" s="31"/>
      <c r="EG22" s="28">
        <v>0</v>
      </c>
      <c r="EH22" s="31"/>
      <c r="EI22" s="30"/>
      <c r="EN22" s="28">
        <v>0</v>
      </c>
      <c r="EO22" s="31"/>
      <c r="ER22" s="28">
        <v>0</v>
      </c>
      <c r="ES22" s="31"/>
      <c r="ET22" s="30"/>
      <c r="EX22" s="28">
        <v>0</v>
      </c>
      <c r="EY22" s="31"/>
      <c r="FD22" s="28">
        <v>0</v>
      </c>
      <c r="FE22" s="31"/>
      <c r="FH22" s="28">
        <v>0</v>
      </c>
      <c r="FI22" s="31"/>
      <c r="FJ22" s="30"/>
      <c r="FL22" s="28">
        <v>0</v>
      </c>
      <c r="FM22" s="31"/>
      <c r="FN22" s="30"/>
      <c r="FP22" s="28">
        <v>0</v>
      </c>
      <c r="FQ22" s="31"/>
      <c r="FT22" s="28">
        <v>0</v>
      </c>
      <c r="FU22" s="31"/>
      <c r="FV22" s="24">
        <v>22</v>
      </c>
      <c r="FW22">
        <v>20</v>
      </c>
      <c r="FX22" s="28">
        <v>2</v>
      </c>
      <c r="FY22" s="31"/>
      <c r="FZ22" s="24">
        <v>112</v>
      </c>
      <c r="GA22">
        <v>113</v>
      </c>
      <c r="GB22" s="28">
        <v>-1</v>
      </c>
      <c r="GC22" s="31"/>
      <c r="GD22">
        <v>28</v>
      </c>
      <c r="GE22">
        <v>30</v>
      </c>
      <c r="GF22" s="28">
        <v>-2</v>
      </c>
      <c r="GG22" s="34"/>
      <c r="GH22">
        <v>96</v>
      </c>
      <c r="GI22">
        <v>97</v>
      </c>
      <c r="GJ22" s="28">
        <v>-1</v>
      </c>
      <c r="GK22" s="31"/>
      <c r="GN22" s="28">
        <v>0</v>
      </c>
      <c r="GO22" s="34"/>
      <c r="GR22" s="28">
        <v>0</v>
      </c>
      <c r="GS22" s="31"/>
      <c r="GT22">
        <v>39</v>
      </c>
      <c r="GU22">
        <v>40</v>
      </c>
      <c r="GV22" s="28">
        <v>-1</v>
      </c>
      <c r="GW22" s="34"/>
      <c r="GZ22" s="28">
        <v>0</v>
      </c>
      <c r="HA22" s="31"/>
      <c r="HB22" s="24">
        <v>51</v>
      </c>
      <c r="HC22" s="32">
        <v>50</v>
      </c>
      <c r="HD22" s="28">
        <v>1</v>
      </c>
      <c r="HE22" s="34"/>
      <c r="HF22">
        <v>192</v>
      </c>
      <c r="HG22">
        <v>188</v>
      </c>
      <c r="HH22" s="28">
        <v>4</v>
      </c>
      <c r="HI22" s="34"/>
      <c r="HL22" s="28">
        <v>0</v>
      </c>
      <c r="HM22" s="34"/>
      <c r="HP22" s="28">
        <v>0</v>
      </c>
      <c r="HQ22" s="31"/>
      <c r="HR22">
        <v>178</v>
      </c>
      <c r="HS22">
        <v>180</v>
      </c>
      <c r="HT22">
        <v>129</v>
      </c>
      <c r="HU22">
        <v>127</v>
      </c>
      <c r="HV22" s="28">
        <v>0</v>
      </c>
      <c r="HW22" s="34"/>
      <c r="HX22" s="32">
        <v>203.31299999999999</v>
      </c>
      <c r="HY22" s="32">
        <v>200</v>
      </c>
      <c r="HZ22" s="28">
        <v>3.3129999999999882</v>
      </c>
      <c r="IA22" s="34"/>
      <c r="IB22" s="32">
        <v>90.265000000000001</v>
      </c>
      <c r="IC22" s="32">
        <v>91.659599999999998</v>
      </c>
      <c r="ID22" s="28">
        <v>-1.394599999999997</v>
      </c>
      <c r="IE22" s="34"/>
      <c r="IF22" s="33">
        <v>11.211</v>
      </c>
      <c r="IG22" s="32">
        <v>10</v>
      </c>
      <c r="IH22" s="28">
        <v>1.2110000000000001</v>
      </c>
      <c r="II22" s="34"/>
    </row>
    <row r="23" spans="1:243" x14ac:dyDescent="0.25">
      <c r="A23" s="28" t="s">
        <v>155</v>
      </c>
      <c r="B23" s="29">
        <v>1</v>
      </c>
      <c r="J23" s="24">
        <v>137</v>
      </c>
      <c r="K23" s="36">
        <v>140</v>
      </c>
      <c r="L23" s="36">
        <v>141</v>
      </c>
      <c r="M23" s="36">
        <v>142</v>
      </c>
      <c r="N23" s="35">
        <f t="shared" si="4"/>
        <v>-4</v>
      </c>
      <c r="O23" s="31"/>
      <c r="P23" s="35"/>
      <c r="Q23">
        <v>36</v>
      </c>
      <c r="R23">
        <v>36</v>
      </c>
      <c r="S23" s="28">
        <v>0</v>
      </c>
      <c r="T23" s="31"/>
      <c r="U23" s="24">
        <v>138</v>
      </c>
      <c r="V23">
        <v>138</v>
      </c>
      <c r="W23" s="28">
        <v>0</v>
      </c>
      <c r="X23" s="31"/>
      <c r="Y23" s="30"/>
      <c r="AA23" s="28">
        <v>0</v>
      </c>
      <c r="AB23" s="31"/>
      <c r="AC23">
        <v>231</v>
      </c>
      <c r="AD23">
        <v>231</v>
      </c>
      <c r="AE23" s="28">
        <v>0</v>
      </c>
      <c r="AF23" s="31"/>
      <c r="AG23" s="24">
        <v>86</v>
      </c>
      <c r="AH23">
        <v>86</v>
      </c>
      <c r="AI23" s="28">
        <v>0</v>
      </c>
      <c r="AJ23" s="31"/>
      <c r="AK23">
        <v>69</v>
      </c>
      <c r="AL23">
        <v>70</v>
      </c>
      <c r="AM23" s="28">
        <v>-1</v>
      </c>
      <c r="AN23" s="31"/>
      <c r="AO23" s="24">
        <v>29</v>
      </c>
      <c r="AP23">
        <v>28</v>
      </c>
      <c r="AQ23" s="28">
        <v>1</v>
      </c>
      <c r="AR23" s="31"/>
      <c r="AS23" s="24">
        <v>155</v>
      </c>
      <c r="AT23">
        <v>153</v>
      </c>
      <c r="AU23" s="28">
        <v>2</v>
      </c>
      <c r="AV23" s="31"/>
      <c r="AY23" s="28">
        <v>0</v>
      </c>
      <c r="AZ23" s="31"/>
      <c r="BA23" s="30"/>
      <c r="BB23">
        <v>80</v>
      </c>
      <c r="BC23">
        <v>91</v>
      </c>
      <c r="BD23">
        <v>89</v>
      </c>
      <c r="BE23" s="27">
        <v>-78</v>
      </c>
      <c r="BF23" s="31">
        <v>77</v>
      </c>
      <c r="BG23" s="30"/>
      <c r="BI23" s="28">
        <v>0</v>
      </c>
      <c r="BJ23" s="31"/>
      <c r="BM23">
        <v>209</v>
      </c>
      <c r="BN23">
        <v>205</v>
      </c>
      <c r="BO23" s="28">
        <v>4</v>
      </c>
      <c r="BP23" s="31"/>
      <c r="BQ23">
        <v>29</v>
      </c>
      <c r="BR23">
        <v>26</v>
      </c>
      <c r="BS23" s="28">
        <v>3</v>
      </c>
      <c r="BT23" s="31"/>
      <c r="BU23" s="24">
        <v>41</v>
      </c>
      <c r="BV23">
        <v>38</v>
      </c>
      <c r="BW23" s="28">
        <v>3</v>
      </c>
      <c r="BX23" s="31"/>
      <c r="BY23" s="30"/>
      <c r="CA23" s="28">
        <v>0</v>
      </c>
      <c r="CB23" s="31"/>
      <c r="CC23">
        <v>156</v>
      </c>
      <c r="CD23">
        <v>153</v>
      </c>
      <c r="CE23" s="28">
        <v>3</v>
      </c>
      <c r="CF23" s="31"/>
      <c r="CG23" s="24">
        <v>12</v>
      </c>
      <c r="CI23">
        <v>10</v>
      </c>
      <c r="CJ23" s="28">
        <v>2</v>
      </c>
      <c r="CK23" s="31"/>
      <c r="CL23" s="30"/>
      <c r="CN23">
        <v>102</v>
      </c>
      <c r="CO23">
        <v>99</v>
      </c>
      <c r="CP23" s="28">
        <v>3</v>
      </c>
      <c r="CQ23" s="31"/>
      <c r="CR23" s="24">
        <v>41</v>
      </c>
      <c r="CT23">
        <v>40</v>
      </c>
      <c r="CU23" s="28">
        <v>1</v>
      </c>
      <c r="CV23" s="31"/>
      <c r="CW23">
        <v>29</v>
      </c>
      <c r="CX23" s="28">
        <v>27.27200000000002</v>
      </c>
      <c r="CY23" s="28">
        <v>1.72799999999998</v>
      </c>
      <c r="CZ23" s="31"/>
      <c r="DA23" s="24">
        <v>86</v>
      </c>
      <c r="DB23" s="28">
        <v>82.894000000000005</v>
      </c>
      <c r="DC23" s="28">
        <v>3.105999999999995</v>
      </c>
      <c r="DD23" s="31"/>
      <c r="DE23" s="24">
        <v>8</v>
      </c>
      <c r="DF23" s="28">
        <v>7.2147999999999968</v>
      </c>
      <c r="DG23" s="28">
        <v>0.78520000000000323</v>
      </c>
      <c r="DH23" s="31"/>
      <c r="DI23" s="30"/>
      <c r="DK23" s="28">
        <v>0</v>
      </c>
      <c r="DL23" s="31"/>
      <c r="DM23">
        <v>98</v>
      </c>
      <c r="DN23" s="32">
        <v>94.708600000000004</v>
      </c>
      <c r="DO23" s="28">
        <v>3.2913999999999959</v>
      </c>
      <c r="DP23" s="31"/>
      <c r="DS23" s="28">
        <v>0</v>
      </c>
      <c r="DT23" s="31"/>
      <c r="DU23" s="30"/>
      <c r="DX23" s="28">
        <v>0</v>
      </c>
      <c r="DY23" s="31"/>
      <c r="DZ23" s="24">
        <v>4</v>
      </c>
      <c r="EB23">
        <v>5</v>
      </c>
      <c r="EC23" s="28">
        <v>-1</v>
      </c>
      <c r="ED23" s="31"/>
      <c r="EG23" s="28">
        <v>0</v>
      </c>
      <c r="EH23" s="31"/>
      <c r="EI23" s="30"/>
      <c r="EJ23">
        <v>69</v>
      </c>
      <c r="EK23">
        <v>70</v>
      </c>
      <c r="EL23">
        <v>84</v>
      </c>
      <c r="EM23">
        <v>84</v>
      </c>
      <c r="EN23" s="28">
        <v>-1</v>
      </c>
      <c r="EO23" s="31"/>
      <c r="EP23">
        <v>29</v>
      </c>
      <c r="EQ23" s="32">
        <v>26.68559999999999</v>
      </c>
      <c r="ER23" s="28">
        <v>2.3144000000000098</v>
      </c>
      <c r="ES23" s="31"/>
      <c r="ET23" s="30"/>
      <c r="EX23" s="28">
        <v>0</v>
      </c>
      <c r="EY23" s="31"/>
      <c r="FD23" s="28">
        <v>0</v>
      </c>
      <c r="FE23" s="31"/>
      <c r="FF23">
        <v>150</v>
      </c>
      <c r="FG23" s="32">
        <v>150</v>
      </c>
      <c r="FH23" s="28">
        <v>0</v>
      </c>
      <c r="FI23" s="31"/>
      <c r="FJ23" s="30"/>
      <c r="FL23" s="28">
        <v>0</v>
      </c>
      <c r="FM23" s="31"/>
      <c r="FN23" s="24">
        <v>104</v>
      </c>
      <c r="FO23">
        <v>100</v>
      </c>
      <c r="FP23" s="28">
        <v>4</v>
      </c>
      <c r="FQ23" s="31"/>
      <c r="FR23">
        <v>12</v>
      </c>
      <c r="FS23">
        <v>10</v>
      </c>
      <c r="FT23" s="28">
        <v>2</v>
      </c>
      <c r="FU23" s="31"/>
      <c r="FV23" s="30"/>
      <c r="FX23" s="28">
        <v>0</v>
      </c>
      <c r="FY23" s="31"/>
      <c r="FZ23" s="24">
        <v>32</v>
      </c>
      <c r="GA23">
        <v>32</v>
      </c>
      <c r="GB23" s="28">
        <v>0</v>
      </c>
      <c r="GC23" s="31"/>
      <c r="GD23">
        <v>90</v>
      </c>
      <c r="GE23">
        <v>90</v>
      </c>
      <c r="GF23" s="28">
        <v>0</v>
      </c>
      <c r="GG23" s="34"/>
      <c r="GH23">
        <v>73</v>
      </c>
      <c r="GI23">
        <v>73</v>
      </c>
      <c r="GJ23" s="28">
        <v>0</v>
      </c>
      <c r="GK23" s="31"/>
      <c r="GN23" s="28">
        <v>0</v>
      </c>
      <c r="GO23" s="34"/>
      <c r="GR23" s="28">
        <v>0</v>
      </c>
      <c r="GS23" s="31"/>
      <c r="GT23">
        <v>28</v>
      </c>
      <c r="GU23">
        <v>30</v>
      </c>
      <c r="GV23" s="28">
        <v>-2</v>
      </c>
      <c r="GW23" s="34"/>
      <c r="GX23">
        <v>94</v>
      </c>
      <c r="GY23" s="32">
        <v>90.531999999999996</v>
      </c>
      <c r="GZ23" s="28">
        <v>3.468000000000004</v>
      </c>
      <c r="HA23" s="31"/>
      <c r="HB23" s="33"/>
      <c r="HD23" s="28">
        <v>0</v>
      </c>
      <c r="HE23" s="34"/>
      <c r="HF23">
        <v>37</v>
      </c>
      <c r="HG23">
        <v>36</v>
      </c>
      <c r="HH23" s="28">
        <v>1</v>
      </c>
      <c r="HI23" s="34"/>
      <c r="HL23" s="28">
        <v>0</v>
      </c>
      <c r="HM23" s="34"/>
      <c r="HP23" s="28">
        <v>0</v>
      </c>
      <c r="HQ23" s="31"/>
      <c r="HR23">
        <v>100</v>
      </c>
      <c r="HS23">
        <v>100</v>
      </c>
      <c r="HT23">
        <v>60</v>
      </c>
      <c r="HU23">
        <v>60</v>
      </c>
      <c r="HV23" s="28">
        <v>0</v>
      </c>
      <c r="HW23" s="34"/>
      <c r="HX23" s="32">
        <v>40.777000000000001</v>
      </c>
      <c r="HY23" s="32">
        <v>40</v>
      </c>
      <c r="HZ23" s="28">
        <v>0.77700000000000102</v>
      </c>
      <c r="IA23" s="34"/>
      <c r="IB23" s="32">
        <v>44.72</v>
      </c>
      <c r="IC23" s="32">
        <v>42.702800000000011</v>
      </c>
      <c r="ID23" s="28">
        <v>2.0171999999999879</v>
      </c>
      <c r="IE23" s="34"/>
      <c r="IF23" s="33">
        <v>0</v>
      </c>
      <c r="IG23" s="32">
        <v>0</v>
      </c>
      <c r="IH23" s="28">
        <v>0</v>
      </c>
      <c r="II23" s="34"/>
    </row>
    <row r="24" spans="1:243" x14ac:dyDescent="0.25">
      <c r="A24" s="28" t="s">
        <v>156</v>
      </c>
      <c r="B24" s="29">
        <v>0.25</v>
      </c>
      <c r="F24">
        <v>56</v>
      </c>
      <c r="G24">
        <v>59</v>
      </c>
      <c r="J24" s="30"/>
      <c r="K24" s="35"/>
      <c r="L24" s="35"/>
      <c r="M24" s="35"/>
      <c r="N24" s="35">
        <f t="shared" si="4"/>
        <v>0</v>
      </c>
      <c r="O24" s="31"/>
      <c r="P24" s="35"/>
      <c r="Q24">
        <v>112</v>
      </c>
      <c r="R24">
        <v>112</v>
      </c>
      <c r="S24" s="28">
        <v>0</v>
      </c>
      <c r="T24" s="31"/>
      <c r="U24" s="30"/>
      <c r="W24" s="28">
        <v>0</v>
      </c>
      <c r="X24" s="31"/>
      <c r="Y24" s="24">
        <v>80</v>
      </c>
      <c r="Z24">
        <v>80</v>
      </c>
      <c r="AA24" s="28">
        <v>0</v>
      </c>
      <c r="AB24" s="31"/>
      <c r="AC24">
        <v>16</v>
      </c>
      <c r="AD24">
        <v>16</v>
      </c>
      <c r="AE24" s="28">
        <v>0</v>
      </c>
      <c r="AF24" s="31"/>
      <c r="AG24" s="24">
        <v>40</v>
      </c>
      <c r="AH24">
        <v>50</v>
      </c>
      <c r="AI24" s="27">
        <v>-10</v>
      </c>
      <c r="AJ24" s="31">
        <v>2.5</v>
      </c>
      <c r="AK24">
        <v>8</v>
      </c>
      <c r="AL24">
        <v>8</v>
      </c>
      <c r="AM24" s="28">
        <v>0</v>
      </c>
      <c r="AN24" s="31"/>
      <c r="AO24" s="24">
        <v>24</v>
      </c>
      <c r="AP24">
        <v>29</v>
      </c>
      <c r="AQ24" s="28">
        <v>-5</v>
      </c>
      <c r="AR24" s="31"/>
      <c r="AS24" s="24">
        <v>8</v>
      </c>
      <c r="AT24">
        <v>8</v>
      </c>
      <c r="AU24" s="28">
        <v>0</v>
      </c>
      <c r="AV24" s="31"/>
      <c r="AY24" s="28">
        <v>0</v>
      </c>
      <c r="AZ24" s="31"/>
      <c r="BA24" s="30"/>
      <c r="BC24">
        <v>24</v>
      </c>
      <c r="BD24">
        <v>31</v>
      </c>
      <c r="BE24" s="28">
        <v>-7</v>
      </c>
      <c r="BF24" s="31"/>
      <c r="BG24" s="30"/>
      <c r="BI24" s="28">
        <v>0</v>
      </c>
      <c r="BJ24" s="31"/>
      <c r="BM24">
        <v>16</v>
      </c>
      <c r="BN24">
        <v>17</v>
      </c>
      <c r="BO24" s="28">
        <v>-1</v>
      </c>
      <c r="BP24" s="31"/>
      <c r="BQ24">
        <v>8</v>
      </c>
      <c r="BR24">
        <v>9</v>
      </c>
      <c r="BS24" s="28">
        <v>-1</v>
      </c>
      <c r="BT24" s="31"/>
      <c r="BU24" s="24">
        <v>8</v>
      </c>
      <c r="BV24">
        <v>13</v>
      </c>
      <c r="BW24" s="28">
        <v>-5</v>
      </c>
      <c r="BX24" s="31"/>
      <c r="BY24" s="24">
        <v>16</v>
      </c>
      <c r="BZ24">
        <v>21</v>
      </c>
      <c r="CA24" s="28">
        <v>-5</v>
      </c>
      <c r="CB24" s="31"/>
      <c r="CE24" s="28">
        <v>0</v>
      </c>
      <c r="CF24" s="31"/>
      <c r="CG24" s="24">
        <v>8</v>
      </c>
      <c r="CI24">
        <v>8</v>
      </c>
      <c r="CJ24" s="28">
        <v>0</v>
      </c>
      <c r="CK24" s="31"/>
      <c r="CL24" s="30"/>
      <c r="CN24">
        <v>8</v>
      </c>
      <c r="CO24">
        <v>6</v>
      </c>
      <c r="CP24" s="28">
        <v>2</v>
      </c>
      <c r="CQ24" s="31"/>
      <c r="CR24" s="24">
        <v>16</v>
      </c>
      <c r="CT24">
        <v>18</v>
      </c>
      <c r="CU24" s="28">
        <v>-2</v>
      </c>
      <c r="CV24" s="31"/>
      <c r="CY24" s="28">
        <v>0</v>
      </c>
      <c r="CZ24" s="31"/>
      <c r="DA24" s="33"/>
      <c r="DC24" s="28">
        <v>0</v>
      </c>
      <c r="DD24" s="31"/>
      <c r="DE24" s="24">
        <v>32</v>
      </c>
      <c r="DF24" s="28">
        <v>30.6</v>
      </c>
      <c r="DG24" s="28">
        <v>1.399999999999999</v>
      </c>
      <c r="DH24" s="31"/>
      <c r="DI24" s="30"/>
      <c r="DK24" s="28">
        <v>0</v>
      </c>
      <c r="DL24" s="31"/>
      <c r="DM24">
        <v>16</v>
      </c>
      <c r="DN24" s="32">
        <v>14</v>
      </c>
      <c r="DO24" s="28">
        <v>2</v>
      </c>
      <c r="DP24" s="31"/>
      <c r="DR24">
        <v>7</v>
      </c>
      <c r="DS24" s="27">
        <v>-7</v>
      </c>
      <c r="DT24" s="31">
        <v>1.75</v>
      </c>
      <c r="DU24" s="24">
        <v>8</v>
      </c>
      <c r="DW24">
        <v>8</v>
      </c>
      <c r="DX24" s="28">
        <v>0</v>
      </c>
      <c r="DY24" s="31"/>
      <c r="DZ24" s="24">
        <v>8</v>
      </c>
      <c r="EB24">
        <v>6</v>
      </c>
      <c r="EC24" s="28">
        <v>2</v>
      </c>
      <c r="ED24" s="31"/>
      <c r="EG24" s="28">
        <v>0</v>
      </c>
      <c r="EH24" s="31"/>
      <c r="EI24" s="30"/>
      <c r="EL24">
        <v>8</v>
      </c>
      <c r="EM24">
        <v>7</v>
      </c>
      <c r="EN24" s="28">
        <v>1</v>
      </c>
      <c r="EO24" s="31"/>
      <c r="EP24">
        <v>16</v>
      </c>
      <c r="EQ24" s="32">
        <v>17</v>
      </c>
      <c r="ER24" s="28">
        <v>-1</v>
      </c>
      <c r="ES24" s="31"/>
      <c r="ET24" s="30"/>
      <c r="EX24" s="28">
        <v>0</v>
      </c>
      <c r="EY24" s="31"/>
      <c r="FD24" s="28">
        <v>0</v>
      </c>
      <c r="FE24" s="31"/>
      <c r="FH24" s="28">
        <v>0</v>
      </c>
      <c r="FI24" s="31"/>
      <c r="FJ24" s="24">
        <v>8</v>
      </c>
      <c r="FK24">
        <v>8</v>
      </c>
      <c r="FL24" s="28">
        <v>0</v>
      </c>
      <c r="FM24" s="31"/>
      <c r="FN24" s="30"/>
      <c r="FP24" s="28">
        <v>0</v>
      </c>
      <c r="FQ24" s="31"/>
      <c r="FR24">
        <v>24</v>
      </c>
      <c r="FS24">
        <v>24</v>
      </c>
      <c r="FT24" s="28">
        <v>0</v>
      </c>
      <c r="FU24" s="31"/>
      <c r="FV24" s="24">
        <v>16</v>
      </c>
      <c r="FW24">
        <v>16</v>
      </c>
      <c r="FX24" s="28">
        <v>0</v>
      </c>
      <c r="FY24" s="31"/>
      <c r="FZ24" s="24">
        <v>8</v>
      </c>
      <c r="GA24">
        <v>8</v>
      </c>
      <c r="GB24" s="28">
        <v>0</v>
      </c>
      <c r="GC24" s="31"/>
      <c r="GF24" s="28">
        <v>0</v>
      </c>
      <c r="GG24" s="34"/>
      <c r="GH24">
        <v>16</v>
      </c>
      <c r="GI24">
        <v>14</v>
      </c>
      <c r="GJ24" s="28">
        <v>2</v>
      </c>
      <c r="GK24" s="31"/>
      <c r="GN24" s="28">
        <v>0</v>
      </c>
      <c r="GO24" s="34"/>
      <c r="GR24" s="28">
        <v>0</v>
      </c>
      <c r="GS24" s="31"/>
      <c r="GT24">
        <v>8</v>
      </c>
      <c r="GU24">
        <v>8</v>
      </c>
      <c r="GV24" s="28">
        <v>0</v>
      </c>
      <c r="GW24" s="34"/>
      <c r="GZ24" s="28">
        <v>0</v>
      </c>
      <c r="HA24" s="31"/>
      <c r="HB24" s="24">
        <v>8</v>
      </c>
      <c r="HC24" s="32">
        <v>6</v>
      </c>
      <c r="HD24" s="28">
        <v>2</v>
      </c>
      <c r="HE24" s="34"/>
      <c r="HH24" s="28">
        <v>0</v>
      </c>
      <c r="HI24" s="34"/>
      <c r="HJ24">
        <v>16</v>
      </c>
      <c r="HK24">
        <v>16</v>
      </c>
      <c r="HL24" s="28">
        <v>0</v>
      </c>
      <c r="HM24" s="34"/>
      <c r="HP24" s="28">
        <v>0</v>
      </c>
      <c r="HQ24" s="31"/>
      <c r="HR24" s="29"/>
      <c r="HT24">
        <v>48</v>
      </c>
      <c r="HU24">
        <v>50</v>
      </c>
      <c r="HV24" s="28">
        <v>-2</v>
      </c>
      <c r="HW24" s="34"/>
      <c r="HX24" s="32">
        <v>0</v>
      </c>
      <c r="HY24" s="32">
        <v>0</v>
      </c>
      <c r="HZ24" s="28">
        <v>0</v>
      </c>
      <c r="IA24" s="34"/>
      <c r="IB24" s="32">
        <v>0</v>
      </c>
      <c r="IC24" s="32">
        <v>0</v>
      </c>
      <c r="ID24" s="28">
        <v>0</v>
      </c>
      <c r="IE24" s="34"/>
      <c r="IF24" s="33">
        <v>0</v>
      </c>
      <c r="IG24" s="32">
        <v>0</v>
      </c>
      <c r="IH24" s="28">
        <v>0</v>
      </c>
      <c r="II24" s="34"/>
    </row>
    <row r="25" spans="1:243" x14ac:dyDescent="0.25">
      <c r="A25" s="28" t="s">
        <v>157</v>
      </c>
      <c r="B25" s="29">
        <v>0.4</v>
      </c>
      <c r="F25">
        <v>78</v>
      </c>
      <c r="G25">
        <v>83</v>
      </c>
      <c r="J25" s="30"/>
      <c r="K25" s="35"/>
      <c r="L25" s="35"/>
      <c r="M25" s="35"/>
      <c r="N25" s="35">
        <f t="shared" si="4"/>
        <v>0</v>
      </c>
      <c r="O25" s="31"/>
      <c r="P25" s="35"/>
      <c r="Q25">
        <v>132</v>
      </c>
      <c r="R25">
        <v>133</v>
      </c>
      <c r="S25" s="28">
        <v>-1</v>
      </c>
      <c r="T25" s="31"/>
      <c r="U25" s="30"/>
      <c r="W25" s="28">
        <v>0</v>
      </c>
      <c r="X25" s="31"/>
      <c r="Y25" s="24">
        <v>120</v>
      </c>
      <c r="Z25">
        <v>120</v>
      </c>
      <c r="AA25" s="28">
        <v>0</v>
      </c>
      <c r="AB25" s="31"/>
      <c r="AC25">
        <v>12</v>
      </c>
      <c r="AD25">
        <v>12</v>
      </c>
      <c r="AE25" s="28">
        <v>0</v>
      </c>
      <c r="AF25" s="31"/>
      <c r="AG25" s="24">
        <v>72</v>
      </c>
      <c r="AH25">
        <v>75</v>
      </c>
      <c r="AI25" s="28">
        <v>-3</v>
      </c>
      <c r="AJ25" s="31"/>
      <c r="AK25">
        <v>36</v>
      </c>
      <c r="AL25">
        <v>36</v>
      </c>
      <c r="AM25" s="28">
        <v>0</v>
      </c>
      <c r="AN25" s="31"/>
      <c r="AO25" s="24">
        <v>36</v>
      </c>
      <c r="AP25">
        <v>36</v>
      </c>
      <c r="AQ25" s="28">
        <v>0</v>
      </c>
      <c r="AR25" s="31"/>
      <c r="AS25" s="30"/>
      <c r="AT25">
        <v>46</v>
      </c>
      <c r="AU25" s="27">
        <v>-46</v>
      </c>
      <c r="AV25" s="31">
        <v>18.399999999999999</v>
      </c>
      <c r="AY25" s="28">
        <v>0</v>
      </c>
      <c r="AZ25" s="31"/>
      <c r="BA25" s="30"/>
      <c r="BB25">
        <v>24</v>
      </c>
      <c r="BC25">
        <v>24</v>
      </c>
      <c r="BD25">
        <v>25</v>
      </c>
      <c r="BE25" s="27">
        <v>-25</v>
      </c>
      <c r="BF25" s="31">
        <v>24.6</v>
      </c>
      <c r="BG25" s="24">
        <v>42</v>
      </c>
      <c r="BH25">
        <v>41</v>
      </c>
      <c r="BI25" s="28">
        <v>1</v>
      </c>
      <c r="BJ25" s="31"/>
      <c r="BM25">
        <v>48</v>
      </c>
      <c r="BN25">
        <v>46</v>
      </c>
      <c r="BO25" s="28">
        <v>2</v>
      </c>
      <c r="BP25" s="31"/>
      <c r="BQ25">
        <v>36</v>
      </c>
      <c r="BR25">
        <v>36</v>
      </c>
      <c r="BS25" s="28">
        <v>0</v>
      </c>
      <c r="BT25" s="31"/>
      <c r="BU25" s="30"/>
      <c r="BW25" s="28">
        <v>0</v>
      </c>
      <c r="BX25" s="31"/>
      <c r="BY25" s="24">
        <v>72</v>
      </c>
      <c r="BZ25">
        <v>71</v>
      </c>
      <c r="CA25" s="28">
        <v>1</v>
      </c>
      <c r="CB25" s="31"/>
      <c r="CE25" s="28">
        <v>0</v>
      </c>
      <c r="CF25" s="31"/>
      <c r="CG25" s="30"/>
      <c r="CJ25" s="28">
        <v>0</v>
      </c>
      <c r="CK25" s="31"/>
      <c r="CL25" s="30"/>
      <c r="CN25">
        <v>78</v>
      </c>
      <c r="CO25">
        <v>76</v>
      </c>
      <c r="CP25" s="28">
        <v>2</v>
      </c>
      <c r="CQ25" s="31"/>
      <c r="CR25" s="24">
        <v>6</v>
      </c>
      <c r="CT25">
        <v>6</v>
      </c>
      <c r="CU25" s="28">
        <v>0</v>
      </c>
      <c r="CV25" s="31"/>
      <c r="CW25">
        <v>42</v>
      </c>
      <c r="CX25" s="28">
        <v>40.400000000000013</v>
      </c>
      <c r="CY25" s="28">
        <v>1.599999999999987</v>
      </c>
      <c r="CZ25" s="31"/>
      <c r="DA25" s="24">
        <v>12</v>
      </c>
      <c r="DB25" s="28">
        <v>14</v>
      </c>
      <c r="DC25" s="28">
        <v>-2</v>
      </c>
      <c r="DD25" s="31"/>
      <c r="DE25" s="30"/>
      <c r="DG25" s="28">
        <v>0</v>
      </c>
      <c r="DH25" s="31"/>
      <c r="DI25" s="24">
        <v>30</v>
      </c>
      <c r="DJ25">
        <v>28</v>
      </c>
      <c r="DK25" s="28">
        <v>2</v>
      </c>
      <c r="DL25" s="31"/>
      <c r="DO25" s="28">
        <v>0</v>
      </c>
      <c r="DP25" s="31"/>
      <c r="DS25" s="28">
        <v>0</v>
      </c>
      <c r="DT25" s="31"/>
      <c r="DU25" s="30"/>
      <c r="DX25" s="28">
        <v>0</v>
      </c>
      <c r="DY25" s="31"/>
      <c r="DZ25" s="30"/>
      <c r="EC25" s="28">
        <v>0</v>
      </c>
      <c r="ED25" s="31"/>
      <c r="EE25">
        <v>18</v>
      </c>
      <c r="EF25" s="32">
        <v>15.60000000000001</v>
      </c>
      <c r="EG25" s="28">
        <v>2.3999999999999901</v>
      </c>
      <c r="EH25" s="31"/>
      <c r="EI25" s="30"/>
      <c r="EL25">
        <v>42</v>
      </c>
      <c r="EM25">
        <v>41</v>
      </c>
      <c r="EN25" s="28">
        <v>1</v>
      </c>
      <c r="EO25" s="31"/>
      <c r="EP25">
        <v>42</v>
      </c>
      <c r="EQ25" s="32">
        <v>40</v>
      </c>
      <c r="ER25" s="28">
        <v>2</v>
      </c>
      <c r="ES25" s="31"/>
      <c r="ET25" s="30"/>
      <c r="EV25">
        <v>30</v>
      </c>
      <c r="EW25">
        <v>32</v>
      </c>
      <c r="EX25" s="28">
        <v>-2</v>
      </c>
      <c r="EY25" s="31"/>
      <c r="FD25" s="28">
        <v>0</v>
      </c>
      <c r="FE25" s="31"/>
      <c r="FF25">
        <v>12</v>
      </c>
      <c r="FG25" s="32">
        <v>10</v>
      </c>
      <c r="FH25" s="28">
        <v>2</v>
      </c>
      <c r="FI25" s="31"/>
      <c r="FJ25" s="24">
        <v>42</v>
      </c>
      <c r="FK25">
        <v>40</v>
      </c>
      <c r="FL25" s="28">
        <v>2</v>
      </c>
      <c r="FM25" s="31"/>
      <c r="FN25" s="24">
        <v>12</v>
      </c>
      <c r="FO25">
        <v>12</v>
      </c>
      <c r="FP25" s="28">
        <v>0</v>
      </c>
      <c r="FQ25" s="31"/>
      <c r="FR25">
        <v>18</v>
      </c>
      <c r="FS25">
        <v>18</v>
      </c>
      <c r="FT25" s="28">
        <v>0</v>
      </c>
      <c r="FU25" s="31"/>
      <c r="FV25" s="24">
        <v>18</v>
      </c>
      <c r="FW25">
        <v>19</v>
      </c>
      <c r="FX25" s="28">
        <v>-1</v>
      </c>
      <c r="FY25" s="31"/>
      <c r="FZ25" s="30"/>
      <c r="GB25" s="28">
        <v>0</v>
      </c>
      <c r="GC25" s="31"/>
      <c r="GF25" s="28">
        <v>0</v>
      </c>
      <c r="GG25" s="34"/>
      <c r="GH25">
        <v>12</v>
      </c>
      <c r="GI25">
        <v>13</v>
      </c>
      <c r="GJ25" s="28">
        <v>-1</v>
      </c>
      <c r="GK25" s="31"/>
      <c r="GN25" s="28">
        <v>0</v>
      </c>
      <c r="GO25" s="34"/>
      <c r="GR25" s="28">
        <v>0</v>
      </c>
      <c r="GS25" s="31"/>
      <c r="GT25">
        <v>18</v>
      </c>
      <c r="GU25">
        <v>20</v>
      </c>
      <c r="GV25" s="28">
        <v>-2</v>
      </c>
      <c r="GW25" s="34"/>
      <c r="GX25">
        <v>48</v>
      </c>
      <c r="GY25" s="32">
        <v>46</v>
      </c>
      <c r="GZ25" s="28">
        <v>2</v>
      </c>
      <c r="HA25" s="31"/>
      <c r="HB25" s="33"/>
      <c r="HD25" s="28">
        <v>0</v>
      </c>
      <c r="HE25" s="34"/>
      <c r="HH25" s="28">
        <v>0</v>
      </c>
      <c r="HI25" s="34"/>
      <c r="HL25" s="28">
        <v>0</v>
      </c>
      <c r="HM25" s="34"/>
      <c r="HP25" s="28">
        <v>0</v>
      </c>
      <c r="HQ25" s="31"/>
      <c r="HR25">
        <v>78</v>
      </c>
      <c r="HS25">
        <v>80</v>
      </c>
      <c r="HT25">
        <v>72</v>
      </c>
      <c r="HU25">
        <v>70</v>
      </c>
      <c r="HV25" s="28">
        <v>0</v>
      </c>
      <c r="HW25" s="34"/>
      <c r="HX25" s="32">
        <v>78</v>
      </c>
      <c r="HY25" s="32">
        <v>80</v>
      </c>
      <c r="HZ25" s="28">
        <v>-2</v>
      </c>
      <c r="IA25" s="34"/>
      <c r="IB25" s="32">
        <v>0</v>
      </c>
      <c r="IC25" s="32">
        <v>0</v>
      </c>
      <c r="ID25" s="28">
        <v>0</v>
      </c>
      <c r="IE25" s="34"/>
      <c r="IF25" s="33">
        <v>0</v>
      </c>
      <c r="IG25" s="32">
        <v>0</v>
      </c>
      <c r="IH25" s="28">
        <v>0</v>
      </c>
      <c r="II25" s="34"/>
    </row>
    <row r="26" spans="1:243" x14ac:dyDescent="0.25">
      <c r="A26" s="28" t="s">
        <v>158</v>
      </c>
      <c r="B26" s="29">
        <v>1</v>
      </c>
      <c r="F26">
        <v>10</v>
      </c>
      <c r="G26">
        <v>12</v>
      </c>
      <c r="J26" s="24">
        <v>101</v>
      </c>
      <c r="K26" s="36">
        <v>100</v>
      </c>
      <c r="L26" s="36">
        <v>71</v>
      </c>
      <c r="M26" s="36">
        <v>72</v>
      </c>
      <c r="N26" s="35">
        <f t="shared" si="4"/>
        <v>0</v>
      </c>
      <c r="O26" s="31"/>
      <c r="P26" s="35"/>
      <c r="Q26">
        <v>71</v>
      </c>
      <c r="R26">
        <v>66</v>
      </c>
      <c r="S26" s="28">
        <v>5</v>
      </c>
      <c r="T26" s="31"/>
      <c r="U26" s="24">
        <v>409</v>
      </c>
      <c r="V26">
        <v>396</v>
      </c>
      <c r="W26" s="28">
        <v>13</v>
      </c>
      <c r="X26" s="31"/>
      <c r="Y26" s="24">
        <v>106</v>
      </c>
      <c r="Z26">
        <v>102</v>
      </c>
      <c r="AA26" s="28">
        <v>4</v>
      </c>
      <c r="AB26" s="31"/>
      <c r="AC26">
        <v>224</v>
      </c>
      <c r="AD26">
        <v>215</v>
      </c>
      <c r="AE26" s="28">
        <v>9</v>
      </c>
      <c r="AF26" s="31"/>
      <c r="AG26" s="24">
        <v>228</v>
      </c>
      <c r="AH26">
        <v>219</v>
      </c>
      <c r="AI26" s="28">
        <v>9</v>
      </c>
      <c r="AJ26" s="31"/>
      <c r="AK26">
        <v>186</v>
      </c>
      <c r="AL26">
        <v>178</v>
      </c>
      <c r="AM26" s="28">
        <v>8</v>
      </c>
      <c r="AN26" s="31"/>
      <c r="AO26" s="24">
        <v>166</v>
      </c>
      <c r="AP26">
        <v>160</v>
      </c>
      <c r="AQ26" s="28">
        <v>6</v>
      </c>
      <c r="AR26" s="31"/>
      <c r="AS26" s="24">
        <v>205</v>
      </c>
      <c r="AT26">
        <v>200</v>
      </c>
      <c r="AU26" s="28">
        <v>5</v>
      </c>
      <c r="AV26" s="31"/>
      <c r="AY26" s="28">
        <v>0</v>
      </c>
      <c r="AZ26" s="31"/>
      <c r="BA26" s="24">
        <v>130</v>
      </c>
      <c r="BB26">
        <v>130</v>
      </c>
      <c r="BC26">
        <v>136</v>
      </c>
      <c r="BD26">
        <v>131</v>
      </c>
      <c r="BE26" s="28">
        <v>5</v>
      </c>
      <c r="BF26" s="31"/>
      <c r="BG26" s="30"/>
      <c r="BI26" s="28">
        <v>0</v>
      </c>
      <c r="BJ26" s="31"/>
      <c r="BK26">
        <v>106</v>
      </c>
      <c r="BL26">
        <v>100</v>
      </c>
      <c r="BM26">
        <v>185</v>
      </c>
      <c r="BN26">
        <v>180</v>
      </c>
      <c r="BO26" s="28">
        <v>11</v>
      </c>
      <c r="BP26" s="31"/>
      <c r="BQ26">
        <v>60</v>
      </c>
      <c r="BR26">
        <v>59</v>
      </c>
      <c r="BS26" s="28">
        <v>1</v>
      </c>
      <c r="BT26" s="31"/>
      <c r="BU26" s="30"/>
      <c r="BW26" s="28">
        <v>0</v>
      </c>
      <c r="BX26" s="31"/>
      <c r="BY26" s="24">
        <v>36</v>
      </c>
      <c r="BZ26">
        <v>34</v>
      </c>
      <c r="CA26" s="28">
        <v>2</v>
      </c>
      <c r="CB26" s="31"/>
      <c r="CC26">
        <v>241</v>
      </c>
      <c r="CD26">
        <v>227</v>
      </c>
      <c r="CE26" s="28">
        <v>14</v>
      </c>
      <c r="CF26" s="31"/>
      <c r="CG26" s="24">
        <v>25</v>
      </c>
      <c r="CI26">
        <v>22</v>
      </c>
      <c r="CJ26" s="28">
        <v>3</v>
      </c>
      <c r="CK26" s="31"/>
      <c r="CL26" s="30"/>
      <c r="CN26">
        <v>153</v>
      </c>
      <c r="CO26">
        <v>146</v>
      </c>
      <c r="CP26" s="28">
        <v>7</v>
      </c>
      <c r="CQ26" s="31"/>
      <c r="CR26" s="24">
        <v>123</v>
      </c>
      <c r="CT26">
        <v>116</v>
      </c>
      <c r="CU26" s="28">
        <v>7</v>
      </c>
      <c r="CV26" s="31"/>
      <c r="CW26">
        <v>66</v>
      </c>
      <c r="CX26" s="28">
        <v>61.462600000000009</v>
      </c>
      <c r="CY26" s="28">
        <v>4.537399999999991</v>
      </c>
      <c r="CZ26" s="31"/>
      <c r="DA26" s="24">
        <v>35</v>
      </c>
      <c r="DB26" s="28">
        <v>35.497</v>
      </c>
      <c r="DC26" s="28">
        <v>-0.49699999999999989</v>
      </c>
      <c r="DD26" s="31"/>
      <c r="DE26" s="24">
        <v>30</v>
      </c>
      <c r="DF26" s="28">
        <v>28.81379999999999</v>
      </c>
      <c r="DG26" s="28">
        <v>1.1862000000000099</v>
      </c>
      <c r="DH26" s="31"/>
      <c r="DI26" s="24">
        <v>55</v>
      </c>
      <c r="DJ26">
        <v>51</v>
      </c>
      <c r="DK26" s="28">
        <v>4</v>
      </c>
      <c r="DL26" s="31"/>
      <c r="DM26">
        <v>85</v>
      </c>
      <c r="DN26" s="32">
        <v>82.756999999999977</v>
      </c>
      <c r="DO26" s="28">
        <v>2.243000000000023</v>
      </c>
      <c r="DP26" s="31"/>
      <c r="DQ26">
        <v>55</v>
      </c>
      <c r="DR26">
        <v>51</v>
      </c>
      <c r="DS26" s="28">
        <v>4</v>
      </c>
      <c r="DT26" s="31"/>
      <c r="DU26" s="24">
        <v>25</v>
      </c>
      <c r="DW26">
        <v>23</v>
      </c>
      <c r="DX26" s="28">
        <v>2</v>
      </c>
      <c r="DY26" s="31"/>
      <c r="DZ26" s="24">
        <v>175</v>
      </c>
      <c r="EB26">
        <v>171</v>
      </c>
      <c r="EC26" s="28">
        <v>4</v>
      </c>
      <c r="ED26" s="31"/>
      <c r="EG26" s="28">
        <v>0</v>
      </c>
      <c r="EH26" s="31"/>
      <c r="EI26" s="30"/>
      <c r="EJ26">
        <v>20</v>
      </c>
      <c r="EK26">
        <v>20</v>
      </c>
      <c r="EL26">
        <v>36</v>
      </c>
      <c r="EM26">
        <v>33</v>
      </c>
      <c r="EN26" s="28">
        <v>3</v>
      </c>
      <c r="EO26" s="31"/>
      <c r="EP26">
        <v>106</v>
      </c>
      <c r="EQ26" s="32">
        <v>100.9842</v>
      </c>
      <c r="ER26" s="28">
        <v>5.0157999999999987</v>
      </c>
      <c r="ES26" s="31"/>
      <c r="ET26" s="24">
        <v>107</v>
      </c>
      <c r="EU26">
        <v>100</v>
      </c>
      <c r="EV26">
        <v>122</v>
      </c>
      <c r="EW26">
        <v>118</v>
      </c>
      <c r="EX26" s="28">
        <v>11</v>
      </c>
      <c r="EY26" s="31"/>
      <c r="FD26" s="28">
        <v>0</v>
      </c>
      <c r="FE26" s="31"/>
      <c r="FF26">
        <v>112</v>
      </c>
      <c r="FG26" s="32">
        <v>108.3522</v>
      </c>
      <c r="FH26" s="28">
        <v>3.6478000000000042</v>
      </c>
      <c r="FI26" s="31"/>
      <c r="FJ26" s="24">
        <v>167</v>
      </c>
      <c r="FK26">
        <v>160</v>
      </c>
      <c r="FL26" s="28">
        <v>7</v>
      </c>
      <c r="FM26" s="31"/>
      <c r="FN26" s="30"/>
      <c r="FP26" s="28">
        <v>0</v>
      </c>
      <c r="FQ26" s="31"/>
      <c r="FR26">
        <v>196</v>
      </c>
      <c r="FS26">
        <v>190</v>
      </c>
      <c r="FT26" s="28">
        <v>6</v>
      </c>
      <c r="FU26" s="31"/>
      <c r="FV26" s="30"/>
      <c r="FX26" s="28">
        <v>0</v>
      </c>
      <c r="FY26" s="31"/>
      <c r="FZ26" s="24">
        <v>84</v>
      </c>
      <c r="GA26">
        <v>81</v>
      </c>
      <c r="GB26" s="28">
        <v>3</v>
      </c>
      <c r="GC26" s="31"/>
      <c r="GD26">
        <v>30</v>
      </c>
      <c r="GE26">
        <v>30</v>
      </c>
      <c r="GF26" s="28">
        <v>0</v>
      </c>
      <c r="GG26" s="34"/>
      <c r="GH26">
        <v>72</v>
      </c>
      <c r="GI26">
        <v>69</v>
      </c>
      <c r="GJ26" s="28">
        <v>3</v>
      </c>
      <c r="GK26" s="31"/>
      <c r="GN26" s="28">
        <v>0</v>
      </c>
      <c r="GO26" s="34"/>
      <c r="GP26">
        <v>15</v>
      </c>
      <c r="GQ26">
        <v>16</v>
      </c>
      <c r="GR26" s="28">
        <v>-1</v>
      </c>
      <c r="GS26" s="31"/>
      <c r="GV26" s="28">
        <v>0</v>
      </c>
      <c r="GW26" s="34"/>
      <c r="GZ26" s="28">
        <v>0</v>
      </c>
      <c r="HA26" s="31"/>
      <c r="HB26" s="24">
        <v>106</v>
      </c>
      <c r="HC26" s="32">
        <v>100</v>
      </c>
      <c r="HD26" s="28">
        <v>6</v>
      </c>
      <c r="HE26" s="34"/>
      <c r="HF26">
        <v>123</v>
      </c>
      <c r="HG26">
        <v>115</v>
      </c>
      <c r="HH26" s="28">
        <v>8</v>
      </c>
      <c r="HI26" s="34"/>
      <c r="HL26" s="28">
        <v>0</v>
      </c>
      <c r="HM26" s="34"/>
      <c r="HN26">
        <v>50</v>
      </c>
      <c r="HO26">
        <v>50</v>
      </c>
      <c r="HP26" s="28">
        <v>0</v>
      </c>
      <c r="HQ26" s="31"/>
      <c r="HR26">
        <v>86</v>
      </c>
      <c r="HS26">
        <v>80</v>
      </c>
      <c r="HT26">
        <v>69</v>
      </c>
      <c r="HU26">
        <v>67</v>
      </c>
      <c r="HV26" s="28">
        <v>8</v>
      </c>
      <c r="HW26" s="34"/>
      <c r="HX26" s="32">
        <v>206.607</v>
      </c>
      <c r="HY26" s="32">
        <v>200</v>
      </c>
      <c r="HZ26" s="28">
        <v>6.6069999999999993</v>
      </c>
      <c r="IA26" s="34"/>
      <c r="IB26" s="32">
        <v>96.805999999999997</v>
      </c>
      <c r="IC26" s="32">
        <v>90.151200000000003</v>
      </c>
      <c r="ID26" s="28">
        <v>6.6547999999999936</v>
      </c>
      <c r="IE26" s="34"/>
      <c r="IF26" s="33">
        <v>0</v>
      </c>
      <c r="IG26" s="32">
        <v>0</v>
      </c>
      <c r="IH26" s="28">
        <v>0</v>
      </c>
      <c r="II26" s="34"/>
    </row>
    <row r="27" spans="1:243" x14ac:dyDescent="0.25">
      <c r="A27" s="28" t="s">
        <v>159</v>
      </c>
      <c r="B27" s="29">
        <v>0.12</v>
      </c>
      <c r="F27">
        <v>80</v>
      </c>
      <c r="G27">
        <v>80</v>
      </c>
      <c r="J27" s="30"/>
      <c r="K27" s="35"/>
      <c r="L27" s="36">
        <v>40</v>
      </c>
      <c r="M27" s="36">
        <v>43</v>
      </c>
      <c r="N27" s="35">
        <f t="shared" si="4"/>
        <v>-3</v>
      </c>
      <c r="O27" s="31"/>
      <c r="P27" s="35"/>
      <c r="Q27">
        <v>16</v>
      </c>
      <c r="R27">
        <v>20</v>
      </c>
      <c r="S27" s="28">
        <v>-4</v>
      </c>
      <c r="T27" s="31"/>
      <c r="U27" s="24">
        <v>160</v>
      </c>
      <c r="V27">
        <v>158</v>
      </c>
      <c r="W27" s="28">
        <v>2</v>
      </c>
      <c r="X27" s="31"/>
      <c r="Y27" s="30"/>
      <c r="Z27">
        <v>114</v>
      </c>
      <c r="AA27" s="27">
        <v>-114</v>
      </c>
      <c r="AB27" s="31">
        <v>13.68</v>
      </c>
      <c r="AC27">
        <v>104</v>
      </c>
      <c r="AD27">
        <v>108</v>
      </c>
      <c r="AE27" s="28">
        <v>-4</v>
      </c>
      <c r="AF27" s="31"/>
      <c r="AG27" s="24">
        <v>32</v>
      </c>
      <c r="AH27">
        <v>33</v>
      </c>
      <c r="AI27" s="28">
        <v>-1</v>
      </c>
      <c r="AJ27" s="31"/>
      <c r="AK27">
        <v>112</v>
      </c>
      <c r="AL27">
        <v>114</v>
      </c>
      <c r="AM27" s="28">
        <v>-2</v>
      </c>
      <c r="AN27" s="31"/>
      <c r="AO27" s="30"/>
      <c r="AQ27" s="28">
        <v>0</v>
      </c>
      <c r="AR27" s="31"/>
      <c r="AS27" s="24">
        <v>104</v>
      </c>
      <c r="AT27">
        <v>103</v>
      </c>
      <c r="AU27" s="28">
        <v>1</v>
      </c>
      <c r="AV27" s="31"/>
      <c r="AY27" s="28">
        <v>0</v>
      </c>
      <c r="AZ27" s="31"/>
      <c r="BA27" s="24">
        <v>16</v>
      </c>
      <c r="BB27">
        <v>17</v>
      </c>
      <c r="BE27" s="28">
        <v>-1</v>
      </c>
      <c r="BF27" s="31"/>
      <c r="BG27" s="24">
        <v>48</v>
      </c>
      <c r="BH27">
        <v>46</v>
      </c>
      <c r="BI27" s="28">
        <v>2</v>
      </c>
      <c r="BJ27" s="31"/>
      <c r="BO27" s="28">
        <v>0</v>
      </c>
      <c r="BP27" s="31"/>
      <c r="BQ27">
        <v>8</v>
      </c>
      <c r="BR27">
        <v>6</v>
      </c>
      <c r="BS27" s="28">
        <v>2</v>
      </c>
      <c r="BT27" s="31"/>
      <c r="BU27" s="24">
        <v>56</v>
      </c>
      <c r="BV27">
        <v>58</v>
      </c>
      <c r="BW27" s="28">
        <v>-2</v>
      </c>
      <c r="BX27" s="31"/>
      <c r="BY27" s="30"/>
      <c r="CA27" s="28">
        <v>0</v>
      </c>
      <c r="CB27" s="31"/>
      <c r="CC27">
        <v>16</v>
      </c>
      <c r="CD27">
        <v>15</v>
      </c>
      <c r="CE27" s="28">
        <v>1</v>
      </c>
      <c r="CF27" s="31"/>
      <c r="CG27" s="30"/>
      <c r="CJ27" s="28">
        <v>0</v>
      </c>
      <c r="CK27" s="31"/>
      <c r="CL27" s="30"/>
      <c r="CP27" s="28">
        <v>0</v>
      </c>
      <c r="CQ27" s="31"/>
      <c r="CR27" s="24">
        <v>72</v>
      </c>
      <c r="CT27">
        <v>73</v>
      </c>
      <c r="CU27" s="28">
        <v>-1</v>
      </c>
      <c r="CV27" s="31"/>
      <c r="CW27">
        <v>8</v>
      </c>
      <c r="CX27" s="28">
        <v>10</v>
      </c>
      <c r="CY27" s="28">
        <v>-2</v>
      </c>
      <c r="CZ27" s="31"/>
      <c r="DA27" s="24">
        <v>48</v>
      </c>
      <c r="DB27" s="28">
        <v>49</v>
      </c>
      <c r="DC27" s="28">
        <v>-1</v>
      </c>
      <c r="DD27" s="31"/>
      <c r="DE27" s="30"/>
      <c r="DG27" s="28">
        <v>0</v>
      </c>
      <c r="DH27" s="31"/>
      <c r="DI27" s="30"/>
      <c r="DK27" s="28">
        <v>0</v>
      </c>
      <c r="DL27" s="31"/>
      <c r="DO27" s="28">
        <v>0</v>
      </c>
      <c r="DP27" s="31"/>
      <c r="DQ27">
        <v>32</v>
      </c>
      <c r="DR27">
        <v>30</v>
      </c>
      <c r="DS27" s="28">
        <v>2</v>
      </c>
      <c r="DT27" s="31"/>
      <c r="DU27" s="24">
        <v>48</v>
      </c>
      <c r="DW27">
        <v>52</v>
      </c>
      <c r="DX27" s="28">
        <v>-4</v>
      </c>
      <c r="DY27" s="31"/>
      <c r="DZ27" s="30"/>
      <c r="EC27" s="28">
        <v>0</v>
      </c>
      <c r="ED27" s="31"/>
      <c r="EE27">
        <v>32</v>
      </c>
      <c r="EF27" s="32">
        <v>36</v>
      </c>
      <c r="EG27" s="28">
        <v>-4</v>
      </c>
      <c r="EH27" s="31"/>
      <c r="EI27" s="30"/>
      <c r="EL27">
        <v>48</v>
      </c>
      <c r="EM27">
        <v>51</v>
      </c>
      <c r="EN27" s="28">
        <v>-3</v>
      </c>
      <c r="EO27" s="31"/>
      <c r="ER27" s="28">
        <v>0</v>
      </c>
      <c r="ES27" s="31"/>
      <c r="ET27" s="30"/>
      <c r="EX27" s="28">
        <v>0</v>
      </c>
      <c r="EY27" s="31"/>
      <c r="FD27" s="28">
        <v>0</v>
      </c>
      <c r="FE27" s="31"/>
      <c r="FF27">
        <v>80</v>
      </c>
      <c r="FG27" s="32">
        <v>80</v>
      </c>
      <c r="FH27" s="28">
        <v>0</v>
      </c>
      <c r="FI27" s="31"/>
      <c r="FJ27" s="30"/>
      <c r="FL27" s="28">
        <v>0</v>
      </c>
      <c r="FM27" s="31"/>
      <c r="FN27" s="24">
        <v>24</v>
      </c>
      <c r="FO27">
        <v>29</v>
      </c>
      <c r="FP27" s="28">
        <v>-5</v>
      </c>
      <c r="FQ27" s="31"/>
      <c r="FT27" s="28">
        <v>0</v>
      </c>
      <c r="FU27" s="31"/>
      <c r="FV27" s="30"/>
      <c r="FX27" s="28">
        <v>0</v>
      </c>
      <c r="FY27" s="31"/>
      <c r="FZ27" s="24">
        <v>56</v>
      </c>
      <c r="GA27">
        <v>55</v>
      </c>
      <c r="GB27" s="28">
        <v>1</v>
      </c>
      <c r="GC27" s="31"/>
      <c r="GD27">
        <v>32</v>
      </c>
      <c r="GE27">
        <v>30</v>
      </c>
      <c r="GF27" s="28">
        <v>2</v>
      </c>
      <c r="GG27" s="34"/>
      <c r="GH27">
        <v>32</v>
      </c>
      <c r="GI27">
        <v>32</v>
      </c>
      <c r="GJ27" s="28">
        <v>0</v>
      </c>
      <c r="GK27" s="31"/>
      <c r="GN27" s="28">
        <v>0</v>
      </c>
      <c r="GO27" s="34"/>
      <c r="GP27">
        <v>40</v>
      </c>
      <c r="GQ27">
        <v>40</v>
      </c>
      <c r="GR27" s="28">
        <v>0</v>
      </c>
      <c r="GS27" s="31"/>
      <c r="GV27" s="28">
        <v>0</v>
      </c>
      <c r="GW27" s="34"/>
      <c r="GX27">
        <v>8</v>
      </c>
      <c r="GY27" s="32">
        <v>12.6</v>
      </c>
      <c r="GZ27" s="28">
        <v>-4.5999999999999996</v>
      </c>
      <c r="HA27" s="31"/>
      <c r="HB27" s="33"/>
      <c r="HD27" s="28">
        <v>0</v>
      </c>
      <c r="HE27" s="34"/>
      <c r="HH27" s="28">
        <v>0</v>
      </c>
      <c r="HI27" s="34"/>
      <c r="HL27" s="28">
        <v>0</v>
      </c>
      <c r="HM27" s="34"/>
      <c r="HP27" s="28">
        <v>0</v>
      </c>
      <c r="HQ27" s="31"/>
      <c r="HR27">
        <v>48</v>
      </c>
      <c r="HS27">
        <v>50</v>
      </c>
      <c r="HT27">
        <v>40</v>
      </c>
      <c r="HU27">
        <v>40</v>
      </c>
      <c r="HV27" s="28">
        <v>-2</v>
      </c>
      <c r="HW27" s="34"/>
      <c r="HX27" s="32">
        <v>0</v>
      </c>
      <c r="HY27" s="32">
        <v>0</v>
      </c>
      <c r="HZ27" s="28">
        <v>0</v>
      </c>
      <c r="IA27" s="34"/>
      <c r="IB27" s="32">
        <v>0</v>
      </c>
      <c r="IC27" s="32">
        <v>0</v>
      </c>
      <c r="ID27" s="28">
        <v>0</v>
      </c>
      <c r="IE27" s="34"/>
      <c r="IF27" s="33">
        <v>0</v>
      </c>
      <c r="IG27" s="32">
        <v>0</v>
      </c>
      <c r="IH27" s="28">
        <v>0</v>
      </c>
      <c r="II27" s="34"/>
    </row>
    <row r="28" spans="1:243" x14ac:dyDescent="0.25">
      <c r="A28" s="28" t="s">
        <v>160</v>
      </c>
      <c r="B28" s="29">
        <v>1</v>
      </c>
      <c r="J28" s="30"/>
      <c r="K28" s="35"/>
      <c r="L28" s="35"/>
      <c r="M28" s="35"/>
      <c r="N28" s="35">
        <f t="shared" si="4"/>
        <v>0</v>
      </c>
      <c r="O28" s="31"/>
      <c r="P28" s="35"/>
      <c r="S28" s="28">
        <v>0</v>
      </c>
      <c r="T28" s="31"/>
      <c r="U28" s="30"/>
      <c r="W28" s="28">
        <v>0</v>
      </c>
      <c r="X28" s="31"/>
      <c r="Y28" s="30"/>
      <c r="AA28" s="28">
        <v>0</v>
      </c>
      <c r="AB28" s="31"/>
      <c r="AE28" s="28">
        <v>0</v>
      </c>
      <c r="AF28" s="31"/>
      <c r="AG28" s="30"/>
      <c r="AI28" s="28">
        <v>0</v>
      </c>
      <c r="AJ28" s="31"/>
      <c r="AM28" s="28">
        <v>0</v>
      </c>
      <c r="AN28" s="31"/>
      <c r="AO28" s="30"/>
      <c r="AQ28" s="28">
        <v>0</v>
      </c>
      <c r="AR28" s="31"/>
      <c r="AS28" s="30"/>
      <c r="AU28" s="28">
        <v>0</v>
      </c>
      <c r="AV28" s="31"/>
      <c r="AY28" s="28">
        <v>0</v>
      </c>
      <c r="AZ28" s="31"/>
      <c r="BA28" s="30"/>
      <c r="BE28" s="28">
        <v>0</v>
      </c>
      <c r="BF28" s="31"/>
      <c r="BG28" s="30"/>
      <c r="BI28" s="28">
        <v>0</v>
      </c>
      <c r="BJ28" s="31"/>
      <c r="BO28" s="28">
        <v>0</v>
      </c>
      <c r="BP28" s="31"/>
      <c r="BS28" s="28">
        <v>0</v>
      </c>
      <c r="BT28" s="31"/>
      <c r="BU28" s="30"/>
      <c r="BW28" s="28">
        <v>0</v>
      </c>
      <c r="BX28" s="31"/>
      <c r="BY28" s="30"/>
      <c r="CA28" s="28">
        <v>0</v>
      </c>
      <c r="CB28" s="31"/>
      <c r="CE28" s="28">
        <v>0</v>
      </c>
      <c r="CF28" s="31"/>
      <c r="CG28" s="30"/>
      <c r="CJ28" s="28">
        <v>0</v>
      </c>
      <c r="CK28" s="31"/>
      <c r="CL28" s="30"/>
      <c r="CP28" s="28">
        <v>0</v>
      </c>
      <c r="CQ28" s="31"/>
      <c r="CR28" s="30"/>
      <c r="CU28" s="28">
        <v>0</v>
      </c>
      <c r="CV28" s="31"/>
      <c r="CY28" s="28">
        <v>0</v>
      </c>
      <c r="CZ28" s="31"/>
      <c r="DA28" s="33"/>
      <c r="DC28" s="28">
        <v>0</v>
      </c>
      <c r="DD28" s="31"/>
      <c r="DE28" s="30"/>
      <c r="DG28" s="28">
        <v>0</v>
      </c>
      <c r="DH28" s="31"/>
      <c r="DI28" s="30"/>
      <c r="DK28" s="28">
        <v>0</v>
      </c>
      <c r="DL28" s="31"/>
      <c r="DO28" s="28">
        <v>0</v>
      </c>
      <c r="DP28" s="31"/>
      <c r="DS28" s="28">
        <v>0</v>
      </c>
      <c r="DT28" s="31"/>
      <c r="DU28" s="30"/>
      <c r="DX28" s="28">
        <v>0</v>
      </c>
      <c r="DY28" s="31"/>
      <c r="DZ28" s="30"/>
      <c r="EC28" s="28">
        <v>0</v>
      </c>
      <c r="ED28" s="31"/>
      <c r="EG28" s="28">
        <v>0</v>
      </c>
      <c r="EH28" s="31"/>
      <c r="EI28" s="30"/>
      <c r="EN28" s="28">
        <v>0</v>
      </c>
      <c r="EO28" s="31"/>
      <c r="ER28" s="28">
        <v>0</v>
      </c>
      <c r="ES28" s="31"/>
      <c r="ET28" s="30"/>
      <c r="EX28" s="28">
        <v>0</v>
      </c>
      <c r="EY28" s="31"/>
      <c r="FD28" s="28">
        <v>0</v>
      </c>
      <c r="FE28" s="31"/>
      <c r="FH28" s="28">
        <v>0</v>
      </c>
      <c r="FI28" s="31"/>
      <c r="FJ28" s="30"/>
      <c r="FL28" s="28">
        <v>0</v>
      </c>
      <c r="FM28" s="31"/>
      <c r="FN28" s="30"/>
      <c r="FP28" s="28">
        <v>0</v>
      </c>
      <c r="FQ28" s="31"/>
      <c r="FT28" s="28">
        <v>0</v>
      </c>
      <c r="FU28" s="31"/>
      <c r="FV28" s="30"/>
      <c r="FX28" s="28">
        <v>0</v>
      </c>
      <c r="FY28" s="31"/>
      <c r="FZ28" s="30"/>
      <c r="GB28" s="28">
        <v>0</v>
      </c>
      <c r="GC28" s="31"/>
      <c r="GF28" s="28">
        <v>0</v>
      </c>
      <c r="GG28" s="34"/>
      <c r="GJ28" s="28">
        <v>0</v>
      </c>
      <c r="GK28" s="31"/>
      <c r="GM28">
        <v>75</v>
      </c>
      <c r="GN28" s="27">
        <v>-75</v>
      </c>
      <c r="GO28" s="34">
        <v>75</v>
      </c>
      <c r="GP28">
        <v>41</v>
      </c>
      <c r="GQ28">
        <v>40</v>
      </c>
      <c r="GR28" s="28">
        <v>1</v>
      </c>
      <c r="GS28" s="31"/>
      <c r="GV28" s="28">
        <v>0</v>
      </c>
      <c r="GW28" s="34"/>
      <c r="GZ28" s="28">
        <v>0</v>
      </c>
      <c r="HA28" s="31"/>
      <c r="HB28" s="24">
        <v>30</v>
      </c>
      <c r="HC28" s="32">
        <v>30</v>
      </c>
      <c r="HD28" s="28">
        <v>0</v>
      </c>
      <c r="HE28" s="34"/>
      <c r="HF28">
        <v>54</v>
      </c>
      <c r="HG28">
        <v>52</v>
      </c>
      <c r="HH28" s="28">
        <v>2</v>
      </c>
      <c r="HI28" s="34"/>
      <c r="HL28" s="28">
        <v>0</v>
      </c>
      <c r="HM28" s="34"/>
      <c r="HP28" s="28">
        <v>0</v>
      </c>
      <c r="HQ28" s="31"/>
      <c r="HR28">
        <v>73</v>
      </c>
      <c r="HS28">
        <v>70</v>
      </c>
      <c r="HT28">
        <v>60</v>
      </c>
      <c r="HU28">
        <v>58</v>
      </c>
      <c r="HV28" s="28">
        <v>5</v>
      </c>
      <c r="HW28" s="34"/>
      <c r="HX28" s="32">
        <v>51.337000000000003</v>
      </c>
      <c r="HY28" s="32">
        <v>50</v>
      </c>
      <c r="HZ28" s="28">
        <v>1.3370000000000031</v>
      </c>
      <c r="IA28" s="34"/>
      <c r="IB28" s="32">
        <v>0</v>
      </c>
      <c r="IC28" s="32">
        <v>0</v>
      </c>
      <c r="ID28" s="28">
        <v>0</v>
      </c>
      <c r="IE28" s="34"/>
      <c r="IF28" s="6">
        <v>65.436999999999998</v>
      </c>
      <c r="IG28" s="32">
        <v>0</v>
      </c>
      <c r="IH28" s="28">
        <v>0</v>
      </c>
      <c r="II28" s="34"/>
    </row>
    <row r="29" spans="1:243" x14ac:dyDescent="0.25">
      <c r="A29" s="28" t="s">
        <v>161</v>
      </c>
      <c r="B29" s="29">
        <v>0.25</v>
      </c>
      <c r="J29" s="30"/>
      <c r="K29" s="35"/>
      <c r="L29" s="35"/>
      <c r="M29" s="36">
        <v>16</v>
      </c>
      <c r="N29" s="35">
        <f>L8-K29-M29</f>
        <v>0</v>
      </c>
      <c r="O29" s="31"/>
      <c r="P29" s="35"/>
      <c r="R29">
        <v>16</v>
      </c>
      <c r="S29" s="27">
        <v>-16</v>
      </c>
      <c r="T29" s="31">
        <v>4</v>
      </c>
      <c r="U29" s="30"/>
      <c r="V29">
        <v>32</v>
      </c>
      <c r="W29" s="27">
        <v>-32</v>
      </c>
      <c r="X29" s="31">
        <v>8</v>
      </c>
      <c r="Y29" s="30"/>
      <c r="Z29">
        <v>8</v>
      </c>
      <c r="AA29" s="27">
        <v>-8</v>
      </c>
      <c r="AB29" s="31">
        <v>2</v>
      </c>
      <c r="AD29">
        <v>33</v>
      </c>
      <c r="AE29" s="27">
        <v>-33</v>
      </c>
      <c r="AF29" s="31">
        <v>8.25</v>
      </c>
      <c r="AG29" s="30"/>
      <c r="AH29">
        <v>16</v>
      </c>
      <c r="AI29" s="27">
        <v>-16</v>
      </c>
      <c r="AJ29" s="31">
        <v>4</v>
      </c>
      <c r="AK29">
        <v>16</v>
      </c>
      <c r="AL29">
        <v>16</v>
      </c>
      <c r="AM29" s="28">
        <v>0</v>
      </c>
      <c r="AN29" s="31"/>
      <c r="AO29" s="30"/>
      <c r="AP29">
        <v>66</v>
      </c>
      <c r="AQ29" s="27">
        <v>-66</v>
      </c>
      <c r="AR29" s="31">
        <v>16.5</v>
      </c>
      <c r="AS29" s="30"/>
      <c r="AU29" s="28">
        <v>0</v>
      </c>
      <c r="AV29" s="31"/>
      <c r="AW29">
        <v>40</v>
      </c>
      <c r="AX29">
        <v>41</v>
      </c>
      <c r="AY29" s="28">
        <v>-1</v>
      </c>
      <c r="AZ29" s="31"/>
      <c r="BA29" s="30"/>
      <c r="BB29">
        <v>16</v>
      </c>
      <c r="BD29">
        <v>16</v>
      </c>
      <c r="BE29" s="27">
        <v>-32</v>
      </c>
      <c r="BF29" s="31">
        <v>31.75</v>
      </c>
      <c r="BG29" s="30"/>
      <c r="BI29" s="28">
        <v>0</v>
      </c>
      <c r="BJ29" s="31"/>
      <c r="BM29">
        <v>40</v>
      </c>
      <c r="BN29">
        <v>38</v>
      </c>
      <c r="BO29" s="28">
        <v>2</v>
      </c>
      <c r="BP29" s="31"/>
      <c r="BQ29">
        <v>24</v>
      </c>
      <c r="BR29">
        <v>22</v>
      </c>
      <c r="BS29" s="28">
        <v>2</v>
      </c>
      <c r="BT29" s="31"/>
      <c r="BU29" s="30"/>
      <c r="BW29" s="28">
        <v>0</v>
      </c>
      <c r="BX29" s="31"/>
      <c r="BY29" s="24">
        <v>40</v>
      </c>
      <c r="BZ29">
        <v>41</v>
      </c>
      <c r="CA29" s="28">
        <v>-1</v>
      </c>
      <c r="CB29" s="31"/>
      <c r="CE29" s="28">
        <v>0</v>
      </c>
      <c r="CF29" s="31"/>
      <c r="CG29" s="30"/>
      <c r="CJ29" s="28">
        <v>0</v>
      </c>
      <c r="CK29" s="31"/>
      <c r="CL29" s="30"/>
      <c r="CO29">
        <v>8</v>
      </c>
      <c r="CP29" s="27">
        <v>-8</v>
      </c>
      <c r="CQ29" s="31">
        <v>2</v>
      </c>
      <c r="CR29" s="24">
        <v>40</v>
      </c>
      <c r="CT29">
        <v>43</v>
      </c>
      <c r="CU29" s="28">
        <v>-3</v>
      </c>
      <c r="CV29" s="31"/>
      <c r="CY29" s="28">
        <v>0</v>
      </c>
      <c r="CZ29" s="31"/>
      <c r="DA29" s="24">
        <v>8</v>
      </c>
      <c r="DB29" s="28">
        <v>8</v>
      </c>
      <c r="DC29" s="28">
        <v>0</v>
      </c>
      <c r="DD29" s="31"/>
      <c r="DE29" s="24">
        <v>32</v>
      </c>
      <c r="DF29" s="28">
        <v>32.200000000000003</v>
      </c>
      <c r="DG29" s="28">
        <v>-0.20000000000000279</v>
      </c>
      <c r="DH29" s="31"/>
      <c r="DI29" s="30"/>
      <c r="DK29" s="28">
        <v>0</v>
      </c>
      <c r="DL29" s="31"/>
      <c r="DM29">
        <v>8</v>
      </c>
      <c r="DN29" s="32">
        <v>8.6000000000000014</v>
      </c>
      <c r="DO29" s="28">
        <v>-0.60000000000000142</v>
      </c>
      <c r="DP29" s="31"/>
      <c r="DS29" s="28">
        <v>0</v>
      </c>
      <c r="DT29" s="31"/>
      <c r="DU29" s="30"/>
      <c r="DX29" s="28">
        <v>0</v>
      </c>
      <c r="DY29" s="31"/>
      <c r="DZ29" s="30"/>
      <c r="EC29" s="28">
        <v>0</v>
      </c>
      <c r="ED29" s="31"/>
      <c r="EG29" s="28">
        <v>0</v>
      </c>
      <c r="EH29" s="31"/>
      <c r="EI29" s="30"/>
      <c r="EL29">
        <v>56</v>
      </c>
      <c r="EM29">
        <v>59</v>
      </c>
      <c r="EN29" s="28">
        <v>-3</v>
      </c>
      <c r="EO29" s="31"/>
      <c r="ER29" s="28">
        <v>0</v>
      </c>
      <c r="ES29" s="31"/>
      <c r="ET29" s="30"/>
      <c r="EX29" s="28">
        <v>0</v>
      </c>
      <c r="EY29" s="31"/>
      <c r="FD29" s="28">
        <v>0</v>
      </c>
      <c r="FE29" s="31"/>
      <c r="FH29" s="28">
        <v>0</v>
      </c>
      <c r="FI29" s="31"/>
      <c r="FJ29" s="24">
        <v>40</v>
      </c>
      <c r="FK29">
        <v>40</v>
      </c>
      <c r="FL29" s="28">
        <v>0</v>
      </c>
      <c r="FM29" s="31"/>
      <c r="FN29" s="30"/>
      <c r="FP29" s="28">
        <v>0</v>
      </c>
      <c r="FQ29" s="31"/>
      <c r="FR29">
        <v>8</v>
      </c>
      <c r="FS29">
        <v>8</v>
      </c>
      <c r="FT29" s="28">
        <v>0</v>
      </c>
      <c r="FU29" s="31"/>
      <c r="FV29" s="24">
        <v>8</v>
      </c>
      <c r="FW29">
        <v>12</v>
      </c>
      <c r="FX29" s="28">
        <v>-4</v>
      </c>
      <c r="FY29" s="31"/>
      <c r="FZ29" s="30"/>
      <c r="GB29" s="28">
        <v>0</v>
      </c>
      <c r="GC29" s="31"/>
      <c r="GF29" s="28">
        <v>0</v>
      </c>
      <c r="GG29" s="34"/>
      <c r="GJ29" s="28">
        <v>0</v>
      </c>
      <c r="GK29" s="31"/>
      <c r="GN29" s="28">
        <v>0</v>
      </c>
      <c r="GO29" s="34"/>
      <c r="GR29" s="28">
        <v>0</v>
      </c>
      <c r="GS29" s="31"/>
      <c r="GV29" s="28">
        <v>0</v>
      </c>
      <c r="GW29" s="34"/>
      <c r="GZ29" s="28">
        <v>0</v>
      </c>
      <c r="HA29" s="31"/>
      <c r="HB29" s="33"/>
      <c r="HD29" s="28">
        <v>0</v>
      </c>
      <c r="HE29" s="34"/>
      <c r="HH29" s="28">
        <v>0</v>
      </c>
      <c r="HI29" s="34"/>
      <c r="HL29" s="28">
        <v>0</v>
      </c>
      <c r="HM29" s="34"/>
      <c r="HP29" s="28">
        <v>0</v>
      </c>
      <c r="HQ29" s="31"/>
      <c r="HR29">
        <v>32</v>
      </c>
      <c r="HS29">
        <v>30</v>
      </c>
      <c r="HT29">
        <v>32</v>
      </c>
      <c r="HU29">
        <v>30</v>
      </c>
      <c r="HV29" s="28">
        <v>4</v>
      </c>
      <c r="HW29" s="34"/>
      <c r="HX29" s="32">
        <v>48</v>
      </c>
      <c r="HY29" s="32">
        <v>50</v>
      </c>
      <c r="HZ29" s="28">
        <v>-2</v>
      </c>
      <c r="IA29" s="34"/>
      <c r="IB29" s="32">
        <v>32</v>
      </c>
      <c r="IC29" s="32">
        <v>31.2</v>
      </c>
      <c r="ID29" s="28">
        <v>0.79999999999999716</v>
      </c>
      <c r="IE29" s="34"/>
      <c r="IF29" s="33">
        <v>0</v>
      </c>
      <c r="IG29" s="32">
        <v>0</v>
      </c>
      <c r="IH29" s="28">
        <v>0</v>
      </c>
      <c r="II29" s="34"/>
    </row>
    <row r="30" spans="1:243" x14ac:dyDescent="0.25">
      <c r="A30" s="28" t="s">
        <v>162</v>
      </c>
      <c r="B30" s="29">
        <v>0.25</v>
      </c>
      <c r="J30" s="30"/>
      <c r="K30" s="35"/>
      <c r="L30" s="35"/>
      <c r="M30" s="35"/>
      <c r="N30" s="35">
        <f t="shared" si="4"/>
        <v>0</v>
      </c>
      <c r="O30" s="31"/>
      <c r="P30" s="35"/>
      <c r="R30">
        <v>16</v>
      </c>
      <c r="S30" s="27">
        <v>-16</v>
      </c>
      <c r="T30" s="31">
        <v>4</v>
      </c>
      <c r="U30" s="30"/>
      <c r="V30">
        <v>24</v>
      </c>
      <c r="W30" s="27">
        <v>-24</v>
      </c>
      <c r="X30" s="31">
        <v>6</v>
      </c>
      <c r="Y30" s="30"/>
      <c r="Z30">
        <v>27</v>
      </c>
      <c r="AA30" s="27">
        <v>-27</v>
      </c>
      <c r="AB30" s="31">
        <v>6.75</v>
      </c>
      <c r="AD30">
        <v>8</v>
      </c>
      <c r="AE30" s="27">
        <v>-8</v>
      </c>
      <c r="AF30" s="31">
        <v>2</v>
      </c>
      <c r="AG30" s="30"/>
      <c r="AH30">
        <v>8</v>
      </c>
      <c r="AI30" s="27">
        <v>-8</v>
      </c>
      <c r="AJ30" s="31">
        <v>2</v>
      </c>
      <c r="AK30">
        <v>24</v>
      </c>
      <c r="AL30">
        <v>22</v>
      </c>
      <c r="AM30" s="28">
        <v>2</v>
      </c>
      <c r="AN30" s="31"/>
      <c r="AO30" s="30"/>
      <c r="AQ30" s="28">
        <v>0</v>
      </c>
      <c r="AR30" s="31"/>
      <c r="AS30" s="30"/>
      <c r="AT30" s="28">
        <v>10</v>
      </c>
      <c r="AU30" s="27">
        <v>-10</v>
      </c>
      <c r="AV30" s="31">
        <v>2.5</v>
      </c>
      <c r="AY30" s="28">
        <v>0</v>
      </c>
      <c r="AZ30" s="31"/>
      <c r="BA30" s="30"/>
      <c r="BE30" s="28">
        <v>0</v>
      </c>
      <c r="BF30" s="31"/>
      <c r="BG30" s="24">
        <v>24</v>
      </c>
      <c r="BH30">
        <v>24</v>
      </c>
      <c r="BI30" s="28">
        <v>0</v>
      </c>
      <c r="BJ30" s="31"/>
      <c r="BO30" s="28">
        <v>0</v>
      </c>
      <c r="BP30" s="31"/>
      <c r="BR30">
        <v>32</v>
      </c>
      <c r="BS30" s="27">
        <v>-32</v>
      </c>
      <c r="BT30" s="31">
        <v>8</v>
      </c>
      <c r="BU30" s="30"/>
      <c r="BW30" s="28">
        <v>0</v>
      </c>
      <c r="BX30" s="31"/>
      <c r="BY30" s="30"/>
      <c r="BZ30">
        <v>32</v>
      </c>
      <c r="CA30" s="27">
        <v>-32</v>
      </c>
      <c r="CB30" s="31">
        <v>8</v>
      </c>
      <c r="CE30" s="28">
        <v>0</v>
      </c>
      <c r="CF30" s="31"/>
      <c r="CG30" s="30"/>
      <c r="CJ30" s="28">
        <v>0</v>
      </c>
      <c r="CK30" s="31"/>
      <c r="CL30" s="30"/>
      <c r="CP30" s="28">
        <v>0</v>
      </c>
      <c r="CQ30" s="31"/>
      <c r="CR30" s="30"/>
      <c r="CV30" s="34"/>
      <c r="CZ30" s="31"/>
      <c r="DA30" s="24"/>
      <c r="DD30" s="31"/>
      <c r="DE30" s="24"/>
      <c r="DH30" s="31"/>
      <c r="DI30" s="30"/>
      <c r="DL30" s="31"/>
      <c r="DP30" s="31"/>
      <c r="DT30" s="31"/>
      <c r="DU30" s="30"/>
      <c r="DY30" s="31"/>
      <c r="DZ30" s="30"/>
      <c r="ED30" s="31"/>
      <c r="EH30" s="31"/>
      <c r="EI30" s="30"/>
      <c r="EO30" s="31"/>
      <c r="ES30" s="31"/>
      <c r="ET30" s="30"/>
      <c r="EW30" s="29"/>
      <c r="EY30" s="31"/>
      <c r="FE30" s="31"/>
      <c r="FF30" s="32"/>
      <c r="FI30" s="31"/>
      <c r="FJ30" s="24"/>
      <c r="FM30" s="31"/>
      <c r="FN30" s="30"/>
      <c r="FQ30" s="31"/>
      <c r="FU30" s="31"/>
      <c r="FV30" s="24"/>
      <c r="FY30" s="31"/>
      <c r="FZ30" s="30"/>
      <c r="GC30" s="31"/>
      <c r="GG30" s="34"/>
      <c r="GK30" s="31"/>
      <c r="GO30" s="34"/>
      <c r="GS30" s="31"/>
      <c r="GW30" s="34"/>
      <c r="HA30" s="31"/>
      <c r="HB30" s="33"/>
      <c r="HE30" s="34"/>
      <c r="HI30" s="34"/>
      <c r="HM30" s="34"/>
      <c r="HQ30" s="31"/>
      <c r="HW30" s="34"/>
      <c r="HX30" s="32"/>
      <c r="HY30" s="32"/>
      <c r="IA30" s="34"/>
      <c r="IB30" s="32"/>
      <c r="IC30" s="32"/>
      <c r="IE30" s="34"/>
      <c r="IF30" s="33"/>
      <c r="IG30" s="32"/>
      <c r="II30" s="34"/>
    </row>
    <row r="31" spans="1:243" x14ac:dyDescent="0.25">
      <c r="A31" s="28" t="s">
        <v>163</v>
      </c>
      <c r="B31" s="29">
        <v>1</v>
      </c>
      <c r="J31" s="30"/>
      <c r="K31" s="35"/>
      <c r="L31" s="35"/>
      <c r="M31" s="35"/>
      <c r="N31" s="35">
        <f t="shared" si="4"/>
        <v>0</v>
      </c>
      <c r="O31" s="31"/>
      <c r="P31" s="35"/>
      <c r="S31" s="28">
        <v>0</v>
      </c>
      <c r="T31" s="31"/>
      <c r="U31" s="30"/>
      <c r="W31" s="28">
        <v>0</v>
      </c>
      <c r="X31" s="31"/>
      <c r="Y31" s="30"/>
      <c r="AA31" s="28">
        <v>0</v>
      </c>
      <c r="AB31" s="31"/>
      <c r="AE31" s="28">
        <v>0</v>
      </c>
      <c r="AF31" s="31"/>
      <c r="AG31" s="30"/>
      <c r="AI31" s="28">
        <v>0</v>
      </c>
      <c r="AJ31" s="31"/>
      <c r="AM31" s="28">
        <v>0</v>
      </c>
      <c r="AN31" s="31"/>
      <c r="AO31" s="30"/>
      <c r="AQ31" s="28">
        <v>0</v>
      </c>
      <c r="AR31" s="31"/>
      <c r="AS31" s="30"/>
      <c r="AU31" s="28">
        <v>0</v>
      </c>
      <c r="AV31" s="31"/>
      <c r="AY31" s="28">
        <v>0</v>
      </c>
      <c r="AZ31" s="31"/>
      <c r="BA31" s="30"/>
      <c r="BE31" s="28">
        <v>0</v>
      </c>
      <c r="BF31" s="31"/>
      <c r="BG31" s="30"/>
      <c r="BI31" s="28">
        <v>0</v>
      </c>
      <c r="BJ31" s="31"/>
      <c r="BO31" s="28">
        <v>0</v>
      </c>
      <c r="BP31" s="31"/>
      <c r="BS31" s="28">
        <v>0</v>
      </c>
      <c r="BT31" s="31"/>
      <c r="BU31" s="30"/>
      <c r="BW31" s="28">
        <v>0</v>
      </c>
      <c r="BX31" s="31"/>
      <c r="BY31" s="30"/>
      <c r="CA31" s="28">
        <v>0</v>
      </c>
      <c r="CB31" s="31"/>
      <c r="CE31" s="28">
        <v>0</v>
      </c>
      <c r="CF31" s="31"/>
      <c r="CG31" s="30"/>
      <c r="CJ31" s="28">
        <v>0</v>
      </c>
      <c r="CK31" s="31"/>
      <c r="CL31" s="30"/>
      <c r="CP31" s="28">
        <v>0</v>
      </c>
      <c r="CQ31" s="31"/>
      <c r="CR31" s="30"/>
      <c r="CU31" s="28">
        <v>0</v>
      </c>
      <c r="CV31" s="31"/>
      <c r="CY31" s="28">
        <v>0</v>
      </c>
      <c r="CZ31" s="31"/>
      <c r="DA31" s="33"/>
      <c r="DC31" s="28">
        <v>0</v>
      </c>
      <c r="DD31" s="31"/>
      <c r="DE31" s="30"/>
      <c r="DG31" s="28">
        <v>0</v>
      </c>
      <c r="DH31" s="31"/>
      <c r="DI31" s="30"/>
      <c r="DK31" s="28">
        <v>0</v>
      </c>
      <c r="DL31" s="31"/>
      <c r="DO31" s="28">
        <v>0</v>
      </c>
      <c r="DP31" s="31"/>
      <c r="DS31" s="28">
        <v>0</v>
      </c>
      <c r="DT31" s="31"/>
      <c r="DU31" s="30"/>
      <c r="DX31" s="28">
        <v>0</v>
      </c>
      <c r="DY31" s="31"/>
      <c r="DZ31" s="30"/>
      <c r="EC31" s="28">
        <v>0</v>
      </c>
      <c r="ED31" s="31"/>
      <c r="EG31" s="28">
        <v>0</v>
      </c>
      <c r="EH31" s="31"/>
      <c r="EI31" s="30"/>
      <c r="EN31" s="28">
        <v>0</v>
      </c>
      <c r="EO31" s="31"/>
      <c r="ER31" s="28">
        <v>0</v>
      </c>
      <c r="ES31" s="31"/>
      <c r="ET31" s="30"/>
      <c r="EX31" s="28">
        <v>0</v>
      </c>
      <c r="EY31" s="31"/>
      <c r="FB31">
        <v>41</v>
      </c>
      <c r="FC31">
        <v>40</v>
      </c>
      <c r="FD31" s="28">
        <v>1</v>
      </c>
      <c r="FE31" s="31"/>
      <c r="FH31" s="28">
        <v>0</v>
      </c>
      <c r="FI31" s="31"/>
      <c r="FJ31" s="30"/>
      <c r="FL31" s="28">
        <v>0</v>
      </c>
      <c r="FM31" s="31"/>
      <c r="FN31" s="30"/>
      <c r="FP31" s="28">
        <v>0</v>
      </c>
      <c r="FQ31" s="31"/>
      <c r="FR31">
        <v>4</v>
      </c>
      <c r="FS31">
        <v>5</v>
      </c>
      <c r="FT31" s="28">
        <v>-1</v>
      </c>
      <c r="FU31" s="31"/>
      <c r="FV31" s="24">
        <v>36</v>
      </c>
      <c r="FW31">
        <v>36</v>
      </c>
      <c r="FX31" s="28">
        <v>0</v>
      </c>
      <c r="FY31" s="31"/>
      <c r="FZ31" s="30"/>
      <c r="GB31" s="28">
        <v>0</v>
      </c>
      <c r="GC31" s="31"/>
      <c r="GF31" s="28">
        <v>0</v>
      </c>
      <c r="GG31" s="34"/>
      <c r="GH31">
        <v>20</v>
      </c>
      <c r="GI31">
        <v>18</v>
      </c>
      <c r="GJ31" s="28">
        <v>2</v>
      </c>
      <c r="GK31" s="31"/>
      <c r="GN31" s="28">
        <v>0</v>
      </c>
      <c r="GO31" s="34"/>
      <c r="GR31" s="28">
        <v>0</v>
      </c>
      <c r="GS31" s="31"/>
      <c r="GV31" s="28">
        <v>0</v>
      </c>
      <c r="GW31" s="34"/>
      <c r="GX31">
        <v>16</v>
      </c>
      <c r="GY31" s="32">
        <v>14.9476</v>
      </c>
      <c r="GZ31" s="28">
        <v>1.0524</v>
      </c>
      <c r="HA31" s="31"/>
      <c r="HB31" s="33"/>
      <c r="HD31" s="28">
        <v>0</v>
      </c>
      <c r="HE31" s="34"/>
      <c r="HH31" s="28">
        <v>0</v>
      </c>
      <c r="HI31" s="34"/>
      <c r="HJ31">
        <v>12</v>
      </c>
      <c r="HK31">
        <v>10</v>
      </c>
      <c r="HL31" s="28">
        <v>-2</v>
      </c>
      <c r="HM31" s="34"/>
      <c r="HP31" s="28">
        <v>0</v>
      </c>
      <c r="HQ31" s="31"/>
      <c r="HR31" s="29"/>
      <c r="HT31">
        <v>63</v>
      </c>
      <c r="HU31">
        <v>63</v>
      </c>
      <c r="HV31" s="28">
        <v>0</v>
      </c>
      <c r="HW31" s="34"/>
      <c r="HX31" s="32">
        <v>52.051000000000002</v>
      </c>
      <c r="HY31" s="32">
        <v>50</v>
      </c>
      <c r="HZ31" s="28">
        <v>2.0510000000000019</v>
      </c>
      <c r="IA31" s="34"/>
      <c r="IB31" s="32">
        <v>0</v>
      </c>
      <c r="IC31" s="32">
        <v>0</v>
      </c>
      <c r="ID31" s="28">
        <v>0</v>
      </c>
      <c r="IE31" s="34"/>
      <c r="IF31" s="33">
        <v>0</v>
      </c>
      <c r="IG31" s="32">
        <v>0</v>
      </c>
      <c r="IH31" s="28">
        <v>0</v>
      </c>
      <c r="II31" s="34"/>
    </row>
    <row r="32" spans="1:243" x14ac:dyDescent="0.25">
      <c r="A32" s="28" t="s">
        <v>164</v>
      </c>
      <c r="B32" s="29">
        <v>0.4</v>
      </c>
      <c r="J32" s="24">
        <v>24</v>
      </c>
      <c r="K32" s="36">
        <v>30</v>
      </c>
      <c r="L32" s="36">
        <v>48</v>
      </c>
      <c r="M32" s="36">
        <v>49</v>
      </c>
      <c r="N32" s="35">
        <f t="shared" si="4"/>
        <v>-7</v>
      </c>
      <c r="O32" s="31"/>
      <c r="P32" s="35"/>
      <c r="S32" s="28">
        <v>0</v>
      </c>
      <c r="T32" s="31"/>
      <c r="U32" s="24">
        <v>72</v>
      </c>
      <c r="V32">
        <v>71</v>
      </c>
      <c r="W32" s="28">
        <v>1</v>
      </c>
      <c r="X32" s="31"/>
      <c r="Y32" s="30"/>
      <c r="AA32" s="28">
        <v>0</v>
      </c>
      <c r="AB32" s="31"/>
      <c r="AC32">
        <v>40</v>
      </c>
      <c r="AD32">
        <v>40</v>
      </c>
      <c r="AE32" s="28">
        <v>0</v>
      </c>
      <c r="AF32" s="31"/>
      <c r="AG32" s="24">
        <v>8</v>
      </c>
      <c r="AH32">
        <v>10</v>
      </c>
      <c r="AI32" s="28">
        <v>-2</v>
      </c>
      <c r="AJ32" s="31"/>
      <c r="AL32">
        <v>87</v>
      </c>
      <c r="AM32" s="27">
        <v>-87</v>
      </c>
      <c r="AN32" s="31">
        <v>34.799999999999997</v>
      </c>
      <c r="AO32" s="30"/>
      <c r="AQ32" s="28">
        <v>0</v>
      </c>
      <c r="AR32" s="31"/>
      <c r="AS32" s="24">
        <v>48</v>
      </c>
      <c r="AT32">
        <v>49</v>
      </c>
      <c r="AU32" s="28">
        <v>-1</v>
      </c>
      <c r="AV32" s="31"/>
      <c r="AY32" s="28">
        <v>0</v>
      </c>
      <c r="AZ32" s="31"/>
      <c r="BA32" s="30"/>
      <c r="BC32">
        <v>40</v>
      </c>
      <c r="BD32">
        <v>39</v>
      </c>
      <c r="BE32" s="28">
        <v>1</v>
      </c>
      <c r="BF32" s="31"/>
      <c r="BG32" s="24">
        <v>32</v>
      </c>
      <c r="BH32">
        <v>35</v>
      </c>
      <c r="BI32" s="28">
        <v>-3</v>
      </c>
      <c r="BJ32" s="31"/>
      <c r="BM32">
        <v>40</v>
      </c>
      <c r="BN32">
        <v>42</v>
      </c>
      <c r="BO32" s="28">
        <v>-2</v>
      </c>
      <c r="BP32" s="31"/>
      <c r="BS32" s="28">
        <v>0</v>
      </c>
      <c r="BT32" s="31"/>
      <c r="BU32" s="24">
        <v>16</v>
      </c>
      <c r="BV32">
        <v>14</v>
      </c>
      <c r="BW32" s="28">
        <v>2</v>
      </c>
      <c r="BX32" s="31"/>
      <c r="BY32" s="24">
        <v>56</v>
      </c>
      <c r="BZ32">
        <v>56</v>
      </c>
      <c r="CA32" s="28">
        <v>0</v>
      </c>
      <c r="CB32" s="31"/>
      <c r="CE32" s="28">
        <v>0</v>
      </c>
      <c r="CF32" s="31"/>
      <c r="CG32" s="30"/>
      <c r="CJ32" s="28">
        <v>0</v>
      </c>
      <c r="CK32" s="31"/>
      <c r="CL32" s="30"/>
      <c r="CN32">
        <v>40</v>
      </c>
      <c r="CO32">
        <v>41</v>
      </c>
      <c r="CP32" s="28">
        <v>-1</v>
      </c>
      <c r="CQ32" s="31"/>
      <c r="CR32" s="24">
        <v>32</v>
      </c>
      <c r="CT32">
        <v>31</v>
      </c>
      <c r="CU32" s="28">
        <v>1</v>
      </c>
      <c r="CV32" s="31"/>
      <c r="CW32">
        <v>32</v>
      </c>
      <c r="CX32" s="28">
        <v>32.599999999999987</v>
      </c>
      <c r="CY32" s="28">
        <v>-0.59999999999998721</v>
      </c>
      <c r="CZ32" s="31"/>
      <c r="DA32" s="33"/>
      <c r="DC32" s="28">
        <v>0</v>
      </c>
      <c r="DD32" s="31"/>
      <c r="DE32" s="30"/>
      <c r="DG32" s="28">
        <v>0</v>
      </c>
      <c r="DH32" s="31"/>
      <c r="DI32" s="24">
        <v>48</v>
      </c>
      <c r="DJ32">
        <v>48</v>
      </c>
      <c r="DK32" s="28">
        <v>0</v>
      </c>
      <c r="DL32" s="31"/>
      <c r="DO32" s="28">
        <v>0</v>
      </c>
      <c r="DP32" s="31"/>
      <c r="DQ32">
        <v>32</v>
      </c>
      <c r="DR32">
        <v>30</v>
      </c>
      <c r="DS32" s="28">
        <v>2</v>
      </c>
      <c r="DT32" s="31"/>
      <c r="DU32" s="24">
        <v>8</v>
      </c>
      <c r="DW32">
        <v>9</v>
      </c>
      <c r="DX32" s="28">
        <v>-1</v>
      </c>
      <c r="DY32" s="31"/>
      <c r="DZ32" s="30"/>
      <c r="EC32" s="28">
        <v>0</v>
      </c>
      <c r="ED32" s="31"/>
      <c r="EE32">
        <v>48</v>
      </c>
      <c r="EF32" s="32">
        <v>50</v>
      </c>
      <c r="EG32" s="28">
        <v>-2</v>
      </c>
      <c r="EH32" s="31"/>
      <c r="EI32" s="30"/>
      <c r="EN32" s="28">
        <v>0</v>
      </c>
      <c r="EO32" s="31"/>
      <c r="EP32">
        <v>32</v>
      </c>
      <c r="EQ32" s="32">
        <v>36.600000000000009</v>
      </c>
      <c r="ER32" s="28">
        <v>-4.6000000000000094</v>
      </c>
      <c r="ES32" s="31"/>
      <c r="ET32" s="30"/>
      <c r="EX32" s="28">
        <v>0</v>
      </c>
      <c r="EY32" s="31"/>
      <c r="EZ32">
        <v>16</v>
      </c>
      <c r="FA32">
        <v>20</v>
      </c>
      <c r="FB32">
        <v>56</v>
      </c>
      <c r="FC32">
        <v>60</v>
      </c>
      <c r="FD32" s="28">
        <v>-8</v>
      </c>
      <c r="FE32" s="31"/>
      <c r="FH32" s="28">
        <v>0</v>
      </c>
      <c r="FI32" s="31"/>
      <c r="FJ32" s="24">
        <v>40</v>
      </c>
      <c r="FK32">
        <v>42</v>
      </c>
      <c r="FL32" s="28">
        <v>-2</v>
      </c>
      <c r="FM32" s="31"/>
      <c r="FN32" s="24">
        <v>24</v>
      </c>
      <c r="FO32">
        <v>24</v>
      </c>
      <c r="FP32" s="28">
        <v>0</v>
      </c>
      <c r="FQ32" s="31"/>
      <c r="FR32">
        <v>16</v>
      </c>
      <c r="FS32">
        <v>15</v>
      </c>
      <c r="FT32" s="28">
        <v>1</v>
      </c>
      <c r="FU32" s="31"/>
      <c r="FV32" s="24">
        <v>24</v>
      </c>
      <c r="FW32">
        <v>27</v>
      </c>
      <c r="FX32" s="28">
        <v>-3</v>
      </c>
      <c r="FY32" s="31"/>
      <c r="FZ32" s="30"/>
      <c r="GB32" s="28">
        <v>0</v>
      </c>
      <c r="GC32" s="31"/>
      <c r="GF32" s="28">
        <v>0</v>
      </c>
      <c r="GG32" s="34"/>
      <c r="GH32">
        <v>32</v>
      </c>
      <c r="GI32">
        <v>34</v>
      </c>
      <c r="GJ32" s="28">
        <v>-2</v>
      </c>
      <c r="GK32" s="31"/>
      <c r="GL32">
        <v>16</v>
      </c>
      <c r="GM32">
        <v>16</v>
      </c>
      <c r="GN32" s="28">
        <v>0</v>
      </c>
      <c r="GO32" s="34"/>
      <c r="GP32">
        <v>16</v>
      </c>
      <c r="GQ32">
        <v>16</v>
      </c>
      <c r="GR32" s="28">
        <v>0</v>
      </c>
      <c r="GS32" s="31"/>
      <c r="GV32" s="28">
        <v>0</v>
      </c>
      <c r="GW32" s="34"/>
      <c r="GZ32" s="28">
        <v>0</v>
      </c>
      <c r="HA32" s="31"/>
      <c r="HB32" s="33"/>
      <c r="HD32" s="28">
        <v>0</v>
      </c>
      <c r="HE32" s="34"/>
      <c r="HF32">
        <v>40</v>
      </c>
      <c r="HG32">
        <v>40</v>
      </c>
      <c r="HH32" s="28">
        <v>0</v>
      </c>
      <c r="HI32" s="34"/>
      <c r="HL32" s="28">
        <v>0</v>
      </c>
      <c r="HM32" s="34"/>
      <c r="HP32" s="28">
        <v>0</v>
      </c>
      <c r="HQ32" s="31"/>
      <c r="HR32" s="29"/>
      <c r="HT32" s="29"/>
      <c r="HV32" s="28">
        <v>0</v>
      </c>
      <c r="HW32" s="34"/>
      <c r="HX32" s="32">
        <v>0</v>
      </c>
      <c r="HY32" s="32">
        <v>0</v>
      </c>
      <c r="HZ32" s="28">
        <v>0</v>
      </c>
      <c r="IA32" s="34"/>
      <c r="IB32" s="32">
        <v>0</v>
      </c>
      <c r="IC32" s="32">
        <v>0</v>
      </c>
      <c r="ID32" s="28">
        <v>0</v>
      </c>
      <c r="IE32" s="34"/>
      <c r="IF32" s="33">
        <v>0</v>
      </c>
      <c r="IG32" s="32">
        <v>0</v>
      </c>
      <c r="IH32" s="28">
        <v>0</v>
      </c>
      <c r="II32" s="34"/>
    </row>
    <row r="33" spans="1:243" x14ac:dyDescent="0.25">
      <c r="A33" s="28" t="s">
        <v>165</v>
      </c>
      <c r="B33" s="29">
        <v>1</v>
      </c>
      <c r="J33" s="30"/>
      <c r="K33" s="35"/>
      <c r="L33" s="35"/>
      <c r="M33" s="35"/>
      <c r="N33" s="35">
        <f t="shared" si="4"/>
        <v>0</v>
      </c>
      <c r="O33" s="31"/>
      <c r="P33" s="35"/>
      <c r="S33" s="28">
        <v>0</v>
      </c>
      <c r="T33" s="31"/>
      <c r="U33" s="30"/>
      <c r="W33" s="28">
        <v>0</v>
      </c>
      <c r="X33" s="31"/>
      <c r="Y33" s="30"/>
      <c r="AA33" s="28">
        <v>0</v>
      </c>
      <c r="AB33" s="31"/>
      <c r="AE33" s="28">
        <v>0</v>
      </c>
      <c r="AF33" s="31"/>
      <c r="AG33" s="30"/>
      <c r="AI33" s="28">
        <v>0</v>
      </c>
      <c r="AJ33" s="31"/>
      <c r="AM33" s="28">
        <v>0</v>
      </c>
      <c r="AN33" s="31"/>
      <c r="AO33" s="30"/>
      <c r="AQ33" s="28">
        <v>0</v>
      </c>
      <c r="AR33" s="31"/>
      <c r="AS33" s="30"/>
      <c r="AU33" s="28">
        <v>0</v>
      </c>
      <c r="AV33" s="31"/>
      <c r="AY33" s="28">
        <v>0</v>
      </c>
      <c r="AZ33" s="31"/>
      <c r="BA33" s="30"/>
      <c r="BE33" s="28">
        <v>0</v>
      </c>
      <c r="BF33" s="31"/>
      <c r="BG33" s="30"/>
      <c r="BI33" s="28">
        <v>0</v>
      </c>
      <c r="BJ33" s="31"/>
      <c r="BO33" s="28">
        <v>0</v>
      </c>
      <c r="BP33" s="31"/>
      <c r="BS33" s="28">
        <v>0</v>
      </c>
      <c r="BT33" s="31"/>
      <c r="BU33" s="30"/>
      <c r="BW33" s="28">
        <v>0</v>
      </c>
      <c r="BX33" s="31"/>
      <c r="BY33" s="30"/>
      <c r="CA33" s="28">
        <v>0</v>
      </c>
      <c r="CB33" s="31"/>
      <c r="CE33" s="28">
        <v>0</v>
      </c>
      <c r="CF33" s="31"/>
      <c r="CG33" s="30"/>
      <c r="CJ33" s="28">
        <v>0</v>
      </c>
      <c r="CK33" s="31"/>
      <c r="CL33" s="30"/>
      <c r="CP33" s="28">
        <v>0</v>
      </c>
      <c r="CQ33" s="31"/>
      <c r="CR33" s="30"/>
      <c r="CU33" s="28">
        <v>0</v>
      </c>
      <c r="CV33" s="31"/>
      <c r="CY33" s="28">
        <v>0</v>
      </c>
      <c r="CZ33" s="31"/>
      <c r="DA33" s="33"/>
      <c r="DC33" s="28">
        <v>0</v>
      </c>
      <c r="DD33" s="31"/>
      <c r="DE33" s="30"/>
      <c r="DG33" s="28">
        <v>0</v>
      </c>
      <c r="DH33" s="31"/>
      <c r="DI33" s="30"/>
      <c r="DK33" s="28">
        <v>0</v>
      </c>
      <c r="DL33" s="31"/>
      <c r="DO33" s="28">
        <v>0</v>
      </c>
      <c r="DP33" s="31"/>
      <c r="DS33" s="28">
        <v>0</v>
      </c>
      <c r="DT33" s="31"/>
      <c r="DU33" s="30"/>
      <c r="DX33" s="28">
        <v>0</v>
      </c>
      <c r="DY33" s="31"/>
      <c r="DZ33" s="30"/>
      <c r="EC33" s="28">
        <v>0</v>
      </c>
      <c r="ED33" s="31"/>
      <c r="EG33" s="28">
        <v>0</v>
      </c>
      <c r="EH33" s="31"/>
      <c r="EI33" s="30"/>
      <c r="EN33" s="28">
        <v>0</v>
      </c>
      <c r="EO33" s="31"/>
      <c r="ER33" s="28">
        <v>0</v>
      </c>
      <c r="ES33" s="31"/>
      <c r="ET33" s="30"/>
      <c r="EX33" s="28">
        <v>0</v>
      </c>
      <c r="EY33" s="31"/>
      <c r="FD33" s="28">
        <v>0</v>
      </c>
      <c r="FE33" s="31"/>
      <c r="FH33" s="28">
        <v>0</v>
      </c>
      <c r="FI33" s="31"/>
      <c r="FJ33" s="30"/>
      <c r="FL33" s="28">
        <v>0</v>
      </c>
      <c r="FM33" s="31"/>
      <c r="FN33" s="30"/>
      <c r="FP33" s="28">
        <v>0</v>
      </c>
      <c r="FQ33" s="31"/>
      <c r="FT33" s="28">
        <v>0</v>
      </c>
      <c r="FU33" s="31"/>
      <c r="FV33" s="30"/>
      <c r="FX33" s="28">
        <v>0</v>
      </c>
      <c r="FY33" s="31"/>
      <c r="FZ33" s="30"/>
      <c r="GB33" s="28">
        <v>0</v>
      </c>
      <c r="GC33" s="31"/>
      <c r="GF33" s="28">
        <v>0</v>
      </c>
      <c r="GG33" s="34"/>
      <c r="GJ33" s="28">
        <v>0</v>
      </c>
      <c r="GK33" s="31"/>
      <c r="GN33" s="28">
        <v>0</v>
      </c>
      <c r="GO33" s="34"/>
      <c r="GR33" s="28">
        <v>0</v>
      </c>
      <c r="GS33" s="31"/>
      <c r="GV33" s="28">
        <v>0</v>
      </c>
      <c r="GW33" s="34"/>
      <c r="GZ33" s="28">
        <v>0</v>
      </c>
      <c r="HA33" s="31"/>
      <c r="HB33" s="33"/>
      <c r="HD33" s="28">
        <v>0</v>
      </c>
      <c r="HE33" s="34"/>
      <c r="HH33" s="28">
        <v>0</v>
      </c>
      <c r="HI33" s="34"/>
      <c r="HL33" s="28">
        <v>0</v>
      </c>
      <c r="HM33" s="34"/>
      <c r="HP33" s="28">
        <v>0</v>
      </c>
      <c r="HQ33" s="31"/>
      <c r="HR33" s="29"/>
      <c r="HT33" s="29"/>
      <c r="HV33" s="28">
        <v>0</v>
      </c>
      <c r="HW33" s="34"/>
      <c r="HX33" s="32">
        <v>41.133000000000003</v>
      </c>
      <c r="HY33" s="32">
        <v>40</v>
      </c>
      <c r="HZ33" s="28">
        <v>1.1330000000000029</v>
      </c>
      <c r="IA33" s="34"/>
      <c r="IB33" s="32">
        <v>16.57</v>
      </c>
      <c r="IC33" s="32">
        <v>16.695399999999999</v>
      </c>
      <c r="ID33" s="28">
        <v>-0.12540000000000259</v>
      </c>
      <c r="IE33" s="34"/>
      <c r="IF33" s="33">
        <v>0</v>
      </c>
      <c r="IG33" s="32">
        <v>0</v>
      </c>
      <c r="IH33" s="28">
        <v>0</v>
      </c>
      <c r="II33" s="34"/>
    </row>
    <row r="34" spans="1:243" x14ac:dyDescent="0.25">
      <c r="A34" s="28" t="s">
        <v>166</v>
      </c>
      <c r="B34" s="29">
        <v>1</v>
      </c>
      <c r="E34">
        <v>150</v>
      </c>
      <c r="F34">
        <v>198</v>
      </c>
      <c r="G34">
        <v>200</v>
      </c>
      <c r="J34" s="30"/>
      <c r="K34" s="35"/>
      <c r="L34" s="35"/>
      <c r="M34" s="35"/>
      <c r="N34" s="35">
        <f t="shared" si="4"/>
        <v>0</v>
      </c>
      <c r="O34" s="31"/>
      <c r="P34" s="35"/>
      <c r="Q34">
        <v>183</v>
      </c>
      <c r="R34">
        <v>183</v>
      </c>
      <c r="S34" s="28">
        <v>0</v>
      </c>
      <c r="T34" s="31"/>
      <c r="U34" s="24">
        <v>400</v>
      </c>
      <c r="V34">
        <v>400</v>
      </c>
      <c r="W34" s="28">
        <v>0</v>
      </c>
      <c r="X34" s="31"/>
      <c r="Y34" s="30"/>
      <c r="AA34" s="28">
        <v>0</v>
      </c>
      <c r="AB34" s="31"/>
      <c r="AE34" s="28">
        <v>0</v>
      </c>
      <c r="AF34" s="31"/>
      <c r="AG34" s="24">
        <v>89</v>
      </c>
      <c r="AH34">
        <v>87</v>
      </c>
      <c r="AI34" s="28">
        <v>2</v>
      </c>
      <c r="AJ34" s="31"/>
      <c r="AK34">
        <v>656</v>
      </c>
      <c r="AL34">
        <v>661</v>
      </c>
      <c r="AM34" s="27">
        <v>-5</v>
      </c>
      <c r="AN34" s="31">
        <v>5</v>
      </c>
      <c r="AO34" s="24">
        <v>202</v>
      </c>
      <c r="AP34">
        <v>200</v>
      </c>
      <c r="AQ34" s="28">
        <v>2</v>
      </c>
      <c r="AR34" s="31"/>
      <c r="AS34" s="24">
        <v>175</v>
      </c>
      <c r="AT34">
        <v>172</v>
      </c>
      <c r="AU34" s="28">
        <v>3</v>
      </c>
      <c r="AV34" s="31"/>
      <c r="AY34" s="28">
        <v>0</v>
      </c>
      <c r="AZ34" s="31"/>
      <c r="BA34" s="24">
        <v>202</v>
      </c>
      <c r="BB34">
        <v>200</v>
      </c>
      <c r="BC34">
        <v>212</v>
      </c>
      <c r="BD34">
        <v>209</v>
      </c>
      <c r="BE34" s="28">
        <v>5</v>
      </c>
      <c r="BF34" s="31"/>
      <c r="BG34" s="30"/>
      <c r="BI34" s="28">
        <v>0</v>
      </c>
      <c r="BJ34" s="31"/>
      <c r="BK34">
        <v>102</v>
      </c>
      <c r="BL34">
        <v>100</v>
      </c>
      <c r="BM34">
        <v>216</v>
      </c>
      <c r="BN34">
        <v>213</v>
      </c>
      <c r="BO34" s="28">
        <v>5</v>
      </c>
      <c r="BP34" s="31"/>
      <c r="BS34" s="28">
        <v>0</v>
      </c>
      <c r="BT34" s="31"/>
      <c r="BU34" s="24">
        <v>351</v>
      </c>
      <c r="BV34">
        <v>348</v>
      </c>
      <c r="BW34" s="28">
        <v>3</v>
      </c>
      <c r="BX34" s="31"/>
      <c r="BY34" s="24">
        <v>32</v>
      </c>
      <c r="BZ34">
        <v>30</v>
      </c>
      <c r="CA34" s="28">
        <v>2</v>
      </c>
      <c r="CB34" s="31"/>
      <c r="CC34">
        <v>44</v>
      </c>
      <c r="CD34">
        <v>45</v>
      </c>
      <c r="CE34" s="28">
        <v>-1</v>
      </c>
      <c r="CF34" s="31"/>
      <c r="CG34" s="24">
        <v>182</v>
      </c>
      <c r="CI34">
        <v>188</v>
      </c>
      <c r="CJ34" s="28">
        <v>-6</v>
      </c>
      <c r="CK34" s="31"/>
      <c r="CL34" s="24">
        <v>101</v>
      </c>
      <c r="CM34">
        <v>100</v>
      </c>
      <c r="CN34">
        <v>213</v>
      </c>
      <c r="CO34">
        <v>214</v>
      </c>
      <c r="CP34" s="28">
        <v>0</v>
      </c>
      <c r="CQ34" s="31"/>
      <c r="CR34" s="24">
        <v>85</v>
      </c>
      <c r="CT34">
        <v>85</v>
      </c>
      <c r="CU34" s="28">
        <v>0</v>
      </c>
      <c r="CV34" s="31"/>
      <c r="CW34">
        <v>285</v>
      </c>
      <c r="CX34" s="28">
        <v>280.87920000000003</v>
      </c>
      <c r="CY34" s="28">
        <v>4.1207999999999743</v>
      </c>
      <c r="CZ34" s="31"/>
      <c r="DA34" s="24">
        <v>20</v>
      </c>
      <c r="DB34" s="28">
        <v>18.277999999999992</v>
      </c>
      <c r="DC34" s="28">
        <v>1.722000000000008</v>
      </c>
      <c r="DD34" s="31"/>
      <c r="DE34" s="24">
        <v>190</v>
      </c>
      <c r="DF34" s="28">
        <v>189.19659999999999</v>
      </c>
      <c r="DG34" s="28">
        <v>0.80340000000001055</v>
      </c>
      <c r="DH34" s="31"/>
      <c r="DI34" s="24">
        <v>73</v>
      </c>
      <c r="DJ34">
        <v>74</v>
      </c>
      <c r="DK34" s="28">
        <v>-1</v>
      </c>
      <c r="DL34" s="31"/>
      <c r="DM34">
        <v>151</v>
      </c>
      <c r="DN34" s="32">
        <v>149.68299999999999</v>
      </c>
      <c r="DO34" s="28">
        <v>1.3170000000000071</v>
      </c>
      <c r="DP34" s="31"/>
      <c r="DQ34">
        <v>139</v>
      </c>
      <c r="DR34">
        <v>139</v>
      </c>
      <c r="DS34" s="28">
        <v>0</v>
      </c>
      <c r="DT34" s="31"/>
      <c r="DU34" s="24">
        <v>66</v>
      </c>
      <c r="DW34">
        <v>66</v>
      </c>
      <c r="DX34" s="28">
        <v>0</v>
      </c>
      <c r="DY34" s="31"/>
      <c r="DZ34" s="30"/>
      <c r="EC34" s="28">
        <v>0</v>
      </c>
      <c r="ED34" s="31"/>
      <c r="EE34">
        <v>94</v>
      </c>
      <c r="EF34" s="32">
        <v>91.46899999999998</v>
      </c>
      <c r="EG34" s="28">
        <v>2.5310000000000201</v>
      </c>
      <c r="EH34" s="31"/>
      <c r="EI34" s="30"/>
      <c r="EJ34">
        <v>122</v>
      </c>
      <c r="EK34">
        <v>120</v>
      </c>
      <c r="EL34">
        <v>114</v>
      </c>
      <c r="EM34">
        <v>111</v>
      </c>
      <c r="EN34" s="28">
        <v>5</v>
      </c>
      <c r="EO34" s="31"/>
      <c r="ER34" s="28">
        <v>0</v>
      </c>
      <c r="ES34" s="31"/>
      <c r="ET34" s="24">
        <v>81</v>
      </c>
      <c r="EU34">
        <v>80</v>
      </c>
      <c r="EV34">
        <v>89</v>
      </c>
      <c r="EW34">
        <v>93</v>
      </c>
      <c r="EX34" s="28">
        <v>-3</v>
      </c>
      <c r="EY34" s="31"/>
      <c r="EZ34">
        <v>41</v>
      </c>
      <c r="FA34">
        <v>40</v>
      </c>
      <c r="FB34">
        <v>41</v>
      </c>
      <c r="FC34">
        <v>40</v>
      </c>
      <c r="FD34" s="28">
        <v>2</v>
      </c>
      <c r="FE34" s="31"/>
      <c r="FF34">
        <v>57</v>
      </c>
      <c r="FG34" s="32">
        <v>57.975200000000001</v>
      </c>
      <c r="FH34" s="28">
        <v>-0.97520000000000095</v>
      </c>
      <c r="FI34" s="31"/>
      <c r="FJ34" s="24">
        <v>218</v>
      </c>
      <c r="FK34">
        <v>220</v>
      </c>
      <c r="FL34" s="28">
        <v>-2</v>
      </c>
      <c r="FM34" s="31"/>
      <c r="FN34" s="30"/>
      <c r="FP34" s="28">
        <v>0</v>
      </c>
      <c r="FQ34" s="31"/>
      <c r="FR34">
        <v>33</v>
      </c>
      <c r="FS34">
        <v>30</v>
      </c>
      <c r="FT34" s="28">
        <v>3</v>
      </c>
      <c r="FU34" s="31"/>
      <c r="FV34" s="24">
        <v>213</v>
      </c>
      <c r="FW34">
        <v>210</v>
      </c>
      <c r="FX34" s="28">
        <v>3</v>
      </c>
      <c r="FY34" s="31"/>
      <c r="FZ34" s="24">
        <v>90</v>
      </c>
      <c r="GA34">
        <v>90</v>
      </c>
      <c r="GB34" s="28">
        <v>0</v>
      </c>
      <c r="GC34" s="31"/>
      <c r="GD34">
        <v>109</v>
      </c>
      <c r="GE34">
        <v>108</v>
      </c>
      <c r="GF34" s="28">
        <v>1</v>
      </c>
      <c r="GG34" s="34"/>
      <c r="GH34">
        <v>49</v>
      </c>
      <c r="GI34">
        <v>49</v>
      </c>
      <c r="GJ34" s="28">
        <v>0</v>
      </c>
      <c r="GK34" s="31"/>
      <c r="GL34">
        <v>41</v>
      </c>
      <c r="GM34">
        <v>40</v>
      </c>
      <c r="GN34" s="28">
        <v>1</v>
      </c>
      <c r="GO34" s="34"/>
      <c r="GP34">
        <v>69</v>
      </c>
      <c r="GQ34">
        <v>70</v>
      </c>
      <c r="GR34" s="28">
        <v>-1</v>
      </c>
      <c r="GS34" s="31"/>
      <c r="GT34">
        <v>37</v>
      </c>
      <c r="GU34">
        <v>38</v>
      </c>
      <c r="GV34" s="28">
        <v>-1</v>
      </c>
      <c r="GW34" s="34"/>
      <c r="GZ34" s="28">
        <v>0</v>
      </c>
      <c r="HA34" s="31"/>
      <c r="HB34" s="24">
        <v>81</v>
      </c>
      <c r="HC34" s="32">
        <v>80</v>
      </c>
      <c r="HD34" s="28">
        <v>1</v>
      </c>
      <c r="HE34" s="34"/>
      <c r="HF34">
        <v>194</v>
      </c>
      <c r="HG34">
        <v>194</v>
      </c>
      <c r="HH34" s="28">
        <v>0</v>
      </c>
      <c r="HI34" s="34"/>
      <c r="HJ34">
        <v>61</v>
      </c>
      <c r="HK34">
        <v>59</v>
      </c>
      <c r="HL34" s="28">
        <v>-2</v>
      </c>
      <c r="HM34" s="34"/>
      <c r="HN34">
        <v>69</v>
      </c>
      <c r="HO34">
        <v>70</v>
      </c>
      <c r="HP34" s="28">
        <v>-1</v>
      </c>
      <c r="HQ34" s="31"/>
      <c r="HR34">
        <v>130</v>
      </c>
      <c r="HS34">
        <v>130</v>
      </c>
      <c r="HT34">
        <v>102</v>
      </c>
      <c r="HU34">
        <v>100</v>
      </c>
      <c r="HV34" s="28">
        <v>2</v>
      </c>
      <c r="HW34" s="34"/>
      <c r="HX34" s="32">
        <v>122.01</v>
      </c>
      <c r="HY34" s="32">
        <v>120</v>
      </c>
      <c r="HZ34" s="28">
        <v>2.0100000000000051</v>
      </c>
      <c r="IA34" s="34"/>
      <c r="IB34" s="32">
        <v>73.069000000000003</v>
      </c>
      <c r="IC34" s="32">
        <v>73.456199999999995</v>
      </c>
      <c r="ID34" s="28">
        <v>-0.38719999999999288</v>
      </c>
      <c r="IE34" s="34"/>
      <c r="IF34" s="33">
        <v>0</v>
      </c>
      <c r="IG34" s="32">
        <v>0</v>
      </c>
      <c r="IH34" s="28">
        <v>0</v>
      </c>
      <c r="II34" s="34"/>
    </row>
    <row r="35" spans="1:243" x14ac:dyDescent="0.25">
      <c r="A35" s="28" t="s">
        <v>167</v>
      </c>
      <c r="B35" s="29">
        <v>0.22</v>
      </c>
      <c r="F35">
        <v>72</v>
      </c>
      <c r="G35">
        <v>75</v>
      </c>
      <c r="J35" s="30"/>
      <c r="K35" s="35"/>
      <c r="L35" s="36">
        <v>8</v>
      </c>
      <c r="M35" s="36">
        <v>8</v>
      </c>
      <c r="N35" s="35">
        <f t="shared" si="4"/>
        <v>0</v>
      </c>
      <c r="O35" s="31"/>
      <c r="P35" s="35"/>
      <c r="Q35">
        <v>40</v>
      </c>
      <c r="R35">
        <v>41</v>
      </c>
      <c r="S35" s="28">
        <v>-1</v>
      </c>
      <c r="T35" s="31"/>
      <c r="U35" s="24">
        <v>16</v>
      </c>
      <c r="V35">
        <v>21</v>
      </c>
      <c r="W35" s="28">
        <v>-5</v>
      </c>
      <c r="X35" s="31"/>
      <c r="Y35" s="24">
        <v>24</v>
      </c>
      <c r="Z35">
        <v>29</v>
      </c>
      <c r="AA35" s="28">
        <v>-5</v>
      </c>
      <c r="AB35" s="31"/>
      <c r="AC35">
        <v>16</v>
      </c>
      <c r="AD35">
        <v>16</v>
      </c>
      <c r="AE35" s="28">
        <v>0</v>
      </c>
      <c r="AF35" s="31"/>
      <c r="AG35" s="24">
        <v>16</v>
      </c>
      <c r="AH35">
        <v>16</v>
      </c>
      <c r="AI35" s="28">
        <v>0</v>
      </c>
      <c r="AJ35" s="31"/>
      <c r="AM35" s="28">
        <v>0</v>
      </c>
      <c r="AN35" s="31"/>
      <c r="AO35" s="30"/>
      <c r="AP35">
        <v>50</v>
      </c>
      <c r="AQ35" s="27">
        <v>-50</v>
      </c>
      <c r="AR35" s="31">
        <v>11</v>
      </c>
      <c r="AS35" s="30"/>
      <c r="AU35" s="28">
        <v>0</v>
      </c>
      <c r="AV35" s="31"/>
      <c r="AW35">
        <v>8</v>
      </c>
      <c r="AX35">
        <v>8</v>
      </c>
      <c r="AY35" s="28">
        <v>0</v>
      </c>
      <c r="AZ35" s="31"/>
      <c r="BA35" s="30"/>
      <c r="BC35">
        <v>24</v>
      </c>
      <c r="BD35">
        <v>29</v>
      </c>
      <c r="BE35" s="28">
        <v>-5</v>
      </c>
      <c r="BF35" s="31"/>
      <c r="BG35" s="30"/>
      <c r="BI35" s="28">
        <v>0</v>
      </c>
      <c r="BJ35" s="31"/>
      <c r="BM35">
        <v>16</v>
      </c>
      <c r="BN35">
        <v>16</v>
      </c>
      <c r="BO35" s="28">
        <v>0</v>
      </c>
      <c r="BP35" s="31"/>
      <c r="BS35" s="28">
        <v>0</v>
      </c>
      <c r="BT35" s="31"/>
      <c r="BU35" s="30"/>
      <c r="BV35">
        <v>39</v>
      </c>
      <c r="BW35" s="27">
        <v>-39</v>
      </c>
      <c r="BX35" s="31">
        <v>8.58</v>
      </c>
      <c r="BY35" s="30"/>
      <c r="CA35" s="28">
        <v>0</v>
      </c>
      <c r="CB35" s="31"/>
      <c r="CC35">
        <v>8</v>
      </c>
      <c r="CD35">
        <v>8</v>
      </c>
      <c r="CE35" s="28">
        <v>0</v>
      </c>
      <c r="CF35" s="31"/>
      <c r="CG35" s="24">
        <v>40</v>
      </c>
      <c r="CI35">
        <v>41</v>
      </c>
      <c r="CJ35" s="28">
        <v>-1</v>
      </c>
      <c r="CK35" s="31"/>
      <c r="CL35" s="30"/>
      <c r="CP35" s="28">
        <v>0</v>
      </c>
      <c r="CQ35" s="31"/>
      <c r="CR35" s="30"/>
      <c r="CU35" s="28">
        <v>0</v>
      </c>
      <c r="CV35" s="31"/>
      <c r="CY35" s="28">
        <v>0</v>
      </c>
      <c r="CZ35" s="31"/>
      <c r="DA35" s="33"/>
      <c r="DC35" s="28">
        <v>0</v>
      </c>
      <c r="DD35" s="31"/>
      <c r="DE35" s="24">
        <v>56</v>
      </c>
      <c r="DF35" s="28">
        <v>58.8</v>
      </c>
      <c r="DG35" s="28">
        <v>-2.7999999999999972</v>
      </c>
      <c r="DH35" s="31"/>
      <c r="DI35" s="30"/>
      <c r="DK35" s="28">
        <v>0</v>
      </c>
      <c r="DL35" s="31"/>
      <c r="DO35" s="28">
        <v>0</v>
      </c>
      <c r="DP35" s="31"/>
      <c r="DS35" s="28">
        <v>0</v>
      </c>
      <c r="DT35" s="31"/>
      <c r="DU35" s="30"/>
      <c r="DX35" s="28">
        <v>0</v>
      </c>
      <c r="DY35" s="31"/>
      <c r="DZ35" s="24">
        <v>72</v>
      </c>
      <c r="EB35">
        <v>73</v>
      </c>
      <c r="EC35" s="28">
        <v>-1</v>
      </c>
      <c r="ED35" s="31"/>
      <c r="EE35">
        <v>64</v>
      </c>
      <c r="EF35" s="32">
        <v>68</v>
      </c>
      <c r="EG35" s="28">
        <v>-4</v>
      </c>
      <c r="EH35" s="31"/>
      <c r="EI35" s="30"/>
      <c r="EN35" s="28">
        <v>0</v>
      </c>
      <c r="EO35" s="31"/>
      <c r="EP35">
        <v>64</v>
      </c>
      <c r="EQ35" s="32">
        <v>65</v>
      </c>
      <c r="ER35" s="28">
        <v>-1</v>
      </c>
      <c r="ES35" s="31"/>
      <c r="ET35" s="30"/>
      <c r="EX35" s="28">
        <v>0</v>
      </c>
      <c r="EY35" s="31"/>
      <c r="FB35">
        <v>40</v>
      </c>
      <c r="FC35">
        <v>40</v>
      </c>
      <c r="FD35" s="28">
        <v>0</v>
      </c>
      <c r="FE35" s="31"/>
      <c r="FF35">
        <v>32</v>
      </c>
      <c r="FG35" s="32">
        <v>35</v>
      </c>
      <c r="FH35" s="28">
        <v>-3</v>
      </c>
      <c r="FI35" s="31"/>
      <c r="FJ35" s="24">
        <v>24</v>
      </c>
      <c r="FK35">
        <v>24</v>
      </c>
      <c r="FL35" s="28">
        <v>0</v>
      </c>
      <c r="FM35" s="31"/>
      <c r="FN35" s="24">
        <v>8</v>
      </c>
      <c r="FO35">
        <v>8</v>
      </c>
      <c r="FP35" s="28">
        <v>0</v>
      </c>
      <c r="FQ35" s="31"/>
      <c r="FR35">
        <v>8</v>
      </c>
      <c r="FS35">
        <v>8</v>
      </c>
      <c r="FT35" s="28">
        <v>0</v>
      </c>
      <c r="FU35" s="31"/>
      <c r="FV35" s="24">
        <v>16</v>
      </c>
      <c r="FW35">
        <v>20</v>
      </c>
      <c r="FX35" s="28">
        <v>-4</v>
      </c>
      <c r="FY35" s="31"/>
      <c r="FZ35" s="30"/>
      <c r="GB35" s="28">
        <v>0</v>
      </c>
      <c r="GC35" s="31"/>
      <c r="GF35" s="28">
        <v>0</v>
      </c>
      <c r="GG35" s="34"/>
      <c r="GJ35" s="28">
        <v>0</v>
      </c>
      <c r="GK35" s="31"/>
      <c r="GN35" s="28">
        <v>0</v>
      </c>
      <c r="GO35" s="34"/>
      <c r="GR35" s="28">
        <v>0</v>
      </c>
      <c r="GS35" s="31"/>
      <c r="GV35" s="28">
        <v>0</v>
      </c>
      <c r="GW35" s="34"/>
      <c r="GZ35" s="28">
        <v>0</v>
      </c>
      <c r="HA35" s="31"/>
      <c r="HB35" s="33"/>
      <c r="HD35" s="28">
        <v>0</v>
      </c>
      <c r="HE35" s="34"/>
      <c r="HH35" s="28">
        <v>0</v>
      </c>
      <c r="HI35" s="34"/>
      <c r="HL35" s="28">
        <v>0</v>
      </c>
      <c r="HM35" s="34"/>
      <c r="HP35" s="28">
        <v>0</v>
      </c>
      <c r="HQ35" s="31"/>
      <c r="HR35">
        <v>32</v>
      </c>
      <c r="HS35">
        <v>32</v>
      </c>
      <c r="HT35">
        <v>16</v>
      </c>
      <c r="HU35">
        <v>18</v>
      </c>
      <c r="HV35" s="28">
        <v>-2</v>
      </c>
      <c r="HW35" s="34"/>
      <c r="HX35" s="32">
        <v>48</v>
      </c>
      <c r="HY35" s="32">
        <v>50</v>
      </c>
      <c r="HZ35" s="28">
        <v>-2</v>
      </c>
      <c r="IA35" s="34"/>
      <c r="IB35" s="32">
        <v>64</v>
      </c>
      <c r="IC35" s="32">
        <v>68</v>
      </c>
      <c r="ID35" s="28">
        <v>-4</v>
      </c>
      <c r="IE35" s="34"/>
      <c r="IF35" s="33">
        <v>0</v>
      </c>
      <c r="IG35" s="32">
        <v>0</v>
      </c>
      <c r="IH35" s="28">
        <v>0</v>
      </c>
      <c r="II35" s="34"/>
    </row>
    <row r="36" spans="1:243" x14ac:dyDescent="0.25">
      <c r="A36" s="28" t="s">
        <v>168</v>
      </c>
      <c r="B36" s="29">
        <v>1</v>
      </c>
      <c r="J36" s="30"/>
      <c r="K36" s="35"/>
      <c r="L36" s="35"/>
      <c r="M36" s="35"/>
      <c r="N36" s="35">
        <f t="shared" si="4"/>
        <v>0</v>
      </c>
      <c r="O36" s="31"/>
      <c r="P36" s="35"/>
      <c r="S36" s="28">
        <v>0</v>
      </c>
      <c r="T36" s="31"/>
      <c r="U36" s="30"/>
      <c r="W36" s="28">
        <v>0</v>
      </c>
      <c r="X36" s="31"/>
      <c r="Y36" s="30"/>
      <c r="AA36" s="28">
        <v>0</v>
      </c>
      <c r="AB36" s="31"/>
      <c r="AE36" s="28">
        <v>0</v>
      </c>
      <c r="AF36" s="31"/>
      <c r="AG36" s="30"/>
      <c r="AI36" s="28">
        <v>0</v>
      </c>
      <c r="AJ36" s="31"/>
      <c r="AM36" s="28">
        <v>0</v>
      </c>
      <c r="AN36" s="31"/>
      <c r="AO36" s="30"/>
      <c r="AQ36" s="28">
        <v>0</v>
      </c>
      <c r="AR36" s="31"/>
      <c r="AS36" s="30"/>
      <c r="AU36" s="28">
        <v>0</v>
      </c>
      <c r="AV36" s="31"/>
      <c r="AY36" s="28">
        <v>0</v>
      </c>
      <c r="AZ36" s="31"/>
      <c r="BA36" s="30"/>
      <c r="BE36" s="28">
        <v>0</v>
      </c>
      <c r="BF36" s="31"/>
      <c r="BG36" s="30"/>
      <c r="BI36" s="28">
        <v>0</v>
      </c>
      <c r="BJ36" s="31"/>
      <c r="BO36" s="28">
        <v>0</v>
      </c>
      <c r="BP36" s="31"/>
      <c r="BS36" s="28">
        <v>0</v>
      </c>
      <c r="BT36" s="31"/>
      <c r="BU36" s="30"/>
      <c r="BW36" s="28">
        <v>0</v>
      </c>
      <c r="BX36" s="31"/>
      <c r="BY36" s="30"/>
      <c r="CA36" s="28">
        <v>0</v>
      </c>
      <c r="CB36" s="31"/>
      <c r="CE36" s="28">
        <v>0</v>
      </c>
      <c r="CF36" s="31"/>
      <c r="CG36" s="30"/>
      <c r="CJ36" s="28">
        <v>0</v>
      </c>
      <c r="CK36" s="31"/>
      <c r="CL36" s="30"/>
      <c r="CP36" s="28">
        <v>0</v>
      </c>
      <c r="CQ36" s="31"/>
      <c r="CR36" s="30"/>
      <c r="CU36" s="28">
        <v>0</v>
      </c>
      <c r="CV36" s="31"/>
      <c r="CY36" s="28">
        <v>0</v>
      </c>
      <c r="CZ36" s="31"/>
      <c r="DA36" s="33"/>
      <c r="DC36" s="28">
        <v>0</v>
      </c>
      <c r="DD36" s="31"/>
      <c r="DE36" s="30"/>
      <c r="DG36" s="28">
        <v>0</v>
      </c>
      <c r="DH36" s="31"/>
      <c r="DI36" s="30"/>
      <c r="DK36" s="28">
        <v>0</v>
      </c>
      <c r="DL36" s="31"/>
      <c r="DO36" s="28">
        <v>0</v>
      </c>
      <c r="DP36" s="31"/>
      <c r="DS36" s="28">
        <v>0</v>
      </c>
      <c r="DT36" s="31"/>
      <c r="DU36" s="30"/>
      <c r="DX36" s="28">
        <v>0</v>
      </c>
      <c r="DY36" s="31"/>
      <c r="DZ36" s="30"/>
      <c r="EC36" s="28">
        <v>0</v>
      </c>
      <c r="ED36" s="31"/>
      <c r="EG36" s="28">
        <v>0</v>
      </c>
      <c r="EH36" s="31"/>
      <c r="EI36" s="30"/>
      <c r="EN36" s="28">
        <v>0</v>
      </c>
      <c r="EO36" s="31"/>
      <c r="ER36" s="28">
        <v>0</v>
      </c>
      <c r="ES36" s="31"/>
      <c r="ET36" s="30"/>
      <c r="EX36" s="28">
        <v>0</v>
      </c>
      <c r="EY36" s="31"/>
      <c r="FD36" s="28">
        <v>0</v>
      </c>
      <c r="FE36" s="31"/>
      <c r="FH36" s="28">
        <v>0</v>
      </c>
      <c r="FI36" s="31"/>
      <c r="FJ36" s="30"/>
      <c r="FL36" s="28">
        <v>0</v>
      </c>
      <c r="FM36" s="31"/>
      <c r="FN36" s="30"/>
      <c r="FP36" s="28">
        <v>0</v>
      </c>
      <c r="FQ36" s="31"/>
      <c r="FT36" s="28">
        <v>0</v>
      </c>
      <c r="FU36" s="31"/>
      <c r="FV36" s="30"/>
      <c r="FX36" s="28">
        <v>0</v>
      </c>
      <c r="FY36" s="31"/>
      <c r="FZ36" s="30"/>
      <c r="GB36" s="28">
        <v>0</v>
      </c>
      <c r="GC36" s="31"/>
      <c r="GF36" s="28">
        <v>0</v>
      </c>
      <c r="GG36" s="34"/>
      <c r="GJ36" s="28">
        <v>0</v>
      </c>
      <c r="GK36" s="31"/>
      <c r="GN36" s="28">
        <v>0</v>
      </c>
      <c r="GO36" s="34"/>
      <c r="GR36" s="28">
        <v>0</v>
      </c>
      <c r="GS36" s="31"/>
      <c r="GV36" s="28">
        <v>0</v>
      </c>
      <c r="GW36" s="34"/>
      <c r="GZ36" s="28">
        <v>0</v>
      </c>
      <c r="HA36" s="31"/>
      <c r="HB36" s="33"/>
      <c r="HD36" s="28">
        <v>0</v>
      </c>
      <c r="HE36" s="34"/>
      <c r="HH36" s="28">
        <v>0</v>
      </c>
      <c r="HI36" s="34"/>
      <c r="HL36" s="28">
        <v>0</v>
      </c>
      <c r="HM36" s="34"/>
      <c r="HP36" s="28">
        <v>0</v>
      </c>
      <c r="HQ36" s="31"/>
      <c r="HR36" s="29"/>
      <c r="HT36" s="29"/>
      <c r="HV36" s="28">
        <v>0</v>
      </c>
      <c r="HW36" s="34"/>
      <c r="HX36" s="32">
        <v>0</v>
      </c>
      <c r="HY36" s="32">
        <v>0</v>
      </c>
      <c r="HZ36" s="28">
        <v>0</v>
      </c>
      <c r="IA36" s="34"/>
      <c r="IB36" s="32">
        <v>0</v>
      </c>
      <c r="IC36" s="32">
        <v>0</v>
      </c>
      <c r="ID36" s="28">
        <v>0</v>
      </c>
      <c r="IE36" s="34"/>
      <c r="IF36" s="33">
        <v>0</v>
      </c>
      <c r="IG36" s="32">
        <v>0</v>
      </c>
      <c r="IH36" s="28">
        <v>0</v>
      </c>
      <c r="II36" s="34"/>
    </row>
    <row r="37" spans="1:243" x14ac:dyDescent="0.25">
      <c r="A37" s="28" t="s">
        <v>169</v>
      </c>
      <c r="B37" s="29">
        <v>0.4</v>
      </c>
      <c r="J37" s="30"/>
      <c r="K37" s="35"/>
      <c r="L37" s="35"/>
      <c r="M37" s="35"/>
      <c r="N37" s="35">
        <f t="shared" si="4"/>
        <v>0</v>
      </c>
      <c r="O37" s="31"/>
      <c r="P37" s="35"/>
      <c r="R37">
        <v>16</v>
      </c>
      <c r="S37" s="27">
        <v>-16</v>
      </c>
      <c r="T37" s="31">
        <v>6.4</v>
      </c>
      <c r="U37" s="30"/>
      <c r="V37">
        <v>50</v>
      </c>
      <c r="W37" s="28">
        <v>-2</v>
      </c>
      <c r="X37" s="31"/>
      <c r="Y37" s="30"/>
      <c r="Z37">
        <v>8</v>
      </c>
      <c r="AA37" s="28">
        <v>0</v>
      </c>
      <c r="AB37" s="31"/>
      <c r="AD37">
        <v>55</v>
      </c>
      <c r="AE37" s="27">
        <v>-55</v>
      </c>
      <c r="AF37" s="31">
        <v>22</v>
      </c>
      <c r="AG37" s="30"/>
      <c r="AH37">
        <v>21</v>
      </c>
      <c r="AI37" s="27">
        <v>-21</v>
      </c>
      <c r="AJ37" s="31">
        <v>8.4</v>
      </c>
      <c r="AK37">
        <v>24</v>
      </c>
      <c r="AL37">
        <v>24</v>
      </c>
      <c r="AM37" s="28">
        <v>0</v>
      </c>
      <c r="AN37" s="31"/>
      <c r="AO37" s="24">
        <v>16</v>
      </c>
      <c r="AP37">
        <v>21</v>
      </c>
      <c r="AQ37" s="28">
        <v>-5</v>
      </c>
      <c r="AR37" s="31"/>
      <c r="AS37" s="30"/>
      <c r="AU37" s="28">
        <v>0</v>
      </c>
      <c r="AV37" s="31"/>
      <c r="AY37" s="28">
        <v>0</v>
      </c>
      <c r="AZ37" s="31"/>
      <c r="BA37" s="30"/>
      <c r="BB37">
        <v>30</v>
      </c>
      <c r="BC37">
        <v>32</v>
      </c>
      <c r="BD37">
        <v>32</v>
      </c>
      <c r="BE37" s="27">
        <v>-30</v>
      </c>
      <c r="BF37" s="31">
        <v>29.6</v>
      </c>
      <c r="BG37" s="30"/>
      <c r="BI37" s="28">
        <v>0</v>
      </c>
      <c r="BJ37" s="31"/>
      <c r="BO37" s="28">
        <v>0</v>
      </c>
      <c r="BP37" s="31"/>
      <c r="BQ37">
        <v>56</v>
      </c>
      <c r="BR37">
        <v>54</v>
      </c>
      <c r="BS37" s="28">
        <v>2</v>
      </c>
      <c r="BT37" s="31"/>
      <c r="BU37" s="30"/>
      <c r="BW37" s="28">
        <v>0</v>
      </c>
      <c r="BX37" s="31"/>
      <c r="BY37" s="24">
        <v>32</v>
      </c>
      <c r="BZ37" s="28">
        <v>32</v>
      </c>
      <c r="CA37" s="28">
        <v>0</v>
      </c>
      <c r="CB37" s="31"/>
      <c r="CE37" s="28">
        <v>0</v>
      </c>
      <c r="CF37" s="31"/>
      <c r="CG37" s="30"/>
      <c r="CJ37" s="28">
        <v>0</v>
      </c>
      <c r="CK37" s="31"/>
      <c r="CL37" s="30"/>
      <c r="CP37" s="28">
        <v>0</v>
      </c>
      <c r="CQ37" s="31"/>
      <c r="CR37" s="30"/>
      <c r="CU37" s="28">
        <v>0</v>
      </c>
      <c r="CV37" s="31"/>
      <c r="CY37" s="28">
        <v>0</v>
      </c>
      <c r="CZ37" s="31"/>
      <c r="DA37" s="33"/>
      <c r="DC37" s="28">
        <v>0</v>
      </c>
      <c r="DD37" s="31"/>
      <c r="DE37" s="30"/>
      <c r="DG37" s="28">
        <v>0</v>
      </c>
      <c r="DH37" s="31"/>
      <c r="DI37" s="30"/>
      <c r="DK37" s="28">
        <v>0</v>
      </c>
      <c r="DL37" s="31"/>
      <c r="DO37" s="28">
        <v>0</v>
      </c>
      <c r="DP37" s="31"/>
      <c r="DS37" s="28">
        <v>0</v>
      </c>
      <c r="DT37" s="31"/>
      <c r="DU37" s="30"/>
      <c r="DX37" s="28">
        <v>0</v>
      </c>
      <c r="DY37" s="31"/>
      <c r="DZ37" s="30"/>
      <c r="EC37" s="28">
        <v>0</v>
      </c>
      <c r="ED37" s="31"/>
      <c r="EG37" s="28">
        <v>0</v>
      </c>
      <c r="EH37" s="31"/>
      <c r="EI37" s="30"/>
      <c r="EN37" s="28">
        <v>0</v>
      </c>
      <c r="EO37" s="31"/>
      <c r="ER37" s="28">
        <v>0</v>
      </c>
      <c r="ES37" s="31"/>
      <c r="ET37" s="30"/>
      <c r="EX37" s="28">
        <v>0</v>
      </c>
      <c r="EY37" s="31"/>
      <c r="FD37" s="28">
        <v>0</v>
      </c>
      <c r="FE37" s="31"/>
      <c r="FH37" s="28">
        <v>0</v>
      </c>
      <c r="FI37" s="31"/>
      <c r="FJ37" s="30"/>
      <c r="FL37" s="28">
        <v>0</v>
      </c>
      <c r="FM37" s="31"/>
      <c r="FN37" s="30"/>
      <c r="FP37" s="28">
        <v>0</v>
      </c>
      <c r="FQ37" s="31"/>
      <c r="FT37" s="28">
        <v>0</v>
      </c>
      <c r="FU37" s="31"/>
      <c r="FV37" s="30"/>
      <c r="FX37" s="28">
        <v>0</v>
      </c>
      <c r="FY37" s="31"/>
      <c r="FZ37" s="30"/>
      <c r="GB37" s="28">
        <v>0</v>
      </c>
      <c r="GC37" s="31"/>
      <c r="GF37" s="28">
        <v>0</v>
      </c>
      <c r="GG37" s="34"/>
      <c r="GJ37" s="28">
        <v>0</v>
      </c>
      <c r="GK37" s="31"/>
      <c r="GN37" s="28">
        <v>0</v>
      </c>
      <c r="GO37" s="34"/>
      <c r="GR37" s="28">
        <v>0</v>
      </c>
      <c r="GS37" s="31"/>
      <c r="GV37" s="28">
        <v>0</v>
      </c>
      <c r="GW37" s="34"/>
      <c r="GZ37" s="28">
        <v>0</v>
      </c>
      <c r="HA37" s="31"/>
      <c r="HB37" s="33"/>
      <c r="HD37" s="28">
        <v>0</v>
      </c>
      <c r="HE37" s="34"/>
      <c r="HH37" s="28">
        <v>0</v>
      </c>
      <c r="HI37" s="34"/>
      <c r="HL37" s="28">
        <v>0</v>
      </c>
      <c r="HM37" s="34"/>
      <c r="HP37" s="28">
        <v>0</v>
      </c>
      <c r="HQ37" s="31"/>
      <c r="HR37" s="29"/>
      <c r="HT37" s="29"/>
      <c r="HV37" s="28">
        <v>0</v>
      </c>
      <c r="HW37" s="34"/>
      <c r="HX37" s="32">
        <v>0</v>
      </c>
      <c r="HY37" s="32">
        <v>0</v>
      </c>
      <c r="HZ37" s="28">
        <v>0</v>
      </c>
      <c r="IA37" s="34"/>
      <c r="IB37" s="32">
        <v>0</v>
      </c>
      <c r="IC37" s="32">
        <v>0</v>
      </c>
      <c r="ID37" s="28">
        <v>0</v>
      </c>
      <c r="IE37" s="34"/>
      <c r="IF37" s="33">
        <v>0</v>
      </c>
      <c r="IG37" s="32">
        <v>0</v>
      </c>
      <c r="IH37" s="28">
        <v>0</v>
      </c>
      <c r="II37" s="34"/>
    </row>
    <row r="38" spans="1:243" x14ac:dyDescent="0.25">
      <c r="A38" s="28" t="s">
        <v>170</v>
      </c>
      <c r="B38" s="29">
        <v>1</v>
      </c>
      <c r="J38" s="30"/>
      <c r="K38" s="35"/>
      <c r="L38" s="35"/>
      <c r="M38" s="35"/>
      <c r="N38" s="35">
        <f t="shared" si="4"/>
        <v>0</v>
      </c>
      <c r="O38" s="31"/>
      <c r="P38" s="35"/>
      <c r="S38" s="28">
        <v>0</v>
      </c>
      <c r="T38" s="31"/>
      <c r="U38" s="30"/>
      <c r="W38" s="28">
        <v>0</v>
      </c>
      <c r="X38" s="31"/>
      <c r="Y38" s="30"/>
      <c r="AA38" s="28">
        <v>0</v>
      </c>
      <c r="AB38" s="31"/>
      <c r="AE38" s="28">
        <v>0</v>
      </c>
      <c r="AF38" s="31"/>
      <c r="AG38" s="30"/>
      <c r="AI38" s="28">
        <v>0</v>
      </c>
      <c r="AJ38" s="31"/>
      <c r="AM38" s="28">
        <v>0</v>
      </c>
      <c r="AN38" s="31"/>
      <c r="AO38" s="30"/>
      <c r="AQ38" s="28">
        <v>0</v>
      </c>
      <c r="AR38" s="31"/>
      <c r="AS38" s="30"/>
      <c r="AU38" s="28">
        <v>0</v>
      </c>
      <c r="AV38" s="31"/>
      <c r="AY38" s="28">
        <v>0</v>
      </c>
      <c r="AZ38" s="31"/>
      <c r="BA38" s="30"/>
      <c r="BE38" s="28">
        <v>0</v>
      </c>
      <c r="BF38" s="31"/>
      <c r="BG38" s="30"/>
      <c r="BI38" s="28">
        <v>0</v>
      </c>
      <c r="BJ38" s="31"/>
      <c r="BO38" s="28">
        <v>0</v>
      </c>
      <c r="BP38" s="31"/>
      <c r="BS38" s="28">
        <v>0</v>
      </c>
      <c r="BT38" s="31"/>
      <c r="BU38" s="30"/>
      <c r="BW38" s="28">
        <v>0</v>
      </c>
      <c r="BX38" s="31"/>
      <c r="BY38" s="30"/>
      <c r="CA38" s="28">
        <v>0</v>
      </c>
      <c r="CB38" s="31"/>
      <c r="CE38" s="28">
        <v>0</v>
      </c>
      <c r="CF38" s="31"/>
      <c r="CG38" s="30"/>
      <c r="CJ38" s="28">
        <v>0</v>
      </c>
      <c r="CK38" s="31"/>
      <c r="CL38" s="30"/>
      <c r="CP38" s="28">
        <v>0</v>
      </c>
      <c r="CQ38" s="31"/>
      <c r="CR38" s="30"/>
      <c r="CU38" s="28">
        <v>0</v>
      </c>
      <c r="CV38" s="31"/>
      <c r="CY38" s="28">
        <v>0</v>
      </c>
      <c r="CZ38" s="31"/>
      <c r="DA38" s="33"/>
      <c r="DC38" s="28">
        <v>0</v>
      </c>
      <c r="DD38" s="31"/>
      <c r="DE38" s="30"/>
      <c r="DG38" s="28">
        <v>0</v>
      </c>
      <c r="DH38" s="31"/>
      <c r="DI38" s="30"/>
      <c r="DK38" s="28">
        <v>0</v>
      </c>
      <c r="DL38" s="31"/>
      <c r="DO38" s="28">
        <v>0</v>
      </c>
      <c r="DP38" s="31"/>
      <c r="DS38" s="28">
        <v>0</v>
      </c>
      <c r="DT38" s="31"/>
      <c r="DU38" s="30"/>
      <c r="DX38" s="28">
        <v>0</v>
      </c>
      <c r="DY38" s="31"/>
      <c r="DZ38" s="30"/>
      <c r="EC38" s="28">
        <v>0</v>
      </c>
      <c r="ED38" s="31"/>
      <c r="EG38" s="28">
        <v>0</v>
      </c>
      <c r="EH38" s="31"/>
      <c r="EI38" s="30"/>
      <c r="EN38" s="28">
        <v>0</v>
      </c>
      <c r="EO38" s="31"/>
      <c r="ER38" s="28">
        <v>0</v>
      </c>
      <c r="ES38" s="31"/>
      <c r="ET38" s="30"/>
      <c r="EX38" s="28">
        <v>0</v>
      </c>
      <c r="EY38" s="31"/>
      <c r="FD38" s="28">
        <v>0</v>
      </c>
      <c r="FE38" s="31"/>
      <c r="FH38" s="28">
        <v>0</v>
      </c>
      <c r="FI38" s="31"/>
      <c r="FJ38" s="30"/>
      <c r="FL38" s="28">
        <v>0</v>
      </c>
      <c r="FM38" s="31"/>
      <c r="FN38" s="30"/>
      <c r="FP38" s="28">
        <v>0</v>
      </c>
      <c r="FQ38" s="31"/>
      <c r="FT38" s="28">
        <v>0</v>
      </c>
      <c r="FU38" s="31"/>
      <c r="FV38" s="30"/>
      <c r="FX38" s="28">
        <v>0</v>
      </c>
      <c r="FY38" s="31"/>
      <c r="FZ38" s="30"/>
      <c r="GB38" s="28">
        <v>0</v>
      </c>
      <c r="GC38" s="31"/>
      <c r="GF38" s="28">
        <v>0</v>
      </c>
      <c r="GG38" s="34"/>
      <c r="GJ38" s="28">
        <v>0</v>
      </c>
      <c r="GK38" s="31"/>
      <c r="GN38" s="28">
        <v>0</v>
      </c>
      <c r="GO38" s="34"/>
      <c r="GR38" s="28">
        <v>0</v>
      </c>
      <c r="GS38" s="31"/>
      <c r="GV38" s="28">
        <v>0</v>
      </c>
      <c r="GW38" s="34"/>
      <c r="GZ38" s="28">
        <v>0</v>
      </c>
      <c r="HA38" s="31"/>
      <c r="HB38" s="33"/>
      <c r="HD38" s="28">
        <v>0</v>
      </c>
      <c r="HE38" s="34"/>
      <c r="HH38" s="28">
        <v>0</v>
      </c>
      <c r="HI38" s="34"/>
      <c r="HL38" s="28">
        <v>0</v>
      </c>
      <c r="HM38" s="34"/>
      <c r="HP38" s="28">
        <v>0</v>
      </c>
      <c r="HQ38" s="31"/>
      <c r="HR38" s="29"/>
      <c r="HT38" s="29"/>
      <c r="HV38" s="28">
        <v>0</v>
      </c>
      <c r="HW38" s="34"/>
      <c r="HX38" s="32">
        <v>0</v>
      </c>
      <c r="HY38" s="32">
        <v>0</v>
      </c>
      <c r="HZ38" s="28">
        <v>0</v>
      </c>
      <c r="IA38" s="34"/>
      <c r="IB38" s="32">
        <v>0</v>
      </c>
      <c r="IC38" s="32">
        <v>0</v>
      </c>
      <c r="ID38" s="28">
        <v>0</v>
      </c>
      <c r="IE38" s="34"/>
      <c r="IF38" s="33">
        <v>0</v>
      </c>
      <c r="IG38" s="32">
        <v>0</v>
      </c>
      <c r="IH38" s="28">
        <v>0</v>
      </c>
      <c r="II38" s="34"/>
    </row>
    <row r="39" spans="1:243" x14ac:dyDescent="0.25">
      <c r="A39" s="28" t="s">
        <v>171</v>
      </c>
      <c r="B39" s="29">
        <v>1</v>
      </c>
      <c r="J39" s="30"/>
      <c r="K39" s="35"/>
      <c r="L39" s="35"/>
      <c r="M39" s="35"/>
      <c r="N39" s="35">
        <f t="shared" si="4"/>
        <v>0</v>
      </c>
      <c r="O39" s="31"/>
      <c r="P39" s="35"/>
      <c r="S39" s="28">
        <v>0</v>
      </c>
      <c r="T39" s="31"/>
      <c r="U39" s="30"/>
      <c r="W39" s="28">
        <v>0</v>
      </c>
      <c r="X39" s="31"/>
      <c r="Y39" s="30"/>
      <c r="AA39" s="28">
        <v>0</v>
      </c>
      <c r="AB39" s="31"/>
      <c r="AE39" s="28">
        <v>0</v>
      </c>
      <c r="AF39" s="31"/>
      <c r="AG39" s="30"/>
      <c r="AI39" s="28">
        <v>0</v>
      </c>
      <c r="AJ39" s="31"/>
      <c r="AM39" s="28">
        <v>0</v>
      </c>
      <c r="AN39" s="31"/>
      <c r="AO39" s="30"/>
      <c r="AQ39" s="28">
        <v>0</v>
      </c>
      <c r="AR39" s="31"/>
      <c r="AS39" s="30"/>
      <c r="AU39" s="28">
        <v>0</v>
      </c>
      <c r="AV39" s="31"/>
      <c r="AY39" s="28">
        <v>0</v>
      </c>
      <c r="AZ39" s="31"/>
      <c r="BA39" s="30"/>
      <c r="BE39" s="28">
        <v>0</v>
      </c>
      <c r="BF39" s="31"/>
      <c r="BG39" s="30"/>
      <c r="BI39" s="28">
        <v>0</v>
      </c>
      <c r="BJ39" s="31"/>
      <c r="BO39" s="28">
        <v>0</v>
      </c>
      <c r="BP39" s="31"/>
      <c r="BS39" s="28">
        <v>0</v>
      </c>
      <c r="BT39" s="31"/>
      <c r="BU39" s="30"/>
      <c r="BW39" s="28">
        <v>0</v>
      </c>
      <c r="BX39" s="31"/>
      <c r="BY39" s="30"/>
      <c r="CA39" s="28">
        <v>0</v>
      </c>
      <c r="CB39" s="31"/>
      <c r="CE39" s="28">
        <v>0</v>
      </c>
      <c r="CF39" s="31"/>
      <c r="CG39" s="30"/>
      <c r="CJ39" s="28">
        <v>0</v>
      </c>
      <c r="CK39" s="31"/>
      <c r="CL39" s="30"/>
      <c r="CP39" s="28">
        <v>0</v>
      </c>
      <c r="CQ39" s="31"/>
      <c r="CR39" s="30"/>
      <c r="CU39" s="28">
        <v>0</v>
      </c>
      <c r="CV39" s="31"/>
      <c r="CY39" s="28">
        <v>0</v>
      </c>
      <c r="CZ39" s="31"/>
      <c r="DA39" s="33"/>
      <c r="DC39" s="28">
        <v>0</v>
      </c>
      <c r="DD39" s="31"/>
      <c r="DE39" s="30"/>
      <c r="DG39" s="28">
        <v>0</v>
      </c>
      <c r="DH39" s="31"/>
      <c r="DI39" s="30"/>
      <c r="DK39" s="28">
        <v>0</v>
      </c>
      <c r="DL39" s="31"/>
      <c r="DO39" s="28">
        <v>0</v>
      </c>
      <c r="DP39" s="31"/>
      <c r="DS39" s="28">
        <v>0</v>
      </c>
      <c r="DT39" s="31"/>
      <c r="DU39" s="30"/>
      <c r="DX39" s="28">
        <v>0</v>
      </c>
      <c r="DY39" s="31"/>
      <c r="DZ39" s="30"/>
      <c r="EC39" s="28">
        <v>0</v>
      </c>
      <c r="ED39" s="31"/>
      <c r="EG39" s="28">
        <v>0</v>
      </c>
      <c r="EH39" s="31"/>
      <c r="EI39" s="30"/>
      <c r="EN39" s="28">
        <v>0</v>
      </c>
      <c r="EO39" s="31"/>
      <c r="ER39" s="28">
        <v>0</v>
      </c>
      <c r="ES39" s="31"/>
      <c r="ET39" s="30"/>
      <c r="EX39" s="28">
        <v>0</v>
      </c>
      <c r="EY39" s="31"/>
      <c r="FD39" s="28">
        <v>0</v>
      </c>
      <c r="FE39" s="31"/>
      <c r="FH39" s="28">
        <v>0</v>
      </c>
      <c r="FI39" s="31"/>
      <c r="FJ39" s="30"/>
      <c r="FL39" s="28">
        <v>0</v>
      </c>
      <c r="FM39" s="31"/>
      <c r="FN39" s="30"/>
      <c r="FP39" s="28">
        <v>0</v>
      </c>
      <c r="FQ39" s="31"/>
      <c r="FT39" s="28">
        <v>0</v>
      </c>
      <c r="FU39" s="31"/>
      <c r="FV39" s="30"/>
      <c r="FX39" s="28">
        <v>0</v>
      </c>
      <c r="FY39" s="31"/>
      <c r="FZ39" s="30"/>
      <c r="GB39" s="28">
        <v>0</v>
      </c>
      <c r="GC39" s="31"/>
      <c r="GF39" s="28">
        <v>0</v>
      </c>
      <c r="GG39" s="34"/>
      <c r="GJ39" s="28">
        <v>0</v>
      </c>
      <c r="GK39" s="31"/>
      <c r="GN39" s="28">
        <v>0</v>
      </c>
      <c r="GO39" s="34"/>
      <c r="GR39" s="28">
        <v>0</v>
      </c>
      <c r="GS39" s="31"/>
      <c r="GV39" s="28">
        <v>0</v>
      </c>
      <c r="GW39" s="34"/>
      <c r="GZ39" s="28">
        <v>0</v>
      </c>
      <c r="HA39" s="31"/>
      <c r="HB39" s="33"/>
      <c r="HD39" s="28">
        <v>0</v>
      </c>
      <c r="HE39" s="34"/>
      <c r="HH39" s="28">
        <v>0</v>
      </c>
      <c r="HI39" s="34"/>
      <c r="HL39" s="28">
        <v>0</v>
      </c>
      <c r="HM39" s="34"/>
      <c r="HP39" s="28">
        <v>0</v>
      </c>
      <c r="HQ39" s="31"/>
      <c r="HR39" s="29"/>
      <c r="HT39" s="29"/>
      <c r="HV39" s="28">
        <v>0</v>
      </c>
      <c r="HW39" s="34"/>
      <c r="HX39" s="32">
        <v>0</v>
      </c>
      <c r="HY39" s="32">
        <v>0</v>
      </c>
      <c r="HZ39" s="28">
        <v>0</v>
      </c>
      <c r="IA39" s="34"/>
      <c r="IB39" s="32">
        <v>0</v>
      </c>
      <c r="IC39" s="32">
        <v>0</v>
      </c>
      <c r="ID39" s="28">
        <v>0</v>
      </c>
      <c r="IE39" s="34"/>
      <c r="IF39" s="33">
        <v>0</v>
      </c>
      <c r="IG39" s="32">
        <v>0</v>
      </c>
      <c r="IH39" s="28">
        <v>0</v>
      </c>
      <c r="II39" s="34"/>
    </row>
    <row r="40" spans="1:243" x14ac:dyDescent="0.25">
      <c r="A40" s="28" t="s">
        <v>172</v>
      </c>
      <c r="B40" s="29">
        <v>0.4</v>
      </c>
      <c r="J40" s="30"/>
      <c r="K40" s="35"/>
      <c r="L40" s="35"/>
      <c r="M40" s="35"/>
      <c r="N40" s="35">
        <f t="shared" si="4"/>
        <v>0</v>
      </c>
      <c r="O40" s="31"/>
      <c r="P40" s="35"/>
      <c r="S40" s="28">
        <v>0</v>
      </c>
      <c r="T40" s="31"/>
      <c r="U40" s="30"/>
      <c r="W40" s="28">
        <v>0</v>
      </c>
      <c r="X40" s="31"/>
      <c r="Y40" s="30"/>
      <c r="AA40" s="28">
        <v>0</v>
      </c>
      <c r="AB40" s="31"/>
      <c r="AE40" s="28">
        <v>0</v>
      </c>
      <c r="AF40" s="31"/>
      <c r="AG40" s="30"/>
      <c r="AI40" s="28">
        <v>0</v>
      </c>
      <c r="AJ40" s="31"/>
      <c r="AM40" s="28">
        <v>0</v>
      </c>
      <c r="AN40" s="31"/>
      <c r="AO40" s="30"/>
      <c r="AQ40" s="28">
        <v>0</v>
      </c>
      <c r="AR40" s="31"/>
      <c r="AS40" s="30"/>
      <c r="AU40" s="28">
        <v>0</v>
      </c>
      <c r="AV40" s="31"/>
      <c r="AY40" s="28">
        <v>0</v>
      </c>
      <c r="AZ40" s="31"/>
      <c r="BA40" s="30"/>
      <c r="BE40" s="28">
        <v>0</v>
      </c>
      <c r="BF40" s="31"/>
      <c r="BG40" s="30"/>
      <c r="BI40" s="28">
        <v>0</v>
      </c>
      <c r="BJ40" s="31"/>
      <c r="BO40" s="28">
        <v>0</v>
      </c>
      <c r="BP40" s="31"/>
      <c r="BS40" s="28">
        <v>0</v>
      </c>
      <c r="BT40" s="31"/>
      <c r="BU40" s="30"/>
      <c r="BW40" s="28">
        <v>0</v>
      </c>
      <c r="BX40" s="31"/>
      <c r="BY40" s="30"/>
      <c r="CA40" s="28">
        <v>0</v>
      </c>
      <c r="CB40" s="31"/>
      <c r="CE40" s="28">
        <v>0</v>
      </c>
      <c r="CF40" s="31"/>
      <c r="CG40" s="30"/>
      <c r="CJ40" s="28">
        <v>0</v>
      </c>
      <c r="CK40" s="31"/>
      <c r="CL40" s="30"/>
      <c r="CP40" s="28">
        <v>0</v>
      </c>
      <c r="CQ40" s="31"/>
      <c r="CR40" s="30"/>
      <c r="CU40" s="28">
        <v>0</v>
      </c>
      <c r="CV40" s="31"/>
      <c r="CY40" s="28">
        <v>0</v>
      </c>
      <c r="CZ40" s="31"/>
      <c r="DA40" s="33"/>
      <c r="DC40" s="28">
        <v>0</v>
      </c>
      <c r="DD40" s="31"/>
      <c r="DE40" s="30"/>
      <c r="DG40" s="28">
        <v>0</v>
      </c>
      <c r="DH40" s="31"/>
      <c r="DI40" s="30"/>
      <c r="DK40" s="28">
        <v>0</v>
      </c>
      <c r="DL40" s="31"/>
      <c r="DO40" s="28">
        <v>0</v>
      </c>
      <c r="DP40" s="31"/>
      <c r="DS40" s="28">
        <v>0</v>
      </c>
      <c r="DT40" s="31"/>
      <c r="DU40" s="30"/>
      <c r="DX40" s="28">
        <v>0</v>
      </c>
      <c r="DY40" s="31"/>
      <c r="DZ40" s="30"/>
      <c r="EC40" s="28">
        <v>0</v>
      </c>
      <c r="ED40" s="31"/>
      <c r="EG40" s="28">
        <v>0</v>
      </c>
      <c r="EH40" s="31"/>
      <c r="EI40" s="30"/>
      <c r="EN40" s="28">
        <v>0</v>
      </c>
      <c r="EO40" s="31"/>
      <c r="ER40" s="28">
        <v>0</v>
      </c>
      <c r="ES40" s="31"/>
      <c r="ET40" s="30"/>
      <c r="EX40" s="28">
        <v>0</v>
      </c>
      <c r="EY40" s="31"/>
      <c r="FD40" s="28">
        <v>0</v>
      </c>
      <c r="FE40" s="31"/>
      <c r="FH40" s="28">
        <v>0</v>
      </c>
      <c r="FI40" s="31"/>
      <c r="FJ40" s="30"/>
      <c r="FL40" s="28">
        <v>0</v>
      </c>
      <c r="FM40" s="31"/>
      <c r="FN40" s="30"/>
      <c r="FP40" s="28">
        <v>0</v>
      </c>
      <c r="FQ40" s="31"/>
      <c r="FT40" s="28">
        <v>0</v>
      </c>
      <c r="FU40" s="31"/>
      <c r="FV40" s="30"/>
      <c r="FX40" s="28">
        <v>0</v>
      </c>
      <c r="FY40" s="31"/>
      <c r="FZ40" s="30"/>
      <c r="GB40" s="28">
        <v>0</v>
      </c>
      <c r="GC40" s="31"/>
      <c r="GF40" s="28">
        <v>0</v>
      </c>
      <c r="GG40" s="34"/>
      <c r="GJ40" s="28">
        <v>0</v>
      </c>
      <c r="GK40" s="31"/>
      <c r="GN40" s="28">
        <v>0</v>
      </c>
      <c r="GO40" s="34"/>
      <c r="GR40" s="28">
        <v>0</v>
      </c>
      <c r="GS40" s="31"/>
      <c r="GV40" s="28">
        <v>0</v>
      </c>
      <c r="GW40" s="34"/>
      <c r="GZ40" s="28">
        <v>0</v>
      </c>
      <c r="HA40" s="31"/>
      <c r="HB40" s="33"/>
      <c r="HD40" s="28">
        <v>0</v>
      </c>
      <c r="HE40" s="34"/>
      <c r="HH40" s="28">
        <v>0</v>
      </c>
      <c r="HI40" s="34"/>
      <c r="HL40" s="28">
        <v>0</v>
      </c>
      <c r="HM40" s="34"/>
      <c r="HP40" s="28">
        <v>0</v>
      </c>
      <c r="HQ40" s="31"/>
      <c r="HR40" s="29"/>
      <c r="HT40" s="29"/>
      <c r="HV40" s="28">
        <v>0</v>
      </c>
      <c r="HW40" s="34"/>
      <c r="HX40" s="32">
        <v>0</v>
      </c>
      <c r="HY40" s="32">
        <v>0</v>
      </c>
      <c r="HZ40" s="28">
        <v>0</v>
      </c>
      <c r="IA40" s="34"/>
      <c r="IB40" s="32">
        <v>0</v>
      </c>
      <c r="IC40" s="32">
        <v>0</v>
      </c>
      <c r="ID40" s="28">
        <v>0</v>
      </c>
      <c r="IE40" s="34"/>
      <c r="IF40" s="33">
        <v>0</v>
      </c>
      <c r="IG40" s="32">
        <v>0</v>
      </c>
      <c r="IH40" s="28">
        <v>0</v>
      </c>
      <c r="II40" s="34"/>
    </row>
    <row r="41" spans="1:243" x14ac:dyDescent="0.25">
      <c r="A41" s="28" t="s">
        <v>173</v>
      </c>
      <c r="B41" s="29">
        <v>0.33</v>
      </c>
      <c r="J41" s="30"/>
      <c r="K41" s="35"/>
      <c r="L41" s="35"/>
      <c r="M41" s="35"/>
      <c r="N41" s="35">
        <f t="shared" si="4"/>
        <v>0</v>
      </c>
      <c r="O41" s="31"/>
      <c r="P41" s="35"/>
      <c r="S41" s="28">
        <v>0</v>
      </c>
      <c r="T41" s="31"/>
      <c r="U41" s="30"/>
      <c r="W41" s="28">
        <v>0</v>
      </c>
      <c r="X41" s="31"/>
      <c r="Y41" s="30"/>
      <c r="AA41" s="28">
        <v>0</v>
      </c>
      <c r="AB41" s="31"/>
      <c r="AE41" s="28">
        <v>0</v>
      </c>
      <c r="AF41" s="31"/>
      <c r="AG41" s="30"/>
      <c r="AI41" s="28">
        <v>0</v>
      </c>
      <c r="AJ41" s="31"/>
      <c r="AM41" s="28">
        <v>0</v>
      </c>
      <c r="AN41" s="31"/>
      <c r="AO41" s="30"/>
      <c r="AQ41" s="28">
        <v>0</v>
      </c>
      <c r="AR41" s="31"/>
      <c r="AS41" s="30"/>
      <c r="AU41" s="28">
        <v>0</v>
      </c>
      <c r="AV41" s="31"/>
      <c r="AY41" s="28">
        <v>0</v>
      </c>
      <c r="AZ41" s="31"/>
      <c r="BA41" s="30"/>
      <c r="BE41" s="28">
        <v>0</v>
      </c>
      <c r="BF41" s="31"/>
      <c r="BG41" s="30"/>
      <c r="BI41" s="28">
        <v>0</v>
      </c>
      <c r="BJ41" s="31"/>
      <c r="BO41" s="28">
        <v>0</v>
      </c>
      <c r="BP41" s="31"/>
      <c r="BS41" s="28">
        <v>0</v>
      </c>
      <c r="BT41" s="31"/>
      <c r="BU41" s="30"/>
      <c r="BW41" s="28">
        <v>0</v>
      </c>
      <c r="BX41" s="31"/>
      <c r="BY41" s="30"/>
      <c r="CA41" s="28">
        <v>0</v>
      </c>
      <c r="CB41" s="31"/>
      <c r="CE41" s="28">
        <v>0</v>
      </c>
      <c r="CF41" s="31"/>
      <c r="CG41" s="30"/>
      <c r="CJ41" s="28">
        <v>0</v>
      </c>
      <c r="CK41" s="31"/>
      <c r="CL41" s="30"/>
      <c r="CP41" s="28">
        <v>0</v>
      </c>
      <c r="CQ41" s="31"/>
      <c r="CR41" s="30"/>
      <c r="CU41" s="28">
        <v>0</v>
      </c>
      <c r="CV41" s="31"/>
      <c r="CY41" s="28">
        <v>0</v>
      </c>
      <c r="CZ41" s="31"/>
      <c r="DA41" s="33"/>
      <c r="DC41" s="28">
        <v>0</v>
      </c>
      <c r="DD41" s="31"/>
      <c r="DE41" s="30"/>
      <c r="DG41" s="28">
        <v>0</v>
      </c>
      <c r="DH41" s="31"/>
      <c r="DI41" s="30"/>
      <c r="DK41" s="28">
        <v>0</v>
      </c>
      <c r="DL41" s="31"/>
      <c r="DO41" s="28">
        <v>0</v>
      </c>
      <c r="DP41" s="31"/>
      <c r="DS41" s="28">
        <v>0</v>
      </c>
      <c r="DT41" s="31"/>
      <c r="DU41" s="30"/>
      <c r="DX41" s="28">
        <v>0</v>
      </c>
      <c r="DY41" s="31"/>
      <c r="DZ41" s="30"/>
      <c r="EC41" s="28">
        <v>0</v>
      </c>
      <c r="ED41" s="31"/>
      <c r="EG41" s="28">
        <v>0</v>
      </c>
      <c r="EH41" s="31"/>
      <c r="EI41" s="30"/>
      <c r="EL41">
        <v>16</v>
      </c>
      <c r="EM41">
        <v>14</v>
      </c>
      <c r="EN41" s="28">
        <v>2</v>
      </c>
      <c r="EO41" s="31"/>
      <c r="EP41">
        <v>16</v>
      </c>
      <c r="EQ41" s="32">
        <v>19.600000000000001</v>
      </c>
      <c r="ER41" s="28">
        <v>-3.600000000000001</v>
      </c>
      <c r="ES41" s="31"/>
      <c r="ET41" s="30"/>
      <c r="EV41">
        <v>8</v>
      </c>
      <c r="EW41">
        <v>12</v>
      </c>
      <c r="EX41" s="28">
        <v>-4</v>
      </c>
      <c r="EY41" s="31"/>
      <c r="FB41">
        <v>16</v>
      </c>
      <c r="FC41">
        <v>16</v>
      </c>
      <c r="FD41" s="28">
        <v>0</v>
      </c>
      <c r="FE41" s="31"/>
      <c r="FH41" s="28">
        <v>0</v>
      </c>
      <c r="FI41" s="31"/>
      <c r="FJ41" s="24">
        <v>16</v>
      </c>
      <c r="FK41">
        <v>16</v>
      </c>
      <c r="FL41" s="28">
        <v>0</v>
      </c>
      <c r="FM41" s="31"/>
      <c r="FN41" s="30"/>
      <c r="FP41" s="28">
        <v>0</v>
      </c>
      <c r="FQ41" s="31"/>
      <c r="FT41" s="28">
        <v>0</v>
      </c>
      <c r="FU41" s="31"/>
      <c r="FV41" s="24">
        <v>24</v>
      </c>
      <c r="FW41">
        <v>23</v>
      </c>
      <c r="FX41" s="28">
        <v>1</v>
      </c>
      <c r="FY41" s="31"/>
      <c r="FZ41" s="30"/>
      <c r="GB41" s="28">
        <v>0</v>
      </c>
      <c r="GC41" s="31"/>
      <c r="GF41" s="28">
        <v>0</v>
      </c>
      <c r="GG41" s="34"/>
      <c r="GH41">
        <v>8</v>
      </c>
      <c r="GI41">
        <v>5</v>
      </c>
      <c r="GJ41" s="28">
        <v>3</v>
      </c>
      <c r="GK41" s="31"/>
      <c r="GL41">
        <v>16</v>
      </c>
      <c r="GM41">
        <v>16</v>
      </c>
      <c r="GN41" s="28">
        <v>0</v>
      </c>
      <c r="GO41" s="34"/>
      <c r="GP41">
        <v>8</v>
      </c>
      <c r="GQ41">
        <v>5</v>
      </c>
      <c r="GR41" s="28">
        <v>3</v>
      </c>
      <c r="GS41" s="31"/>
      <c r="GV41" s="28">
        <v>0</v>
      </c>
      <c r="GW41" s="34"/>
      <c r="GZ41" s="28">
        <v>0</v>
      </c>
      <c r="HA41" s="31"/>
      <c r="HB41" s="33"/>
      <c r="HD41" s="28">
        <v>0</v>
      </c>
      <c r="HE41" s="34"/>
      <c r="HF41">
        <v>16</v>
      </c>
      <c r="HG41">
        <v>20</v>
      </c>
      <c r="HH41" s="28">
        <v>-4</v>
      </c>
      <c r="HI41" s="34"/>
      <c r="HL41" s="28">
        <v>0</v>
      </c>
      <c r="HM41" s="34"/>
      <c r="HQ41" s="31"/>
      <c r="HR41" s="29"/>
      <c r="HT41" s="29"/>
      <c r="HW41" s="34"/>
      <c r="IA41" s="34"/>
      <c r="IB41" s="32"/>
      <c r="IC41" s="32"/>
      <c r="IE41" s="34"/>
      <c r="IF41" s="33"/>
      <c r="IG41" s="32"/>
      <c r="II41" s="34"/>
    </row>
    <row r="42" spans="1:243" x14ac:dyDescent="0.25">
      <c r="A42" s="28" t="s">
        <v>174</v>
      </c>
      <c r="B42" s="29">
        <v>1</v>
      </c>
      <c r="J42" s="30"/>
      <c r="K42" s="35"/>
      <c r="L42" s="35"/>
      <c r="M42" s="35"/>
      <c r="N42" s="35">
        <f t="shared" si="4"/>
        <v>0</v>
      </c>
      <c r="O42" s="31"/>
      <c r="P42" s="35"/>
      <c r="S42" s="28">
        <v>0</v>
      </c>
      <c r="T42" s="31"/>
      <c r="U42" s="30"/>
      <c r="W42" s="28">
        <v>0</v>
      </c>
      <c r="X42" s="31"/>
      <c r="Y42" s="30"/>
      <c r="AA42" s="28">
        <v>0</v>
      </c>
      <c r="AB42" s="31"/>
      <c r="AE42" s="28">
        <v>0</v>
      </c>
      <c r="AF42" s="31"/>
      <c r="AG42" s="30"/>
      <c r="AI42" s="28">
        <v>0</v>
      </c>
      <c r="AJ42" s="31"/>
      <c r="AM42" s="28">
        <v>0</v>
      </c>
      <c r="AN42" s="31"/>
      <c r="AO42" s="30"/>
      <c r="AQ42" s="28">
        <v>0</v>
      </c>
      <c r="AR42" s="31"/>
      <c r="AS42" s="30"/>
      <c r="AU42" s="28">
        <v>0</v>
      </c>
      <c r="AV42" s="31"/>
      <c r="AY42" s="28">
        <v>0</v>
      </c>
      <c r="AZ42" s="31"/>
      <c r="BA42" s="30"/>
      <c r="BE42" s="28">
        <v>0</v>
      </c>
      <c r="BF42" s="31"/>
      <c r="BG42" s="30"/>
      <c r="BI42" s="28">
        <v>0</v>
      </c>
      <c r="BJ42" s="31"/>
      <c r="BO42" s="28">
        <v>0</v>
      </c>
      <c r="BP42" s="31"/>
      <c r="BS42" s="28">
        <v>0</v>
      </c>
      <c r="BT42" s="31"/>
      <c r="BU42" s="30"/>
      <c r="BW42" s="28">
        <v>0</v>
      </c>
      <c r="BX42" s="31"/>
      <c r="BY42" s="30"/>
      <c r="CA42" s="28">
        <v>0</v>
      </c>
      <c r="CB42" s="31"/>
      <c r="CE42" s="28">
        <v>0</v>
      </c>
      <c r="CF42" s="31"/>
      <c r="CG42" s="30"/>
      <c r="CJ42" s="28">
        <v>0</v>
      </c>
      <c r="CK42" s="31"/>
      <c r="CL42" s="30"/>
      <c r="CP42" s="28">
        <v>0</v>
      </c>
      <c r="CQ42" s="31"/>
      <c r="CR42" s="30"/>
      <c r="CU42" s="28">
        <v>0</v>
      </c>
      <c r="CV42" s="31"/>
      <c r="CY42" s="28">
        <v>0</v>
      </c>
      <c r="CZ42" s="31"/>
      <c r="DA42" s="33"/>
      <c r="DC42" s="28">
        <v>0</v>
      </c>
      <c r="DD42" s="31"/>
      <c r="DE42" s="30"/>
      <c r="DG42" s="28">
        <v>0</v>
      </c>
      <c r="DH42" s="31"/>
      <c r="DI42" s="30"/>
      <c r="DK42" s="28">
        <v>0</v>
      </c>
      <c r="DL42" s="31"/>
      <c r="DO42" s="28">
        <v>0</v>
      </c>
      <c r="DP42" s="31"/>
      <c r="DS42" s="28">
        <v>0</v>
      </c>
      <c r="DT42" s="31"/>
      <c r="DU42" s="30"/>
      <c r="DX42" s="28">
        <v>0</v>
      </c>
      <c r="DY42" s="31"/>
      <c r="DZ42" s="30"/>
      <c r="EC42" s="28">
        <v>0</v>
      </c>
      <c r="ED42" s="31"/>
      <c r="EG42" s="28">
        <v>0</v>
      </c>
      <c r="EH42" s="31"/>
      <c r="EI42" s="30"/>
      <c r="EN42" s="28">
        <v>0</v>
      </c>
      <c r="EO42" s="31"/>
      <c r="ER42" s="28">
        <v>0</v>
      </c>
      <c r="ES42" s="31"/>
      <c r="ET42" s="30"/>
      <c r="EX42" s="28">
        <v>0</v>
      </c>
      <c r="EY42" s="31"/>
      <c r="FD42" s="28">
        <v>0</v>
      </c>
      <c r="FE42" s="31"/>
      <c r="FH42" s="28">
        <v>0</v>
      </c>
      <c r="FI42" s="31"/>
      <c r="FJ42" s="30"/>
      <c r="FL42" s="28">
        <v>0</v>
      </c>
      <c r="FM42" s="31"/>
      <c r="FN42" s="30"/>
      <c r="FP42" s="28">
        <v>0</v>
      </c>
      <c r="FQ42" s="31"/>
      <c r="FT42" s="28">
        <v>0</v>
      </c>
      <c r="FU42" s="31"/>
      <c r="FV42" s="30"/>
      <c r="FX42" s="28">
        <v>0</v>
      </c>
      <c r="FY42" s="31"/>
      <c r="FZ42" s="30"/>
      <c r="GB42" s="28">
        <v>0</v>
      </c>
      <c r="GC42" s="31"/>
      <c r="GF42" s="28">
        <v>0</v>
      </c>
      <c r="GG42" s="34"/>
      <c r="GJ42" s="28">
        <v>0</v>
      </c>
      <c r="GK42" s="31"/>
      <c r="GN42" s="28">
        <v>0</v>
      </c>
      <c r="GO42" s="34"/>
      <c r="GR42" s="28">
        <v>0</v>
      </c>
      <c r="GS42" s="31"/>
      <c r="GV42" s="28">
        <v>0</v>
      </c>
      <c r="GW42" s="34"/>
      <c r="GZ42" s="28">
        <v>0</v>
      </c>
      <c r="HA42" s="31"/>
      <c r="HB42" s="33"/>
      <c r="HD42" s="28">
        <v>0</v>
      </c>
      <c r="HE42" s="34"/>
      <c r="HH42" s="28">
        <v>0</v>
      </c>
      <c r="HI42" s="34"/>
      <c r="HL42" s="28">
        <v>0</v>
      </c>
      <c r="HM42" s="34"/>
      <c r="HP42" s="28">
        <v>0</v>
      </c>
      <c r="HQ42" s="31"/>
      <c r="HR42" s="29"/>
      <c r="HS42">
        <v>70</v>
      </c>
      <c r="HT42" s="29"/>
      <c r="HU42" s="12">
        <v>49</v>
      </c>
      <c r="HV42" s="27">
        <v>-70</v>
      </c>
      <c r="HW42" s="34">
        <v>70</v>
      </c>
      <c r="HX42" s="32">
        <v>76.488</v>
      </c>
      <c r="HY42" s="32">
        <v>70</v>
      </c>
      <c r="HZ42" s="28">
        <v>6.4880000000000004</v>
      </c>
      <c r="IA42" s="34"/>
      <c r="IB42" s="32">
        <v>58.465000000000003</v>
      </c>
      <c r="IC42" s="32">
        <v>55.213999999999999</v>
      </c>
      <c r="ID42" s="28">
        <v>3.2510000000000052</v>
      </c>
      <c r="IE42" s="34"/>
      <c r="IF42" s="33">
        <v>0</v>
      </c>
      <c r="IG42" s="32">
        <v>0</v>
      </c>
      <c r="IH42" s="28">
        <v>0</v>
      </c>
      <c r="II42" s="34"/>
    </row>
    <row r="43" spans="1:243" x14ac:dyDescent="0.25">
      <c r="A43" s="28" t="s">
        <v>175</v>
      </c>
      <c r="B43" s="29">
        <v>1</v>
      </c>
      <c r="J43" s="30"/>
      <c r="K43" s="35"/>
      <c r="L43" s="35"/>
      <c r="M43" s="35"/>
      <c r="N43" s="35">
        <f t="shared" si="4"/>
        <v>0</v>
      </c>
      <c r="O43" s="31"/>
      <c r="P43" s="35"/>
      <c r="S43" s="28">
        <v>0</v>
      </c>
      <c r="T43" s="31"/>
      <c r="U43" s="30"/>
      <c r="W43" s="28">
        <v>0</v>
      </c>
      <c r="X43" s="31"/>
      <c r="Y43" s="30"/>
      <c r="AA43" s="28">
        <v>0</v>
      </c>
      <c r="AB43" s="31"/>
      <c r="AE43" s="28">
        <v>0</v>
      </c>
      <c r="AF43" s="31"/>
      <c r="AG43" s="30"/>
      <c r="AI43" s="28">
        <v>0</v>
      </c>
      <c r="AJ43" s="31"/>
      <c r="AM43" s="28">
        <v>0</v>
      </c>
      <c r="AN43" s="31"/>
      <c r="AO43" s="30"/>
      <c r="AQ43" s="28">
        <v>0</v>
      </c>
      <c r="AR43" s="31"/>
      <c r="AS43" s="30"/>
      <c r="AU43" s="28">
        <v>0</v>
      </c>
      <c r="AV43" s="31"/>
      <c r="AY43" s="28">
        <v>0</v>
      </c>
      <c r="AZ43" s="31"/>
      <c r="BA43" s="30"/>
      <c r="BE43" s="28">
        <v>0</v>
      </c>
      <c r="BF43" s="31"/>
      <c r="BG43" s="30"/>
      <c r="BI43" s="28">
        <v>0</v>
      </c>
      <c r="BJ43" s="31"/>
      <c r="BO43" s="28">
        <v>0</v>
      </c>
      <c r="BP43" s="31"/>
      <c r="BS43" s="28">
        <v>0</v>
      </c>
      <c r="BT43" s="31"/>
      <c r="BU43" s="30"/>
      <c r="BW43" s="28">
        <v>0</v>
      </c>
      <c r="BX43" s="31"/>
      <c r="BY43" s="30"/>
      <c r="CA43" s="28">
        <v>0</v>
      </c>
      <c r="CB43" s="31"/>
      <c r="CE43" s="28">
        <v>0</v>
      </c>
      <c r="CF43" s="31"/>
      <c r="CG43" s="30"/>
      <c r="CJ43" s="28">
        <v>0</v>
      </c>
      <c r="CK43" s="31"/>
      <c r="CL43" s="30"/>
      <c r="CP43" s="28">
        <v>0</v>
      </c>
      <c r="CQ43" s="31"/>
      <c r="CR43" s="30"/>
      <c r="CU43" s="28">
        <v>0</v>
      </c>
      <c r="CV43" s="31"/>
      <c r="CY43" s="28">
        <v>0</v>
      </c>
      <c r="CZ43" s="31"/>
      <c r="DA43" s="33"/>
      <c r="DC43" s="28">
        <v>0</v>
      </c>
      <c r="DD43" s="31"/>
      <c r="DE43" s="30"/>
      <c r="DG43" s="28">
        <v>0</v>
      </c>
      <c r="DH43" s="31"/>
      <c r="DI43" s="30"/>
      <c r="DK43" s="28">
        <v>0</v>
      </c>
      <c r="DL43" s="31"/>
      <c r="DO43" s="28">
        <v>0</v>
      </c>
      <c r="DP43" s="31"/>
      <c r="DS43" s="28">
        <v>0</v>
      </c>
      <c r="DT43" s="31"/>
      <c r="DU43" s="30"/>
      <c r="DX43" s="28">
        <v>0</v>
      </c>
      <c r="DY43" s="31"/>
      <c r="DZ43" s="30"/>
      <c r="EC43" s="28">
        <v>0</v>
      </c>
      <c r="ED43" s="31"/>
      <c r="EG43" s="28">
        <v>0</v>
      </c>
      <c r="EH43" s="31"/>
      <c r="EI43" s="30"/>
      <c r="EN43" s="28">
        <v>0</v>
      </c>
      <c r="EO43" s="31"/>
      <c r="ER43" s="28">
        <v>0</v>
      </c>
      <c r="ES43" s="31"/>
      <c r="ET43" s="30"/>
      <c r="EX43" s="28">
        <v>0</v>
      </c>
      <c r="EY43" s="31"/>
      <c r="FD43" s="28">
        <v>0</v>
      </c>
      <c r="FE43" s="31"/>
      <c r="FH43" s="28">
        <v>0</v>
      </c>
      <c r="FI43" s="31"/>
      <c r="FJ43" s="30"/>
      <c r="FL43" s="28">
        <v>0</v>
      </c>
      <c r="FM43" s="31"/>
      <c r="FN43" s="30"/>
      <c r="FP43" s="28">
        <v>0</v>
      </c>
      <c r="FQ43" s="31"/>
      <c r="FT43" s="28">
        <v>0</v>
      </c>
      <c r="FU43" s="31"/>
      <c r="FV43" s="30"/>
      <c r="FX43" s="28">
        <v>0</v>
      </c>
      <c r="FY43" s="31"/>
      <c r="FZ43" s="30"/>
      <c r="GB43" s="28">
        <v>0</v>
      </c>
      <c r="GC43" s="31"/>
      <c r="GF43" s="28">
        <v>0</v>
      </c>
      <c r="GG43" s="34"/>
      <c r="GJ43" s="28">
        <v>0</v>
      </c>
      <c r="GK43" s="31"/>
      <c r="GN43" s="28">
        <v>0</v>
      </c>
      <c r="GO43" s="34"/>
      <c r="GR43" s="28">
        <v>0</v>
      </c>
      <c r="GS43" s="31"/>
      <c r="GV43" s="28">
        <v>0</v>
      </c>
      <c r="GW43" s="34"/>
      <c r="GZ43" s="28">
        <v>0</v>
      </c>
      <c r="HA43" s="31"/>
      <c r="HB43" s="33"/>
      <c r="HD43" s="28">
        <v>0</v>
      </c>
      <c r="HE43" s="34"/>
      <c r="HH43" s="28">
        <v>0</v>
      </c>
      <c r="HI43" s="34"/>
      <c r="HL43" s="28">
        <v>0</v>
      </c>
      <c r="HM43" s="34"/>
      <c r="HP43" s="28">
        <v>0</v>
      </c>
      <c r="HQ43" s="31"/>
      <c r="HR43" s="29"/>
      <c r="HT43" s="29"/>
      <c r="HV43" s="28">
        <v>0</v>
      </c>
      <c r="HW43" s="34"/>
      <c r="HX43" s="32">
        <v>0</v>
      </c>
      <c r="HY43" s="32">
        <v>0</v>
      </c>
      <c r="HZ43" s="28">
        <v>0</v>
      </c>
      <c r="IA43" s="34"/>
      <c r="IB43" s="32">
        <v>0</v>
      </c>
      <c r="IC43" s="32">
        <v>0</v>
      </c>
      <c r="ID43" s="28">
        <v>0</v>
      </c>
      <c r="IE43" s="34"/>
      <c r="IF43" s="33">
        <v>0</v>
      </c>
      <c r="IG43" s="32">
        <v>0</v>
      </c>
      <c r="IH43" s="28">
        <v>0</v>
      </c>
      <c r="II43" s="34"/>
    </row>
    <row r="44" spans="1:243" x14ac:dyDescent="0.25">
      <c r="A44" s="28" t="s">
        <v>176</v>
      </c>
      <c r="B44" s="29">
        <v>0.36</v>
      </c>
      <c r="J44" s="30"/>
      <c r="K44" s="35"/>
      <c r="L44" s="35"/>
      <c r="M44" s="35"/>
      <c r="N44" s="35">
        <f t="shared" si="4"/>
        <v>0</v>
      </c>
      <c r="O44" s="31"/>
      <c r="P44" s="35"/>
      <c r="S44" s="28">
        <v>0</v>
      </c>
      <c r="T44" s="31"/>
      <c r="U44" s="30"/>
      <c r="W44" s="28">
        <v>0</v>
      </c>
      <c r="X44" s="31"/>
      <c r="Y44" s="30"/>
      <c r="AA44" s="28">
        <v>0</v>
      </c>
      <c r="AB44" s="31"/>
      <c r="AE44" s="28">
        <v>0</v>
      </c>
      <c r="AF44" s="31"/>
      <c r="AG44" s="30"/>
      <c r="AI44" s="28">
        <v>0</v>
      </c>
      <c r="AJ44" s="31"/>
      <c r="AM44" s="28">
        <v>0</v>
      </c>
      <c r="AN44" s="31"/>
      <c r="AO44" s="30"/>
      <c r="AQ44" s="28">
        <v>0</v>
      </c>
      <c r="AR44" s="31"/>
      <c r="AS44" s="30"/>
      <c r="AU44" s="28">
        <v>0</v>
      </c>
      <c r="AV44" s="31"/>
      <c r="AY44" s="28">
        <v>0</v>
      </c>
      <c r="AZ44" s="31"/>
      <c r="BA44" s="30"/>
      <c r="BE44" s="28">
        <v>0</v>
      </c>
      <c r="BF44" s="31"/>
      <c r="BG44" s="30"/>
      <c r="BI44" s="28">
        <v>0</v>
      </c>
      <c r="BJ44" s="31"/>
      <c r="BO44" s="28">
        <v>0</v>
      </c>
      <c r="BP44" s="31"/>
      <c r="BS44" s="28">
        <v>0</v>
      </c>
      <c r="BT44" s="31"/>
      <c r="BU44" s="30"/>
      <c r="BW44" s="28">
        <v>0</v>
      </c>
      <c r="BX44" s="31"/>
      <c r="BY44" s="30"/>
      <c r="CA44" s="28">
        <v>0</v>
      </c>
      <c r="CB44" s="31"/>
      <c r="CE44" s="28">
        <v>0</v>
      </c>
      <c r="CF44" s="31"/>
      <c r="CG44" s="30"/>
      <c r="CJ44" s="28">
        <v>0</v>
      </c>
      <c r="CK44" s="31"/>
      <c r="CL44" s="30"/>
      <c r="CP44" s="28">
        <v>0</v>
      </c>
      <c r="CQ44" s="31"/>
      <c r="CR44" s="30"/>
      <c r="CU44" s="28">
        <v>0</v>
      </c>
      <c r="CV44" s="31"/>
      <c r="CY44" s="28">
        <v>0</v>
      </c>
      <c r="CZ44" s="31"/>
      <c r="DA44" s="33"/>
      <c r="DC44" s="28">
        <v>0</v>
      </c>
      <c r="DD44" s="31"/>
      <c r="DE44" s="30"/>
      <c r="DG44" s="28">
        <v>0</v>
      </c>
      <c r="DH44" s="31"/>
      <c r="DI44" s="30"/>
      <c r="DK44" s="28">
        <v>0</v>
      </c>
      <c r="DL44" s="31"/>
      <c r="DO44" s="28">
        <v>0</v>
      </c>
      <c r="DP44" s="31"/>
      <c r="DS44" s="28">
        <v>0</v>
      </c>
      <c r="DT44" s="31"/>
      <c r="DU44" s="30"/>
      <c r="DX44" s="28">
        <v>0</v>
      </c>
      <c r="DY44" s="31"/>
      <c r="DZ44" s="30"/>
      <c r="EC44" s="28">
        <v>0</v>
      </c>
      <c r="ED44" s="31"/>
      <c r="EG44" s="28">
        <v>0</v>
      </c>
      <c r="EH44" s="31"/>
      <c r="EI44" s="30"/>
      <c r="EN44" s="28">
        <v>0</v>
      </c>
      <c r="EO44" s="31"/>
      <c r="ER44" s="28">
        <v>0</v>
      </c>
      <c r="ES44" s="31"/>
      <c r="ET44" s="30"/>
      <c r="EX44" s="28">
        <v>0</v>
      </c>
      <c r="EY44" s="31"/>
      <c r="FD44" s="28">
        <v>0</v>
      </c>
      <c r="FE44" s="31"/>
      <c r="FH44" s="28">
        <v>0</v>
      </c>
      <c r="FI44" s="31"/>
      <c r="FJ44" s="30"/>
      <c r="FL44" s="28">
        <v>0</v>
      </c>
      <c r="FM44" s="31"/>
      <c r="FN44" s="30"/>
      <c r="FP44" s="28">
        <v>0</v>
      </c>
      <c r="FQ44" s="31"/>
      <c r="FT44" s="28">
        <v>0</v>
      </c>
      <c r="FU44" s="31"/>
      <c r="FV44" s="30"/>
      <c r="FX44" s="28">
        <v>0</v>
      </c>
      <c r="FY44" s="31"/>
      <c r="FZ44" s="30"/>
      <c r="GB44" s="28">
        <v>0</v>
      </c>
      <c r="GC44" s="31"/>
      <c r="GF44" s="28">
        <v>0</v>
      </c>
      <c r="GG44" s="34"/>
      <c r="GJ44" s="28">
        <v>0</v>
      </c>
      <c r="GK44" s="31"/>
      <c r="GN44" s="28">
        <v>0</v>
      </c>
      <c r="GO44" s="34"/>
      <c r="GR44" s="28">
        <v>0</v>
      </c>
      <c r="GS44" s="31"/>
      <c r="GV44" s="28">
        <v>0</v>
      </c>
      <c r="GW44" s="34"/>
      <c r="GZ44" s="28">
        <v>0</v>
      </c>
      <c r="HA44" s="31"/>
      <c r="HB44" s="33"/>
      <c r="HD44" s="28">
        <v>0</v>
      </c>
      <c r="HE44" s="34"/>
      <c r="HH44" s="28">
        <v>0</v>
      </c>
      <c r="HI44" s="34"/>
      <c r="HL44" s="28">
        <v>0</v>
      </c>
      <c r="HM44" s="34"/>
      <c r="HP44" s="28">
        <v>0</v>
      </c>
      <c r="HQ44" s="31"/>
      <c r="HR44" s="29"/>
      <c r="HT44" s="29"/>
      <c r="HV44" s="28">
        <v>0</v>
      </c>
      <c r="HW44" s="34"/>
      <c r="HX44" s="32">
        <v>0</v>
      </c>
      <c r="HY44" s="32">
        <v>0</v>
      </c>
      <c r="HZ44" s="28">
        <v>0</v>
      </c>
      <c r="IA44" s="34"/>
      <c r="IB44" s="32">
        <v>0</v>
      </c>
      <c r="IC44" s="32">
        <v>0</v>
      </c>
      <c r="ID44" s="28">
        <v>0</v>
      </c>
      <c r="IE44" s="34"/>
      <c r="IF44" s="33">
        <v>0</v>
      </c>
      <c r="IG44" s="32">
        <v>0</v>
      </c>
      <c r="IH44" s="28">
        <v>0</v>
      </c>
      <c r="II44" s="34"/>
    </row>
    <row r="45" spans="1:243" x14ac:dyDescent="0.25">
      <c r="A45" s="28" t="s">
        <v>177</v>
      </c>
      <c r="B45" s="29">
        <v>0.3</v>
      </c>
      <c r="J45" s="30"/>
      <c r="K45" s="35"/>
      <c r="L45" s="35"/>
      <c r="M45" s="35"/>
      <c r="N45" s="35">
        <f t="shared" si="4"/>
        <v>0</v>
      </c>
      <c r="O45" s="31"/>
      <c r="P45" s="35"/>
      <c r="S45" s="28">
        <v>0</v>
      </c>
      <c r="T45" s="31"/>
      <c r="U45" s="30"/>
      <c r="W45" s="28">
        <v>0</v>
      </c>
      <c r="X45" s="31"/>
      <c r="Y45" s="30"/>
      <c r="AA45" s="28">
        <v>0</v>
      </c>
      <c r="AB45" s="31"/>
      <c r="AE45" s="28">
        <v>0</v>
      </c>
      <c r="AF45" s="31"/>
      <c r="AG45" s="30"/>
      <c r="AI45" s="28">
        <v>0</v>
      </c>
      <c r="AJ45" s="31"/>
      <c r="AM45" s="28">
        <v>0</v>
      </c>
      <c r="AN45" s="31"/>
      <c r="AO45" s="30"/>
      <c r="AQ45" s="28">
        <v>0</v>
      </c>
      <c r="AR45" s="31"/>
      <c r="AS45" s="30"/>
      <c r="AU45" s="28">
        <v>0</v>
      </c>
      <c r="AV45" s="31"/>
      <c r="AY45" s="28">
        <v>0</v>
      </c>
      <c r="AZ45" s="31"/>
      <c r="BA45" s="30"/>
      <c r="BE45" s="28">
        <v>0</v>
      </c>
      <c r="BF45" s="31"/>
      <c r="BG45" s="30"/>
      <c r="BI45" s="28">
        <v>0</v>
      </c>
      <c r="BJ45" s="31"/>
      <c r="BO45" s="28">
        <v>0</v>
      </c>
      <c r="BP45" s="31"/>
      <c r="BS45" s="28">
        <v>0</v>
      </c>
      <c r="BT45" s="31"/>
      <c r="BU45" s="30"/>
      <c r="BW45" s="28">
        <v>0</v>
      </c>
      <c r="BX45" s="31"/>
      <c r="BY45" s="30"/>
      <c r="CA45" s="28">
        <v>0</v>
      </c>
      <c r="CB45" s="31"/>
      <c r="CE45" s="28">
        <v>0</v>
      </c>
      <c r="CF45" s="31"/>
      <c r="CG45" s="30"/>
      <c r="CJ45" s="28">
        <v>0</v>
      </c>
      <c r="CK45" s="31"/>
      <c r="CL45" s="30"/>
      <c r="CP45" s="28">
        <v>0</v>
      </c>
      <c r="CQ45" s="31"/>
      <c r="CR45" s="30"/>
      <c r="CU45" s="28">
        <v>0</v>
      </c>
      <c r="CV45" s="31"/>
      <c r="CY45" s="28">
        <v>0</v>
      </c>
      <c r="CZ45" s="31"/>
      <c r="DA45" s="33"/>
      <c r="DC45" s="28">
        <v>0</v>
      </c>
      <c r="DD45" s="31"/>
      <c r="DE45" s="30"/>
      <c r="DG45" s="28">
        <v>0</v>
      </c>
      <c r="DH45" s="31"/>
      <c r="DI45" s="30"/>
      <c r="DK45" s="28">
        <v>0</v>
      </c>
      <c r="DL45" s="31"/>
      <c r="DO45" s="28">
        <v>0</v>
      </c>
      <c r="DP45" s="31"/>
      <c r="DS45" s="28">
        <v>0</v>
      </c>
      <c r="DT45" s="31"/>
      <c r="DU45" s="30"/>
      <c r="DX45" s="28">
        <v>0</v>
      </c>
      <c r="DY45" s="31"/>
      <c r="DZ45" s="30"/>
      <c r="EC45" s="28">
        <v>0</v>
      </c>
      <c r="ED45" s="31"/>
      <c r="EG45" s="28">
        <v>0</v>
      </c>
      <c r="EH45" s="31"/>
      <c r="EI45" s="30"/>
      <c r="EN45" s="28">
        <v>0</v>
      </c>
      <c r="EO45" s="31"/>
      <c r="ER45" s="28">
        <v>0</v>
      </c>
      <c r="ES45" s="31"/>
      <c r="ET45" s="30"/>
      <c r="EX45" s="28">
        <v>0</v>
      </c>
      <c r="EY45" s="31"/>
      <c r="FD45" s="28">
        <v>0</v>
      </c>
      <c r="FE45" s="31"/>
      <c r="FH45" s="28">
        <v>0</v>
      </c>
      <c r="FI45" s="31"/>
      <c r="FJ45" s="30"/>
      <c r="FL45" s="28">
        <v>0</v>
      </c>
      <c r="FM45" s="31"/>
      <c r="FN45" s="30"/>
      <c r="FP45" s="28">
        <v>0</v>
      </c>
      <c r="FQ45" s="31"/>
      <c r="FT45" s="28">
        <v>0</v>
      </c>
      <c r="FU45" s="31"/>
      <c r="FV45" s="30"/>
      <c r="FX45" s="28">
        <v>0</v>
      </c>
      <c r="FY45" s="31"/>
      <c r="FZ45" s="30"/>
      <c r="GB45" s="28">
        <v>0</v>
      </c>
      <c r="GC45" s="31"/>
      <c r="GF45" s="28">
        <v>0</v>
      </c>
      <c r="GG45" s="34"/>
      <c r="GJ45" s="28">
        <v>0</v>
      </c>
      <c r="GK45" s="31"/>
      <c r="GL45">
        <v>12</v>
      </c>
      <c r="GM45">
        <v>10</v>
      </c>
      <c r="GN45" s="28">
        <v>2</v>
      </c>
      <c r="GO45" s="34"/>
      <c r="GP45">
        <v>42</v>
      </c>
      <c r="GQ45">
        <v>40</v>
      </c>
      <c r="GR45" s="28">
        <v>2</v>
      </c>
      <c r="GS45" s="31"/>
      <c r="GT45">
        <v>6</v>
      </c>
      <c r="GU45">
        <v>10</v>
      </c>
      <c r="GV45" s="28">
        <v>-4</v>
      </c>
      <c r="GW45" s="34"/>
      <c r="GZ45" s="28">
        <v>0</v>
      </c>
      <c r="HA45" s="31"/>
      <c r="HB45" s="24">
        <v>24</v>
      </c>
      <c r="HC45" s="32">
        <v>25</v>
      </c>
      <c r="HD45" s="28">
        <v>-1</v>
      </c>
      <c r="HE45" s="34"/>
      <c r="HH45" s="28">
        <v>0</v>
      </c>
      <c r="HI45" s="34"/>
      <c r="HJ45">
        <v>18</v>
      </c>
      <c r="HK45">
        <v>20</v>
      </c>
      <c r="HL45" s="28">
        <v>2</v>
      </c>
      <c r="HM45" s="34"/>
      <c r="HP45" s="28">
        <v>0</v>
      </c>
      <c r="HQ45" s="31"/>
      <c r="HR45" s="29"/>
      <c r="HT45" s="29"/>
      <c r="HV45" s="28">
        <v>0</v>
      </c>
      <c r="HW45" s="34"/>
      <c r="HX45" s="32">
        <v>42</v>
      </c>
      <c r="HY45" s="32">
        <v>40</v>
      </c>
      <c r="HZ45" s="28">
        <v>2</v>
      </c>
      <c r="IA45" s="34"/>
      <c r="IB45" s="32">
        <v>0</v>
      </c>
      <c r="IC45" s="32">
        <v>0</v>
      </c>
      <c r="ID45" s="28">
        <v>0</v>
      </c>
      <c r="IE45" s="34"/>
      <c r="IF45" s="33">
        <v>0</v>
      </c>
      <c r="IG45" s="32">
        <v>0</v>
      </c>
      <c r="IH45" s="28">
        <v>0</v>
      </c>
      <c r="II45" s="34"/>
    </row>
    <row r="46" spans="1:243" x14ac:dyDescent="0.25">
      <c r="A46" s="28" t="s">
        <v>178</v>
      </c>
      <c r="B46" s="29">
        <v>0.35</v>
      </c>
      <c r="J46" s="30"/>
      <c r="K46" s="35"/>
      <c r="L46" s="35"/>
      <c r="M46" s="35"/>
      <c r="N46" s="35">
        <f t="shared" si="4"/>
        <v>0</v>
      </c>
      <c r="O46" s="31"/>
      <c r="P46" s="35"/>
      <c r="S46" s="28">
        <v>0</v>
      </c>
      <c r="T46" s="31"/>
      <c r="U46" s="30"/>
      <c r="W46" s="28">
        <v>0</v>
      </c>
      <c r="X46" s="31"/>
      <c r="Y46" s="30"/>
      <c r="AA46" s="28">
        <v>0</v>
      </c>
      <c r="AB46" s="31"/>
      <c r="AE46" s="28">
        <v>0</v>
      </c>
      <c r="AF46" s="31"/>
      <c r="AG46" s="30"/>
      <c r="AI46" s="28">
        <v>0</v>
      </c>
      <c r="AJ46" s="31"/>
      <c r="AM46" s="28">
        <v>0</v>
      </c>
      <c r="AN46" s="31"/>
      <c r="AO46" s="30"/>
      <c r="AQ46" s="28">
        <v>0</v>
      </c>
      <c r="AR46" s="31"/>
      <c r="AS46" s="30"/>
      <c r="AU46" s="28">
        <v>0</v>
      </c>
      <c r="AV46" s="31"/>
      <c r="AY46" s="28">
        <v>0</v>
      </c>
      <c r="AZ46" s="31"/>
      <c r="BA46" s="30"/>
      <c r="BE46" s="28">
        <v>0</v>
      </c>
      <c r="BF46" s="31"/>
      <c r="BG46" s="30"/>
      <c r="BI46" s="28">
        <v>0</v>
      </c>
      <c r="BJ46" s="31"/>
      <c r="BO46" s="28">
        <v>0</v>
      </c>
      <c r="BP46" s="31"/>
      <c r="BS46" s="28">
        <v>0</v>
      </c>
      <c r="BT46" s="31"/>
      <c r="BU46" s="30"/>
      <c r="BW46" s="28">
        <v>0</v>
      </c>
      <c r="BX46" s="31"/>
      <c r="BY46" s="30"/>
      <c r="CA46" s="28">
        <v>0</v>
      </c>
      <c r="CB46" s="31"/>
      <c r="CE46" s="28">
        <v>0</v>
      </c>
      <c r="CF46" s="31"/>
      <c r="CG46" s="30"/>
      <c r="CJ46" s="28">
        <v>0</v>
      </c>
      <c r="CK46" s="31"/>
      <c r="CL46" s="30"/>
      <c r="CP46" s="28">
        <v>0</v>
      </c>
      <c r="CQ46" s="31"/>
      <c r="CR46" s="30"/>
      <c r="CU46" s="28">
        <v>0</v>
      </c>
      <c r="CV46" s="31"/>
      <c r="CY46" s="28">
        <v>0</v>
      </c>
      <c r="CZ46" s="31"/>
      <c r="DA46" s="33"/>
      <c r="DC46" s="28">
        <v>0</v>
      </c>
      <c r="DD46" s="31"/>
      <c r="DE46" s="30"/>
      <c r="DG46" s="28">
        <v>0</v>
      </c>
      <c r="DH46" s="31"/>
      <c r="DI46" s="30"/>
      <c r="DK46" s="28">
        <v>0</v>
      </c>
      <c r="DL46" s="31"/>
      <c r="DO46" s="28">
        <v>0</v>
      </c>
      <c r="DP46" s="31"/>
      <c r="DS46" s="28">
        <v>0</v>
      </c>
      <c r="DT46" s="31"/>
      <c r="DU46" s="30"/>
      <c r="DX46" s="28">
        <v>0</v>
      </c>
      <c r="DY46" s="31"/>
      <c r="DZ46" s="30"/>
      <c r="EC46" s="28">
        <v>0</v>
      </c>
      <c r="ED46" s="31"/>
      <c r="EG46" s="28">
        <v>0</v>
      </c>
      <c r="EH46" s="31"/>
      <c r="EI46" s="30"/>
      <c r="EN46" s="28">
        <v>0</v>
      </c>
      <c r="EO46" s="31"/>
      <c r="ER46" s="28">
        <v>0</v>
      </c>
      <c r="ES46" s="31"/>
      <c r="ET46" s="30"/>
      <c r="EX46" s="28">
        <v>0</v>
      </c>
      <c r="EY46" s="31"/>
      <c r="FD46" s="28">
        <v>0</v>
      </c>
      <c r="FE46" s="31"/>
      <c r="FH46" s="28">
        <v>0</v>
      </c>
      <c r="FI46" s="31"/>
      <c r="FJ46" s="30"/>
      <c r="FL46" s="28">
        <v>0</v>
      </c>
      <c r="FM46" s="31"/>
      <c r="FN46" s="30"/>
      <c r="FP46" s="28">
        <v>0</v>
      </c>
      <c r="FQ46" s="31"/>
      <c r="FT46" s="28">
        <v>0</v>
      </c>
      <c r="FU46" s="31"/>
      <c r="FV46" s="30"/>
      <c r="FX46" s="28">
        <v>0</v>
      </c>
      <c r="FY46" s="31"/>
      <c r="FZ46" s="30"/>
      <c r="GB46" s="28">
        <v>0</v>
      </c>
      <c r="GC46" s="31"/>
      <c r="GF46" s="28">
        <v>0</v>
      </c>
      <c r="GG46" s="34"/>
      <c r="GJ46" s="28">
        <v>0</v>
      </c>
      <c r="GK46" s="31"/>
      <c r="GN46" s="28">
        <v>0</v>
      </c>
      <c r="GO46" s="34"/>
      <c r="GR46" s="28">
        <v>0</v>
      </c>
      <c r="GS46" s="31"/>
      <c r="GV46" s="28">
        <v>0</v>
      </c>
      <c r="GW46" s="34"/>
      <c r="GZ46" s="28">
        <v>0</v>
      </c>
      <c r="HA46" s="31"/>
      <c r="HB46" s="33"/>
      <c r="HD46" s="28">
        <v>0</v>
      </c>
      <c r="HE46" s="34"/>
      <c r="HH46" s="28">
        <v>0</v>
      </c>
      <c r="HI46" s="34"/>
      <c r="HL46" s="28">
        <v>0</v>
      </c>
      <c r="HM46" s="34"/>
      <c r="HP46" s="28">
        <v>0</v>
      </c>
      <c r="HQ46" s="31"/>
      <c r="HR46" s="29"/>
      <c r="HT46" s="29"/>
      <c r="HV46" s="28">
        <v>0</v>
      </c>
      <c r="HW46" s="34"/>
      <c r="HX46" s="32">
        <v>0</v>
      </c>
      <c r="HY46" s="32">
        <v>0</v>
      </c>
      <c r="HZ46" s="28">
        <v>0</v>
      </c>
      <c r="IA46" s="34"/>
      <c r="IB46" s="32">
        <v>0</v>
      </c>
      <c r="IC46" s="32">
        <v>0</v>
      </c>
      <c r="ID46" s="28">
        <v>0</v>
      </c>
      <c r="IE46" s="34"/>
      <c r="IF46" s="33">
        <v>0</v>
      </c>
      <c r="IG46" s="32">
        <v>0</v>
      </c>
      <c r="IH46" s="28">
        <v>0</v>
      </c>
      <c r="II46" s="34"/>
    </row>
    <row r="47" spans="1:243" x14ac:dyDescent="0.25">
      <c r="A47" s="28" t="s">
        <v>179</v>
      </c>
      <c r="B47" s="29">
        <v>1</v>
      </c>
      <c r="J47" s="30"/>
      <c r="K47" s="35"/>
      <c r="L47" s="35"/>
      <c r="M47" s="35"/>
      <c r="N47" s="35">
        <f t="shared" si="4"/>
        <v>0</v>
      </c>
      <c r="O47" s="31"/>
      <c r="P47" s="35"/>
      <c r="S47" s="28">
        <v>0</v>
      </c>
      <c r="T47" s="31"/>
      <c r="U47" s="30"/>
      <c r="W47" s="28">
        <v>0</v>
      </c>
      <c r="X47" s="31"/>
      <c r="Y47" s="30"/>
      <c r="AA47" s="28">
        <v>0</v>
      </c>
      <c r="AB47" s="31"/>
      <c r="AE47" s="28">
        <v>0</v>
      </c>
      <c r="AF47" s="31"/>
      <c r="AG47" s="30"/>
      <c r="AI47" s="28">
        <v>0</v>
      </c>
      <c r="AJ47" s="31"/>
      <c r="AM47" s="28">
        <v>0</v>
      </c>
      <c r="AN47" s="31"/>
      <c r="AO47" s="30"/>
      <c r="AQ47" s="28">
        <v>0</v>
      </c>
      <c r="AR47" s="31"/>
      <c r="AS47" s="30"/>
      <c r="AU47" s="28">
        <v>0</v>
      </c>
      <c r="AV47" s="31"/>
      <c r="AY47" s="28">
        <v>0</v>
      </c>
      <c r="AZ47" s="31"/>
      <c r="BA47" s="30"/>
      <c r="BE47" s="28">
        <v>0</v>
      </c>
      <c r="BF47" s="31"/>
      <c r="BG47" s="30"/>
      <c r="BI47" s="28">
        <v>0</v>
      </c>
      <c r="BJ47" s="31"/>
      <c r="BO47" s="28">
        <v>0</v>
      </c>
      <c r="BP47" s="31"/>
      <c r="BS47" s="28">
        <v>0</v>
      </c>
      <c r="BT47" s="31"/>
      <c r="BU47" s="30"/>
      <c r="BW47" s="28">
        <v>0</v>
      </c>
      <c r="BX47" s="31"/>
      <c r="BY47" s="30"/>
      <c r="CA47" s="28">
        <v>0</v>
      </c>
      <c r="CB47" s="31"/>
      <c r="CE47" s="28">
        <v>0</v>
      </c>
      <c r="CF47" s="31"/>
      <c r="CG47" s="30"/>
      <c r="CJ47" s="28">
        <v>0</v>
      </c>
      <c r="CK47" s="31"/>
      <c r="CL47" s="30"/>
      <c r="CP47" s="28">
        <v>0</v>
      </c>
      <c r="CQ47" s="31"/>
      <c r="CR47" s="30"/>
      <c r="CU47" s="28">
        <v>0</v>
      </c>
      <c r="CV47" s="31"/>
      <c r="CY47" s="28">
        <v>0</v>
      </c>
      <c r="CZ47" s="31"/>
      <c r="DA47" s="33"/>
      <c r="DC47" s="28">
        <v>0</v>
      </c>
      <c r="DD47" s="31"/>
      <c r="DE47" s="30"/>
      <c r="DG47" s="28">
        <v>0</v>
      </c>
      <c r="DH47" s="31"/>
      <c r="DI47" s="30"/>
      <c r="DK47" s="28">
        <v>0</v>
      </c>
      <c r="DL47" s="31"/>
      <c r="DO47" s="28">
        <v>0</v>
      </c>
      <c r="DP47" s="31"/>
      <c r="DS47" s="28">
        <v>0</v>
      </c>
      <c r="DT47" s="31"/>
      <c r="DU47" s="30"/>
      <c r="DX47" s="28">
        <v>0</v>
      </c>
      <c r="DY47" s="31"/>
      <c r="DZ47" s="30"/>
      <c r="EC47" s="28">
        <v>0</v>
      </c>
      <c r="ED47" s="31"/>
      <c r="EG47" s="28">
        <v>0</v>
      </c>
      <c r="EH47" s="31"/>
      <c r="EI47" s="30"/>
      <c r="EN47" s="28">
        <v>0</v>
      </c>
      <c r="EO47" s="31"/>
      <c r="ER47" s="28">
        <v>0</v>
      </c>
      <c r="ES47" s="31"/>
      <c r="ET47" s="30"/>
      <c r="EX47" s="28">
        <v>0</v>
      </c>
      <c r="EY47" s="31"/>
      <c r="FD47" s="28">
        <v>0</v>
      </c>
      <c r="FE47" s="31"/>
      <c r="FH47" s="28">
        <v>0</v>
      </c>
      <c r="FI47" s="31"/>
      <c r="FJ47" s="30"/>
      <c r="FL47" s="28">
        <v>0</v>
      </c>
      <c r="FM47" s="31"/>
      <c r="FN47" s="30"/>
      <c r="FP47" s="28">
        <v>0</v>
      </c>
      <c r="FQ47" s="31"/>
      <c r="FT47" s="28">
        <v>0</v>
      </c>
      <c r="FU47" s="31"/>
      <c r="FV47" s="30"/>
      <c r="FX47" s="28">
        <v>0</v>
      </c>
      <c r="FY47" s="31"/>
      <c r="FZ47" s="30"/>
      <c r="GB47" s="28">
        <v>0</v>
      </c>
      <c r="GC47" s="31"/>
      <c r="GF47" s="28">
        <v>0</v>
      </c>
      <c r="GG47" s="34"/>
      <c r="GJ47" s="28">
        <v>0</v>
      </c>
      <c r="GK47" s="31"/>
      <c r="GN47" s="28">
        <v>0</v>
      </c>
      <c r="GO47" s="34"/>
      <c r="GR47" s="28">
        <v>0</v>
      </c>
      <c r="GS47" s="31"/>
      <c r="GV47" s="28">
        <v>0</v>
      </c>
      <c r="GW47" s="34"/>
      <c r="GZ47" s="28">
        <v>0</v>
      </c>
      <c r="HA47" s="31"/>
      <c r="HB47" s="33"/>
      <c r="HD47" s="28">
        <v>0</v>
      </c>
      <c r="HE47" s="34"/>
      <c r="HH47" s="28">
        <v>0</v>
      </c>
      <c r="HI47" s="34"/>
      <c r="HL47" s="28">
        <v>0</v>
      </c>
      <c r="HM47" s="34"/>
      <c r="HP47" s="28">
        <v>0</v>
      </c>
      <c r="HQ47" s="31"/>
      <c r="HR47" s="29"/>
      <c r="HT47" s="29"/>
      <c r="HV47" s="28">
        <v>0</v>
      </c>
      <c r="HW47" s="34"/>
      <c r="HX47" s="32">
        <v>0</v>
      </c>
      <c r="HY47" s="32">
        <v>0</v>
      </c>
      <c r="HZ47" s="28">
        <v>0</v>
      </c>
      <c r="IA47" s="34"/>
      <c r="IB47" s="32">
        <v>0</v>
      </c>
      <c r="IC47" s="32">
        <v>0</v>
      </c>
      <c r="ID47" s="28">
        <v>0</v>
      </c>
      <c r="IE47" s="34"/>
      <c r="IF47" s="33">
        <v>0</v>
      </c>
      <c r="IG47" s="32">
        <v>0</v>
      </c>
      <c r="IH47" s="28">
        <v>0</v>
      </c>
      <c r="II47" s="34"/>
    </row>
    <row r="48" spans="1:243" x14ac:dyDescent="0.25">
      <c r="A48" s="28" t="s">
        <v>180</v>
      </c>
      <c r="B48" s="29">
        <v>0.09</v>
      </c>
      <c r="J48" s="24">
        <v>90</v>
      </c>
      <c r="K48" s="36">
        <v>90</v>
      </c>
      <c r="L48" s="36">
        <v>100</v>
      </c>
      <c r="M48" s="36">
        <v>109</v>
      </c>
      <c r="N48" s="35">
        <f t="shared" si="4"/>
        <v>-9</v>
      </c>
      <c r="O48" s="31"/>
      <c r="P48" s="35"/>
      <c r="Q48">
        <v>10</v>
      </c>
      <c r="R48">
        <v>10</v>
      </c>
      <c r="S48" s="28">
        <v>0</v>
      </c>
      <c r="T48" s="31"/>
      <c r="U48" s="24">
        <v>110</v>
      </c>
      <c r="V48">
        <v>116</v>
      </c>
      <c r="W48" s="28">
        <v>-6</v>
      </c>
      <c r="X48" s="31"/>
      <c r="Y48" s="30"/>
      <c r="AA48" s="28">
        <v>0</v>
      </c>
      <c r="AB48" s="31"/>
      <c r="AC48">
        <v>110</v>
      </c>
      <c r="AD48">
        <v>113</v>
      </c>
      <c r="AE48" s="28">
        <v>-3</v>
      </c>
      <c r="AF48" s="31"/>
      <c r="AG48" s="30"/>
      <c r="AI48" s="28">
        <v>0</v>
      </c>
      <c r="AJ48" s="31"/>
      <c r="AK48">
        <v>90</v>
      </c>
      <c r="AL48">
        <v>98</v>
      </c>
      <c r="AM48" s="28">
        <v>-8</v>
      </c>
      <c r="AN48" s="31"/>
      <c r="AO48" s="24">
        <v>10</v>
      </c>
      <c r="AP48">
        <v>10</v>
      </c>
      <c r="AQ48" s="28">
        <v>0</v>
      </c>
      <c r="AR48" s="31"/>
      <c r="AS48" s="24">
        <v>50</v>
      </c>
      <c r="AT48">
        <v>53</v>
      </c>
      <c r="AU48" s="28">
        <v>-3</v>
      </c>
      <c r="AV48" s="31"/>
      <c r="AW48">
        <v>20</v>
      </c>
      <c r="AX48">
        <v>19</v>
      </c>
      <c r="AY48" s="28">
        <v>1</v>
      </c>
      <c r="AZ48" s="31"/>
      <c r="BA48" s="30"/>
      <c r="BB48">
        <v>14</v>
      </c>
      <c r="BC48">
        <v>30</v>
      </c>
      <c r="BD48">
        <v>20</v>
      </c>
      <c r="BE48" s="28">
        <v>-4</v>
      </c>
      <c r="BF48" s="31"/>
      <c r="BG48" s="30"/>
      <c r="BI48" s="28">
        <v>0</v>
      </c>
      <c r="BJ48" s="31"/>
      <c r="BO48" s="28">
        <v>0</v>
      </c>
      <c r="BP48" s="31"/>
      <c r="BQ48">
        <v>40</v>
      </c>
      <c r="BR48">
        <v>45</v>
      </c>
      <c r="BS48" s="28">
        <v>-5</v>
      </c>
      <c r="BT48" s="31"/>
      <c r="BU48" s="30"/>
      <c r="BW48" s="28">
        <v>0</v>
      </c>
      <c r="BX48" s="31"/>
      <c r="BY48" s="30">
        <v>30</v>
      </c>
      <c r="BZ48" s="28">
        <v>30</v>
      </c>
      <c r="CA48" s="28">
        <v>0</v>
      </c>
      <c r="CB48" s="31"/>
      <c r="CE48" s="28">
        <v>0</v>
      </c>
      <c r="CF48" s="31"/>
      <c r="CG48" s="30"/>
      <c r="CJ48" s="28">
        <v>0</v>
      </c>
      <c r="CK48" s="31"/>
      <c r="CL48" s="30"/>
      <c r="CP48" s="28">
        <v>0</v>
      </c>
      <c r="CQ48" s="31"/>
      <c r="CR48" s="30"/>
      <c r="CV48" s="31"/>
      <c r="CZ48" s="31"/>
      <c r="DA48" s="33"/>
      <c r="DD48" s="31"/>
      <c r="DE48" s="30"/>
      <c r="DH48" s="31"/>
      <c r="DI48" s="30"/>
      <c r="DL48" s="31"/>
      <c r="DP48" s="31"/>
      <c r="DT48" s="31"/>
      <c r="DU48" s="30"/>
      <c r="DY48" s="31"/>
      <c r="DZ48" s="30"/>
      <c r="ED48" s="31"/>
      <c r="EH48" s="31"/>
      <c r="EI48" s="30"/>
      <c r="EO48" s="31"/>
      <c r="ES48" s="31"/>
      <c r="ET48" s="30"/>
      <c r="EY48" s="31"/>
      <c r="FE48" s="31"/>
      <c r="FI48" s="31"/>
      <c r="FJ48" s="30"/>
      <c r="FM48" s="31"/>
      <c r="FN48" s="30"/>
      <c r="FQ48" s="31"/>
      <c r="FU48" s="31"/>
      <c r="FV48" s="30"/>
      <c r="FY48" s="31"/>
      <c r="FZ48" s="30"/>
      <c r="GC48" s="31"/>
      <c r="GG48" s="34"/>
      <c r="GK48" s="31"/>
      <c r="GO48" s="34"/>
      <c r="GS48" s="31"/>
      <c r="GW48" s="34"/>
      <c r="HA48" s="31"/>
      <c r="HB48" s="33"/>
      <c r="HE48" s="34"/>
      <c r="HI48" s="34"/>
      <c r="HM48" s="34"/>
      <c r="HQ48" s="31"/>
      <c r="HR48" s="29"/>
      <c r="HT48" s="29"/>
      <c r="HW48" s="34"/>
      <c r="HX48" s="32"/>
      <c r="HY48" s="32"/>
      <c r="IA48" s="34"/>
      <c r="IB48" s="32"/>
      <c r="IC48" s="32"/>
      <c r="IE48" s="34"/>
      <c r="IF48" s="33"/>
      <c r="IG48" s="32"/>
      <c r="II48" s="34"/>
    </row>
    <row r="49" spans="1:243" x14ac:dyDescent="0.25">
      <c r="A49" s="28" t="s">
        <v>181</v>
      </c>
      <c r="B49" s="29">
        <v>0.15</v>
      </c>
      <c r="F49">
        <v>112</v>
      </c>
      <c r="G49">
        <v>116</v>
      </c>
      <c r="J49" s="30"/>
      <c r="K49" s="35"/>
      <c r="L49" s="35"/>
      <c r="M49" s="35"/>
      <c r="N49" s="35">
        <f t="shared" si="4"/>
        <v>0</v>
      </c>
      <c r="O49" s="31"/>
      <c r="P49" s="35"/>
      <c r="Q49">
        <v>208</v>
      </c>
      <c r="R49">
        <v>206</v>
      </c>
      <c r="S49" s="28">
        <v>2</v>
      </c>
      <c r="T49" s="31"/>
      <c r="U49" s="30"/>
      <c r="W49" s="28">
        <v>0</v>
      </c>
      <c r="X49" s="31"/>
      <c r="Y49" s="24">
        <v>144</v>
      </c>
      <c r="Z49">
        <v>144</v>
      </c>
      <c r="AA49" s="28">
        <v>0</v>
      </c>
      <c r="AB49" s="31"/>
      <c r="AE49" s="28">
        <v>0</v>
      </c>
      <c r="AF49" s="31"/>
      <c r="AG49" s="24">
        <v>72</v>
      </c>
      <c r="AH49">
        <v>70</v>
      </c>
      <c r="AI49" s="28">
        <v>2</v>
      </c>
      <c r="AJ49" s="31"/>
      <c r="AK49">
        <v>8</v>
      </c>
      <c r="AL49">
        <v>10</v>
      </c>
      <c r="AM49" s="28">
        <v>-2</v>
      </c>
      <c r="AN49" s="31"/>
      <c r="AO49" s="24">
        <v>40</v>
      </c>
      <c r="AP49">
        <v>45</v>
      </c>
      <c r="AQ49" s="28">
        <v>-5</v>
      </c>
      <c r="AR49" s="31"/>
      <c r="AS49" s="24">
        <v>24</v>
      </c>
      <c r="AT49">
        <v>22</v>
      </c>
      <c r="AU49" s="28">
        <v>2</v>
      </c>
      <c r="AV49" s="31"/>
      <c r="AW49">
        <v>24</v>
      </c>
      <c r="AX49">
        <v>23</v>
      </c>
      <c r="AY49" s="28">
        <v>1</v>
      </c>
      <c r="AZ49" s="31"/>
      <c r="BA49" s="30"/>
      <c r="BE49" s="28">
        <v>0</v>
      </c>
      <c r="BF49" s="31"/>
      <c r="BG49" s="24">
        <v>16</v>
      </c>
      <c r="BH49">
        <v>15</v>
      </c>
      <c r="BI49" s="28">
        <v>1</v>
      </c>
      <c r="BJ49" s="31"/>
      <c r="BM49">
        <v>24</v>
      </c>
      <c r="BN49" s="28">
        <v>24</v>
      </c>
      <c r="BO49" s="28">
        <v>0</v>
      </c>
      <c r="BP49" s="31"/>
      <c r="BS49" s="28">
        <v>0</v>
      </c>
      <c r="BT49" s="31"/>
      <c r="BU49" s="30"/>
      <c r="BW49" s="28">
        <v>0</v>
      </c>
      <c r="BX49" s="31"/>
      <c r="BY49" s="30">
        <v>32</v>
      </c>
      <c r="BZ49" s="28">
        <v>30</v>
      </c>
      <c r="CA49" s="28">
        <v>2</v>
      </c>
      <c r="CB49" s="31"/>
      <c r="CE49" s="28">
        <v>0</v>
      </c>
      <c r="CF49" s="31"/>
      <c r="CG49" s="30"/>
      <c r="CJ49" s="28">
        <v>0</v>
      </c>
      <c r="CK49" s="31"/>
      <c r="CL49" s="30"/>
      <c r="CP49" s="28">
        <v>0</v>
      </c>
      <c r="CQ49" s="31"/>
      <c r="CR49" s="30"/>
      <c r="CV49" s="34"/>
      <c r="CZ49" s="31"/>
      <c r="DA49" s="33"/>
      <c r="DD49" s="31"/>
      <c r="DE49" s="30"/>
      <c r="DH49" s="31"/>
      <c r="DI49" s="30"/>
      <c r="DL49" s="31"/>
      <c r="DP49" s="31"/>
      <c r="DT49" s="31"/>
      <c r="DU49" s="30"/>
      <c r="DY49" s="31"/>
      <c r="DZ49" s="30"/>
      <c r="ED49" s="31"/>
      <c r="EH49" s="31"/>
      <c r="EI49" s="30"/>
      <c r="EO49" s="31"/>
      <c r="ES49" s="31"/>
      <c r="ET49" s="30"/>
      <c r="EW49" s="29"/>
      <c r="EY49" s="31"/>
      <c r="FE49" s="31"/>
      <c r="FF49" s="32"/>
      <c r="FI49" s="31"/>
      <c r="FJ49" s="30"/>
      <c r="FM49" s="31"/>
      <c r="FN49" s="30"/>
      <c r="FQ49" s="31"/>
      <c r="FU49" s="31"/>
      <c r="FV49" s="30"/>
      <c r="FY49" s="31"/>
      <c r="FZ49" s="30"/>
      <c r="GC49" s="31"/>
      <c r="GG49" s="34"/>
      <c r="GK49" s="31"/>
      <c r="GO49" s="34"/>
      <c r="GS49" s="31"/>
      <c r="GW49" s="34"/>
      <c r="HA49" s="31"/>
      <c r="HB49" s="33"/>
      <c r="HE49" s="34"/>
      <c r="HI49" s="34"/>
      <c r="HM49" s="34"/>
      <c r="HQ49" s="31"/>
      <c r="HR49" s="29"/>
      <c r="HT49" s="29"/>
      <c r="HW49" s="34"/>
      <c r="HX49" s="32"/>
      <c r="HY49" s="32"/>
      <c r="IA49" s="34"/>
      <c r="IB49" s="32"/>
      <c r="IC49" s="32"/>
      <c r="IE49" s="34"/>
      <c r="IF49" s="33"/>
      <c r="IG49" s="32"/>
      <c r="II49" s="34"/>
    </row>
    <row r="50" spans="1:243" x14ac:dyDescent="0.25">
      <c r="A50" s="28" t="s">
        <v>182</v>
      </c>
      <c r="B50" s="29">
        <v>0.09</v>
      </c>
      <c r="E50">
        <v>60</v>
      </c>
      <c r="F50">
        <v>90</v>
      </c>
      <c r="G50">
        <v>90</v>
      </c>
      <c r="J50" s="24">
        <v>50</v>
      </c>
      <c r="K50" s="36">
        <v>50</v>
      </c>
      <c r="L50" s="36">
        <v>60</v>
      </c>
      <c r="M50" s="36">
        <v>69</v>
      </c>
      <c r="N50" s="35">
        <f t="shared" si="4"/>
        <v>-9</v>
      </c>
      <c r="O50" s="31"/>
      <c r="P50" s="35"/>
      <c r="Q50">
        <v>50</v>
      </c>
      <c r="R50">
        <v>53</v>
      </c>
      <c r="S50" s="28">
        <v>-3</v>
      </c>
      <c r="T50" s="31"/>
      <c r="U50" s="24">
        <v>190</v>
      </c>
      <c r="V50">
        <v>193</v>
      </c>
      <c r="W50" s="28">
        <v>-3</v>
      </c>
      <c r="X50" s="31"/>
      <c r="Y50" s="30"/>
      <c r="AA50" s="28">
        <v>0</v>
      </c>
      <c r="AB50" s="31"/>
      <c r="AC50">
        <v>200</v>
      </c>
      <c r="AD50">
        <v>203</v>
      </c>
      <c r="AE50" s="28">
        <v>-3</v>
      </c>
      <c r="AF50" s="31"/>
      <c r="AG50" s="30"/>
      <c r="AI50" s="28">
        <v>0</v>
      </c>
      <c r="AJ50" s="31"/>
      <c r="AK50">
        <v>140</v>
      </c>
      <c r="AL50">
        <v>142</v>
      </c>
      <c r="AM50" s="28">
        <v>-2</v>
      </c>
      <c r="AN50" s="31"/>
      <c r="AO50" s="30"/>
      <c r="AQ50" s="28">
        <v>0</v>
      </c>
      <c r="AR50" s="31"/>
      <c r="AS50" s="24">
        <v>80</v>
      </c>
      <c r="AT50">
        <v>87</v>
      </c>
      <c r="AU50" s="28">
        <v>-7</v>
      </c>
      <c r="AV50" s="31"/>
      <c r="AY50" s="28">
        <v>0</v>
      </c>
      <c r="AZ50" s="31"/>
      <c r="BA50" s="24">
        <v>20</v>
      </c>
      <c r="BB50">
        <v>20</v>
      </c>
      <c r="BC50">
        <v>30</v>
      </c>
      <c r="BD50">
        <v>35</v>
      </c>
      <c r="BE50" s="28">
        <v>-5</v>
      </c>
      <c r="BF50" s="31"/>
      <c r="BG50" s="24">
        <v>20</v>
      </c>
      <c r="BH50">
        <v>22</v>
      </c>
      <c r="BI50" s="28">
        <v>-2</v>
      </c>
      <c r="BJ50" s="31"/>
      <c r="BM50">
        <v>10</v>
      </c>
      <c r="BN50">
        <v>10</v>
      </c>
      <c r="BO50" s="28">
        <v>0</v>
      </c>
      <c r="BP50" s="31"/>
      <c r="BQ50">
        <v>40</v>
      </c>
      <c r="BR50">
        <v>43</v>
      </c>
      <c r="BS50" s="28">
        <v>-3</v>
      </c>
      <c r="BT50" s="31"/>
      <c r="BU50" s="24">
        <v>10</v>
      </c>
      <c r="BV50">
        <v>12</v>
      </c>
      <c r="BW50" s="28">
        <v>-2</v>
      </c>
      <c r="BX50" s="31"/>
      <c r="BY50" s="30"/>
      <c r="CA50" s="28">
        <v>0</v>
      </c>
      <c r="CB50" s="31"/>
      <c r="CC50">
        <v>40</v>
      </c>
      <c r="CD50">
        <v>47</v>
      </c>
      <c r="CE50" s="28">
        <v>-7</v>
      </c>
      <c r="CF50" s="31"/>
      <c r="CG50" s="30"/>
      <c r="CJ50" s="28">
        <v>0</v>
      </c>
      <c r="CK50" s="31"/>
      <c r="CL50" s="30"/>
      <c r="CN50">
        <v>50</v>
      </c>
      <c r="CO50">
        <v>53</v>
      </c>
      <c r="CP50" s="28">
        <v>-3</v>
      </c>
      <c r="CQ50" s="31"/>
      <c r="CR50" s="24">
        <v>10</v>
      </c>
      <c r="CT50">
        <v>9</v>
      </c>
      <c r="CU50" s="28">
        <v>1</v>
      </c>
      <c r="CV50" s="31"/>
      <c r="CW50">
        <v>30</v>
      </c>
      <c r="CX50" s="28">
        <v>32.799999999999997</v>
      </c>
      <c r="CY50" s="28">
        <v>-2.7999999999999972</v>
      </c>
      <c r="CZ50" s="31"/>
      <c r="DA50" s="24">
        <v>10</v>
      </c>
      <c r="DB50" s="28">
        <v>8</v>
      </c>
      <c r="DC50" s="28">
        <v>2</v>
      </c>
      <c r="DD50" s="31"/>
      <c r="DE50" s="30"/>
      <c r="DG50" s="28">
        <v>0</v>
      </c>
      <c r="DH50" s="31"/>
      <c r="DI50" s="24">
        <v>30</v>
      </c>
      <c r="DJ50">
        <v>33</v>
      </c>
      <c r="DK50" s="28">
        <v>-3</v>
      </c>
      <c r="DL50" s="31"/>
      <c r="DO50" s="28">
        <v>0</v>
      </c>
      <c r="DP50" s="31"/>
      <c r="DS50" s="28">
        <v>0</v>
      </c>
      <c r="DT50" s="31"/>
      <c r="DU50" s="30"/>
      <c r="DX50" s="28">
        <v>0</v>
      </c>
      <c r="DY50" s="31"/>
      <c r="DZ50" s="24">
        <v>30</v>
      </c>
      <c r="EB50">
        <v>29</v>
      </c>
      <c r="EC50" s="28">
        <v>1</v>
      </c>
      <c r="ED50" s="31"/>
      <c r="EE50">
        <v>30</v>
      </c>
      <c r="EF50" s="32">
        <v>28.2</v>
      </c>
      <c r="EG50" s="28">
        <v>1.8000000000000009</v>
      </c>
      <c r="EH50" s="31"/>
      <c r="EI50" s="30"/>
      <c r="EN50" s="28">
        <v>0</v>
      </c>
      <c r="EO50" s="31"/>
      <c r="EP50">
        <v>30</v>
      </c>
      <c r="EQ50" s="32">
        <v>34.400000000000013</v>
      </c>
      <c r="ER50" s="28">
        <v>-4.4000000000000128</v>
      </c>
      <c r="ES50" s="31"/>
      <c r="ET50" s="30"/>
      <c r="EX50" s="28">
        <v>0</v>
      </c>
      <c r="EY50" s="31"/>
      <c r="FD50" s="28">
        <v>0</v>
      </c>
      <c r="FE50" s="31"/>
      <c r="FF50">
        <v>30</v>
      </c>
      <c r="FG50" s="32">
        <v>35</v>
      </c>
      <c r="FH50" s="28">
        <v>-5</v>
      </c>
      <c r="FI50" s="31"/>
      <c r="FJ50" s="24">
        <v>20</v>
      </c>
      <c r="FK50">
        <v>20</v>
      </c>
      <c r="FL50" s="28">
        <v>0</v>
      </c>
      <c r="FM50" s="31"/>
      <c r="FN50" s="24">
        <v>10</v>
      </c>
      <c r="FO50">
        <v>10</v>
      </c>
      <c r="FP50" s="28">
        <v>0</v>
      </c>
      <c r="FQ50" s="31"/>
      <c r="FT50" s="28">
        <v>0</v>
      </c>
      <c r="FU50" s="31"/>
      <c r="FV50" s="24">
        <v>20</v>
      </c>
      <c r="FW50">
        <v>20</v>
      </c>
      <c r="FX50" s="28">
        <v>0</v>
      </c>
      <c r="FY50" s="31"/>
      <c r="FZ50" s="24">
        <v>10</v>
      </c>
      <c r="GA50">
        <v>12</v>
      </c>
      <c r="GB50" s="28">
        <v>-2</v>
      </c>
      <c r="GC50" s="31"/>
      <c r="GD50">
        <v>30</v>
      </c>
      <c r="GE50">
        <v>30</v>
      </c>
      <c r="GF50" s="28">
        <v>0</v>
      </c>
      <c r="GG50" s="34"/>
      <c r="GJ50" s="28">
        <v>0</v>
      </c>
      <c r="GK50" s="31"/>
      <c r="GL50">
        <v>30</v>
      </c>
      <c r="GM50">
        <v>30</v>
      </c>
      <c r="GN50" s="28">
        <v>0</v>
      </c>
      <c r="GO50" s="34"/>
      <c r="GP50">
        <v>10</v>
      </c>
      <c r="GQ50">
        <v>10</v>
      </c>
      <c r="GR50" s="28">
        <v>0</v>
      </c>
      <c r="GS50" s="31"/>
      <c r="GU50">
        <v>20</v>
      </c>
      <c r="GV50" s="27">
        <v>-20</v>
      </c>
      <c r="GW50" s="31">
        <v>1.8</v>
      </c>
      <c r="GZ50" s="28">
        <v>0</v>
      </c>
      <c r="HA50" s="31"/>
      <c r="HB50" s="24">
        <v>30</v>
      </c>
      <c r="HC50" s="32">
        <v>30</v>
      </c>
      <c r="HD50" s="28">
        <v>0</v>
      </c>
      <c r="HE50" s="34"/>
      <c r="HH50" s="28">
        <v>0</v>
      </c>
      <c r="HI50" s="34"/>
      <c r="HJ50">
        <v>20</v>
      </c>
      <c r="HK50">
        <v>20</v>
      </c>
      <c r="HL50" s="28">
        <v>0</v>
      </c>
      <c r="HM50" s="34"/>
      <c r="HP50" s="28">
        <v>0</v>
      </c>
      <c r="HQ50" s="31"/>
      <c r="HR50" s="29"/>
      <c r="HT50">
        <v>10</v>
      </c>
      <c r="HU50">
        <v>16</v>
      </c>
      <c r="HV50" s="28">
        <v>-6</v>
      </c>
      <c r="HW50" s="34"/>
      <c r="HX50" s="32">
        <v>0</v>
      </c>
      <c r="HY50" s="32">
        <v>0</v>
      </c>
      <c r="HZ50" s="28">
        <v>0</v>
      </c>
      <c r="IA50" s="34"/>
      <c r="IB50" s="32">
        <v>10</v>
      </c>
      <c r="IC50" s="32">
        <v>10</v>
      </c>
      <c r="ID50" s="28">
        <v>0</v>
      </c>
      <c r="IE50" s="34"/>
      <c r="IF50" s="33">
        <v>0</v>
      </c>
      <c r="IG50" s="32">
        <v>0</v>
      </c>
      <c r="IH50" s="28">
        <v>0</v>
      </c>
      <c r="II50" s="34"/>
    </row>
    <row r="51" spans="1:243" x14ac:dyDescent="0.25">
      <c r="A51" s="28" t="s">
        <v>183</v>
      </c>
      <c r="B51" s="29">
        <v>0.3</v>
      </c>
      <c r="J51" s="30"/>
      <c r="K51" s="35"/>
      <c r="L51" s="35"/>
      <c r="M51" s="35"/>
      <c r="N51" s="35">
        <f t="shared" si="4"/>
        <v>0</v>
      </c>
      <c r="O51" s="31"/>
      <c r="P51" s="35"/>
      <c r="S51" s="28">
        <v>0</v>
      </c>
      <c r="T51" s="31"/>
      <c r="U51" s="30"/>
      <c r="W51" s="28">
        <v>0</v>
      </c>
      <c r="X51" s="31"/>
      <c r="Y51" s="30"/>
      <c r="AA51" s="28">
        <v>0</v>
      </c>
      <c r="AB51" s="31"/>
      <c r="AE51" s="28">
        <v>0</v>
      </c>
      <c r="AF51" s="31"/>
      <c r="AG51" s="30"/>
      <c r="AI51" s="28">
        <v>0</v>
      </c>
      <c r="AJ51" s="31"/>
      <c r="AM51" s="28">
        <v>0</v>
      </c>
      <c r="AN51" s="31"/>
      <c r="AO51" s="30"/>
      <c r="AQ51" s="28">
        <v>0</v>
      </c>
      <c r="AR51" s="31"/>
      <c r="AS51" s="30"/>
      <c r="AU51" s="28">
        <v>0</v>
      </c>
      <c r="AV51" s="31"/>
      <c r="AY51" s="28">
        <v>0</v>
      </c>
      <c r="AZ51" s="31"/>
      <c r="BA51" s="30"/>
      <c r="BE51" s="28">
        <v>0</v>
      </c>
      <c r="BF51" s="31"/>
      <c r="BG51" s="30"/>
      <c r="BI51" s="28">
        <v>0</v>
      </c>
      <c r="BJ51" s="31"/>
      <c r="BO51" s="28">
        <v>0</v>
      </c>
      <c r="BP51" s="31"/>
      <c r="BS51" s="28">
        <v>0</v>
      </c>
      <c r="BT51" s="31"/>
      <c r="BU51" s="30"/>
      <c r="BW51" s="28">
        <v>0</v>
      </c>
      <c r="BX51" s="31"/>
      <c r="BY51" s="30"/>
      <c r="CA51" s="28">
        <v>0</v>
      </c>
      <c r="CB51" s="31"/>
      <c r="CE51" s="28">
        <v>0</v>
      </c>
      <c r="CF51" s="31"/>
      <c r="CG51" s="30"/>
      <c r="CJ51" s="28">
        <v>0</v>
      </c>
      <c r="CK51" s="31"/>
      <c r="CL51" s="30"/>
      <c r="CP51" s="28">
        <v>0</v>
      </c>
      <c r="CQ51" s="31"/>
      <c r="CR51" s="30"/>
      <c r="CU51" s="28">
        <v>0</v>
      </c>
      <c r="CV51" s="31"/>
      <c r="CY51" s="28">
        <v>0</v>
      </c>
      <c r="CZ51" s="31"/>
      <c r="DA51" s="33"/>
      <c r="DC51" s="28">
        <v>0</v>
      </c>
      <c r="DD51" s="31"/>
      <c r="DE51" s="30"/>
      <c r="DG51" s="28">
        <v>0</v>
      </c>
      <c r="DH51" s="31"/>
      <c r="DI51" s="30"/>
      <c r="DK51" s="28">
        <v>0</v>
      </c>
      <c r="DL51" s="31"/>
      <c r="DO51" s="28">
        <v>0</v>
      </c>
      <c r="DP51" s="31"/>
      <c r="DS51" s="28">
        <v>0</v>
      </c>
      <c r="DT51" s="31"/>
      <c r="DU51" s="30"/>
      <c r="DX51" s="28">
        <v>0</v>
      </c>
      <c r="DY51" s="31"/>
      <c r="DZ51" s="30"/>
      <c r="EC51" s="28">
        <v>0</v>
      </c>
      <c r="ED51" s="31"/>
      <c r="EG51" s="28">
        <v>0</v>
      </c>
      <c r="EH51" s="31"/>
      <c r="EI51" s="30"/>
      <c r="EN51" s="28">
        <v>0</v>
      </c>
      <c r="EO51" s="31"/>
      <c r="ER51" s="28">
        <v>0</v>
      </c>
      <c r="ES51" s="31"/>
      <c r="ET51" s="30"/>
      <c r="EX51" s="28">
        <v>0</v>
      </c>
      <c r="EY51" s="31"/>
      <c r="FD51" s="28">
        <v>0</v>
      </c>
      <c r="FE51" s="31"/>
      <c r="FH51" s="28">
        <v>0</v>
      </c>
      <c r="FI51" s="31"/>
      <c r="FJ51" s="30"/>
      <c r="FL51" s="28">
        <v>0</v>
      </c>
      <c r="FM51" s="31"/>
      <c r="FN51" s="30"/>
      <c r="FP51" s="28">
        <v>0</v>
      </c>
      <c r="FQ51" s="31"/>
      <c r="FT51" s="28">
        <v>0</v>
      </c>
      <c r="FU51" s="31"/>
      <c r="FV51" s="30"/>
      <c r="FX51" s="28">
        <v>0</v>
      </c>
      <c r="FY51" s="31"/>
      <c r="FZ51" s="30"/>
      <c r="GB51" s="28">
        <v>0</v>
      </c>
      <c r="GC51" s="31"/>
      <c r="GF51" s="28">
        <v>0</v>
      </c>
      <c r="GG51" s="34"/>
      <c r="GJ51" s="28">
        <v>0</v>
      </c>
      <c r="GK51" s="31"/>
      <c r="GN51" s="28">
        <v>0</v>
      </c>
      <c r="GO51" s="34"/>
      <c r="GR51" s="28">
        <v>0</v>
      </c>
      <c r="GS51" s="31"/>
      <c r="GV51" s="28">
        <v>0</v>
      </c>
      <c r="GW51" s="34"/>
      <c r="GZ51" s="28">
        <v>0</v>
      </c>
      <c r="HA51" s="31"/>
      <c r="HB51" s="33"/>
      <c r="HD51" s="28">
        <v>0</v>
      </c>
      <c r="HE51" s="34"/>
      <c r="HH51" s="28">
        <v>0</v>
      </c>
      <c r="HI51" s="34"/>
      <c r="HL51" s="28">
        <v>0</v>
      </c>
      <c r="HM51" s="34"/>
      <c r="HP51" s="28">
        <v>0</v>
      </c>
      <c r="HQ51" s="31"/>
      <c r="HR51" s="29"/>
      <c r="HT51" s="29"/>
      <c r="HV51" s="28">
        <v>0</v>
      </c>
      <c r="HW51" s="34"/>
      <c r="HX51" s="32">
        <v>0</v>
      </c>
      <c r="HY51" s="32">
        <v>0</v>
      </c>
      <c r="HZ51" s="28">
        <v>0</v>
      </c>
      <c r="IA51" s="34"/>
      <c r="IB51" s="32">
        <v>0</v>
      </c>
      <c r="IC51" s="32">
        <v>0</v>
      </c>
      <c r="ID51" s="28">
        <v>0</v>
      </c>
      <c r="IE51" s="34"/>
      <c r="IF51" s="33">
        <v>0</v>
      </c>
      <c r="IG51" s="32">
        <v>0</v>
      </c>
      <c r="IH51" s="28">
        <v>0</v>
      </c>
      <c r="II51" s="34"/>
    </row>
    <row r="52" spans="1:243" x14ac:dyDescent="0.25">
      <c r="A52" s="28" t="s">
        <v>184</v>
      </c>
      <c r="B52" s="29">
        <v>0.27</v>
      </c>
      <c r="J52" s="30"/>
      <c r="K52" s="35"/>
      <c r="L52" s="35"/>
      <c r="M52" s="35"/>
      <c r="N52" s="35">
        <f t="shared" si="4"/>
        <v>0</v>
      </c>
      <c r="O52" s="31"/>
      <c r="P52" s="35"/>
      <c r="S52" s="28">
        <v>0</v>
      </c>
      <c r="T52" s="31"/>
      <c r="U52" s="30"/>
      <c r="W52" s="28">
        <v>0</v>
      </c>
      <c r="X52" s="31"/>
      <c r="Y52" s="30"/>
      <c r="AA52" s="28">
        <v>0</v>
      </c>
      <c r="AB52" s="31"/>
      <c r="AE52" s="28">
        <v>0</v>
      </c>
      <c r="AF52" s="31"/>
      <c r="AG52" s="30"/>
      <c r="AI52" s="28">
        <v>0</v>
      </c>
      <c r="AJ52" s="31"/>
      <c r="AM52" s="28">
        <v>0</v>
      </c>
      <c r="AN52" s="31"/>
      <c r="AO52" s="30"/>
      <c r="AQ52" s="28">
        <v>0</v>
      </c>
      <c r="AR52" s="31"/>
      <c r="AS52" s="30"/>
      <c r="AU52" s="28">
        <v>0</v>
      </c>
      <c r="AV52" s="31"/>
      <c r="AY52" s="28">
        <v>0</v>
      </c>
      <c r="AZ52" s="31"/>
      <c r="BA52" s="30"/>
      <c r="BE52" s="28">
        <v>0</v>
      </c>
      <c r="BF52" s="31"/>
      <c r="BG52" s="30"/>
      <c r="BI52" s="28">
        <v>0</v>
      </c>
      <c r="BJ52" s="31"/>
      <c r="BO52" s="28">
        <v>0</v>
      </c>
      <c r="BP52" s="31"/>
      <c r="BS52" s="28">
        <v>0</v>
      </c>
      <c r="BT52" s="31"/>
      <c r="BU52" s="30"/>
      <c r="BW52" s="28">
        <v>0</v>
      </c>
      <c r="BX52" s="31"/>
      <c r="BY52" s="30"/>
      <c r="CA52" s="28">
        <v>0</v>
      </c>
      <c r="CB52" s="31"/>
      <c r="CE52" s="28">
        <v>0</v>
      </c>
      <c r="CF52" s="31"/>
      <c r="CG52" s="30"/>
      <c r="CJ52" s="28">
        <v>0</v>
      </c>
      <c r="CK52" s="31"/>
      <c r="CL52" s="30"/>
      <c r="CP52" s="28">
        <v>0</v>
      </c>
      <c r="CQ52" s="31"/>
      <c r="CR52" s="30"/>
      <c r="CU52" s="28">
        <v>0</v>
      </c>
      <c r="CV52" s="31"/>
      <c r="CY52" s="28">
        <v>0</v>
      </c>
      <c r="CZ52" s="31"/>
      <c r="DA52" s="33"/>
      <c r="DC52" s="28">
        <v>0</v>
      </c>
      <c r="DD52" s="31"/>
      <c r="DE52" s="30"/>
      <c r="DG52" s="28">
        <v>0</v>
      </c>
      <c r="DH52" s="31"/>
      <c r="DI52" s="30"/>
      <c r="DK52" s="28">
        <v>0</v>
      </c>
      <c r="DL52" s="31"/>
      <c r="DO52" s="28">
        <v>0</v>
      </c>
      <c r="DP52" s="31"/>
      <c r="DS52" s="28">
        <v>0</v>
      </c>
      <c r="DT52" s="31"/>
      <c r="DU52" s="30"/>
      <c r="DX52" s="28">
        <v>0</v>
      </c>
      <c r="DY52" s="31"/>
      <c r="DZ52" s="30"/>
      <c r="EC52" s="28">
        <v>0</v>
      </c>
      <c r="ED52" s="31"/>
      <c r="EG52" s="28">
        <v>0</v>
      </c>
      <c r="EH52" s="31"/>
      <c r="EI52" s="30"/>
      <c r="EN52" s="28">
        <v>0</v>
      </c>
      <c r="EO52" s="31"/>
      <c r="ER52" s="28">
        <v>0</v>
      </c>
      <c r="ES52" s="31"/>
      <c r="ET52" s="30"/>
      <c r="EX52" s="28">
        <v>0</v>
      </c>
      <c r="EY52" s="31"/>
      <c r="FD52" s="28">
        <v>0</v>
      </c>
      <c r="FE52" s="31"/>
      <c r="FH52" s="28">
        <v>0</v>
      </c>
      <c r="FI52" s="31"/>
      <c r="FJ52" s="30"/>
      <c r="FL52" s="28">
        <v>0</v>
      </c>
      <c r="FM52" s="31"/>
      <c r="FN52" s="30"/>
      <c r="FP52" s="28">
        <v>0</v>
      </c>
      <c r="FQ52" s="31"/>
      <c r="FT52" s="28">
        <v>0</v>
      </c>
      <c r="FU52" s="31"/>
      <c r="FV52" s="30"/>
      <c r="FX52" s="28">
        <v>0</v>
      </c>
      <c r="FY52" s="31"/>
      <c r="FZ52" s="30"/>
      <c r="GB52" s="28">
        <v>0</v>
      </c>
      <c r="GC52" s="31"/>
      <c r="GF52" s="28">
        <v>0</v>
      </c>
      <c r="GG52" s="34"/>
      <c r="GJ52" s="28">
        <v>0</v>
      </c>
      <c r="GK52" s="31"/>
      <c r="GN52" s="28">
        <v>0</v>
      </c>
      <c r="GO52" s="34"/>
      <c r="GR52" s="28">
        <v>0</v>
      </c>
      <c r="GS52" s="31"/>
      <c r="GV52" s="28">
        <v>0</v>
      </c>
      <c r="GW52" s="34"/>
      <c r="GZ52" s="28">
        <v>0</v>
      </c>
      <c r="HA52" s="31"/>
      <c r="HB52" s="33"/>
      <c r="HD52" s="28">
        <v>0</v>
      </c>
      <c r="HE52" s="34"/>
      <c r="HH52" s="28">
        <v>0</v>
      </c>
      <c r="HI52" s="34"/>
      <c r="HL52" s="28">
        <v>0</v>
      </c>
      <c r="HM52" s="34"/>
      <c r="HP52" s="28">
        <v>0</v>
      </c>
      <c r="HQ52" s="31"/>
      <c r="HR52" s="29"/>
      <c r="HT52" s="29"/>
      <c r="HV52" s="28">
        <v>0</v>
      </c>
      <c r="HW52" s="34"/>
      <c r="HX52" s="32">
        <v>0</v>
      </c>
      <c r="HY52" s="32">
        <v>0</v>
      </c>
      <c r="HZ52" s="28">
        <v>0</v>
      </c>
      <c r="IA52" s="34"/>
      <c r="IB52" s="32">
        <v>0</v>
      </c>
      <c r="IC52" s="32">
        <v>0</v>
      </c>
      <c r="ID52" s="28">
        <v>0</v>
      </c>
      <c r="IE52" s="34"/>
      <c r="IF52" s="33">
        <v>0</v>
      </c>
      <c r="IG52" s="32">
        <v>0</v>
      </c>
      <c r="IH52" s="28">
        <v>0</v>
      </c>
      <c r="II52" s="34"/>
    </row>
    <row r="53" spans="1:243" x14ac:dyDescent="0.25">
      <c r="A53" s="28" t="s">
        <v>185</v>
      </c>
      <c r="B53" s="29">
        <v>1</v>
      </c>
      <c r="F53">
        <v>19</v>
      </c>
      <c r="G53">
        <v>18</v>
      </c>
      <c r="J53" s="24">
        <v>123</v>
      </c>
      <c r="K53" s="36">
        <v>120</v>
      </c>
      <c r="L53" s="36">
        <v>61</v>
      </c>
      <c r="M53" s="36">
        <v>61</v>
      </c>
      <c r="N53" s="35">
        <f t="shared" si="4"/>
        <v>3</v>
      </c>
      <c r="O53" s="31"/>
      <c r="P53" s="36">
        <v>10</v>
      </c>
      <c r="Q53">
        <v>121</v>
      </c>
      <c r="R53">
        <v>117</v>
      </c>
      <c r="S53" s="28">
        <v>14</v>
      </c>
      <c r="T53" s="31"/>
      <c r="U53" s="24">
        <v>385</v>
      </c>
      <c r="V53">
        <v>371</v>
      </c>
      <c r="W53" s="28">
        <v>14</v>
      </c>
      <c r="X53" s="31"/>
      <c r="Y53" s="24">
        <v>126</v>
      </c>
      <c r="Z53">
        <v>118</v>
      </c>
      <c r="AA53" s="28">
        <v>8</v>
      </c>
      <c r="AB53" s="31"/>
      <c r="AC53">
        <v>257</v>
      </c>
      <c r="AD53">
        <v>237</v>
      </c>
      <c r="AE53" s="28">
        <v>20</v>
      </c>
      <c r="AF53" s="31"/>
      <c r="AG53" s="24">
        <v>125</v>
      </c>
      <c r="AH53">
        <v>122</v>
      </c>
      <c r="AI53" s="28">
        <v>3</v>
      </c>
      <c r="AJ53" s="31"/>
      <c r="AK53">
        <v>38</v>
      </c>
      <c r="AL53">
        <v>36</v>
      </c>
      <c r="AM53" s="28">
        <v>2</v>
      </c>
      <c r="AN53" s="31"/>
      <c r="AO53" s="24">
        <v>314</v>
      </c>
      <c r="AP53">
        <v>311</v>
      </c>
      <c r="AQ53" s="28">
        <v>3</v>
      </c>
      <c r="AR53" s="31"/>
      <c r="AS53" s="24">
        <v>95</v>
      </c>
      <c r="AT53">
        <v>90</v>
      </c>
      <c r="AU53" s="28">
        <v>5</v>
      </c>
      <c r="AV53" s="31"/>
      <c r="AY53" s="28">
        <v>0</v>
      </c>
      <c r="AZ53" s="31"/>
      <c r="BA53" s="24">
        <v>115</v>
      </c>
      <c r="BB53">
        <v>110</v>
      </c>
      <c r="BC53">
        <v>124</v>
      </c>
      <c r="BD53">
        <v>119</v>
      </c>
      <c r="BE53" s="28">
        <v>10</v>
      </c>
      <c r="BF53" s="31"/>
      <c r="BG53" s="30"/>
      <c r="BI53" s="28">
        <v>0</v>
      </c>
      <c r="BJ53" s="31"/>
      <c r="BM53">
        <v>208</v>
      </c>
      <c r="BN53">
        <v>198</v>
      </c>
      <c r="BO53" s="28">
        <v>10</v>
      </c>
      <c r="BP53" s="31"/>
      <c r="BS53" s="28">
        <v>0</v>
      </c>
      <c r="BT53" s="31"/>
      <c r="BU53" s="24">
        <v>196</v>
      </c>
      <c r="BV53">
        <v>187</v>
      </c>
      <c r="BW53" s="28">
        <v>9</v>
      </c>
      <c r="BX53" s="31"/>
      <c r="BY53" s="30"/>
      <c r="CA53" s="28">
        <v>0</v>
      </c>
      <c r="CB53" s="31"/>
      <c r="CC53">
        <v>163</v>
      </c>
      <c r="CD53">
        <v>157</v>
      </c>
      <c r="CE53" s="28">
        <v>6</v>
      </c>
      <c r="CF53" s="31"/>
      <c r="CG53" s="24">
        <v>48</v>
      </c>
      <c r="CI53">
        <v>46</v>
      </c>
      <c r="CJ53" s="28">
        <v>2</v>
      </c>
      <c r="CK53" s="31"/>
      <c r="CL53" s="30"/>
      <c r="CN53">
        <v>18</v>
      </c>
      <c r="CO53">
        <v>17</v>
      </c>
      <c r="CP53" s="28">
        <v>1</v>
      </c>
      <c r="CQ53" s="31"/>
      <c r="CR53" s="24">
        <v>66</v>
      </c>
      <c r="CT53">
        <v>63</v>
      </c>
      <c r="CU53" s="28">
        <v>3</v>
      </c>
      <c r="CV53" s="31"/>
      <c r="CW53">
        <v>138</v>
      </c>
      <c r="CX53" s="28">
        <v>129.14519999999999</v>
      </c>
      <c r="CY53" s="28">
        <v>8.8548000000000116</v>
      </c>
      <c r="CZ53" s="31"/>
      <c r="DA53" s="24">
        <v>29</v>
      </c>
      <c r="DB53" s="28">
        <v>25.150999999999978</v>
      </c>
      <c r="DC53" s="28">
        <v>3.849000000000022</v>
      </c>
      <c r="DD53" s="31"/>
      <c r="DE53" s="30"/>
      <c r="DG53" s="28">
        <v>0</v>
      </c>
      <c r="DH53" s="31"/>
      <c r="DI53" s="24">
        <v>70</v>
      </c>
      <c r="DJ53">
        <v>67</v>
      </c>
      <c r="DK53" s="28">
        <v>3</v>
      </c>
      <c r="DL53" s="31"/>
      <c r="DM53">
        <v>135</v>
      </c>
      <c r="DN53" s="32">
        <v>131.45339999999999</v>
      </c>
      <c r="DO53" s="28">
        <v>3.5466000000000122</v>
      </c>
      <c r="DP53" s="31"/>
      <c r="DQ53">
        <v>100</v>
      </c>
      <c r="DR53">
        <v>96</v>
      </c>
      <c r="DS53" s="28">
        <v>4</v>
      </c>
      <c r="DT53" s="31"/>
      <c r="DU53" s="30"/>
      <c r="DX53" s="28">
        <v>0</v>
      </c>
      <c r="DY53" s="31"/>
      <c r="DZ53" s="30"/>
      <c r="EC53" s="28">
        <v>0</v>
      </c>
      <c r="ED53" s="31"/>
      <c r="EG53" s="28">
        <v>0</v>
      </c>
      <c r="EH53" s="31"/>
      <c r="EI53" s="30"/>
      <c r="EJ53">
        <v>60</v>
      </c>
      <c r="EK53">
        <v>60</v>
      </c>
      <c r="EL53">
        <v>51</v>
      </c>
      <c r="EM53">
        <v>50</v>
      </c>
      <c r="EN53" s="28">
        <v>1</v>
      </c>
      <c r="EO53" s="31"/>
      <c r="EP53">
        <v>136</v>
      </c>
      <c r="EQ53" s="32">
        <v>127.8438</v>
      </c>
      <c r="ER53" s="28">
        <v>8.1561999999999983</v>
      </c>
      <c r="ES53" s="31"/>
      <c r="ET53" s="30"/>
      <c r="EV53">
        <v>69</v>
      </c>
      <c r="EW53">
        <v>67</v>
      </c>
      <c r="EX53" s="28">
        <v>2</v>
      </c>
      <c r="EY53" s="31"/>
      <c r="FB53">
        <v>97</v>
      </c>
      <c r="FC53">
        <v>90</v>
      </c>
      <c r="FD53" s="28">
        <v>7</v>
      </c>
      <c r="FE53" s="31"/>
      <c r="FH53" s="28">
        <v>0</v>
      </c>
      <c r="FI53" s="31"/>
      <c r="FJ53" s="24">
        <v>83</v>
      </c>
      <c r="FK53">
        <v>80</v>
      </c>
      <c r="FL53" s="28">
        <v>3</v>
      </c>
      <c r="FM53" s="31"/>
      <c r="FN53" s="30"/>
      <c r="FP53" s="28">
        <v>0</v>
      </c>
      <c r="FQ53" s="31"/>
      <c r="FT53" s="28">
        <v>0</v>
      </c>
      <c r="FU53" s="31"/>
      <c r="FV53" s="24">
        <v>126</v>
      </c>
      <c r="FW53">
        <v>130</v>
      </c>
      <c r="FX53" s="28">
        <v>-4</v>
      </c>
      <c r="FY53" s="31"/>
      <c r="FZ53" s="24">
        <v>5</v>
      </c>
      <c r="GA53">
        <v>3</v>
      </c>
      <c r="GB53" s="28">
        <v>2</v>
      </c>
      <c r="GC53" s="31"/>
      <c r="GD53">
        <v>72</v>
      </c>
      <c r="GE53">
        <v>70</v>
      </c>
      <c r="GF53" s="28">
        <v>2</v>
      </c>
      <c r="GG53" s="34"/>
      <c r="GH53">
        <v>38</v>
      </c>
      <c r="GI53">
        <v>37</v>
      </c>
      <c r="GJ53" s="28">
        <v>1</v>
      </c>
      <c r="GK53" s="31"/>
      <c r="GL53">
        <v>14</v>
      </c>
      <c r="GM53">
        <v>15</v>
      </c>
      <c r="GN53" s="28">
        <v>-1</v>
      </c>
      <c r="GO53" s="34"/>
      <c r="GP53">
        <v>52</v>
      </c>
      <c r="GQ53">
        <v>51</v>
      </c>
      <c r="GR53" s="28">
        <v>1</v>
      </c>
      <c r="GS53" s="31"/>
      <c r="GT53">
        <v>9</v>
      </c>
      <c r="GU53">
        <v>10</v>
      </c>
      <c r="GV53" s="28">
        <v>-1</v>
      </c>
      <c r="GW53" s="34"/>
      <c r="GX53">
        <v>34</v>
      </c>
      <c r="GY53" s="32">
        <v>35.027999999999999</v>
      </c>
      <c r="GZ53" s="28">
        <v>-1.0279999999999989</v>
      </c>
      <c r="HA53" s="31"/>
      <c r="HB53" s="33"/>
      <c r="HD53" s="28">
        <v>0</v>
      </c>
      <c r="HE53" s="34"/>
      <c r="HH53" s="28">
        <v>0</v>
      </c>
      <c r="HI53" s="34"/>
      <c r="HL53" s="28">
        <v>0</v>
      </c>
      <c r="HM53" s="34"/>
      <c r="HP53" s="28">
        <v>0</v>
      </c>
      <c r="HQ53" s="31"/>
      <c r="HR53">
        <v>81</v>
      </c>
      <c r="HS53">
        <v>80</v>
      </c>
      <c r="HT53">
        <v>67</v>
      </c>
      <c r="HU53">
        <v>67</v>
      </c>
      <c r="HV53" s="28">
        <v>1</v>
      </c>
      <c r="HW53" s="34"/>
      <c r="HX53" s="32">
        <v>71.789000000000001</v>
      </c>
      <c r="HY53" s="32">
        <v>70</v>
      </c>
      <c r="HZ53" s="28">
        <v>1.789000000000001</v>
      </c>
      <c r="IA53" s="34"/>
      <c r="IB53" s="32">
        <v>66.991</v>
      </c>
      <c r="IC53" s="32">
        <v>65.108000000000004</v>
      </c>
      <c r="ID53" s="28">
        <v>1.882999999999996</v>
      </c>
      <c r="IE53" s="34"/>
      <c r="IF53" s="33">
        <v>77.289000000000001</v>
      </c>
      <c r="IG53" s="32">
        <v>75</v>
      </c>
      <c r="IH53" s="28">
        <v>2.289000000000001</v>
      </c>
      <c r="II53" s="34"/>
    </row>
    <row r="54" spans="1:243" x14ac:dyDescent="0.25">
      <c r="A54" s="28" t="s">
        <v>186</v>
      </c>
      <c r="B54" s="29">
        <v>1</v>
      </c>
      <c r="J54" s="30"/>
      <c r="K54" s="35"/>
      <c r="L54" s="35"/>
      <c r="M54" s="35"/>
      <c r="N54" s="35">
        <f t="shared" si="4"/>
        <v>0</v>
      </c>
      <c r="O54" s="31"/>
      <c r="P54" s="35"/>
      <c r="S54" s="28">
        <v>0</v>
      </c>
      <c r="T54" s="31"/>
      <c r="U54" s="30"/>
      <c r="W54" s="28">
        <v>0</v>
      </c>
      <c r="X54" s="31"/>
      <c r="Y54" s="30"/>
      <c r="AA54" s="28">
        <v>0</v>
      </c>
      <c r="AB54" s="31"/>
      <c r="AE54" s="28">
        <v>0</v>
      </c>
      <c r="AF54" s="31"/>
      <c r="AG54" s="30"/>
      <c r="AI54" s="28">
        <v>0</v>
      </c>
      <c r="AJ54" s="31"/>
      <c r="AM54" s="28">
        <v>0</v>
      </c>
      <c r="AN54" s="31"/>
      <c r="AO54" s="30"/>
      <c r="AQ54" s="28">
        <v>0</v>
      </c>
      <c r="AR54" s="31"/>
      <c r="AS54" s="30"/>
      <c r="AU54" s="28">
        <v>0</v>
      </c>
      <c r="AV54" s="31"/>
      <c r="AY54" s="28">
        <v>0</v>
      </c>
      <c r="AZ54" s="31"/>
      <c r="BA54" s="30"/>
      <c r="BE54" s="28">
        <v>0</v>
      </c>
      <c r="BF54" s="31"/>
      <c r="BG54" s="30"/>
      <c r="BI54" s="28">
        <v>0</v>
      </c>
      <c r="BJ54" s="31"/>
      <c r="BO54" s="28">
        <v>0</v>
      </c>
      <c r="BP54" s="31"/>
      <c r="BS54" s="28">
        <v>0</v>
      </c>
      <c r="BT54" s="31"/>
      <c r="BU54" s="30"/>
      <c r="BW54" s="28">
        <v>0</v>
      </c>
      <c r="BX54" s="31"/>
      <c r="BY54" s="30"/>
      <c r="CA54" s="28">
        <v>0</v>
      </c>
      <c r="CB54" s="31"/>
      <c r="CE54" s="28">
        <v>0</v>
      </c>
      <c r="CF54" s="31"/>
      <c r="CG54" s="30"/>
      <c r="CJ54" s="28">
        <v>0</v>
      </c>
      <c r="CK54" s="31"/>
      <c r="CL54" s="30"/>
      <c r="CP54" s="28">
        <v>0</v>
      </c>
      <c r="CQ54" s="31"/>
      <c r="CR54" s="30"/>
      <c r="CU54" s="28">
        <v>0</v>
      </c>
      <c r="CV54" s="31"/>
      <c r="CY54" s="28">
        <v>0</v>
      </c>
      <c r="CZ54" s="31"/>
      <c r="DA54" s="33"/>
      <c r="DC54" s="28">
        <v>0</v>
      </c>
      <c r="DD54" s="31"/>
      <c r="DE54" s="30"/>
      <c r="DG54" s="28">
        <v>0</v>
      </c>
      <c r="DH54" s="31"/>
      <c r="DI54" s="30"/>
      <c r="DK54" s="28">
        <v>0</v>
      </c>
      <c r="DL54" s="31"/>
      <c r="DO54" s="28">
        <v>0</v>
      </c>
      <c r="DP54" s="31"/>
      <c r="DS54" s="28">
        <v>0</v>
      </c>
      <c r="DT54" s="31"/>
      <c r="DU54" s="30"/>
      <c r="DX54" s="28">
        <v>0</v>
      </c>
      <c r="DY54" s="31"/>
      <c r="DZ54" s="30"/>
      <c r="EC54" s="28">
        <v>0</v>
      </c>
      <c r="ED54" s="31"/>
      <c r="EG54" s="28">
        <v>0</v>
      </c>
      <c r="EH54" s="31"/>
      <c r="EI54" s="30"/>
      <c r="EN54" s="28">
        <v>0</v>
      </c>
      <c r="EO54" s="31"/>
      <c r="ER54" s="28">
        <v>0</v>
      </c>
      <c r="ES54" s="31"/>
      <c r="ET54" s="30"/>
      <c r="EX54" s="28">
        <v>0</v>
      </c>
      <c r="EY54" s="31"/>
      <c r="FD54" s="28">
        <v>0</v>
      </c>
      <c r="FE54" s="31"/>
      <c r="FH54" s="28">
        <v>0</v>
      </c>
      <c r="FI54" s="31"/>
      <c r="FJ54" s="30"/>
      <c r="FL54" s="28">
        <v>0</v>
      </c>
      <c r="FM54" s="31"/>
      <c r="FN54" s="30"/>
      <c r="FP54" s="28">
        <v>0</v>
      </c>
      <c r="FQ54" s="31"/>
      <c r="FT54" s="28">
        <v>0</v>
      </c>
      <c r="FU54" s="31"/>
      <c r="FV54" s="30"/>
      <c r="FX54" s="28">
        <v>0</v>
      </c>
      <c r="FY54" s="31"/>
      <c r="FZ54" s="30"/>
      <c r="GB54" s="28">
        <v>0</v>
      </c>
      <c r="GC54" s="31"/>
      <c r="GF54" s="28">
        <v>0</v>
      </c>
      <c r="GG54" s="34"/>
      <c r="GJ54" s="28">
        <v>0</v>
      </c>
      <c r="GK54" s="31"/>
      <c r="GN54" s="28">
        <v>0</v>
      </c>
      <c r="GO54" s="34"/>
      <c r="GR54" s="28">
        <v>0</v>
      </c>
      <c r="GS54" s="31"/>
      <c r="GV54" s="28">
        <v>0</v>
      </c>
      <c r="GW54" s="34"/>
      <c r="GZ54" s="28">
        <v>0</v>
      </c>
      <c r="HA54" s="31"/>
      <c r="HB54" s="33"/>
      <c r="HD54" s="28">
        <v>0</v>
      </c>
      <c r="HE54" s="34"/>
      <c r="HH54" s="28">
        <v>0</v>
      </c>
      <c r="HI54" s="34"/>
      <c r="HL54" s="28">
        <v>0</v>
      </c>
      <c r="HM54" s="34"/>
      <c r="HP54" s="28">
        <v>0</v>
      </c>
      <c r="HQ54" s="31"/>
      <c r="HR54" s="29"/>
      <c r="HT54" s="29"/>
      <c r="HV54" s="28">
        <v>0</v>
      </c>
      <c r="HW54" s="34"/>
      <c r="HX54" s="32">
        <v>0</v>
      </c>
      <c r="HY54" s="32">
        <v>0</v>
      </c>
      <c r="HZ54" s="28">
        <v>0</v>
      </c>
      <c r="IA54" s="34"/>
      <c r="IB54" s="32">
        <v>0</v>
      </c>
      <c r="IC54" s="32">
        <v>0</v>
      </c>
      <c r="ID54" s="28">
        <v>0</v>
      </c>
      <c r="IE54" s="34"/>
      <c r="IF54" s="33">
        <v>0</v>
      </c>
      <c r="IG54" s="32">
        <v>0</v>
      </c>
      <c r="IH54" s="28">
        <v>0</v>
      </c>
      <c r="II54" s="34"/>
    </row>
    <row r="55" spans="1:243" x14ac:dyDescent="0.25">
      <c r="A55" s="28" t="s">
        <v>187</v>
      </c>
      <c r="B55" s="29">
        <v>0.4</v>
      </c>
      <c r="E55">
        <v>40</v>
      </c>
      <c r="F55">
        <v>56</v>
      </c>
      <c r="G55">
        <v>60</v>
      </c>
      <c r="J55" s="30"/>
      <c r="K55" s="35"/>
      <c r="L55" s="35"/>
      <c r="M55" s="35"/>
      <c r="N55" s="35">
        <f t="shared" si="4"/>
        <v>0</v>
      </c>
      <c r="O55" s="31"/>
      <c r="P55" s="35"/>
      <c r="S55" s="28">
        <v>0</v>
      </c>
      <c r="T55" s="31"/>
      <c r="U55" s="24">
        <v>128</v>
      </c>
      <c r="V55">
        <v>126</v>
      </c>
      <c r="W55" s="28">
        <v>2</v>
      </c>
      <c r="X55" s="31"/>
      <c r="Y55" s="24">
        <v>40</v>
      </c>
      <c r="Z55">
        <v>51</v>
      </c>
      <c r="AA55" s="27">
        <v>-11</v>
      </c>
      <c r="AB55" s="31">
        <v>4.4000000000000004</v>
      </c>
      <c r="AC55">
        <v>72</v>
      </c>
      <c r="AD55">
        <v>72</v>
      </c>
      <c r="AE55" s="28">
        <v>0</v>
      </c>
      <c r="AF55" s="31"/>
      <c r="AG55" s="24">
        <v>48</v>
      </c>
      <c r="AH55">
        <v>48</v>
      </c>
      <c r="AI55" s="28">
        <v>0</v>
      </c>
      <c r="AJ55" s="31"/>
      <c r="AK55">
        <v>8</v>
      </c>
      <c r="AL55">
        <v>8</v>
      </c>
      <c r="AM55" s="28">
        <v>0</v>
      </c>
      <c r="AN55" s="31"/>
      <c r="AO55" s="24">
        <v>72</v>
      </c>
      <c r="AP55">
        <v>71</v>
      </c>
      <c r="AQ55" s="28">
        <v>1</v>
      </c>
      <c r="AR55" s="31"/>
      <c r="AS55" s="30"/>
      <c r="AU55" s="28">
        <v>0</v>
      </c>
      <c r="AV55" s="31"/>
      <c r="AW55">
        <v>32</v>
      </c>
      <c r="AX55">
        <v>30</v>
      </c>
      <c r="AY55" s="28">
        <v>2</v>
      </c>
      <c r="AZ55" s="31"/>
      <c r="BA55" s="30"/>
      <c r="BC55">
        <v>16</v>
      </c>
      <c r="BD55">
        <v>20</v>
      </c>
      <c r="BE55" s="28">
        <v>-4</v>
      </c>
      <c r="BF55" s="31"/>
      <c r="BG55" s="30"/>
      <c r="BI55" s="28">
        <v>0</v>
      </c>
      <c r="BJ55" s="31"/>
      <c r="BM55">
        <v>32</v>
      </c>
      <c r="BN55">
        <v>36</v>
      </c>
      <c r="BO55" s="28">
        <v>-4</v>
      </c>
      <c r="BP55" s="31"/>
      <c r="BS55" s="28">
        <v>0</v>
      </c>
      <c r="BT55" s="31"/>
      <c r="BU55" s="24">
        <v>8</v>
      </c>
      <c r="BV55">
        <v>11</v>
      </c>
      <c r="BW55" s="28">
        <v>-3</v>
      </c>
      <c r="BX55" s="31"/>
      <c r="BY55" s="30"/>
      <c r="CA55" s="28">
        <v>0</v>
      </c>
      <c r="CB55" s="31"/>
      <c r="CC55">
        <v>32</v>
      </c>
      <c r="CD55">
        <v>30</v>
      </c>
      <c r="CE55" s="28">
        <v>2</v>
      </c>
      <c r="CF55" s="31"/>
      <c r="CG55" s="30"/>
      <c r="CJ55" s="28">
        <v>0</v>
      </c>
      <c r="CK55" s="31"/>
      <c r="CL55" s="30"/>
      <c r="CN55">
        <v>40</v>
      </c>
      <c r="CO55">
        <v>38</v>
      </c>
      <c r="CP55" s="28">
        <v>2</v>
      </c>
      <c r="CQ55" s="31"/>
      <c r="CR55" s="30"/>
      <c r="CU55" s="28">
        <v>0</v>
      </c>
      <c r="CV55" s="31"/>
      <c r="CW55">
        <v>24</v>
      </c>
      <c r="CX55" s="28">
        <v>21.6</v>
      </c>
      <c r="CY55" s="28">
        <v>2.399999999999999</v>
      </c>
      <c r="CZ55" s="31"/>
      <c r="DA55" s="33"/>
      <c r="DC55" s="28">
        <v>0</v>
      </c>
      <c r="DD55" s="31"/>
      <c r="DE55" s="30"/>
      <c r="DG55" s="28">
        <v>0</v>
      </c>
      <c r="DH55" s="31"/>
      <c r="DI55" s="30"/>
      <c r="DK55" s="28">
        <v>0</v>
      </c>
      <c r="DL55" s="31"/>
      <c r="DO55" s="28">
        <v>0</v>
      </c>
      <c r="DP55" s="31"/>
      <c r="DQ55">
        <v>32</v>
      </c>
      <c r="DR55">
        <v>32</v>
      </c>
      <c r="DS55" s="28">
        <v>0</v>
      </c>
      <c r="DT55" s="31"/>
      <c r="DU55" s="30"/>
      <c r="DX55" s="28">
        <v>0</v>
      </c>
      <c r="DY55" s="31"/>
      <c r="DZ55" s="24">
        <v>16</v>
      </c>
      <c r="EB55">
        <v>20</v>
      </c>
      <c r="EC55" s="28">
        <v>-4</v>
      </c>
      <c r="ED55" s="31"/>
      <c r="EG55" s="28">
        <v>0</v>
      </c>
      <c r="EH55" s="31"/>
      <c r="EI55" s="30"/>
      <c r="EL55">
        <v>24</v>
      </c>
      <c r="EM55">
        <v>24</v>
      </c>
      <c r="EN55" s="28">
        <v>0</v>
      </c>
      <c r="EO55" s="31"/>
      <c r="ER55" s="28">
        <v>0</v>
      </c>
      <c r="ES55" s="31"/>
      <c r="ET55" s="30"/>
      <c r="EX55" s="28">
        <v>0</v>
      </c>
      <c r="EY55" s="31"/>
      <c r="FB55">
        <v>8</v>
      </c>
      <c r="FC55">
        <v>13</v>
      </c>
      <c r="FD55" s="28">
        <v>-5</v>
      </c>
      <c r="FE55" s="31"/>
      <c r="FH55" s="28">
        <v>0</v>
      </c>
      <c r="FI55" s="31"/>
      <c r="FJ55" s="30"/>
      <c r="FL55" s="28">
        <v>0</v>
      </c>
      <c r="FM55" s="31"/>
      <c r="FN55" s="24">
        <v>32</v>
      </c>
      <c r="FO55" s="28">
        <v>32</v>
      </c>
      <c r="FP55" s="28">
        <v>0</v>
      </c>
      <c r="FQ55" s="31"/>
      <c r="FT55" s="28">
        <v>0</v>
      </c>
      <c r="FU55" s="31"/>
      <c r="FV55" s="24">
        <v>16</v>
      </c>
      <c r="FW55" s="28">
        <v>16</v>
      </c>
      <c r="FX55" s="28">
        <v>0</v>
      </c>
      <c r="FY55" s="31"/>
      <c r="FZ55" s="30"/>
      <c r="GC55" s="31"/>
      <c r="GG55" s="34"/>
      <c r="GK55" s="31"/>
      <c r="GO55" s="34"/>
      <c r="GS55" s="31"/>
      <c r="GW55" s="34"/>
      <c r="GY55" s="29"/>
      <c r="HA55" s="31"/>
      <c r="HB55" s="33"/>
      <c r="HE55" s="34"/>
      <c r="HI55" s="34"/>
      <c r="HM55" s="34"/>
      <c r="HQ55" s="31"/>
      <c r="HR55" s="29"/>
      <c r="HT55" s="29"/>
      <c r="HW55" s="34"/>
      <c r="HX55" s="32"/>
      <c r="HY55" s="32"/>
      <c r="IA55" s="34"/>
      <c r="IB55" s="32"/>
      <c r="IC55" s="32"/>
      <c r="IE55" s="34"/>
      <c r="IF55" s="33"/>
      <c r="IG55" s="32"/>
      <c r="II55" s="34"/>
    </row>
    <row r="56" spans="1:243" x14ac:dyDescent="0.25">
      <c r="A56" s="28" t="s">
        <v>188</v>
      </c>
      <c r="B56" s="29">
        <v>0.4</v>
      </c>
      <c r="E56">
        <v>24</v>
      </c>
      <c r="F56">
        <v>24</v>
      </c>
      <c r="G56">
        <v>26</v>
      </c>
      <c r="J56" s="30"/>
      <c r="K56" s="35"/>
      <c r="L56" s="35"/>
      <c r="M56" s="35"/>
      <c r="N56" s="35">
        <f t="shared" si="4"/>
        <v>0</v>
      </c>
      <c r="O56" s="31"/>
      <c r="P56" s="35"/>
      <c r="Q56">
        <v>128</v>
      </c>
      <c r="R56">
        <v>130</v>
      </c>
      <c r="S56" s="28">
        <v>-2</v>
      </c>
      <c r="T56" s="31"/>
      <c r="U56" s="30"/>
      <c r="W56" s="28">
        <v>0</v>
      </c>
      <c r="X56" s="31"/>
      <c r="Y56" s="24">
        <v>72</v>
      </c>
      <c r="Z56">
        <v>71</v>
      </c>
      <c r="AA56" s="28">
        <v>1</v>
      </c>
      <c r="AB56" s="31"/>
      <c r="AC56">
        <v>8</v>
      </c>
      <c r="AD56">
        <v>8</v>
      </c>
      <c r="AE56" s="28">
        <v>0</v>
      </c>
      <c r="AF56" s="31"/>
      <c r="AG56" s="24">
        <v>48</v>
      </c>
      <c r="AH56">
        <v>48</v>
      </c>
      <c r="AI56" s="28">
        <v>0</v>
      </c>
      <c r="AJ56" s="31"/>
      <c r="AK56">
        <v>16</v>
      </c>
      <c r="AL56">
        <v>16</v>
      </c>
      <c r="AM56" s="28">
        <v>0</v>
      </c>
      <c r="AN56" s="31"/>
      <c r="AO56" s="24">
        <v>24</v>
      </c>
      <c r="AP56">
        <v>23</v>
      </c>
      <c r="AQ56" s="28">
        <v>1</v>
      </c>
      <c r="AR56" s="31"/>
      <c r="AS56" s="30"/>
      <c r="AT56">
        <v>16</v>
      </c>
      <c r="AU56" s="28">
        <v>-16</v>
      </c>
      <c r="AV56" s="31"/>
      <c r="AY56" s="28">
        <v>0</v>
      </c>
      <c r="AZ56" s="31"/>
      <c r="BA56" s="24">
        <v>24</v>
      </c>
      <c r="BB56">
        <v>24</v>
      </c>
      <c r="BD56">
        <v>26</v>
      </c>
      <c r="BE56" s="27">
        <v>-26</v>
      </c>
      <c r="BF56" s="31">
        <v>25.6</v>
      </c>
      <c r="BG56" s="30"/>
      <c r="BI56" s="28">
        <v>0</v>
      </c>
      <c r="BJ56" s="31"/>
      <c r="BO56" s="28">
        <v>0</v>
      </c>
      <c r="BP56" s="31"/>
      <c r="BQ56">
        <v>32</v>
      </c>
      <c r="BR56">
        <v>33</v>
      </c>
      <c r="BS56" s="28">
        <v>-1</v>
      </c>
      <c r="BT56" s="31"/>
      <c r="BU56" s="30"/>
      <c r="BW56" s="28">
        <v>0</v>
      </c>
      <c r="BX56" s="31"/>
      <c r="BY56" s="30">
        <v>32</v>
      </c>
      <c r="BZ56" s="28">
        <v>32</v>
      </c>
      <c r="CA56" s="28">
        <v>0</v>
      </c>
      <c r="CB56" s="31"/>
      <c r="CE56" s="28">
        <v>0</v>
      </c>
      <c r="CF56" s="31"/>
      <c r="CG56" s="30"/>
      <c r="CJ56" s="28">
        <v>0</v>
      </c>
      <c r="CK56" s="31"/>
      <c r="CL56" s="30"/>
      <c r="CP56" s="28">
        <v>0</v>
      </c>
      <c r="CQ56" s="31"/>
      <c r="CR56" s="30"/>
      <c r="CV56" s="34"/>
      <c r="CZ56" s="31"/>
      <c r="DA56" s="33"/>
      <c r="DD56" s="31"/>
      <c r="DE56" s="30"/>
      <c r="DH56" s="31"/>
      <c r="DI56" s="30"/>
      <c r="DL56" s="31"/>
      <c r="DP56" s="31"/>
      <c r="DT56" s="31"/>
      <c r="DU56" s="30"/>
      <c r="DY56" s="31"/>
      <c r="DZ56" s="24"/>
      <c r="ED56" s="31"/>
      <c r="EH56" s="31"/>
      <c r="EI56" s="30"/>
      <c r="EO56" s="31"/>
      <c r="ES56" s="31"/>
      <c r="ET56" s="30"/>
      <c r="EW56" s="29"/>
      <c r="EY56" s="31"/>
      <c r="FE56" s="31"/>
      <c r="FF56" s="32"/>
      <c r="FI56" s="31"/>
      <c r="FJ56" s="30"/>
      <c r="FM56" s="31"/>
      <c r="FN56" s="24"/>
      <c r="FQ56" s="31"/>
      <c r="FU56" s="31"/>
      <c r="FV56" s="24"/>
      <c r="FY56" s="31"/>
      <c r="FZ56" s="30"/>
      <c r="GC56" s="31"/>
      <c r="GG56" s="34"/>
      <c r="GK56" s="31"/>
      <c r="GO56" s="34"/>
      <c r="GS56" s="31"/>
      <c r="GW56" s="34"/>
      <c r="GY56" s="29"/>
      <c r="HA56" s="31"/>
      <c r="HB56" s="33"/>
      <c r="HE56" s="34"/>
      <c r="HI56" s="34"/>
      <c r="HM56" s="34"/>
      <c r="HQ56" s="31"/>
      <c r="HR56" s="29"/>
      <c r="HT56" s="29"/>
      <c r="HW56" s="34"/>
      <c r="HX56" s="32"/>
      <c r="HY56" s="32"/>
      <c r="IA56" s="34"/>
      <c r="IB56" s="32"/>
      <c r="IC56" s="32"/>
      <c r="IE56" s="34"/>
      <c r="IF56" s="33"/>
      <c r="IG56" s="32"/>
      <c r="II56" s="34"/>
    </row>
    <row r="57" spans="1:243" x14ac:dyDescent="0.25">
      <c r="A57" s="28" t="s">
        <v>189</v>
      </c>
      <c r="B57" s="29">
        <v>0.5</v>
      </c>
      <c r="J57" s="30"/>
      <c r="K57" s="35"/>
      <c r="L57" s="35"/>
      <c r="M57" s="35"/>
      <c r="N57" s="35">
        <f t="shared" si="4"/>
        <v>0</v>
      </c>
      <c r="O57" s="31"/>
      <c r="P57" s="35"/>
      <c r="S57" s="28">
        <v>0</v>
      </c>
      <c r="T57" s="31"/>
      <c r="U57" s="30"/>
      <c r="W57" s="28">
        <v>0</v>
      </c>
      <c r="X57" s="31"/>
      <c r="Y57" s="30"/>
      <c r="AA57" s="28">
        <v>0</v>
      </c>
      <c r="AB57" s="31"/>
      <c r="AE57" s="28">
        <v>0</v>
      </c>
      <c r="AF57" s="31"/>
      <c r="AG57" s="30"/>
      <c r="AI57" s="28">
        <v>0</v>
      </c>
      <c r="AJ57" s="31"/>
      <c r="AM57" s="28">
        <v>0</v>
      </c>
      <c r="AN57" s="31"/>
      <c r="AO57" s="30"/>
      <c r="AQ57" s="28">
        <v>0</v>
      </c>
      <c r="AR57" s="31"/>
      <c r="AS57" s="30"/>
      <c r="AU57" s="28">
        <v>0</v>
      </c>
      <c r="AV57" s="31"/>
      <c r="AY57" s="28">
        <v>0</v>
      </c>
      <c r="AZ57" s="31"/>
      <c r="BA57" s="30"/>
      <c r="BE57" s="28">
        <v>0</v>
      </c>
      <c r="BF57" s="31"/>
      <c r="BG57" s="30"/>
      <c r="BI57" s="28">
        <v>0</v>
      </c>
      <c r="BJ57" s="31"/>
      <c r="BO57" s="28">
        <v>0</v>
      </c>
      <c r="BP57" s="31"/>
      <c r="BS57" s="28">
        <v>0</v>
      </c>
      <c r="BT57" s="31"/>
      <c r="BU57" s="30"/>
      <c r="BW57" s="28">
        <v>0</v>
      </c>
      <c r="BX57" s="31"/>
      <c r="BY57" s="30"/>
      <c r="CA57" s="28">
        <v>0</v>
      </c>
      <c r="CB57" s="31"/>
      <c r="CE57" s="28">
        <v>0</v>
      </c>
      <c r="CF57" s="31"/>
      <c r="CG57" s="30"/>
      <c r="CJ57" s="28">
        <v>0</v>
      </c>
      <c r="CK57" s="31"/>
      <c r="CL57" s="30"/>
      <c r="CP57" s="28">
        <v>0</v>
      </c>
      <c r="CQ57" s="31"/>
      <c r="CR57" s="30"/>
      <c r="CU57" s="28">
        <v>0</v>
      </c>
      <c r="CV57" s="31"/>
      <c r="CY57" s="28">
        <v>0</v>
      </c>
      <c r="CZ57" s="31"/>
      <c r="DA57" s="33"/>
      <c r="DC57" s="28">
        <v>0</v>
      </c>
      <c r="DD57" s="31"/>
      <c r="DE57" s="30"/>
      <c r="DG57" s="28">
        <v>0</v>
      </c>
      <c r="DH57" s="31"/>
      <c r="DI57" s="30"/>
      <c r="DK57" s="28">
        <v>0</v>
      </c>
      <c r="DL57" s="31"/>
      <c r="DO57" s="28">
        <v>0</v>
      </c>
      <c r="DP57" s="31"/>
      <c r="DS57" s="28">
        <v>0</v>
      </c>
      <c r="DT57" s="31"/>
      <c r="DU57" s="30"/>
      <c r="DX57" s="28">
        <v>0</v>
      </c>
      <c r="DY57" s="31"/>
      <c r="DZ57" s="30"/>
      <c r="EC57" s="28">
        <v>0</v>
      </c>
      <c r="ED57" s="31"/>
      <c r="EG57" s="28">
        <v>0</v>
      </c>
      <c r="EH57" s="31"/>
      <c r="EI57" s="30"/>
      <c r="EN57" s="28">
        <v>0</v>
      </c>
      <c r="EO57" s="31"/>
      <c r="ER57" s="28">
        <v>0</v>
      </c>
      <c r="ES57" s="31"/>
      <c r="ET57" s="30"/>
      <c r="EX57" s="28">
        <v>0</v>
      </c>
      <c r="EY57" s="31"/>
      <c r="FD57" s="28">
        <v>0</v>
      </c>
      <c r="FE57" s="31"/>
      <c r="FH57" s="28">
        <v>0</v>
      </c>
      <c r="FI57" s="31"/>
      <c r="FJ57" s="30"/>
      <c r="FL57" s="28">
        <v>0</v>
      </c>
      <c r="FM57" s="31"/>
      <c r="FN57" s="30"/>
      <c r="FP57" s="28">
        <v>0</v>
      </c>
      <c r="FQ57" s="31"/>
      <c r="FT57" s="28">
        <v>0</v>
      </c>
      <c r="FU57" s="31"/>
      <c r="FV57" s="30"/>
      <c r="FX57" s="28">
        <v>0</v>
      </c>
      <c r="FY57" s="31"/>
      <c r="FZ57" s="30"/>
      <c r="GB57" s="28">
        <v>0</v>
      </c>
      <c r="GC57" s="31"/>
      <c r="GF57" s="28">
        <v>0</v>
      </c>
      <c r="GG57" s="34"/>
      <c r="GJ57" s="28">
        <v>0</v>
      </c>
      <c r="GK57" s="31"/>
      <c r="GN57" s="28">
        <v>0</v>
      </c>
      <c r="GO57" s="34"/>
      <c r="GR57" s="28">
        <v>0</v>
      </c>
      <c r="GS57" s="31"/>
      <c r="GV57" s="28">
        <v>0</v>
      </c>
      <c r="GW57" s="34"/>
      <c r="GZ57" s="28">
        <v>0</v>
      </c>
      <c r="HA57" s="31"/>
      <c r="HB57" s="33"/>
      <c r="HD57" s="28">
        <v>0</v>
      </c>
      <c r="HE57" s="34"/>
      <c r="HH57" s="28">
        <v>0</v>
      </c>
      <c r="HI57" s="34"/>
      <c r="HL57" s="28">
        <v>0</v>
      </c>
      <c r="HM57" s="34"/>
      <c r="HP57" s="28">
        <v>0</v>
      </c>
      <c r="HQ57" s="31"/>
      <c r="HR57" s="29"/>
      <c r="HT57" s="29"/>
      <c r="HV57" s="28">
        <v>0</v>
      </c>
      <c r="HW57" s="34"/>
      <c r="HX57" s="32">
        <v>0</v>
      </c>
      <c r="HY57" s="32">
        <v>0</v>
      </c>
      <c r="HZ57" s="28">
        <v>0</v>
      </c>
      <c r="IA57" s="34"/>
      <c r="IB57" s="32">
        <v>0</v>
      </c>
      <c r="IC57" s="32">
        <v>0</v>
      </c>
      <c r="ID57" s="28">
        <v>0</v>
      </c>
      <c r="IE57" s="34"/>
      <c r="IF57" s="33">
        <v>0</v>
      </c>
      <c r="IG57" s="32">
        <v>0</v>
      </c>
      <c r="IH57" s="28">
        <v>0</v>
      </c>
      <c r="II57" s="34"/>
    </row>
    <row r="58" spans="1:243" x14ac:dyDescent="0.25">
      <c r="A58" s="28" t="s">
        <v>190</v>
      </c>
      <c r="B58" s="29">
        <v>0.4</v>
      </c>
      <c r="E58">
        <v>48</v>
      </c>
      <c r="F58">
        <v>72</v>
      </c>
      <c r="G58">
        <v>72</v>
      </c>
      <c r="J58" s="24">
        <v>80</v>
      </c>
      <c r="K58" s="36">
        <v>80</v>
      </c>
      <c r="L58" s="36">
        <v>80</v>
      </c>
      <c r="M58" s="36">
        <v>82</v>
      </c>
      <c r="N58" s="35">
        <f t="shared" si="4"/>
        <v>-2</v>
      </c>
      <c r="O58" s="31"/>
      <c r="P58" s="35"/>
      <c r="S58" s="28">
        <v>0</v>
      </c>
      <c r="T58" s="31"/>
      <c r="U58" s="30"/>
      <c r="W58" s="28">
        <v>0</v>
      </c>
      <c r="X58" s="31"/>
      <c r="Y58" s="24">
        <v>616</v>
      </c>
      <c r="Z58">
        <v>620</v>
      </c>
      <c r="AA58" s="28">
        <v>-4</v>
      </c>
      <c r="AB58" s="31"/>
      <c r="AC58">
        <v>208</v>
      </c>
      <c r="AD58">
        <v>208</v>
      </c>
      <c r="AE58" s="28">
        <v>0</v>
      </c>
      <c r="AF58" s="31"/>
      <c r="AG58" s="24">
        <v>88</v>
      </c>
      <c r="AH58">
        <v>86</v>
      </c>
      <c r="AI58" s="28">
        <v>2</v>
      </c>
      <c r="AJ58" s="31"/>
      <c r="AK58">
        <v>344</v>
      </c>
      <c r="AL58">
        <v>342</v>
      </c>
      <c r="AM58" s="28">
        <v>2</v>
      </c>
      <c r="AN58" s="31"/>
      <c r="AO58" s="24">
        <v>160</v>
      </c>
      <c r="AP58">
        <v>162</v>
      </c>
      <c r="AQ58" s="28">
        <v>-2</v>
      </c>
      <c r="AR58" s="31"/>
      <c r="AS58" s="24">
        <v>176</v>
      </c>
      <c r="AT58">
        <v>174</v>
      </c>
      <c r="AU58" s="28">
        <v>2</v>
      </c>
      <c r="AV58" s="31"/>
      <c r="AY58" s="28">
        <v>0</v>
      </c>
      <c r="AZ58" s="31"/>
      <c r="BA58" s="30"/>
      <c r="BE58" s="28">
        <v>0</v>
      </c>
      <c r="BF58" s="31"/>
      <c r="BG58" s="24">
        <v>232</v>
      </c>
      <c r="BH58">
        <v>232</v>
      </c>
      <c r="BI58" s="28">
        <v>0</v>
      </c>
      <c r="BJ58" s="31"/>
      <c r="BM58">
        <v>32</v>
      </c>
      <c r="BN58">
        <v>31</v>
      </c>
      <c r="BO58" s="28">
        <v>1</v>
      </c>
      <c r="BP58" s="31"/>
      <c r="BS58" s="28">
        <v>0</v>
      </c>
      <c r="BT58" s="31"/>
      <c r="BU58" s="24">
        <v>152</v>
      </c>
      <c r="BV58">
        <v>150</v>
      </c>
      <c r="BW58" s="28">
        <v>2</v>
      </c>
      <c r="BX58" s="31"/>
      <c r="BY58" s="24">
        <v>112</v>
      </c>
      <c r="BZ58">
        <v>113</v>
      </c>
      <c r="CA58" s="28">
        <v>-1</v>
      </c>
      <c r="CB58" s="31"/>
      <c r="CC58">
        <v>16</v>
      </c>
      <c r="CD58">
        <v>14</v>
      </c>
      <c r="CE58" s="28">
        <v>2</v>
      </c>
      <c r="CF58" s="31"/>
      <c r="CG58" s="24">
        <v>40</v>
      </c>
      <c r="CI58">
        <v>40</v>
      </c>
      <c r="CJ58" s="28">
        <v>0</v>
      </c>
      <c r="CK58" s="31"/>
      <c r="CL58" s="30"/>
      <c r="CN58">
        <v>120</v>
      </c>
      <c r="CO58">
        <v>121</v>
      </c>
      <c r="CP58" s="28">
        <v>-1</v>
      </c>
      <c r="CQ58" s="31"/>
      <c r="CR58" s="30"/>
      <c r="CU58" s="28">
        <v>0</v>
      </c>
      <c r="CV58" s="31"/>
      <c r="CW58">
        <v>184</v>
      </c>
      <c r="CX58" s="28">
        <v>183.6</v>
      </c>
      <c r="CY58" s="28">
        <v>0.40000000000000568</v>
      </c>
      <c r="CZ58" s="31"/>
      <c r="DA58" s="33"/>
      <c r="DC58" s="28">
        <v>0</v>
      </c>
      <c r="DD58" s="31"/>
      <c r="DE58" s="24">
        <v>64</v>
      </c>
      <c r="DF58" s="28">
        <v>67.400000000000006</v>
      </c>
      <c r="DG58" s="28">
        <v>-3.4000000000000061</v>
      </c>
      <c r="DH58" s="31"/>
      <c r="DI58" s="30"/>
      <c r="DK58" s="28">
        <v>0</v>
      </c>
      <c r="DL58" s="31"/>
      <c r="DM58">
        <v>120</v>
      </c>
      <c r="DN58" s="32">
        <v>122</v>
      </c>
      <c r="DO58" s="28">
        <v>-2</v>
      </c>
      <c r="DP58" s="31"/>
      <c r="DS58" s="28">
        <v>0</v>
      </c>
      <c r="DT58" s="31"/>
      <c r="DU58" s="30"/>
      <c r="DX58" s="28">
        <v>0</v>
      </c>
      <c r="DY58" s="31"/>
      <c r="DZ58" s="24">
        <v>96</v>
      </c>
      <c r="EB58">
        <v>98</v>
      </c>
      <c r="EC58" s="28">
        <v>-2</v>
      </c>
      <c r="ED58" s="31"/>
      <c r="EE58">
        <v>112</v>
      </c>
      <c r="EF58" s="32">
        <v>113.6</v>
      </c>
      <c r="EG58" s="28">
        <v>-1.5999999999999941</v>
      </c>
      <c r="EH58" s="31"/>
      <c r="EI58" s="30"/>
      <c r="EL58">
        <v>56</v>
      </c>
      <c r="EM58">
        <v>54</v>
      </c>
      <c r="EN58" s="28">
        <v>2</v>
      </c>
      <c r="EO58" s="31"/>
      <c r="EP58">
        <v>104</v>
      </c>
      <c r="EQ58" s="32">
        <v>101.6</v>
      </c>
      <c r="ER58" s="28">
        <v>2.4000000000000061</v>
      </c>
      <c r="ES58" s="31"/>
      <c r="ET58" s="30"/>
      <c r="EV58">
        <v>40</v>
      </c>
      <c r="EW58">
        <v>40</v>
      </c>
      <c r="EX58" s="28">
        <v>0</v>
      </c>
      <c r="EY58" s="31"/>
      <c r="FB58">
        <v>40</v>
      </c>
      <c r="FC58">
        <v>40</v>
      </c>
      <c r="FD58" s="28">
        <v>0</v>
      </c>
      <c r="FE58" s="31"/>
      <c r="FF58">
        <v>80</v>
      </c>
      <c r="FG58" s="32">
        <v>80</v>
      </c>
      <c r="FH58" s="28">
        <v>0</v>
      </c>
      <c r="FI58" s="31"/>
      <c r="FJ58" s="24">
        <v>40</v>
      </c>
      <c r="FK58">
        <v>41</v>
      </c>
      <c r="FL58" s="28">
        <v>-1</v>
      </c>
      <c r="FM58" s="31"/>
      <c r="FN58" s="30"/>
      <c r="FP58" s="28">
        <v>0</v>
      </c>
      <c r="FQ58" s="31"/>
      <c r="FR58">
        <v>40</v>
      </c>
      <c r="FS58">
        <v>40</v>
      </c>
      <c r="FT58" s="28">
        <v>0</v>
      </c>
      <c r="FU58" s="31"/>
      <c r="FV58" s="24">
        <v>64</v>
      </c>
      <c r="FW58">
        <v>65</v>
      </c>
      <c r="FX58" s="28">
        <v>-1</v>
      </c>
      <c r="FY58" s="31"/>
      <c r="FZ58" s="30"/>
      <c r="GB58" s="28">
        <v>0</v>
      </c>
      <c r="GC58" s="31"/>
      <c r="GF58" s="28">
        <v>0</v>
      </c>
      <c r="GG58" s="34"/>
      <c r="GH58">
        <v>56</v>
      </c>
      <c r="GI58">
        <v>56</v>
      </c>
      <c r="GJ58" s="28">
        <v>0</v>
      </c>
      <c r="GK58" s="31"/>
      <c r="GL58">
        <v>56</v>
      </c>
      <c r="GM58">
        <v>57.2</v>
      </c>
      <c r="GN58" s="28">
        <v>-1.2000000000000031</v>
      </c>
      <c r="GO58" s="34"/>
      <c r="GP58">
        <v>64</v>
      </c>
      <c r="GQ58">
        <v>64</v>
      </c>
      <c r="GR58" s="28">
        <v>0</v>
      </c>
      <c r="GS58" s="31"/>
      <c r="GT58">
        <v>48</v>
      </c>
      <c r="GU58">
        <v>50</v>
      </c>
      <c r="GV58" s="28">
        <v>-2</v>
      </c>
      <c r="GW58" s="34"/>
      <c r="GZ58" s="28">
        <v>0</v>
      </c>
      <c r="HA58" s="31"/>
      <c r="HB58" s="33"/>
      <c r="HD58" s="28">
        <v>0</v>
      </c>
      <c r="HE58" s="34"/>
      <c r="HF58">
        <v>40</v>
      </c>
      <c r="HG58">
        <v>40</v>
      </c>
      <c r="HH58" s="28">
        <v>0</v>
      </c>
      <c r="HI58" s="34"/>
      <c r="HL58" s="28">
        <v>0</v>
      </c>
      <c r="HM58" s="34"/>
      <c r="HP58" s="28">
        <v>0</v>
      </c>
      <c r="HQ58" s="31"/>
      <c r="HR58">
        <v>56</v>
      </c>
      <c r="HS58">
        <v>60</v>
      </c>
      <c r="HT58">
        <v>48</v>
      </c>
      <c r="HU58">
        <v>50</v>
      </c>
      <c r="HV58" s="28">
        <v>-6</v>
      </c>
      <c r="HW58" s="34"/>
      <c r="HX58" s="32">
        <v>0</v>
      </c>
      <c r="HY58" s="32">
        <v>0</v>
      </c>
      <c r="HZ58" s="28">
        <v>0</v>
      </c>
      <c r="IA58" s="34"/>
      <c r="IB58" s="32">
        <v>88</v>
      </c>
      <c r="IC58" s="32">
        <v>86.399999999999991</v>
      </c>
      <c r="ID58" s="28">
        <v>1.600000000000009</v>
      </c>
      <c r="IE58" s="34"/>
      <c r="IF58" s="33">
        <v>8</v>
      </c>
      <c r="IG58" s="32">
        <v>10</v>
      </c>
      <c r="IH58" s="28">
        <v>-2</v>
      </c>
      <c r="II58" s="34"/>
    </row>
    <row r="59" spans="1:243" x14ac:dyDescent="0.25">
      <c r="A59" s="28" t="s">
        <v>191</v>
      </c>
      <c r="B59" s="29">
        <v>0.5</v>
      </c>
      <c r="J59" s="30"/>
      <c r="K59" s="35"/>
      <c r="L59" s="35"/>
      <c r="M59" s="35"/>
      <c r="N59" s="35">
        <f t="shared" si="4"/>
        <v>0</v>
      </c>
      <c r="O59" s="31"/>
      <c r="P59" s="35"/>
      <c r="S59" s="28">
        <v>0</v>
      </c>
      <c r="T59" s="31"/>
      <c r="U59" s="30"/>
      <c r="W59" s="28">
        <v>0</v>
      </c>
      <c r="X59" s="31"/>
      <c r="Y59" s="30"/>
      <c r="AA59" s="28">
        <v>0</v>
      </c>
      <c r="AB59" s="31"/>
      <c r="AE59" s="28">
        <v>0</v>
      </c>
      <c r="AF59" s="31"/>
      <c r="AG59" s="30"/>
      <c r="AI59" s="28">
        <v>0</v>
      </c>
      <c r="AJ59" s="31"/>
      <c r="AM59" s="28">
        <v>0</v>
      </c>
      <c r="AN59" s="31"/>
      <c r="AO59" s="30"/>
      <c r="AQ59" s="28">
        <v>0</v>
      </c>
      <c r="AR59" s="31"/>
      <c r="AS59" s="30"/>
      <c r="AU59" s="28">
        <v>0</v>
      </c>
      <c r="AV59" s="31"/>
      <c r="AY59" s="28">
        <v>0</v>
      </c>
      <c r="AZ59" s="31"/>
      <c r="BA59" s="30"/>
      <c r="BE59" s="28">
        <v>0</v>
      </c>
      <c r="BF59" s="31"/>
      <c r="BG59" s="30"/>
      <c r="BI59" s="28">
        <v>0</v>
      </c>
      <c r="BJ59" s="31"/>
      <c r="BO59" s="28">
        <v>0</v>
      </c>
      <c r="BP59" s="31"/>
      <c r="BS59" s="28">
        <v>0</v>
      </c>
      <c r="BT59" s="31"/>
      <c r="BU59" s="30"/>
      <c r="BW59" s="28">
        <v>0</v>
      </c>
      <c r="BX59" s="31"/>
      <c r="BY59" s="30"/>
      <c r="CA59" s="28">
        <v>0</v>
      </c>
      <c r="CB59" s="31"/>
      <c r="CE59" s="28">
        <v>0</v>
      </c>
      <c r="CF59" s="31"/>
      <c r="CG59" s="30"/>
      <c r="CJ59" s="28">
        <v>0</v>
      </c>
      <c r="CK59" s="31"/>
      <c r="CL59" s="30"/>
      <c r="CP59" s="28">
        <v>0</v>
      </c>
      <c r="CQ59" s="31"/>
      <c r="CR59" s="30"/>
      <c r="CU59" s="28">
        <v>0</v>
      </c>
      <c r="CV59" s="31"/>
      <c r="CY59" s="28">
        <v>0</v>
      </c>
      <c r="CZ59" s="31"/>
      <c r="DA59" s="33"/>
      <c r="DC59" s="28">
        <v>0</v>
      </c>
      <c r="DD59" s="31"/>
      <c r="DE59" s="30"/>
      <c r="DG59" s="28">
        <v>0</v>
      </c>
      <c r="DH59" s="31"/>
      <c r="DI59" s="30"/>
      <c r="DK59" s="28">
        <v>0</v>
      </c>
      <c r="DL59" s="31"/>
      <c r="DO59" s="28">
        <v>0</v>
      </c>
      <c r="DP59" s="31"/>
      <c r="DS59" s="28">
        <v>0</v>
      </c>
      <c r="DT59" s="31"/>
      <c r="DU59" s="30"/>
      <c r="DX59" s="28">
        <v>0</v>
      </c>
      <c r="DY59" s="31"/>
      <c r="DZ59" s="30"/>
      <c r="EC59" s="28">
        <v>0</v>
      </c>
      <c r="ED59" s="31"/>
      <c r="EG59" s="28">
        <v>0</v>
      </c>
      <c r="EH59" s="31"/>
      <c r="EI59" s="30"/>
      <c r="EN59" s="28">
        <v>0</v>
      </c>
      <c r="EO59" s="31"/>
      <c r="ER59" s="28">
        <v>0</v>
      </c>
      <c r="ES59" s="31"/>
      <c r="ET59" s="30"/>
      <c r="EX59" s="28">
        <v>0</v>
      </c>
      <c r="EY59" s="31"/>
      <c r="FD59" s="28">
        <v>0</v>
      </c>
      <c r="FE59" s="31"/>
      <c r="FF59">
        <v>16</v>
      </c>
      <c r="FG59" s="32">
        <v>16</v>
      </c>
      <c r="FH59" s="28">
        <v>0</v>
      </c>
      <c r="FI59" s="31"/>
      <c r="FJ59" s="30"/>
      <c r="FL59" s="28">
        <v>0</v>
      </c>
      <c r="FM59" s="31"/>
      <c r="FN59" s="30"/>
      <c r="FP59" s="28">
        <v>0</v>
      </c>
      <c r="FQ59" s="31"/>
      <c r="FR59">
        <v>8</v>
      </c>
      <c r="FS59">
        <v>9</v>
      </c>
      <c r="FT59" s="28">
        <v>-1</v>
      </c>
      <c r="FU59" s="31"/>
      <c r="FV59" s="30"/>
      <c r="FX59" s="28">
        <v>0</v>
      </c>
      <c r="FY59" s="31"/>
      <c r="FZ59" s="24">
        <v>8</v>
      </c>
      <c r="GA59">
        <v>10</v>
      </c>
      <c r="GB59" s="28">
        <v>-2</v>
      </c>
      <c r="GC59" s="31"/>
      <c r="GF59" s="28">
        <v>0</v>
      </c>
      <c r="GG59" s="34"/>
      <c r="GH59">
        <v>8</v>
      </c>
      <c r="GI59">
        <v>8</v>
      </c>
      <c r="GJ59" s="28">
        <v>0</v>
      </c>
      <c r="GK59" s="31"/>
      <c r="GN59" s="28">
        <v>0</v>
      </c>
      <c r="GO59" s="34"/>
      <c r="GR59" s="28">
        <v>0</v>
      </c>
      <c r="GS59" s="31"/>
      <c r="GV59" s="28">
        <v>0</v>
      </c>
      <c r="GW59" s="34"/>
      <c r="GZ59" s="28">
        <v>0</v>
      </c>
      <c r="HA59" s="31"/>
      <c r="HB59" s="33"/>
      <c r="HD59" s="28">
        <v>0</v>
      </c>
      <c r="HE59" s="34"/>
      <c r="HH59" s="28">
        <v>0</v>
      </c>
      <c r="HI59" s="34"/>
      <c r="HJ59">
        <v>8</v>
      </c>
      <c r="HK59">
        <v>8</v>
      </c>
      <c r="HL59" s="28">
        <v>0</v>
      </c>
      <c r="HM59" s="34"/>
      <c r="HP59" s="28">
        <v>0</v>
      </c>
      <c r="HQ59" s="31"/>
      <c r="HR59">
        <v>8</v>
      </c>
      <c r="HS59">
        <v>8</v>
      </c>
      <c r="HT59" s="29"/>
      <c r="HV59" s="28">
        <v>0</v>
      </c>
      <c r="HW59" s="34"/>
      <c r="IA59" s="34"/>
      <c r="IE59" s="34"/>
      <c r="IF59" s="33"/>
      <c r="II59" s="34"/>
    </row>
    <row r="60" spans="1:243" x14ac:dyDescent="0.25">
      <c r="A60" s="28" t="s">
        <v>192</v>
      </c>
      <c r="B60" s="29">
        <v>0.5</v>
      </c>
      <c r="J60" s="30"/>
      <c r="K60" s="35"/>
      <c r="L60" s="35"/>
      <c r="M60" s="35"/>
      <c r="N60" s="35">
        <f t="shared" si="4"/>
        <v>0</v>
      </c>
      <c r="O60" s="31"/>
      <c r="P60" s="35"/>
      <c r="S60" s="28">
        <v>0</v>
      </c>
      <c r="T60" s="31"/>
      <c r="U60" s="30"/>
      <c r="W60" s="28">
        <v>0</v>
      </c>
      <c r="X60" s="31"/>
      <c r="Y60" s="30"/>
      <c r="AA60" s="28">
        <v>0</v>
      </c>
      <c r="AB60" s="31"/>
      <c r="AE60" s="28">
        <v>0</v>
      </c>
      <c r="AF60" s="31"/>
      <c r="AG60" s="30"/>
      <c r="AI60" s="28">
        <v>0</v>
      </c>
      <c r="AJ60" s="31"/>
      <c r="AM60" s="28">
        <v>0</v>
      </c>
      <c r="AN60" s="31"/>
      <c r="AO60" s="30"/>
      <c r="AQ60" s="28">
        <v>0</v>
      </c>
      <c r="AR60" s="31"/>
      <c r="AS60" s="30"/>
      <c r="AU60" s="28">
        <v>0</v>
      </c>
      <c r="AV60" s="31"/>
      <c r="AY60" s="28">
        <v>0</v>
      </c>
      <c r="AZ60" s="31"/>
      <c r="BA60" s="30"/>
      <c r="BE60" s="28">
        <v>0</v>
      </c>
      <c r="BF60" s="31"/>
      <c r="BG60" s="30"/>
      <c r="BI60" s="28">
        <v>0</v>
      </c>
      <c r="BJ60" s="31"/>
      <c r="BO60" s="28">
        <v>0</v>
      </c>
      <c r="BP60" s="31"/>
      <c r="BS60" s="28">
        <v>0</v>
      </c>
      <c r="BT60" s="31"/>
      <c r="BU60" s="30"/>
      <c r="BW60" s="28">
        <v>0</v>
      </c>
      <c r="BX60" s="31"/>
      <c r="BY60" s="30"/>
      <c r="CA60" s="28">
        <v>0</v>
      </c>
      <c r="CB60" s="31"/>
      <c r="CE60" s="28">
        <v>0</v>
      </c>
      <c r="CF60" s="31"/>
      <c r="CG60" s="30"/>
      <c r="CJ60" s="28">
        <v>0</v>
      </c>
      <c r="CK60" s="31"/>
      <c r="CL60" s="30"/>
      <c r="CP60" s="28">
        <v>0</v>
      </c>
      <c r="CQ60" s="31"/>
      <c r="CR60" s="30"/>
      <c r="CU60" s="28">
        <v>0</v>
      </c>
      <c r="CV60" s="31"/>
      <c r="CY60" s="28">
        <v>0</v>
      </c>
      <c r="CZ60" s="31"/>
      <c r="DA60" s="33"/>
      <c r="DC60" s="28">
        <v>0</v>
      </c>
      <c r="DD60" s="31"/>
      <c r="DE60" s="30"/>
      <c r="DG60" s="28">
        <v>0</v>
      </c>
      <c r="DH60" s="31"/>
      <c r="DI60" s="30"/>
      <c r="DK60" s="28">
        <v>0</v>
      </c>
      <c r="DL60" s="31"/>
      <c r="DO60" s="28">
        <v>0</v>
      </c>
      <c r="DP60" s="31"/>
      <c r="DS60" s="28">
        <v>0</v>
      </c>
      <c r="DT60" s="31"/>
      <c r="DU60" s="30"/>
      <c r="DX60" s="28">
        <v>0</v>
      </c>
      <c r="DY60" s="31"/>
      <c r="DZ60" s="30"/>
      <c r="EC60" s="28">
        <v>0</v>
      </c>
      <c r="ED60" s="31"/>
      <c r="EG60" s="28">
        <v>0</v>
      </c>
      <c r="EH60" s="31"/>
      <c r="EI60" s="30"/>
      <c r="EN60" s="28">
        <v>0</v>
      </c>
      <c r="EO60" s="31"/>
      <c r="ER60" s="28">
        <v>0</v>
      </c>
      <c r="ES60" s="31"/>
      <c r="ET60" s="30"/>
      <c r="EX60" s="28">
        <v>0</v>
      </c>
      <c r="EY60" s="31"/>
      <c r="FD60" s="28">
        <v>0</v>
      </c>
      <c r="FE60" s="31"/>
      <c r="FH60" s="28">
        <v>0</v>
      </c>
      <c r="FI60" s="31"/>
      <c r="FJ60" s="30"/>
      <c r="FL60" s="28">
        <v>0</v>
      </c>
      <c r="FM60" s="31"/>
      <c r="FN60" s="30"/>
      <c r="FP60" s="28">
        <v>0</v>
      </c>
      <c r="FQ60" s="31"/>
      <c r="FT60" s="28">
        <v>0</v>
      </c>
      <c r="FU60" s="31"/>
      <c r="FV60" s="30"/>
      <c r="FX60" s="28">
        <v>0</v>
      </c>
      <c r="FY60" s="31"/>
      <c r="FZ60" s="30"/>
      <c r="GB60" s="28">
        <v>0</v>
      </c>
      <c r="GC60" s="31"/>
      <c r="GF60" s="28">
        <v>0</v>
      </c>
      <c r="GG60" s="34"/>
      <c r="GJ60" s="28">
        <v>0</v>
      </c>
      <c r="GK60" s="31"/>
      <c r="GN60" s="28">
        <v>0</v>
      </c>
      <c r="GO60" s="34"/>
      <c r="GR60" s="28">
        <v>0</v>
      </c>
      <c r="GS60" s="31"/>
      <c r="GV60" s="28">
        <v>0</v>
      </c>
      <c r="GW60" s="34"/>
      <c r="GZ60" s="28">
        <v>0</v>
      </c>
      <c r="HA60" s="31"/>
      <c r="HB60" s="33"/>
      <c r="HD60" s="28">
        <v>0</v>
      </c>
      <c r="HE60" s="34"/>
      <c r="HH60" s="28">
        <v>0</v>
      </c>
      <c r="HI60" s="34"/>
      <c r="HL60" s="28">
        <v>0</v>
      </c>
      <c r="HM60" s="34"/>
      <c r="HP60" s="28">
        <v>0</v>
      </c>
      <c r="HQ60" s="31"/>
      <c r="HR60" s="29"/>
      <c r="HT60" s="29"/>
      <c r="HV60" s="28">
        <v>0</v>
      </c>
      <c r="HW60" s="34"/>
      <c r="HX60" s="32">
        <v>0</v>
      </c>
      <c r="HY60" s="32">
        <v>0</v>
      </c>
      <c r="HZ60" s="28">
        <v>0</v>
      </c>
      <c r="IA60" s="34"/>
      <c r="IB60" s="32">
        <v>0</v>
      </c>
      <c r="IC60" s="32">
        <v>0</v>
      </c>
      <c r="ID60" s="28">
        <v>0</v>
      </c>
      <c r="IE60" s="34"/>
      <c r="IF60" s="33">
        <v>0</v>
      </c>
      <c r="IG60" s="32">
        <v>0</v>
      </c>
      <c r="IH60" s="28">
        <v>0</v>
      </c>
      <c r="II60" s="34"/>
    </row>
    <row r="61" spans="1:243" x14ac:dyDescent="0.25">
      <c r="A61" s="28" t="s">
        <v>193</v>
      </c>
      <c r="B61" s="29">
        <v>0.4</v>
      </c>
      <c r="J61" s="24">
        <v>72</v>
      </c>
      <c r="K61" s="36">
        <v>72</v>
      </c>
      <c r="L61" s="36">
        <v>72</v>
      </c>
      <c r="M61" s="36">
        <v>79</v>
      </c>
      <c r="N61" s="35">
        <f t="shared" si="4"/>
        <v>-7</v>
      </c>
      <c r="O61" s="31"/>
      <c r="P61" s="35"/>
      <c r="S61" s="28">
        <v>0</v>
      </c>
      <c r="T61" s="31"/>
      <c r="U61" s="24">
        <v>112</v>
      </c>
      <c r="V61">
        <v>130</v>
      </c>
      <c r="W61" s="27">
        <v>-18</v>
      </c>
      <c r="X61" s="31">
        <v>7.2</v>
      </c>
      <c r="Y61" s="30"/>
      <c r="AA61" s="28">
        <v>0</v>
      </c>
      <c r="AB61" s="31"/>
      <c r="AC61">
        <v>120</v>
      </c>
      <c r="AD61">
        <v>125</v>
      </c>
      <c r="AE61" s="28">
        <v>-5</v>
      </c>
      <c r="AF61" s="31"/>
      <c r="AG61" s="24">
        <v>16</v>
      </c>
      <c r="AH61">
        <v>16</v>
      </c>
      <c r="AI61" s="28">
        <v>0</v>
      </c>
      <c r="AJ61" s="31"/>
      <c r="AK61">
        <v>64</v>
      </c>
      <c r="AL61">
        <v>65</v>
      </c>
      <c r="AM61" s="28">
        <v>-1</v>
      </c>
      <c r="AN61" s="31"/>
      <c r="AO61" s="30"/>
      <c r="AP61">
        <v>27</v>
      </c>
      <c r="AQ61" s="27">
        <v>-27</v>
      </c>
      <c r="AR61" s="31">
        <v>10.8</v>
      </c>
      <c r="AS61" s="24">
        <v>40</v>
      </c>
      <c r="AT61">
        <v>40</v>
      </c>
      <c r="AU61" s="28">
        <v>0</v>
      </c>
      <c r="AV61" s="31"/>
      <c r="AY61" s="28">
        <v>0</v>
      </c>
      <c r="AZ61" s="31"/>
      <c r="BA61" s="24">
        <v>40</v>
      </c>
      <c r="BB61">
        <v>40</v>
      </c>
      <c r="BD61">
        <v>50</v>
      </c>
      <c r="BE61" s="27">
        <v>-50</v>
      </c>
      <c r="BF61" s="31">
        <v>49.6</v>
      </c>
      <c r="BG61" s="24">
        <v>16</v>
      </c>
      <c r="BH61">
        <v>14</v>
      </c>
      <c r="BI61" s="28">
        <v>2</v>
      </c>
      <c r="BJ61" s="31"/>
      <c r="BO61" s="28">
        <v>0</v>
      </c>
      <c r="BP61" s="31"/>
      <c r="BQ61">
        <v>40</v>
      </c>
      <c r="BR61">
        <v>43</v>
      </c>
      <c r="BS61" s="28">
        <v>-3</v>
      </c>
      <c r="BT61" s="31"/>
      <c r="BU61" s="30"/>
      <c r="BW61" s="28">
        <v>0</v>
      </c>
      <c r="BX61" s="31"/>
      <c r="BY61" s="24">
        <v>88</v>
      </c>
      <c r="BZ61">
        <v>87</v>
      </c>
      <c r="CA61" s="28">
        <v>1</v>
      </c>
      <c r="CB61" s="31"/>
      <c r="CC61">
        <v>8</v>
      </c>
      <c r="CD61">
        <v>8</v>
      </c>
      <c r="CE61" s="28">
        <v>0</v>
      </c>
      <c r="CF61" s="31"/>
      <c r="CG61" s="30"/>
      <c r="CJ61" s="28">
        <v>0</v>
      </c>
      <c r="CK61" s="31"/>
      <c r="CL61" s="30"/>
      <c r="CN61">
        <v>104</v>
      </c>
      <c r="CO61">
        <v>106</v>
      </c>
      <c r="CP61" s="28">
        <v>-2</v>
      </c>
      <c r="CQ61" s="31"/>
      <c r="CR61" s="30"/>
      <c r="CT61">
        <v>84</v>
      </c>
      <c r="CU61" s="27">
        <v>-84</v>
      </c>
      <c r="CV61" s="31">
        <v>33.6</v>
      </c>
      <c r="CW61">
        <v>80</v>
      </c>
      <c r="CX61" s="28">
        <v>82</v>
      </c>
      <c r="CY61" s="28">
        <v>-2</v>
      </c>
      <c r="CZ61" s="31"/>
      <c r="DA61" s="24">
        <v>56</v>
      </c>
      <c r="DB61" s="28">
        <v>58</v>
      </c>
      <c r="DC61" s="28">
        <v>-2</v>
      </c>
      <c r="DD61" s="31"/>
      <c r="DE61" s="30"/>
      <c r="DG61" s="28">
        <v>0</v>
      </c>
      <c r="DH61" s="31"/>
      <c r="DI61" s="30"/>
      <c r="DK61" s="28">
        <v>0</v>
      </c>
      <c r="DL61" s="31"/>
      <c r="DM61">
        <v>104</v>
      </c>
      <c r="DN61" s="32">
        <v>106.6</v>
      </c>
      <c r="DO61" s="28">
        <v>-2.5999999999999939</v>
      </c>
      <c r="DP61" s="31"/>
      <c r="DS61" s="28">
        <v>0</v>
      </c>
      <c r="DT61" s="31"/>
      <c r="DU61" s="30"/>
      <c r="DX61" s="28">
        <v>0</v>
      </c>
      <c r="DY61" s="31"/>
      <c r="DZ61" s="24">
        <v>80</v>
      </c>
      <c r="EB61">
        <v>78</v>
      </c>
      <c r="EC61" s="28">
        <v>2</v>
      </c>
      <c r="ED61" s="31"/>
      <c r="EG61" s="28">
        <v>0</v>
      </c>
      <c r="EH61" s="31"/>
      <c r="EI61" s="30"/>
      <c r="EJ61">
        <v>48</v>
      </c>
      <c r="EK61">
        <v>60</v>
      </c>
      <c r="EL61">
        <v>64</v>
      </c>
      <c r="EM61">
        <v>62</v>
      </c>
      <c r="EN61" s="27">
        <v>-10</v>
      </c>
      <c r="EO61" s="31">
        <v>4</v>
      </c>
      <c r="EP61">
        <v>8</v>
      </c>
      <c r="EQ61" s="32">
        <v>9.6000000000000085</v>
      </c>
      <c r="ER61" s="28">
        <v>-1.600000000000009</v>
      </c>
      <c r="ES61" s="31"/>
      <c r="ET61" s="30"/>
      <c r="EV61">
        <v>80</v>
      </c>
      <c r="EW61">
        <v>83</v>
      </c>
      <c r="EX61" s="28">
        <v>-3</v>
      </c>
      <c r="EY61" s="31"/>
      <c r="FB61">
        <v>8</v>
      </c>
      <c r="FC61">
        <v>8</v>
      </c>
      <c r="FD61" s="28">
        <v>0</v>
      </c>
      <c r="FE61" s="31"/>
      <c r="FF61">
        <v>64</v>
      </c>
      <c r="FG61" s="32">
        <v>64</v>
      </c>
      <c r="FH61" s="28">
        <v>0</v>
      </c>
      <c r="FI61" s="31"/>
      <c r="FJ61" s="24">
        <v>8</v>
      </c>
      <c r="FK61">
        <v>7</v>
      </c>
      <c r="FL61" s="28">
        <v>1</v>
      </c>
      <c r="FM61" s="31"/>
      <c r="FN61" s="30"/>
      <c r="FP61" s="28">
        <v>0</v>
      </c>
      <c r="FQ61" s="31"/>
      <c r="FR61">
        <v>72</v>
      </c>
      <c r="FS61">
        <v>72</v>
      </c>
      <c r="FT61" s="28">
        <v>0</v>
      </c>
      <c r="FU61" s="31"/>
      <c r="FV61" s="24">
        <v>24</v>
      </c>
      <c r="FW61">
        <v>24</v>
      </c>
      <c r="FX61" s="28">
        <v>0</v>
      </c>
      <c r="FY61" s="31"/>
      <c r="FZ61" s="30"/>
      <c r="GB61" s="28">
        <v>0</v>
      </c>
      <c r="GC61" s="31"/>
      <c r="GD61">
        <v>40</v>
      </c>
      <c r="GE61">
        <v>40</v>
      </c>
      <c r="GF61" s="28">
        <v>0</v>
      </c>
      <c r="GG61" s="34"/>
      <c r="GH61">
        <v>16</v>
      </c>
      <c r="GI61">
        <v>17</v>
      </c>
      <c r="GJ61" s="28">
        <v>-1</v>
      </c>
      <c r="GK61" s="31"/>
      <c r="GN61" s="28">
        <v>0</v>
      </c>
      <c r="GO61" s="34"/>
      <c r="GP61">
        <v>56</v>
      </c>
      <c r="GQ61">
        <v>56</v>
      </c>
      <c r="GR61" s="28">
        <v>0</v>
      </c>
      <c r="GS61" s="31"/>
      <c r="GT61">
        <v>8</v>
      </c>
      <c r="GU61">
        <v>8</v>
      </c>
      <c r="GV61" s="28">
        <v>0</v>
      </c>
      <c r="GW61" s="34"/>
      <c r="GZ61" s="28">
        <v>0</v>
      </c>
      <c r="HA61" s="31"/>
      <c r="HB61" s="24">
        <v>40</v>
      </c>
      <c r="HC61" s="32">
        <v>40</v>
      </c>
      <c r="HD61" s="28">
        <v>0</v>
      </c>
      <c r="HE61" s="34"/>
      <c r="HF61">
        <v>8</v>
      </c>
      <c r="HG61">
        <v>6</v>
      </c>
      <c r="HH61" s="28">
        <v>2</v>
      </c>
      <c r="HI61" s="34"/>
      <c r="HL61" s="28">
        <v>0</v>
      </c>
      <c r="HM61" s="34"/>
      <c r="HP61" s="28">
        <v>0</v>
      </c>
      <c r="HQ61" s="31"/>
      <c r="HR61">
        <v>32</v>
      </c>
      <c r="HS61">
        <v>32</v>
      </c>
      <c r="HT61">
        <v>24</v>
      </c>
      <c r="HU61">
        <v>28</v>
      </c>
      <c r="HV61" s="28">
        <v>-4</v>
      </c>
      <c r="HW61" s="34"/>
      <c r="HX61" s="32">
        <v>0</v>
      </c>
      <c r="HY61" s="32">
        <v>0</v>
      </c>
      <c r="HZ61" s="28">
        <v>0</v>
      </c>
      <c r="IA61" s="34"/>
      <c r="IB61" s="32">
        <v>24</v>
      </c>
      <c r="IC61" s="32">
        <v>24</v>
      </c>
      <c r="ID61" s="28">
        <v>0</v>
      </c>
      <c r="IE61" s="34"/>
      <c r="IF61" s="33">
        <v>0</v>
      </c>
      <c r="IG61" s="32">
        <v>0</v>
      </c>
      <c r="IH61" s="28">
        <v>0</v>
      </c>
      <c r="II61" s="34"/>
    </row>
    <row r="62" spans="1:243" x14ac:dyDescent="0.25">
      <c r="A62" s="28" t="s">
        <v>194</v>
      </c>
      <c r="B62" s="29">
        <v>0.4</v>
      </c>
      <c r="E62">
        <v>40</v>
      </c>
      <c r="F62">
        <v>40</v>
      </c>
      <c r="G62">
        <v>40</v>
      </c>
      <c r="J62" s="24">
        <v>64</v>
      </c>
      <c r="K62" s="36">
        <v>64</v>
      </c>
      <c r="L62" s="36">
        <v>16</v>
      </c>
      <c r="M62" s="36">
        <v>16</v>
      </c>
      <c r="N62" s="35">
        <f t="shared" si="4"/>
        <v>0</v>
      </c>
      <c r="O62" s="31"/>
      <c r="P62" s="35"/>
      <c r="Q62">
        <v>72</v>
      </c>
      <c r="R62">
        <v>72</v>
      </c>
      <c r="S62" s="28">
        <v>0</v>
      </c>
      <c r="T62" s="31"/>
      <c r="U62" s="30"/>
      <c r="W62" s="28">
        <v>0</v>
      </c>
      <c r="X62" s="31"/>
      <c r="Y62" s="24">
        <v>480</v>
      </c>
      <c r="Z62">
        <v>480</v>
      </c>
      <c r="AA62" s="28">
        <v>0</v>
      </c>
      <c r="AB62" s="31"/>
      <c r="AC62">
        <v>216</v>
      </c>
      <c r="AD62">
        <v>215</v>
      </c>
      <c r="AE62" s="28">
        <v>1</v>
      </c>
      <c r="AF62" s="31"/>
      <c r="AG62" s="24">
        <v>104</v>
      </c>
      <c r="AH62">
        <v>107</v>
      </c>
      <c r="AI62" s="28">
        <v>-3</v>
      </c>
      <c r="AJ62" s="31"/>
      <c r="AK62">
        <v>176</v>
      </c>
      <c r="AL62">
        <v>178</v>
      </c>
      <c r="AM62" s="28">
        <v>-2</v>
      </c>
      <c r="AN62" s="31"/>
      <c r="AO62" s="24">
        <v>112</v>
      </c>
      <c r="AP62">
        <v>116</v>
      </c>
      <c r="AQ62" s="28">
        <v>-4</v>
      </c>
      <c r="AR62" s="31"/>
      <c r="AS62" s="24">
        <v>104</v>
      </c>
      <c r="AT62">
        <v>102</v>
      </c>
      <c r="AU62" s="28">
        <v>2</v>
      </c>
      <c r="AV62" s="31"/>
      <c r="AY62" s="28">
        <v>0</v>
      </c>
      <c r="AZ62" s="31"/>
      <c r="BA62" s="24">
        <v>64</v>
      </c>
      <c r="BB62">
        <v>60</v>
      </c>
      <c r="BC62">
        <v>56</v>
      </c>
      <c r="BD62">
        <v>63</v>
      </c>
      <c r="BE62" s="28">
        <v>-3</v>
      </c>
      <c r="BF62" s="31"/>
      <c r="BG62" s="24">
        <v>24</v>
      </c>
      <c r="BH62">
        <v>27</v>
      </c>
      <c r="BI62" s="28">
        <v>-3</v>
      </c>
      <c r="BJ62" s="31"/>
      <c r="BM62">
        <v>24</v>
      </c>
      <c r="BN62">
        <v>29</v>
      </c>
      <c r="BO62" s="28">
        <v>-5</v>
      </c>
      <c r="BP62" s="31"/>
      <c r="BQ62">
        <v>104</v>
      </c>
      <c r="BR62">
        <v>106</v>
      </c>
      <c r="BS62" s="28">
        <v>-2</v>
      </c>
      <c r="BT62" s="31"/>
      <c r="BU62" s="30"/>
      <c r="BW62" s="28">
        <v>0</v>
      </c>
      <c r="BX62" s="31"/>
      <c r="BY62" s="24">
        <v>88</v>
      </c>
      <c r="BZ62">
        <v>90</v>
      </c>
      <c r="CA62" s="28">
        <v>-2</v>
      </c>
      <c r="CB62" s="31"/>
      <c r="CC62">
        <v>48</v>
      </c>
      <c r="CD62">
        <v>53</v>
      </c>
      <c r="CE62" s="28">
        <v>-5</v>
      </c>
      <c r="CF62" s="31"/>
      <c r="CG62" s="24">
        <v>16</v>
      </c>
      <c r="CI62">
        <v>18</v>
      </c>
      <c r="CJ62" s="28">
        <v>-2</v>
      </c>
      <c r="CK62" s="31"/>
      <c r="CL62" s="30"/>
      <c r="CN62">
        <v>16</v>
      </c>
      <c r="CO62">
        <v>18</v>
      </c>
      <c r="CP62" s="28">
        <v>-2</v>
      </c>
      <c r="CQ62" s="31"/>
      <c r="CR62" s="24">
        <v>96</v>
      </c>
      <c r="CT62">
        <v>100</v>
      </c>
      <c r="CU62" s="28">
        <v>-4</v>
      </c>
      <c r="CV62" s="31"/>
      <c r="CW62">
        <v>32</v>
      </c>
      <c r="CX62" s="28">
        <v>30</v>
      </c>
      <c r="CY62" s="28">
        <v>2</v>
      </c>
      <c r="CZ62" s="31"/>
      <c r="DA62" s="24">
        <v>64</v>
      </c>
      <c r="DB62" s="28">
        <v>63</v>
      </c>
      <c r="DC62" s="28">
        <v>1</v>
      </c>
      <c r="DD62" s="31"/>
      <c r="DE62" s="30"/>
      <c r="DG62" s="28">
        <v>0</v>
      </c>
      <c r="DH62" s="31"/>
      <c r="DI62" s="30"/>
      <c r="DK62" s="28">
        <v>0</v>
      </c>
      <c r="DL62" s="31"/>
      <c r="DM62">
        <v>80</v>
      </c>
      <c r="DN62" s="32">
        <v>79</v>
      </c>
      <c r="DO62" s="28">
        <v>1</v>
      </c>
      <c r="DP62" s="31"/>
      <c r="DQ62">
        <v>48</v>
      </c>
      <c r="DR62">
        <v>52</v>
      </c>
      <c r="DS62" s="28">
        <v>-4</v>
      </c>
      <c r="DT62" s="31"/>
      <c r="DU62" s="24">
        <v>24</v>
      </c>
      <c r="DW62">
        <v>22</v>
      </c>
      <c r="DX62" s="28">
        <v>2</v>
      </c>
      <c r="DY62" s="31"/>
      <c r="DZ62" s="30"/>
      <c r="EC62" s="28">
        <v>0</v>
      </c>
      <c r="ED62" s="31"/>
      <c r="EE62">
        <v>8</v>
      </c>
      <c r="EF62" s="32">
        <v>12.8</v>
      </c>
      <c r="EG62" s="28">
        <v>-4.8000000000000007</v>
      </c>
      <c r="EH62" s="31"/>
      <c r="EI62" s="30"/>
      <c r="EJ62">
        <v>40</v>
      </c>
      <c r="EK62">
        <v>40</v>
      </c>
      <c r="EL62">
        <v>48</v>
      </c>
      <c r="EM62">
        <v>49</v>
      </c>
      <c r="EN62" s="28">
        <v>-1</v>
      </c>
      <c r="EO62" s="31"/>
      <c r="EP62">
        <v>24</v>
      </c>
      <c r="EQ62" s="32">
        <v>22.600000000000009</v>
      </c>
      <c r="ER62" s="28">
        <v>1.399999999999991</v>
      </c>
      <c r="ES62" s="31"/>
      <c r="ET62" s="30"/>
      <c r="EV62">
        <v>72</v>
      </c>
      <c r="EW62">
        <v>71</v>
      </c>
      <c r="EX62" s="28">
        <v>1</v>
      </c>
      <c r="EY62" s="31"/>
      <c r="FB62">
        <v>8</v>
      </c>
      <c r="FC62">
        <v>11</v>
      </c>
      <c r="FD62" s="28">
        <v>-3</v>
      </c>
      <c r="FE62" s="31"/>
      <c r="FF62">
        <v>40</v>
      </c>
      <c r="FG62" s="32">
        <v>45</v>
      </c>
      <c r="FH62" s="28">
        <v>-5</v>
      </c>
      <c r="FI62" s="31"/>
      <c r="FJ62" s="30"/>
      <c r="FL62" s="28">
        <v>0</v>
      </c>
      <c r="FM62" s="31"/>
      <c r="FN62" s="24">
        <v>8</v>
      </c>
      <c r="FO62">
        <v>10</v>
      </c>
      <c r="FP62" s="28">
        <v>-2</v>
      </c>
      <c r="FQ62" s="31"/>
      <c r="FR62">
        <v>48</v>
      </c>
      <c r="FS62">
        <v>50</v>
      </c>
      <c r="FT62" s="28">
        <v>-2</v>
      </c>
      <c r="FU62" s="31"/>
      <c r="FV62" s="24">
        <v>32</v>
      </c>
      <c r="FW62">
        <v>35</v>
      </c>
      <c r="FX62" s="28">
        <v>-3</v>
      </c>
      <c r="FY62" s="31"/>
      <c r="FZ62" s="30"/>
      <c r="GB62" s="28">
        <v>0</v>
      </c>
      <c r="GC62" s="31"/>
      <c r="GD62">
        <v>72</v>
      </c>
      <c r="GE62">
        <v>70</v>
      </c>
      <c r="GF62" s="28">
        <v>2</v>
      </c>
      <c r="GG62" s="34"/>
      <c r="GJ62" s="28">
        <v>0</v>
      </c>
      <c r="GK62" s="31"/>
      <c r="GL62">
        <v>40</v>
      </c>
      <c r="GM62">
        <v>45</v>
      </c>
      <c r="GN62" s="28">
        <v>-5</v>
      </c>
      <c r="GO62" s="34"/>
      <c r="GR62" s="28">
        <v>0</v>
      </c>
      <c r="GS62" s="31"/>
      <c r="GV62" s="28">
        <v>0</v>
      </c>
      <c r="GW62" s="34"/>
      <c r="GZ62" s="28">
        <v>0</v>
      </c>
      <c r="HA62" s="31"/>
      <c r="HB62" s="33"/>
      <c r="HD62" s="28">
        <v>0</v>
      </c>
      <c r="HE62" s="34"/>
      <c r="HH62" s="28">
        <v>0</v>
      </c>
      <c r="HI62" s="34"/>
      <c r="HL62" s="28">
        <v>0</v>
      </c>
      <c r="HM62" s="34"/>
      <c r="HP62" s="28">
        <v>0</v>
      </c>
      <c r="HQ62" s="31"/>
      <c r="HR62" s="29"/>
      <c r="HT62">
        <v>56</v>
      </c>
      <c r="HU62">
        <v>57</v>
      </c>
      <c r="HV62" s="28">
        <v>-1</v>
      </c>
      <c r="HW62" s="34"/>
      <c r="HX62" s="32">
        <v>0</v>
      </c>
      <c r="HY62" s="32">
        <v>0</v>
      </c>
      <c r="HZ62" s="28">
        <v>0</v>
      </c>
      <c r="IA62" s="34"/>
      <c r="IB62" s="32">
        <v>72</v>
      </c>
      <c r="IC62" s="32">
        <v>73.8</v>
      </c>
      <c r="ID62" s="28">
        <v>-1.7999999999999969</v>
      </c>
      <c r="IE62" s="34"/>
      <c r="IF62" s="33">
        <v>0</v>
      </c>
      <c r="IG62" s="32">
        <v>0</v>
      </c>
      <c r="IH62" s="28">
        <v>0</v>
      </c>
      <c r="II62" s="34"/>
    </row>
    <row r="63" spans="1:243" x14ac:dyDescent="0.25">
      <c r="A63" s="32" t="s">
        <v>195</v>
      </c>
      <c r="B63" s="16">
        <v>0.84</v>
      </c>
      <c r="J63" s="30"/>
      <c r="K63" s="35"/>
      <c r="L63" s="35"/>
      <c r="M63" s="35"/>
      <c r="N63" s="35">
        <f t="shared" si="4"/>
        <v>0</v>
      </c>
      <c r="O63" s="31"/>
      <c r="P63" s="35"/>
      <c r="S63" s="28">
        <v>0</v>
      </c>
      <c r="T63" s="31"/>
      <c r="U63" s="30"/>
      <c r="W63" s="28">
        <v>0</v>
      </c>
      <c r="X63" s="31"/>
      <c r="Y63" s="30"/>
      <c r="AA63" s="28">
        <v>0</v>
      </c>
      <c r="AB63" s="31"/>
      <c r="AE63" s="28">
        <v>0</v>
      </c>
      <c r="AF63" s="31"/>
      <c r="AG63" s="30"/>
      <c r="AI63" s="28">
        <v>0</v>
      </c>
      <c r="AJ63" s="31"/>
      <c r="AM63" s="28">
        <v>0</v>
      </c>
      <c r="AN63" s="31"/>
      <c r="AO63" s="30"/>
      <c r="AQ63" s="28">
        <v>0</v>
      </c>
      <c r="AR63" s="31"/>
      <c r="AS63" s="30"/>
      <c r="AU63" s="28">
        <v>0</v>
      </c>
      <c r="AV63" s="31"/>
      <c r="AY63" s="28">
        <v>0</v>
      </c>
      <c r="AZ63" s="31"/>
      <c r="BA63" s="30"/>
      <c r="BE63" s="28">
        <v>0</v>
      </c>
      <c r="BF63" s="31"/>
      <c r="BG63" s="30"/>
      <c r="BI63" s="28">
        <v>0</v>
      </c>
      <c r="BJ63" s="31"/>
      <c r="BO63" s="28">
        <v>0</v>
      </c>
      <c r="BP63" s="31"/>
      <c r="BS63" s="28">
        <v>0</v>
      </c>
      <c r="BT63" s="31"/>
      <c r="BU63" s="30"/>
      <c r="BW63" s="28">
        <v>0</v>
      </c>
      <c r="BX63" s="31"/>
      <c r="BY63" s="30"/>
      <c r="CA63" s="28">
        <v>0</v>
      </c>
      <c r="CB63" s="31"/>
      <c r="CE63" s="28">
        <v>0</v>
      </c>
      <c r="CF63" s="31"/>
      <c r="CG63" s="30"/>
      <c r="CJ63" s="28">
        <v>0</v>
      </c>
      <c r="CK63" s="31"/>
      <c r="CL63" s="30"/>
      <c r="CP63" s="28">
        <v>0</v>
      </c>
      <c r="CQ63" s="31"/>
      <c r="CR63" s="30"/>
      <c r="CU63" s="28">
        <v>0</v>
      </c>
      <c r="CV63" s="31"/>
      <c r="CY63" s="28">
        <v>0</v>
      </c>
      <c r="CZ63" s="31"/>
      <c r="DA63" s="33"/>
      <c r="DC63" s="28">
        <v>0</v>
      </c>
      <c r="DD63" s="31"/>
      <c r="DE63" s="30"/>
      <c r="DG63" s="28">
        <v>0</v>
      </c>
      <c r="DH63" s="31"/>
      <c r="DI63" s="30"/>
      <c r="DK63" s="28">
        <v>0</v>
      </c>
      <c r="DL63" s="31"/>
      <c r="DO63" s="28">
        <v>0</v>
      </c>
      <c r="DP63" s="31"/>
      <c r="DS63" s="28">
        <v>0</v>
      </c>
      <c r="DT63" s="31"/>
      <c r="DU63" s="30"/>
      <c r="DX63" s="28">
        <v>0</v>
      </c>
      <c r="DY63" s="31"/>
      <c r="DZ63" s="30"/>
      <c r="EC63" s="28">
        <v>0</v>
      </c>
      <c r="ED63" s="31"/>
      <c r="EG63" s="28">
        <v>0</v>
      </c>
      <c r="EH63" s="31"/>
      <c r="EI63" s="30"/>
      <c r="EN63" s="28">
        <v>0</v>
      </c>
      <c r="EO63" s="31"/>
      <c r="ER63" s="28">
        <v>0</v>
      </c>
      <c r="ES63" s="31"/>
      <c r="ET63" s="30"/>
      <c r="EX63" s="28">
        <v>0</v>
      </c>
      <c r="EY63" s="31"/>
      <c r="FD63" s="28">
        <v>0</v>
      </c>
      <c r="FE63" s="31"/>
      <c r="FH63" s="28">
        <v>0</v>
      </c>
      <c r="FI63" s="31"/>
      <c r="FJ63" s="30"/>
      <c r="FL63" s="28">
        <v>0</v>
      </c>
      <c r="FM63" s="31"/>
      <c r="FN63" s="30"/>
      <c r="FP63" s="28">
        <v>0</v>
      </c>
      <c r="FQ63" s="31"/>
      <c r="FT63" s="28">
        <v>0</v>
      </c>
      <c r="FU63" s="31"/>
      <c r="FV63" s="30"/>
      <c r="FX63" s="28">
        <v>0</v>
      </c>
      <c r="FY63" s="31"/>
      <c r="FZ63" s="30"/>
      <c r="GB63" s="28">
        <v>0</v>
      </c>
      <c r="GC63" s="31"/>
      <c r="GF63" s="28">
        <v>0</v>
      </c>
      <c r="GG63" s="34"/>
      <c r="GJ63" s="28">
        <v>0</v>
      </c>
      <c r="GK63" s="31"/>
      <c r="GN63" s="28">
        <v>0</v>
      </c>
      <c r="GO63" s="34"/>
      <c r="GR63" s="28">
        <v>0</v>
      </c>
      <c r="GS63" s="31"/>
      <c r="GV63" s="28">
        <v>0</v>
      </c>
      <c r="GW63" s="34"/>
      <c r="GZ63" s="28">
        <v>0</v>
      </c>
      <c r="HA63" s="31"/>
      <c r="HB63" s="33"/>
      <c r="HE63" s="34"/>
      <c r="HI63" s="34"/>
      <c r="HM63" s="34"/>
      <c r="HN63" s="29"/>
      <c r="HQ63" s="31"/>
      <c r="HR63" s="29"/>
      <c r="HW63" s="34"/>
      <c r="HX63" s="32"/>
      <c r="HY63" s="32"/>
      <c r="IA63" s="34"/>
      <c r="IB63" s="32"/>
      <c r="IC63" s="32"/>
      <c r="IE63" s="34"/>
      <c r="IF63" s="33"/>
      <c r="IG63" s="32"/>
      <c r="II63" s="34"/>
    </row>
    <row r="64" spans="1:243" x14ac:dyDescent="0.25">
      <c r="A64" s="28" t="s">
        <v>196</v>
      </c>
      <c r="B64" s="29">
        <v>0.1</v>
      </c>
      <c r="E64">
        <v>100</v>
      </c>
      <c r="F64">
        <v>100</v>
      </c>
      <c r="G64">
        <v>100</v>
      </c>
      <c r="J64" s="30"/>
      <c r="K64" s="35"/>
      <c r="L64" s="35"/>
      <c r="M64" s="35"/>
      <c r="N64" s="35">
        <f t="shared" si="4"/>
        <v>0</v>
      </c>
      <c r="O64" s="31"/>
      <c r="P64" s="35"/>
      <c r="Q64">
        <v>120</v>
      </c>
      <c r="R64">
        <v>123</v>
      </c>
      <c r="S64" s="28">
        <v>-3</v>
      </c>
      <c r="T64" s="31"/>
      <c r="U64" s="24">
        <v>40</v>
      </c>
      <c r="V64">
        <v>42</v>
      </c>
      <c r="W64" s="28">
        <v>-2</v>
      </c>
      <c r="X64" s="31"/>
      <c r="Y64" s="24">
        <v>70</v>
      </c>
      <c r="Z64">
        <v>71</v>
      </c>
      <c r="AA64" s="28">
        <v>-1</v>
      </c>
      <c r="AB64" s="31"/>
      <c r="AC64">
        <v>10</v>
      </c>
      <c r="AD64">
        <v>10</v>
      </c>
      <c r="AE64" s="28">
        <v>0</v>
      </c>
      <c r="AF64" s="31"/>
      <c r="AG64" s="24">
        <v>70</v>
      </c>
      <c r="AH64">
        <v>74</v>
      </c>
      <c r="AI64" s="28">
        <v>-4</v>
      </c>
      <c r="AJ64" s="31"/>
      <c r="AK64">
        <v>20</v>
      </c>
      <c r="AL64">
        <v>20</v>
      </c>
      <c r="AM64" s="28">
        <v>0</v>
      </c>
      <c r="AN64" s="31"/>
      <c r="AO64" s="24">
        <v>40</v>
      </c>
      <c r="AP64">
        <v>41</v>
      </c>
      <c r="AQ64" s="28">
        <v>-1</v>
      </c>
      <c r="AR64" s="31"/>
      <c r="AS64" s="24">
        <v>10</v>
      </c>
      <c r="AT64">
        <v>12</v>
      </c>
      <c r="AU64" s="28">
        <v>-2</v>
      </c>
      <c r="AV64" s="31"/>
      <c r="AY64" s="28">
        <v>0</v>
      </c>
      <c r="AZ64" s="31"/>
      <c r="BA64" s="24">
        <v>30</v>
      </c>
      <c r="BB64">
        <v>30</v>
      </c>
      <c r="BD64">
        <v>47</v>
      </c>
      <c r="BE64" s="27">
        <v>-47</v>
      </c>
      <c r="BF64" s="31">
        <v>46.9</v>
      </c>
      <c r="BG64" s="24">
        <v>10</v>
      </c>
      <c r="BH64">
        <v>7</v>
      </c>
      <c r="BI64" s="28">
        <v>3</v>
      </c>
      <c r="BJ64" s="31"/>
      <c r="BM64">
        <v>60</v>
      </c>
      <c r="BN64">
        <v>59</v>
      </c>
      <c r="BO64" s="28">
        <v>1</v>
      </c>
      <c r="BP64" s="31"/>
      <c r="BS64" s="28">
        <v>0</v>
      </c>
      <c r="BT64" s="31"/>
      <c r="BU64" s="24">
        <v>30</v>
      </c>
      <c r="BV64">
        <v>35</v>
      </c>
      <c r="BW64" s="28">
        <v>-5</v>
      </c>
      <c r="BX64" s="31"/>
      <c r="BY64" s="24">
        <v>20</v>
      </c>
      <c r="BZ64">
        <v>29</v>
      </c>
      <c r="CA64" s="28">
        <v>-9</v>
      </c>
      <c r="CB64" s="31"/>
      <c r="CC64">
        <v>20</v>
      </c>
      <c r="CD64">
        <v>20</v>
      </c>
      <c r="CE64" s="28">
        <v>0</v>
      </c>
      <c r="CF64" s="31"/>
      <c r="CG64" s="30"/>
      <c r="CJ64" s="28">
        <v>0</v>
      </c>
      <c r="CK64" s="31"/>
      <c r="CL64" s="30"/>
      <c r="CN64">
        <v>80</v>
      </c>
      <c r="CO64">
        <v>81</v>
      </c>
      <c r="CP64" s="28">
        <v>-1</v>
      </c>
      <c r="CQ64" s="31"/>
      <c r="CR64" s="24">
        <v>20</v>
      </c>
      <c r="CT64">
        <v>27</v>
      </c>
      <c r="CU64" s="28">
        <v>-7</v>
      </c>
      <c r="CV64" s="31"/>
      <c r="CW64">
        <v>50</v>
      </c>
      <c r="CX64" s="28">
        <v>51.199999999999989</v>
      </c>
      <c r="CY64" s="28">
        <v>-1.1999999999999891</v>
      </c>
      <c r="CZ64" s="31"/>
      <c r="DA64" s="24">
        <v>20</v>
      </c>
      <c r="DB64" s="28">
        <v>18</v>
      </c>
      <c r="DC64" s="28">
        <v>2</v>
      </c>
      <c r="DD64" s="31"/>
      <c r="DE64" s="30"/>
      <c r="DG64" s="28">
        <v>0</v>
      </c>
      <c r="DH64" s="31"/>
      <c r="DI64" s="30"/>
      <c r="DK64" s="28">
        <v>0</v>
      </c>
      <c r="DL64" s="31"/>
      <c r="DO64" s="28">
        <v>0</v>
      </c>
      <c r="DP64" s="31"/>
      <c r="DQ64">
        <v>80</v>
      </c>
      <c r="DR64">
        <v>85</v>
      </c>
      <c r="DS64" s="28">
        <v>-5</v>
      </c>
      <c r="DT64" s="31"/>
      <c r="DU64" s="30"/>
      <c r="DX64" s="28">
        <v>0</v>
      </c>
      <c r="DY64" s="31"/>
      <c r="DZ64" s="24">
        <v>70</v>
      </c>
      <c r="EB64">
        <v>68</v>
      </c>
      <c r="EC64" s="28">
        <v>2</v>
      </c>
      <c r="ED64" s="31"/>
      <c r="EE64">
        <v>10</v>
      </c>
      <c r="EF64" s="32">
        <v>14</v>
      </c>
      <c r="EG64" s="28">
        <v>-4</v>
      </c>
      <c r="EH64" s="31"/>
      <c r="EI64" s="30"/>
      <c r="EJ64">
        <v>10</v>
      </c>
      <c r="EK64">
        <v>10</v>
      </c>
      <c r="EL64">
        <v>10</v>
      </c>
      <c r="EM64">
        <v>10</v>
      </c>
      <c r="EN64" s="28">
        <v>0</v>
      </c>
      <c r="EO64" s="31"/>
      <c r="EP64">
        <v>60</v>
      </c>
      <c r="EQ64" s="32">
        <v>62.4</v>
      </c>
      <c r="ER64" s="28">
        <v>-2.399999999999999</v>
      </c>
      <c r="ES64" s="31"/>
      <c r="ET64" s="30"/>
      <c r="EW64">
        <v>13</v>
      </c>
      <c r="EX64" s="27">
        <v>-13</v>
      </c>
      <c r="EY64" s="31"/>
      <c r="FD64" s="28">
        <v>0</v>
      </c>
      <c r="FE64" s="31"/>
      <c r="FH64" s="28">
        <v>0</v>
      </c>
      <c r="FI64" s="31"/>
      <c r="FJ64" s="24">
        <v>60</v>
      </c>
      <c r="FK64">
        <v>58</v>
      </c>
      <c r="FL64" s="28">
        <v>2</v>
      </c>
      <c r="FM64" s="31"/>
      <c r="FN64" s="24">
        <v>10</v>
      </c>
      <c r="FO64">
        <v>10</v>
      </c>
      <c r="FP64" s="28">
        <v>0</v>
      </c>
      <c r="FQ64" s="31"/>
      <c r="FR64">
        <v>60</v>
      </c>
      <c r="FS64">
        <v>60</v>
      </c>
      <c r="FT64" s="28">
        <v>0</v>
      </c>
      <c r="FU64" s="31"/>
      <c r="FV64" s="24">
        <v>10</v>
      </c>
      <c r="FW64">
        <v>10</v>
      </c>
      <c r="FX64" s="28">
        <v>0</v>
      </c>
      <c r="FY64" s="31"/>
      <c r="FZ64" s="24">
        <v>50</v>
      </c>
      <c r="GA64">
        <v>54</v>
      </c>
      <c r="GB64" s="28">
        <v>-4</v>
      </c>
      <c r="GC64" s="31"/>
      <c r="GD64">
        <v>20</v>
      </c>
      <c r="GE64">
        <v>20</v>
      </c>
      <c r="GF64" s="28">
        <v>0</v>
      </c>
      <c r="GG64" s="34"/>
      <c r="GJ64" s="28">
        <v>0</v>
      </c>
      <c r="GK64" s="31"/>
      <c r="GL64">
        <v>60</v>
      </c>
      <c r="GM64">
        <v>60</v>
      </c>
      <c r="GN64" s="28">
        <v>0</v>
      </c>
      <c r="GO64" s="34"/>
      <c r="GR64" s="28">
        <v>0</v>
      </c>
      <c r="GS64" s="31"/>
      <c r="GV64" s="28">
        <v>0</v>
      </c>
      <c r="GW64" s="34"/>
      <c r="GX64">
        <v>40</v>
      </c>
      <c r="GY64" s="32">
        <v>45.8</v>
      </c>
      <c r="GZ64" s="28">
        <v>-5.7999999999999972</v>
      </c>
      <c r="HA64" s="31"/>
      <c r="HB64" s="24">
        <v>30</v>
      </c>
      <c r="HC64" s="32">
        <v>30</v>
      </c>
      <c r="HD64" s="28">
        <v>0</v>
      </c>
      <c r="HE64" s="34"/>
      <c r="HH64" s="28">
        <v>0</v>
      </c>
      <c r="HI64" s="34"/>
      <c r="HL64" s="28">
        <v>0</v>
      </c>
      <c r="HM64" s="34"/>
      <c r="HP64" s="28">
        <v>0</v>
      </c>
      <c r="HQ64" s="31"/>
      <c r="HR64">
        <v>180</v>
      </c>
      <c r="HS64">
        <v>180</v>
      </c>
      <c r="HT64">
        <v>130</v>
      </c>
      <c r="HU64">
        <v>128</v>
      </c>
      <c r="HV64" s="28">
        <v>2</v>
      </c>
      <c r="HW64" s="34"/>
      <c r="HX64" s="32">
        <v>120</v>
      </c>
      <c r="HY64" s="32">
        <v>120</v>
      </c>
      <c r="HZ64" s="28">
        <v>0</v>
      </c>
      <c r="IA64" s="34"/>
      <c r="IB64" s="32">
        <v>100</v>
      </c>
      <c r="IC64" s="32">
        <v>99.2</v>
      </c>
      <c r="ID64" s="28">
        <v>0.79999999999999716</v>
      </c>
      <c r="IE64" s="34"/>
      <c r="IF64" s="33">
        <v>0</v>
      </c>
      <c r="IG64" s="32">
        <v>0</v>
      </c>
      <c r="IH64" s="28">
        <v>0</v>
      </c>
      <c r="II64" s="34"/>
    </row>
    <row r="65" spans="1:243" x14ac:dyDescent="0.25">
      <c r="A65" s="28" t="s">
        <v>197</v>
      </c>
      <c r="B65" s="29">
        <v>0.1</v>
      </c>
      <c r="E65">
        <v>100</v>
      </c>
      <c r="F65">
        <v>98</v>
      </c>
      <c r="G65">
        <v>100</v>
      </c>
      <c r="J65" s="30"/>
      <c r="K65" s="35"/>
      <c r="L65" s="35"/>
      <c r="M65" s="35"/>
      <c r="N65" s="35">
        <f t="shared" si="4"/>
        <v>0</v>
      </c>
      <c r="O65" s="31"/>
      <c r="P65" s="35"/>
      <c r="Q65">
        <v>224</v>
      </c>
      <c r="R65">
        <v>231</v>
      </c>
      <c r="S65" s="28">
        <v>-7</v>
      </c>
      <c r="T65" s="31"/>
      <c r="U65" s="24">
        <v>280</v>
      </c>
      <c r="V65">
        <v>279</v>
      </c>
      <c r="W65" s="28">
        <v>1</v>
      </c>
      <c r="X65" s="31"/>
      <c r="Y65" s="24">
        <v>140</v>
      </c>
      <c r="Z65">
        <v>139</v>
      </c>
      <c r="AA65" s="28">
        <v>1</v>
      </c>
      <c r="AB65" s="31"/>
      <c r="AC65">
        <v>140</v>
      </c>
      <c r="AD65">
        <v>162</v>
      </c>
      <c r="AE65" s="27">
        <v>-22</v>
      </c>
      <c r="AF65" s="31">
        <v>2.2000000000000002</v>
      </c>
      <c r="AG65" s="24">
        <v>154</v>
      </c>
      <c r="AH65">
        <v>154</v>
      </c>
      <c r="AI65" s="28">
        <v>0</v>
      </c>
      <c r="AJ65" s="31"/>
      <c r="AM65" s="28">
        <v>0</v>
      </c>
      <c r="AN65" s="31"/>
      <c r="AO65" s="24">
        <v>196</v>
      </c>
      <c r="AP65">
        <v>198</v>
      </c>
      <c r="AQ65" s="28">
        <v>-2</v>
      </c>
      <c r="AR65" s="31"/>
      <c r="AS65" s="30"/>
      <c r="AU65" s="28">
        <v>0</v>
      </c>
      <c r="AV65" s="31"/>
      <c r="AY65" s="28">
        <v>0</v>
      </c>
      <c r="AZ65" s="31"/>
      <c r="BA65" s="24">
        <v>56</v>
      </c>
      <c r="BB65">
        <v>60</v>
      </c>
      <c r="BC65">
        <v>70</v>
      </c>
      <c r="BD65">
        <v>79</v>
      </c>
      <c r="BE65" s="28">
        <v>-13</v>
      </c>
      <c r="BF65" s="31"/>
      <c r="BG65" s="30"/>
      <c r="BI65" s="28">
        <v>0</v>
      </c>
      <c r="BJ65" s="31"/>
      <c r="BM65">
        <v>28</v>
      </c>
      <c r="BN65">
        <v>26</v>
      </c>
      <c r="BO65" s="28">
        <v>2</v>
      </c>
      <c r="BP65" s="31"/>
      <c r="BQ65">
        <v>70</v>
      </c>
      <c r="BR65">
        <v>71</v>
      </c>
      <c r="BS65" s="28">
        <v>-1</v>
      </c>
      <c r="BT65" s="31"/>
      <c r="BU65" s="24">
        <v>42</v>
      </c>
      <c r="BV65">
        <v>41</v>
      </c>
      <c r="BW65" s="28">
        <v>1</v>
      </c>
      <c r="BX65" s="31"/>
      <c r="BY65" s="30"/>
      <c r="CA65" s="28">
        <v>0</v>
      </c>
      <c r="CB65" s="31"/>
      <c r="CC65">
        <v>70</v>
      </c>
      <c r="CD65">
        <v>77</v>
      </c>
      <c r="CE65" s="28">
        <v>-7</v>
      </c>
      <c r="CF65" s="31"/>
      <c r="CG65" s="30"/>
      <c r="CJ65" s="28">
        <v>0</v>
      </c>
      <c r="CK65" s="31"/>
      <c r="CL65" s="30"/>
      <c r="CP65" s="28">
        <v>0</v>
      </c>
      <c r="CQ65" s="31"/>
      <c r="CR65" s="24">
        <v>112</v>
      </c>
      <c r="CT65">
        <v>114</v>
      </c>
      <c r="CU65" s="28">
        <v>-2</v>
      </c>
      <c r="CV65" s="31"/>
      <c r="CY65" s="28">
        <v>0</v>
      </c>
      <c r="CZ65" s="31"/>
      <c r="DA65" s="23">
        <v>84</v>
      </c>
      <c r="DB65" s="28">
        <v>11</v>
      </c>
      <c r="DC65" s="28">
        <v>73</v>
      </c>
      <c r="DD65" s="31"/>
      <c r="DE65" s="30"/>
      <c r="DG65" s="28">
        <v>0</v>
      </c>
      <c r="DH65" s="31"/>
      <c r="DI65" s="24">
        <v>14</v>
      </c>
      <c r="DJ65">
        <v>18</v>
      </c>
      <c r="DK65" s="28">
        <v>-4</v>
      </c>
      <c r="DL65" s="31"/>
      <c r="DO65" s="28">
        <v>0</v>
      </c>
      <c r="DP65" s="31"/>
      <c r="DQ65">
        <v>84</v>
      </c>
      <c r="DR65">
        <v>88</v>
      </c>
      <c r="DS65" s="28">
        <v>-4</v>
      </c>
      <c r="DT65" s="31"/>
      <c r="DU65" s="24">
        <v>42</v>
      </c>
      <c r="DW65">
        <v>48</v>
      </c>
      <c r="DX65" s="28">
        <v>-6</v>
      </c>
      <c r="DY65" s="31"/>
      <c r="DZ65" s="24">
        <v>56</v>
      </c>
      <c r="EB65">
        <v>61</v>
      </c>
      <c r="EC65" s="28">
        <v>-5</v>
      </c>
      <c r="ED65" s="31"/>
      <c r="EG65" s="28">
        <v>0</v>
      </c>
      <c r="EH65" s="31"/>
      <c r="EI65" s="30"/>
      <c r="EL65">
        <v>14</v>
      </c>
      <c r="EM65">
        <v>7</v>
      </c>
      <c r="EN65" s="28">
        <v>7</v>
      </c>
      <c r="EO65" s="31"/>
      <c r="EP65">
        <v>70</v>
      </c>
      <c r="EQ65" s="32">
        <v>69</v>
      </c>
      <c r="ER65" s="28">
        <v>1</v>
      </c>
      <c r="ES65" s="31"/>
      <c r="ET65" s="30"/>
      <c r="EX65" s="28">
        <v>0</v>
      </c>
      <c r="EY65" s="31"/>
      <c r="FD65" s="28">
        <v>0</v>
      </c>
      <c r="FE65" s="31"/>
      <c r="FF65">
        <v>70</v>
      </c>
      <c r="FG65" s="32">
        <v>69</v>
      </c>
      <c r="FH65" s="28">
        <v>1</v>
      </c>
      <c r="FI65" s="31"/>
      <c r="FJ65" s="24">
        <v>42</v>
      </c>
      <c r="FK65">
        <v>47</v>
      </c>
      <c r="FL65" s="28">
        <v>-5</v>
      </c>
      <c r="FM65" s="31"/>
      <c r="FN65" s="24">
        <v>28</v>
      </c>
      <c r="FO65">
        <v>28</v>
      </c>
      <c r="FP65" s="28">
        <v>0</v>
      </c>
      <c r="FQ65" s="31"/>
      <c r="FR65">
        <v>14</v>
      </c>
      <c r="FS65">
        <v>20</v>
      </c>
      <c r="FT65" s="28">
        <v>-6</v>
      </c>
      <c r="FU65" s="31"/>
      <c r="FV65" s="30"/>
      <c r="FX65" s="28">
        <v>0</v>
      </c>
      <c r="FY65" s="31"/>
      <c r="FZ65" s="24">
        <v>56</v>
      </c>
      <c r="GA65">
        <v>56</v>
      </c>
      <c r="GB65" s="28">
        <v>0</v>
      </c>
      <c r="GC65" s="31"/>
      <c r="GD65">
        <v>28</v>
      </c>
      <c r="GE65">
        <v>30</v>
      </c>
      <c r="GF65" s="28">
        <v>-2</v>
      </c>
      <c r="GG65" s="34"/>
      <c r="GH65">
        <v>42</v>
      </c>
      <c r="GI65">
        <v>51</v>
      </c>
      <c r="GJ65" s="28">
        <v>-9</v>
      </c>
      <c r="GK65" s="31"/>
      <c r="GN65" s="28">
        <v>0</v>
      </c>
      <c r="GO65" s="34"/>
      <c r="GP65">
        <v>42</v>
      </c>
      <c r="GQ65">
        <v>40</v>
      </c>
      <c r="GR65" s="28">
        <v>2</v>
      </c>
      <c r="GS65" s="31"/>
      <c r="GV65" s="28">
        <v>0</v>
      </c>
      <c r="GW65" s="34"/>
      <c r="GX65">
        <v>14</v>
      </c>
      <c r="GY65" s="32">
        <v>20.600000000000009</v>
      </c>
      <c r="GZ65" s="28">
        <v>-6.6000000000000094</v>
      </c>
      <c r="HA65" s="31"/>
      <c r="HB65" s="33"/>
      <c r="HD65" s="28">
        <v>0</v>
      </c>
      <c r="HE65" s="34"/>
      <c r="HH65" s="28">
        <v>0</v>
      </c>
      <c r="HI65" s="34"/>
      <c r="HL65" s="28">
        <v>0</v>
      </c>
      <c r="HM65" s="34"/>
      <c r="HP65" s="28">
        <v>0</v>
      </c>
      <c r="HQ65" s="31"/>
      <c r="HR65">
        <v>42</v>
      </c>
      <c r="HS65">
        <v>50</v>
      </c>
      <c r="HT65">
        <v>42</v>
      </c>
      <c r="HU65">
        <v>40</v>
      </c>
      <c r="HV65" s="28">
        <v>-6</v>
      </c>
      <c r="HW65" s="34"/>
      <c r="HX65" s="32">
        <v>70</v>
      </c>
      <c r="HY65" s="32">
        <v>70</v>
      </c>
      <c r="HZ65" s="28">
        <v>0</v>
      </c>
      <c r="IA65" s="34"/>
      <c r="IB65" s="32">
        <v>0</v>
      </c>
      <c r="IC65" s="32">
        <v>0</v>
      </c>
      <c r="ID65" s="28">
        <v>0</v>
      </c>
      <c r="IE65" s="34"/>
      <c r="IF65" s="33">
        <v>0</v>
      </c>
      <c r="IG65" s="32">
        <v>0</v>
      </c>
      <c r="IH65" s="28">
        <v>0</v>
      </c>
      <c r="II65" s="34"/>
    </row>
    <row r="66" spans="1:243" x14ac:dyDescent="0.25">
      <c r="A66" s="28" t="s">
        <v>198</v>
      </c>
      <c r="B66" s="29">
        <v>0.1</v>
      </c>
      <c r="E66">
        <v>60</v>
      </c>
      <c r="G66">
        <v>60</v>
      </c>
      <c r="J66" s="24">
        <v>120</v>
      </c>
      <c r="K66" s="36">
        <v>120</v>
      </c>
      <c r="L66" s="36">
        <v>90</v>
      </c>
      <c r="M66" s="36">
        <v>93</v>
      </c>
      <c r="N66" s="35">
        <f t="shared" si="4"/>
        <v>-3</v>
      </c>
      <c r="O66" s="31"/>
      <c r="P66" s="35"/>
      <c r="Q66">
        <v>400</v>
      </c>
      <c r="R66">
        <v>399</v>
      </c>
      <c r="S66" s="28">
        <v>1</v>
      </c>
      <c r="T66" s="31"/>
      <c r="U66" s="24">
        <v>210</v>
      </c>
      <c r="V66">
        <v>217</v>
      </c>
      <c r="W66" s="28">
        <v>-7</v>
      </c>
      <c r="X66" s="31"/>
      <c r="Y66" s="24">
        <v>260</v>
      </c>
      <c r="Z66">
        <v>265</v>
      </c>
      <c r="AA66" s="28">
        <v>-5</v>
      </c>
      <c r="AB66" s="31"/>
      <c r="AC66">
        <v>290</v>
      </c>
      <c r="AD66">
        <v>289</v>
      </c>
      <c r="AE66" s="28">
        <v>1</v>
      </c>
      <c r="AF66" s="31"/>
      <c r="AG66" s="30"/>
      <c r="AI66" s="28">
        <v>0</v>
      </c>
      <c r="AJ66" s="31"/>
      <c r="AK66">
        <v>330</v>
      </c>
      <c r="AL66">
        <v>328</v>
      </c>
      <c r="AM66" s="28">
        <v>2</v>
      </c>
      <c r="AN66" s="31"/>
      <c r="AO66" s="30"/>
      <c r="AQ66" s="28">
        <v>0</v>
      </c>
      <c r="AR66" s="31"/>
      <c r="AS66" s="24">
        <v>240</v>
      </c>
      <c r="AT66">
        <v>245</v>
      </c>
      <c r="AU66" s="28">
        <v>-5</v>
      </c>
      <c r="AV66" s="31"/>
      <c r="AY66" s="28">
        <v>0</v>
      </c>
      <c r="AZ66" s="31"/>
      <c r="BA66" s="24">
        <v>40</v>
      </c>
      <c r="BB66">
        <v>40</v>
      </c>
      <c r="BC66">
        <v>20</v>
      </c>
      <c r="BD66">
        <v>45</v>
      </c>
      <c r="BE66" s="27">
        <v>-25</v>
      </c>
      <c r="BF66" s="31">
        <v>24.9</v>
      </c>
      <c r="BG66" s="24">
        <v>90</v>
      </c>
      <c r="BH66">
        <v>94</v>
      </c>
      <c r="BI66" s="28">
        <v>-4</v>
      </c>
      <c r="BJ66" s="31"/>
      <c r="BM66">
        <v>40</v>
      </c>
      <c r="BN66">
        <v>45</v>
      </c>
      <c r="BO66" s="28">
        <v>-5</v>
      </c>
      <c r="BP66" s="31"/>
      <c r="BQ66">
        <v>40</v>
      </c>
      <c r="BR66">
        <v>44</v>
      </c>
      <c r="BS66" s="28">
        <v>-4</v>
      </c>
      <c r="BT66" s="31"/>
      <c r="BU66" s="24">
        <v>80</v>
      </c>
      <c r="BV66">
        <v>82</v>
      </c>
      <c r="BW66" s="28">
        <v>-2</v>
      </c>
      <c r="BX66" s="31"/>
      <c r="BY66" s="30"/>
      <c r="CA66" s="28">
        <v>0</v>
      </c>
      <c r="CB66" s="31"/>
      <c r="CC66">
        <v>70</v>
      </c>
      <c r="CD66">
        <v>75</v>
      </c>
      <c r="CE66" s="28">
        <v>-5</v>
      </c>
      <c r="CF66" s="31"/>
      <c r="CG66" s="30"/>
      <c r="CJ66" s="28">
        <v>0</v>
      </c>
      <c r="CK66" s="31"/>
      <c r="CL66" s="30"/>
      <c r="CN66">
        <v>40</v>
      </c>
      <c r="CO66">
        <v>45</v>
      </c>
      <c r="CP66" s="28">
        <v>-5</v>
      </c>
      <c r="CQ66" s="31"/>
      <c r="CR66" s="24">
        <v>60</v>
      </c>
      <c r="CT66">
        <v>67</v>
      </c>
      <c r="CU66" s="28">
        <v>-7</v>
      </c>
      <c r="CV66" s="31"/>
      <c r="CW66">
        <v>40</v>
      </c>
      <c r="CX66" s="28">
        <v>45.600000000000009</v>
      </c>
      <c r="CY66" s="28">
        <v>-5.6000000000000094</v>
      </c>
      <c r="CZ66" s="31"/>
      <c r="DA66" s="24">
        <v>20</v>
      </c>
      <c r="DB66" s="28">
        <v>26</v>
      </c>
      <c r="DC66" s="28">
        <v>-6</v>
      </c>
      <c r="DD66" s="31"/>
      <c r="DE66" s="30"/>
      <c r="DG66" s="28">
        <v>0</v>
      </c>
      <c r="DH66" s="31"/>
      <c r="DI66" s="24">
        <v>30</v>
      </c>
      <c r="DJ66">
        <v>32</v>
      </c>
      <c r="DK66" s="28">
        <v>-2</v>
      </c>
      <c r="DL66" s="31"/>
      <c r="DO66" s="28">
        <v>0</v>
      </c>
      <c r="DP66" s="31"/>
      <c r="DQ66">
        <v>90</v>
      </c>
      <c r="DR66">
        <v>90</v>
      </c>
      <c r="DS66" s="28">
        <v>0</v>
      </c>
      <c r="DT66" s="31"/>
      <c r="DU66" s="24">
        <v>20</v>
      </c>
      <c r="DW66">
        <v>20</v>
      </c>
      <c r="DX66" s="28">
        <v>0</v>
      </c>
      <c r="DY66" s="31"/>
      <c r="DZ66" s="30"/>
      <c r="EC66" s="28">
        <v>0</v>
      </c>
      <c r="ED66" s="31"/>
      <c r="EE66">
        <v>60</v>
      </c>
      <c r="EF66" s="32">
        <v>58.8</v>
      </c>
      <c r="EG66" s="28">
        <v>1.2000000000000031</v>
      </c>
      <c r="EH66" s="31"/>
      <c r="EI66" s="30"/>
      <c r="EL66">
        <v>40</v>
      </c>
      <c r="EM66">
        <v>41</v>
      </c>
      <c r="EN66" s="28">
        <v>-1</v>
      </c>
      <c r="EO66" s="31"/>
      <c r="EP66">
        <v>20</v>
      </c>
      <c r="EQ66" s="32">
        <v>21.8</v>
      </c>
      <c r="ER66" s="28">
        <v>-1.8000000000000009</v>
      </c>
      <c r="ES66" s="31"/>
      <c r="ET66" s="30"/>
      <c r="EX66" s="28">
        <v>0</v>
      </c>
      <c r="EY66" s="31"/>
      <c r="FD66" s="28">
        <v>0</v>
      </c>
      <c r="FE66" s="31"/>
      <c r="FF66">
        <v>80</v>
      </c>
      <c r="FG66" s="32">
        <v>80</v>
      </c>
      <c r="FH66" s="28">
        <v>0</v>
      </c>
      <c r="FI66" s="31"/>
      <c r="FJ66" s="30"/>
      <c r="FL66" s="28">
        <v>0</v>
      </c>
      <c r="FM66" s="31"/>
      <c r="FN66" s="24">
        <v>70</v>
      </c>
      <c r="FO66">
        <v>70</v>
      </c>
      <c r="FP66" s="28">
        <v>0</v>
      </c>
      <c r="FQ66" s="31"/>
      <c r="FR66">
        <v>10</v>
      </c>
      <c r="FS66">
        <v>10</v>
      </c>
      <c r="FT66" s="28">
        <v>0</v>
      </c>
      <c r="FU66" s="31"/>
      <c r="FV66" s="30"/>
      <c r="FX66" s="28">
        <v>0</v>
      </c>
      <c r="FY66" s="31"/>
      <c r="FZ66" s="24">
        <v>60</v>
      </c>
      <c r="GA66">
        <v>60</v>
      </c>
      <c r="GB66" s="28">
        <v>0</v>
      </c>
      <c r="GC66" s="31"/>
      <c r="GD66">
        <v>30</v>
      </c>
      <c r="GE66">
        <v>30</v>
      </c>
      <c r="GF66" s="28">
        <v>0</v>
      </c>
      <c r="GG66" s="34"/>
      <c r="GH66">
        <v>40</v>
      </c>
      <c r="GI66">
        <v>47</v>
      </c>
      <c r="GJ66" s="28">
        <v>-7</v>
      </c>
      <c r="GK66" s="31"/>
      <c r="GN66" s="28">
        <v>0</v>
      </c>
      <c r="GO66" s="34"/>
      <c r="GP66">
        <v>50</v>
      </c>
      <c r="GQ66">
        <v>50</v>
      </c>
      <c r="GR66" s="28">
        <v>0</v>
      </c>
      <c r="GS66" s="31"/>
      <c r="GV66" s="28">
        <v>0</v>
      </c>
      <c r="GW66" s="34"/>
      <c r="GZ66" s="28">
        <v>0</v>
      </c>
      <c r="HA66" s="31"/>
      <c r="HB66" s="33"/>
      <c r="HD66" s="28">
        <v>0</v>
      </c>
      <c r="HE66" s="34"/>
      <c r="HH66" s="28">
        <v>0</v>
      </c>
      <c r="HI66" s="34"/>
      <c r="HL66" s="28">
        <v>0</v>
      </c>
      <c r="HM66" s="34"/>
      <c r="HP66" s="28">
        <v>0</v>
      </c>
      <c r="HQ66" s="31"/>
      <c r="HR66">
        <v>140</v>
      </c>
      <c r="HS66">
        <v>140</v>
      </c>
      <c r="HT66">
        <v>100</v>
      </c>
      <c r="HU66">
        <v>100</v>
      </c>
      <c r="HV66" s="28">
        <v>0</v>
      </c>
      <c r="HW66" s="34"/>
      <c r="HX66" s="32">
        <v>70</v>
      </c>
      <c r="HY66" s="32">
        <v>70</v>
      </c>
      <c r="HZ66" s="28">
        <v>0</v>
      </c>
      <c r="IA66" s="34"/>
      <c r="IB66" s="32">
        <v>0</v>
      </c>
      <c r="IC66" s="32">
        <v>0</v>
      </c>
      <c r="ID66" s="28">
        <v>0</v>
      </c>
      <c r="IE66" s="34"/>
      <c r="IF66" s="33">
        <v>0</v>
      </c>
      <c r="IG66" s="32">
        <v>0</v>
      </c>
      <c r="IH66" s="28">
        <v>0</v>
      </c>
      <c r="II66" s="34"/>
    </row>
    <row r="67" spans="1:243" x14ac:dyDescent="0.25">
      <c r="A67" s="28" t="s">
        <v>199</v>
      </c>
      <c r="B67" s="29">
        <v>0.1</v>
      </c>
      <c r="E67">
        <v>40</v>
      </c>
      <c r="F67">
        <v>60</v>
      </c>
      <c r="G67">
        <v>60</v>
      </c>
      <c r="J67" s="30"/>
      <c r="K67" s="35"/>
      <c r="L67" s="35"/>
      <c r="M67" s="35"/>
      <c r="N67" s="35">
        <f t="shared" si="4"/>
        <v>0</v>
      </c>
      <c r="O67" s="31"/>
      <c r="P67" s="35"/>
      <c r="S67" s="28">
        <v>0</v>
      </c>
      <c r="T67" s="31"/>
      <c r="U67" s="24">
        <v>110</v>
      </c>
      <c r="V67">
        <v>113</v>
      </c>
      <c r="W67" s="28">
        <v>-3</v>
      </c>
      <c r="X67" s="31"/>
      <c r="Y67" s="30"/>
      <c r="AA67" s="28">
        <v>0</v>
      </c>
      <c r="AB67" s="31"/>
      <c r="AE67" s="28">
        <v>0</v>
      </c>
      <c r="AF67" s="31"/>
      <c r="AG67" s="24">
        <v>100</v>
      </c>
      <c r="AH67">
        <v>106</v>
      </c>
      <c r="AI67" s="28">
        <v>-6</v>
      </c>
      <c r="AJ67" s="31"/>
      <c r="AM67" s="28">
        <v>0</v>
      </c>
      <c r="AN67" s="31"/>
      <c r="AO67" s="30"/>
      <c r="AQ67" s="28">
        <v>0</v>
      </c>
      <c r="AR67" s="31"/>
      <c r="AS67" s="24">
        <v>60</v>
      </c>
      <c r="AT67">
        <v>61</v>
      </c>
      <c r="AU67" s="28">
        <v>-1</v>
      </c>
      <c r="AV67" s="31"/>
      <c r="AY67" s="28">
        <v>0</v>
      </c>
      <c r="AZ67" s="31"/>
      <c r="BA67" s="30"/>
      <c r="BE67" s="28">
        <v>0</v>
      </c>
      <c r="BF67" s="31"/>
      <c r="BG67" s="24">
        <v>60</v>
      </c>
      <c r="BH67">
        <v>60</v>
      </c>
      <c r="BI67" s="28">
        <v>0</v>
      </c>
      <c r="BJ67" s="31"/>
      <c r="BO67" s="28">
        <v>0</v>
      </c>
      <c r="BP67" s="31"/>
      <c r="BR67">
        <v>54</v>
      </c>
      <c r="BS67" s="27">
        <v>-54</v>
      </c>
      <c r="BT67" s="31">
        <v>5.4</v>
      </c>
      <c r="BU67" s="30"/>
      <c r="BW67" s="28">
        <v>0</v>
      </c>
      <c r="BX67" s="31"/>
      <c r="BY67" s="30">
        <v>30</v>
      </c>
      <c r="BZ67" s="28">
        <v>30</v>
      </c>
      <c r="CA67" s="28">
        <v>0</v>
      </c>
      <c r="CB67" s="31"/>
      <c r="CE67" s="28">
        <v>0</v>
      </c>
      <c r="CF67" s="31"/>
      <c r="CG67" s="30"/>
      <c r="CJ67" s="28">
        <v>0</v>
      </c>
      <c r="CK67" s="31"/>
      <c r="CL67" s="30"/>
      <c r="CP67" s="28">
        <v>0</v>
      </c>
      <c r="CQ67" s="31"/>
      <c r="CR67" s="30"/>
      <c r="CV67" s="34"/>
      <c r="CZ67" s="31"/>
      <c r="DA67" s="24"/>
      <c r="DD67" s="31"/>
      <c r="DE67" s="30"/>
      <c r="DH67" s="31"/>
      <c r="DI67" s="24"/>
      <c r="DL67" s="31"/>
      <c r="DP67" s="31"/>
      <c r="DT67" s="31"/>
      <c r="DU67" s="24"/>
      <c r="DY67" s="31"/>
      <c r="DZ67" s="30"/>
      <c r="ED67" s="31"/>
      <c r="EH67" s="31"/>
      <c r="EI67" s="30"/>
      <c r="EO67" s="31"/>
      <c r="ES67" s="31"/>
      <c r="ET67" s="30"/>
      <c r="EW67" s="29"/>
      <c r="EY67" s="31"/>
      <c r="FE67" s="31"/>
      <c r="FG67" s="32"/>
      <c r="FI67" s="31"/>
      <c r="FJ67" s="30"/>
      <c r="FM67" s="31"/>
      <c r="FN67" s="24"/>
      <c r="FQ67" s="31"/>
      <c r="FU67" s="31"/>
      <c r="FV67" s="30"/>
      <c r="FY67" s="31"/>
      <c r="FZ67" s="24"/>
      <c r="GC67" s="31"/>
      <c r="GG67" s="34"/>
      <c r="GK67" s="31"/>
      <c r="GO67" s="34"/>
      <c r="GS67" s="31"/>
      <c r="GW67" s="34"/>
      <c r="HA67" s="31"/>
      <c r="HB67" s="33"/>
      <c r="HE67" s="34"/>
      <c r="HI67" s="34"/>
      <c r="HM67" s="34"/>
      <c r="HQ67" s="31"/>
      <c r="HW67" s="34"/>
      <c r="HX67" s="32"/>
      <c r="HY67" s="32"/>
      <c r="IA67" s="34"/>
      <c r="IB67" s="32"/>
      <c r="IC67" s="32"/>
      <c r="IE67" s="34"/>
      <c r="IF67" s="33"/>
      <c r="IG67" s="32"/>
      <c r="II67" s="34"/>
    </row>
    <row r="68" spans="1:243" x14ac:dyDescent="0.25">
      <c r="A68" s="28" t="s">
        <v>200</v>
      </c>
      <c r="B68" s="29">
        <v>0.4</v>
      </c>
      <c r="E68">
        <v>80</v>
      </c>
      <c r="F68">
        <v>120</v>
      </c>
      <c r="G68">
        <v>123</v>
      </c>
      <c r="J68" s="30"/>
      <c r="K68" s="35"/>
      <c r="L68" s="35"/>
      <c r="M68" s="35"/>
      <c r="N68" s="35">
        <f t="shared" ref="N68:N131" si="5">J68+L68-K68-M68</f>
        <v>0</v>
      </c>
      <c r="O68" s="31"/>
      <c r="P68" s="35"/>
      <c r="Q68">
        <v>228</v>
      </c>
      <c r="R68">
        <v>226</v>
      </c>
      <c r="S68" s="28">
        <v>2</v>
      </c>
      <c r="T68" s="31"/>
      <c r="U68" s="30"/>
      <c r="W68" s="28">
        <v>0</v>
      </c>
      <c r="X68" s="31"/>
      <c r="Y68" s="24">
        <v>198</v>
      </c>
      <c r="Z68">
        <v>196</v>
      </c>
      <c r="AA68" s="28">
        <v>2</v>
      </c>
      <c r="AB68" s="31"/>
      <c r="AE68" s="28">
        <v>0</v>
      </c>
      <c r="AF68" s="31"/>
      <c r="AG68" s="24">
        <v>120</v>
      </c>
      <c r="AH68">
        <v>121</v>
      </c>
      <c r="AI68" s="28">
        <v>-1</v>
      </c>
      <c r="AJ68" s="31"/>
      <c r="AM68" s="28">
        <v>0</v>
      </c>
      <c r="AN68" s="31"/>
      <c r="AO68" s="24">
        <v>72</v>
      </c>
      <c r="AP68">
        <v>70</v>
      </c>
      <c r="AQ68" s="28">
        <v>2</v>
      </c>
      <c r="AR68" s="31"/>
      <c r="AS68" s="24">
        <v>24</v>
      </c>
      <c r="AT68">
        <v>25</v>
      </c>
      <c r="AU68" s="28">
        <v>-1</v>
      </c>
      <c r="AV68" s="31"/>
      <c r="AW68">
        <v>30</v>
      </c>
      <c r="AX68">
        <v>31</v>
      </c>
      <c r="AY68" s="28">
        <v>-1</v>
      </c>
      <c r="AZ68" s="31"/>
      <c r="BA68" s="30"/>
      <c r="BB68">
        <v>20</v>
      </c>
      <c r="BC68">
        <v>24</v>
      </c>
      <c r="BD68">
        <v>22</v>
      </c>
      <c r="BE68" s="27">
        <v>-18</v>
      </c>
      <c r="BF68" s="31">
        <v>17.600000000000001</v>
      </c>
      <c r="BG68" s="30"/>
      <c r="BI68" s="28">
        <v>0</v>
      </c>
      <c r="BJ68" s="31"/>
      <c r="BM68">
        <v>42</v>
      </c>
      <c r="BN68">
        <v>41</v>
      </c>
      <c r="BO68" s="28">
        <v>1</v>
      </c>
      <c r="BP68" s="31"/>
      <c r="BS68" s="28">
        <v>0</v>
      </c>
      <c r="BT68" s="31"/>
      <c r="BU68" s="24">
        <v>54</v>
      </c>
      <c r="BV68">
        <v>52</v>
      </c>
      <c r="BW68" s="28">
        <v>2</v>
      </c>
      <c r="BX68" s="31"/>
      <c r="BY68" s="24">
        <v>18</v>
      </c>
      <c r="BZ68">
        <v>19</v>
      </c>
      <c r="CA68" s="28">
        <v>-1</v>
      </c>
      <c r="CB68" s="31"/>
      <c r="CC68">
        <v>18</v>
      </c>
      <c r="CD68">
        <v>20</v>
      </c>
      <c r="CE68" s="28">
        <v>-2</v>
      </c>
      <c r="CF68" s="31"/>
      <c r="CG68" s="24">
        <v>6</v>
      </c>
      <c r="CI68">
        <v>5</v>
      </c>
      <c r="CJ68" s="28">
        <v>1</v>
      </c>
      <c r="CK68" s="31"/>
      <c r="CL68" s="30"/>
      <c r="CP68" s="28">
        <v>0</v>
      </c>
      <c r="CQ68" s="31"/>
      <c r="CR68" s="24">
        <v>54</v>
      </c>
      <c r="CT68">
        <v>52</v>
      </c>
      <c r="CU68" s="28">
        <v>2</v>
      </c>
      <c r="CV68" s="31"/>
      <c r="CW68">
        <v>6</v>
      </c>
      <c r="CX68" s="28">
        <v>8.8000000000000043</v>
      </c>
      <c r="CY68" s="28">
        <v>-2.8000000000000038</v>
      </c>
      <c r="CZ68" s="31"/>
      <c r="DA68" s="24">
        <v>30</v>
      </c>
      <c r="DB68" s="28">
        <v>31.6</v>
      </c>
      <c r="DC68" s="28">
        <v>-1.600000000000001</v>
      </c>
      <c r="DD68" s="31"/>
      <c r="DE68" s="30"/>
      <c r="DG68" s="28">
        <v>0</v>
      </c>
      <c r="DH68" s="31"/>
      <c r="DI68" s="24">
        <v>6</v>
      </c>
      <c r="DJ68">
        <v>5</v>
      </c>
      <c r="DK68" s="28">
        <v>1</v>
      </c>
      <c r="DL68" s="31"/>
      <c r="DM68">
        <v>18</v>
      </c>
      <c r="DN68" s="32">
        <v>15.8</v>
      </c>
      <c r="DO68" s="28">
        <v>2.1999999999999988</v>
      </c>
      <c r="DP68" s="31"/>
      <c r="DS68" s="28">
        <v>0</v>
      </c>
      <c r="DT68" s="31"/>
      <c r="DU68" s="24">
        <v>36</v>
      </c>
      <c r="DW68">
        <v>34</v>
      </c>
      <c r="DX68" s="28">
        <v>2</v>
      </c>
      <c r="DY68" s="31"/>
      <c r="DZ68" s="30"/>
      <c r="EC68" s="28">
        <v>0</v>
      </c>
      <c r="ED68" s="31"/>
      <c r="EE68">
        <v>12</v>
      </c>
      <c r="EF68" s="32">
        <v>14.2</v>
      </c>
      <c r="EG68" s="28">
        <v>-2.1999999999999988</v>
      </c>
      <c r="EH68" s="31"/>
      <c r="EI68" s="30"/>
      <c r="EL68">
        <v>18</v>
      </c>
      <c r="EM68">
        <v>18</v>
      </c>
      <c r="EN68" s="28">
        <v>0</v>
      </c>
      <c r="EO68" s="31"/>
      <c r="EP68">
        <v>18</v>
      </c>
      <c r="EQ68" s="32">
        <v>20.600000000000009</v>
      </c>
      <c r="ER68" s="28">
        <v>-2.600000000000009</v>
      </c>
      <c r="ES68" s="31"/>
      <c r="ET68" s="30"/>
      <c r="EX68" s="28">
        <v>0</v>
      </c>
      <c r="EY68" s="31"/>
      <c r="EZ68">
        <v>30</v>
      </c>
      <c r="FA68">
        <v>30</v>
      </c>
      <c r="FB68">
        <v>30</v>
      </c>
      <c r="FC68">
        <v>30</v>
      </c>
      <c r="FD68" s="28">
        <v>0</v>
      </c>
      <c r="FE68" s="31"/>
      <c r="FH68" s="28">
        <v>0</v>
      </c>
      <c r="FI68" s="31"/>
      <c r="FJ68" s="24">
        <v>12</v>
      </c>
      <c r="FK68">
        <v>10</v>
      </c>
      <c r="FL68" s="28">
        <v>2</v>
      </c>
      <c r="FM68" s="31"/>
      <c r="FN68" s="24">
        <v>36</v>
      </c>
      <c r="FO68">
        <v>34</v>
      </c>
      <c r="FP68" s="28">
        <v>2</v>
      </c>
      <c r="FQ68" s="31"/>
      <c r="FR68">
        <v>6</v>
      </c>
      <c r="FS68">
        <v>8</v>
      </c>
      <c r="FT68" s="28">
        <v>-2</v>
      </c>
      <c r="FU68" s="31"/>
      <c r="FV68" s="24">
        <v>24</v>
      </c>
      <c r="FW68">
        <v>24</v>
      </c>
      <c r="FX68" s="28">
        <v>0</v>
      </c>
      <c r="FY68" s="31"/>
      <c r="FZ68" s="24">
        <v>6</v>
      </c>
      <c r="GA68">
        <v>6</v>
      </c>
      <c r="GB68" s="28">
        <v>0</v>
      </c>
      <c r="GC68" s="31"/>
      <c r="GF68" s="28">
        <v>0</v>
      </c>
      <c r="GG68" s="34"/>
      <c r="GH68">
        <v>6</v>
      </c>
      <c r="GI68">
        <v>4</v>
      </c>
      <c r="GJ68" s="28">
        <v>2</v>
      </c>
      <c r="GK68" s="31"/>
      <c r="GL68">
        <v>12</v>
      </c>
      <c r="GM68">
        <v>9.6</v>
      </c>
      <c r="GN68" s="28">
        <v>2.4</v>
      </c>
      <c r="GO68" s="34"/>
      <c r="GP68">
        <v>6</v>
      </c>
      <c r="GQ68">
        <v>7</v>
      </c>
      <c r="GR68" s="28">
        <v>-1</v>
      </c>
      <c r="GS68" s="31"/>
      <c r="GT68">
        <v>6</v>
      </c>
      <c r="GU68">
        <v>8</v>
      </c>
      <c r="GV68" s="28">
        <v>-2</v>
      </c>
      <c r="GW68" s="34"/>
      <c r="GZ68" s="28">
        <v>0</v>
      </c>
      <c r="HA68" s="31"/>
      <c r="HB68" s="24">
        <v>12</v>
      </c>
      <c r="HC68" s="32">
        <v>11.6</v>
      </c>
      <c r="HD68" s="28">
        <v>0.40000000000000041</v>
      </c>
      <c r="HE68" s="34"/>
      <c r="HH68" s="28">
        <v>0</v>
      </c>
      <c r="HI68" s="34"/>
      <c r="HL68" s="28">
        <v>0</v>
      </c>
      <c r="HM68" s="34"/>
      <c r="HP68" s="28">
        <v>0</v>
      </c>
      <c r="HQ68" s="31"/>
      <c r="HR68" s="29"/>
      <c r="HT68">
        <v>60</v>
      </c>
      <c r="HU68">
        <v>59</v>
      </c>
      <c r="HV68" s="28">
        <v>1</v>
      </c>
      <c r="HW68" s="34"/>
      <c r="HX68" s="32">
        <v>0</v>
      </c>
      <c r="HY68" s="32">
        <v>0</v>
      </c>
      <c r="HZ68" s="28">
        <v>0</v>
      </c>
      <c r="IA68" s="34"/>
      <c r="IB68" s="32">
        <v>42</v>
      </c>
      <c r="IC68" s="32">
        <v>40.799999999999997</v>
      </c>
      <c r="ID68" s="28">
        <v>1.199999999999996</v>
      </c>
      <c r="IE68" s="34"/>
      <c r="IF68" s="33">
        <v>0</v>
      </c>
      <c r="IG68" s="32">
        <v>0</v>
      </c>
      <c r="IH68" s="28">
        <v>0</v>
      </c>
      <c r="II68" s="34"/>
    </row>
    <row r="69" spans="1:243" x14ac:dyDescent="0.25">
      <c r="A69" s="28" t="s">
        <v>201</v>
      </c>
      <c r="B69" s="29">
        <v>1</v>
      </c>
      <c r="J69" s="24">
        <v>44</v>
      </c>
      <c r="K69" s="36">
        <v>50</v>
      </c>
      <c r="L69" s="36">
        <v>65</v>
      </c>
      <c r="M69" s="36">
        <v>64</v>
      </c>
      <c r="N69" s="35">
        <f t="shared" si="5"/>
        <v>-5</v>
      </c>
      <c r="O69" s="31"/>
      <c r="P69" s="35"/>
      <c r="Q69">
        <v>60</v>
      </c>
      <c r="R69">
        <v>58</v>
      </c>
      <c r="S69" s="28">
        <v>2</v>
      </c>
      <c r="T69" s="31"/>
      <c r="U69" s="30"/>
      <c r="W69" s="28">
        <v>0</v>
      </c>
      <c r="X69" s="31"/>
      <c r="Y69" s="24">
        <v>101</v>
      </c>
      <c r="Z69">
        <v>101</v>
      </c>
      <c r="AA69" s="28">
        <v>0</v>
      </c>
      <c r="AB69" s="31"/>
      <c r="AC69">
        <v>20</v>
      </c>
      <c r="AD69">
        <v>19</v>
      </c>
      <c r="AE69" s="28">
        <v>1</v>
      </c>
      <c r="AF69" s="31"/>
      <c r="AG69" s="30"/>
      <c r="AI69" s="28">
        <v>0</v>
      </c>
      <c r="AJ69" s="31"/>
      <c r="AK69">
        <v>72</v>
      </c>
      <c r="AL69">
        <v>70</v>
      </c>
      <c r="AM69" s="28">
        <v>2</v>
      </c>
      <c r="AN69" s="31"/>
      <c r="AO69" s="30"/>
      <c r="AQ69" s="28">
        <v>0</v>
      </c>
      <c r="AR69" s="31"/>
      <c r="AS69" s="30"/>
      <c r="AT69">
        <v>67</v>
      </c>
      <c r="AU69" s="27">
        <v>-67</v>
      </c>
      <c r="AV69" s="31">
        <v>67</v>
      </c>
      <c r="AY69" s="28">
        <v>0</v>
      </c>
      <c r="AZ69" s="31"/>
      <c r="BA69" s="30"/>
      <c r="BB69">
        <v>24</v>
      </c>
      <c r="BC69">
        <v>25</v>
      </c>
      <c r="BD69">
        <v>24</v>
      </c>
      <c r="BE69" s="27">
        <v>-23</v>
      </c>
      <c r="BF69" s="31">
        <v>22</v>
      </c>
      <c r="BG69" s="24">
        <v>28</v>
      </c>
      <c r="BH69">
        <v>27</v>
      </c>
      <c r="BI69" s="28">
        <v>1</v>
      </c>
      <c r="BJ69" s="31"/>
      <c r="BM69">
        <v>28</v>
      </c>
      <c r="BN69">
        <v>29</v>
      </c>
      <c r="BO69" s="28">
        <v>-1</v>
      </c>
      <c r="BP69" s="31"/>
      <c r="BS69" s="28">
        <v>0</v>
      </c>
      <c r="BT69" s="31"/>
      <c r="BU69" s="30"/>
      <c r="BW69" s="28">
        <v>0</v>
      </c>
      <c r="BX69" s="31"/>
      <c r="BY69" s="24">
        <v>56</v>
      </c>
      <c r="BZ69">
        <v>56</v>
      </c>
      <c r="CA69" s="28">
        <v>0</v>
      </c>
      <c r="CB69" s="31"/>
      <c r="CE69" s="28">
        <v>0</v>
      </c>
      <c r="CF69" s="31"/>
      <c r="CG69" s="24">
        <v>4</v>
      </c>
      <c r="CI69">
        <v>4</v>
      </c>
      <c r="CJ69" s="28">
        <v>0</v>
      </c>
      <c r="CK69" s="31"/>
      <c r="CL69" s="30"/>
      <c r="CN69">
        <v>4</v>
      </c>
      <c r="CO69">
        <v>5</v>
      </c>
      <c r="CP69" s="28">
        <v>-1</v>
      </c>
      <c r="CQ69" s="31"/>
      <c r="CR69" s="24">
        <v>28</v>
      </c>
      <c r="CT69">
        <v>28</v>
      </c>
      <c r="CU69" s="28">
        <v>0</v>
      </c>
      <c r="CV69" s="31"/>
      <c r="CW69">
        <v>48</v>
      </c>
      <c r="CX69" s="28">
        <v>48.152000000000001</v>
      </c>
      <c r="CY69" s="28">
        <v>-0.152000000000001</v>
      </c>
      <c r="CZ69" s="31"/>
      <c r="DA69" s="33"/>
      <c r="DC69" s="28">
        <v>0</v>
      </c>
      <c r="DD69" s="31"/>
      <c r="DE69" s="30"/>
      <c r="DG69" s="28">
        <v>0</v>
      </c>
      <c r="DH69" s="31"/>
      <c r="DI69" s="24">
        <v>24</v>
      </c>
      <c r="DJ69">
        <v>24</v>
      </c>
      <c r="DK69" s="28">
        <v>0</v>
      </c>
      <c r="DL69" s="31"/>
      <c r="DO69" s="28">
        <v>0</v>
      </c>
      <c r="DP69" s="31"/>
      <c r="DQ69">
        <v>65</v>
      </c>
      <c r="DR69">
        <v>62</v>
      </c>
      <c r="DS69" s="28">
        <v>3</v>
      </c>
      <c r="DT69" s="31"/>
      <c r="DU69" s="30"/>
      <c r="DX69" s="28">
        <v>0</v>
      </c>
      <c r="DY69" s="31"/>
      <c r="DZ69" s="24">
        <v>12</v>
      </c>
      <c r="EB69">
        <v>10</v>
      </c>
      <c r="EC69" s="28">
        <v>2</v>
      </c>
      <c r="ED69" s="31"/>
      <c r="EG69" s="28">
        <v>0</v>
      </c>
      <c r="EH69" s="31"/>
      <c r="EI69" s="30"/>
      <c r="EL69">
        <v>16</v>
      </c>
      <c r="EM69">
        <v>15</v>
      </c>
      <c r="EN69" s="28">
        <v>1</v>
      </c>
      <c r="EO69" s="31"/>
      <c r="ER69" s="28">
        <v>0</v>
      </c>
      <c r="ES69" s="31"/>
      <c r="ET69" s="30"/>
      <c r="EX69" s="28">
        <v>0</v>
      </c>
      <c r="EY69" s="31"/>
      <c r="EZ69">
        <v>80</v>
      </c>
      <c r="FA69">
        <v>80</v>
      </c>
      <c r="FB69">
        <v>101</v>
      </c>
      <c r="FC69">
        <v>100</v>
      </c>
      <c r="FD69" s="28">
        <v>1</v>
      </c>
      <c r="FE69" s="31"/>
      <c r="FH69" s="28">
        <v>0</v>
      </c>
      <c r="FI69" s="31"/>
      <c r="FJ69" s="30"/>
      <c r="FL69" s="28">
        <v>0</v>
      </c>
      <c r="FM69" s="31"/>
      <c r="FN69" s="24">
        <v>121</v>
      </c>
      <c r="FO69">
        <v>120</v>
      </c>
      <c r="FP69" s="28">
        <v>1</v>
      </c>
      <c r="FQ69" s="31"/>
      <c r="FT69" s="28">
        <v>0</v>
      </c>
      <c r="FU69" s="31"/>
      <c r="FV69" s="24">
        <v>80</v>
      </c>
      <c r="FW69">
        <v>80</v>
      </c>
      <c r="FX69" s="28">
        <v>0</v>
      </c>
      <c r="FY69" s="31"/>
      <c r="FZ69" s="30"/>
      <c r="GB69" s="28">
        <v>0</v>
      </c>
      <c r="GC69" s="31"/>
      <c r="GD69">
        <v>40</v>
      </c>
      <c r="GE69">
        <v>40</v>
      </c>
      <c r="GF69" s="28">
        <v>0</v>
      </c>
      <c r="GG69" s="34"/>
      <c r="GJ69" s="28">
        <v>0</v>
      </c>
      <c r="GK69" s="31"/>
      <c r="GN69" s="28">
        <v>0</v>
      </c>
      <c r="GO69" s="34"/>
      <c r="GR69" s="28">
        <v>0</v>
      </c>
      <c r="GS69" s="31"/>
      <c r="GV69" s="28">
        <v>0</v>
      </c>
      <c r="GW69" s="34"/>
      <c r="GZ69" s="28">
        <v>0</v>
      </c>
      <c r="HA69" s="31"/>
      <c r="HB69" s="33"/>
      <c r="HD69" s="28">
        <v>0</v>
      </c>
      <c r="HE69" s="34"/>
      <c r="HH69" s="28">
        <v>0</v>
      </c>
      <c r="HI69" s="34"/>
      <c r="HL69" s="28">
        <v>0</v>
      </c>
      <c r="HM69" s="34"/>
      <c r="HP69" s="28">
        <v>0</v>
      </c>
      <c r="HQ69" s="31"/>
      <c r="HR69" s="29"/>
      <c r="HT69" s="29"/>
      <c r="HV69" s="28">
        <v>0</v>
      </c>
      <c r="HW69" s="34"/>
      <c r="HX69" s="32">
        <v>0</v>
      </c>
      <c r="HY69" s="32">
        <v>0</v>
      </c>
      <c r="HZ69" s="28">
        <v>0</v>
      </c>
      <c r="IA69" s="34"/>
      <c r="IB69" s="32">
        <v>0</v>
      </c>
      <c r="IC69" s="32">
        <v>0</v>
      </c>
      <c r="ID69" s="28">
        <v>0</v>
      </c>
      <c r="IE69" s="34"/>
      <c r="IF69" s="33">
        <v>0</v>
      </c>
      <c r="IG69" s="32">
        <v>0</v>
      </c>
      <c r="IH69" s="28">
        <v>0</v>
      </c>
      <c r="II69" s="34"/>
    </row>
    <row r="70" spans="1:243" x14ac:dyDescent="0.25">
      <c r="A70" s="28" t="s">
        <v>202</v>
      </c>
      <c r="B70" s="29">
        <v>1</v>
      </c>
      <c r="E70">
        <v>25</v>
      </c>
      <c r="J70" s="24">
        <v>41</v>
      </c>
      <c r="K70" s="36">
        <v>40</v>
      </c>
      <c r="L70" s="36">
        <v>25</v>
      </c>
      <c r="M70" s="36">
        <v>26</v>
      </c>
      <c r="N70" s="35">
        <f t="shared" si="5"/>
        <v>0</v>
      </c>
      <c r="O70" s="31"/>
      <c r="P70" s="35"/>
      <c r="Q70">
        <v>9</v>
      </c>
      <c r="R70">
        <v>9</v>
      </c>
      <c r="S70" s="28">
        <v>0</v>
      </c>
      <c r="T70" s="31"/>
      <c r="U70" s="24">
        <v>189</v>
      </c>
      <c r="V70">
        <v>183</v>
      </c>
      <c r="W70" s="28">
        <v>6</v>
      </c>
      <c r="X70" s="31"/>
      <c r="Y70" s="30"/>
      <c r="AA70" s="28">
        <v>0</v>
      </c>
      <c r="AB70" s="31"/>
      <c r="AC70">
        <v>144</v>
      </c>
      <c r="AD70">
        <v>138</v>
      </c>
      <c r="AE70" s="28">
        <v>6</v>
      </c>
      <c r="AF70" s="31"/>
      <c r="AG70" s="24">
        <v>69</v>
      </c>
      <c r="AH70">
        <v>64</v>
      </c>
      <c r="AI70" s="28">
        <v>5</v>
      </c>
      <c r="AJ70" s="31"/>
      <c r="AK70">
        <v>116</v>
      </c>
      <c r="AL70">
        <v>109</v>
      </c>
      <c r="AM70" s="28">
        <v>7</v>
      </c>
      <c r="AN70" s="31"/>
      <c r="AO70" s="24">
        <v>103</v>
      </c>
      <c r="AP70">
        <v>99</v>
      </c>
      <c r="AQ70" s="28">
        <v>4</v>
      </c>
      <c r="AR70" s="31"/>
      <c r="AS70" s="30"/>
      <c r="AU70" s="28">
        <v>0</v>
      </c>
      <c r="AV70" s="31"/>
      <c r="AW70">
        <v>53</v>
      </c>
      <c r="AX70">
        <v>50</v>
      </c>
      <c r="AY70" s="28">
        <v>3</v>
      </c>
      <c r="AZ70" s="31"/>
      <c r="BA70" s="24">
        <v>62</v>
      </c>
      <c r="BB70">
        <v>60</v>
      </c>
      <c r="BC70">
        <v>74</v>
      </c>
      <c r="BD70">
        <v>72</v>
      </c>
      <c r="BE70" s="28">
        <v>4</v>
      </c>
      <c r="BF70" s="31"/>
      <c r="BG70" s="24">
        <v>25</v>
      </c>
      <c r="BH70">
        <v>24</v>
      </c>
      <c r="BI70" s="28">
        <v>1</v>
      </c>
      <c r="BJ70" s="31"/>
      <c r="BM70">
        <v>128</v>
      </c>
      <c r="BN70">
        <v>121</v>
      </c>
      <c r="BO70" s="28">
        <v>7</v>
      </c>
      <c r="BP70" s="31"/>
      <c r="BQ70">
        <v>28</v>
      </c>
      <c r="BR70">
        <v>25</v>
      </c>
      <c r="BS70" s="28">
        <v>3</v>
      </c>
      <c r="BT70" s="31"/>
      <c r="BU70" s="24">
        <v>34</v>
      </c>
      <c r="BV70">
        <v>33</v>
      </c>
      <c r="BW70" s="28">
        <v>1</v>
      </c>
      <c r="BX70" s="31"/>
      <c r="BY70" s="24">
        <v>119</v>
      </c>
      <c r="BZ70">
        <v>113</v>
      </c>
      <c r="CA70" s="28">
        <v>6</v>
      </c>
      <c r="CB70" s="31"/>
      <c r="CE70" s="28">
        <v>0</v>
      </c>
      <c r="CF70" s="31"/>
      <c r="CG70" s="24">
        <v>37</v>
      </c>
      <c r="CI70">
        <v>36</v>
      </c>
      <c r="CJ70" s="28">
        <v>1</v>
      </c>
      <c r="CK70" s="31"/>
      <c r="CL70" s="30"/>
      <c r="CN70">
        <v>16</v>
      </c>
      <c r="CO70">
        <v>15</v>
      </c>
      <c r="CP70" s="28">
        <v>1</v>
      </c>
      <c r="CQ70" s="31"/>
      <c r="CR70" s="24">
        <v>144</v>
      </c>
      <c r="CT70">
        <v>136</v>
      </c>
      <c r="CU70" s="28">
        <v>8</v>
      </c>
      <c r="CV70" s="31"/>
      <c r="CW70">
        <v>31</v>
      </c>
      <c r="CX70" s="28">
        <v>27.90679999999999</v>
      </c>
      <c r="CY70" s="28">
        <v>3.0932000000000102</v>
      </c>
      <c r="CZ70" s="31"/>
      <c r="DA70" s="24">
        <v>80</v>
      </c>
      <c r="DB70" s="28">
        <v>76.89500000000001</v>
      </c>
      <c r="DC70" s="28">
        <v>3.1049999999999902</v>
      </c>
      <c r="DD70" s="31"/>
      <c r="DE70" s="24">
        <v>12</v>
      </c>
      <c r="DF70" s="28">
        <v>10.701200000000011</v>
      </c>
      <c r="DG70" s="28">
        <v>1.2987999999999891</v>
      </c>
      <c r="DH70" s="31"/>
      <c r="DI70" s="24">
        <v>71</v>
      </c>
      <c r="DJ70">
        <v>68</v>
      </c>
      <c r="DK70" s="28">
        <v>3</v>
      </c>
      <c r="DL70" s="31"/>
      <c r="DO70" s="28">
        <v>0</v>
      </c>
      <c r="DP70" s="31"/>
      <c r="DQ70">
        <v>158</v>
      </c>
      <c r="DR70">
        <v>151</v>
      </c>
      <c r="DS70" s="28">
        <v>7</v>
      </c>
      <c r="DT70" s="31"/>
      <c r="DU70" s="24">
        <v>56</v>
      </c>
      <c r="DW70">
        <v>54</v>
      </c>
      <c r="DX70" s="28">
        <v>2</v>
      </c>
      <c r="DY70" s="31"/>
      <c r="DZ70" s="24">
        <v>66</v>
      </c>
      <c r="EB70">
        <v>61</v>
      </c>
      <c r="EC70" s="28">
        <v>5</v>
      </c>
      <c r="ED70" s="31"/>
      <c r="EG70" s="28">
        <v>0</v>
      </c>
      <c r="EH70" s="31"/>
      <c r="EI70" s="30"/>
      <c r="EJ70">
        <v>43</v>
      </c>
      <c r="EK70">
        <v>40</v>
      </c>
      <c r="EL70">
        <v>34</v>
      </c>
      <c r="EM70">
        <v>32</v>
      </c>
      <c r="EN70" s="28">
        <v>5</v>
      </c>
      <c r="EO70" s="31"/>
      <c r="ER70" s="28">
        <v>0</v>
      </c>
      <c r="ES70" s="31"/>
      <c r="ET70" s="30"/>
      <c r="EX70" s="28">
        <v>0</v>
      </c>
      <c r="EY70" s="31"/>
      <c r="EZ70">
        <v>31</v>
      </c>
      <c r="FA70">
        <v>30</v>
      </c>
      <c r="FB70">
        <v>43</v>
      </c>
      <c r="FC70">
        <v>40</v>
      </c>
      <c r="FD70" s="28">
        <v>4</v>
      </c>
      <c r="FE70" s="31"/>
      <c r="FF70">
        <v>18</v>
      </c>
      <c r="FG70" s="32">
        <v>16.493200000000002</v>
      </c>
      <c r="FH70" s="28">
        <v>1.5067999999999979</v>
      </c>
      <c r="FI70" s="31"/>
      <c r="FJ70" s="24">
        <v>90</v>
      </c>
      <c r="FK70">
        <v>86</v>
      </c>
      <c r="FL70" s="28">
        <v>4</v>
      </c>
      <c r="FM70" s="31"/>
      <c r="FN70" s="24">
        <v>22</v>
      </c>
      <c r="FO70">
        <v>21</v>
      </c>
      <c r="FP70" s="28">
        <v>1</v>
      </c>
      <c r="FQ70" s="31"/>
      <c r="FR70">
        <v>44</v>
      </c>
      <c r="FS70">
        <v>40</v>
      </c>
      <c r="FT70" s="28">
        <v>4</v>
      </c>
      <c r="FU70" s="31"/>
      <c r="FV70" s="24">
        <v>59</v>
      </c>
      <c r="FW70">
        <v>52</v>
      </c>
      <c r="FX70" s="28">
        <v>7</v>
      </c>
      <c r="FY70" s="31"/>
      <c r="FZ70" s="24">
        <v>44</v>
      </c>
      <c r="GA70">
        <v>58</v>
      </c>
      <c r="GB70" s="27">
        <v>-14</v>
      </c>
      <c r="GC70" s="31">
        <v>14</v>
      </c>
      <c r="GD70">
        <v>70</v>
      </c>
      <c r="GE70">
        <v>70</v>
      </c>
      <c r="GF70" s="28">
        <v>0</v>
      </c>
      <c r="GG70" s="34"/>
      <c r="GJ70" s="28">
        <v>0</v>
      </c>
      <c r="GK70" s="31"/>
      <c r="GL70">
        <v>65</v>
      </c>
      <c r="GM70">
        <v>65</v>
      </c>
      <c r="GN70" s="28">
        <v>0</v>
      </c>
      <c r="GO70" s="34"/>
      <c r="GP70">
        <v>21</v>
      </c>
      <c r="GQ70">
        <v>21</v>
      </c>
      <c r="GR70" s="28">
        <v>0</v>
      </c>
      <c r="GS70" s="31"/>
      <c r="GV70" s="28">
        <v>0</v>
      </c>
      <c r="GW70" s="34"/>
      <c r="GX70">
        <v>36</v>
      </c>
      <c r="GY70" s="32">
        <v>35.468800000000009</v>
      </c>
      <c r="GZ70" s="28">
        <v>0.53119999999999123</v>
      </c>
      <c r="HA70" s="31"/>
      <c r="HB70" s="33"/>
      <c r="HD70" s="28">
        <v>0</v>
      </c>
      <c r="HE70" s="34"/>
      <c r="HH70" s="28">
        <v>0</v>
      </c>
      <c r="HI70" s="34"/>
      <c r="HJ70">
        <v>60</v>
      </c>
      <c r="HK70">
        <v>58</v>
      </c>
      <c r="HL70" s="28">
        <v>-2</v>
      </c>
      <c r="HM70" s="34"/>
      <c r="HP70" s="28">
        <v>0</v>
      </c>
      <c r="HQ70" s="31"/>
      <c r="HR70">
        <v>51</v>
      </c>
      <c r="HS70">
        <v>50</v>
      </c>
      <c r="HT70">
        <v>42</v>
      </c>
      <c r="HU70">
        <v>42</v>
      </c>
      <c r="HV70" s="28">
        <v>1</v>
      </c>
      <c r="HW70" s="34"/>
      <c r="HX70" s="32">
        <v>29.984999999999999</v>
      </c>
      <c r="HY70" s="32">
        <v>30</v>
      </c>
      <c r="HZ70" s="28">
        <v>-1.500000000000057E-2</v>
      </c>
      <c r="IA70" s="34"/>
      <c r="IB70" s="32">
        <v>56.606999999999999</v>
      </c>
      <c r="IC70" s="32">
        <v>57.395000000000003</v>
      </c>
      <c r="ID70" s="28">
        <v>-0.78800000000000381</v>
      </c>
      <c r="IE70" s="34"/>
      <c r="IF70" s="33">
        <v>0</v>
      </c>
      <c r="IG70" s="32">
        <v>0</v>
      </c>
      <c r="IH70" s="28">
        <v>0</v>
      </c>
      <c r="II70" s="34"/>
    </row>
    <row r="71" spans="1:243" x14ac:dyDescent="0.25">
      <c r="A71" s="28" t="s">
        <v>203</v>
      </c>
      <c r="B71" s="29">
        <v>1</v>
      </c>
      <c r="E71">
        <v>40</v>
      </c>
      <c r="F71">
        <v>78</v>
      </c>
      <c r="G71">
        <v>77</v>
      </c>
      <c r="J71" s="24">
        <v>40</v>
      </c>
      <c r="K71" s="36">
        <v>40</v>
      </c>
      <c r="L71" s="36">
        <v>28</v>
      </c>
      <c r="M71" s="36">
        <v>27</v>
      </c>
      <c r="N71" s="35">
        <f t="shared" si="5"/>
        <v>1</v>
      </c>
      <c r="O71" s="31"/>
      <c r="P71" s="35"/>
      <c r="Q71">
        <v>47</v>
      </c>
      <c r="R71">
        <v>44</v>
      </c>
      <c r="S71" s="28">
        <v>3</v>
      </c>
      <c r="T71" s="31"/>
      <c r="U71" s="24">
        <v>123</v>
      </c>
      <c r="V71">
        <v>117</v>
      </c>
      <c r="W71" s="28">
        <v>6</v>
      </c>
      <c r="X71" s="31"/>
      <c r="Y71" s="24">
        <v>68</v>
      </c>
      <c r="Z71">
        <v>66</v>
      </c>
      <c r="AA71" s="28">
        <v>2</v>
      </c>
      <c r="AB71" s="31"/>
      <c r="AC71">
        <v>69</v>
      </c>
      <c r="AD71">
        <v>58</v>
      </c>
      <c r="AE71" s="28">
        <v>11</v>
      </c>
      <c r="AF71" s="31"/>
      <c r="AG71" s="24">
        <v>73</v>
      </c>
      <c r="AH71">
        <v>70</v>
      </c>
      <c r="AI71" s="28">
        <v>3</v>
      </c>
      <c r="AJ71" s="31"/>
      <c r="AK71">
        <v>93</v>
      </c>
      <c r="AL71">
        <v>88</v>
      </c>
      <c r="AM71" s="28">
        <v>5</v>
      </c>
      <c r="AN71" s="31"/>
      <c r="AO71" s="24">
        <v>103</v>
      </c>
      <c r="AP71">
        <v>97</v>
      </c>
      <c r="AQ71" s="28">
        <v>6</v>
      </c>
      <c r="AR71" s="31"/>
      <c r="AS71" s="24">
        <v>122</v>
      </c>
      <c r="AT71">
        <v>120</v>
      </c>
      <c r="AU71" s="28">
        <v>2</v>
      </c>
      <c r="AV71" s="31"/>
      <c r="AY71" s="28">
        <v>0</v>
      </c>
      <c r="AZ71" s="31"/>
      <c r="BA71" s="24">
        <v>62</v>
      </c>
      <c r="BB71">
        <v>60</v>
      </c>
      <c r="BC71">
        <v>72</v>
      </c>
      <c r="BD71">
        <v>67</v>
      </c>
      <c r="BE71" s="28">
        <v>7</v>
      </c>
      <c r="BF71" s="31"/>
      <c r="BG71" s="24">
        <v>56</v>
      </c>
      <c r="BH71">
        <v>54</v>
      </c>
      <c r="BI71" s="28">
        <v>2</v>
      </c>
      <c r="BJ71" s="31"/>
      <c r="BM71">
        <v>89</v>
      </c>
      <c r="BN71">
        <v>87</v>
      </c>
      <c r="BO71" s="28">
        <v>2</v>
      </c>
      <c r="BP71" s="31"/>
      <c r="BQ71">
        <v>19</v>
      </c>
      <c r="BR71">
        <v>16</v>
      </c>
      <c r="BS71" s="28">
        <v>3</v>
      </c>
      <c r="BT71" s="31"/>
      <c r="BU71" s="24">
        <v>198</v>
      </c>
      <c r="BV71">
        <v>191</v>
      </c>
      <c r="BW71" s="28">
        <v>7</v>
      </c>
      <c r="BX71" s="31"/>
      <c r="BY71" s="24">
        <v>102</v>
      </c>
      <c r="BZ71">
        <v>97</v>
      </c>
      <c r="CA71" s="28">
        <v>5</v>
      </c>
      <c r="CB71" s="31"/>
      <c r="CE71" s="28">
        <v>0</v>
      </c>
      <c r="CF71" s="31"/>
      <c r="CG71" s="24">
        <v>143</v>
      </c>
      <c r="CI71">
        <v>135</v>
      </c>
      <c r="CJ71" s="28">
        <v>8</v>
      </c>
      <c r="CK71" s="31"/>
      <c r="CL71" s="30"/>
      <c r="CP71" s="28">
        <v>0</v>
      </c>
      <c r="CQ71" s="31"/>
      <c r="CR71" s="24">
        <v>218</v>
      </c>
      <c r="CT71">
        <v>209</v>
      </c>
      <c r="CU71" s="28">
        <v>9</v>
      </c>
      <c r="CV71" s="31"/>
      <c r="CW71">
        <v>138</v>
      </c>
      <c r="CX71" s="28">
        <v>130.97040000000001</v>
      </c>
      <c r="CY71" s="28">
        <v>7.0295999999999879</v>
      </c>
      <c r="CZ71" s="31"/>
      <c r="DA71" s="33"/>
      <c r="DC71" s="28">
        <v>0</v>
      </c>
      <c r="DD71" s="31"/>
      <c r="DE71" s="24">
        <v>31</v>
      </c>
      <c r="DF71" s="28">
        <v>30.439399999999988</v>
      </c>
      <c r="DG71" s="28">
        <v>0.56060000000001153</v>
      </c>
      <c r="DH71" s="31"/>
      <c r="DI71" s="24">
        <v>118</v>
      </c>
      <c r="DJ71">
        <v>113</v>
      </c>
      <c r="DK71" s="28">
        <v>5</v>
      </c>
      <c r="DL71" s="31"/>
      <c r="DM71">
        <v>44</v>
      </c>
      <c r="DN71" s="32">
        <v>40</v>
      </c>
      <c r="DO71" s="28">
        <v>4</v>
      </c>
      <c r="DP71" s="31"/>
      <c r="DQ71">
        <v>184</v>
      </c>
      <c r="DR71">
        <v>175</v>
      </c>
      <c r="DS71" s="28">
        <v>9</v>
      </c>
      <c r="DT71" s="31"/>
      <c r="DU71" s="30"/>
      <c r="DX71" s="28">
        <v>0</v>
      </c>
      <c r="DY71" s="31"/>
      <c r="DZ71" s="30"/>
      <c r="EC71" s="28">
        <v>0</v>
      </c>
      <c r="ED71" s="31"/>
      <c r="EG71" s="28">
        <v>0</v>
      </c>
      <c r="EH71" s="31"/>
      <c r="EI71" s="30"/>
      <c r="EJ71">
        <v>76</v>
      </c>
      <c r="EK71">
        <v>70</v>
      </c>
      <c r="EL71">
        <v>69</v>
      </c>
      <c r="EM71">
        <v>65</v>
      </c>
      <c r="EN71" s="28">
        <v>10</v>
      </c>
      <c r="EO71" s="31"/>
      <c r="ER71" s="28">
        <v>0</v>
      </c>
      <c r="ES71" s="31"/>
      <c r="ET71" s="24">
        <v>105</v>
      </c>
      <c r="EU71">
        <v>100</v>
      </c>
      <c r="EV71">
        <v>110</v>
      </c>
      <c r="EW71">
        <v>102</v>
      </c>
      <c r="EX71" s="28">
        <v>13</v>
      </c>
      <c r="EY71" s="31"/>
      <c r="EZ71">
        <v>53</v>
      </c>
      <c r="FA71">
        <v>50</v>
      </c>
      <c r="FB71">
        <v>61</v>
      </c>
      <c r="FC71">
        <v>60</v>
      </c>
      <c r="FD71" s="28">
        <v>4</v>
      </c>
      <c r="FE71" s="31"/>
      <c r="FH71" s="28">
        <v>0</v>
      </c>
      <c r="FI71" s="31"/>
      <c r="FJ71" s="24">
        <v>136</v>
      </c>
      <c r="FK71">
        <v>130</v>
      </c>
      <c r="FL71" s="28">
        <v>6</v>
      </c>
      <c r="FM71" s="31"/>
      <c r="FN71" s="24">
        <v>77</v>
      </c>
      <c r="FO71">
        <v>75</v>
      </c>
      <c r="FP71" s="28">
        <v>2</v>
      </c>
      <c r="FQ71" s="31"/>
      <c r="FR71">
        <v>31</v>
      </c>
      <c r="FS71">
        <v>30</v>
      </c>
      <c r="FT71" s="28">
        <v>1</v>
      </c>
      <c r="FU71" s="31"/>
      <c r="FV71" s="24">
        <v>52</v>
      </c>
      <c r="FW71">
        <v>50</v>
      </c>
      <c r="FX71" s="28">
        <v>2</v>
      </c>
      <c r="FY71" s="31"/>
      <c r="FZ71" s="24">
        <v>86</v>
      </c>
      <c r="GA71">
        <v>87</v>
      </c>
      <c r="GB71" s="28">
        <v>-1</v>
      </c>
      <c r="GC71" s="31"/>
      <c r="GF71" s="28">
        <v>0</v>
      </c>
      <c r="GG71" s="34"/>
      <c r="GH71">
        <v>68</v>
      </c>
      <c r="GI71">
        <v>69</v>
      </c>
      <c r="GJ71" s="28">
        <v>-1</v>
      </c>
      <c r="GK71" s="31"/>
      <c r="GL71">
        <v>21</v>
      </c>
      <c r="GM71">
        <v>20</v>
      </c>
      <c r="GN71" s="28">
        <v>1</v>
      </c>
      <c r="GO71" s="34"/>
      <c r="GP71">
        <v>91</v>
      </c>
      <c r="GQ71">
        <v>90</v>
      </c>
      <c r="GR71" s="28">
        <v>1</v>
      </c>
      <c r="GS71" s="31"/>
      <c r="GT71">
        <v>9</v>
      </c>
      <c r="GU71">
        <v>9</v>
      </c>
      <c r="GV71" s="28">
        <v>0</v>
      </c>
      <c r="GW71" s="34"/>
      <c r="GX71">
        <v>15</v>
      </c>
      <c r="GY71" s="32">
        <v>14.779</v>
      </c>
      <c r="GZ71" s="28">
        <v>0.22100000000000011</v>
      </c>
      <c r="HA71" s="31"/>
      <c r="HB71" s="24">
        <v>50</v>
      </c>
      <c r="HC71" s="32">
        <v>50</v>
      </c>
      <c r="HD71" s="28">
        <v>0</v>
      </c>
      <c r="HE71" s="34"/>
      <c r="HF71">
        <v>21</v>
      </c>
      <c r="HG71">
        <v>19</v>
      </c>
      <c r="HH71" s="28">
        <v>2</v>
      </c>
      <c r="HI71" s="34"/>
      <c r="HL71" s="28">
        <v>0</v>
      </c>
      <c r="HM71" s="34"/>
      <c r="HP71" s="28">
        <v>0</v>
      </c>
      <c r="HQ71" s="31"/>
      <c r="HR71">
        <v>52</v>
      </c>
      <c r="HS71">
        <v>50</v>
      </c>
      <c r="HT71">
        <v>48</v>
      </c>
      <c r="HU71">
        <v>46</v>
      </c>
      <c r="HV71" s="28">
        <v>4</v>
      </c>
      <c r="HW71" s="34"/>
      <c r="HX71" s="32">
        <v>0</v>
      </c>
      <c r="HY71" s="32">
        <v>0</v>
      </c>
      <c r="HZ71" s="28">
        <v>0</v>
      </c>
      <c r="IA71" s="34"/>
      <c r="IB71" s="32">
        <v>93.634</v>
      </c>
      <c r="IC71" s="32">
        <v>91.266199999999998</v>
      </c>
      <c r="ID71" s="28">
        <v>2.367800000000003</v>
      </c>
      <c r="IE71" s="34"/>
      <c r="IF71" s="33">
        <v>0</v>
      </c>
      <c r="IG71" s="32">
        <v>0</v>
      </c>
      <c r="IH71" s="28">
        <v>0</v>
      </c>
      <c r="II71" s="34"/>
    </row>
    <row r="72" spans="1:243" x14ac:dyDescent="0.25">
      <c r="A72" s="28" t="s">
        <v>204</v>
      </c>
      <c r="B72" s="29">
        <v>0.1</v>
      </c>
      <c r="J72" s="30"/>
      <c r="K72" s="35"/>
      <c r="L72" s="35"/>
      <c r="M72" s="35"/>
      <c r="N72" s="35">
        <f t="shared" si="5"/>
        <v>0</v>
      </c>
      <c r="O72" s="31"/>
      <c r="P72" s="35"/>
      <c r="S72" s="28">
        <v>0</v>
      </c>
      <c r="T72" s="31"/>
      <c r="U72" s="30"/>
      <c r="W72" s="28">
        <v>0</v>
      </c>
      <c r="X72" s="31"/>
      <c r="Y72" s="30"/>
      <c r="AA72" s="28">
        <v>0</v>
      </c>
      <c r="AB72" s="31"/>
      <c r="AE72" s="28">
        <v>0</v>
      </c>
      <c r="AF72" s="31"/>
      <c r="AG72" s="30"/>
      <c r="AI72" s="28">
        <v>0</v>
      </c>
      <c r="AJ72" s="31"/>
      <c r="AM72" s="28">
        <v>0</v>
      </c>
      <c r="AN72" s="31"/>
      <c r="AO72" s="30"/>
      <c r="AQ72" s="28">
        <v>0</v>
      </c>
      <c r="AR72" s="31"/>
      <c r="AS72" s="30"/>
      <c r="AU72" s="28">
        <v>0</v>
      </c>
      <c r="AV72" s="31"/>
      <c r="AY72" s="28">
        <v>0</v>
      </c>
      <c r="AZ72" s="31"/>
      <c r="BA72" s="30"/>
      <c r="BE72" s="28">
        <v>0</v>
      </c>
      <c r="BF72" s="31"/>
      <c r="BG72" s="30"/>
      <c r="BI72" s="28">
        <v>0</v>
      </c>
      <c r="BJ72" s="31"/>
      <c r="BO72" s="28">
        <v>0</v>
      </c>
      <c r="BP72" s="31"/>
      <c r="BS72" s="28">
        <v>0</v>
      </c>
      <c r="BT72" s="31"/>
      <c r="BU72" s="30"/>
      <c r="BW72" s="28">
        <v>0</v>
      </c>
      <c r="BX72" s="31"/>
      <c r="BY72" s="30"/>
      <c r="CA72" s="28">
        <v>0</v>
      </c>
      <c r="CB72" s="31"/>
      <c r="CE72" s="28">
        <v>0</v>
      </c>
      <c r="CF72" s="31"/>
      <c r="CG72" s="30"/>
      <c r="CJ72" s="28">
        <v>0</v>
      </c>
      <c r="CK72" s="31"/>
      <c r="CL72" s="30"/>
      <c r="CP72" s="28">
        <v>0</v>
      </c>
      <c r="CQ72" s="31"/>
      <c r="CR72" s="30"/>
      <c r="CU72" s="28">
        <v>0</v>
      </c>
      <c r="CV72" s="31"/>
      <c r="CY72" s="28">
        <v>0</v>
      </c>
      <c r="CZ72" s="31"/>
      <c r="DA72" s="33"/>
      <c r="DC72" s="28">
        <v>0</v>
      </c>
      <c r="DD72" s="31"/>
      <c r="DE72" s="30"/>
      <c r="DG72" s="28">
        <v>0</v>
      </c>
      <c r="DH72" s="31"/>
      <c r="DI72" s="30"/>
      <c r="DK72" s="28">
        <v>0</v>
      </c>
      <c r="DL72" s="31"/>
      <c r="DO72" s="28">
        <v>0</v>
      </c>
      <c r="DP72" s="31"/>
      <c r="DS72" s="28">
        <v>0</v>
      </c>
      <c r="DT72" s="31"/>
      <c r="DU72" s="30"/>
      <c r="DX72" s="28">
        <v>0</v>
      </c>
      <c r="DY72" s="31"/>
      <c r="DZ72" s="30"/>
      <c r="EC72" s="28">
        <v>0</v>
      </c>
      <c r="ED72" s="31"/>
      <c r="EG72" s="28">
        <v>0</v>
      </c>
      <c r="EH72" s="31"/>
      <c r="EI72" s="30"/>
      <c r="EN72" s="28">
        <v>0</v>
      </c>
      <c r="EO72" s="31"/>
      <c r="ER72" s="28">
        <v>0</v>
      </c>
      <c r="ES72" s="31"/>
      <c r="ET72" s="30"/>
      <c r="EX72" s="28">
        <v>0</v>
      </c>
      <c r="EY72" s="31"/>
      <c r="FD72" s="28">
        <v>0</v>
      </c>
      <c r="FE72" s="31"/>
      <c r="FH72" s="28">
        <v>0</v>
      </c>
      <c r="FI72" s="31"/>
      <c r="FJ72" s="30"/>
      <c r="FL72" s="28">
        <v>0</v>
      </c>
      <c r="FM72" s="31"/>
      <c r="FN72" s="30"/>
      <c r="FP72" s="28">
        <v>0</v>
      </c>
      <c r="FQ72" s="31"/>
      <c r="FT72" s="28">
        <v>0</v>
      </c>
      <c r="FU72" s="31"/>
      <c r="FV72" s="30"/>
      <c r="FX72" s="28">
        <v>0</v>
      </c>
      <c r="FY72" s="31"/>
      <c r="FZ72" s="30"/>
      <c r="GB72" s="28">
        <v>0</v>
      </c>
      <c r="GC72" s="31"/>
      <c r="GF72" s="28">
        <v>0</v>
      </c>
      <c r="GG72" s="34"/>
      <c r="GJ72" s="28">
        <v>0</v>
      </c>
      <c r="GK72" s="31"/>
      <c r="GN72" s="28">
        <v>0</v>
      </c>
      <c r="GO72" s="34"/>
      <c r="GR72" s="28">
        <v>0</v>
      </c>
      <c r="GS72" s="31"/>
      <c r="GV72" s="28">
        <v>0</v>
      </c>
      <c r="GW72" s="34"/>
      <c r="GZ72" s="28">
        <v>0</v>
      </c>
      <c r="HA72" s="31"/>
      <c r="HB72" s="33"/>
      <c r="HD72" s="28">
        <v>0</v>
      </c>
      <c r="HE72" s="34"/>
      <c r="HH72" s="28">
        <v>0</v>
      </c>
      <c r="HI72" s="34"/>
      <c r="HL72" s="28">
        <v>0</v>
      </c>
      <c r="HM72" s="34"/>
      <c r="HP72" s="28">
        <v>0</v>
      </c>
      <c r="HQ72" s="31"/>
      <c r="HR72" s="29"/>
      <c r="HT72" s="29"/>
      <c r="HV72" s="28">
        <v>0</v>
      </c>
      <c r="HW72" s="34"/>
      <c r="HX72" s="32">
        <v>0</v>
      </c>
      <c r="HY72" s="32">
        <v>0</v>
      </c>
      <c r="HZ72" s="28">
        <v>0</v>
      </c>
      <c r="IA72" s="34"/>
      <c r="IB72" s="32">
        <v>0</v>
      </c>
      <c r="IC72" s="32">
        <v>0</v>
      </c>
      <c r="ID72" s="28">
        <v>0</v>
      </c>
      <c r="IE72" s="34"/>
      <c r="IF72" s="33">
        <v>0</v>
      </c>
      <c r="IG72" s="32">
        <v>0</v>
      </c>
      <c r="IH72" s="28">
        <v>0</v>
      </c>
      <c r="II72" s="34"/>
    </row>
    <row r="73" spans="1:243" x14ac:dyDescent="0.25">
      <c r="A73" s="28" t="s">
        <v>205</v>
      </c>
      <c r="B73" s="29">
        <v>1</v>
      </c>
      <c r="J73" s="30"/>
      <c r="K73" s="35"/>
      <c r="L73" s="35"/>
      <c r="M73" s="35"/>
      <c r="N73" s="35">
        <f t="shared" si="5"/>
        <v>0</v>
      </c>
      <c r="O73" s="31"/>
      <c r="P73" s="35"/>
      <c r="S73" s="28">
        <v>0</v>
      </c>
      <c r="T73" s="31"/>
      <c r="U73" s="30"/>
      <c r="W73" s="28">
        <v>0</v>
      </c>
      <c r="X73" s="31"/>
      <c r="Y73" s="30"/>
      <c r="AA73" s="28">
        <v>0</v>
      </c>
      <c r="AB73" s="31"/>
      <c r="AE73" s="28">
        <v>0</v>
      </c>
      <c r="AF73" s="31"/>
      <c r="AG73" s="30"/>
      <c r="AI73" s="28">
        <v>0</v>
      </c>
      <c r="AJ73" s="31"/>
      <c r="AM73" s="28">
        <v>0</v>
      </c>
      <c r="AN73" s="31"/>
      <c r="AO73" s="30"/>
      <c r="AQ73" s="28">
        <v>0</v>
      </c>
      <c r="AR73" s="31"/>
      <c r="AS73" s="30"/>
      <c r="AU73" s="28">
        <v>0</v>
      </c>
      <c r="AV73" s="31"/>
      <c r="AY73" s="28">
        <v>0</v>
      </c>
      <c r="AZ73" s="31"/>
      <c r="BA73" s="30"/>
      <c r="BE73" s="28">
        <v>0</v>
      </c>
      <c r="BF73" s="31"/>
      <c r="BG73" s="30"/>
      <c r="BI73" s="28">
        <v>0</v>
      </c>
      <c r="BJ73" s="31"/>
      <c r="BO73" s="28">
        <v>0</v>
      </c>
      <c r="BP73" s="31"/>
      <c r="BS73" s="28">
        <v>0</v>
      </c>
      <c r="BT73" s="31"/>
      <c r="BU73" s="30"/>
      <c r="BW73" s="28">
        <v>0</v>
      </c>
      <c r="BX73" s="31"/>
      <c r="BY73" s="30"/>
      <c r="CA73" s="28">
        <v>0</v>
      </c>
      <c r="CB73" s="31"/>
      <c r="CE73" s="28">
        <v>0</v>
      </c>
      <c r="CF73" s="31"/>
      <c r="CG73" s="30"/>
      <c r="CJ73" s="28">
        <v>0</v>
      </c>
      <c r="CK73" s="31"/>
      <c r="CL73" s="30"/>
      <c r="CP73" s="28">
        <v>0</v>
      </c>
      <c r="CQ73" s="31"/>
      <c r="CR73" s="30"/>
      <c r="CU73" s="28">
        <v>0</v>
      </c>
      <c r="CV73" s="31"/>
      <c r="CY73" s="28">
        <v>0</v>
      </c>
      <c r="CZ73" s="31"/>
      <c r="DA73" s="33"/>
      <c r="DC73" s="28">
        <v>0</v>
      </c>
      <c r="DD73" s="31"/>
      <c r="DE73" s="30"/>
      <c r="DG73" s="28">
        <v>0</v>
      </c>
      <c r="DH73" s="31"/>
      <c r="DI73" s="30"/>
      <c r="DK73" s="28">
        <v>0</v>
      </c>
      <c r="DL73" s="31"/>
      <c r="DO73" s="28">
        <v>0</v>
      </c>
      <c r="DP73" s="31"/>
      <c r="DS73" s="28">
        <v>0</v>
      </c>
      <c r="DT73" s="31"/>
      <c r="DU73" s="30"/>
      <c r="DX73" s="28">
        <v>0</v>
      </c>
      <c r="DY73" s="31"/>
      <c r="DZ73" s="30"/>
      <c r="EC73" s="28">
        <v>0</v>
      </c>
      <c r="ED73" s="31"/>
      <c r="EG73" s="28">
        <v>0</v>
      </c>
      <c r="EH73" s="31"/>
      <c r="EI73" s="30"/>
      <c r="EN73" s="28">
        <v>0</v>
      </c>
      <c r="EO73" s="31"/>
      <c r="ER73" s="28">
        <v>0</v>
      </c>
      <c r="ES73" s="31"/>
      <c r="ET73" s="30"/>
      <c r="EX73" s="28">
        <v>0</v>
      </c>
      <c r="EY73" s="31"/>
      <c r="FD73" s="28">
        <v>0</v>
      </c>
      <c r="FE73" s="31"/>
      <c r="FH73" s="28">
        <v>0</v>
      </c>
      <c r="FI73" s="31"/>
      <c r="FJ73" s="30"/>
      <c r="FL73" s="28">
        <v>0</v>
      </c>
      <c r="FM73" s="31"/>
      <c r="FN73" s="30"/>
      <c r="FP73" s="28">
        <v>0</v>
      </c>
      <c r="FQ73" s="31"/>
      <c r="FT73" s="28">
        <v>0</v>
      </c>
      <c r="FU73" s="31"/>
      <c r="FV73" s="30"/>
      <c r="FX73" s="28">
        <v>0</v>
      </c>
      <c r="FY73" s="31"/>
      <c r="FZ73" s="30"/>
      <c r="GB73" s="28">
        <v>0</v>
      </c>
      <c r="GC73" s="31"/>
      <c r="GF73" s="28">
        <v>0</v>
      </c>
      <c r="GG73" s="34"/>
      <c r="GJ73" s="28">
        <v>0</v>
      </c>
      <c r="GK73" s="31"/>
      <c r="GN73" s="28">
        <v>0</v>
      </c>
      <c r="GO73" s="34"/>
      <c r="GR73" s="28">
        <v>0</v>
      </c>
      <c r="GS73" s="31"/>
      <c r="GV73" s="28">
        <v>0</v>
      </c>
      <c r="GW73" s="34"/>
      <c r="GZ73" s="28">
        <v>0</v>
      </c>
      <c r="HA73" s="31"/>
      <c r="HB73" s="33"/>
      <c r="HD73" s="28">
        <v>0</v>
      </c>
      <c r="HE73" s="34"/>
      <c r="HH73" s="28">
        <v>0</v>
      </c>
      <c r="HI73" s="34"/>
      <c r="HL73" s="28">
        <v>0</v>
      </c>
      <c r="HM73" s="34"/>
      <c r="HP73" s="28">
        <v>0</v>
      </c>
      <c r="HQ73" s="31"/>
      <c r="HR73" s="29"/>
      <c r="HT73" s="29"/>
      <c r="HV73" s="28">
        <v>0</v>
      </c>
      <c r="HW73" s="34"/>
      <c r="HX73" s="32">
        <v>0</v>
      </c>
      <c r="HY73" s="32">
        <v>0</v>
      </c>
      <c r="HZ73" s="28">
        <v>0</v>
      </c>
      <c r="IA73" s="34"/>
      <c r="IB73" s="32">
        <v>0</v>
      </c>
      <c r="IC73" s="32">
        <v>0</v>
      </c>
      <c r="ID73" s="28">
        <v>0</v>
      </c>
      <c r="IE73" s="34"/>
      <c r="IF73" s="33">
        <v>0</v>
      </c>
      <c r="IG73" s="32">
        <v>0</v>
      </c>
      <c r="IH73" s="28">
        <v>0</v>
      </c>
      <c r="II73" s="34"/>
    </row>
    <row r="74" spans="1:243" x14ac:dyDescent="0.25">
      <c r="A74" s="28" t="s">
        <v>206</v>
      </c>
      <c r="B74" s="29">
        <v>0.09</v>
      </c>
      <c r="J74" s="30"/>
      <c r="K74" s="35"/>
      <c r="L74" s="35"/>
      <c r="M74" s="35"/>
      <c r="N74" s="35">
        <f t="shared" si="5"/>
        <v>0</v>
      </c>
      <c r="O74" s="31"/>
      <c r="P74" s="35"/>
      <c r="S74" s="28">
        <v>0</v>
      </c>
      <c r="T74" s="31"/>
      <c r="U74" s="30"/>
      <c r="W74" s="28">
        <v>0</v>
      </c>
      <c r="X74" s="31"/>
      <c r="Y74" s="30"/>
      <c r="AA74" s="28">
        <v>0</v>
      </c>
      <c r="AB74" s="31"/>
      <c r="AE74" s="28">
        <v>0</v>
      </c>
      <c r="AF74" s="31"/>
      <c r="AG74" s="30"/>
      <c r="AI74" s="28">
        <v>0</v>
      </c>
      <c r="AJ74" s="31"/>
      <c r="AL74">
        <v>10</v>
      </c>
      <c r="AM74" s="27">
        <v>-10</v>
      </c>
      <c r="AN74" s="31">
        <v>0.89999999999999991</v>
      </c>
      <c r="AO74" s="30"/>
      <c r="AP74">
        <v>10</v>
      </c>
      <c r="AQ74" s="27">
        <v>-10</v>
      </c>
      <c r="AR74" s="31">
        <v>0.89999999999999991</v>
      </c>
      <c r="AS74" s="30"/>
      <c r="AT74">
        <v>10</v>
      </c>
      <c r="AU74" s="27">
        <v>-10</v>
      </c>
      <c r="AV74" s="31">
        <v>0.89999999999999991</v>
      </c>
      <c r="AX74">
        <v>20</v>
      </c>
      <c r="AY74" s="27">
        <v>-20</v>
      </c>
      <c r="AZ74" s="31">
        <v>1.8</v>
      </c>
      <c r="BA74" s="30"/>
      <c r="BE74" s="28">
        <v>0</v>
      </c>
      <c r="BF74" s="31"/>
      <c r="BG74" s="30"/>
      <c r="BH74">
        <v>20</v>
      </c>
      <c r="BI74" s="27">
        <v>-20</v>
      </c>
      <c r="BJ74" s="31">
        <v>1.8</v>
      </c>
      <c r="BN74">
        <v>20</v>
      </c>
      <c r="BO74" s="27">
        <v>-20</v>
      </c>
      <c r="BP74" s="31">
        <v>1.8</v>
      </c>
      <c r="BS74" s="28">
        <v>0</v>
      </c>
      <c r="BT74" s="31"/>
      <c r="BU74" s="30"/>
      <c r="BV74">
        <v>21</v>
      </c>
      <c r="BW74" s="27">
        <v>-21</v>
      </c>
      <c r="BX74" s="31">
        <v>1.89</v>
      </c>
      <c r="BY74" s="30"/>
      <c r="CA74" s="28">
        <v>0</v>
      </c>
      <c r="CB74" s="31"/>
      <c r="CC74">
        <v>10</v>
      </c>
      <c r="CD74">
        <v>18</v>
      </c>
      <c r="CE74" s="28">
        <v>-8</v>
      </c>
      <c r="CF74" s="31"/>
      <c r="CG74" s="24">
        <v>10</v>
      </c>
      <c r="CI74">
        <v>10</v>
      </c>
      <c r="CJ74" s="28">
        <v>0</v>
      </c>
      <c r="CK74" s="31"/>
      <c r="CL74" s="30"/>
      <c r="CN74">
        <v>10</v>
      </c>
      <c r="CO74">
        <v>10</v>
      </c>
      <c r="CP74" s="28">
        <v>0</v>
      </c>
      <c r="CQ74" s="31"/>
      <c r="CR74" s="30"/>
      <c r="CT74">
        <v>20</v>
      </c>
      <c r="CU74" s="27">
        <v>-20</v>
      </c>
      <c r="CV74" s="31">
        <v>1.8</v>
      </c>
      <c r="CY74" s="28">
        <v>0</v>
      </c>
      <c r="CZ74" s="31"/>
      <c r="DA74" s="24">
        <v>10</v>
      </c>
      <c r="DB74" s="28">
        <v>12</v>
      </c>
      <c r="DC74" s="28">
        <v>-2</v>
      </c>
      <c r="DD74" s="31"/>
      <c r="DE74" s="30"/>
      <c r="DG74" s="28">
        <v>0</v>
      </c>
      <c r="DH74" s="31"/>
      <c r="DI74" s="30"/>
      <c r="DJ74">
        <v>14</v>
      </c>
      <c r="DK74" s="27">
        <v>-14</v>
      </c>
      <c r="DL74" s="34">
        <v>1.26</v>
      </c>
      <c r="DO74" s="28">
        <v>0</v>
      </c>
      <c r="DP74" s="31"/>
      <c r="DQ74">
        <v>20</v>
      </c>
      <c r="DR74">
        <v>20</v>
      </c>
      <c r="DS74" s="28">
        <v>0</v>
      </c>
      <c r="DT74" s="31"/>
      <c r="DU74" s="30"/>
      <c r="DX74" s="28">
        <v>0</v>
      </c>
      <c r="DY74" s="31"/>
      <c r="DZ74" s="30"/>
      <c r="EC74" s="28">
        <v>0</v>
      </c>
      <c r="ED74" s="31"/>
      <c r="EE74">
        <v>20</v>
      </c>
      <c r="EF74" s="32">
        <v>20</v>
      </c>
      <c r="EG74" s="28">
        <v>0</v>
      </c>
      <c r="EH74" s="31"/>
      <c r="EI74" s="30"/>
      <c r="EN74" s="28">
        <v>0</v>
      </c>
      <c r="EO74" s="31"/>
      <c r="EP74">
        <v>10</v>
      </c>
      <c r="EQ74" s="32">
        <v>16.8</v>
      </c>
      <c r="ER74" s="28">
        <v>-6.8000000000000007</v>
      </c>
      <c r="ES74" s="31"/>
      <c r="ET74" s="30"/>
      <c r="EX74" s="28">
        <v>0</v>
      </c>
      <c r="EY74" s="31"/>
      <c r="FD74" s="28">
        <v>0</v>
      </c>
      <c r="FE74" s="31"/>
      <c r="FF74">
        <v>30</v>
      </c>
      <c r="FG74" s="32">
        <v>30</v>
      </c>
      <c r="FH74" s="28">
        <v>0</v>
      </c>
      <c r="FI74" s="31"/>
      <c r="FJ74" s="30"/>
      <c r="FL74" s="28">
        <v>0</v>
      </c>
      <c r="FM74" s="31"/>
      <c r="FN74" s="24">
        <v>10</v>
      </c>
      <c r="FO74">
        <v>10</v>
      </c>
      <c r="FP74" s="28">
        <v>0</v>
      </c>
      <c r="FQ74" s="31"/>
      <c r="FR74">
        <v>10</v>
      </c>
      <c r="FS74">
        <v>14</v>
      </c>
      <c r="FT74" s="28">
        <v>-4</v>
      </c>
      <c r="FU74" s="31"/>
      <c r="FV74" s="30"/>
      <c r="FX74" s="28">
        <v>0</v>
      </c>
      <c r="FY74" s="31"/>
      <c r="FZ74" s="30"/>
      <c r="GB74" s="28">
        <v>0</v>
      </c>
      <c r="GC74" s="31"/>
      <c r="GD74">
        <v>20</v>
      </c>
      <c r="GE74">
        <v>20</v>
      </c>
      <c r="GF74" s="28">
        <v>0</v>
      </c>
      <c r="GG74" s="34"/>
      <c r="GJ74" s="28">
        <v>0</v>
      </c>
      <c r="GK74" s="31"/>
      <c r="GN74" s="28">
        <v>0</v>
      </c>
      <c r="GO74" s="34"/>
      <c r="GR74" s="28">
        <v>0</v>
      </c>
      <c r="GS74" s="31"/>
      <c r="GV74" s="28">
        <v>0</v>
      </c>
      <c r="GW74" s="34"/>
      <c r="GZ74" s="28">
        <v>0</v>
      </c>
      <c r="HA74" s="31"/>
      <c r="HB74" s="33"/>
      <c r="HD74" s="28">
        <v>0</v>
      </c>
      <c r="HE74" s="34"/>
      <c r="HH74" s="28">
        <v>0</v>
      </c>
      <c r="HI74" s="34"/>
      <c r="HL74" s="28">
        <v>0</v>
      </c>
      <c r="HM74" s="34"/>
      <c r="HP74" s="28">
        <v>0</v>
      </c>
      <c r="HQ74" s="31"/>
      <c r="HR74" s="29"/>
      <c r="HT74" s="29"/>
      <c r="HV74" s="28">
        <v>0</v>
      </c>
      <c r="HW74" s="34"/>
      <c r="HX74" s="32">
        <v>0</v>
      </c>
      <c r="HY74" s="32">
        <v>0</v>
      </c>
      <c r="HZ74" s="28">
        <v>0</v>
      </c>
      <c r="IA74" s="34"/>
      <c r="IB74" s="32">
        <v>0</v>
      </c>
      <c r="IC74" s="32">
        <v>0</v>
      </c>
      <c r="ID74" s="28">
        <v>0</v>
      </c>
      <c r="IE74" s="34"/>
      <c r="IF74" s="33">
        <v>0</v>
      </c>
      <c r="IG74" s="32">
        <v>0</v>
      </c>
      <c r="IH74" s="28">
        <v>0</v>
      </c>
      <c r="II74" s="34"/>
    </row>
    <row r="75" spans="1:243" x14ac:dyDescent="0.25">
      <c r="A75" s="28" t="s">
        <v>207</v>
      </c>
      <c r="B75" s="29">
        <v>1</v>
      </c>
      <c r="J75" s="30"/>
      <c r="K75" s="35"/>
      <c r="L75" s="35"/>
      <c r="M75" s="35"/>
      <c r="N75" s="35">
        <f t="shared" si="5"/>
        <v>0</v>
      </c>
      <c r="O75" s="31"/>
      <c r="P75" s="35"/>
      <c r="S75" s="28">
        <v>0</v>
      </c>
      <c r="T75" s="31"/>
      <c r="U75" s="30"/>
      <c r="W75" s="28">
        <v>0</v>
      </c>
      <c r="X75" s="31"/>
      <c r="Y75" s="30"/>
      <c r="AA75" s="28">
        <v>0</v>
      </c>
      <c r="AB75" s="31"/>
      <c r="AE75" s="28">
        <v>0</v>
      </c>
      <c r="AF75" s="31"/>
      <c r="AG75" s="30"/>
      <c r="AI75" s="28">
        <v>0</v>
      </c>
      <c r="AJ75" s="31"/>
      <c r="AM75" s="28">
        <v>0</v>
      </c>
      <c r="AN75" s="31"/>
      <c r="AO75" s="30"/>
      <c r="AQ75" s="28">
        <v>0</v>
      </c>
      <c r="AR75" s="31"/>
      <c r="AS75" s="30"/>
      <c r="AU75" s="28">
        <v>0</v>
      </c>
      <c r="AV75" s="31"/>
      <c r="AY75" s="28">
        <v>0</v>
      </c>
      <c r="AZ75" s="31"/>
      <c r="BA75" s="30"/>
      <c r="BE75" s="28">
        <v>0</v>
      </c>
      <c r="BF75" s="31"/>
      <c r="BG75" s="30"/>
      <c r="BI75" s="28">
        <v>0</v>
      </c>
      <c r="BJ75" s="31"/>
      <c r="BO75" s="28">
        <v>0</v>
      </c>
      <c r="BP75" s="31"/>
      <c r="BS75" s="28">
        <v>0</v>
      </c>
      <c r="BT75" s="31"/>
      <c r="BU75" s="30"/>
      <c r="BW75" s="28">
        <v>0</v>
      </c>
      <c r="BX75" s="31"/>
      <c r="BY75" s="30"/>
      <c r="CA75" s="28">
        <v>0</v>
      </c>
      <c r="CB75" s="31"/>
      <c r="CE75" s="28">
        <v>0</v>
      </c>
      <c r="CF75" s="31"/>
      <c r="CG75" s="30"/>
      <c r="CJ75" s="28">
        <v>0</v>
      </c>
      <c r="CK75" s="31"/>
      <c r="CL75" s="30"/>
      <c r="CP75" s="28">
        <v>0</v>
      </c>
      <c r="CQ75" s="31"/>
      <c r="CR75" s="30"/>
      <c r="CU75" s="28">
        <v>0</v>
      </c>
      <c r="CV75" s="31"/>
      <c r="CY75" s="28">
        <v>0</v>
      </c>
      <c r="CZ75" s="31"/>
      <c r="DA75" s="33"/>
      <c r="DC75" s="28">
        <v>0</v>
      </c>
      <c r="DD75" s="31"/>
      <c r="DE75" s="30"/>
      <c r="DG75" s="28">
        <v>0</v>
      </c>
      <c r="DH75" s="31"/>
      <c r="DI75" s="30"/>
      <c r="DK75" s="28">
        <v>0</v>
      </c>
      <c r="DL75" s="31"/>
      <c r="DO75" s="28">
        <v>0</v>
      </c>
      <c r="DP75" s="31"/>
      <c r="DS75" s="28">
        <v>0</v>
      </c>
      <c r="DT75" s="31"/>
      <c r="DU75" s="30"/>
      <c r="DX75" s="28">
        <v>0</v>
      </c>
      <c r="DY75" s="31"/>
      <c r="DZ75" s="30"/>
      <c r="EC75" s="28">
        <v>0</v>
      </c>
      <c r="ED75" s="31"/>
      <c r="EG75" s="28">
        <v>0</v>
      </c>
      <c r="EH75" s="31"/>
      <c r="EI75" s="30"/>
      <c r="EN75" s="28">
        <v>0</v>
      </c>
      <c r="EO75" s="31"/>
      <c r="ER75" s="28">
        <v>0</v>
      </c>
      <c r="ES75" s="31"/>
      <c r="ET75" s="30"/>
      <c r="EX75" s="28">
        <v>0</v>
      </c>
      <c r="EY75" s="31"/>
      <c r="FD75" s="28">
        <v>0</v>
      </c>
      <c r="FE75" s="31"/>
      <c r="FH75" s="28">
        <v>0</v>
      </c>
      <c r="FI75" s="31"/>
      <c r="FJ75" s="30"/>
      <c r="FL75" s="28">
        <v>0</v>
      </c>
      <c r="FM75" s="31"/>
      <c r="FN75" s="30"/>
      <c r="FP75" s="28">
        <v>0</v>
      </c>
      <c r="FQ75" s="31"/>
      <c r="FT75" s="28">
        <v>0</v>
      </c>
      <c r="FU75" s="31"/>
      <c r="FV75" s="30"/>
      <c r="FX75" s="28">
        <v>0</v>
      </c>
      <c r="FY75" s="31"/>
      <c r="FZ75" s="30"/>
      <c r="GB75" s="28">
        <v>0</v>
      </c>
      <c r="GC75" s="31"/>
      <c r="GF75" s="28">
        <v>0</v>
      </c>
      <c r="GG75" s="34"/>
      <c r="GJ75" s="28">
        <v>0</v>
      </c>
      <c r="GK75" s="31"/>
      <c r="GN75" s="28">
        <v>0</v>
      </c>
      <c r="GO75" s="34"/>
      <c r="GR75" s="28">
        <v>0</v>
      </c>
      <c r="GS75" s="31"/>
      <c r="GV75" s="28">
        <v>0</v>
      </c>
      <c r="GW75" s="34"/>
      <c r="GZ75" s="28">
        <v>0</v>
      </c>
      <c r="HA75" s="31"/>
      <c r="HB75" s="33"/>
      <c r="HD75" s="28">
        <v>0</v>
      </c>
      <c r="HE75" s="34"/>
      <c r="HH75" s="28">
        <v>0</v>
      </c>
      <c r="HI75" s="34"/>
      <c r="HL75" s="28">
        <v>0</v>
      </c>
      <c r="HM75" s="34"/>
      <c r="HP75" s="28">
        <v>0</v>
      </c>
      <c r="HQ75" s="31"/>
      <c r="HR75" s="29"/>
      <c r="HT75" s="29"/>
      <c r="HV75" s="28">
        <v>0</v>
      </c>
      <c r="HW75" s="34"/>
      <c r="HX75" s="32">
        <v>0</v>
      </c>
      <c r="HY75" s="32">
        <v>0</v>
      </c>
      <c r="HZ75" s="28">
        <v>0</v>
      </c>
      <c r="IA75" s="34"/>
      <c r="IB75" s="32">
        <v>0</v>
      </c>
      <c r="IC75" s="32">
        <v>0</v>
      </c>
      <c r="ID75" s="28">
        <v>0</v>
      </c>
      <c r="IE75" s="34"/>
      <c r="IF75" s="33">
        <v>0</v>
      </c>
      <c r="IG75" s="32">
        <v>0</v>
      </c>
      <c r="IH75" s="28">
        <v>0</v>
      </c>
      <c r="II75" s="34"/>
    </row>
    <row r="76" spans="1:243" x14ac:dyDescent="0.25">
      <c r="A76" s="28" t="s">
        <v>208</v>
      </c>
      <c r="B76" s="29">
        <v>1</v>
      </c>
      <c r="J76" s="30"/>
      <c r="K76" s="35"/>
      <c r="L76" s="35"/>
      <c r="M76" s="35"/>
      <c r="N76" s="35">
        <f t="shared" si="5"/>
        <v>0</v>
      </c>
      <c r="O76" s="31"/>
      <c r="P76" s="35"/>
      <c r="S76" s="28">
        <v>0</v>
      </c>
      <c r="T76" s="31"/>
      <c r="U76" s="30"/>
      <c r="W76" s="28">
        <v>0</v>
      </c>
      <c r="X76" s="31"/>
      <c r="Y76" s="30"/>
      <c r="AA76" s="28">
        <v>0</v>
      </c>
      <c r="AB76" s="31"/>
      <c r="AE76" s="28">
        <v>0</v>
      </c>
      <c r="AF76" s="31"/>
      <c r="AG76" s="30"/>
      <c r="AI76" s="28">
        <v>0</v>
      </c>
      <c r="AJ76" s="31"/>
      <c r="AM76" s="28">
        <v>0</v>
      </c>
      <c r="AN76" s="31"/>
      <c r="AO76" s="30"/>
      <c r="AQ76" s="28">
        <v>0</v>
      </c>
      <c r="AR76" s="31"/>
      <c r="AS76" s="30"/>
      <c r="AU76" s="28">
        <v>0</v>
      </c>
      <c r="AV76" s="31"/>
      <c r="AY76" s="28">
        <v>0</v>
      </c>
      <c r="AZ76" s="31"/>
      <c r="BA76" s="30"/>
      <c r="BE76" s="28">
        <v>0</v>
      </c>
      <c r="BF76" s="31"/>
      <c r="BG76" s="30"/>
      <c r="BI76" s="28">
        <v>0</v>
      </c>
      <c r="BJ76" s="31"/>
      <c r="BO76" s="28">
        <v>0</v>
      </c>
      <c r="BP76" s="31"/>
      <c r="BS76" s="28">
        <v>0</v>
      </c>
      <c r="BT76" s="31"/>
      <c r="BU76" s="30"/>
      <c r="BW76" s="28">
        <v>0</v>
      </c>
      <c r="BX76" s="31"/>
      <c r="BY76" s="30"/>
      <c r="CA76" s="28">
        <v>0</v>
      </c>
      <c r="CB76" s="31"/>
      <c r="CE76" s="28">
        <v>0</v>
      </c>
      <c r="CF76" s="31"/>
      <c r="CG76" s="30"/>
      <c r="CJ76" s="28">
        <v>0</v>
      </c>
      <c r="CK76" s="31"/>
      <c r="CL76" s="30"/>
      <c r="CP76" s="28">
        <v>0</v>
      </c>
      <c r="CQ76" s="31"/>
      <c r="CR76" s="30"/>
      <c r="CU76" s="28">
        <v>0</v>
      </c>
      <c r="CV76" s="31"/>
      <c r="CY76" s="28">
        <v>0</v>
      </c>
      <c r="CZ76" s="31"/>
      <c r="DA76" s="33"/>
      <c r="DC76" s="28">
        <v>0</v>
      </c>
      <c r="DD76" s="31"/>
      <c r="DE76" s="30"/>
      <c r="DG76" s="28">
        <v>0</v>
      </c>
      <c r="DH76" s="31"/>
      <c r="DI76" s="30"/>
      <c r="DK76" s="28">
        <v>0</v>
      </c>
      <c r="DL76" s="31"/>
      <c r="DO76" s="28">
        <v>0</v>
      </c>
      <c r="DP76" s="31"/>
      <c r="DS76" s="28">
        <v>0</v>
      </c>
      <c r="DT76" s="31"/>
      <c r="DU76" s="30"/>
      <c r="DX76" s="28">
        <v>0</v>
      </c>
      <c r="DY76" s="31"/>
      <c r="DZ76" s="30"/>
      <c r="EC76" s="28">
        <v>0</v>
      </c>
      <c r="ED76" s="31"/>
      <c r="EG76" s="28">
        <v>0</v>
      </c>
      <c r="EH76" s="31"/>
      <c r="EI76" s="30"/>
      <c r="EN76" s="28">
        <v>0</v>
      </c>
      <c r="EO76" s="31"/>
      <c r="ER76" s="28">
        <v>0</v>
      </c>
      <c r="ES76" s="31"/>
      <c r="ET76" s="30"/>
      <c r="EX76" s="28">
        <v>0</v>
      </c>
      <c r="EY76" s="31"/>
      <c r="FD76" s="28">
        <v>0</v>
      </c>
      <c r="FE76" s="31"/>
      <c r="FH76" s="28">
        <v>0</v>
      </c>
      <c r="FI76" s="31"/>
      <c r="FJ76" s="30"/>
      <c r="FL76" s="28">
        <v>0</v>
      </c>
      <c r="FM76" s="31"/>
      <c r="FN76" s="30"/>
      <c r="FP76" s="28">
        <v>0</v>
      </c>
      <c r="FQ76" s="31"/>
      <c r="FT76" s="28">
        <v>0</v>
      </c>
      <c r="FU76" s="31"/>
      <c r="FV76" s="30"/>
      <c r="FX76" s="28">
        <v>0</v>
      </c>
      <c r="FY76" s="31"/>
      <c r="FZ76" s="30"/>
      <c r="GB76" s="28">
        <v>0</v>
      </c>
      <c r="GC76" s="31"/>
      <c r="GF76" s="28">
        <v>0</v>
      </c>
      <c r="GG76" s="34"/>
      <c r="GJ76" s="28">
        <v>0</v>
      </c>
      <c r="GK76" s="31"/>
      <c r="GN76" s="28">
        <v>0</v>
      </c>
      <c r="GO76" s="34"/>
      <c r="GR76" s="28">
        <v>0</v>
      </c>
      <c r="GS76" s="31"/>
      <c r="GV76" s="28">
        <v>0</v>
      </c>
      <c r="GW76" s="34"/>
      <c r="GZ76" s="28">
        <v>0</v>
      </c>
      <c r="HA76" s="31"/>
      <c r="HB76" s="33"/>
      <c r="HD76" s="28">
        <v>0</v>
      </c>
      <c r="HE76" s="34"/>
      <c r="HH76" s="28">
        <v>0</v>
      </c>
      <c r="HI76" s="34"/>
      <c r="HL76" s="28">
        <v>0</v>
      </c>
      <c r="HM76" s="34"/>
      <c r="HP76" s="28">
        <v>0</v>
      </c>
      <c r="HQ76" s="31"/>
      <c r="HR76" s="29"/>
      <c r="HT76" s="29"/>
      <c r="HV76" s="28">
        <v>0</v>
      </c>
      <c r="HW76" s="34"/>
      <c r="HX76" s="32">
        <v>0</v>
      </c>
      <c r="HY76" s="32">
        <v>0</v>
      </c>
      <c r="HZ76" s="28">
        <v>0</v>
      </c>
      <c r="IA76" s="34"/>
      <c r="IB76" s="32">
        <v>0</v>
      </c>
      <c r="IC76" s="32">
        <v>0</v>
      </c>
      <c r="ID76" s="28">
        <v>0</v>
      </c>
      <c r="IE76" s="34"/>
      <c r="IF76" s="33">
        <v>0</v>
      </c>
      <c r="IG76" s="32">
        <v>0</v>
      </c>
      <c r="IH76" s="28">
        <v>0</v>
      </c>
      <c r="II76" s="34"/>
    </row>
    <row r="77" spans="1:243" x14ac:dyDescent="0.25">
      <c r="A77" s="28" t="s">
        <v>209</v>
      </c>
      <c r="B77" s="29">
        <v>0.35</v>
      </c>
      <c r="F77">
        <v>48</v>
      </c>
      <c r="G77">
        <v>50</v>
      </c>
      <c r="J77" s="30"/>
      <c r="K77" s="35"/>
      <c r="L77" s="35"/>
      <c r="M77" s="35"/>
      <c r="N77" s="35">
        <f t="shared" si="5"/>
        <v>0</v>
      </c>
      <c r="O77" s="31"/>
      <c r="P77" s="35"/>
      <c r="Q77">
        <v>40</v>
      </c>
      <c r="R77">
        <v>44</v>
      </c>
      <c r="S77" s="28">
        <v>-4</v>
      </c>
      <c r="T77" s="31"/>
      <c r="U77" s="24">
        <v>8</v>
      </c>
      <c r="V77">
        <v>10</v>
      </c>
      <c r="W77" s="28">
        <v>-2</v>
      </c>
      <c r="X77" s="31"/>
      <c r="Y77" s="24">
        <v>32</v>
      </c>
      <c r="Z77">
        <v>30</v>
      </c>
      <c r="AA77" s="28">
        <v>2</v>
      </c>
      <c r="AB77" s="31"/>
      <c r="AE77" s="28">
        <v>0</v>
      </c>
      <c r="AF77" s="31"/>
      <c r="AG77" s="24">
        <v>32</v>
      </c>
      <c r="AH77">
        <v>32</v>
      </c>
      <c r="AI77" s="28">
        <v>0</v>
      </c>
      <c r="AJ77" s="31"/>
      <c r="AK77">
        <v>8</v>
      </c>
      <c r="AL77">
        <v>8</v>
      </c>
      <c r="AM77" s="28">
        <v>0</v>
      </c>
      <c r="AN77" s="31"/>
      <c r="AO77" s="24">
        <v>8</v>
      </c>
      <c r="AP77">
        <v>8</v>
      </c>
      <c r="AQ77" s="28">
        <v>0</v>
      </c>
      <c r="AR77" s="31"/>
      <c r="AS77" s="24">
        <v>16</v>
      </c>
      <c r="AT77">
        <v>14</v>
      </c>
      <c r="AU77" s="28">
        <v>2</v>
      </c>
      <c r="AV77" s="31"/>
      <c r="AW77">
        <v>8</v>
      </c>
      <c r="AX77">
        <v>8</v>
      </c>
      <c r="AY77" s="28">
        <v>0</v>
      </c>
      <c r="AZ77" s="31"/>
      <c r="BA77" s="30"/>
      <c r="BB77">
        <v>8</v>
      </c>
      <c r="BE77" s="27">
        <v>-8</v>
      </c>
      <c r="BF77" s="31">
        <v>7.65</v>
      </c>
      <c r="BG77" s="24">
        <v>8</v>
      </c>
      <c r="BH77">
        <v>10</v>
      </c>
      <c r="BI77" s="28">
        <v>-2</v>
      </c>
      <c r="BJ77" s="31"/>
      <c r="BM77">
        <v>8</v>
      </c>
      <c r="BN77">
        <v>11</v>
      </c>
      <c r="BO77" s="28">
        <v>-3</v>
      </c>
      <c r="BP77" s="31"/>
      <c r="BQ77">
        <v>16</v>
      </c>
      <c r="BR77">
        <v>19</v>
      </c>
      <c r="BS77" s="28">
        <v>-3</v>
      </c>
      <c r="BT77" s="31"/>
      <c r="BU77" s="24">
        <v>8</v>
      </c>
      <c r="BV77">
        <v>8</v>
      </c>
      <c r="BW77" s="28">
        <v>0</v>
      </c>
      <c r="BX77" s="31"/>
      <c r="BY77" s="24">
        <v>8</v>
      </c>
      <c r="BZ77">
        <v>12</v>
      </c>
      <c r="CA77" s="28">
        <v>-4</v>
      </c>
      <c r="CB77" s="31"/>
      <c r="CE77" s="28">
        <v>0</v>
      </c>
      <c r="CF77" s="31"/>
      <c r="CG77" s="24">
        <v>16</v>
      </c>
      <c r="CI77">
        <v>18</v>
      </c>
      <c r="CJ77" s="28">
        <v>-2</v>
      </c>
      <c r="CK77" s="31"/>
      <c r="CL77" s="30"/>
      <c r="CN77">
        <v>8</v>
      </c>
      <c r="CO77">
        <v>8</v>
      </c>
      <c r="CP77" s="28">
        <v>0</v>
      </c>
      <c r="CQ77" s="31"/>
      <c r="CR77" s="24">
        <v>8</v>
      </c>
      <c r="CT77">
        <v>8</v>
      </c>
      <c r="CU77" s="28">
        <v>0</v>
      </c>
      <c r="CV77" s="31"/>
      <c r="CY77" s="28">
        <v>0</v>
      </c>
      <c r="CZ77" s="31"/>
      <c r="DA77" s="24">
        <v>8</v>
      </c>
      <c r="DB77" s="28">
        <v>6</v>
      </c>
      <c r="DC77" s="28">
        <v>2</v>
      </c>
      <c r="DD77" s="31"/>
      <c r="DE77" s="30"/>
      <c r="DG77" s="28">
        <v>0</v>
      </c>
      <c r="DH77" s="31"/>
      <c r="DI77" s="30"/>
      <c r="DK77" s="28">
        <v>0</v>
      </c>
      <c r="DL77" s="31"/>
      <c r="DO77" s="28">
        <v>0</v>
      </c>
      <c r="DP77" s="31"/>
      <c r="DS77" s="28">
        <v>0</v>
      </c>
      <c r="DT77" s="31"/>
      <c r="DU77" s="30"/>
      <c r="DX77" s="28">
        <v>0</v>
      </c>
      <c r="DY77" s="31"/>
      <c r="DZ77" s="30"/>
      <c r="EC77" s="28">
        <v>0</v>
      </c>
      <c r="ED77" s="31"/>
      <c r="EG77" s="28">
        <v>0</v>
      </c>
      <c r="EH77" s="31"/>
      <c r="EI77" s="30"/>
      <c r="EL77">
        <v>48</v>
      </c>
      <c r="EM77">
        <v>52</v>
      </c>
      <c r="EN77" s="28">
        <v>-4</v>
      </c>
      <c r="EO77" s="31"/>
      <c r="EP77">
        <v>32</v>
      </c>
      <c r="EQ77" s="32">
        <v>31.399999999999991</v>
      </c>
      <c r="ER77" s="28">
        <v>0.60000000000000853</v>
      </c>
      <c r="ES77" s="31"/>
      <c r="ET77" s="30"/>
      <c r="EX77" s="28">
        <v>0</v>
      </c>
      <c r="EY77" s="31"/>
      <c r="FB77">
        <v>48</v>
      </c>
      <c r="FC77">
        <v>50</v>
      </c>
      <c r="FD77" s="28">
        <v>-2</v>
      </c>
      <c r="FE77" s="31"/>
      <c r="FF77">
        <v>24</v>
      </c>
      <c r="FG77" s="32">
        <v>24</v>
      </c>
      <c r="FH77" s="28">
        <v>0</v>
      </c>
      <c r="FI77" s="31"/>
      <c r="FJ77" s="24">
        <v>16</v>
      </c>
      <c r="FK77">
        <v>20</v>
      </c>
      <c r="FL77" s="28">
        <v>-4</v>
      </c>
      <c r="FM77" s="31"/>
      <c r="FN77" s="24">
        <v>8</v>
      </c>
      <c r="FO77">
        <v>8</v>
      </c>
      <c r="FP77" s="28">
        <v>0</v>
      </c>
      <c r="FQ77" s="31"/>
      <c r="FR77">
        <v>32</v>
      </c>
      <c r="FS77">
        <v>32</v>
      </c>
      <c r="FT77" s="28">
        <v>0</v>
      </c>
      <c r="FU77" s="31"/>
      <c r="FV77" s="30"/>
      <c r="FX77" s="28">
        <v>0</v>
      </c>
      <c r="FY77" s="31"/>
      <c r="FZ77" s="24">
        <v>16</v>
      </c>
      <c r="GA77">
        <v>21</v>
      </c>
      <c r="GB77" s="28">
        <v>-5</v>
      </c>
      <c r="GC77" s="31"/>
      <c r="GF77" s="28">
        <v>0</v>
      </c>
      <c r="GG77" s="34"/>
      <c r="GJ77" s="28">
        <v>0</v>
      </c>
      <c r="GK77" s="31"/>
      <c r="GL77">
        <v>32</v>
      </c>
      <c r="GM77">
        <v>30</v>
      </c>
      <c r="GN77" s="28">
        <v>2</v>
      </c>
      <c r="GO77" s="34"/>
      <c r="GQ77">
        <v>16</v>
      </c>
      <c r="GR77" s="27">
        <v>-16</v>
      </c>
      <c r="GS77" s="31">
        <v>5.6</v>
      </c>
      <c r="GV77" s="28">
        <v>0</v>
      </c>
      <c r="GW77" s="34"/>
      <c r="GX77">
        <v>8</v>
      </c>
      <c r="GY77" s="32">
        <v>4.8000000000000007</v>
      </c>
      <c r="GZ77" s="28">
        <v>3.1999999999999988</v>
      </c>
      <c r="HA77" s="31"/>
      <c r="HB77" s="33"/>
      <c r="HD77" s="28">
        <v>0</v>
      </c>
      <c r="HE77" s="34"/>
      <c r="HF77">
        <v>16</v>
      </c>
      <c r="HG77">
        <v>16</v>
      </c>
      <c r="HH77" s="28">
        <v>0</v>
      </c>
      <c r="HI77" s="34"/>
      <c r="HL77" s="28">
        <v>0</v>
      </c>
      <c r="HM77" s="34"/>
      <c r="HP77" s="28">
        <v>0</v>
      </c>
      <c r="HQ77" s="31"/>
      <c r="HR77" s="29"/>
      <c r="HT77" s="29"/>
      <c r="HV77" s="28">
        <v>0</v>
      </c>
      <c r="HW77" s="34"/>
      <c r="HX77" s="32">
        <v>0</v>
      </c>
      <c r="HY77" s="32">
        <v>0</v>
      </c>
      <c r="HZ77" s="28">
        <v>0</v>
      </c>
      <c r="IA77" s="34"/>
      <c r="IB77" s="32">
        <v>0</v>
      </c>
      <c r="IC77" s="32">
        <v>0</v>
      </c>
      <c r="ID77" s="28">
        <v>0</v>
      </c>
      <c r="IE77" s="34"/>
      <c r="IF77" s="33">
        <v>0</v>
      </c>
      <c r="IG77" s="32">
        <v>0</v>
      </c>
      <c r="IH77" s="28">
        <v>0</v>
      </c>
      <c r="II77" s="34"/>
    </row>
    <row r="78" spans="1:243" x14ac:dyDescent="0.25">
      <c r="A78" s="28" t="s">
        <v>210</v>
      </c>
      <c r="B78" s="29">
        <v>1</v>
      </c>
      <c r="J78" s="30"/>
      <c r="K78" s="35"/>
      <c r="L78" s="35"/>
      <c r="M78" s="35"/>
      <c r="N78" s="35">
        <f t="shared" si="5"/>
        <v>0</v>
      </c>
      <c r="O78" s="31"/>
      <c r="P78" s="35"/>
      <c r="S78" s="28">
        <v>0</v>
      </c>
      <c r="T78" s="31"/>
      <c r="U78" s="30"/>
      <c r="W78" s="28">
        <v>0</v>
      </c>
      <c r="X78" s="31"/>
      <c r="Y78" s="30"/>
      <c r="AA78" s="28">
        <v>0</v>
      </c>
      <c r="AB78" s="31"/>
      <c r="AE78" s="28">
        <v>0</v>
      </c>
      <c r="AF78" s="31"/>
      <c r="AG78" s="30"/>
      <c r="AI78" s="28">
        <v>0</v>
      </c>
      <c r="AJ78" s="31"/>
      <c r="AM78" s="28">
        <v>0</v>
      </c>
      <c r="AN78" s="31"/>
      <c r="AO78" s="30"/>
      <c r="AQ78" s="28">
        <v>0</v>
      </c>
      <c r="AR78" s="31"/>
      <c r="AS78" s="30"/>
      <c r="AU78" s="28">
        <v>0</v>
      </c>
      <c r="AV78" s="31"/>
      <c r="AY78" s="28">
        <v>0</v>
      </c>
      <c r="AZ78" s="31"/>
      <c r="BA78" s="30"/>
      <c r="BE78" s="28">
        <v>0</v>
      </c>
      <c r="BF78" s="31"/>
      <c r="BG78" s="30"/>
      <c r="BI78" s="28">
        <v>0</v>
      </c>
      <c r="BJ78" s="31"/>
      <c r="BO78" s="28">
        <v>0</v>
      </c>
      <c r="BP78" s="31"/>
      <c r="BS78" s="28">
        <v>0</v>
      </c>
      <c r="BT78" s="31"/>
      <c r="BU78" s="30"/>
      <c r="BW78" s="28">
        <v>0</v>
      </c>
      <c r="BX78" s="31"/>
      <c r="BY78" s="30"/>
      <c r="CA78" s="28">
        <v>0</v>
      </c>
      <c r="CB78" s="31"/>
      <c r="CE78" s="28">
        <v>0</v>
      </c>
      <c r="CF78" s="31"/>
      <c r="CG78" s="30"/>
      <c r="CJ78" s="28">
        <v>0</v>
      </c>
      <c r="CK78" s="31"/>
      <c r="CL78" s="30"/>
      <c r="CP78" s="28">
        <v>0</v>
      </c>
      <c r="CQ78" s="31"/>
      <c r="CR78" s="30"/>
      <c r="CU78" s="28">
        <v>0</v>
      </c>
      <c r="CV78" s="31"/>
      <c r="CY78" s="28">
        <v>0</v>
      </c>
      <c r="CZ78" s="31"/>
      <c r="DA78" s="33"/>
      <c r="DC78" s="28">
        <v>0</v>
      </c>
      <c r="DD78" s="31"/>
      <c r="DE78" s="30"/>
      <c r="DG78" s="28">
        <v>0</v>
      </c>
      <c r="DH78" s="31"/>
      <c r="DI78" s="30"/>
      <c r="DK78" s="28">
        <v>0</v>
      </c>
      <c r="DL78" s="31"/>
      <c r="DO78" s="28">
        <v>0</v>
      </c>
      <c r="DP78" s="31"/>
      <c r="DS78" s="28">
        <v>0</v>
      </c>
      <c r="DT78" s="31"/>
      <c r="DU78" s="30"/>
      <c r="DX78" s="28">
        <v>0</v>
      </c>
      <c r="DY78" s="31"/>
      <c r="DZ78" s="30"/>
      <c r="EC78" s="28">
        <v>0</v>
      </c>
      <c r="ED78" s="31"/>
      <c r="EG78" s="28">
        <v>0</v>
      </c>
      <c r="EH78" s="31"/>
      <c r="EI78" s="30"/>
      <c r="EN78" s="28">
        <v>0</v>
      </c>
      <c r="EO78" s="31"/>
      <c r="ER78" s="28">
        <v>0</v>
      </c>
      <c r="ES78" s="31"/>
      <c r="ET78" s="30"/>
      <c r="EX78" s="28">
        <v>0</v>
      </c>
      <c r="EY78" s="31"/>
      <c r="FD78" s="28">
        <v>0</v>
      </c>
      <c r="FE78" s="31"/>
      <c r="FH78" s="28">
        <v>0</v>
      </c>
      <c r="FI78" s="31"/>
      <c r="FJ78" s="30"/>
      <c r="FL78" s="28">
        <v>0</v>
      </c>
      <c r="FM78" s="31"/>
      <c r="FN78" s="30"/>
      <c r="FP78" s="28">
        <v>0</v>
      </c>
      <c r="FQ78" s="31"/>
      <c r="FT78" s="28">
        <v>0</v>
      </c>
      <c r="FU78" s="31"/>
      <c r="FV78" s="30"/>
      <c r="FX78" s="28">
        <v>0</v>
      </c>
      <c r="FY78" s="31"/>
      <c r="FZ78" s="30"/>
      <c r="GB78" s="28">
        <v>0</v>
      </c>
      <c r="GC78" s="31"/>
      <c r="GF78" s="28">
        <v>0</v>
      </c>
      <c r="GG78" s="34"/>
      <c r="GJ78" s="28">
        <v>0</v>
      </c>
      <c r="GK78" s="31"/>
      <c r="GN78" s="28">
        <v>0</v>
      </c>
      <c r="GO78" s="34"/>
      <c r="GR78" s="28">
        <v>0</v>
      </c>
      <c r="GS78" s="31"/>
      <c r="GV78" s="28">
        <v>0</v>
      </c>
      <c r="GW78" s="34"/>
      <c r="GZ78" s="28">
        <v>0</v>
      </c>
      <c r="HA78" s="31"/>
      <c r="HB78" s="33"/>
      <c r="HD78" s="28">
        <v>0</v>
      </c>
      <c r="HE78" s="34"/>
      <c r="HH78" s="28">
        <v>0</v>
      </c>
      <c r="HI78" s="34"/>
      <c r="HL78" s="28">
        <v>0</v>
      </c>
      <c r="HM78" s="34"/>
      <c r="HP78" s="28">
        <v>0</v>
      </c>
      <c r="HQ78" s="31"/>
      <c r="HR78" s="29"/>
      <c r="HT78" s="29"/>
      <c r="HV78" s="28">
        <v>0</v>
      </c>
      <c r="HW78" s="34"/>
      <c r="HX78" s="32">
        <v>60.265000000000001</v>
      </c>
      <c r="HY78" s="32">
        <v>60</v>
      </c>
      <c r="HZ78" s="28">
        <v>0.26500000000000062</v>
      </c>
      <c r="IA78" s="34"/>
      <c r="IB78" s="32">
        <v>53.494</v>
      </c>
      <c r="IC78" s="32">
        <v>51.692399999999992</v>
      </c>
      <c r="ID78" s="28">
        <v>1.8016000000000081</v>
      </c>
      <c r="IE78" s="34"/>
      <c r="IF78" s="33">
        <v>0</v>
      </c>
      <c r="IG78" s="32">
        <v>0</v>
      </c>
      <c r="IH78" s="28">
        <v>0</v>
      </c>
      <c r="II78" s="34"/>
    </row>
    <row r="79" spans="1:243" x14ac:dyDescent="0.25">
      <c r="A79" s="28" t="s">
        <v>211</v>
      </c>
      <c r="B79" s="29">
        <v>1</v>
      </c>
      <c r="F79">
        <v>81</v>
      </c>
      <c r="G79">
        <v>80</v>
      </c>
      <c r="J79" s="30"/>
      <c r="K79" s="35"/>
      <c r="L79" s="35"/>
      <c r="M79" s="35"/>
      <c r="N79" s="35">
        <f t="shared" si="5"/>
        <v>0</v>
      </c>
      <c r="O79" s="31"/>
      <c r="P79" s="35"/>
      <c r="Q79">
        <v>66</v>
      </c>
      <c r="R79">
        <v>63</v>
      </c>
      <c r="S79" s="28">
        <v>3</v>
      </c>
      <c r="T79" s="31"/>
      <c r="U79" s="24">
        <v>157</v>
      </c>
      <c r="V79">
        <v>149</v>
      </c>
      <c r="W79" s="28">
        <v>8</v>
      </c>
      <c r="X79" s="31"/>
      <c r="Y79" s="30"/>
      <c r="AA79" s="28">
        <v>0</v>
      </c>
      <c r="AB79" s="31"/>
      <c r="AC79">
        <v>210</v>
      </c>
      <c r="AD79">
        <v>199</v>
      </c>
      <c r="AE79" s="28">
        <v>11</v>
      </c>
      <c r="AF79" s="31"/>
      <c r="AG79" s="24">
        <v>176</v>
      </c>
      <c r="AH79">
        <v>170</v>
      </c>
      <c r="AI79" s="28">
        <v>6</v>
      </c>
      <c r="AJ79" s="31"/>
      <c r="AK79">
        <v>44</v>
      </c>
      <c r="AL79">
        <v>42</v>
      </c>
      <c r="AM79" s="28">
        <v>2</v>
      </c>
      <c r="AN79" s="31"/>
      <c r="AO79" s="24">
        <v>154</v>
      </c>
      <c r="AP79">
        <v>145</v>
      </c>
      <c r="AQ79" s="28">
        <v>9</v>
      </c>
      <c r="AR79" s="31"/>
      <c r="AS79" s="24">
        <v>110</v>
      </c>
      <c r="AT79">
        <v>107</v>
      </c>
      <c r="AU79" s="28">
        <v>3</v>
      </c>
      <c r="AV79" s="31"/>
      <c r="AW79">
        <v>12</v>
      </c>
      <c r="AX79">
        <v>11</v>
      </c>
      <c r="AY79" s="28">
        <v>1</v>
      </c>
      <c r="AZ79" s="31"/>
      <c r="BA79" s="24">
        <v>74</v>
      </c>
      <c r="BB79">
        <v>70</v>
      </c>
      <c r="BC79">
        <v>69</v>
      </c>
      <c r="BD79">
        <v>65</v>
      </c>
      <c r="BE79" s="28">
        <v>8</v>
      </c>
      <c r="BF79" s="31"/>
      <c r="BG79" s="30"/>
      <c r="BI79" s="28">
        <v>0</v>
      </c>
      <c r="BJ79" s="31"/>
      <c r="BM79">
        <v>109</v>
      </c>
      <c r="BN79">
        <v>103</v>
      </c>
      <c r="BO79" s="28">
        <v>6</v>
      </c>
      <c r="BP79" s="31"/>
      <c r="BQ79">
        <v>46</v>
      </c>
      <c r="BR79">
        <v>43</v>
      </c>
      <c r="BS79" s="28">
        <v>3</v>
      </c>
      <c r="BT79" s="31"/>
      <c r="BU79" s="24">
        <v>71</v>
      </c>
      <c r="BV79">
        <v>69</v>
      </c>
      <c r="BW79" s="28">
        <v>2</v>
      </c>
      <c r="BX79" s="31"/>
      <c r="BY79" s="24">
        <v>106</v>
      </c>
      <c r="BZ79">
        <v>100</v>
      </c>
      <c r="CA79" s="28">
        <v>6</v>
      </c>
      <c r="CB79" s="31"/>
      <c r="CC79">
        <v>50</v>
      </c>
      <c r="CD79">
        <v>47</v>
      </c>
      <c r="CE79" s="28">
        <v>3</v>
      </c>
      <c r="CF79" s="31"/>
      <c r="CG79" s="24">
        <v>50</v>
      </c>
      <c r="CI79">
        <v>46</v>
      </c>
      <c r="CJ79" s="28">
        <v>4</v>
      </c>
      <c r="CK79" s="31"/>
      <c r="CL79" s="30"/>
      <c r="CN79">
        <v>78</v>
      </c>
      <c r="CO79">
        <v>73</v>
      </c>
      <c r="CP79" s="28">
        <v>5</v>
      </c>
      <c r="CQ79" s="31"/>
      <c r="CR79" s="24">
        <v>103</v>
      </c>
      <c r="CT79">
        <v>99</v>
      </c>
      <c r="CU79" s="28">
        <v>4</v>
      </c>
      <c r="CV79" s="31"/>
      <c r="CW79">
        <v>124</v>
      </c>
      <c r="CX79" s="28">
        <v>117.9884</v>
      </c>
      <c r="CY79" s="28">
        <v>6.0116000000000014</v>
      </c>
      <c r="CZ79" s="31"/>
      <c r="DA79" s="24">
        <v>9</v>
      </c>
      <c r="DB79" s="28">
        <v>6.8859999999999957</v>
      </c>
      <c r="DC79" s="28">
        <v>2.1140000000000039</v>
      </c>
      <c r="DD79" s="31"/>
      <c r="DE79" s="24">
        <v>43</v>
      </c>
      <c r="DF79" s="28">
        <v>40.9816</v>
      </c>
      <c r="DG79" s="28">
        <v>2.0184000000000002</v>
      </c>
      <c r="DH79" s="31"/>
      <c r="DI79" s="24">
        <v>50</v>
      </c>
      <c r="DJ79">
        <v>48</v>
      </c>
      <c r="DK79" s="28">
        <v>2</v>
      </c>
      <c r="DL79" s="31"/>
      <c r="DM79">
        <v>87</v>
      </c>
      <c r="DN79" s="32">
        <v>81.807799999999972</v>
      </c>
      <c r="DO79" s="28">
        <v>5.1922000000000281</v>
      </c>
      <c r="DP79" s="31"/>
      <c r="DQ79">
        <v>126</v>
      </c>
      <c r="DR79">
        <v>123</v>
      </c>
      <c r="DS79" s="28">
        <v>3</v>
      </c>
      <c r="DT79" s="31"/>
      <c r="DU79" s="30"/>
      <c r="DX79" s="28">
        <v>0</v>
      </c>
      <c r="DY79" s="31"/>
      <c r="DZ79" s="30"/>
      <c r="EC79" s="28">
        <v>0</v>
      </c>
      <c r="ED79" s="31"/>
      <c r="EG79" s="28">
        <v>0</v>
      </c>
      <c r="EH79" s="31"/>
      <c r="EI79" s="30"/>
      <c r="EJ79">
        <v>85</v>
      </c>
      <c r="EK79">
        <v>80</v>
      </c>
      <c r="EL79">
        <v>74</v>
      </c>
      <c r="EM79">
        <v>71</v>
      </c>
      <c r="EN79" s="28">
        <v>8</v>
      </c>
      <c r="EO79" s="31"/>
      <c r="ER79" s="28">
        <v>0</v>
      </c>
      <c r="ES79" s="31"/>
      <c r="ET79" s="30"/>
      <c r="EX79" s="28">
        <v>0</v>
      </c>
      <c r="EY79" s="31"/>
      <c r="EZ79">
        <v>83</v>
      </c>
      <c r="FA79">
        <v>80</v>
      </c>
      <c r="FB79">
        <v>92</v>
      </c>
      <c r="FC79">
        <v>90</v>
      </c>
      <c r="FD79" s="28">
        <v>5</v>
      </c>
      <c r="FE79" s="31"/>
      <c r="FH79" s="28">
        <v>0</v>
      </c>
      <c r="FI79" s="31"/>
      <c r="FJ79" s="24">
        <v>106</v>
      </c>
      <c r="FK79">
        <v>100</v>
      </c>
      <c r="FL79" s="28">
        <v>6</v>
      </c>
      <c r="FM79" s="31"/>
      <c r="FN79" s="24">
        <v>44</v>
      </c>
      <c r="FO79">
        <v>40</v>
      </c>
      <c r="FP79" s="28">
        <v>4</v>
      </c>
      <c r="FQ79" s="31"/>
      <c r="FT79" s="28">
        <v>0</v>
      </c>
      <c r="FU79" s="31"/>
      <c r="FV79" s="24">
        <v>88</v>
      </c>
      <c r="FW79">
        <v>80</v>
      </c>
      <c r="FX79" s="28">
        <v>8</v>
      </c>
      <c r="FY79" s="31"/>
      <c r="FZ79" s="24">
        <v>56</v>
      </c>
      <c r="GA79">
        <v>55</v>
      </c>
      <c r="GB79" s="28">
        <v>1</v>
      </c>
      <c r="GC79" s="31"/>
      <c r="GD79">
        <v>6</v>
      </c>
      <c r="GE79">
        <v>6</v>
      </c>
      <c r="GF79" s="28">
        <v>0</v>
      </c>
      <c r="GG79" s="34"/>
      <c r="GH79">
        <v>59</v>
      </c>
      <c r="GI79">
        <v>60</v>
      </c>
      <c r="GJ79" s="28">
        <v>-1</v>
      </c>
      <c r="GK79" s="31"/>
      <c r="GL79">
        <v>21</v>
      </c>
      <c r="GM79">
        <v>20</v>
      </c>
      <c r="GN79" s="28">
        <v>1</v>
      </c>
      <c r="GO79" s="34"/>
      <c r="GP79">
        <v>51</v>
      </c>
      <c r="GQ79">
        <v>51</v>
      </c>
      <c r="GR79" s="28">
        <v>0</v>
      </c>
      <c r="GS79" s="31"/>
      <c r="GT79">
        <v>18</v>
      </c>
      <c r="GU79">
        <v>20</v>
      </c>
      <c r="GV79" s="28">
        <v>-2</v>
      </c>
      <c r="GW79" s="34"/>
      <c r="GZ79" s="28">
        <v>0</v>
      </c>
      <c r="HA79" s="31"/>
      <c r="HB79" s="33"/>
      <c r="HD79" s="28">
        <v>0</v>
      </c>
      <c r="HE79" s="34"/>
      <c r="HF79">
        <v>45</v>
      </c>
      <c r="HG79">
        <v>45</v>
      </c>
      <c r="HH79" s="28">
        <v>0</v>
      </c>
      <c r="HI79" s="34"/>
      <c r="HL79" s="28">
        <v>0</v>
      </c>
      <c r="HM79" s="34"/>
      <c r="HN79">
        <v>30</v>
      </c>
      <c r="HO79">
        <v>29</v>
      </c>
      <c r="HP79" s="28">
        <v>1</v>
      </c>
      <c r="HQ79" s="31"/>
      <c r="HR79">
        <v>12</v>
      </c>
      <c r="HS79">
        <v>10</v>
      </c>
      <c r="HT79" s="29"/>
      <c r="HV79" s="28">
        <v>2</v>
      </c>
      <c r="HW79" s="34"/>
      <c r="IA79" s="34"/>
      <c r="IE79" s="34"/>
      <c r="IF79" s="33"/>
      <c r="II79" s="34"/>
    </row>
    <row r="80" spans="1:243" x14ac:dyDescent="0.25">
      <c r="A80" s="28" t="s">
        <v>212</v>
      </c>
      <c r="B80" s="29">
        <v>0.4</v>
      </c>
      <c r="J80" s="30"/>
      <c r="K80" s="35"/>
      <c r="L80" s="35"/>
      <c r="M80" s="35"/>
      <c r="N80" s="35">
        <f t="shared" si="5"/>
        <v>0</v>
      </c>
      <c r="O80" s="31"/>
      <c r="P80" s="35"/>
      <c r="R80">
        <v>35</v>
      </c>
      <c r="S80" s="27">
        <v>-35</v>
      </c>
      <c r="T80" s="31">
        <v>14</v>
      </c>
      <c r="U80" s="24">
        <v>24</v>
      </c>
      <c r="V80">
        <v>24</v>
      </c>
      <c r="W80" s="28">
        <v>0</v>
      </c>
      <c r="X80" s="31"/>
      <c r="Y80" s="30"/>
      <c r="Z80">
        <v>8</v>
      </c>
      <c r="AA80" s="27">
        <v>-8</v>
      </c>
      <c r="AB80" s="31">
        <v>3.2</v>
      </c>
      <c r="AC80">
        <v>36</v>
      </c>
      <c r="AD80">
        <v>37</v>
      </c>
      <c r="AE80" s="28">
        <v>-1</v>
      </c>
      <c r="AF80" s="31"/>
      <c r="AG80" s="30"/>
      <c r="AI80" s="28">
        <v>0</v>
      </c>
      <c r="AJ80" s="31"/>
      <c r="AK80">
        <v>6</v>
      </c>
      <c r="AL80">
        <v>5</v>
      </c>
      <c r="AM80" s="28">
        <v>1</v>
      </c>
      <c r="AN80" s="31"/>
      <c r="AO80" s="24">
        <v>6</v>
      </c>
      <c r="AP80">
        <v>9</v>
      </c>
      <c r="AQ80" s="28">
        <v>-3</v>
      </c>
      <c r="AR80" s="31"/>
      <c r="AS80" s="30"/>
      <c r="AU80" s="28">
        <v>0</v>
      </c>
      <c r="AV80" s="31"/>
      <c r="AY80" s="28">
        <v>0</v>
      </c>
      <c r="AZ80" s="31"/>
      <c r="BA80" s="30"/>
      <c r="BB80">
        <v>16</v>
      </c>
      <c r="BC80">
        <v>30</v>
      </c>
      <c r="BD80">
        <v>28</v>
      </c>
      <c r="BE80" s="27">
        <v>-14</v>
      </c>
      <c r="BF80" s="31">
        <v>13.6</v>
      </c>
      <c r="BG80" s="24">
        <v>6</v>
      </c>
      <c r="BH80">
        <v>6</v>
      </c>
      <c r="BI80" s="28">
        <v>0</v>
      </c>
      <c r="BJ80" s="31"/>
      <c r="BO80" s="28">
        <v>0</v>
      </c>
      <c r="BP80" s="31"/>
      <c r="BQ80">
        <v>36</v>
      </c>
      <c r="BR80">
        <v>38</v>
      </c>
      <c r="BS80" s="28">
        <v>-2</v>
      </c>
      <c r="BT80" s="31"/>
      <c r="BU80" s="30"/>
      <c r="BW80" s="28">
        <v>0</v>
      </c>
      <c r="BX80" s="31"/>
      <c r="BY80" s="24">
        <v>30</v>
      </c>
      <c r="BZ80" s="28">
        <v>30</v>
      </c>
      <c r="CA80" s="28">
        <v>0</v>
      </c>
      <c r="CB80" s="31"/>
      <c r="CE80" s="28">
        <v>0</v>
      </c>
      <c r="CF80" s="31"/>
      <c r="CG80" s="30"/>
      <c r="CJ80" s="28">
        <v>0</v>
      </c>
      <c r="CK80" s="31"/>
      <c r="CL80" s="30"/>
      <c r="CP80" s="28">
        <v>0</v>
      </c>
      <c r="CQ80" s="31"/>
      <c r="CR80" s="30"/>
      <c r="CU80" s="28">
        <v>0</v>
      </c>
      <c r="CV80" s="31"/>
      <c r="CY80" s="28">
        <v>0</v>
      </c>
      <c r="CZ80" s="31"/>
      <c r="DA80" s="33"/>
      <c r="DC80" s="28">
        <v>0</v>
      </c>
      <c r="DD80" s="31"/>
      <c r="DE80" s="30"/>
      <c r="DG80" s="28">
        <v>0</v>
      </c>
      <c r="DH80" s="31"/>
      <c r="DI80" s="30"/>
      <c r="DK80" s="28">
        <v>0</v>
      </c>
      <c r="DL80" s="31"/>
      <c r="DO80" s="28">
        <v>0</v>
      </c>
      <c r="DP80" s="31"/>
      <c r="DS80" s="28">
        <v>0</v>
      </c>
      <c r="DT80" s="31"/>
      <c r="DU80" s="30"/>
      <c r="DX80" s="28">
        <v>0</v>
      </c>
      <c r="DY80" s="31"/>
      <c r="DZ80" s="30"/>
      <c r="EC80" s="28">
        <v>0</v>
      </c>
      <c r="ED80" s="31"/>
      <c r="EG80" s="28">
        <v>0</v>
      </c>
      <c r="EH80" s="31"/>
      <c r="EI80" s="30"/>
      <c r="EN80" s="28">
        <v>0</v>
      </c>
      <c r="EO80" s="31"/>
      <c r="ER80" s="28">
        <v>0</v>
      </c>
      <c r="ES80" s="31"/>
      <c r="ET80" s="30"/>
      <c r="EX80" s="28">
        <v>0</v>
      </c>
      <c r="EY80" s="31"/>
      <c r="FD80" s="28">
        <v>0</v>
      </c>
      <c r="FE80" s="31"/>
      <c r="FH80" s="28">
        <v>0</v>
      </c>
      <c r="FI80" s="31"/>
      <c r="FJ80" s="30"/>
      <c r="FL80" s="28">
        <v>0</v>
      </c>
      <c r="FM80" s="31"/>
      <c r="FN80" s="30"/>
      <c r="FP80" s="28">
        <v>0</v>
      </c>
      <c r="FQ80" s="31"/>
      <c r="FT80" s="28">
        <v>0</v>
      </c>
      <c r="FU80" s="31"/>
      <c r="FV80" s="30"/>
      <c r="FX80" s="28">
        <v>0</v>
      </c>
      <c r="FY80" s="31"/>
      <c r="FZ80" s="30"/>
      <c r="GB80" s="28">
        <v>0</v>
      </c>
      <c r="GC80" s="31"/>
      <c r="GF80" s="28">
        <v>0</v>
      </c>
      <c r="GG80" s="34"/>
      <c r="GJ80" s="28">
        <v>0</v>
      </c>
      <c r="GK80" s="31"/>
      <c r="GN80" s="28">
        <v>0</v>
      </c>
      <c r="GO80" s="34"/>
      <c r="GR80" s="28">
        <v>0</v>
      </c>
      <c r="GS80" s="31"/>
      <c r="GV80" s="28">
        <v>0</v>
      </c>
      <c r="GW80" s="34"/>
      <c r="GZ80" s="28">
        <v>0</v>
      </c>
      <c r="HA80" s="31"/>
      <c r="HB80" s="33"/>
      <c r="HD80" s="28">
        <v>0</v>
      </c>
      <c r="HE80" s="34"/>
      <c r="HH80" s="28">
        <v>0</v>
      </c>
      <c r="HI80" s="34"/>
      <c r="HL80" s="28">
        <v>0</v>
      </c>
      <c r="HM80" s="34"/>
      <c r="HP80" s="28">
        <v>0</v>
      </c>
      <c r="HQ80" s="31"/>
      <c r="HR80" s="29"/>
      <c r="HT80" s="29"/>
      <c r="HV80" s="28">
        <v>0</v>
      </c>
      <c r="HW80" s="34"/>
      <c r="HX80" s="32">
        <v>0</v>
      </c>
      <c r="HY80" s="32">
        <v>0</v>
      </c>
      <c r="HZ80" s="28">
        <v>0</v>
      </c>
      <c r="IA80" s="34"/>
      <c r="IB80" s="32">
        <v>0</v>
      </c>
      <c r="IC80" s="32">
        <v>0</v>
      </c>
      <c r="ID80" s="28">
        <v>0</v>
      </c>
      <c r="IE80" s="34"/>
      <c r="IF80" s="33">
        <v>0</v>
      </c>
      <c r="IG80" s="32">
        <v>0</v>
      </c>
      <c r="IH80" s="28">
        <v>0</v>
      </c>
      <c r="II80" s="34"/>
    </row>
    <row r="81" spans="1:243" x14ac:dyDescent="0.25">
      <c r="A81" s="28" t="s">
        <v>213</v>
      </c>
      <c r="B81" s="29">
        <v>0.3</v>
      </c>
      <c r="F81">
        <v>8</v>
      </c>
      <c r="G81">
        <v>8</v>
      </c>
      <c r="J81" s="24">
        <v>56</v>
      </c>
      <c r="K81" s="36">
        <v>60</v>
      </c>
      <c r="L81" s="36">
        <v>32</v>
      </c>
      <c r="M81" s="36">
        <v>34</v>
      </c>
      <c r="N81" s="35">
        <f t="shared" si="5"/>
        <v>-6</v>
      </c>
      <c r="O81" s="31"/>
      <c r="P81" s="35"/>
      <c r="Q81">
        <v>104</v>
      </c>
      <c r="R81">
        <v>103</v>
      </c>
      <c r="S81" s="28">
        <v>1</v>
      </c>
      <c r="T81" s="31"/>
      <c r="U81" s="24">
        <v>168</v>
      </c>
      <c r="V81">
        <v>168</v>
      </c>
      <c r="W81" s="28">
        <v>0</v>
      </c>
      <c r="X81" s="31"/>
      <c r="Y81" s="24">
        <v>160</v>
      </c>
      <c r="Z81">
        <v>161</v>
      </c>
      <c r="AA81" s="28">
        <v>-1</v>
      </c>
      <c r="AB81" s="31"/>
      <c r="AC81">
        <v>80</v>
      </c>
      <c r="AD81">
        <v>82</v>
      </c>
      <c r="AE81" s="28">
        <v>-2</v>
      </c>
      <c r="AF81" s="31"/>
      <c r="AG81" s="24">
        <v>104</v>
      </c>
      <c r="AH81">
        <v>107</v>
      </c>
      <c r="AI81" s="28">
        <v>-3</v>
      </c>
      <c r="AJ81" s="31"/>
      <c r="AK81">
        <v>192</v>
      </c>
      <c r="AL81">
        <v>192</v>
      </c>
      <c r="AM81" s="28">
        <v>0</v>
      </c>
      <c r="AN81" s="31"/>
      <c r="AO81" s="30"/>
      <c r="AQ81" s="28">
        <v>0</v>
      </c>
      <c r="AR81" s="31"/>
      <c r="AS81" s="24">
        <v>104</v>
      </c>
      <c r="AT81">
        <v>104</v>
      </c>
      <c r="AU81" s="28">
        <v>0</v>
      </c>
      <c r="AV81" s="31"/>
      <c r="AW81">
        <v>152</v>
      </c>
      <c r="AX81">
        <v>155</v>
      </c>
      <c r="AY81" s="28">
        <v>-3</v>
      </c>
      <c r="AZ81" s="31"/>
      <c r="BA81" s="24">
        <v>24</v>
      </c>
      <c r="BB81">
        <v>24</v>
      </c>
      <c r="BC81">
        <v>24</v>
      </c>
      <c r="BD81">
        <v>35</v>
      </c>
      <c r="BE81" s="27">
        <v>-11</v>
      </c>
      <c r="BF81" s="31">
        <v>10.7</v>
      </c>
      <c r="BG81" s="24">
        <v>88</v>
      </c>
      <c r="BH81">
        <v>92</v>
      </c>
      <c r="BI81" s="28">
        <v>-4</v>
      </c>
      <c r="BJ81" s="31"/>
      <c r="BM81">
        <v>112</v>
      </c>
      <c r="BN81">
        <v>117</v>
      </c>
      <c r="BO81" s="28">
        <v>-5</v>
      </c>
      <c r="BP81" s="31"/>
      <c r="BQ81">
        <v>32</v>
      </c>
      <c r="BR81">
        <v>33</v>
      </c>
      <c r="BS81" s="28">
        <v>-1</v>
      </c>
      <c r="BT81" s="31"/>
      <c r="BU81" s="24">
        <v>128</v>
      </c>
      <c r="BV81">
        <v>131</v>
      </c>
      <c r="BW81" s="28">
        <v>-3</v>
      </c>
      <c r="BX81" s="31"/>
      <c r="BY81" s="30"/>
      <c r="CA81" s="28">
        <v>0</v>
      </c>
      <c r="CB81" s="31"/>
      <c r="CC81">
        <v>64</v>
      </c>
      <c r="CD81">
        <v>69</v>
      </c>
      <c r="CE81" s="28">
        <v>-5</v>
      </c>
      <c r="CF81" s="31"/>
      <c r="CG81" s="24">
        <v>144</v>
      </c>
      <c r="CI81">
        <v>144</v>
      </c>
      <c r="CJ81" s="28">
        <v>0</v>
      </c>
      <c r="CK81" s="31"/>
      <c r="CL81" s="30"/>
      <c r="CN81">
        <v>64</v>
      </c>
      <c r="CO81">
        <v>66</v>
      </c>
      <c r="CP81" s="28">
        <v>-2</v>
      </c>
      <c r="CQ81" s="31"/>
      <c r="CR81" s="24">
        <v>88</v>
      </c>
      <c r="CT81">
        <v>91</v>
      </c>
      <c r="CU81" s="28">
        <v>-3</v>
      </c>
      <c r="CV81" s="31"/>
      <c r="CW81">
        <v>56</v>
      </c>
      <c r="CX81" s="28">
        <v>58</v>
      </c>
      <c r="CY81" s="28">
        <v>-2</v>
      </c>
      <c r="CZ81" s="31"/>
      <c r="DA81" s="33"/>
      <c r="DC81" s="28">
        <v>0</v>
      </c>
      <c r="DD81" s="31"/>
      <c r="DE81" s="24">
        <v>32</v>
      </c>
      <c r="DF81" s="28">
        <v>30.2</v>
      </c>
      <c r="DG81" s="28">
        <v>1.8000000000000009</v>
      </c>
      <c r="DH81" s="31"/>
      <c r="DI81" s="24">
        <v>64</v>
      </c>
      <c r="DJ81">
        <v>65</v>
      </c>
      <c r="DK81" s="28">
        <v>-1</v>
      </c>
      <c r="DL81" s="31"/>
      <c r="DO81" s="28">
        <v>0</v>
      </c>
      <c r="DP81" s="31"/>
      <c r="DQ81">
        <v>72</v>
      </c>
      <c r="DR81">
        <v>71</v>
      </c>
      <c r="DS81" s="28">
        <v>1</v>
      </c>
      <c r="DT81" s="31"/>
      <c r="DU81" s="30"/>
      <c r="DX81" s="28">
        <v>0</v>
      </c>
      <c r="DY81" s="31"/>
      <c r="DZ81" s="30"/>
      <c r="EC81" s="28">
        <v>0</v>
      </c>
      <c r="ED81" s="31"/>
      <c r="EG81" s="28">
        <v>0</v>
      </c>
      <c r="EH81" s="31"/>
      <c r="EI81" s="30"/>
      <c r="EJ81">
        <v>96</v>
      </c>
      <c r="EK81" s="32">
        <v>100</v>
      </c>
      <c r="EN81" s="28">
        <v>-4</v>
      </c>
      <c r="EO81" s="31"/>
      <c r="ER81" s="28">
        <v>0</v>
      </c>
      <c r="ES81" s="31"/>
      <c r="ET81" s="30"/>
      <c r="EY81" s="31"/>
      <c r="FE81" s="31"/>
      <c r="FI81" s="31"/>
      <c r="FJ81" s="30"/>
      <c r="FM81" s="31"/>
      <c r="FN81" s="30"/>
      <c r="FQ81" s="31"/>
      <c r="FU81" s="31"/>
      <c r="FV81" s="30"/>
      <c r="FY81" s="31"/>
      <c r="FZ81" s="30"/>
      <c r="GC81" s="31"/>
      <c r="GE81" s="29"/>
      <c r="GG81" s="34"/>
      <c r="GK81" s="31"/>
      <c r="GO81" s="34"/>
      <c r="GS81" s="31"/>
      <c r="GW81" s="34"/>
      <c r="HA81" s="31"/>
      <c r="HB81" s="33"/>
      <c r="HE81" s="34"/>
      <c r="HI81" s="34"/>
      <c r="HM81" s="34"/>
      <c r="HQ81" s="31"/>
      <c r="HR81" s="29"/>
      <c r="HT81" s="29"/>
      <c r="HW81" s="34"/>
      <c r="HX81" s="32"/>
      <c r="HY81" s="32"/>
      <c r="IA81" s="34"/>
      <c r="IB81" s="32"/>
      <c r="IC81" s="32"/>
      <c r="IE81" s="34"/>
      <c r="IF81" s="33"/>
      <c r="IG81" s="32"/>
      <c r="II81" s="34"/>
    </row>
    <row r="82" spans="1:243" x14ac:dyDescent="0.25">
      <c r="A82" s="28" t="s">
        <v>214</v>
      </c>
      <c r="B82" s="29">
        <v>1</v>
      </c>
      <c r="J82" s="30"/>
      <c r="K82" s="35"/>
      <c r="L82" s="35"/>
      <c r="M82" s="35"/>
      <c r="N82" s="35">
        <f t="shared" si="5"/>
        <v>0</v>
      </c>
      <c r="O82" s="31"/>
      <c r="P82" s="35"/>
      <c r="S82" s="28">
        <v>0</v>
      </c>
      <c r="T82" s="31"/>
      <c r="U82" s="30"/>
      <c r="W82" s="28">
        <v>0</v>
      </c>
      <c r="X82" s="31"/>
      <c r="Y82" s="30"/>
      <c r="AA82" s="28">
        <v>0</v>
      </c>
      <c r="AB82" s="31"/>
      <c r="AE82" s="28">
        <v>0</v>
      </c>
      <c r="AF82" s="31"/>
      <c r="AG82" s="30"/>
      <c r="AI82" s="28">
        <v>0</v>
      </c>
      <c r="AJ82" s="31"/>
      <c r="AM82" s="28">
        <v>0</v>
      </c>
      <c r="AN82" s="31"/>
      <c r="AO82" s="30"/>
      <c r="AQ82" s="28">
        <v>0</v>
      </c>
      <c r="AR82" s="31"/>
      <c r="AS82" s="30"/>
      <c r="AU82" s="28">
        <v>0</v>
      </c>
      <c r="AV82" s="31"/>
      <c r="AY82" s="28">
        <v>0</v>
      </c>
      <c r="AZ82" s="31"/>
      <c r="BA82" s="30"/>
      <c r="BE82" s="28">
        <v>0</v>
      </c>
      <c r="BF82" s="31"/>
      <c r="BG82" s="30"/>
      <c r="BI82" s="28">
        <v>0</v>
      </c>
      <c r="BJ82" s="31"/>
      <c r="BO82" s="28">
        <v>0</v>
      </c>
      <c r="BP82" s="31"/>
      <c r="BS82" s="28">
        <v>0</v>
      </c>
      <c r="BT82" s="31"/>
      <c r="BU82" s="30"/>
      <c r="BW82" s="28">
        <v>0</v>
      </c>
      <c r="BX82" s="31"/>
      <c r="BY82" s="30"/>
      <c r="CA82" s="28">
        <v>0</v>
      </c>
      <c r="CB82" s="31"/>
      <c r="CE82" s="28">
        <v>0</v>
      </c>
      <c r="CF82" s="31"/>
      <c r="CG82" s="30"/>
      <c r="CJ82" s="28">
        <v>0</v>
      </c>
      <c r="CK82" s="31"/>
      <c r="CL82" s="30"/>
      <c r="CP82" s="28">
        <v>0</v>
      </c>
      <c r="CQ82" s="31"/>
      <c r="CR82" s="24">
        <v>58</v>
      </c>
      <c r="CT82">
        <v>52</v>
      </c>
      <c r="CU82" s="28">
        <v>6</v>
      </c>
      <c r="CV82" s="31"/>
      <c r="CW82">
        <v>7</v>
      </c>
      <c r="CX82" s="28">
        <v>4</v>
      </c>
      <c r="CY82" s="28">
        <v>3</v>
      </c>
      <c r="CZ82" s="31"/>
      <c r="DA82" s="24">
        <v>14</v>
      </c>
      <c r="DB82" s="28">
        <v>13.298</v>
      </c>
      <c r="DC82" s="28">
        <v>0.70199999999999996</v>
      </c>
      <c r="DD82" s="31"/>
      <c r="DE82" s="30"/>
      <c r="DG82" s="28">
        <v>0</v>
      </c>
      <c r="DH82" s="31"/>
      <c r="DI82" s="30"/>
      <c r="DK82" s="28">
        <v>0</v>
      </c>
      <c r="DL82" s="31"/>
      <c r="DM82">
        <v>87</v>
      </c>
      <c r="DN82" s="32">
        <v>78.597999999999999</v>
      </c>
      <c r="DO82" s="28">
        <v>8.402000000000001</v>
      </c>
      <c r="DP82" s="31"/>
      <c r="DS82" s="28">
        <v>0</v>
      </c>
      <c r="DT82" s="31"/>
      <c r="DU82" s="24">
        <v>65</v>
      </c>
      <c r="DW82">
        <v>60</v>
      </c>
      <c r="DX82" s="28">
        <v>5</v>
      </c>
      <c r="DY82" s="31"/>
      <c r="DZ82" s="30"/>
      <c r="EC82" s="28">
        <v>0</v>
      </c>
      <c r="ED82" s="31"/>
      <c r="EG82" s="28">
        <v>0</v>
      </c>
      <c r="EH82" s="31"/>
      <c r="EI82" s="30"/>
      <c r="EJ82" s="32">
        <v>35</v>
      </c>
      <c r="EK82" s="32">
        <v>30</v>
      </c>
      <c r="EN82" s="28">
        <v>5</v>
      </c>
      <c r="EO82" s="31"/>
      <c r="ER82" s="28">
        <v>0</v>
      </c>
      <c r="ES82" s="31"/>
      <c r="ET82" s="30"/>
      <c r="EY82" s="31"/>
      <c r="FE82" s="31"/>
      <c r="FI82" s="31"/>
      <c r="FJ82" s="30"/>
      <c r="FM82" s="31"/>
      <c r="FN82" s="30"/>
      <c r="FQ82" s="31"/>
      <c r="FU82" s="31"/>
      <c r="FV82" s="30"/>
      <c r="FY82" s="31"/>
      <c r="FZ82" s="30"/>
      <c r="GC82" s="31"/>
      <c r="GE82" s="29"/>
      <c r="GG82" s="34"/>
      <c r="GK82" s="31"/>
      <c r="GO82" s="34"/>
      <c r="GS82" s="31"/>
      <c r="GW82" s="34"/>
      <c r="HA82" s="31"/>
      <c r="HB82" s="33"/>
      <c r="HE82" s="34"/>
      <c r="HI82" s="34"/>
      <c r="HM82" s="34"/>
      <c r="HQ82" s="31"/>
      <c r="HR82" s="29"/>
      <c r="HT82" s="29"/>
      <c r="HW82" s="34"/>
      <c r="HX82" s="32"/>
      <c r="HY82" s="32"/>
      <c r="IA82" s="34"/>
      <c r="IB82" s="32"/>
      <c r="IC82" s="32"/>
      <c r="IE82" s="34"/>
      <c r="IF82" s="33"/>
      <c r="IG82" s="32"/>
      <c r="II82" s="34"/>
    </row>
    <row r="83" spans="1:243" x14ac:dyDescent="0.25">
      <c r="A83" s="28" t="s">
        <v>215</v>
      </c>
      <c r="B83" s="29">
        <v>1</v>
      </c>
      <c r="J83" s="30"/>
      <c r="K83" s="35"/>
      <c r="L83" s="35"/>
      <c r="M83" s="35"/>
      <c r="N83" s="35">
        <f t="shared" si="5"/>
        <v>0</v>
      </c>
      <c r="O83" s="31"/>
      <c r="P83" s="35"/>
      <c r="S83" s="28">
        <v>0</v>
      </c>
      <c r="T83" s="31"/>
      <c r="U83" s="30"/>
      <c r="W83" s="28">
        <v>0</v>
      </c>
      <c r="X83" s="31"/>
      <c r="Y83" s="30"/>
      <c r="AA83" s="28">
        <v>0</v>
      </c>
      <c r="AB83" s="31"/>
      <c r="AE83" s="28">
        <v>0</v>
      </c>
      <c r="AF83" s="31"/>
      <c r="AG83" s="30"/>
      <c r="AI83" s="28">
        <v>0</v>
      </c>
      <c r="AJ83" s="31"/>
      <c r="AM83" s="28">
        <v>0</v>
      </c>
      <c r="AN83" s="31"/>
      <c r="AO83" s="30"/>
      <c r="AQ83" s="28">
        <v>0</v>
      </c>
      <c r="AR83" s="31"/>
      <c r="AS83" s="30"/>
      <c r="AU83" s="28">
        <v>0</v>
      </c>
      <c r="AV83" s="31"/>
      <c r="AY83" s="28">
        <v>0</v>
      </c>
      <c r="AZ83" s="31"/>
      <c r="BA83" s="30"/>
      <c r="BE83" s="28">
        <v>0</v>
      </c>
      <c r="BF83" s="31"/>
      <c r="BG83" s="30"/>
      <c r="BI83" s="28">
        <v>0</v>
      </c>
      <c r="BJ83" s="31"/>
      <c r="BO83" s="28">
        <v>0</v>
      </c>
      <c r="BP83" s="31"/>
      <c r="BS83" s="28">
        <v>0</v>
      </c>
      <c r="BT83" s="31"/>
      <c r="BU83" s="30"/>
      <c r="BW83" s="28">
        <v>0</v>
      </c>
      <c r="BX83" s="31"/>
      <c r="BY83" s="30"/>
      <c r="CA83" s="28">
        <v>0</v>
      </c>
      <c r="CB83" s="31"/>
      <c r="CE83" s="28">
        <v>0</v>
      </c>
      <c r="CF83" s="31"/>
      <c r="CG83" s="30"/>
      <c r="CJ83" s="28">
        <v>0</v>
      </c>
      <c r="CK83" s="31"/>
      <c r="CL83" s="30"/>
      <c r="CP83" s="28">
        <v>0</v>
      </c>
      <c r="CQ83" s="31"/>
      <c r="CR83" s="30"/>
      <c r="CU83" s="28">
        <v>0</v>
      </c>
      <c r="CV83" s="31"/>
      <c r="CY83" s="28">
        <v>0</v>
      </c>
      <c r="CZ83" s="31"/>
      <c r="DA83" s="33"/>
      <c r="DC83" s="28">
        <v>0</v>
      </c>
      <c r="DD83" s="31"/>
      <c r="DE83" s="30"/>
      <c r="DG83" s="28">
        <v>0</v>
      </c>
      <c r="DH83" s="31"/>
      <c r="DI83" s="30"/>
      <c r="DK83" s="28">
        <v>0</v>
      </c>
      <c r="DL83" s="31"/>
      <c r="DO83" s="28">
        <v>0</v>
      </c>
      <c r="DP83" s="31"/>
      <c r="DS83" s="28">
        <v>0</v>
      </c>
      <c r="DT83" s="31"/>
      <c r="DU83" s="30"/>
      <c r="DX83" s="28">
        <v>0</v>
      </c>
      <c r="DY83" s="31"/>
      <c r="DZ83" s="30"/>
      <c r="EC83" s="28">
        <v>0</v>
      </c>
      <c r="ED83" s="31"/>
      <c r="EG83" s="28">
        <v>0</v>
      </c>
      <c r="EH83" s="31"/>
      <c r="EI83" s="30"/>
      <c r="EN83" s="28">
        <v>0</v>
      </c>
      <c r="EO83" s="31"/>
      <c r="ER83" s="28">
        <v>0</v>
      </c>
      <c r="ES83" s="31"/>
      <c r="ET83" s="30"/>
      <c r="EX83" s="28">
        <v>0</v>
      </c>
      <c r="EY83" s="31"/>
      <c r="FD83" s="28">
        <v>0</v>
      </c>
      <c r="FE83" s="31"/>
      <c r="FH83" s="28">
        <v>0</v>
      </c>
      <c r="FI83" s="31"/>
      <c r="FJ83" s="30"/>
      <c r="FL83" s="28">
        <v>0</v>
      </c>
      <c r="FM83" s="31"/>
      <c r="FN83" s="30"/>
      <c r="FP83" s="28">
        <v>0</v>
      </c>
      <c r="FQ83" s="31"/>
      <c r="FT83" s="28">
        <v>0</v>
      </c>
      <c r="FU83" s="31"/>
      <c r="FV83" s="30"/>
      <c r="FX83" s="28">
        <v>0</v>
      </c>
      <c r="FY83" s="31"/>
      <c r="FZ83" s="30"/>
      <c r="GB83" s="28">
        <v>0</v>
      </c>
      <c r="GC83" s="31"/>
      <c r="GF83" s="28">
        <v>0</v>
      </c>
      <c r="GG83" s="34"/>
      <c r="GJ83" s="28">
        <v>0</v>
      </c>
      <c r="GK83" s="31"/>
      <c r="GN83" s="28">
        <v>0</v>
      </c>
      <c r="GO83" s="34"/>
      <c r="GR83" s="28">
        <v>0</v>
      </c>
      <c r="GS83" s="31"/>
      <c r="GV83" s="28">
        <v>0</v>
      </c>
      <c r="GW83" s="34"/>
      <c r="GZ83" s="28">
        <v>0</v>
      </c>
      <c r="HA83" s="31"/>
      <c r="HB83" s="33"/>
      <c r="HD83" s="28">
        <v>0</v>
      </c>
      <c r="HE83" s="34"/>
      <c r="HH83" s="28">
        <v>0</v>
      </c>
      <c r="HI83" s="34"/>
      <c r="HL83" s="28">
        <v>0</v>
      </c>
      <c r="HM83" s="34"/>
      <c r="HP83" s="28">
        <v>0</v>
      </c>
      <c r="HQ83" s="31"/>
      <c r="HR83" s="29"/>
      <c r="HT83" s="29"/>
      <c r="HV83" s="28">
        <v>0</v>
      </c>
      <c r="HW83" s="34"/>
      <c r="HX83" s="32">
        <v>0</v>
      </c>
      <c r="HY83" s="32">
        <v>0</v>
      </c>
      <c r="HZ83" s="28">
        <v>0</v>
      </c>
      <c r="IA83" s="34"/>
      <c r="IB83" s="32">
        <v>0</v>
      </c>
      <c r="IC83" s="32">
        <v>0</v>
      </c>
      <c r="ID83" s="28">
        <v>0</v>
      </c>
      <c r="IE83" s="34"/>
      <c r="IF83" s="33">
        <v>0</v>
      </c>
      <c r="IG83" s="32">
        <v>0</v>
      </c>
      <c r="IH83" s="28">
        <v>0</v>
      </c>
      <c r="II83" s="34"/>
    </row>
    <row r="84" spans="1:243" x14ac:dyDescent="0.25">
      <c r="A84" s="28" t="s">
        <v>216</v>
      </c>
      <c r="B84" s="29">
        <v>1</v>
      </c>
      <c r="E84">
        <v>150</v>
      </c>
      <c r="F84">
        <v>153</v>
      </c>
      <c r="G84">
        <v>150</v>
      </c>
      <c r="J84" s="24">
        <v>156</v>
      </c>
      <c r="K84" s="36">
        <v>150</v>
      </c>
      <c r="L84" s="36">
        <v>88</v>
      </c>
      <c r="M84" s="36">
        <v>84</v>
      </c>
      <c r="N84" s="35">
        <f t="shared" si="5"/>
        <v>10</v>
      </c>
      <c r="O84" s="31"/>
      <c r="P84" s="35"/>
      <c r="Q84">
        <v>56</v>
      </c>
      <c r="R84">
        <v>54</v>
      </c>
      <c r="S84" s="28">
        <v>2</v>
      </c>
      <c r="T84" s="31"/>
      <c r="U84" s="24">
        <v>305</v>
      </c>
      <c r="V84">
        <v>297</v>
      </c>
      <c r="W84" s="28">
        <v>8</v>
      </c>
      <c r="X84" s="31"/>
      <c r="Y84" s="24">
        <v>117</v>
      </c>
      <c r="Z84">
        <v>112</v>
      </c>
      <c r="AA84" s="28">
        <v>5</v>
      </c>
      <c r="AB84" s="31"/>
      <c r="AC84">
        <v>235</v>
      </c>
      <c r="AD84">
        <v>226</v>
      </c>
      <c r="AE84" s="28">
        <v>9</v>
      </c>
      <c r="AF84" s="31"/>
      <c r="AG84" s="24">
        <v>153</v>
      </c>
      <c r="AH84">
        <v>149</v>
      </c>
      <c r="AI84" s="28">
        <v>4</v>
      </c>
      <c r="AJ84" s="31"/>
      <c r="AK84">
        <v>198</v>
      </c>
      <c r="AL84">
        <v>190</v>
      </c>
      <c r="AM84" s="28">
        <v>8</v>
      </c>
      <c r="AN84" s="31"/>
      <c r="AO84" s="24">
        <v>111</v>
      </c>
      <c r="AP84">
        <v>108</v>
      </c>
      <c r="AQ84" s="28">
        <v>3</v>
      </c>
      <c r="AR84" s="31"/>
      <c r="AS84" s="24">
        <v>226</v>
      </c>
      <c r="AT84">
        <v>220</v>
      </c>
      <c r="AU84" s="28">
        <v>6</v>
      </c>
      <c r="AV84" s="31"/>
      <c r="AW84">
        <v>73</v>
      </c>
      <c r="AX84">
        <v>72</v>
      </c>
      <c r="AY84" s="28">
        <v>1</v>
      </c>
      <c r="AZ84" s="31"/>
      <c r="BA84" s="24">
        <v>43</v>
      </c>
      <c r="BB84">
        <v>40</v>
      </c>
      <c r="BC84">
        <v>31</v>
      </c>
      <c r="BD84">
        <v>28</v>
      </c>
      <c r="BE84" s="28">
        <v>6</v>
      </c>
      <c r="BF84" s="31"/>
      <c r="BG84" s="24">
        <v>112</v>
      </c>
      <c r="BH84">
        <v>111</v>
      </c>
      <c r="BI84" s="28">
        <v>1</v>
      </c>
      <c r="BJ84" s="31"/>
      <c r="BM84">
        <v>142</v>
      </c>
      <c r="BN84">
        <v>138</v>
      </c>
      <c r="BO84" s="28">
        <v>4</v>
      </c>
      <c r="BP84" s="31"/>
      <c r="BQ84">
        <v>6</v>
      </c>
      <c r="BR84">
        <v>7</v>
      </c>
      <c r="BS84" s="28">
        <v>-1</v>
      </c>
      <c r="BT84" s="31"/>
      <c r="BU84" s="24">
        <v>150</v>
      </c>
      <c r="BV84">
        <v>145</v>
      </c>
      <c r="BW84" s="28">
        <v>5</v>
      </c>
      <c r="BX84" s="31"/>
      <c r="BY84" s="24">
        <v>62</v>
      </c>
      <c r="BZ84">
        <v>58</v>
      </c>
      <c r="CA84" s="28">
        <v>4</v>
      </c>
      <c r="CB84" s="31"/>
      <c r="CE84" s="28">
        <v>0</v>
      </c>
      <c r="CF84" s="31"/>
      <c r="CG84" s="24">
        <v>156</v>
      </c>
      <c r="CI84">
        <v>151</v>
      </c>
      <c r="CJ84" s="28">
        <v>5</v>
      </c>
      <c r="CK84" s="31"/>
      <c r="CL84" s="30"/>
      <c r="CN84">
        <v>93</v>
      </c>
      <c r="CO84">
        <v>89</v>
      </c>
      <c r="CP84" s="28">
        <v>4</v>
      </c>
      <c r="CQ84" s="31"/>
      <c r="CR84" s="24">
        <v>95</v>
      </c>
      <c r="CT84">
        <v>88</v>
      </c>
      <c r="CU84" s="28">
        <v>7</v>
      </c>
      <c r="CV84" s="31"/>
      <c r="CW84">
        <v>189</v>
      </c>
      <c r="CX84" s="28">
        <v>185.01499999999999</v>
      </c>
      <c r="CY84" s="28">
        <v>3.9850000000000141</v>
      </c>
      <c r="CZ84" s="31"/>
      <c r="DA84" s="24">
        <v>6</v>
      </c>
      <c r="DB84" s="28">
        <v>5.8019999999999916</v>
      </c>
      <c r="DC84" s="28">
        <v>0.19800000000000839</v>
      </c>
      <c r="DD84" s="31"/>
      <c r="DE84" s="24">
        <v>156</v>
      </c>
      <c r="DF84" s="28">
        <v>148.35759999999999</v>
      </c>
      <c r="DG84" s="28">
        <v>7.6424000000000092</v>
      </c>
      <c r="DH84" s="31"/>
      <c r="DI84" s="24">
        <v>13</v>
      </c>
      <c r="DJ84">
        <v>12</v>
      </c>
      <c r="DK84" s="28">
        <v>1</v>
      </c>
      <c r="DL84" s="31"/>
      <c r="DM84">
        <v>167</v>
      </c>
      <c r="DN84" s="32">
        <v>163.75200000000001</v>
      </c>
      <c r="DO84" s="28">
        <v>3.24799999999999</v>
      </c>
      <c r="DP84" s="31"/>
      <c r="DQ84">
        <v>153</v>
      </c>
      <c r="DR84">
        <v>150</v>
      </c>
      <c r="DS84" s="28">
        <v>3</v>
      </c>
      <c r="DT84" s="31"/>
      <c r="DU84" s="30"/>
      <c r="DX84" s="28">
        <v>0</v>
      </c>
      <c r="DY84" s="31"/>
      <c r="DZ84" s="30"/>
      <c r="EB84">
        <v>186</v>
      </c>
      <c r="EC84" s="27">
        <v>-186</v>
      </c>
      <c r="ED84" s="31">
        <v>186</v>
      </c>
      <c r="EG84" s="28">
        <v>0</v>
      </c>
      <c r="EH84" s="31"/>
      <c r="EI84" s="30"/>
      <c r="EJ84">
        <v>43</v>
      </c>
      <c r="EK84">
        <v>40</v>
      </c>
      <c r="EL84">
        <v>49</v>
      </c>
      <c r="EM84">
        <v>46</v>
      </c>
      <c r="EN84" s="28">
        <v>6</v>
      </c>
      <c r="EO84" s="31"/>
      <c r="EP84">
        <v>106</v>
      </c>
      <c r="EQ84" s="32">
        <v>103.605</v>
      </c>
      <c r="ER84" s="28">
        <v>2.394999999999996</v>
      </c>
      <c r="ES84" s="31"/>
      <c r="ET84" s="30"/>
      <c r="EX84" s="28">
        <v>0</v>
      </c>
      <c r="EY84" s="31"/>
      <c r="EZ84">
        <v>124</v>
      </c>
      <c r="FA84">
        <v>120</v>
      </c>
      <c r="FB84">
        <v>136</v>
      </c>
      <c r="FC84">
        <v>130</v>
      </c>
      <c r="FD84" s="28">
        <v>10</v>
      </c>
      <c r="FE84" s="31"/>
      <c r="FF84">
        <v>68</v>
      </c>
      <c r="FG84" s="32">
        <v>63.760599999999997</v>
      </c>
      <c r="FH84" s="28">
        <v>4.2394000000000034</v>
      </c>
      <c r="FI84" s="31"/>
      <c r="FJ84" s="24">
        <v>213</v>
      </c>
      <c r="FK84">
        <v>210</v>
      </c>
      <c r="FL84" s="28">
        <v>3</v>
      </c>
      <c r="FM84" s="31"/>
      <c r="FN84" s="30"/>
      <c r="FP84" s="28">
        <v>0</v>
      </c>
      <c r="FQ84" s="31"/>
      <c r="FR84">
        <v>43</v>
      </c>
      <c r="FS84">
        <v>45</v>
      </c>
      <c r="FT84" s="28">
        <v>-2</v>
      </c>
      <c r="FU84" s="31"/>
      <c r="FV84" s="30"/>
      <c r="FX84" s="28">
        <v>0</v>
      </c>
      <c r="FY84" s="31"/>
      <c r="FZ84" s="24">
        <v>192</v>
      </c>
      <c r="GA84">
        <v>192</v>
      </c>
      <c r="GB84" s="28">
        <v>0</v>
      </c>
      <c r="GC84" s="31"/>
      <c r="GF84" s="28">
        <v>0</v>
      </c>
      <c r="GG84" s="34"/>
      <c r="GH84">
        <v>13</v>
      </c>
      <c r="GI84">
        <v>15</v>
      </c>
      <c r="GJ84" s="28">
        <v>-2</v>
      </c>
      <c r="GK84" s="31"/>
      <c r="GN84" s="28">
        <v>0</v>
      </c>
      <c r="GO84" s="34"/>
      <c r="GP84">
        <v>211</v>
      </c>
      <c r="GQ84">
        <v>210</v>
      </c>
      <c r="GR84" s="28">
        <v>1</v>
      </c>
      <c r="GS84" s="31"/>
      <c r="GV84" s="28">
        <v>0</v>
      </c>
      <c r="GW84" s="34"/>
      <c r="GX84">
        <v>68</v>
      </c>
      <c r="GY84" s="32">
        <v>65.959600000000023</v>
      </c>
      <c r="GZ84" s="28">
        <v>2.0403999999999769</v>
      </c>
      <c r="HA84" s="31"/>
      <c r="HB84" s="24">
        <v>37</v>
      </c>
      <c r="HC84" s="32">
        <v>35</v>
      </c>
      <c r="HD84" s="28">
        <v>2</v>
      </c>
      <c r="HE84" s="34"/>
      <c r="HF84">
        <v>93</v>
      </c>
      <c r="HG84">
        <v>93</v>
      </c>
      <c r="HH84" s="28">
        <v>0</v>
      </c>
      <c r="HI84" s="34"/>
      <c r="HJ84">
        <v>56</v>
      </c>
      <c r="HK84">
        <v>58</v>
      </c>
      <c r="HL84" s="28">
        <v>2</v>
      </c>
      <c r="HM84" s="34"/>
      <c r="HP84" s="28">
        <v>0</v>
      </c>
      <c r="HQ84" s="31"/>
      <c r="HR84">
        <v>69</v>
      </c>
      <c r="HS84">
        <v>70</v>
      </c>
      <c r="HT84">
        <v>55</v>
      </c>
      <c r="HU84">
        <v>56</v>
      </c>
      <c r="HV84" s="28">
        <v>-2</v>
      </c>
      <c r="HW84" s="34"/>
      <c r="HX84" s="32">
        <v>68.596000000000004</v>
      </c>
      <c r="HY84" s="32">
        <v>70</v>
      </c>
      <c r="HZ84" s="28">
        <v>-1.4039999999999959</v>
      </c>
      <c r="IA84" s="34"/>
      <c r="IB84" s="32">
        <v>49.41</v>
      </c>
      <c r="IC84" s="32">
        <v>47.3018</v>
      </c>
      <c r="ID84" s="28">
        <v>2.108199999999997</v>
      </c>
      <c r="IE84" s="34"/>
      <c r="IF84" s="33">
        <v>0</v>
      </c>
      <c r="IG84" s="32">
        <v>0</v>
      </c>
      <c r="IH84" s="28">
        <v>0</v>
      </c>
      <c r="II84" s="34"/>
    </row>
    <row r="85" spans="1:243" x14ac:dyDescent="0.25">
      <c r="A85" s="28" t="s">
        <v>217</v>
      </c>
      <c r="B85" s="29">
        <v>0.28000000000000003</v>
      </c>
      <c r="J85" s="30"/>
      <c r="K85" s="35"/>
      <c r="L85" s="35"/>
      <c r="M85" s="35"/>
      <c r="N85" s="35">
        <f t="shared" si="5"/>
        <v>0</v>
      </c>
      <c r="O85" s="31"/>
      <c r="P85" s="35"/>
      <c r="S85" s="28">
        <v>0</v>
      </c>
      <c r="T85" s="31"/>
      <c r="U85" s="30"/>
      <c r="W85" s="28">
        <v>0</v>
      </c>
      <c r="X85" s="31"/>
      <c r="Y85" s="30"/>
      <c r="AA85" s="28">
        <v>0</v>
      </c>
      <c r="AB85" s="31"/>
      <c r="AE85" s="28">
        <v>0</v>
      </c>
      <c r="AF85" s="31"/>
      <c r="AG85" s="30"/>
      <c r="AI85" s="28">
        <v>0</v>
      </c>
      <c r="AJ85" s="31"/>
      <c r="AM85" s="28">
        <v>0</v>
      </c>
      <c r="AN85" s="31"/>
      <c r="AO85" s="30"/>
      <c r="AQ85" s="28">
        <v>0</v>
      </c>
      <c r="AR85" s="31"/>
      <c r="AS85" s="30"/>
      <c r="AU85" s="28">
        <v>0</v>
      </c>
      <c r="AV85" s="31"/>
      <c r="AY85" s="28">
        <v>0</v>
      </c>
      <c r="AZ85" s="31"/>
      <c r="BA85" s="30"/>
      <c r="BE85" s="28">
        <v>0</v>
      </c>
      <c r="BF85" s="31"/>
      <c r="BG85" s="30"/>
      <c r="BI85" s="28">
        <v>0</v>
      </c>
      <c r="BJ85" s="31"/>
      <c r="BO85" s="28">
        <v>0</v>
      </c>
      <c r="BP85" s="31"/>
      <c r="BS85" s="28">
        <v>0</v>
      </c>
      <c r="BT85" s="31"/>
      <c r="BU85" s="30"/>
      <c r="BW85" s="28">
        <v>0</v>
      </c>
      <c r="BX85" s="31"/>
      <c r="BY85" s="30"/>
      <c r="CA85" s="28">
        <v>0</v>
      </c>
      <c r="CB85" s="31"/>
      <c r="CE85" s="28">
        <v>0</v>
      </c>
      <c r="CF85" s="31"/>
      <c r="CG85" s="30"/>
      <c r="CJ85" s="28">
        <v>0</v>
      </c>
      <c r="CK85" s="31"/>
      <c r="CL85" s="30"/>
      <c r="CP85" s="28">
        <v>0</v>
      </c>
      <c r="CQ85" s="31"/>
      <c r="CR85" s="30"/>
      <c r="CU85" s="28">
        <v>0</v>
      </c>
      <c r="CV85" s="31"/>
      <c r="CY85" s="28">
        <v>0</v>
      </c>
      <c r="CZ85" s="31"/>
      <c r="DA85" s="33"/>
      <c r="DC85" s="28">
        <v>0</v>
      </c>
      <c r="DD85" s="31"/>
      <c r="DE85" s="30"/>
      <c r="DG85" s="28">
        <v>0</v>
      </c>
      <c r="DH85" s="31"/>
      <c r="DI85" s="30"/>
      <c r="DK85" s="28">
        <v>0</v>
      </c>
      <c r="DL85" s="31"/>
      <c r="DO85" s="28">
        <v>0</v>
      </c>
      <c r="DP85" s="31"/>
      <c r="DS85" s="28">
        <v>0</v>
      </c>
      <c r="DT85" s="31"/>
      <c r="DU85" s="30"/>
      <c r="DX85" s="28">
        <v>0</v>
      </c>
      <c r="DY85" s="31"/>
      <c r="DZ85" s="30"/>
      <c r="EC85" s="28">
        <v>0</v>
      </c>
      <c r="ED85" s="31"/>
      <c r="EG85" s="28">
        <v>0</v>
      </c>
      <c r="EH85" s="31"/>
      <c r="EI85" s="30"/>
      <c r="EN85" s="28">
        <v>0</v>
      </c>
      <c r="EO85" s="31"/>
      <c r="ER85" s="28">
        <v>0</v>
      </c>
      <c r="ES85" s="31"/>
      <c r="ET85" s="30"/>
      <c r="EX85" s="28">
        <v>0</v>
      </c>
      <c r="EY85" s="31"/>
      <c r="FD85" s="28">
        <v>0</v>
      </c>
      <c r="FE85" s="31"/>
      <c r="FH85" s="28">
        <v>0</v>
      </c>
      <c r="FI85" s="31"/>
      <c r="FJ85" s="30"/>
      <c r="FL85" s="28">
        <v>0</v>
      </c>
      <c r="FM85" s="31"/>
      <c r="FN85" s="30"/>
      <c r="FP85" s="28">
        <v>0</v>
      </c>
      <c r="FQ85" s="31"/>
      <c r="FT85" s="28">
        <v>0</v>
      </c>
      <c r="FU85" s="31"/>
      <c r="FV85" s="24">
        <v>16</v>
      </c>
      <c r="FW85">
        <v>16</v>
      </c>
      <c r="FX85" s="28">
        <v>0</v>
      </c>
      <c r="FY85" s="31"/>
      <c r="FZ85" s="30"/>
      <c r="GB85" s="28">
        <v>0</v>
      </c>
      <c r="GC85" s="31"/>
      <c r="GD85">
        <v>32</v>
      </c>
      <c r="GE85">
        <v>32</v>
      </c>
      <c r="GF85" s="28">
        <v>0</v>
      </c>
      <c r="GG85" s="34"/>
      <c r="GJ85" s="28">
        <v>0</v>
      </c>
      <c r="GK85" s="31"/>
      <c r="GL85">
        <v>16</v>
      </c>
      <c r="GM85">
        <v>16</v>
      </c>
      <c r="GN85" s="28">
        <v>0</v>
      </c>
      <c r="GO85" s="34"/>
      <c r="GP85">
        <v>16</v>
      </c>
      <c r="GQ85">
        <v>16</v>
      </c>
      <c r="GR85" s="28">
        <v>0</v>
      </c>
      <c r="GS85" s="31"/>
      <c r="GV85" s="28">
        <v>0</v>
      </c>
      <c r="GW85" s="34"/>
      <c r="GZ85" s="28">
        <v>0</v>
      </c>
      <c r="HA85" s="31"/>
      <c r="HB85" s="33"/>
      <c r="HD85" s="28">
        <v>0</v>
      </c>
      <c r="HE85" s="34"/>
      <c r="HH85" s="28">
        <v>0</v>
      </c>
      <c r="HI85" s="34"/>
      <c r="HL85" s="28">
        <v>0</v>
      </c>
      <c r="HM85" s="34"/>
      <c r="HP85" s="28">
        <v>0</v>
      </c>
      <c r="HQ85" s="31"/>
      <c r="HR85">
        <v>32</v>
      </c>
      <c r="HS85">
        <v>32</v>
      </c>
      <c r="HT85">
        <v>16</v>
      </c>
      <c r="HU85">
        <v>20</v>
      </c>
      <c r="HV85" s="28">
        <v>-4</v>
      </c>
      <c r="HW85" s="34"/>
      <c r="HX85" s="32">
        <v>112</v>
      </c>
      <c r="HY85" s="32">
        <v>110</v>
      </c>
      <c r="HZ85" s="28">
        <v>2</v>
      </c>
      <c r="IA85" s="34"/>
      <c r="IB85" s="32">
        <v>0</v>
      </c>
      <c r="IC85" s="32">
        <v>0</v>
      </c>
      <c r="ID85" s="28">
        <v>0</v>
      </c>
      <c r="IE85" s="34"/>
      <c r="IF85" s="33">
        <v>0</v>
      </c>
      <c r="IG85" s="32">
        <v>0</v>
      </c>
      <c r="IH85" s="28">
        <v>0</v>
      </c>
      <c r="II85" s="34"/>
    </row>
    <row r="86" spans="1:243" x14ac:dyDescent="0.25">
      <c r="A86" s="28" t="s">
        <v>218</v>
      </c>
      <c r="B86" s="29">
        <v>0.28000000000000003</v>
      </c>
      <c r="J86" s="30"/>
      <c r="K86" s="35"/>
      <c r="L86" s="35"/>
      <c r="M86" s="35"/>
      <c r="N86" s="35">
        <f t="shared" si="5"/>
        <v>0</v>
      </c>
      <c r="O86" s="31"/>
      <c r="P86" s="35"/>
      <c r="S86" s="28">
        <v>0</v>
      </c>
      <c r="T86" s="31"/>
      <c r="U86" s="30"/>
      <c r="W86" s="28">
        <v>0</v>
      </c>
      <c r="X86" s="31"/>
      <c r="Y86" s="30"/>
      <c r="AA86" s="28">
        <v>0</v>
      </c>
      <c r="AB86" s="31"/>
      <c r="AE86" s="28">
        <v>0</v>
      </c>
      <c r="AF86" s="31"/>
      <c r="AG86" s="30"/>
      <c r="AI86" s="28">
        <v>0</v>
      </c>
      <c r="AJ86" s="31"/>
      <c r="AM86" s="28">
        <v>0</v>
      </c>
      <c r="AN86" s="31"/>
      <c r="AO86" s="30"/>
      <c r="AQ86" s="28">
        <v>0</v>
      </c>
      <c r="AR86" s="31"/>
      <c r="AS86" s="30"/>
      <c r="AU86" s="28">
        <v>0</v>
      </c>
      <c r="AV86" s="31"/>
      <c r="AY86" s="28">
        <v>0</v>
      </c>
      <c r="AZ86" s="31"/>
      <c r="BA86" s="30"/>
      <c r="BE86" s="28">
        <v>0</v>
      </c>
      <c r="BF86" s="31"/>
      <c r="BG86" s="30"/>
      <c r="BI86" s="28">
        <v>0</v>
      </c>
      <c r="BJ86" s="31"/>
      <c r="BO86" s="28">
        <v>0</v>
      </c>
      <c r="BP86" s="31"/>
      <c r="BS86" s="28">
        <v>0</v>
      </c>
      <c r="BT86" s="31"/>
      <c r="BU86" s="30"/>
      <c r="BW86" s="28">
        <v>0</v>
      </c>
      <c r="BX86" s="31"/>
      <c r="BY86" s="30"/>
      <c r="CA86" s="28">
        <v>0</v>
      </c>
      <c r="CB86" s="31"/>
      <c r="CE86" s="28">
        <v>0</v>
      </c>
      <c r="CF86" s="31"/>
      <c r="CG86" s="30"/>
      <c r="CJ86" s="28">
        <v>0</v>
      </c>
      <c r="CK86" s="31"/>
      <c r="CL86" s="30"/>
      <c r="CP86" s="28">
        <v>0</v>
      </c>
      <c r="CQ86" s="31"/>
      <c r="CR86" s="30"/>
      <c r="CU86" s="28">
        <v>0</v>
      </c>
      <c r="CV86" s="31"/>
      <c r="CY86" s="28">
        <v>0</v>
      </c>
      <c r="CZ86" s="31"/>
      <c r="DA86" s="33"/>
      <c r="DC86" s="28">
        <v>0</v>
      </c>
      <c r="DD86" s="31"/>
      <c r="DE86" s="30"/>
      <c r="DG86" s="28">
        <v>0</v>
      </c>
      <c r="DH86" s="31"/>
      <c r="DI86" s="30"/>
      <c r="DK86" s="28">
        <v>0</v>
      </c>
      <c r="DL86" s="31"/>
      <c r="DO86" s="28">
        <v>0</v>
      </c>
      <c r="DP86" s="31"/>
      <c r="DS86" s="28">
        <v>0</v>
      </c>
      <c r="DT86" s="31"/>
      <c r="DU86" s="30"/>
      <c r="DX86" s="28">
        <v>0</v>
      </c>
      <c r="DY86" s="31"/>
      <c r="DZ86" s="30"/>
      <c r="EC86" s="28">
        <v>0</v>
      </c>
      <c r="ED86" s="31"/>
      <c r="EG86" s="28">
        <v>0</v>
      </c>
      <c r="EH86" s="31"/>
      <c r="EI86" s="30"/>
      <c r="EN86" s="28">
        <v>0</v>
      </c>
      <c r="EO86" s="31"/>
      <c r="ER86" s="28">
        <v>0</v>
      </c>
      <c r="ES86" s="31"/>
      <c r="ET86" s="30"/>
      <c r="EX86" s="28">
        <v>0</v>
      </c>
      <c r="EY86" s="31"/>
      <c r="FD86" s="28">
        <v>0</v>
      </c>
      <c r="FE86" s="31"/>
      <c r="FH86" s="28">
        <v>0</v>
      </c>
      <c r="FI86" s="31"/>
      <c r="FJ86" s="30"/>
      <c r="FL86" s="28">
        <v>0</v>
      </c>
      <c r="FM86" s="31"/>
      <c r="FN86" s="30"/>
      <c r="FP86" s="28">
        <v>0</v>
      </c>
      <c r="FQ86" s="31"/>
      <c r="FT86" s="28">
        <v>0</v>
      </c>
      <c r="FU86" s="31"/>
      <c r="FV86" s="30"/>
      <c r="FX86" s="28">
        <v>0</v>
      </c>
      <c r="FY86" s="31"/>
      <c r="FZ86" s="30"/>
      <c r="GB86" s="28">
        <v>0</v>
      </c>
      <c r="GC86" s="31"/>
      <c r="GF86" s="28">
        <v>0</v>
      </c>
      <c r="GG86" s="34"/>
      <c r="GJ86" s="28">
        <v>0</v>
      </c>
      <c r="GK86" s="31"/>
      <c r="GN86" s="28">
        <v>0</v>
      </c>
      <c r="GO86" s="34"/>
      <c r="GR86" s="28">
        <v>0</v>
      </c>
      <c r="GS86" s="31"/>
      <c r="GV86" s="28">
        <v>0</v>
      </c>
      <c r="GW86" s="34"/>
      <c r="GZ86" s="28">
        <v>0</v>
      </c>
      <c r="HA86" s="31"/>
      <c r="HB86" s="33"/>
      <c r="HD86" s="28">
        <v>0</v>
      </c>
      <c r="HE86" s="34"/>
      <c r="HH86" s="28">
        <v>0</v>
      </c>
      <c r="HI86" s="34"/>
      <c r="HL86" s="28">
        <v>0</v>
      </c>
      <c r="HM86" s="34"/>
      <c r="HP86" s="28">
        <v>0</v>
      </c>
      <c r="HQ86" s="31"/>
      <c r="HR86" s="29"/>
      <c r="HT86" s="29"/>
      <c r="HV86" s="28">
        <v>0</v>
      </c>
      <c r="HW86" s="34"/>
      <c r="HX86" s="32">
        <v>0</v>
      </c>
      <c r="HY86" s="32">
        <v>0</v>
      </c>
      <c r="HZ86" s="28">
        <v>0</v>
      </c>
      <c r="IA86" s="34"/>
      <c r="IB86" s="32">
        <v>0</v>
      </c>
      <c r="IC86" s="32">
        <v>0</v>
      </c>
      <c r="ID86" s="28">
        <v>0</v>
      </c>
      <c r="IE86" s="34"/>
      <c r="IF86" s="33">
        <v>0</v>
      </c>
      <c r="IG86" s="32">
        <v>0</v>
      </c>
      <c r="IH86" s="28">
        <v>0</v>
      </c>
      <c r="II86" s="34"/>
    </row>
    <row r="87" spans="1:243" x14ac:dyDescent="0.25">
      <c r="A87" s="28" t="s">
        <v>219</v>
      </c>
      <c r="B87" s="29">
        <v>0.35</v>
      </c>
      <c r="J87" s="30"/>
      <c r="K87" s="35"/>
      <c r="L87" s="35"/>
      <c r="M87" s="35"/>
      <c r="N87" s="35">
        <f t="shared" si="5"/>
        <v>0</v>
      </c>
      <c r="O87" s="31"/>
      <c r="P87" s="35"/>
      <c r="S87" s="28">
        <v>0</v>
      </c>
      <c r="T87" s="31"/>
      <c r="U87" s="30"/>
      <c r="W87" s="28">
        <v>0</v>
      </c>
      <c r="X87" s="31"/>
      <c r="Y87" s="30"/>
      <c r="AA87" s="28">
        <v>0</v>
      </c>
      <c r="AB87" s="31"/>
      <c r="AE87" s="28">
        <v>0</v>
      </c>
      <c r="AF87" s="31"/>
      <c r="AG87" s="30"/>
      <c r="AI87" s="28">
        <v>0</v>
      </c>
      <c r="AJ87" s="31"/>
      <c r="AM87" s="28">
        <v>0</v>
      </c>
      <c r="AN87" s="31"/>
      <c r="AO87" s="30"/>
      <c r="AQ87" s="28">
        <v>0</v>
      </c>
      <c r="AR87" s="31"/>
      <c r="AS87" s="30"/>
      <c r="AU87" s="28">
        <v>0</v>
      </c>
      <c r="AV87" s="31"/>
      <c r="AY87" s="28">
        <v>0</v>
      </c>
      <c r="AZ87" s="31"/>
      <c r="BA87" s="30"/>
      <c r="BE87" s="28">
        <v>0</v>
      </c>
      <c r="BF87" s="31"/>
      <c r="BG87" s="30"/>
      <c r="BI87" s="28">
        <v>0</v>
      </c>
      <c r="BJ87" s="31"/>
      <c r="BO87" s="28">
        <v>0</v>
      </c>
      <c r="BP87" s="31"/>
      <c r="BS87" s="28">
        <v>0</v>
      </c>
      <c r="BT87" s="31"/>
      <c r="BU87" s="30"/>
      <c r="BW87" s="28">
        <v>0</v>
      </c>
      <c r="BX87" s="31"/>
      <c r="BY87" s="30"/>
      <c r="CA87" s="28">
        <v>0</v>
      </c>
      <c r="CB87" s="31"/>
      <c r="CE87" s="28">
        <v>0</v>
      </c>
      <c r="CF87" s="31"/>
      <c r="CG87" s="30"/>
      <c r="CJ87" s="28">
        <v>0</v>
      </c>
      <c r="CK87" s="31"/>
      <c r="CL87" s="30"/>
      <c r="CP87" s="28">
        <v>0</v>
      </c>
      <c r="CQ87" s="31"/>
      <c r="CR87" s="30"/>
      <c r="CU87" s="28">
        <v>0</v>
      </c>
      <c r="CV87" s="31"/>
      <c r="CY87" s="28">
        <v>0</v>
      </c>
      <c r="CZ87" s="31"/>
      <c r="DA87" s="33"/>
      <c r="DC87" s="28">
        <v>0</v>
      </c>
      <c r="DD87" s="31"/>
      <c r="DE87" s="30"/>
      <c r="DG87" s="28">
        <v>0</v>
      </c>
      <c r="DH87" s="31"/>
      <c r="DI87" s="30"/>
      <c r="DK87" s="28">
        <v>0</v>
      </c>
      <c r="DL87" s="31"/>
      <c r="DO87" s="28">
        <v>0</v>
      </c>
      <c r="DP87" s="31"/>
      <c r="DS87" s="28">
        <v>0</v>
      </c>
      <c r="DT87" s="31"/>
      <c r="DU87" s="30"/>
      <c r="DX87" s="28">
        <v>0</v>
      </c>
      <c r="DY87" s="31"/>
      <c r="DZ87" s="30"/>
      <c r="EC87" s="28">
        <v>0</v>
      </c>
      <c r="ED87" s="31"/>
      <c r="EG87" s="28">
        <v>0</v>
      </c>
      <c r="EH87" s="31"/>
      <c r="EI87" s="30"/>
      <c r="EN87" s="28">
        <v>0</v>
      </c>
      <c r="EO87" s="31"/>
      <c r="ER87" s="28">
        <v>0</v>
      </c>
      <c r="ES87" s="31"/>
      <c r="ET87" s="30"/>
      <c r="EX87" s="28">
        <v>0</v>
      </c>
      <c r="EY87" s="31"/>
      <c r="FD87" s="28">
        <v>0</v>
      </c>
      <c r="FE87" s="31"/>
      <c r="FH87" s="28">
        <v>0</v>
      </c>
      <c r="FI87" s="31"/>
      <c r="FJ87" s="30"/>
      <c r="FL87" s="28">
        <v>0</v>
      </c>
      <c r="FM87" s="31"/>
      <c r="FN87" s="30"/>
      <c r="FP87" s="28">
        <v>0</v>
      </c>
      <c r="FQ87" s="31"/>
      <c r="FT87" s="28">
        <v>0</v>
      </c>
      <c r="FU87" s="31"/>
      <c r="FV87" s="24">
        <v>40</v>
      </c>
      <c r="FW87">
        <v>40</v>
      </c>
      <c r="FX87" s="28">
        <v>0</v>
      </c>
      <c r="FY87" s="31"/>
      <c r="FZ87" s="24">
        <v>64</v>
      </c>
      <c r="GA87">
        <v>62</v>
      </c>
      <c r="GB87" s="28">
        <v>2</v>
      </c>
      <c r="GC87" s="31"/>
      <c r="GF87" s="28">
        <v>0</v>
      </c>
      <c r="GG87" s="34"/>
      <c r="GH87">
        <v>48</v>
      </c>
      <c r="GI87">
        <v>46</v>
      </c>
      <c r="GJ87" s="28">
        <v>2</v>
      </c>
      <c r="GK87" s="31"/>
      <c r="GL87">
        <v>16</v>
      </c>
      <c r="GM87">
        <v>16</v>
      </c>
      <c r="GN87" s="28">
        <v>0</v>
      </c>
      <c r="GO87" s="34"/>
      <c r="GP87">
        <v>40</v>
      </c>
      <c r="GQ87">
        <v>44</v>
      </c>
      <c r="GR87" s="28">
        <v>-4</v>
      </c>
      <c r="GS87" s="31"/>
      <c r="GV87" s="28">
        <v>0</v>
      </c>
      <c r="GW87" s="34"/>
      <c r="GZ87" s="28">
        <v>0</v>
      </c>
      <c r="HA87" s="31"/>
      <c r="HB87" s="24">
        <v>48</v>
      </c>
      <c r="HC87" s="32">
        <v>50</v>
      </c>
      <c r="HD87" s="28">
        <v>-2</v>
      </c>
      <c r="HE87" s="34"/>
      <c r="HF87">
        <v>8</v>
      </c>
      <c r="HG87">
        <v>10</v>
      </c>
      <c r="HH87" s="28">
        <v>-2</v>
      </c>
      <c r="HI87" s="34"/>
      <c r="HJ87">
        <v>32</v>
      </c>
      <c r="HK87">
        <v>32</v>
      </c>
      <c r="HL87" s="28">
        <v>0</v>
      </c>
      <c r="HM87" s="34"/>
      <c r="HP87" s="28">
        <v>0</v>
      </c>
      <c r="HQ87" s="31"/>
      <c r="HR87" s="29"/>
      <c r="HT87" s="29"/>
      <c r="HV87" s="28">
        <v>0</v>
      </c>
      <c r="HW87" s="34"/>
      <c r="HX87" s="32">
        <v>56</v>
      </c>
      <c r="HY87" s="32">
        <v>60</v>
      </c>
      <c r="HZ87" s="28">
        <v>-4</v>
      </c>
      <c r="IA87" s="34"/>
      <c r="IB87" s="32">
        <v>0</v>
      </c>
      <c r="IC87" s="32">
        <v>0</v>
      </c>
      <c r="ID87" s="28">
        <v>0</v>
      </c>
      <c r="IE87" s="34"/>
      <c r="IF87" s="33">
        <v>56</v>
      </c>
      <c r="IG87" s="32">
        <v>60</v>
      </c>
      <c r="IH87" s="28">
        <v>-4</v>
      </c>
      <c r="II87" s="34"/>
    </row>
    <row r="88" spans="1:243" x14ac:dyDescent="0.25">
      <c r="A88" s="28" t="s">
        <v>220</v>
      </c>
      <c r="B88" s="29">
        <v>0.28000000000000003</v>
      </c>
      <c r="J88" s="30"/>
      <c r="K88" s="35"/>
      <c r="L88" s="35"/>
      <c r="M88" s="35"/>
      <c r="N88" s="35">
        <f t="shared" si="5"/>
        <v>0</v>
      </c>
      <c r="O88" s="31"/>
      <c r="P88" s="35"/>
      <c r="S88" s="28">
        <v>0</v>
      </c>
      <c r="T88" s="31"/>
      <c r="U88" s="30"/>
      <c r="W88" s="28">
        <v>0</v>
      </c>
      <c r="X88" s="31"/>
      <c r="Y88" s="30"/>
      <c r="AA88" s="28">
        <v>0</v>
      </c>
      <c r="AB88" s="31"/>
      <c r="AE88" s="28">
        <v>0</v>
      </c>
      <c r="AF88" s="31"/>
      <c r="AG88" s="30"/>
      <c r="AI88" s="28">
        <v>0</v>
      </c>
      <c r="AJ88" s="31"/>
      <c r="AM88" s="28">
        <v>0</v>
      </c>
      <c r="AN88" s="31"/>
      <c r="AO88" s="30"/>
      <c r="AQ88" s="28">
        <v>0</v>
      </c>
      <c r="AR88" s="31"/>
      <c r="AS88" s="30"/>
      <c r="AU88" s="28">
        <v>0</v>
      </c>
      <c r="AV88" s="31"/>
      <c r="AY88" s="28">
        <v>0</v>
      </c>
      <c r="AZ88" s="31"/>
      <c r="BA88" s="30"/>
      <c r="BE88" s="28">
        <v>0</v>
      </c>
      <c r="BF88" s="31"/>
      <c r="BG88" s="30"/>
      <c r="BI88" s="28">
        <v>0</v>
      </c>
      <c r="BJ88" s="31"/>
      <c r="BO88" s="28">
        <v>0</v>
      </c>
      <c r="BP88" s="31"/>
      <c r="BS88" s="28">
        <v>0</v>
      </c>
      <c r="BT88" s="31"/>
      <c r="BU88" s="30"/>
      <c r="BW88" s="28">
        <v>0</v>
      </c>
      <c r="BX88" s="31"/>
      <c r="BY88" s="30"/>
      <c r="CA88" s="28">
        <v>0</v>
      </c>
      <c r="CB88" s="31"/>
      <c r="CE88" s="28">
        <v>0</v>
      </c>
      <c r="CF88" s="31"/>
      <c r="CG88" s="30"/>
      <c r="CJ88" s="28">
        <v>0</v>
      </c>
      <c r="CK88" s="31"/>
      <c r="CL88" s="30"/>
      <c r="CP88" s="28">
        <v>0</v>
      </c>
      <c r="CQ88" s="31"/>
      <c r="CR88" s="30"/>
      <c r="CU88" s="28">
        <v>0</v>
      </c>
      <c r="CV88" s="31"/>
      <c r="CY88" s="28">
        <v>0</v>
      </c>
      <c r="CZ88" s="31"/>
      <c r="DA88" s="33"/>
      <c r="DC88" s="28">
        <v>0</v>
      </c>
      <c r="DD88" s="31"/>
      <c r="DE88" s="30"/>
      <c r="DG88" s="28">
        <v>0</v>
      </c>
      <c r="DH88" s="31"/>
      <c r="DI88" s="30"/>
      <c r="DK88" s="28">
        <v>0</v>
      </c>
      <c r="DL88" s="31"/>
      <c r="DO88" s="28">
        <v>0</v>
      </c>
      <c r="DP88" s="31"/>
      <c r="DS88" s="28">
        <v>0</v>
      </c>
      <c r="DT88" s="31"/>
      <c r="DU88" s="30"/>
      <c r="DX88" s="28">
        <v>0</v>
      </c>
      <c r="DY88" s="31"/>
      <c r="DZ88" s="30"/>
      <c r="EB88">
        <v>67</v>
      </c>
      <c r="EC88" s="28">
        <v>-3</v>
      </c>
      <c r="ED88" s="31"/>
      <c r="EF88" s="32">
        <v>190.4</v>
      </c>
      <c r="EG88" s="28">
        <v>1.5999999999999941</v>
      </c>
      <c r="EH88" s="31"/>
      <c r="EI88" s="30"/>
      <c r="EN88" s="28">
        <v>0</v>
      </c>
      <c r="EO88" s="31"/>
      <c r="EP88">
        <v>128</v>
      </c>
      <c r="EQ88" s="32">
        <v>126.8</v>
      </c>
      <c r="ER88" s="28">
        <v>1.2000000000000031</v>
      </c>
      <c r="ES88" s="31"/>
      <c r="ET88" s="30"/>
      <c r="EV88">
        <v>112</v>
      </c>
      <c r="EW88">
        <v>116</v>
      </c>
      <c r="EX88" s="28">
        <v>-4</v>
      </c>
      <c r="EY88" s="31"/>
      <c r="EZ88">
        <v>56</v>
      </c>
      <c r="FA88">
        <v>60</v>
      </c>
      <c r="FB88">
        <v>56</v>
      </c>
      <c r="FC88">
        <v>60</v>
      </c>
      <c r="FD88" s="28">
        <v>-8</v>
      </c>
      <c r="FE88" s="31"/>
      <c r="FF88">
        <v>32</v>
      </c>
      <c r="FG88" s="32">
        <v>30</v>
      </c>
      <c r="FH88" s="28">
        <v>2</v>
      </c>
      <c r="FI88" s="31"/>
      <c r="FJ88" s="24">
        <v>112</v>
      </c>
      <c r="FK88">
        <v>110</v>
      </c>
      <c r="FL88" s="28">
        <v>2</v>
      </c>
      <c r="FM88" s="31"/>
      <c r="FN88" s="24">
        <v>32</v>
      </c>
      <c r="FO88">
        <v>30</v>
      </c>
      <c r="FP88" s="28">
        <v>2</v>
      </c>
      <c r="FQ88" s="31"/>
      <c r="FR88">
        <v>40</v>
      </c>
      <c r="FS88">
        <v>40</v>
      </c>
      <c r="FT88" s="28">
        <v>0</v>
      </c>
      <c r="FU88" s="31"/>
      <c r="FV88" s="24">
        <v>72</v>
      </c>
      <c r="FW88">
        <v>75</v>
      </c>
      <c r="FX88" s="28">
        <v>-3</v>
      </c>
      <c r="FY88" s="31"/>
      <c r="FZ88" s="24">
        <v>24</v>
      </c>
      <c r="GA88">
        <v>24</v>
      </c>
      <c r="GB88" s="28">
        <v>0</v>
      </c>
      <c r="GC88" s="31"/>
      <c r="GD88">
        <v>32</v>
      </c>
      <c r="GE88">
        <v>32</v>
      </c>
      <c r="GF88" s="28">
        <v>0</v>
      </c>
      <c r="GG88" s="34"/>
      <c r="GH88">
        <v>8</v>
      </c>
      <c r="GI88">
        <v>6</v>
      </c>
      <c r="GJ88" s="28">
        <v>2</v>
      </c>
      <c r="GK88" s="31"/>
      <c r="GL88">
        <v>64</v>
      </c>
      <c r="GM88">
        <v>65.8</v>
      </c>
      <c r="GN88" s="28">
        <v>-1.7999999999999969</v>
      </c>
      <c r="GO88" s="34"/>
      <c r="GP88">
        <v>16</v>
      </c>
      <c r="GQ88">
        <v>15</v>
      </c>
      <c r="GR88" s="28">
        <v>1</v>
      </c>
      <c r="GS88" s="31"/>
      <c r="GT88">
        <v>40</v>
      </c>
      <c r="GU88">
        <v>41</v>
      </c>
      <c r="GV88" s="28">
        <v>-1</v>
      </c>
      <c r="GW88" s="34"/>
      <c r="GZ88" s="28">
        <v>0</v>
      </c>
      <c r="HA88" s="31"/>
      <c r="HB88" s="33"/>
      <c r="HD88" s="28">
        <v>0</v>
      </c>
      <c r="HE88" s="34"/>
      <c r="HF88">
        <v>72</v>
      </c>
      <c r="HG88">
        <v>71</v>
      </c>
      <c r="HH88" s="28">
        <v>1</v>
      </c>
      <c r="HI88" s="34"/>
      <c r="HL88" s="28">
        <v>0</v>
      </c>
      <c r="HM88" s="34"/>
      <c r="HP88" s="28">
        <v>0</v>
      </c>
      <c r="HQ88" s="31"/>
      <c r="HR88">
        <v>48</v>
      </c>
      <c r="HS88">
        <v>50</v>
      </c>
      <c r="HT88">
        <v>40</v>
      </c>
      <c r="HU88">
        <v>44</v>
      </c>
      <c r="HV88" s="28">
        <v>-6</v>
      </c>
      <c r="HW88" s="34"/>
      <c r="HX88" s="32">
        <v>72</v>
      </c>
      <c r="HY88" s="32">
        <v>70</v>
      </c>
      <c r="HZ88" s="28">
        <v>2</v>
      </c>
      <c r="IA88" s="34"/>
      <c r="IB88" s="32">
        <v>0</v>
      </c>
      <c r="IC88" s="32">
        <v>0</v>
      </c>
      <c r="ID88" s="28">
        <v>0</v>
      </c>
      <c r="IE88" s="34"/>
      <c r="IF88" s="33">
        <v>0</v>
      </c>
      <c r="IG88" s="32">
        <v>0</v>
      </c>
      <c r="IH88" s="28">
        <v>0</v>
      </c>
      <c r="II88" s="34"/>
    </row>
    <row r="89" spans="1:243" x14ac:dyDescent="0.25">
      <c r="A89" s="28" t="s">
        <v>221</v>
      </c>
      <c r="B89" s="29">
        <v>0.35</v>
      </c>
      <c r="J89" s="30"/>
      <c r="K89" s="35"/>
      <c r="L89" s="35"/>
      <c r="M89" s="35"/>
      <c r="N89" s="35">
        <f t="shared" si="5"/>
        <v>0</v>
      </c>
      <c r="O89" s="31"/>
      <c r="P89" s="35"/>
      <c r="S89" s="28">
        <v>0</v>
      </c>
      <c r="T89" s="31"/>
      <c r="U89" s="30"/>
      <c r="W89" s="28">
        <v>0</v>
      </c>
      <c r="X89" s="31"/>
      <c r="Y89" s="30"/>
      <c r="AA89" s="28">
        <v>0</v>
      </c>
      <c r="AB89" s="31"/>
      <c r="AE89" s="28">
        <v>0</v>
      </c>
      <c r="AF89" s="31"/>
      <c r="AG89" s="30"/>
      <c r="AI89" s="28">
        <v>0</v>
      </c>
      <c r="AJ89" s="31"/>
      <c r="AM89" s="28">
        <v>0</v>
      </c>
      <c r="AN89" s="31"/>
      <c r="AO89" s="30"/>
      <c r="AQ89" s="28">
        <v>0</v>
      </c>
      <c r="AR89" s="31"/>
      <c r="AS89" s="30"/>
      <c r="AU89" s="28">
        <v>0</v>
      </c>
      <c r="AV89" s="31"/>
      <c r="AY89" s="28">
        <v>0</v>
      </c>
      <c r="AZ89" s="31"/>
      <c r="BA89" s="30"/>
      <c r="BE89" s="28">
        <v>0</v>
      </c>
      <c r="BF89" s="31"/>
      <c r="BG89" s="30"/>
      <c r="BI89" s="28">
        <v>0</v>
      </c>
      <c r="BJ89" s="31"/>
      <c r="BO89" s="28">
        <v>0</v>
      </c>
      <c r="BP89" s="31"/>
      <c r="BS89" s="28">
        <v>0</v>
      </c>
      <c r="BT89" s="31"/>
      <c r="BU89" s="30"/>
      <c r="BW89" s="28">
        <v>0</v>
      </c>
      <c r="BX89" s="31"/>
      <c r="BY89" s="30"/>
      <c r="CA89" s="28">
        <v>0</v>
      </c>
      <c r="CB89" s="31"/>
      <c r="CE89" s="28">
        <v>0</v>
      </c>
      <c r="CF89" s="31"/>
      <c r="CG89" s="30"/>
      <c r="CJ89" s="28">
        <v>0</v>
      </c>
      <c r="CK89" s="31"/>
      <c r="CL89" s="30"/>
      <c r="CP89" s="28">
        <v>0</v>
      </c>
      <c r="CQ89" s="31"/>
      <c r="CR89" s="30"/>
      <c r="CU89" s="28">
        <v>0</v>
      </c>
      <c r="CV89" s="31"/>
      <c r="CY89" s="28">
        <v>0</v>
      </c>
      <c r="CZ89" s="31"/>
      <c r="DA89" s="33"/>
      <c r="DC89" s="28">
        <v>0</v>
      </c>
      <c r="DD89" s="31"/>
      <c r="DE89" s="30"/>
      <c r="DG89" s="28">
        <v>0</v>
      </c>
      <c r="DH89" s="31"/>
      <c r="DI89" s="30"/>
      <c r="DK89" s="28">
        <v>0</v>
      </c>
      <c r="DL89" s="31"/>
      <c r="DO89" s="28">
        <v>0</v>
      </c>
      <c r="DP89" s="31"/>
      <c r="DS89" s="28">
        <v>0</v>
      </c>
      <c r="DT89" s="31"/>
      <c r="DU89" s="30"/>
      <c r="DX89" s="28">
        <v>0</v>
      </c>
      <c r="DY89" s="31"/>
      <c r="DZ89" s="30"/>
      <c r="EC89" s="28">
        <v>0</v>
      </c>
      <c r="ED89" s="31"/>
      <c r="EG89" s="28">
        <v>0</v>
      </c>
      <c r="EH89" s="31"/>
      <c r="EI89" s="30"/>
      <c r="EN89" s="28">
        <v>0</v>
      </c>
      <c r="EO89" s="31"/>
      <c r="ER89" s="28">
        <v>0</v>
      </c>
      <c r="ES89" s="31"/>
      <c r="ET89" s="30"/>
      <c r="EX89" s="28">
        <v>0</v>
      </c>
      <c r="EY89" s="31"/>
      <c r="FD89" s="28">
        <v>0</v>
      </c>
      <c r="FE89" s="31"/>
      <c r="FH89" s="28">
        <v>0</v>
      </c>
      <c r="FI89" s="31"/>
      <c r="FJ89" s="30"/>
      <c r="FL89" s="28">
        <v>0</v>
      </c>
      <c r="FM89" s="31"/>
      <c r="FN89" s="30"/>
      <c r="FP89" s="28">
        <v>0</v>
      </c>
      <c r="FQ89" s="31"/>
      <c r="FT89" s="28">
        <v>0</v>
      </c>
      <c r="FU89" s="31"/>
      <c r="FV89" s="24">
        <v>56</v>
      </c>
      <c r="FW89">
        <v>54</v>
      </c>
      <c r="FX89" s="28">
        <v>2</v>
      </c>
      <c r="FY89" s="31"/>
      <c r="FZ89" s="24">
        <v>40</v>
      </c>
      <c r="GA89">
        <v>38</v>
      </c>
      <c r="GB89" s="28">
        <v>2</v>
      </c>
      <c r="GC89" s="31"/>
      <c r="GF89" s="28">
        <v>0</v>
      </c>
      <c r="GG89" s="34"/>
      <c r="GH89">
        <v>40</v>
      </c>
      <c r="GI89">
        <v>39</v>
      </c>
      <c r="GJ89" s="28">
        <v>1</v>
      </c>
      <c r="GK89" s="31"/>
      <c r="GM89">
        <v>20</v>
      </c>
      <c r="GN89" s="27">
        <v>-20</v>
      </c>
      <c r="GO89" s="34">
        <v>7</v>
      </c>
      <c r="GR89" s="28">
        <v>0</v>
      </c>
      <c r="GS89" s="31"/>
      <c r="GT89">
        <v>8</v>
      </c>
      <c r="GU89">
        <v>10</v>
      </c>
      <c r="GV89" s="28">
        <v>-2</v>
      </c>
      <c r="GW89" s="34"/>
      <c r="GX89">
        <v>24</v>
      </c>
      <c r="GY89" s="32">
        <v>29.2</v>
      </c>
      <c r="GZ89" s="28">
        <v>-5.1999999999999993</v>
      </c>
      <c r="HA89" s="31"/>
      <c r="HB89" s="24">
        <v>16</v>
      </c>
      <c r="HC89" s="32">
        <v>16</v>
      </c>
      <c r="HD89" s="28">
        <v>0</v>
      </c>
      <c r="HE89" s="34"/>
      <c r="HF89">
        <v>40</v>
      </c>
      <c r="HG89">
        <v>41</v>
      </c>
      <c r="HH89" s="28">
        <v>-1</v>
      </c>
      <c r="HI89" s="34"/>
      <c r="HL89" s="28">
        <v>0</v>
      </c>
      <c r="HM89" s="34"/>
      <c r="HP89" s="28">
        <v>0</v>
      </c>
      <c r="HQ89" s="31"/>
      <c r="HR89">
        <v>56</v>
      </c>
      <c r="HS89">
        <v>60</v>
      </c>
      <c r="HT89">
        <v>56</v>
      </c>
      <c r="HU89">
        <v>55</v>
      </c>
      <c r="HV89" s="28">
        <v>-3</v>
      </c>
      <c r="HW89" s="34"/>
      <c r="HX89" s="32">
        <v>72</v>
      </c>
      <c r="HY89" s="32">
        <v>70</v>
      </c>
      <c r="HZ89" s="28">
        <v>2</v>
      </c>
      <c r="IA89" s="34"/>
      <c r="IB89" s="32">
        <v>0</v>
      </c>
      <c r="IC89" s="32">
        <v>0</v>
      </c>
      <c r="ID89" s="28">
        <v>0</v>
      </c>
      <c r="IE89" s="34"/>
      <c r="IF89" s="33">
        <v>104</v>
      </c>
      <c r="IG89" s="32">
        <v>115</v>
      </c>
      <c r="IH89" s="27">
        <v>-11</v>
      </c>
      <c r="II89" s="34">
        <v>3.85</v>
      </c>
    </row>
    <row r="90" spans="1:243" x14ac:dyDescent="0.25">
      <c r="A90" s="28" t="s">
        <v>222</v>
      </c>
      <c r="B90" s="29">
        <v>0.28000000000000003</v>
      </c>
      <c r="J90" s="30"/>
      <c r="K90" s="35"/>
      <c r="L90" s="35"/>
      <c r="M90" s="35"/>
      <c r="N90" s="35">
        <f t="shared" si="5"/>
        <v>0</v>
      </c>
      <c r="O90" s="31"/>
      <c r="P90" s="35"/>
      <c r="S90" s="28">
        <v>0</v>
      </c>
      <c r="T90" s="31"/>
      <c r="U90" s="30"/>
      <c r="W90" s="28">
        <v>0</v>
      </c>
      <c r="X90" s="31"/>
      <c r="Y90" s="30"/>
      <c r="AA90" s="28">
        <v>0</v>
      </c>
      <c r="AB90" s="31"/>
      <c r="AE90" s="28">
        <v>0</v>
      </c>
      <c r="AF90" s="31"/>
      <c r="AG90" s="30"/>
      <c r="AI90" s="28">
        <v>0</v>
      </c>
      <c r="AJ90" s="31"/>
      <c r="AM90" s="28">
        <v>0</v>
      </c>
      <c r="AN90" s="31"/>
      <c r="AO90" s="30"/>
      <c r="AQ90" s="28">
        <v>0</v>
      </c>
      <c r="AR90" s="31"/>
      <c r="AS90" s="30"/>
      <c r="AU90" s="28">
        <v>0</v>
      </c>
      <c r="AV90" s="31"/>
      <c r="AY90" s="28">
        <v>0</v>
      </c>
      <c r="AZ90" s="31"/>
      <c r="BA90" s="30"/>
      <c r="BE90" s="28">
        <v>0</v>
      </c>
      <c r="BF90" s="31"/>
      <c r="BG90" s="30"/>
      <c r="BI90" s="28">
        <v>0</v>
      </c>
      <c r="BJ90" s="31"/>
      <c r="BO90" s="28">
        <v>0</v>
      </c>
      <c r="BP90" s="31"/>
      <c r="BS90" s="28">
        <v>0</v>
      </c>
      <c r="BT90" s="31"/>
      <c r="BU90" s="30"/>
      <c r="BW90" s="28">
        <v>0</v>
      </c>
      <c r="BX90" s="31"/>
      <c r="BY90" s="30"/>
      <c r="CA90" s="28">
        <v>0</v>
      </c>
      <c r="CB90" s="31"/>
      <c r="CE90" s="28">
        <v>0</v>
      </c>
      <c r="CF90" s="31"/>
      <c r="CG90" s="30"/>
      <c r="CJ90" s="28">
        <v>0</v>
      </c>
      <c r="CK90" s="31"/>
      <c r="CL90" s="30"/>
      <c r="CP90" s="28">
        <v>0</v>
      </c>
      <c r="CQ90" s="31"/>
      <c r="CR90" s="30"/>
      <c r="CU90" s="28">
        <v>0</v>
      </c>
      <c r="CV90" s="31"/>
      <c r="CY90" s="28">
        <v>0</v>
      </c>
      <c r="CZ90" s="31"/>
      <c r="DA90" s="33"/>
      <c r="DC90" s="28">
        <v>0</v>
      </c>
      <c r="DD90" s="31"/>
      <c r="DE90" s="30"/>
      <c r="DG90" s="28">
        <v>0</v>
      </c>
      <c r="DH90" s="31"/>
      <c r="DI90" s="30"/>
      <c r="DK90" s="28">
        <v>0</v>
      </c>
      <c r="DL90" s="31"/>
      <c r="DO90" s="28">
        <v>0</v>
      </c>
      <c r="DP90" s="31"/>
      <c r="DS90" s="28">
        <v>0</v>
      </c>
      <c r="DT90" s="31"/>
      <c r="DU90" s="30"/>
      <c r="DX90" s="28">
        <v>0</v>
      </c>
      <c r="DY90" s="31"/>
      <c r="DZ90" s="30"/>
      <c r="EC90" s="28">
        <v>0</v>
      </c>
      <c r="ED90" s="31"/>
      <c r="EG90" s="28">
        <v>0</v>
      </c>
      <c r="EH90" s="31"/>
      <c r="EI90" s="30"/>
      <c r="EN90" s="28">
        <v>0</v>
      </c>
      <c r="EO90" s="31"/>
      <c r="ER90" s="28">
        <v>0</v>
      </c>
      <c r="ES90" s="31"/>
      <c r="ET90" s="30"/>
      <c r="EX90" s="28">
        <v>0</v>
      </c>
      <c r="EY90" s="31"/>
      <c r="FD90" s="28">
        <v>0</v>
      </c>
      <c r="FE90" s="31"/>
      <c r="FH90" s="28">
        <v>0</v>
      </c>
      <c r="FI90" s="31"/>
      <c r="FJ90" s="30"/>
      <c r="FL90" s="28">
        <v>0</v>
      </c>
      <c r="FM90" s="31"/>
      <c r="FN90" s="30"/>
      <c r="FP90" s="28">
        <v>0</v>
      </c>
      <c r="FQ90" s="31"/>
      <c r="FT90" s="28">
        <v>0</v>
      </c>
      <c r="FU90" s="31"/>
      <c r="FV90" s="30"/>
      <c r="FX90" s="28">
        <v>0</v>
      </c>
      <c r="FY90" s="31"/>
      <c r="FZ90" s="30"/>
      <c r="GB90" s="28">
        <v>0</v>
      </c>
      <c r="GC90" s="31"/>
      <c r="GF90" s="28">
        <v>0</v>
      </c>
      <c r="GG90" s="34"/>
      <c r="GJ90" s="28">
        <v>0</v>
      </c>
      <c r="GK90" s="31"/>
      <c r="GN90" s="28">
        <v>0</v>
      </c>
      <c r="GO90" s="34"/>
      <c r="GR90" s="28">
        <v>0</v>
      </c>
      <c r="GS90" s="31"/>
      <c r="GV90" s="28">
        <v>0</v>
      </c>
      <c r="GW90" s="34"/>
      <c r="GZ90" s="28">
        <v>0</v>
      </c>
      <c r="HA90" s="31"/>
      <c r="HB90" s="33"/>
      <c r="HD90" s="28">
        <v>0</v>
      </c>
      <c r="HE90" s="34"/>
      <c r="HH90" s="28">
        <v>0</v>
      </c>
      <c r="HI90" s="34"/>
      <c r="HL90" s="28">
        <v>0</v>
      </c>
      <c r="HM90" s="34"/>
      <c r="HP90" s="28">
        <v>0</v>
      </c>
      <c r="HQ90" s="31"/>
      <c r="HR90" s="29"/>
      <c r="HT90" s="29"/>
      <c r="HV90" s="28">
        <v>0</v>
      </c>
      <c r="HW90" s="34"/>
      <c r="HX90" s="32">
        <v>0</v>
      </c>
      <c r="HY90" s="32">
        <v>0</v>
      </c>
      <c r="HZ90" s="28">
        <v>0</v>
      </c>
      <c r="IA90" s="34"/>
      <c r="IB90" s="32">
        <v>0</v>
      </c>
      <c r="IC90" s="32">
        <v>0</v>
      </c>
      <c r="ID90" s="28">
        <v>0</v>
      </c>
      <c r="IE90" s="34"/>
      <c r="IF90" s="33">
        <v>0</v>
      </c>
      <c r="IG90" s="32">
        <v>0</v>
      </c>
      <c r="IH90" s="28">
        <v>0</v>
      </c>
      <c r="II90" s="34"/>
    </row>
    <row r="91" spans="1:243" x14ac:dyDescent="0.25">
      <c r="A91" s="28" t="s">
        <v>223</v>
      </c>
      <c r="B91" s="29">
        <v>0.35</v>
      </c>
      <c r="E91">
        <v>48</v>
      </c>
      <c r="F91">
        <v>48</v>
      </c>
      <c r="G91">
        <v>48</v>
      </c>
      <c r="J91" s="24">
        <v>200</v>
      </c>
      <c r="K91" s="36">
        <v>200</v>
      </c>
      <c r="L91" s="36">
        <v>144</v>
      </c>
      <c r="M91" s="36">
        <v>151</v>
      </c>
      <c r="N91" s="35">
        <f t="shared" si="5"/>
        <v>-7</v>
      </c>
      <c r="O91" s="31"/>
      <c r="P91" s="35"/>
      <c r="Q91">
        <v>136</v>
      </c>
      <c r="R91">
        <v>135</v>
      </c>
      <c r="S91" s="28">
        <v>1</v>
      </c>
      <c r="T91" s="31"/>
      <c r="U91" s="24">
        <v>408</v>
      </c>
      <c r="V91">
        <v>410</v>
      </c>
      <c r="W91" s="28">
        <v>-2</v>
      </c>
      <c r="X91" s="31"/>
      <c r="Y91" s="24">
        <v>200</v>
      </c>
      <c r="Z91">
        <v>204</v>
      </c>
      <c r="AA91" s="28">
        <v>-4</v>
      </c>
      <c r="AB91" s="31"/>
      <c r="AC91">
        <v>168</v>
      </c>
      <c r="AD91">
        <v>166</v>
      </c>
      <c r="AE91" s="28">
        <v>2</v>
      </c>
      <c r="AF91" s="31"/>
      <c r="AG91" s="24">
        <v>296</v>
      </c>
      <c r="AH91">
        <v>301</v>
      </c>
      <c r="AI91" s="28">
        <v>-5</v>
      </c>
      <c r="AJ91" s="31"/>
      <c r="AK91">
        <v>88</v>
      </c>
      <c r="AL91">
        <v>91</v>
      </c>
      <c r="AM91" s="28">
        <v>-3</v>
      </c>
      <c r="AN91" s="31"/>
      <c r="AO91" s="24">
        <v>248</v>
      </c>
      <c r="AP91">
        <v>252</v>
      </c>
      <c r="AQ91" s="28">
        <v>-4</v>
      </c>
      <c r="AR91" s="31"/>
      <c r="AS91" s="30"/>
      <c r="AU91" s="28">
        <v>0</v>
      </c>
      <c r="AV91" s="31"/>
      <c r="AY91" s="28">
        <v>0</v>
      </c>
      <c r="AZ91" s="31"/>
      <c r="BA91" s="24">
        <v>160</v>
      </c>
      <c r="BB91">
        <v>130</v>
      </c>
      <c r="BC91">
        <v>168</v>
      </c>
      <c r="BD91">
        <v>167</v>
      </c>
      <c r="BE91" s="28">
        <v>31</v>
      </c>
      <c r="BF91" s="31"/>
      <c r="BG91" s="24">
        <v>48</v>
      </c>
      <c r="BH91">
        <v>52</v>
      </c>
      <c r="BI91" s="28">
        <v>-4</v>
      </c>
      <c r="BJ91" s="31"/>
      <c r="BM91">
        <v>208</v>
      </c>
      <c r="BN91">
        <v>211</v>
      </c>
      <c r="BO91" s="28">
        <v>-3</v>
      </c>
      <c r="BP91" s="31"/>
      <c r="BQ91">
        <v>168</v>
      </c>
      <c r="BR91">
        <v>169</v>
      </c>
      <c r="BS91" s="28">
        <v>-1</v>
      </c>
      <c r="BT91" s="31"/>
      <c r="BU91" s="30"/>
      <c r="BW91" s="28">
        <v>0</v>
      </c>
      <c r="BX91" s="31"/>
      <c r="BY91" s="24">
        <v>104</v>
      </c>
      <c r="BZ91">
        <v>102</v>
      </c>
      <c r="CA91" s="28">
        <v>2</v>
      </c>
      <c r="CB91" s="31"/>
      <c r="CC91">
        <v>208</v>
      </c>
      <c r="CD91">
        <v>211</v>
      </c>
      <c r="CE91" s="28">
        <v>-3</v>
      </c>
      <c r="CF91" s="31"/>
      <c r="CG91" s="30"/>
      <c r="CJ91" s="28">
        <v>0</v>
      </c>
      <c r="CK91" s="31"/>
      <c r="CL91" s="30"/>
      <c r="CN91">
        <v>112</v>
      </c>
      <c r="CO91">
        <v>115</v>
      </c>
      <c r="CP91" s="28">
        <v>-3</v>
      </c>
      <c r="CQ91" s="31"/>
      <c r="CR91" s="24">
        <v>200</v>
      </c>
      <c r="CT91">
        <v>201</v>
      </c>
      <c r="CU91" s="28">
        <v>-1</v>
      </c>
      <c r="CV91" s="31"/>
      <c r="CW91">
        <v>96</v>
      </c>
      <c r="CX91" s="28">
        <v>98.200000000000017</v>
      </c>
      <c r="CY91" s="28">
        <v>-2.2000000000000171</v>
      </c>
      <c r="CZ91" s="31"/>
      <c r="DA91" s="24">
        <v>40</v>
      </c>
      <c r="DB91" s="28">
        <v>45</v>
      </c>
      <c r="DC91" s="28">
        <v>-5</v>
      </c>
      <c r="DD91" s="31"/>
      <c r="DE91" s="24">
        <v>152</v>
      </c>
      <c r="DF91" s="28">
        <v>162.19999999999999</v>
      </c>
      <c r="DG91" s="27">
        <v>-10.19999999999999</v>
      </c>
      <c r="DH91" s="31">
        <v>3.5699999999999958</v>
      </c>
      <c r="DI91" s="24">
        <v>8</v>
      </c>
      <c r="DJ91">
        <v>8</v>
      </c>
      <c r="DK91" s="28">
        <v>0</v>
      </c>
      <c r="DL91" s="31"/>
      <c r="DM91">
        <v>120</v>
      </c>
      <c r="DN91" s="32">
        <v>123.8</v>
      </c>
      <c r="DO91" s="28">
        <v>-3.7999999999999972</v>
      </c>
      <c r="DP91" s="31"/>
      <c r="DQ91">
        <v>32</v>
      </c>
      <c r="DR91">
        <v>35</v>
      </c>
      <c r="DS91" s="28">
        <v>-3</v>
      </c>
      <c r="DT91" s="31"/>
      <c r="DU91" s="24">
        <v>152</v>
      </c>
      <c r="DW91">
        <v>150</v>
      </c>
      <c r="DX91" s="28">
        <v>2</v>
      </c>
      <c r="DY91" s="31"/>
      <c r="DZ91" s="24">
        <v>40</v>
      </c>
      <c r="EB91">
        <v>41</v>
      </c>
      <c r="EC91" s="28">
        <v>-1</v>
      </c>
      <c r="ED91" s="31"/>
      <c r="EE91">
        <v>112</v>
      </c>
      <c r="EF91" s="32">
        <v>109.6</v>
      </c>
      <c r="EG91" s="28">
        <v>2.4000000000000061</v>
      </c>
      <c r="EH91" s="31"/>
      <c r="EI91" s="30"/>
      <c r="EJ91">
        <v>72</v>
      </c>
      <c r="EK91">
        <v>70</v>
      </c>
      <c r="EL91">
        <v>64</v>
      </c>
      <c r="EM91">
        <v>68</v>
      </c>
      <c r="EN91" s="28">
        <v>-2</v>
      </c>
      <c r="EO91" s="31"/>
      <c r="EP91">
        <v>32</v>
      </c>
      <c r="EQ91" s="32">
        <v>34.400000000000013</v>
      </c>
      <c r="ER91" s="28">
        <v>-2.4000000000000128</v>
      </c>
      <c r="ES91" s="31"/>
      <c r="ET91" s="30"/>
      <c r="EX91" s="28">
        <v>0</v>
      </c>
      <c r="EY91" s="31"/>
      <c r="EZ91">
        <v>96</v>
      </c>
      <c r="FA91">
        <v>100</v>
      </c>
      <c r="FB91">
        <v>112</v>
      </c>
      <c r="FC91">
        <v>110</v>
      </c>
      <c r="FD91" s="28">
        <v>-2</v>
      </c>
      <c r="FE91" s="31"/>
      <c r="FH91" s="28">
        <v>0</v>
      </c>
      <c r="FI91" s="31"/>
      <c r="FJ91" s="24">
        <v>160</v>
      </c>
      <c r="FK91">
        <v>160</v>
      </c>
      <c r="FL91" s="28">
        <v>0</v>
      </c>
      <c r="FM91" s="31"/>
      <c r="FN91" s="24">
        <v>40</v>
      </c>
      <c r="FO91">
        <v>40</v>
      </c>
      <c r="FP91" s="28">
        <v>0</v>
      </c>
      <c r="FQ91" s="31"/>
      <c r="FR91">
        <v>48</v>
      </c>
      <c r="FS91">
        <v>50</v>
      </c>
      <c r="FT91" s="28">
        <v>-2</v>
      </c>
      <c r="FU91" s="31"/>
      <c r="FV91" s="24">
        <v>88</v>
      </c>
      <c r="FW91">
        <v>90</v>
      </c>
      <c r="FX91" s="28">
        <v>-2</v>
      </c>
      <c r="FY91" s="31"/>
      <c r="FZ91" s="24">
        <v>40</v>
      </c>
      <c r="GA91">
        <v>45</v>
      </c>
      <c r="GB91" s="28">
        <v>-5</v>
      </c>
      <c r="GC91" s="31"/>
      <c r="GD91">
        <v>24</v>
      </c>
      <c r="GE91">
        <v>24</v>
      </c>
      <c r="GF91" s="28">
        <v>0</v>
      </c>
      <c r="GG91" s="34"/>
      <c r="GJ91" s="28">
        <v>0</v>
      </c>
      <c r="GK91" s="31"/>
      <c r="GL91">
        <v>80</v>
      </c>
      <c r="GM91">
        <v>84.4</v>
      </c>
      <c r="GN91" s="28">
        <v>-4.4000000000000057</v>
      </c>
      <c r="GO91" s="34"/>
      <c r="GR91" s="28">
        <v>0</v>
      </c>
      <c r="GS91" s="31"/>
      <c r="GT91">
        <v>16</v>
      </c>
      <c r="GU91">
        <v>18</v>
      </c>
      <c r="GV91" s="28">
        <v>-2</v>
      </c>
      <c r="GW91" s="34"/>
      <c r="GX91">
        <v>24</v>
      </c>
      <c r="GY91" s="32">
        <v>24.599999999999991</v>
      </c>
      <c r="GZ91" s="28">
        <v>-0.59999999999999076</v>
      </c>
      <c r="HA91" s="31"/>
      <c r="HB91" s="24">
        <v>16</v>
      </c>
      <c r="HC91" s="32">
        <v>16</v>
      </c>
      <c r="HD91" s="28">
        <v>0</v>
      </c>
      <c r="HE91" s="34"/>
      <c r="HF91">
        <v>56</v>
      </c>
      <c r="HG91">
        <v>57</v>
      </c>
      <c r="HH91" s="28">
        <v>-1</v>
      </c>
      <c r="HI91" s="34"/>
      <c r="HL91" s="28">
        <v>0</v>
      </c>
      <c r="HM91" s="34"/>
      <c r="HP91" s="28">
        <v>0</v>
      </c>
      <c r="HQ91" s="31"/>
      <c r="HR91">
        <v>72</v>
      </c>
      <c r="HS91">
        <v>70</v>
      </c>
      <c r="HT91">
        <v>64</v>
      </c>
      <c r="HU91">
        <v>67</v>
      </c>
      <c r="HV91" s="28">
        <v>-1</v>
      </c>
      <c r="HW91" s="34"/>
      <c r="HX91" s="32">
        <v>72</v>
      </c>
      <c r="HY91" s="32">
        <v>70</v>
      </c>
      <c r="HZ91" s="28">
        <v>2</v>
      </c>
      <c r="IA91" s="34"/>
      <c r="IB91" s="32">
        <v>0</v>
      </c>
      <c r="IC91" s="32">
        <v>0</v>
      </c>
      <c r="ID91" s="28">
        <v>0</v>
      </c>
      <c r="IE91" s="34"/>
      <c r="IF91" s="33">
        <v>112</v>
      </c>
      <c r="IG91" s="32">
        <v>110</v>
      </c>
      <c r="IH91" s="28">
        <v>2</v>
      </c>
      <c r="II91" s="34"/>
    </row>
    <row r="92" spans="1:243" x14ac:dyDescent="0.25">
      <c r="A92" s="28" t="s">
        <v>224</v>
      </c>
      <c r="B92" s="29">
        <v>0.28000000000000003</v>
      </c>
      <c r="J92" s="30"/>
      <c r="K92" s="35"/>
      <c r="L92" s="35"/>
      <c r="M92" s="35"/>
      <c r="N92" s="35">
        <f t="shared" si="5"/>
        <v>0</v>
      </c>
      <c r="O92" s="31"/>
      <c r="P92" s="35"/>
      <c r="S92" s="28">
        <v>0</v>
      </c>
      <c r="T92" s="31"/>
      <c r="U92" s="30"/>
      <c r="W92" s="28">
        <v>0</v>
      </c>
      <c r="X92" s="31"/>
      <c r="Y92" s="30"/>
      <c r="AA92" s="28">
        <v>0</v>
      </c>
      <c r="AB92" s="31"/>
      <c r="AE92" s="28">
        <v>0</v>
      </c>
      <c r="AF92" s="31"/>
      <c r="AG92" s="30"/>
      <c r="AI92" s="28">
        <v>0</v>
      </c>
      <c r="AJ92" s="31"/>
      <c r="AM92" s="28">
        <v>0</v>
      </c>
      <c r="AN92" s="31"/>
      <c r="AO92" s="30"/>
      <c r="AQ92" s="28">
        <v>0</v>
      </c>
      <c r="AR92" s="31"/>
      <c r="AS92" s="30"/>
      <c r="AU92" s="28">
        <v>0</v>
      </c>
      <c r="AV92" s="31"/>
      <c r="AY92" s="28">
        <v>0</v>
      </c>
      <c r="AZ92" s="31"/>
      <c r="BA92" s="30"/>
      <c r="BE92" s="28">
        <v>0</v>
      </c>
      <c r="BF92" s="31"/>
      <c r="BG92" s="30"/>
      <c r="BI92" s="28">
        <v>0</v>
      </c>
      <c r="BJ92" s="31"/>
      <c r="BO92" s="28">
        <v>0</v>
      </c>
      <c r="BP92" s="31"/>
      <c r="BS92" s="28">
        <v>0</v>
      </c>
      <c r="BT92" s="31"/>
      <c r="BU92" s="30"/>
      <c r="BW92" s="28">
        <v>0</v>
      </c>
      <c r="BX92" s="31"/>
      <c r="BY92" s="30"/>
      <c r="CA92" s="28">
        <v>0</v>
      </c>
      <c r="CB92" s="31"/>
      <c r="CE92" s="28">
        <v>0</v>
      </c>
      <c r="CF92" s="31"/>
      <c r="CG92" s="30"/>
      <c r="CJ92" s="28">
        <v>0</v>
      </c>
      <c r="CK92" s="31"/>
      <c r="CL92" s="30"/>
      <c r="CP92" s="28">
        <v>0</v>
      </c>
      <c r="CQ92" s="31"/>
      <c r="CR92" s="30"/>
      <c r="CU92" s="28">
        <v>0</v>
      </c>
      <c r="CV92" s="31"/>
      <c r="CY92" s="28">
        <v>0</v>
      </c>
      <c r="CZ92" s="31"/>
      <c r="DA92" s="33"/>
      <c r="DC92" s="28">
        <v>0</v>
      </c>
      <c r="DD92" s="31"/>
      <c r="DE92" s="30"/>
      <c r="DG92" s="28">
        <v>0</v>
      </c>
      <c r="DH92" s="31"/>
      <c r="DI92" s="30"/>
      <c r="DK92" s="28">
        <v>0</v>
      </c>
      <c r="DL92" s="31"/>
      <c r="DO92" s="28">
        <v>0</v>
      </c>
      <c r="DP92" s="31"/>
      <c r="DS92" s="28">
        <v>0</v>
      </c>
      <c r="DT92" s="31"/>
      <c r="DU92" s="30"/>
      <c r="DX92" s="28">
        <v>0</v>
      </c>
      <c r="DY92" s="31"/>
      <c r="DZ92" s="30"/>
      <c r="EC92" s="28">
        <v>0</v>
      </c>
      <c r="ED92" s="31"/>
      <c r="EG92" s="28">
        <v>0</v>
      </c>
      <c r="EH92" s="31"/>
      <c r="EI92" s="30"/>
      <c r="EM92">
        <v>63</v>
      </c>
      <c r="EN92" s="28">
        <v>1</v>
      </c>
      <c r="EO92" s="31"/>
      <c r="EQ92" s="32">
        <v>67.399999999999991</v>
      </c>
      <c r="ER92" s="27">
        <v>-67.399999999999991</v>
      </c>
      <c r="ES92" s="31">
        <v>18.872</v>
      </c>
      <c r="ET92" s="30"/>
      <c r="EV92">
        <v>16</v>
      </c>
      <c r="EW92">
        <v>21</v>
      </c>
      <c r="EX92" s="28">
        <v>-5</v>
      </c>
      <c r="EY92" s="31"/>
      <c r="EZ92">
        <v>40</v>
      </c>
      <c r="FA92">
        <v>40</v>
      </c>
      <c r="FB92">
        <v>40</v>
      </c>
      <c r="FC92">
        <v>40</v>
      </c>
      <c r="FD92" s="28">
        <v>0</v>
      </c>
      <c r="FE92" s="31"/>
      <c r="FF92">
        <v>8</v>
      </c>
      <c r="FG92" s="32">
        <v>8</v>
      </c>
      <c r="FH92" s="28">
        <v>0</v>
      </c>
      <c r="FI92" s="31"/>
      <c r="FJ92" s="24">
        <v>56</v>
      </c>
      <c r="FK92">
        <v>54</v>
      </c>
      <c r="FL92" s="28">
        <v>2</v>
      </c>
      <c r="FM92" s="31"/>
      <c r="FN92" s="24">
        <v>32</v>
      </c>
      <c r="FO92">
        <v>32</v>
      </c>
      <c r="FP92" s="28">
        <v>0</v>
      </c>
      <c r="FQ92" s="31"/>
      <c r="FR92">
        <v>24</v>
      </c>
      <c r="FS92">
        <v>24</v>
      </c>
      <c r="FT92" s="28">
        <v>0</v>
      </c>
      <c r="FU92" s="31"/>
      <c r="FV92" s="24">
        <v>40</v>
      </c>
      <c r="FW92">
        <v>44</v>
      </c>
      <c r="FX92" s="28">
        <v>-4</v>
      </c>
      <c r="FY92" s="31"/>
      <c r="FZ92" s="24">
        <v>8</v>
      </c>
      <c r="GA92">
        <v>9</v>
      </c>
      <c r="GB92" s="28">
        <v>-1</v>
      </c>
      <c r="GC92" s="31"/>
      <c r="GD92">
        <v>56</v>
      </c>
      <c r="GE92">
        <v>59</v>
      </c>
      <c r="GF92" s="28">
        <v>-3</v>
      </c>
      <c r="GG92" s="34"/>
      <c r="GH92">
        <v>24</v>
      </c>
      <c r="GI92">
        <v>28</v>
      </c>
      <c r="GJ92" s="28">
        <v>-4</v>
      </c>
      <c r="GK92" s="31"/>
      <c r="GL92">
        <v>32</v>
      </c>
      <c r="GM92">
        <v>37</v>
      </c>
      <c r="GN92" s="28">
        <v>-5</v>
      </c>
      <c r="GO92" s="34"/>
      <c r="GR92" s="28">
        <v>0</v>
      </c>
      <c r="GS92" s="31"/>
      <c r="GV92" s="28">
        <v>0</v>
      </c>
      <c r="GW92" s="34"/>
      <c r="GX92">
        <v>40</v>
      </c>
      <c r="GY92" s="32">
        <v>39.799999999999997</v>
      </c>
      <c r="GZ92" s="28">
        <v>0.20000000000000279</v>
      </c>
      <c r="HA92" s="31"/>
      <c r="HB92" s="24">
        <v>24</v>
      </c>
      <c r="HC92" s="32">
        <v>24</v>
      </c>
      <c r="HD92" s="28">
        <v>0</v>
      </c>
      <c r="HE92" s="34"/>
      <c r="HF92">
        <v>24</v>
      </c>
      <c r="HG92">
        <v>24</v>
      </c>
      <c r="HH92" s="28">
        <v>0</v>
      </c>
      <c r="HI92" s="34"/>
      <c r="HL92" s="28">
        <v>0</v>
      </c>
      <c r="HM92" s="34"/>
      <c r="HP92" s="28">
        <v>0</v>
      </c>
      <c r="HQ92" s="31"/>
      <c r="HR92">
        <v>48</v>
      </c>
      <c r="HS92">
        <v>50</v>
      </c>
      <c r="HT92">
        <v>40</v>
      </c>
      <c r="HU92">
        <v>40</v>
      </c>
      <c r="HV92" s="28">
        <v>-2</v>
      </c>
      <c r="HW92" s="34"/>
      <c r="HX92" s="32">
        <v>56</v>
      </c>
      <c r="HY92" s="32">
        <v>60</v>
      </c>
      <c r="HZ92" s="28">
        <v>-4</v>
      </c>
      <c r="IA92" s="34"/>
      <c r="IB92" s="32">
        <v>0</v>
      </c>
      <c r="IC92" s="32">
        <v>0</v>
      </c>
      <c r="ID92" s="28">
        <v>0</v>
      </c>
      <c r="IE92" s="34"/>
      <c r="IF92" s="33">
        <v>0</v>
      </c>
      <c r="IG92" s="32">
        <v>0</v>
      </c>
      <c r="IH92" s="28">
        <v>0</v>
      </c>
      <c r="II92" s="34"/>
    </row>
    <row r="93" spans="1:243" x14ac:dyDescent="0.25">
      <c r="A93" s="28" t="s">
        <v>225</v>
      </c>
      <c r="B93" s="29">
        <v>0.41</v>
      </c>
      <c r="E93">
        <v>240</v>
      </c>
      <c r="F93">
        <v>344</v>
      </c>
      <c r="G93">
        <v>379</v>
      </c>
      <c r="J93" s="30"/>
      <c r="K93" s="35"/>
      <c r="L93" s="35"/>
      <c r="M93" s="35"/>
      <c r="N93" s="35">
        <f t="shared" si="5"/>
        <v>0</v>
      </c>
      <c r="O93" s="31"/>
      <c r="P93" s="35"/>
      <c r="Q93">
        <v>576</v>
      </c>
      <c r="R93">
        <v>575</v>
      </c>
      <c r="S93" s="28">
        <v>1</v>
      </c>
      <c r="T93" s="31"/>
      <c r="U93" s="24">
        <v>384</v>
      </c>
      <c r="V93">
        <v>389</v>
      </c>
      <c r="W93" s="28">
        <v>-5</v>
      </c>
      <c r="X93" s="31"/>
      <c r="Y93" s="30"/>
      <c r="AA93" s="28">
        <v>0</v>
      </c>
      <c r="AB93" s="31"/>
      <c r="AC93">
        <v>608</v>
      </c>
      <c r="AD93">
        <v>613</v>
      </c>
      <c r="AE93" s="28">
        <v>-5</v>
      </c>
      <c r="AF93" s="31"/>
      <c r="AG93" s="24">
        <v>184</v>
      </c>
      <c r="AH93">
        <v>189</v>
      </c>
      <c r="AI93" s="28">
        <v>-5</v>
      </c>
      <c r="AJ93" s="31"/>
      <c r="AK93">
        <v>336</v>
      </c>
      <c r="AL93">
        <v>336</v>
      </c>
      <c r="AM93" s="28">
        <v>0</v>
      </c>
      <c r="AN93" s="31"/>
      <c r="AO93" s="30"/>
      <c r="AQ93" s="28">
        <v>0</v>
      </c>
      <c r="AR93" s="31"/>
      <c r="AS93" s="24">
        <v>400</v>
      </c>
      <c r="AT93">
        <v>390</v>
      </c>
      <c r="AU93" s="28">
        <v>10</v>
      </c>
      <c r="AV93" s="31"/>
      <c r="AW93">
        <v>80</v>
      </c>
      <c r="AX93">
        <v>79</v>
      </c>
      <c r="AY93" s="28">
        <v>1</v>
      </c>
      <c r="AZ93" s="31"/>
      <c r="BA93" s="24">
        <v>56</v>
      </c>
      <c r="BB93">
        <v>60</v>
      </c>
      <c r="BC93">
        <v>88</v>
      </c>
      <c r="BD93">
        <v>87</v>
      </c>
      <c r="BE93" s="28">
        <v>-3</v>
      </c>
      <c r="BF93" s="31"/>
      <c r="BG93" s="24">
        <v>152</v>
      </c>
      <c r="BH93">
        <v>152</v>
      </c>
      <c r="BI93" s="28">
        <v>0</v>
      </c>
      <c r="BJ93" s="31"/>
      <c r="BM93">
        <v>152</v>
      </c>
      <c r="BN93">
        <v>157</v>
      </c>
      <c r="BO93" s="28">
        <v>-5</v>
      </c>
      <c r="BP93" s="31"/>
      <c r="BQ93">
        <v>136</v>
      </c>
      <c r="BR93">
        <v>137</v>
      </c>
      <c r="BS93" s="28">
        <v>-1</v>
      </c>
      <c r="BT93" s="31"/>
      <c r="BU93" s="24">
        <v>192</v>
      </c>
      <c r="BV93">
        <v>196</v>
      </c>
      <c r="BW93" s="28">
        <v>-4</v>
      </c>
      <c r="BX93" s="31"/>
      <c r="BY93" s="30"/>
      <c r="CA93" s="28">
        <v>0</v>
      </c>
      <c r="CB93" s="31"/>
      <c r="CC93">
        <v>248</v>
      </c>
      <c r="CD93">
        <v>250</v>
      </c>
      <c r="CE93" s="28">
        <v>-2</v>
      </c>
      <c r="CF93" s="31"/>
      <c r="CG93" s="30"/>
      <c r="CJ93" s="28">
        <v>0</v>
      </c>
      <c r="CK93" s="31"/>
      <c r="CL93" s="30"/>
      <c r="CN93">
        <v>104</v>
      </c>
      <c r="CO93">
        <v>109</v>
      </c>
      <c r="CP93" s="28">
        <v>-5</v>
      </c>
      <c r="CQ93" s="31"/>
      <c r="CR93" s="24">
        <v>232</v>
      </c>
      <c r="CT93">
        <v>235</v>
      </c>
      <c r="CU93" s="28">
        <v>-3</v>
      </c>
      <c r="CV93" s="31"/>
      <c r="CY93" s="28">
        <v>0</v>
      </c>
      <c r="CZ93" s="31"/>
      <c r="DA93" s="24">
        <v>248</v>
      </c>
      <c r="DB93" s="28">
        <v>248</v>
      </c>
      <c r="DC93" s="28">
        <v>0</v>
      </c>
      <c r="DD93" s="31"/>
      <c r="DE93" s="24">
        <v>72</v>
      </c>
      <c r="DF93" s="28">
        <v>74.799999999999983</v>
      </c>
      <c r="DG93" s="28">
        <v>-2.7999999999999829</v>
      </c>
      <c r="DH93" s="31"/>
      <c r="DI93" s="24">
        <v>48</v>
      </c>
      <c r="DJ93">
        <v>49</v>
      </c>
      <c r="DK93" s="28">
        <v>-1</v>
      </c>
      <c r="DL93" s="31"/>
      <c r="DM93">
        <v>96</v>
      </c>
      <c r="DN93" s="32">
        <v>95.400000000000034</v>
      </c>
      <c r="DO93" s="28">
        <v>0.59999999999996589</v>
      </c>
      <c r="DP93" s="31"/>
      <c r="DQ93">
        <v>208</v>
      </c>
      <c r="DR93">
        <v>212</v>
      </c>
      <c r="DS93" s="28">
        <v>-4</v>
      </c>
      <c r="DT93" s="31"/>
      <c r="DU93" s="24">
        <v>16</v>
      </c>
      <c r="DW93">
        <v>17</v>
      </c>
      <c r="DX93" s="28">
        <v>-1</v>
      </c>
      <c r="DY93" s="31"/>
      <c r="DZ93" s="24">
        <v>168</v>
      </c>
      <c r="EB93">
        <v>168</v>
      </c>
      <c r="EC93" s="28">
        <v>0</v>
      </c>
      <c r="ED93" s="31"/>
      <c r="EG93" s="28">
        <v>0</v>
      </c>
      <c r="EH93" s="31"/>
      <c r="EI93" s="30"/>
      <c r="EJ93">
        <v>32</v>
      </c>
      <c r="EK93">
        <v>32</v>
      </c>
      <c r="EL93">
        <v>40</v>
      </c>
      <c r="EM93">
        <v>45</v>
      </c>
      <c r="EN93" s="28">
        <v>-5</v>
      </c>
      <c r="EO93" s="31"/>
      <c r="EP93">
        <v>176</v>
      </c>
      <c r="EQ93" s="32">
        <v>180.6</v>
      </c>
      <c r="ER93" s="28">
        <v>-4.5999999999999943</v>
      </c>
      <c r="ES93" s="31"/>
      <c r="ET93" s="30"/>
      <c r="EV93">
        <v>48</v>
      </c>
      <c r="EW93">
        <v>48</v>
      </c>
      <c r="EX93" s="28">
        <v>0</v>
      </c>
      <c r="EY93" s="31"/>
      <c r="EZ93">
        <v>80</v>
      </c>
      <c r="FA93">
        <v>80</v>
      </c>
      <c r="FB93">
        <v>80</v>
      </c>
      <c r="FC93">
        <v>80</v>
      </c>
      <c r="FD93" s="28">
        <v>0</v>
      </c>
      <c r="FE93" s="31"/>
      <c r="FH93" s="28">
        <v>0</v>
      </c>
      <c r="FI93" s="31"/>
      <c r="FJ93" s="24">
        <v>96</v>
      </c>
      <c r="FK93">
        <v>96</v>
      </c>
      <c r="FL93" s="28">
        <v>0</v>
      </c>
      <c r="FM93" s="31"/>
      <c r="FN93" s="24">
        <v>40</v>
      </c>
      <c r="FO93">
        <v>40</v>
      </c>
      <c r="FP93" s="28">
        <v>0</v>
      </c>
      <c r="FQ93" s="31"/>
      <c r="FR93">
        <v>40</v>
      </c>
      <c r="FS93">
        <v>40</v>
      </c>
      <c r="FT93" s="28">
        <v>0</v>
      </c>
      <c r="FU93" s="31"/>
      <c r="FV93" s="24">
        <v>160</v>
      </c>
      <c r="FW93">
        <v>159</v>
      </c>
      <c r="FX93" s="28">
        <v>1</v>
      </c>
      <c r="FY93" s="31"/>
      <c r="FZ93" s="24">
        <v>56</v>
      </c>
      <c r="GA93">
        <v>59</v>
      </c>
      <c r="GB93" s="28">
        <v>-3</v>
      </c>
      <c r="GC93" s="31"/>
      <c r="GD93">
        <v>32</v>
      </c>
      <c r="GE93">
        <v>32</v>
      </c>
      <c r="GF93" s="28">
        <v>0</v>
      </c>
      <c r="GG93" s="34"/>
      <c r="GH93">
        <v>104</v>
      </c>
      <c r="GI93">
        <v>107</v>
      </c>
      <c r="GJ93" s="28">
        <v>-3</v>
      </c>
      <c r="GK93" s="31"/>
      <c r="GL93">
        <v>88</v>
      </c>
      <c r="GM93">
        <v>90.200000000000017</v>
      </c>
      <c r="GN93" s="28">
        <v>-2.2000000000000171</v>
      </c>
      <c r="GO93" s="34"/>
      <c r="GP93">
        <v>72</v>
      </c>
      <c r="GQ93">
        <v>72</v>
      </c>
      <c r="GR93" s="28">
        <v>0</v>
      </c>
      <c r="GS93" s="31"/>
      <c r="GT93">
        <v>64</v>
      </c>
      <c r="GU93">
        <v>64</v>
      </c>
      <c r="GV93" s="28">
        <v>0</v>
      </c>
      <c r="GW93" s="34"/>
      <c r="GX93">
        <v>64</v>
      </c>
      <c r="GY93" s="32">
        <v>68.8</v>
      </c>
      <c r="GZ93" s="28">
        <v>-4.7999999999999972</v>
      </c>
      <c r="HA93" s="31"/>
      <c r="HB93" s="24">
        <v>24</v>
      </c>
      <c r="HC93" s="32">
        <v>24</v>
      </c>
      <c r="HD93" s="28">
        <v>0</v>
      </c>
      <c r="HE93" s="34"/>
      <c r="HH93" s="28">
        <v>0</v>
      </c>
      <c r="HI93" s="34"/>
      <c r="HL93" s="28">
        <v>0</v>
      </c>
      <c r="HM93" s="34"/>
      <c r="HP93" s="28">
        <v>0</v>
      </c>
      <c r="HQ93" s="31"/>
      <c r="HR93">
        <v>152</v>
      </c>
      <c r="HS93">
        <v>150</v>
      </c>
      <c r="HT93">
        <v>112</v>
      </c>
      <c r="HU93">
        <v>116</v>
      </c>
      <c r="HV93" s="28">
        <v>-2</v>
      </c>
      <c r="HW93" s="34"/>
      <c r="HX93" s="32">
        <v>0</v>
      </c>
      <c r="HY93" s="32">
        <v>0</v>
      </c>
      <c r="HZ93" s="28">
        <v>0</v>
      </c>
      <c r="IA93" s="34"/>
      <c r="IB93" s="32">
        <v>160</v>
      </c>
      <c r="IC93" s="32">
        <v>161.19999999999999</v>
      </c>
      <c r="ID93" s="28">
        <v>-1.2000000000000171</v>
      </c>
      <c r="IE93" s="34"/>
      <c r="IF93" s="33">
        <v>0</v>
      </c>
      <c r="IG93" s="32">
        <v>0</v>
      </c>
      <c r="IH93" s="28">
        <v>0</v>
      </c>
      <c r="II93" s="34"/>
    </row>
    <row r="94" spans="1:243" x14ac:dyDescent="0.25">
      <c r="A94" s="28" t="s">
        <v>226</v>
      </c>
      <c r="B94" s="29">
        <v>0.5</v>
      </c>
      <c r="J94" s="30"/>
      <c r="K94" s="35"/>
      <c r="L94" s="35"/>
      <c r="M94" s="35"/>
      <c r="N94" s="35">
        <f t="shared" si="5"/>
        <v>0</v>
      </c>
      <c r="O94" s="31"/>
      <c r="P94" s="35"/>
      <c r="S94" s="28">
        <v>0</v>
      </c>
      <c r="T94" s="31"/>
      <c r="U94" s="30"/>
      <c r="W94" s="28">
        <v>0</v>
      </c>
      <c r="X94" s="31"/>
      <c r="Y94" s="30"/>
      <c r="AA94" s="28">
        <v>0</v>
      </c>
      <c r="AB94" s="31"/>
      <c r="AE94" s="28">
        <v>0</v>
      </c>
      <c r="AF94" s="31"/>
      <c r="AG94" s="30"/>
      <c r="AI94" s="28">
        <v>0</v>
      </c>
      <c r="AJ94" s="31"/>
      <c r="AM94" s="28">
        <v>0</v>
      </c>
      <c r="AN94" s="31"/>
      <c r="AO94" s="30"/>
      <c r="AQ94" s="28">
        <v>0</v>
      </c>
      <c r="AR94" s="31"/>
      <c r="AS94" s="30"/>
      <c r="AU94" s="28">
        <v>0</v>
      </c>
      <c r="AV94" s="31"/>
      <c r="AY94" s="28">
        <v>0</v>
      </c>
      <c r="AZ94" s="31"/>
      <c r="BA94" s="30"/>
      <c r="BE94" s="28">
        <v>0</v>
      </c>
      <c r="BF94" s="31"/>
      <c r="BG94" s="30"/>
      <c r="BI94" s="28">
        <v>0</v>
      </c>
      <c r="BJ94" s="31"/>
      <c r="BO94" s="28">
        <v>0</v>
      </c>
      <c r="BP94" s="31"/>
      <c r="BS94" s="28">
        <v>0</v>
      </c>
      <c r="BT94" s="31"/>
      <c r="BU94" s="30"/>
      <c r="BW94" s="28">
        <v>0</v>
      </c>
      <c r="BX94" s="31"/>
      <c r="BY94" s="30"/>
      <c r="CA94" s="28">
        <v>0</v>
      </c>
      <c r="CB94" s="31"/>
      <c r="CE94" s="28">
        <v>0</v>
      </c>
      <c r="CF94" s="31"/>
      <c r="CG94" s="30"/>
      <c r="CJ94" s="28">
        <v>0</v>
      </c>
      <c r="CK94" s="31"/>
      <c r="CL94" s="30"/>
      <c r="CP94" s="28">
        <v>0</v>
      </c>
      <c r="CQ94" s="31"/>
      <c r="CR94" s="30"/>
      <c r="CU94" s="28">
        <v>0</v>
      </c>
      <c r="CV94" s="31"/>
      <c r="CY94" s="28">
        <v>0</v>
      </c>
      <c r="CZ94" s="31"/>
      <c r="DA94" s="33"/>
      <c r="DC94" s="28">
        <v>0</v>
      </c>
      <c r="DD94" s="31"/>
      <c r="DE94" s="30"/>
      <c r="DG94" s="28">
        <v>0</v>
      </c>
      <c r="DH94" s="31"/>
      <c r="DI94" s="30"/>
      <c r="DK94" s="28">
        <v>0</v>
      </c>
      <c r="DL94" s="31"/>
      <c r="DO94" s="28">
        <v>0</v>
      </c>
      <c r="DP94" s="31"/>
      <c r="DS94" s="28">
        <v>0</v>
      </c>
      <c r="DT94" s="31"/>
      <c r="DU94" s="30"/>
      <c r="DX94" s="28">
        <v>0</v>
      </c>
      <c r="DY94" s="31"/>
      <c r="DZ94" s="30"/>
      <c r="EC94" s="28">
        <v>0</v>
      </c>
      <c r="ED94" s="31"/>
      <c r="EG94" s="28">
        <v>0</v>
      </c>
      <c r="EH94" s="31"/>
      <c r="EI94" s="30"/>
      <c r="EN94" s="28">
        <v>0</v>
      </c>
      <c r="EO94" s="31"/>
      <c r="ER94" s="28">
        <v>0</v>
      </c>
      <c r="ES94" s="31"/>
      <c r="ET94" s="30"/>
      <c r="EX94" s="28">
        <v>0</v>
      </c>
      <c r="EY94" s="31"/>
      <c r="FD94" s="28">
        <v>0</v>
      </c>
      <c r="FE94" s="31"/>
      <c r="FH94" s="28">
        <v>0</v>
      </c>
      <c r="FI94" s="31"/>
      <c r="FJ94" s="30"/>
      <c r="FL94" s="28">
        <v>0</v>
      </c>
      <c r="FM94" s="31"/>
      <c r="FN94" s="30"/>
      <c r="FP94" s="28">
        <v>0</v>
      </c>
      <c r="FQ94" s="31"/>
      <c r="FT94" s="28">
        <v>0</v>
      </c>
      <c r="FU94" s="31"/>
      <c r="FV94" s="30"/>
      <c r="FX94" s="28">
        <v>0</v>
      </c>
      <c r="FY94" s="31"/>
      <c r="FZ94" s="30"/>
      <c r="GB94" s="28">
        <v>0</v>
      </c>
      <c r="GC94" s="31"/>
      <c r="GF94" s="28">
        <v>0</v>
      </c>
      <c r="GG94" s="34"/>
      <c r="GJ94" s="28">
        <v>0</v>
      </c>
      <c r="GK94" s="31"/>
      <c r="GN94" s="28">
        <v>0</v>
      </c>
      <c r="GO94" s="34"/>
      <c r="GR94" s="28">
        <v>0</v>
      </c>
      <c r="GS94" s="31"/>
      <c r="GV94" s="28">
        <v>0</v>
      </c>
      <c r="GW94" s="34"/>
      <c r="GZ94" s="28">
        <v>0</v>
      </c>
      <c r="HA94" s="31"/>
      <c r="HB94" s="33"/>
      <c r="HD94" s="28">
        <v>0</v>
      </c>
      <c r="HE94" s="34"/>
      <c r="HH94" s="28">
        <v>0</v>
      </c>
      <c r="HI94" s="34"/>
      <c r="HL94" s="28">
        <v>0</v>
      </c>
      <c r="HM94" s="34"/>
      <c r="HP94" s="28">
        <v>0</v>
      </c>
      <c r="HQ94" s="31"/>
      <c r="HR94" s="29"/>
      <c r="HT94" s="29"/>
      <c r="HV94" s="28">
        <v>0</v>
      </c>
      <c r="HW94" s="34"/>
      <c r="HX94" s="32">
        <v>0</v>
      </c>
      <c r="HY94" s="32">
        <v>0</v>
      </c>
      <c r="HZ94" s="28">
        <v>0</v>
      </c>
      <c r="IA94" s="34"/>
      <c r="IB94" s="32">
        <v>0</v>
      </c>
      <c r="IC94" s="32">
        <v>0</v>
      </c>
      <c r="ID94" s="28">
        <v>0</v>
      </c>
      <c r="IE94" s="34"/>
      <c r="IF94" s="33">
        <v>0</v>
      </c>
      <c r="IG94" s="32">
        <v>0</v>
      </c>
      <c r="IH94" s="28">
        <v>0</v>
      </c>
      <c r="II94" s="34"/>
    </row>
    <row r="95" spans="1:243" x14ac:dyDescent="0.25">
      <c r="A95" s="28" t="s">
        <v>227</v>
      </c>
      <c r="B95" s="29">
        <v>0.41</v>
      </c>
      <c r="J95" s="30"/>
      <c r="K95" s="35"/>
      <c r="L95" s="35"/>
      <c r="M95" s="35"/>
      <c r="N95" s="35">
        <f t="shared" si="5"/>
        <v>0</v>
      </c>
      <c r="O95" s="31"/>
      <c r="P95" s="35"/>
      <c r="S95" s="28">
        <v>0</v>
      </c>
      <c r="T95" s="31"/>
      <c r="U95" s="30"/>
      <c r="W95" s="28">
        <v>0</v>
      </c>
      <c r="X95" s="31"/>
      <c r="Y95" s="30"/>
      <c r="AA95" s="28">
        <v>0</v>
      </c>
      <c r="AB95" s="31"/>
      <c r="AE95" s="28">
        <v>0</v>
      </c>
      <c r="AF95" s="31"/>
      <c r="AG95" s="30"/>
      <c r="AI95" s="28">
        <v>0</v>
      </c>
      <c r="AJ95" s="31"/>
      <c r="AM95" s="28">
        <v>0</v>
      </c>
      <c r="AN95" s="31"/>
      <c r="AO95" s="30"/>
      <c r="AQ95" s="28">
        <v>0</v>
      </c>
      <c r="AR95" s="31"/>
      <c r="AS95" s="30"/>
      <c r="AU95" s="28">
        <v>0</v>
      </c>
      <c r="AV95" s="31"/>
      <c r="AY95" s="28">
        <v>0</v>
      </c>
      <c r="AZ95" s="31"/>
      <c r="BA95" s="30"/>
      <c r="BE95" s="28">
        <v>0</v>
      </c>
      <c r="BF95" s="31"/>
      <c r="BG95" s="30"/>
      <c r="BI95" s="28">
        <v>0</v>
      </c>
      <c r="BJ95" s="31"/>
      <c r="BO95" s="28">
        <v>0</v>
      </c>
      <c r="BP95" s="31"/>
      <c r="BS95" s="28">
        <v>0</v>
      </c>
      <c r="BT95" s="31"/>
      <c r="BU95" s="30"/>
      <c r="BW95" s="28">
        <v>0</v>
      </c>
      <c r="BX95" s="31"/>
      <c r="BY95" s="30"/>
      <c r="CA95" s="28">
        <v>0</v>
      </c>
      <c r="CB95" s="31"/>
      <c r="CE95" s="28">
        <v>0</v>
      </c>
      <c r="CF95" s="31"/>
      <c r="CG95" s="30"/>
      <c r="CJ95" s="28">
        <v>0</v>
      </c>
      <c r="CK95" s="31"/>
      <c r="CL95" s="30"/>
      <c r="CP95" s="28">
        <v>0</v>
      </c>
      <c r="CQ95" s="31"/>
      <c r="CR95" s="30"/>
      <c r="CU95" s="28">
        <v>0</v>
      </c>
      <c r="CV95" s="31"/>
      <c r="CY95" s="28">
        <v>0</v>
      </c>
      <c r="CZ95" s="31"/>
      <c r="DA95" s="33"/>
      <c r="DC95" s="28">
        <v>0</v>
      </c>
      <c r="DD95" s="31"/>
      <c r="DE95" s="30"/>
      <c r="DG95" s="28">
        <v>0</v>
      </c>
      <c r="DH95" s="31"/>
      <c r="DI95" s="30"/>
      <c r="DK95" s="28">
        <v>0</v>
      </c>
      <c r="DL95" s="31"/>
      <c r="DO95" s="28">
        <v>0</v>
      </c>
      <c r="DP95" s="31"/>
      <c r="DS95" s="28">
        <v>0</v>
      </c>
      <c r="DT95" s="31"/>
      <c r="DU95" s="30"/>
      <c r="DX95" s="28">
        <v>0</v>
      </c>
      <c r="DY95" s="31"/>
      <c r="DZ95" s="30"/>
      <c r="EC95" s="28">
        <v>0</v>
      </c>
      <c r="ED95" s="31"/>
      <c r="EG95" s="28">
        <v>0</v>
      </c>
      <c r="EH95" s="31"/>
      <c r="EI95" s="30"/>
      <c r="EN95" s="28">
        <v>0</v>
      </c>
      <c r="EO95" s="31"/>
      <c r="ER95" s="28">
        <v>0</v>
      </c>
      <c r="ES95" s="31"/>
      <c r="ET95" s="30"/>
      <c r="EX95" s="28">
        <v>0</v>
      </c>
      <c r="EY95" s="31"/>
      <c r="FD95" s="28">
        <v>0</v>
      </c>
      <c r="FE95" s="31"/>
      <c r="FH95" s="28">
        <v>0</v>
      </c>
      <c r="FI95" s="31"/>
      <c r="FJ95" s="30"/>
      <c r="FL95" s="28">
        <v>0</v>
      </c>
      <c r="FM95" s="31"/>
      <c r="FN95" s="30"/>
      <c r="FP95" s="28">
        <v>0</v>
      </c>
      <c r="FQ95" s="31"/>
      <c r="FT95" s="28">
        <v>0</v>
      </c>
      <c r="FU95" s="31"/>
      <c r="FV95" s="30"/>
      <c r="FX95" s="28">
        <v>0</v>
      </c>
      <c r="FY95" s="31"/>
      <c r="FZ95" s="30"/>
      <c r="GB95" s="28">
        <v>0</v>
      </c>
      <c r="GC95" s="31"/>
      <c r="GF95" s="28">
        <v>0</v>
      </c>
      <c r="GG95" s="34"/>
      <c r="GJ95" s="28">
        <v>0</v>
      </c>
      <c r="GK95" s="31"/>
      <c r="GL95">
        <v>10</v>
      </c>
      <c r="GM95">
        <v>10</v>
      </c>
      <c r="GN95" s="28">
        <v>0</v>
      </c>
      <c r="GO95" s="34"/>
      <c r="GP95">
        <v>50</v>
      </c>
      <c r="GQ95">
        <v>50</v>
      </c>
      <c r="GR95" s="28">
        <v>0</v>
      </c>
      <c r="GS95" s="31"/>
      <c r="GV95" s="28">
        <v>0</v>
      </c>
      <c r="GW95" s="34"/>
      <c r="GZ95" s="28">
        <v>0</v>
      </c>
      <c r="HA95" s="31"/>
      <c r="HB95" s="24">
        <v>30</v>
      </c>
      <c r="HC95" s="32">
        <v>30</v>
      </c>
      <c r="HD95" s="28">
        <v>0</v>
      </c>
      <c r="HE95" s="34"/>
      <c r="HH95" s="28">
        <v>0</v>
      </c>
      <c r="HI95" s="34"/>
      <c r="HJ95">
        <v>30</v>
      </c>
      <c r="HK95">
        <v>30</v>
      </c>
      <c r="HL95" s="28">
        <v>0</v>
      </c>
      <c r="HM95" s="34"/>
      <c r="HP95" s="28">
        <v>0</v>
      </c>
      <c r="HQ95" s="31"/>
      <c r="HR95" s="29"/>
      <c r="HT95">
        <v>10</v>
      </c>
      <c r="HU95">
        <v>10</v>
      </c>
      <c r="HV95" s="28">
        <v>0</v>
      </c>
      <c r="HW95" s="34"/>
      <c r="HX95" s="32">
        <v>0</v>
      </c>
      <c r="HY95" s="32">
        <v>0</v>
      </c>
      <c r="HZ95" s="28">
        <v>0</v>
      </c>
      <c r="IA95" s="34"/>
      <c r="IB95" s="32">
        <v>0</v>
      </c>
      <c r="IC95" s="32">
        <v>0</v>
      </c>
      <c r="ID95" s="28">
        <v>0</v>
      </c>
      <c r="IE95" s="34"/>
      <c r="IF95" s="33">
        <v>0</v>
      </c>
      <c r="IG95" s="4">
        <v>110</v>
      </c>
      <c r="IH95" s="28">
        <v>0</v>
      </c>
      <c r="II95" s="34"/>
    </row>
    <row r="96" spans="1:243" x14ac:dyDescent="0.25">
      <c r="A96" s="28" t="s">
        <v>228</v>
      </c>
      <c r="B96" s="29">
        <v>0.41</v>
      </c>
      <c r="F96">
        <v>100</v>
      </c>
      <c r="G96">
        <v>100</v>
      </c>
      <c r="J96" s="30"/>
      <c r="K96" s="35"/>
      <c r="L96" s="35"/>
      <c r="M96" s="35"/>
      <c r="N96" s="35">
        <f t="shared" si="5"/>
        <v>0</v>
      </c>
      <c r="O96" s="31"/>
      <c r="P96" s="35"/>
      <c r="Q96">
        <v>160</v>
      </c>
      <c r="R96">
        <v>166</v>
      </c>
      <c r="S96" s="28">
        <v>-6</v>
      </c>
      <c r="T96" s="31"/>
      <c r="U96" s="30"/>
      <c r="W96" s="28">
        <v>0</v>
      </c>
      <c r="X96" s="31"/>
      <c r="Y96" s="24">
        <v>120</v>
      </c>
      <c r="Z96">
        <v>122</v>
      </c>
      <c r="AA96" s="28">
        <v>-2</v>
      </c>
      <c r="AB96" s="31"/>
      <c r="AC96">
        <v>10</v>
      </c>
      <c r="AD96">
        <v>10</v>
      </c>
      <c r="AE96" s="28">
        <v>0</v>
      </c>
      <c r="AF96" s="31"/>
      <c r="AG96" s="24">
        <v>60</v>
      </c>
      <c r="AH96">
        <v>64</v>
      </c>
      <c r="AI96" s="28">
        <v>-4</v>
      </c>
      <c r="AJ96" s="31"/>
      <c r="AK96">
        <v>30</v>
      </c>
      <c r="AL96">
        <v>37</v>
      </c>
      <c r="AM96" s="28">
        <v>-7</v>
      </c>
      <c r="AN96" s="31"/>
      <c r="AO96" s="24">
        <v>40</v>
      </c>
      <c r="AP96">
        <v>47</v>
      </c>
      <c r="AQ96" s="28">
        <v>-7</v>
      </c>
      <c r="AR96" s="31"/>
      <c r="AS96" s="24">
        <v>30</v>
      </c>
      <c r="AT96">
        <v>29</v>
      </c>
      <c r="AU96" s="28">
        <v>1</v>
      </c>
      <c r="AV96" s="31"/>
      <c r="AW96">
        <v>20</v>
      </c>
      <c r="AX96">
        <v>19</v>
      </c>
      <c r="AY96" s="28">
        <v>1</v>
      </c>
      <c r="AZ96" s="31"/>
      <c r="BA96" s="30"/>
      <c r="BC96">
        <v>20</v>
      </c>
      <c r="BD96">
        <v>22</v>
      </c>
      <c r="BE96" s="28">
        <v>-2</v>
      </c>
      <c r="BF96" s="31"/>
      <c r="BG96" s="30"/>
      <c r="BI96" s="28">
        <v>0</v>
      </c>
      <c r="BJ96" s="31"/>
      <c r="BO96" s="28">
        <v>0</v>
      </c>
      <c r="BP96" s="31"/>
      <c r="BQ96">
        <v>50</v>
      </c>
      <c r="BR96">
        <v>54</v>
      </c>
      <c r="BS96" s="28">
        <v>-4</v>
      </c>
      <c r="BT96" s="31"/>
      <c r="BU96" s="30"/>
      <c r="BW96" s="28">
        <v>0</v>
      </c>
      <c r="BX96" s="31"/>
      <c r="BY96" s="30">
        <v>30</v>
      </c>
      <c r="BZ96" s="28">
        <v>30</v>
      </c>
      <c r="CA96" s="28">
        <v>0</v>
      </c>
      <c r="CB96" s="31"/>
      <c r="CE96" s="28">
        <v>0</v>
      </c>
      <c r="CF96" s="31"/>
      <c r="CG96" s="30"/>
      <c r="CJ96" s="28">
        <v>0</v>
      </c>
      <c r="CK96" s="31"/>
      <c r="CL96" s="30"/>
      <c r="CP96" s="28">
        <v>0</v>
      </c>
      <c r="CQ96" s="31"/>
      <c r="CR96" s="30"/>
      <c r="CV96" s="34"/>
      <c r="CZ96" s="31"/>
      <c r="DA96" s="33"/>
      <c r="DD96" s="31"/>
      <c r="DE96" s="30"/>
      <c r="DH96" s="31"/>
      <c r="DI96" s="30"/>
      <c r="DL96" s="31"/>
      <c r="DP96" s="31"/>
      <c r="DT96" s="31"/>
      <c r="DU96" s="30"/>
      <c r="DY96" s="31"/>
      <c r="DZ96" s="30"/>
      <c r="ED96" s="31"/>
      <c r="EH96" s="31"/>
      <c r="EI96" s="30"/>
      <c r="EO96" s="31"/>
      <c r="ES96" s="31"/>
      <c r="ET96" s="30"/>
      <c r="EW96" s="29"/>
      <c r="EY96" s="31"/>
      <c r="FE96" s="31"/>
      <c r="FF96" s="32"/>
      <c r="FI96" s="31"/>
      <c r="FJ96" s="30"/>
      <c r="FM96" s="31"/>
      <c r="FN96" s="30"/>
      <c r="FQ96" s="31"/>
      <c r="FU96" s="31"/>
      <c r="FV96" s="30"/>
      <c r="FY96" s="31"/>
      <c r="FZ96" s="30"/>
      <c r="GC96" s="31"/>
      <c r="GG96" s="34"/>
      <c r="GK96" s="31"/>
      <c r="GO96" s="34"/>
      <c r="GS96" s="31"/>
      <c r="GW96" s="34"/>
      <c r="HA96" s="31"/>
      <c r="HB96" s="24"/>
      <c r="HC96" s="32"/>
      <c r="HE96" s="34"/>
      <c r="HI96" s="34"/>
      <c r="HM96" s="34"/>
      <c r="HQ96" s="31"/>
      <c r="HR96" s="29"/>
      <c r="HW96" s="34"/>
      <c r="HX96" s="32"/>
      <c r="HY96" s="32"/>
      <c r="IA96" s="34"/>
      <c r="IB96" s="32"/>
      <c r="IC96" s="32"/>
      <c r="IE96" s="34"/>
      <c r="IF96" s="33"/>
      <c r="IG96" s="32"/>
      <c r="II96" s="34"/>
    </row>
    <row r="97" spans="1:243" x14ac:dyDescent="0.25">
      <c r="A97" s="28" t="s">
        <v>229</v>
      </c>
      <c r="B97" s="29">
        <v>0.41</v>
      </c>
      <c r="J97" s="30"/>
      <c r="K97" s="35"/>
      <c r="L97" s="35"/>
      <c r="M97" s="35"/>
      <c r="N97" s="35">
        <f t="shared" si="5"/>
        <v>0</v>
      </c>
      <c r="O97" s="31"/>
      <c r="P97" s="35"/>
      <c r="S97" s="28">
        <v>0</v>
      </c>
      <c r="T97" s="31"/>
      <c r="U97" s="30"/>
      <c r="W97" s="28">
        <v>0</v>
      </c>
      <c r="X97" s="31"/>
      <c r="Y97" s="30"/>
      <c r="AA97" s="28">
        <v>0</v>
      </c>
      <c r="AB97" s="31"/>
      <c r="AE97" s="28">
        <v>0</v>
      </c>
      <c r="AF97" s="31"/>
      <c r="AG97" s="30"/>
      <c r="AI97" s="28">
        <v>0</v>
      </c>
      <c r="AJ97" s="31"/>
      <c r="AM97" s="28">
        <v>0</v>
      </c>
      <c r="AN97" s="31"/>
      <c r="AO97" s="30"/>
      <c r="AQ97" s="28">
        <v>0</v>
      </c>
      <c r="AR97" s="31"/>
      <c r="AS97" s="30"/>
      <c r="AU97" s="28">
        <v>0</v>
      </c>
      <c r="AV97" s="31"/>
      <c r="AY97" s="28">
        <v>0</v>
      </c>
      <c r="AZ97" s="31"/>
      <c r="BA97" s="30"/>
      <c r="BE97" s="28">
        <v>0</v>
      </c>
      <c r="BF97" s="31"/>
      <c r="BG97" s="30"/>
      <c r="BI97" s="28">
        <v>0</v>
      </c>
      <c r="BJ97" s="31"/>
      <c r="BO97" s="28">
        <v>0</v>
      </c>
      <c r="BP97" s="31"/>
      <c r="BS97" s="28">
        <v>0</v>
      </c>
      <c r="BT97" s="31"/>
      <c r="BU97" s="30"/>
      <c r="BW97" s="28">
        <v>0</v>
      </c>
      <c r="BX97" s="31"/>
      <c r="BY97" s="30"/>
      <c r="CA97" s="28">
        <v>0</v>
      </c>
      <c r="CB97" s="31"/>
      <c r="CE97" s="28">
        <v>0</v>
      </c>
      <c r="CF97" s="31"/>
      <c r="CG97" s="30"/>
      <c r="CJ97" s="28">
        <v>0</v>
      </c>
      <c r="CK97" s="31"/>
      <c r="CL97" s="30"/>
      <c r="CP97" s="28">
        <v>0</v>
      </c>
      <c r="CQ97" s="31"/>
      <c r="CR97" s="30"/>
      <c r="CU97" s="28">
        <v>0</v>
      </c>
      <c r="CV97" s="31"/>
      <c r="CY97" s="28">
        <v>0</v>
      </c>
      <c r="CZ97" s="31"/>
      <c r="DA97" s="33"/>
      <c r="DC97" s="28">
        <v>0</v>
      </c>
      <c r="DD97" s="31"/>
      <c r="DE97" s="30"/>
      <c r="DG97" s="28">
        <v>0</v>
      </c>
      <c r="DH97" s="31"/>
      <c r="DI97" s="30"/>
      <c r="DK97" s="28">
        <v>0</v>
      </c>
      <c r="DL97" s="31"/>
      <c r="DO97" s="28">
        <v>0</v>
      </c>
      <c r="DP97" s="31"/>
      <c r="DS97" s="28">
        <v>0</v>
      </c>
      <c r="DT97" s="31"/>
      <c r="DU97" s="30"/>
      <c r="DX97" s="28">
        <v>0</v>
      </c>
      <c r="DY97" s="31"/>
      <c r="DZ97" s="30"/>
      <c r="EC97" s="28">
        <v>0</v>
      </c>
      <c r="ED97" s="31"/>
      <c r="EG97" s="28">
        <v>0</v>
      </c>
      <c r="EH97" s="31"/>
      <c r="EI97" s="30"/>
      <c r="EN97" s="28">
        <v>0</v>
      </c>
      <c r="EO97" s="31"/>
      <c r="ER97" s="28">
        <v>0</v>
      </c>
      <c r="ES97" s="31"/>
      <c r="ET97" s="30"/>
      <c r="EX97" s="28">
        <v>0</v>
      </c>
      <c r="EY97" s="31"/>
      <c r="FD97" s="28">
        <v>0</v>
      </c>
      <c r="FE97" s="31"/>
      <c r="FH97" s="28">
        <v>0</v>
      </c>
      <c r="FI97" s="31"/>
      <c r="FJ97" s="30"/>
      <c r="FL97" s="28">
        <v>0</v>
      </c>
      <c r="FM97" s="31"/>
      <c r="FN97" s="30"/>
      <c r="FP97" s="28">
        <v>0</v>
      </c>
      <c r="FQ97" s="31"/>
      <c r="FT97" s="28">
        <v>0</v>
      </c>
      <c r="FU97" s="31"/>
      <c r="FV97" s="30"/>
      <c r="FX97" s="28">
        <v>0</v>
      </c>
      <c r="FY97" s="31"/>
      <c r="FZ97" s="30"/>
      <c r="GB97" s="28">
        <v>0</v>
      </c>
      <c r="GC97" s="31"/>
      <c r="GF97" s="28">
        <v>0</v>
      </c>
      <c r="GG97" s="34"/>
      <c r="GJ97" s="28">
        <v>0</v>
      </c>
      <c r="GK97" s="31"/>
      <c r="GL97">
        <v>10</v>
      </c>
      <c r="GM97">
        <v>10</v>
      </c>
      <c r="GN97" s="28">
        <v>0</v>
      </c>
      <c r="GO97" s="34"/>
      <c r="GR97" s="28">
        <v>0</v>
      </c>
      <c r="GS97" s="31"/>
      <c r="GV97" s="28">
        <v>0</v>
      </c>
      <c r="GW97" s="34"/>
      <c r="GZ97" s="28">
        <v>0</v>
      </c>
      <c r="HA97" s="31"/>
      <c r="HB97" s="24">
        <v>30</v>
      </c>
      <c r="HC97" s="32">
        <v>30</v>
      </c>
      <c r="HD97" s="28">
        <v>0</v>
      </c>
      <c r="HE97" s="34"/>
      <c r="HF97">
        <v>20</v>
      </c>
      <c r="HG97">
        <v>20</v>
      </c>
      <c r="HH97" s="28">
        <v>0</v>
      </c>
      <c r="HI97" s="34"/>
      <c r="HL97" s="28">
        <v>0</v>
      </c>
      <c r="HM97" s="34"/>
      <c r="HP97" s="28">
        <v>0</v>
      </c>
      <c r="HQ97" s="31"/>
      <c r="HR97" s="29"/>
      <c r="HT97">
        <v>30</v>
      </c>
      <c r="HU97">
        <v>37</v>
      </c>
      <c r="HV97" s="28">
        <v>-7</v>
      </c>
      <c r="HW97" s="34"/>
      <c r="HX97" s="32">
        <v>0</v>
      </c>
      <c r="HY97" s="32">
        <v>0</v>
      </c>
      <c r="HZ97" s="28">
        <v>0</v>
      </c>
      <c r="IA97" s="34"/>
      <c r="IB97" s="32">
        <v>20</v>
      </c>
      <c r="IC97" s="32">
        <v>18</v>
      </c>
      <c r="ID97" s="28">
        <v>2</v>
      </c>
      <c r="IE97" s="34"/>
      <c r="IF97" s="33">
        <v>0</v>
      </c>
      <c r="IG97" s="32">
        <v>0</v>
      </c>
      <c r="IH97" s="28">
        <v>0</v>
      </c>
      <c r="II97" s="34"/>
    </row>
    <row r="98" spans="1:243" x14ac:dyDescent="0.25">
      <c r="A98" s="28" t="s">
        <v>230</v>
      </c>
      <c r="B98" s="29">
        <v>0.5</v>
      </c>
      <c r="J98" s="30"/>
      <c r="K98" s="35"/>
      <c r="L98" s="35"/>
      <c r="M98" s="35"/>
      <c r="N98" s="35">
        <f t="shared" si="5"/>
        <v>0</v>
      </c>
      <c r="O98" s="31"/>
      <c r="P98" s="35"/>
      <c r="S98" s="28">
        <v>0</v>
      </c>
      <c r="T98" s="31"/>
      <c r="U98" s="30"/>
      <c r="W98" s="28">
        <v>0</v>
      </c>
      <c r="X98" s="31"/>
      <c r="Y98" s="30"/>
      <c r="AA98" s="28">
        <v>0</v>
      </c>
      <c r="AB98" s="31"/>
      <c r="AE98" s="28">
        <v>0</v>
      </c>
      <c r="AF98" s="31"/>
      <c r="AG98" s="30"/>
      <c r="AI98" s="28">
        <v>0</v>
      </c>
      <c r="AJ98" s="31"/>
      <c r="AM98" s="28">
        <v>0</v>
      </c>
      <c r="AN98" s="31"/>
      <c r="AO98" s="30"/>
      <c r="AQ98" s="28">
        <v>0</v>
      </c>
      <c r="AR98" s="31"/>
      <c r="AS98" s="30"/>
      <c r="AU98" s="28">
        <v>0</v>
      </c>
      <c r="AV98" s="31"/>
      <c r="AY98" s="28">
        <v>0</v>
      </c>
      <c r="AZ98" s="31"/>
      <c r="BA98" s="30"/>
      <c r="BE98" s="28">
        <v>0</v>
      </c>
      <c r="BF98" s="31"/>
      <c r="BG98" s="30"/>
      <c r="BI98" s="28">
        <v>0</v>
      </c>
      <c r="BJ98" s="31"/>
      <c r="BO98" s="28">
        <v>0</v>
      </c>
      <c r="BP98" s="31"/>
      <c r="BS98" s="28">
        <v>0</v>
      </c>
      <c r="BT98" s="31"/>
      <c r="BU98" s="30"/>
      <c r="BW98" s="28">
        <v>0</v>
      </c>
      <c r="BX98" s="31"/>
      <c r="BY98" s="30"/>
      <c r="CA98" s="28">
        <v>0</v>
      </c>
      <c r="CB98" s="31"/>
      <c r="CE98" s="28">
        <v>0</v>
      </c>
      <c r="CF98" s="31"/>
      <c r="CG98" s="30"/>
      <c r="CJ98" s="28">
        <v>0</v>
      </c>
      <c r="CK98" s="31"/>
      <c r="CL98" s="30"/>
      <c r="CP98" s="28">
        <v>0</v>
      </c>
      <c r="CQ98" s="31"/>
      <c r="CR98" s="30"/>
      <c r="CU98" s="28">
        <v>0</v>
      </c>
      <c r="CV98" s="31"/>
      <c r="CY98" s="28">
        <v>0</v>
      </c>
      <c r="CZ98" s="31"/>
      <c r="DA98" s="33"/>
      <c r="DC98" s="28">
        <v>0</v>
      </c>
      <c r="DD98" s="31"/>
      <c r="DE98" s="30"/>
      <c r="DG98" s="28">
        <v>0</v>
      </c>
      <c r="DH98" s="31"/>
      <c r="DI98" s="30"/>
      <c r="DK98" s="28">
        <v>0</v>
      </c>
      <c r="DL98" s="31"/>
      <c r="DO98" s="28">
        <v>0</v>
      </c>
      <c r="DP98" s="31"/>
      <c r="DS98" s="28">
        <v>0</v>
      </c>
      <c r="DT98" s="31"/>
      <c r="DU98" s="30"/>
      <c r="DX98" s="28">
        <v>0</v>
      </c>
      <c r="DY98" s="31"/>
      <c r="DZ98" s="30"/>
      <c r="EC98" s="28">
        <v>0</v>
      </c>
      <c r="ED98" s="31"/>
      <c r="EG98" s="28">
        <v>0</v>
      </c>
      <c r="EH98" s="31"/>
      <c r="EI98" s="30"/>
      <c r="EN98" s="28">
        <v>0</v>
      </c>
      <c r="EO98" s="31"/>
      <c r="ER98" s="28">
        <v>0</v>
      </c>
      <c r="ES98" s="31"/>
      <c r="ET98" s="30"/>
      <c r="EX98" s="28">
        <v>0</v>
      </c>
      <c r="EY98" s="31"/>
      <c r="FD98" s="28">
        <v>0</v>
      </c>
      <c r="FE98" s="31"/>
      <c r="FH98" s="28">
        <v>0</v>
      </c>
      <c r="FI98" s="31"/>
      <c r="FJ98" s="30"/>
      <c r="FL98" s="28">
        <v>0</v>
      </c>
      <c r="FM98" s="31"/>
      <c r="FN98" s="30"/>
      <c r="FP98" s="28">
        <v>0</v>
      </c>
      <c r="FQ98" s="31"/>
      <c r="FT98" s="28">
        <v>0</v>
      </c>
      <c r="FU98" s="31"/>
      <c r="FV98" s="30"/>
      <c r="FX98" s="28">
        <v>0</v>
      </c>
      <c r="FY98" s="31"/>
      <c r="FZ98" s="30"/>
      <c r="GB98" s="28">
        <v>0</v>
      </c>
      <c r="GC98" s="31"/>
      <c r="GF98" s="28">
        <v>0</v>
      </c>
      <c r="GG98" s="34"/>
      <c r="GJ98" s="28">
        <v>0</v>
      </c>
      <c r="GK98" s="31"/>
      <c r="GN98" s="28">
        <v>0</v>
      </c>
      <c r="GO98" s="34"/>
      <c r="GR98" s="28">
        <v>0</v>
      </c>
      <c r="GS98" s="31"/>
      <c r="GV98" s="28">
        <v>0</v>
      </c>
      <c r="GW98" s="34"/>
      <c r="GZ98" s="28">
        <v>0</v>
      </c>
      <c r="HA98" s="31"/>
      <c r="HB98" s="33"/>
      <c r="HD98" s="28">
        <v>0</v>
      </c>
      <c r="HE98" s="34"/>
      <c r="HH98" s="28">
        <v>0</v>
      </c>
      <c r="HI98" s="34"/>
      <c r="HL98" s="28">
        <v>0</v>
      </c>
      <c r="HM98" s="34"/>
      <c r="HP98" s="28">
        <v>0</v>
      </c>
      <c r="HQ98" s="31"/>
      <c r="HR98" s="29"/>
      <c r="HT98" s="29"/>
      <c r="HV98" s="28">
        <v>0</v>
      </c>
      <c r="HW98" s="34"/>
      <c r="HX98" s="32">
        <v>0</v>
      </c>
      <c r="HY98" s="32">
        <v>0</v>
      </c>
      <c r="HZ98" s="28">
        <v>0</v>
      </c>
      <c r="IA98" s="34"/>
      <c r="IB98" s="32">
        <v>0</v>
      </c>
      <c r="IC98" s="32">
        <v>0</v>
      </c>
      <c r="ID98" s="28">
        <v>0</v>
      </c>
      <c r="IE98" s="34"/>
      <c r="IF98" s="33">
        <v>0</v>
      </c>
      <c r="IG98" s="32">
        <v>0</v>
      </c>
      <c r="IH98" s="28">
        <v>0</v>
      </c>
      <c r="II98" s="34"/>
    </row>
    <row r="99" spans="1:243" x14ac:dyDescent="0.25">
      <c r="A99" s="28" t="s">
        <v>231</v>
      </c>
      <c r="B99" s="29">
        <v>0.41</v>
      </c>
      <c r="J99" s="30"/>
      <c r="K99" s="35"/>
      <c r="L99" s="35"/>
      <c r="M99" s="35"/>
      <c r="N99" s="35">
        <f t="shared" si="5"/>
        <v>0</v>
      </c>
      <c r="O99" s="31"/>
      <c r="P99" s="35"/>
      <c r="S99" s="28">
        <v>0</v>
      </c>
      <c r="T99" s="31"/>
      <c r="U99" s="30"/>
      <c r="W99" s="28">
        <v>0</v>
      </c>
      <c r="X99" s="31"/>
      <c r="Y99" s="30"/>
      <c r="AA99" s="28">
        <v>0</v>
      </c>
      <c r="AB99" s="31"/>
      <c r="AE99" s="28">
        <v>0</v>
      </c>
      <c r="AF99" s="31"/>
      <c r="AG99" s="30"/>
      <c r="AI99" s="28">
        <v>0</v>
      </c>
      <c r="AJ99" s="31"/>
      <c r="AM99" s="28">
        <v>0</v>
      </c>
      <c r="AN99" s="31"/>
      <c r="AO99" s="30"/>
      <c r="AQ99" s="28">
        <v>0</v>
      </c>
      <c r="AR99" s="31"/>
      <c r="AS99" s="30"/>
      <c r="AU99" s="28">
        <v>0</v>
      </c>
      <c r="AV99" s="31"/>
      <c r="AY99" s="28">
        <v>0</v>
      </c>
      <c r="AZ99" s="31"/>
      <c r="BA99" s="30"/>
      <c r="BE99" s="28">
        <v>0</v>
      </c>
      <c r="BF99" s="31"/>
      <c r="BG99" s="30"/>
      <c r="BI99" s="28">
        <v>0</v>
      </c>
      <c r="BJ99" s="31"/>
      <c r="BO99" s="28">
        <v>0</v>
      </c>
      <c r="BP99" s="31"/>
      <c r="BS99" s="28">
        <v>0</v>
      </c>
      <c r="BT99" s="31"/>
      <c r="BU99" s="30"/>
      <c r="BW99" s="28">
        <v>0</v>
      </c>
      <c r="BX99" s="31"/>
      <c r="BY99" s="30"/>
      <c r="CA99" s="28">
        <v>0</v>
      </c>
      <c r="CB99" s="31"/>
      <c r="CE99" s="28">
        <v>0</v>
      </c>
      <c r="CF99" s="31"/>
      <c r="CG99" s="30"/>
      <c r="CJ99" s="28">
        <v>0</v>
      </c>
      <c r="CK99" s="31"/>
      <c r="CL99" s="30"/>
      <c r="CP99" s="28">
        <v>0</v>
      </c>
      <c r="CQ99" s="31"/>
      <c r="CR99" s="30"/>
      <c r="CU99" s="28">
        <v>0</v>
      </c>
      <c r="CV99" s="31"/>
      <c r="CY99" s="28">
        <v>0</v>
      </c>
      <c r="CZ99" s="31"/>
      <c r="DA99" s="33"/>
      <c r="DC99" s="28">
        <v>0</v>
      </c>
      <c r="DD99" s="31"/>
      <c r="DE99" s="30"/>
      <c r="DG99" s="28">
        <v>0</v>
      </c>
      <c r="DH99" s="31"/>
      <c r="DI99" s="30"/>
      <c r="DK99" s="28">
        <v>0</v>
      </c>
      <c r="DL99" s="31"/>
      <c r="DO99" s="28">
        <v>0</v>
      </c>
      <c r="DP99" s="31"/>
      <c r="DS99" s="28">
        <v>0</v>
      </c>
      <c r="DT99" s="31"/>
      <c r="DU99" s="30"/>
      <c r="DX99" s="28">
        <v>0</v>
      </c>
      <c r="DY99" s="31"/>
      <c r="DZ99" s="30"/>
      <c r="EC99" s="28">
        <v>0</v>
      </c>
      <c r="ED99" s="31"/>
      <c r="EG99" s="28">
        <v>0</v>
      </c>
      <c r="EH99" s="31"/>
      <c r="EI99" s="30"/>
      <c r="EN99" s="28">
        <v>0</v>
      </c>
      <c r="EO99" s="31"/>
      <c r="ER99" s="28">
        <v>0</v>
      </c>
      <c r="ES99" s="31"/>
      <c r="ET99" s="30"/>
      <c r="EX99" s="28">
        <v>0</v>
      </c>
      <c r="EY99" s="31"/>
      <c r="FD99" s="28">
        <v>0</v>
      </c>
      <c r="FE99" s="31"/>
      <c r="FH99" s="28">
        <v>0</v>
      </c>
      <c r="FI99" s="31"/>
      <c r="FJ99" s="30"/>
      <c r="FL99" s="28">
        <v>0</v>
      </c>
      <c r="FM99" s="31"/>
      <c r="FN99" s="30"/>
      <c r="FP99" s="28">
        <v>0</v>
      </c>
      <c r="FQ99" s="31"/>
      <c r="FT99" s="28">
        <v>0</v>
      </c>
      <c r="FU99" s="31"/>
      <c r="FV99" s="30"/>
      <c r="FX99" s="28">
        <v>0</v>
      </c>
      <c r="FY99" s="31"/>
      <c r="FZ99" s="30"/>
      <c r="GB99" s="28">
        <v>0</v>
      </c>
      <c r="GC99" s="31"/>
      <c r="GF99" s="28">
        <v>0</v>
      </c>
      <c r="GG99" s="34"/>
      <c r="GJ99" s="28">
        <v>0</v>
      </c>
      <c r="GK99" s="31"/>
      <c r="GN99" s="28">
        <v>0</v>
      </c>
      <c r="GO99" s="34"/>
      <c r="GR99" s="28">
        <v>0</v>
      </c>
      <c r="GS99" s="31"/>
      <c r="GV99" s="28">
        <v>0</v>
      </c>
      <c r="GW99" s="34"/>
      <c r="GZ99" s="28">
        <v>0</v>
      </c>
      <c r="HA99" s="31"/>
      <c r="HB99" s="33"/>
      <c r="HD99" s="28">
        <v>0</v>
      </c>
      <c r="HE99" s="34"/>
      <c r="HH99" s="28">
        <v>0</v>
      </c>
      <c r="HI99" s="34"/>
      <c r="HL99" s="28">
        <v>0</v>
      </c>
      <c r="HM99" s="34"/>
      <c r="HP99" s="28">
        <v>0</v>
      </c>
      <c r="HQ99" s="31"/>
      <c r="HR99" s="29"/>
      <c r="HT99" s="29"/>
      <c r="HV99" s="28">
        <v>0</v>
      </c>
      <c r="HW99" s="34"/>
      <c r="HX99" s="32">
        <v>0</v>
      </c>
      <c r="HY99" s="32">
        <v>0</v>
      </c>
      <c r="HZ99" s="28">
        <v>0</v>
      </c>
      <c r="IA99" s="34"/>
      <c r="IB99" s="32">
        <v>0</v>
      </c>
      <c r="IC99" s="32">
        <v>0</v>
      </c>
      <c r="ID99" s="28">
        <v>0</v>
      </c>
      <c r="IE99" s="34"/>
      <c r="IF99" s="33">
        <v>0</v>
      </c>
      <c r="IG99" s="32">
        <v>0</v>
      </c>
      <c r="IH99" s="28">
        <v>0</v>
      </c>
      <c r="II99" s="34"/>
    </row>
    <row r="100" spans="1:243" x14ac:dyDescent="0.25">
      <c r="A100" s="28" t="s">
        <v>232</v>
      </c>
      <c r="B100" s="29">
        <v>0.4</v>
      </c>
      <c r="J100" s="30"/>
      <c r="K100" s="35"/>
      <c r="L100" s="35"/>
      <c r="M100" s="35"/>
      <c r="N100" s="35">
        <f t="shared" si="5"/>
        <v>0</v>
      </c>
      <c r="O100" s="31"/>
      <c r="P100" s="35"/>
      <c r="S100" s="28">
        <v>0</v>
      </c>
      <c r="T100" s="31"/>
      <c r="U100" s="30"/>
      <c r="W100" s="28">
        <v>0</v>
      </c>
      <c r="X100" s="31"/>
      <c r="Y100" s="30"/>
      <c r="AA100" s="28">
        <v>0</v>
      </c>
      <c r="AB100" s="31"/>
      <c r="AE100" s="28">
        <v>0</v>
      </c>
      <c r="AF100" s="31"/>
      <c r="AG100" s="30"/>
      <c r="AI100" s="28">
        <v>0</v>
      </c>
      <c r="AJ100" s="31"/>
      <c r="AM100" s="28">
        <v>0</v>
      </c>
      <c r="AN100" s="31"/>
      <c r="AO100" s="30"/>
      <c r="AQ100" s="28">
        <v>0</v>
      </c>
      <c r="AR100" s="31"/>
      <c r="AS100" s="30"/>
      <c r="AU100" s="28">
        <v>0</v>
      </c>
      <c r="AV100" s="31"/>
      <c r="AY100" s="28">
        <v>0</v>
      </c>
      <c r="AZ100" s="31"/>
      <c r="BA100" s="30"/>
      <c r="BE100" s="28">
        <v>0</v>
      </c>
      <c r="BF100" s="31"/>
      <c r="BG100" s="30"/>
      <c r="BI100" s="28">
        <v>0</v>
      </c>
      <c r="BJ100" s="31"/>
      <c r="BO100" s="28">
        <v>0</v>
      </c>
      <c r="BP100" s="31"/>
      <c r="BS100" s="28">
        <v>0</v>
      </c>
      <c r="BT100" s="31"/>
      <c r="BU100" s="30"/>
      <c r="BW100" s="28">
        <v>0</v>
      </c>
      <c r="BX100" s="31"/>
      <c r="BY100" s="30"/>
      <c r="CA100" s="28">
        <v>0</v>
      </c>
      <c r="CB100" s="31"/>
      <c r="CE100" s="28">
        <v>0</v>
      </c>
      <c r="CF100" s="31"/>
      <c r="CG100" s="30"/>
      <c r="CJ100" s="28">
        <v>0</v>
      </c>
      <c r="CK100" s="31"/>
      <c r="CL100" s="30"/>
      <c r="CP100" s="28">
        <v>0</v>
      </c>
      <c r="CQ100" s="31"/>
      <c r="CR100" s="30"/>
      <c r="CU100" s="28">
        <v>0</v>
      </c>
      <c r="CV100" s="31"/>
      <c r="CY100" s="28">
        <v>0</v>
      </c>
      <c r="CZ100" s="31"/>
      <c r="DA100" s="33"/>
      <c r="DC100" s="28">
        <v>0</v>
      </c>
      <c r="DD100" s="31"/>
      <c r="DE100" s="30"/>
      <c r="DG100" s="28">
        <v>0</v>
      </c>
      <c r="DH100" s="31"/>
      <c r="DI100" s="30"/>
      <c r="DK100" s="28">
        <v>0</v>
      </c>
      <c r="DL100" s="31"/>
      <c r="DO100" s="28">
        <v>0</v>
      </c>
      <c r="DP100" s="31"/>
      <c r="DS100" s="28">
        <v>0</v>
      </c>
      <c r="DT100" s="31"/>
      <c r="DU100" s="30"/>
      <c r="DX100" s="28">
        <v>0</v>
      </c>
      <c r="DY100" s="31"/>
      <c r="DZ100" s="30"/>
      <c r="EC100" s="28">
        <v>0</v>
      </c>
      <c r="ED100" s="31"/>
      <c r="EG100" s="28">
        <v>0</v>
      </c>
      <c r="EH100" s="31"/>
      <c r="EI100" s="30"/>
      <c r="EN100" s="28">
        <v>0</v>
      </c>
      <c r="EO100" s="31"/>
      <c r="ER100" s="28">
        <v>0</v>
      </c>
      <c r="ES100" s="31"/>
      <c r="ET100" s="30"/>
      <c r="EX100" s="28">
        <v>0</v>
      </c>
      <c r="EY100" s="31"/>
      <c r="FD100" s="28">
        <v>0</v>
      </c>
      <c r="FE100" s="31"/>
      <c r="FH100" s="28">
        <v>0</v>
      </c>
      <c r="FI100" s="31"/>
      <c r="FJ100" s="30"/>
      <c r="FL100" s="28">
        <v>0</v>
      </c>
      <c r="FM100" s="31"/>
      <c r="FN100" s="30"/>
      <c r="FP100" s="28">
        <v>0</v>
      </c>
      <c r="FQ100" s="31"/>
      <c r="FT100" s="28">
        <v>0</v>
      </c>
      <c r="FU100" s="31"/>
      <c r="FV100" s="30"/>
      <c r="FX100" s="28">
        <v>0</v>
      </c>
      <c r="FY100" s="31"/>
      <c r="FZ100" s="30"/>
      <c r="GB100" s="28">
        <v>0</v>
      </c>
      <c r="GC100" s="31"/>
      <c r="GF100" s="28">
        <v>0</v>
      </c>
      <c r="GG100" s="34"/>
      <c r="GJ100" s="28">
        <v>0</v>
      </c>
      <c r="GK100" s="31"/>
      <c r="GN100" s="28">
        <v>0</v>
      </c>
      <c r="GO100" s="34"/>
      <c r="GR100" s="28">
        <v>0</v>
      </c>
      <c r="GS100" s="31"/>
      <c r="GV100" s="28">
        <v>0</v>
      </c>
      <c r="GW100" s="34"/>
      <c r="GZ100" s="28">
        <v>0</v>
      </c>
      <c r="HA100" s="31"/>
      <c r="HB100" s="33"/>
      <c r="HD100" s="28">
        <v>0</v>
      </c>
      <c r="HE100" s="34"/>
      <c r="HH100" s="28">
        <v>0</v>
      </c>
      <c r="HI100" s="34"/>
      <c r="HL100" s="28">
        <v>0</v>
      </c>
      <c r="HM100" s="34"/>
      <c r="HP100" s="28">
        <v>0</v>
      </c>
      <c r="HQ100" s="31"/>
      <c r="HR100" s="29"/>
      <c r="HT100" s="29"/>
      <c r="HV100" s="28">
        <v>0</v>
      </c>
      <c r="HW100" s="34"/>
      <c r="HX100" s="32">
        <v>0</v>
      </c>
      <c r="HY100" s="32">
        <v>0</v>
      </c>
      <c r="HZ100" s="28">
        <v>0</v>
      </c>
      <c r="IA100" s="34"/>
      <c r="IB100" s="32">
        <v>0</v>
      </c>
      <c r="IC100" s="32">
        <v>0</v>
      </c>
      <c r="ID100" s="28">
        <v>0</v>
      </c>
      <c r="IE100" s="34"/>
      <c r="IF100" s="33">
        <v>0</v>
      </c>
      <c r="IG100" s="32">
        <v>0</v>
      </c>
      <c r="IH100" s="28">
        <v>0</v>
      </c>
      <c r="II100" s="34"/>
    </row>
    <row r="101" spans="1:243" x14ac:dyDescent="0.25">
      <c r="A101" s="28" t="s">
        <v>233</v>
      </c>
      <c r="B101" s="29">
        <v>1</v>
      </c>
      <c r="J101" s="30"/>
      <c r="K101" s="35"/>
      <c r="L101" s="35"/>
      <c r="M101" s="35"/>
      <c r="N101" s="35">
        <f t="shared" si="5"/>
        <v>0</v>
      </c>
      <c r="O101" s="31"/>
      <c r="P101" s="35"/>
      <c r="S101" s="28">
        <v>0</v>
      </c>
      <c r="T101" s="31"/>
      <c r="U101" s="30"/>
      <c r="W101" s="28">
        <v>0</v>
      </c>
      <c r="X101" s="31"/>
      <c r="Y101" s="30"/>
      <c r="AA101" s="28">
        <v>0</v>
      </c>
      <c r="AB101" s="31"/>
      <c r="AE101" s="28">
        <v>0</v>
      </c>
      <c r="AF101" s="31"/>
      <c r="AG101" s="30"/>
      <c r="AI101" s="28">
        <v>0</v>
      </c>
      <c r="AJ101" s="31"/>
      <c r="AM101" s="28">
        <v>0</v>
      </c>
      <c r="AN101" s="31"/>
      <c r="AO101" s="30"/>
      <c r="AQ101" s="28">
        <v>0</v>
      </c>
      <c r="AR101" s="31"/>
      <c r="AS101" s="30"/>
      <c r="AU101" s="28">
        <v>0</v>
      </c>
      <c r="AV101" s="31"/>
      <c r="AY101" s="28">
        <v>0</v>
      </c>
      <c r="AZ101" s="31"/>
      <c r="BA101" s="30"/>
      <c r="BE101" s="28">
        <v>0</v>
      </c>
      <c r="BF101" s="31"/>
      <c r="BG101" s="30"/>
      <c r="BI101" s="28">
        <v>0</v>
      </c>
      <c r="BJ101" s="31"/>
      <c r="BO101" s="28">
        <v>0</v>
      </c>
      <c r="BP101" s="31"/>
      <c r="BS101" s="28">
        <v>0</v>
      </c>
      <c r="BT101" s="31"/>
      <c r="BU101" s="30"/>
      <c r="BW101" s="28">
        <v>0</v>
      </c>
      <c r="BX101" s="31"/>
      <c r="BY101" s="30"/>
      <c r="CA101" s="28">
        <v>0</v>
      </c>
      <c r="CB101" s="31"/>
      <c r="CE101" s="28">
        <v>0</v>
      </c>
      <c r="CF101" s="31"/>
      <c r="CG101" s="30"/>
      <c r="CJ101" s="28">
        <v>0</v>
      </c>
      <c r="CK101" s="31"/>
      <c r="CL101" s="30"/>
      <c r="CP101" s="28">
        <v>0</v>
      </c>
      <c r="CQ101" s="31"/>
      <c r="CR101" s="30"/>
      <c r="CU101" s="28">
        <v>0</v>
      </c>
      <c r="CV101" s="31"/>
      <c r="CY101" s="28">
        <v>0</v>
      </c>
      <c r="CZ101" s="31"/>
      <c r="DA101" s="33"/>
      <c r="DC101" s="28">
        <v>0</v>
      </c>
      <c r="DD101" s="31"/>
      <c r="DE101" s="30"/>
      <c r="DG101" s="28">
        <v>0</v>
      </c>
      <c r="DH101" s="31"/>
      <c r="DI101" s="30"/>
      <c r="DK101" s="28">
        <v>0</v>
      </c>
      <c r="DL101" s="31"/>
      <c r="DO101" s="28">
        <v>0</v>
      </c>
      <c r="DP101" s="31"/>
      <c r="DS101" s="28">
        <v>0</v>
      </c>
      <c r="DT101" s="31"/>
      <c r="DU101" s="30"/>
      <c r="DX101" s="28">
        <v>0</v>
      </c>
      <c r="DY101" s="31"/>
      <c r="DZ101" s="30"/>
      <c r="EC101" s="28">
        <v>0</v>
      </c>
      <c r="ED101" s="31"/>
      <c r="EG101" s="28">
        <v>0</v>
      </c>
      <c r="EH101" s="31"/>
      <c r="EI101" s="30"/>
      <c r="EN101" s="28">
        <v>0</v>
      </c>
      <c r="EO101" s="31"/>
      <c r="ER101" s="28">
        <v>0</v>
      </c>
      <c r="ES101" s="31"/>
      <c r="ET101" s="30"/>
      <c r="EX101" s="28">
        <v>0</v>
      </c>
      <c r="EY101" s="31"/>
      <c r="FD101" s="28">
        <v>0</v>
      </c>
      <c r="FE101" s="31"/>
      <c r="FH101" s="28">
        <v>0</v>
      </c>
      <c r="FI101" s="31"/>
      <c r="FJ101" s="30"/>
      <c r="FL101" s="28">
        <v>0</v>
      </c>
      <c r="FM101" s="31"/>
      <c r="FN101" s="30"/>
      <c r="FP101" s="28">
        <v>0</v>
      </c>
      <c r="FQ101" s="31"/>
      <c r="FT101" s="28">
        <v>0</v>
      </c>
      <c r="FU101" s="31"/>
      <c r="FV101" s="30"/>
      <c r="FX101" s="28">
        <v>0</v>
      </c>
      <c r="FY101" s="31"/>
      <c r="FZ101" s="30"/>
      <c r="GB101" s="28">
        <v>0</v>
      </c>
      <c r="GC101" s="31"/>
      <c r="GF101" s="28">
        <v>0</v>
      </c>
      <c r="GG101" s="34"/>
      <c r="GJ101" s="28">
        <v>0</v>
      </c>
      <c r="GK101" s="31"/>
      <c r="GN101" s="28">
        <v>0</v>
      </c>
      <c r="GO101" s="34"/>
      <c r="GR101" s="28">
        <v>0</v>
      </c>
      <c r="GS101" s="31"/>
      <c r="GV101" s="28">
        <v>0</v>
      </c>
      <c r="GW101" s="34"/>
      <c r="GZ101" s="28">
        <v>0</v>
      </c>
      <c r="HA101" s="31"/>
      <c r="HB101" s="33"/>
      <c r="HD101" s="28">
        <v>0</v>
      </c>
      <c r="HE101" s="34"/>
      <c r="HH101" s="28">
        <v>0</v>
      </c>
      <c r="HI101" s="34"/>
      <c r="HL101" s="28">
        <v>0</v>
      </c>
      <c r="HM101" s="34"/>
      <c r="HP101" s="28">
        <v>0</v>
      </c>
      <c r="HQ101" s="31"/>
      <c r="HR101" s="29"/>
      <c r="HT101" s="29"/>
      <c r="HV101" s="28">
        <v>0</v>
      </c>
      <c r="HW101" s="34"/>
      <c r="HX101" s="32">
        <v>0</v>
      </c>
      <c r="HY101" s="32">
        <v>0</v>
      </c>
      <c r="HZ101" s="28">
        <v>0</v>
      </c>
      <c r="IA101" s="34"/>
      <c r="IB101" s="32">
        <v>0</v>
      </c>
      <c r="IC101" s="32">
        <v>0</v>
      </c>
      <c r="ID101" s="28">
        <v>0</v>
      </c>
      <c r="IE101" s="34"/>
      <c r="IF101" s="33">
        <v>0</v>
      </c>
      <c r="IG101" s="32">
        <v>0</v>
      </c>
      <c r="IH101" s="28">
        <v>0</v>
      </c>
      <c r="II101" s="34"/>
    </row>
    <row r="102" spans="1:243" x14ac:dyDescent="0.25">
      <c r="A102" s="28" t="s">
        <v>234</v>
      </c>
      <c r="B102" s="29">
        <v>0.4</v>
      </c>
      <c r="J102" s="30"/>
      <c r="K102" s="35"/>
      <c r="L102" s="35"/>
      <c r="M102" s="35"/>
      <c r="N102" s="35">
        <f t="shared" si="5"/>
        <v>0</v>
      </c>
      <c r="O102" s="31"/>
      <c r="P102" s="35"/>
      <c r="S102" s="28">
        <v>0</v>
      </c>
      <c r="T102" s="31"/>
      <c r="U102" s="30"/>
      <c r="W102" s="28">
        <v>0</v>
      </c>
      <c r="X102" s="31"/>
      <c r="Y102" s="30"/>
      <c r="AA102" s="28">
        <v>0</v>
      </c>
      <c r="AB102" s="31"/>
      <c r="AE102" s="28">
        <v>0</v>
      </c>
      <c r="AF102" s="31"/>
      <c r="AG102" s="30"/>
      <c r="AI102" s="28">
        <v>0</v>
      </c>
      <c r="AJ102" s="31"/>
      <c r="AM102" s="28">
        <v>0</v>
      </c>
      <c r="AN102" s="31"/>
      <c r="AO102" s="30"/>
      <c r="AQ102" s="28">
        <v>0</v>
      </c>
      <c r="AR102" s="31"/>
      <c r="AS102" s="30"/>
      <c r="AU102" s="28">
        <v>0</v>
      </c>
      <c r="AV102" s="31"/>
      <c r="AY102" s="28">
        <v>0</v>
      </c>
      <c r="AZ102" s="31"/>
      <c r="BA102" s="30"/>
      <c r="BE102" s="28">
        <v>0</v>
      </c>
      <c r="BF102" s="31"/>
      <c r="BG102" s="30"/>
      <c r="BI102" s="28">
        <v>0</v>
      </c>
      <c r="BJ102" s="31"/>
      <c r="BO102" s="28">
        <v>0</v>
      </c>
      <c r="BP102" s="31"/>
      <c r="BS102" s="28">
        <v>0</v>
      </c>
      <c r="BT102" s="31"/>
      <c r="BU102" s="30"/>
      <c r="BW102" s="28">
        <v>0</v>
      </c>
      <c r="BX102" s="31"/>
      <c r="BY102" s="30"/>
      <c r="CA102" s="28">
        <v>0</v>
      </c>
      <c r="CB102" s="31"/>
      <c r="CE102" s="28">
        <v>0</v>
      </c>
      <c r="CF102" s="31"/>
      <c r="CG102" s="30"/>
      <c r="CJ102" s="28">
        <v>0</v>
      </c>
      <c r="CK102" s="31"/>
      <c r="CL102" s="30"/>
      <c r="CN102">
        <v>7</v>
      </c>
      <c r="CO102">
        <v>7</v>
      </c>
      <c r="CP102" s="28">
        <v>0</v>
      </c>
      <c r="CQ102" s="31"/>
      <c r="CR102" s="24">
        <v>21</v>
      </c>
      <c r="CT102">
        <v>21</v>
      </c>
      <c r="CU102" s="28">
        <v>0</v>
      </c>
      <c r="CV102" s="31"/>
      <c r="CX102" s="28">
        <v>31.4</v>
      </c>
      <c r="CY102" s="27">
        <v>-31.4</v>
      </c>
      <c r="CZ102" s="31">
        <v>12.56</v>
      </c>
      <c r="DA102" s="33"/>
      <c r="DC102" s="28">
        <v>0</v>
      </c>
      <c r="DD102" s="31"/>
      <c r="DE102" s="24">
        <v>21</v>
      </c>
      <c r="DF102" s="28">
        <v>25.4</v>
      </c>
      <c r="DG102" s="28">
        <v>-4.3999999999999986</v>
      </c>
      <c r="DH102" s="31"/>
      <c r="DI102" s="24">
        <v>7</v>
      </c>
      <c r="DJ102">
        <v>7</v>
      </c>
      <c r="DK102" s="28">
        <v>0</v>
      </c>
      <c r="DL102" s="31"/>
      <c r="DM102">
        <v>14</v>
      </c>
      <c r="DN102" s="32">
        <v>12</v>
      </c>
      <c r="DO102" s="28">
        <v>2</v>
      </c>
      <c r="DP102" s="31"/>
      <c r="DQ102">
        <v>14</v>
      </c>
      <c r="DR102">
        <v>15</v>
      </c>
      <c r="DS102" s="28">
        <v>-1</v>
      </c>
      <c r="DT102" s="31"/>
      <c r="DU102" s="24">
        <v>14</v>
      </c>
      <c r="DW102">
        <v>12</v>
      </c>
      <c r="DX102" s="28">
        <v>2</v>
      </c>
      <c r="DY102" s="31"/>
      <c r="DZ102" s="30"/>
      <c r="EC102" s="28">
        <v>0</v>
      </c>
      <c r="ED102" s="31"/>
      <c r="EE102">
        <v>7</v>
      </c>
      <c r="EF102" s="32">
        <v>9.4000000000000021</v>
      </c>
      <c r="EG102" s="28">
        <v>-2.4000000000000021</v>
      </c>
      <c r="EH102" s="31"/>
      <c r="EI102" s="30"/>
      <c r="EN102" s="28">
        <v>0</v>
      </c>
      <c r="EO102" s="31"/>
      <c r="EP102">
        <v>21</v>
      </c>
      <c r="EQ102" s="32">
        <v>24.2</v>
      </c>
      <c r="ER102" s="28">
        <v>-3.1999999999999988</v>
      </c>
      <c r="ES102" s="31"/>
      <c r="ET102" s="30"/>
      <c r="EX102" s="28">
        <v>0</v>
      </c>
      <c r="EY102" s="31"/>
      <c r="FB102">
        <v>7</v>
      </c>
      <c r="FC102">
        <v>11</v>
      </c>
      <c r="FD102" s="28">
        <v>-4</v>
      </c>
      <c r="FE102" s="31"/>
      <c r="FF102">
        <v>28</v>
      </c>
      <c r="FG102" s="32">
        <v>28</v>
      </c>
      <c r="FH102" s="28">
        <v>0</v>
      </c>
      <c r="FI102" s="31"/>
      <c r="FJ102" s="24">
        <v>14</v>
      </c>
      <c r="FK102">
        <v>12</v>
      </c>
      <c r="FL102" s="28">
        <v>2</v>
      </c>
      <c r="FM102" s="31"/>
      <c r="FN102" s="24">
        <v>7</v>
      </c>
      <c r="FO102">
        <v>7</v>
      </c>
      <c r="FP102" s="28">
        <v>0</v>
      </c>
      <c r="FQ102" s="31"/>
      <c r="FT102" s="28">
        <v>0</v>
      </c>
      <c r="FU102" s="31"/>
      <c r="FV102" s="24">
        <v>28</v>
      </c>
      <c r="FW102">
        <v>28</v>
      </c>
      <c r="FX102" s="28">
        <v>0</v>
      </c>
      <c r="FY102" s="31"/>
      <c r="FZ102" s="30"/>
      <c r="GB102" s="28">
        <v>0</v>
      </c>
      <c r="GC102" s="31"/>
      <c r="GD102">
        <v>14</v>
      </c>
      <c r="GE102">
        <v>14</v>
      </c>
      <c r="GF102" s="28">
        <v>0</v>
      </c>
      <c r="GG102" s="34"/>
      <c r="GH102">
        <v>7</v>
      </c>
      <c r="GI102">
        <v>2</v>
      </c>
      <c r="GJ102" s="28">
        <v>5</v>
      </c>
      <c r="GK102" s="31"/>
      <c r="GN102" s="28">
        <v>0</v>
      </c>
      <c r="GO102" s="34"/>
      <c r="GP102">
        <v>28</v>
      </c>
      <c r="GQ102">
        <v>28</v>
      </c>
      <c r="GR102" s="28">
        <v>0</v>
      </c>
      <c r="GS102" s="31"/>
      <c r="GV102" s="28">
        <v>0</v>
      </c>
      <c r="GW102" s="34"/>
      <c r="GZ102" s="28">
        <v>0</v>
      </c>
      <c r="HA102" s="31"/>
      <c r="HB102" s="24">
        <v>7</v>
      </c>
      <c r="HC102" s="32">
        <v>7</v>
      </c>
      <c r="HD102" s="28">
        <v>0</v>
      </c>
      <c r="HE102" s="34"/>
      <c r="HF102">
        <v>7</v>
      </c>
      <c r="HG102">
        <v>7</v>
      </c>
      <c r="HH102" s="28">
        <v>0</v>
      </c>
      <c r="HI102" s="34"/>
      <c r="HJ102">
        <v>14</v>
      </c>
      <c r="HK102">
        <v>14</v>
      </c>
      <c r="HL102" s="28">
        <v>0</v>
      </c>
      <c r="HM102" s="34"/>
      <c r="HP102" s="28">
        <v>0</v>
      </c>
      <c r="HQ102" s="31"/>
      <c r="HR102" s="29"/>
      <c r="HT102">
        <v>7</v>
      </c>
      <c r="HU102">
        <v>7</v>
      </c>
      <c r="HV102" s="28">
        <v>0</v>
      </c>
      <c r="HW102" s="34"/>
      <c r="HX102" s="32">
        <v>0</v>
      </c>
      <c r="HY102" s="32">
        <v>0</v>
      </c>
      <c r="HZ102" s="28">
        <v>0</v>
      </c>
      <c r="IA102" s="34"/>
      <c r="IB102" s="32">
        <v>0</v>
      </c>
      <c r="IC102" s="32">
        <v>0</v>
      </c>
      <c r="ID102" s="28">
        <v>0</v>
      </c>
      <c r="IE102" s="34"/>
      <c r="IF102" s="33">
        <v>0</v>
      </c>
      <c r="IG102" s="32">
        <v>0</v>
      </c>
      <c r="IH102" s="28">
        <v>0</v>
      </c>
      <c r="II102" s="34"/>
    </row>
    <row r="103" spans="1:243" x14ac:dyDescent="0.25">
      <c r="A103" s="28" t="s">
        <v>235</v>
      </c>
      <c r="B103" s="29">
        <v>1</v>
      </c>
      <c r="J103" s="30"/>
      <c r="K103" s="35"/>
      <c r="L103" s="35"/>
      <c r="M103" s="35"/>
      <c r="N103" s="35">
        <f t="shared" si="5"/>
        <v>0</v>
      </c>
      <c r="O103" s="31"/>
      <c r="P103" s="35"/>
      <c r="S103" s="28">
        <v>0</v>
      </c>
      <c r="T103" s="31"/>
      <c r="U103" s="30"/>
      <c r="W103" s="28">
        <v>0</v>
      </c>
      <c r="X103" s="31"/>
      <c r="Y103" s="30"/>
      <c r="AA103" s="28">
        <v>0</v>
      </c>
      <c r="AB103" s="31"/>
      <c r="AE103" s="28">
        <v>0</v>
      </c>
      <c r="AF103" s="31"/>
      <c r="AG103" s="30"/>
      <c r="AI103" s="28">
        <v>0</v>
      </c>
      <c r="AJ103" s="31"/>
      <c r="AM103" s="28">
        <v>0</v>
      </c>
      <c r="AN103" s="31"/>
      <c r="AO103" s="30"/>
      <c r="AQ103" s="28">
        <v>0</v>
      </c>
      <c r="AR103" s="31"/>
      <c r="AS103" s="30"/>
      <c r="AU103" s="28">
        <v>0</v>
      </c>
      <c r="AV103" s="31"/>
      <c r="AY103" s="28">
        <v>0</v>
      </c>
      <c r="AZ103" s="31"/>
      <c r="BA103" s="30"/>
      <c r="BE103" s="28">
        <v>0</v>
      </c>
      <c r="BF103" s="31"/>
      <c r="BG103" s="30"/>
      <c r="BI103" s="28">
        <v>0</v>
      </c>
      <c r="BJ103" s="31"/>
      <c r="BO103" s="28">
        <v>0</v>
      </c>
      <c r="BP103" s="31"/>
      <c r="BS103" s="28">
        <v>0</v>
      </c>
      <c r="BT103" s="31"/>
      <c r="BU103" s="30"/>
      <c r="BW103" s="28">
        <v>0</v>
      </c>
      <c r="BX103" s="31"/>
      <c r="BY103" s="30"/>
      <c r="CA103" s="28">
        <v>0</v>
      </c>
      <c r="CB103" s="31"/>
      <c r="CE103" s="28">
        <v>0</v>
      </c>
      <c r="CF103" s="31"/>
      <c r="CG103" s="30"/>
      <c r="CJ103" s="28">
        <v>0</v>
      </c>
      <c r="CK103" s="31"/>
      <c r="CL103" s="30"/>
      <c r="CP103" s="28">
        <v>0</v>
      </c>
      <c r="CQ103" s="31"/>
      <c r="CR103" s="30"/>
      <c r="CU103" s="28">
        <v>0</v>
      </c>
      <c r="CV103" s="31"/>
      <c r="CY103" s="28">
        <v>0</v>
      </c>
      <c r="CZ103" s="31"/>
      <c r="DA103" s="33"/>
      <c r="DC103" s="28">
        <v>0</v>
      </c>
      <c r="DD103" s="31"/>
      <c r="DE103" s="30"/>
      <c r="DG103" s="28">
        <v>0</v>
      </c>
      <c r="DH103" s="31"/>
      <c r="DI103" s="30"/>
      <c r="DK103" s="28">
        <v>0</v>
      </c>
      <c r="DL103" s="31"/>
      <c r="DO103" s="28">
        <v>0</v>
      </c>
      <c r="DP103" s="31"/>
      <c r="DS103" s="28">
        <v>0</v>
      </c>
      <c r="DT103" s="31"/>
      <c r="DU103" s="30"/>
      <c r="DX103" s="28">
        <v>0</v>
      </c>
      <c r="DY103" s="31"/>
      <c r="DZ103" s="30"/>
      <c r="EC103" s="28">
        <v>0</v>
      </c>
      <c r="ED103" s="31"/>
      <c r="EG103" s="28">
        <v>0</v>
      </c>
      <c r="EH103" s="31"/>
      <c r="EI103" s="30"/>
      <c r="EN103" s="28">
        <v>0</v>
      </c>
      <c r="EO103" s="31"/>
      <c r="ER103" s="28">
        <v>0</v>
      </c>
      <c r="ES103" s="31"/>
      <c r="ET103" s="30"/>
      <c r="EX103" s="28">
        <v>0</v>
      </c>
      <c r="EY103" s="31"/>
      <c r="FD103" s="28">
        <v>0</v>
      </c>
      <c r="FE103" s="31"/>
      <c r="FH103" s="28">
        <v>0</v>
      </c>
      <c r="FI103" s="31"/>
      <c r="FJ103" s="30"/>
      <c r="FL103" s="28">
        <v>0</v>
      </c>
      <c r="FM103" s="31"/>
      <c r="FN103" s="30"/>
      <c r="FP103" s="28">
        <v>0</v>
      </c>
      <c r="FQ103" s="31"/>
      <c r="FT103" s="28">
        <v>0</v>
      </c>
      <c r="FU103" s="31"/>
      <c r="FV103" s="30"/>
      <c r="FX103" s="28">
        <v>0</v>
      </c>
      <c r="FY103" s="31"/>
      <c r="FZ103" s="30"/>
      <c r="GB103" s="28">
        <v>0</v>
      </c>
      <c r="GC103" s="31"/>
      <c r="GF103" s="28">
        <v>0</v>
      </c>
      <c r="GG103" s="34"/>
      <c r="GJ103" s="28">
        <v>0</v>
      </c>
      <c r="GK103" s="31"/>
      <c r="GN103" s="28">
        <v>0</v>
      </c>
      <c r="GO103" s="34"/>
      <c r="GR103" s="28">
        <v>0</v>
      </c>
      <c r="GS103" s="31"/>
      <c r="GV103" s="28">
        <v>0</v>
      </c>
      <c r="GW103" s="34"/>
      <c r="GZ103" s="28">
        <v>0</v>
      </c>
      <c r="HA103" s="31"/>
      <c r="HB103" s="33"/>
      <c r="HD103" s="28">
        <v>0</v>
      </c>
      <c r="HE103" s="34"/>
      <c r="HH103" s="28">
        <v>0</v>
      </c>
      <c r="HI103" s="34"/>
      <c r="HL103" s="28">
        <v>0</v>
      </c>
      <c r="HM103" s="34"/>
      <c r="HP103" s="28">
        <v>0</v>
      </c>
      <c r="HQ103" s="31"/>
      <c r="HR103" s="29"/>
      <c r="HT103" s="29"/>
      <c r="HV103" s="28">
        <v>0</v>
      </c>
      <c r="HW103" s="34"/>
      <c r="HX103" s="32">
        <v>0</v>
      </c>
      <c r="HY103" s="32">
        <v>0</v>
      </c>
      <c r="HZ103" s="28">
        <v>0</v>
      </c>
      <c r="IA103" s="34"/>
      <c r="IB103" s="32">
        <v>0</v>
      </c>
      <c r="IC103" s="32">
        <v>0</v>
      </c>
      <c r="ID103" s="28">
        <v>0</v>
      </c>
      <c r="IE103" s="34"/>
      <c r="IF103" s="33">
        <v>0</v>
      </c>
      <c r="IG103" s="32">
        <v>0</v>
      </c>
      <c r="IH103" s="28">
        <v>0</v>
      </c>
      <c r="II103" s="34"/>
    </row>
    <row r="104" spans="1:243" x14ac:dyDescent="0.25">
      <c r="A104" s="28" t="s">
        <v>236</v>
      </c>
      <c r="B104" s="29">
        <v>0.41</v>
      </c>
      <c r="J104" s="30"/>
      <c r="K104" s="35"/>
      <c r="L104" s="35"/>
      <c r="M104" s="35"/>
      <c r="N104" s="35">
        <f t="shared" si="5"/>
        <v>0</v>
      </c>
      <c r="O104" s="31"/>
      <c r="P104" s="35"/>
      <c r="S104" s="28">
        <v>0</v>
      </c>
      <c r="T104" s="31"/>
      <c r="U104" s="30"/>
      <c r="W104" s="28">
        <v>0</v>
      </c>
      <c r="X104" s="31"/>
      <c r="Y104" s="30"/>
      <c r="AA104" s="28">
        <v>0</v>
      </c>
      <c r="AB104" s="31"/>
      <c r="AE104" s="28">
        <v>0</v>
      </c>
      <c r="AF104" s="31"/>
      <c r="AG104" s="30"/>
      <c r="AI104" s="28">
        <v>0</v>
      </c>
      <c r="AJ104" s="31"/>
      <c r="AM104" s="28">
        <v>0</v>
      </c>
      <c r="AN104" s="31"/>
      <c r="AO104" s="30"/>
      <c r="AQ104" s="28">
        <v>0</v>
      </c>
      <c r="AR104" s="31"/>
      <c r="AS104" s="30"/>
      <c r="AU104" s="28">
        <v>0</v>
      </c>
      <c r="AV104" s="31"/>
      <c r="AY104" s="28">
        <v>0</v>
      </c>
      <c r="AZ104" s="31"/>
      <c r="BA104" s="30"/>
      <c r="BE104" s="28">
        <v>0</v>
      </c>
      <c r="BF104" s="31"/>
      <c r="BG104" s="30"/>
      <c r="BI104" s="28">
        <v>0</v>
      </c>
      <c r="BJ104" s="31"/>
      <c r="BO104" s="28">
        <v>0</v>
      </c>
      <c r="BP104" s="31"/>
      <c r="BS104" s="28">
        <v>0</v>
      </c>
      <c r="BT104" s="31"/>
      <c r="BU104" s="30"/>
      <c r="BW104" s="28">
        <v>0</v>
      </c>
      <c r="BX104" s="31"/>
      <c r="BY104" s="30"/>
      <c r="CA104" s="28">
        <v>0</v>
      </c>
      <c r="CB104" s="31"/>
      <c r="CE104" s="28">
        <v>0</v>
      </c>
      <c r="CF104" s="31"/>
      <c r="CG104" s="30"/>
      <c r="CJ104" s="28">
        <v>0</v>
      </c>
      <c r="CK104" s="31"/>
      <c r="CL104" s="30"/>
      <c r="CP104" s="28">
        <v>0</v>
      </c>
      <c r="CQ104" s="31"/>
      <c r="CR104" s="24">
        <v>24</v>
      </c>
      <c r="CT104">
        <v>23</v>
      </c>
      <c r="CU104" s="28">
        <v>1</v>
      </c>
      <c r="CV104" s="31"/>
      <c r="CW104">
        <v>16</v>
      </c>
      <c r="CX104" s="28">
        <v>18.8</v>
      </c>
      <c r="CY104" s="28">
        <v>-2.8000000000000012</v>
      </c>
      <c r="CZ104" s="31"/>
      <c r="DA104" s="24">
        <v>16</v>
      </c>
      <c r="DB104" s="28">
        <v>19</v>
      </c>
      <c r="DC104" s="28">
        <v>-3</v>
      </c>
      <c r="DD104" s="31"/>
      <c r="DE104" s="30"/>
      <c r="DG104" s="28">
        <v>0</v>
      </c>
      <c r="DH104" s="31"/>
      <c r="DI104" s="30"/>
      <c r="DK104" s="28">
        <v>0</v>
      </c>
      <c r="DL104" s="31"/>
      <c r="DM104">
        <v>8</v>
      </c>
      <c r="DN104" s="32">
        <v>7.6000000000000014</v>
      </c>
      <c r="DO104" s="28">
        <v>0.39999999999999858</v>
      </c>
      <c r="DP104" s="31"/>
      <c r="DQ104">
        <v>24</v>
      </c>
      <c r="DR104">
        <v>22</v>
      </c>
      <c r="DS104" s="28">
        <v>2</v>
      </c>
      <c r="DT104" s="31"/>
      <c r="DU104" s="30"/>
      <c r="DX104" s="28">
        <v>0</v>
      </c>
      <c r="DY104" s="31"/>
      <c r="DZ104" s="24">
        <v>8</v>
      </c>
      <c r="EB104">
        <v>8</v>
      </c>
      <c r="EC104" s="28">
        <v>0</v>
      </c>
      <c r="ED104" s="31"/>
      <c r="EE104">
        <v>8</v>
      </c>
      <c r="EF104" s="32">
        <v>6</v>
      </c>
      <c r="EG104" s="28">
        <v>2</v>
      </c>
      <c r="EH104" s="31"/>
      <c r="EI104" s="30"/>
      <c r="EL104">
        <v>16</v>
      </c>
      <c r="EM104">
        <v>21</v>
      </c>
      <c r="EN104" s="28">
        <v>-5</v>
      </c>
      <c r="EO104" s="31"/>
      <c r="EP104">
        <v>8</v>
      </c>
      <c r="EQ104" s="32">
        <v>7.8000000000000043</v>
      </c>
      <c r="ER104" s="28">
        <v>0.19999999999999571</v>
      </c>
      <c r="ES104" s="31"/>
      <c r="ET104" s="30"/>
      <c r="EX104" s="28">
        <v>0</v>
      </c>
      <c r="EY104" s="31"/>
      <c r="FB104">
        <v>32</v>
      </c>
      <c r="FC104">
        <v>30</v>
      </c>
      <c r="FD104" s="28">
        <v>2</v>
      </c>
      <c r="FE104" s="31"/>
      <c r="FH104" s="28">
        <v>0</v>
      </c>
      <c r="FI104" s="31"/>
      <c r="FJ104" s="30"/>
      <c r="FL104" s="28">
        <v>0</v>
      </c>
      <c r="FM104" s="31"/>
      <c r="FN104" s="24">
        <v>8</v>
      </c>
      <c r="FO104">
        <v>8</v>
      </c>
      <c r="FP104" s="28">
        <v>0</v>
      </c>
      <c r="FQ104" s="31"/>
      <c r="FR104">
        <v>8</v>
      </c>
      <c r="FS104">
        <v>8</v>
      </c>
      <c r="FT104" s="28">
        <v>0</v>
      </c>
      <c r="FU104" s="31"/>
      <c r="FV104" s="24">
        <v>24</v>
      </c>
      <c r="FW104">
        <v>25</v>
      </c>
      <c r="FX104" s="28">
        <v>-1</v>
      </c>
      <c r="FY104" s="31"/>
      <c r="FZ104" s="30"/>
      <c r="GB104" s="28">
        <v>0</v>
      </c>
      <c r="GC104" s="31"/>
      <c r="GD104">
        <v>16</v>
      </c>
      <c r="GE104">
        <v>16</v>
      </c>
      <c r="GF104" s="28">
        <v>0</v>
      </c>
      <c r="GG104" s="34"/>
      <c r="GJ104" s="28">
        <v>0</v>
      </c>
      <c r="GK104" s="31"/>
      <c r="GN104" s="28">
        <v>0</v>
      </c>
      <c r="GO104" s="34"/>
      <c r="GP104">
        <v>8</v>
      </c>
      <c r="GQ104">
        <v>8</v>
      </c>
      <c r="GR104" s="28">
        <v>0</v>
      </c>
      <c r="GS104" s="31"/>
      <c r="GV104" s="28">
        <v>0</v>
      </c>
      <c r="GW104" s="34"/>
      <c r="GZ104" s="28">
        <v>0</v>
      </c>
      <c r="HA104" s="31"/>
      <c r="HB104" s="33"/>
      <c r="HD104" s="28">
        <v>0</v>
      </c>
      <c r="HE104" s="34"/>
      <c r="HH104" s="28">
        <v>0</v>
      </c>
      <c r="HI104" s="34"/>
      <c r="HL104" s="28">
        <v>0</v>
      </c>
      <c r="HM104" s="34"/>
      <c r="HP104" s="28">
        <v>0</v>
      </c>
      <c r="HQ104" s="31"/>
      <c r="HR104" s="29"/>
      <c r="HT104">
        <v>32</v>
      </c>
      <c r="HU104">
        <v>35</v>
      </c>
      <c r="HV104" s="28">
        <v>-3</v>
      </c>
      <c r="HW104" s="34"/>
      <c r="HX104" s="32">
        <v>0</v>
      </c>
      <c r="HY104" s="32">
        <v>0</v>
      </c>
      <c r="HZ104" s="28">
        <v>0</v>
      </c>
      <c r="IA104" s="34"/>
      <c r="IB104" s="32">
        <v>0</v>
      </c>
      <c r="IC104" s="32">
        <v>0</v>
      </c>
      <c r="ID104" s="28">
        <v>0</v>
      </c>
      <c r="IE104" s="34"/>
      <c r="IF104" s="33">
        <v>0</v>
      </c>
      <c r="IG104" s="32">
        <v>0</v>
      </c>
      <c r="IH104" s="28">
        <v>0</v>
      </c>
      <c r="II104" s="34"/>
    </row>
    <row r="105" spans="1:243" x14ac:dyDescent="0.25">
      <c r="A105" s="28" t="s">
        <v>237</v>
      </c>
      <c r="B105" s="29">
        <v>1</v>
      </c>
      <c r="J105" s="30"/>
      <c r="K105" s="35"/>
      <c r="L105" s="35"/>
      <c r="M105" s="35"/>
      <c r="N105" s="35">
        <f t="shared" si="5"/>
        <v>0</v>
      </c>
      <c r="O105" s="31"/>
      <c r="P105" s="35"/>
      <c r="S105" s="28">
        <v>0</v>
      </c>
      <c r="T105" s="31"/>
      <c r="U105" s="30"/>
      <c r="W105" s="28">
        <v>0</v>
      </c>
      <c r="X105" s="31"/>
      <c r="Y105" s="30"/>
      <c r="AA105" s="28">
        <v>0</v>
      </c>
      <c r="AB105" s="31"/>
      <c r="AE105" s="28">
        <v>0</v>
      </c>
      <c r="AF105" s="31"/>
      <c r="AG105" s="30"/>
      <c r="AI105" s="28">
        <v>0</v>
      </c>
      <c r="AJ105" s="31"/>
      <c r="AM105" s="28">
        <v>0</v>
      </c>
      <c r="AN105" s="31"/>
      <c r="AO105" s="30"/>
      <c r="AQ105" s="28">
        <v>0</v>
      </c>
      <c r="AR105" s="31"/>
      <c r="AS105" s="30"/>
      <c r="AU105" s="28">
        <v>0</v>
      </c>
      <c r="AV105" s="31"/>
      <c r="AY105" s="28">
        <v>0</v>
      </c>
      <c r="AZ105" s="31"/>
      <c r="BA105" s="30"/>
      <c r="BE105" s="28">
        <v>0</v>
      </c>
      <c r="BF105" s="31"/>
      <c r="BG105" s="30"/>
      <c r="BI105" s="28">
        <v>0</v>
      </c>
      <c r="BJ105" s="31"/>
      <c r="BO105" s="28">
        <v>0</v>
      </c>
      <c r="BP105" s="31"/>
      <c r="BS105" s="28">
        <v>0</v>
      </c>
      <c r="BT105" s="31"/>
      <c r="BU105" s="30"/>
      <c r="BW105" s="28">
        <v>0</v>
      </c>
      <c r="BX105" s="31"/>
      <c r="BY105" s="30"/>
      <c r="CA105" s="28">
        <v>0</v>
      </c>
      <c r="CB105" s="31"/>
      <c r="CE105" s="28">
        <v>0</v>
      </c>
      <c r="CF105" s="31"/>
      <c r="CG105" s="30"/>
      <c r="CJ105" s="28">
        <v>0</v>
      </c>
      <c r="CK105" s="31"/>
      <c r="CL105" s="30"/>
      <c r="CP105" s="28">
        <v>0</v>
      </c>
      <c r="CQ105" s="31"/>
      <c r="CR105" s="30"/>
      <c r="CU105" s="28">
        <v>0</v>
      </c>
      <c r="CV105" s="31"/>
      <c r="CY105" s="28">
        <v>0</v>
      </c>
      <c r="CZ105" s="31"/>
      <c r="DA105" s="33"/>
      <c r="DC105" s="28">
        <v>0</v>
      </c>
      <c r="DD105" s="31"/>
      <c r="DE105" s="30"/>
      <c r="DG105" s="28">
        <v>0</v>
      </c>
      <c r="DH105" s="31"/>
      <c r="DI105" s="30"/>
      <c r="DK105" s="28">
        <v>0</v>
      </c>
      <c r="DL105" s="31"/>
      <c r="DO105" s="28">
        <v>0</v>
      </c>
      <c r="DP105" s="31"/>
      <c r="DS105" s="28">
        <v>0</v>
      </c>
      <c r="DT105" s="31"/>
      <c r="DU105" s="30"/>
      <c r="DX105" s="28">
        <v>0</v>
      </c>
      <c r="DY105" s="31"/>
      <c r="DZ105" s="30"/>
      <c r="EC105" s="28">
        <v>0</v>
      </c>
      <c r="ED105" s="31"/>
      <c r="EG105" s="28">
        <v>0</v>
      </c>
      <c r="EH105" s="31"/>
      <c r="EI105" s="30"/>
      <c r="EN105" s="28">
        <v>0</v>
      </c>
      <c r="EO105" s="31"/>
      <c r="ER105" s="28">
        <v>0</v>
      </c>
      <c r="ES105" s="31"/>
      <c r="ET105" s="30"/>
      <c r="EX105" s="28">
        <v>0</v>
      </c>
      <c r="EY105" s="31"/>
      <c r="FD105" s="28">
        <v>0</v>
      </c>
      <c r="FE105" s="31"/>
      <c r="FH105" s="28">
        <v>0</v>
      </c>
      <c r="FI105" s="31"/>
      <c r="FJ105" s="30"/>
      <c r="FL105" s="28">
        <v>0</v>
      </c>
      <c r="FM105" s="31"/>
      <c r="FN105" s="30"/>
      <c r="FP105" s="28">
        <v>0</v>
      </c>
      <c r="FQ105" s="31"/>
      <c r="FT105" s="28">
        <v>0</v>
      </c>
      <c r="FU105" s="31"/>
      <c r="FV105" s="30"/>
      <c r="FX105" s="28">
        <v>0</v>
      </c>
      <c r="FY105" s="31"/>
      <c r="FZ105" s="30"/>
      <c r="GB105" s="28">
        <v>0</v>
      </c>
      <c r="GC105" s="31"/>
      <c r="GF105" s="28">
        <v>0</v>
      </c>
      <c r="GG105" s="34"/>
      <c r="GJ105" s="28">
        <v>0</v>
      </c>
      <c r="GK105" s="31"/>
      <c r="GN105" s="28">
        <v>0</v>
      </c>
      <c r="GO105" s="34"/>
      <c r="GR105" s="28">
        <v>0</v>
      </c>
      <c r="GS105" s="31"/>
      <c r="GV105" s="28">
        <v>0</v>
      </c>
      <c r="GW105" s="34"/>
      <c r="GZ105" s="28">
        <v>0</v>
      </c>
      <c r="HA105" s="31"/>
      <c r="HB105" s="33"/>
      <c r="HD105" s="28">
        <v>0</v>
      </c>
      <c r="HE105" s="34"/>
      <c r="HH105" s="28">
        <v>0</v>
      </c>
      <c r="HI105" s="34"/>
      <c r="HL105" s="28">
        <v>0</v>
      </c>
      <c r="HM105" s="34"/>
      <c r="HP105" s="28">
        <v>0</v>
      </c>
      <c r="HQ105" s="31"/>
      <c r="HR105" s="29"/>
      <c r="HT105" s="29"/>
      <c r="HV105" s="28">
        <v>0</v>
      </c>
      <c r="HW105" s="34"/>
      <c r="HX105" s="32">
        <v>0</v>
      </c>
      <c r="HY105" s="32">
        <v>0</v>
      </c>
      <c r="HZ105" s="28">
        <v>0</v>
      </c>
      <c r="IA105" s="34"/>
      <c r="IB105" s="32">
        <v>0</v>
      </c>
      <c r="IC105" s="32">
        <v>0</v>
      </c>
      <c r="ID105" s="28">
        <v>0</v>
      </c>
      <c r="IE105" s="34"/>
      <c r="IF105" s="33">
        <v>0</v>
      </c>
      <c r="IG105" s="32">
        <v>0</v>
      </c>
      <c r="IH105" s="28">
        <v>0</v>
      </c>
      <c r="II105" s="34"/>
    </row>
    <row r="106" spans="1:243" x14ac:dyDescent="0.25">
      <c r="A106" s="28" t="s">
        <v>238</v>
      </c>
      <c r="B106" s="29">
        <v>0.36</v>
      </c>
      <c r="J106" s="24">
        <v>24</v>
      </c>
      <c r="K106" s="36">
        <v>24</v>
      </c>
      <c r="L106" s="36">
        <v>24</v>
      </c>
      <c r="M106" s="36">
        <v>24</v>
      </c>
      <c r="N106" s="35">
        <f t="shared" si="5"/>
        <v>0</v>
      </c>
      <c r="O106" s="31"/>
      <c r="P106" s="35"/>
      <c r="Q106">
        <v>60</v>
      </c>
      <c r="R106">
        <v>62</v>
      </c>
      <c r="S106" s="28">
        <v>-2</v>
      </c>
      <c r="T106" s="31"/>
      <c r="U106" s="30"/>
      <c r="W106" s="28">
        <v>0</v>
      </c>
      <c r="X106" s="31"/>
      <c r="Y106" s="24">
        <v>72</v>
      </c>
      <c r="Z106">
        <v>72</v>
      </c>
      <c r="AA106" s="28">
        <v>0</v>
      </c>
      <c r="AB106" s="31"/>
      <c r="AC106">
        <v>6</v>
      </c>
      <c r="AD106">
        <v>9</v>
      </c>
      <c r="AE106" s="28">
        <v>-3</v>
      </c>
      <c r="AF106" s="31"/>
      <c r="AG106" s="24">
        <v>36</v>
      </c>
      <c r="AH106">
        <v>39</v>
      </c>
      <c r="AI106" s="28">
        <v>-3</v>
      </c>
      <c r="AJ106" s="31"/>
      <c r="AK106">
        <v>6</v>
      </c>
      <c r="AL106">
        <v>6</v>
      </c>
      <c r="AM106" s="28">
        <v>0</v>
      </c>
      <c r="AN106" s="31"/>
      <c r="AO106" s="24">
        <v>36</v>
      </c>
      <c r="AP106">
        <v>38</v>
      </c>
      <c r="AQ106" s="28">
        <v>-2</v>
      </c>
      <c r="AR106" s="31"/>
      <c r="AS106" s="30"/>
      <c r="AU106" s="28">
        <v>0</v>
      </c>
      <c r="AV106" s="31"/>
      <c r="AW106">
        <v>6</v>
      </c>
      <c r="AX106">
        <v>8</v>
      </c>
      <c r="AY106" s="28">
        <v>-2</v>
      </c>
      <c r="AZ106" s="31"/>
      <c r="BA106" s="30"/>
      <c r="BC106">
        <v>30</v>
      </c>
      <c r="BD106">
        <v>31</v>
      </c>
      <c r="BE106" s="28">
        <v>-1</v>
      </c>
      <c r="BF106" s="31"/>
      <c r="BG106" s="24">
        <v>18</v>
      </c>
      <c r="BH106">
        <v>17</v>
      </c>
      <c r="BI106" s="28">
        <v>1</v>
      </c>
      <c r="BJ106" s="31"/>
      <c r="BO106" s="28">
        <v>0</v>
      </c>
      <c r="BP106" s="31"/>
      <c r="BQ106">
        <v>30</v>
      </c>
      <c r="BR106">
        <v>32</v>
      </c>
      <c r="BS106" s="28">
        <v>-2</v>
      </c>
      <c r="BT106" s="31"/>
      <c r="BU106" s="24">
        <v>24</v>
      </c>
      <c r="BV106">
        <v>24</v>
      </c>
      <c r="BW106" s="28">
        <v>0</v>
      </c>
      <c r="BX106" s="31"/>
      <c r="BY106" s="30"/>
      <c r="CA106" s="28">
        <v>0</v>
      </c>
      <c r="CB106" s="31"/>
      <c r="CE106" s="28">
        <v>0</v>
      </c>
      <c r="CF106" s="31"/>
      <c r="CG106" s="24">
        <v>48</v>
      </c>
      <c r="CI106">
        <v>50</v>
      </c>
      <c r="CJ106" s="28">
        <v>-2</v>
      </c>
      <c r="CK106" s="31"/>
      <c r="CL106" s="30"/>
      <c r="CN106">
        <v>12</v>
      </c>
      <c r="CO106">
        <v>12</v>
      </c>
      <c r="CP106" s="28">
        <v>0</v>
      </c>
      <c r="CQ106" s="31"/>
      <c r="CR106" s="24">
        <v>12</v>
      </c>
      <c r="CT106">
        <v>14</v>
      </c>
      <c r="CU106" s="28">
        <v>-2</v>
      </c>
      <c r="CV106" s="31"/>
      <c r="CW106">
        <v>42</v>
      </c>
      <c r="CX106" s="28">
        <v>41.8</v>
      </c>
      <c r="CY106" s="28">
        <v>0.20000000000000279</v>
      </c>
      <c r="CZ106" s="31"/>
      <c r="DA106" s="33"/>
      <c r="DC106" s="28">
        <v>0</v>
      </c>
      <c r="DD106" s="31"/>
      <c r="DE106" s="24">
        <v>36</v>
      </c>
      <c r="DF106" s="28">
        <v>38.200000000000003</v>
      </c>
      <c r="DG106" s="28">
        <v>-2.2000000000000028</v>
      </c>
      <c r="DH106" s="31"/>
      <c r="DI106" s="30"/>
      <c r="DK106" s="28">
        <v>0</v>
      </c>
      <c r="DL106" s="31"/>
      <c r="DM106">
        <v>24</v>
      </c>
      <c r="DN106" s="32">
        <v>24.4</v>
      </c>
      <c r="DO106" s="28">
        <v>-0.39999999999999858</v>
      </c>
      <c r="DP106" s="31"/>
      <c r="DQ106">
        <v>18</v>
      </c>
      <c r="DR106">
        <v>20</v>
      </c>
      <c r="DS106" s="28">
        <v>-2</v>
      </c>
      <c r="DT106" s="31"/>
      <c r="DU106" s="24">
        <v>6</v>
      </c>
      <c r="DW106">
        <v>6</v>
      </c>
      <c r="DX106" s="28">
        <v>0</v>
      </c>
      <c r="DY106" s="31"/>
      <c r="DZ106" s="24">
        <v>24</v>
      </c>
      <c r="EB106">
        <v>26</v>
      </c>
      <c r="EC106" s="28">
        <v>-2</v>
      </c>
      <c r="ED106" s="31"/>
      <c r="EE106">
        <v>6</v>
      </c>
      <c r="EF106" s="32">
        <v>7</v>
      </c>
      <c r="EG106" s="28">
        <v>-1</v>
      </c>
      <c r="EH106" s="31"/>
      <c r="EI106" s="30"/>
      <c r="EL106">
        <v>36</v>
      </c>
      <c r="EM106">
        <v>39</v>
      </c>
      <c r="EN106" s="28">
        <v>-3</v>
      </c>
      <c r="EO106" s="31"/>
      <c r="EP106">
        <v>12</v>
      </c>
      <c r="EQ106" s="32">
        <v>10.4</v>
      </c>
      <c r="ER106" s="28">
        <v>1.6</v>
      </c>
      <c r="ES106" s="31"/>
      <c r="ET106" s="30"/>
      <c r="EV106">
        <v>12</v>
      </c>
      <c r="EW106">
        <v>13</v>
      </c>
      <c r="EX106" s="28">
        <v>-1</v>
      </c>
      <c r="EY106" s="31"/>
      <c r="FB106">
        <v>18</v>
      </c>
      <c r="FC106">
        <v>20</v>
      </c>
      <c r="FD106" s="28">
        <v>-2</v>
      </c>
      <c r="FE106" s="31"/>
      <c r="FH106" s="28">
        <v>0</v>
      </c>
      <c r="FI106" s="31"/>
      <c r="FJ106" s="24">
        <v>42</v>
      </c>
      <c r="FK106">
        <v>42</v>
      </c>
      <c r="FL106" s="28">
        <v>0</v>
      </c>
      <c r="FM106" s="31"/>
      <c r="FN106" s="24">
        <v>42</v>
      </c>
      <c r="FO106">
        <v>42</v>
      </c>
      <c r="FP106" s="28">
        <v>0</v>
      </c>
      <c r="FQ106" s="31"/>
      <c r="FR106">
        <v>12</v>
      </c>
      <c r="FS106">
        <v>12</v>
      </c>
      <c r="FT106" s="28">
        <v>0</v>
      </c>
      <c r="FU106" s="31"/>
      <c r="FV106" s="24">
        <v>30</v>
      </c>
      <c r="FW106">
        <v>30</v>
      </c>
      <c r="FX106" s="28">
        <v>0</v>
      </c>
      <c r="FY106" s="31"/>
      <c r="FZ106" s="24">
        <v>30</v>
      </c>
      <c r="GA106">
        <v>33</v>
      </c>
      <c r="GB106" s="28">
        <v>-3</v>
      </c>
      <c r="GC106" s="31"/>
      <c r="GD106">
        <v>24</v>
      </c>
      <c r="GE106">
        <v>27</v>
      </c>
      <c r="GF106" s="28">
        <v>-3</v>
      </c>
      <c r="GG106" s="34"/>
      <c r="GH106">
        <v>12</v>
      </c>
      <c r="GI106">
        <v>14</v>
      </c>
      <c r="GJ106" s="28">
        <v>-2</v>
      </c>
      <c r="GK106" s="31"/>
      <c r="GL106">
        <v>30</v>
      </c>
      <c r="GM106">
        <v>32</v>
      </c>
      <c r="GN106" s="28">
        <v>-2</v>
      </c>
      <c r="GO106" s="34"/>
      <c r="GP106">
        <v>6</v>
      </c>
      <c r="GQ106">
        <v>6</v>
      </c>
      <c r="GR106" s="28">
        <v>0</v>
      </c>
      <c r="GS106" s="31"/>
      <c r="GT106">
        <v>6</v>
      </c>
      <c r="GU106">
        <v>6</v>
      </c>
      <c r="GV106" s="28">
        <v>0</v>
      </c>
      <c r="GW106" s="34"/>
      <c r="GX106">
        <v>24</v>
      </c>
      <c r="GY106" s="32">
        <v>24.4</v>
      </c>
      <c r="GZ106" s="28">
        <v>-0.39999999999999858</v>
      </c>
      <c r="HA106" s="31"/>
      <c r="HB106" s="33"/>
      <c r="HD106" s="28">
        <v>0</v>
      </c>
      <c r="HE106" s="34"/>
      <c r="HF106">
        <v>6</v>
      </c>
      <c r="HG106">
        <v>4</v>
      </c>
      <c r="HH106" s="28">
        <v>2</v>
      </c>
      <c r="HI106" s="34"/>
      <c r="HL106" s="28">
        <v>0</v>
      </c>
      <c r="HM106" s="34"/>
      <c r="HP106" s="28">
        <v>0</v>
      </c>
      <c r="HQ106" s="31"/>
      <c r="HR106">
        <v>48</v>
      </c>
      <c r="HS106">
        <v>50</v>
      </c>
      <c r="HT106">
        <v>42</v>
      </c>
      <c r="HU106">
        <v>44</v>
      </c>
      <c r="HV106" s="28">
        <v>-4</v>
      </c>
      <c r="HW106" s="34"/>
      <c r="HX106" s="32">
        <v>36</v>
      </c>
      <c r="HY106" s="32">
        <v>36</v>
      </c>
      <c r="HZ106" s="28">
        <v>0</v>
      </c>
      <c r="IA106" s="34"/>
      <c r="IB106" s="32">
        <v>0</v>
      </c>
      <c r="IC106" s="32">
        <v>0</v>
      </c>
      <c r="ID106" s="28">
        <v>0</v>
      </c>
      <c r="IE106" s="34"/>
      <c r="IF106" s="33">
        <v>0</v>
      </c>
      <c r="IG106" s="32">
        <v>0</v>
      </c>
      <c r="IH106" s="28">
        <v>0</v>
      </c>
      <c r="II106" s="34"/>
    </row>
    <row r="107" spans="1:243" x14ac:dyDescent="0.25">
      <c r="A107" s="28" t="s">
        <v>239</v>
      </c>
      <c r="B107" s="29">
        <v>1</v>
      </c>
      <c r="J107" s="30"/>
      <c r="K107" s="35"/>
      <c r="L107" s="35"/>
      <c r="M107" s="35"/>
      <c r="N107" s="35">
        <f t="shared" si="5"/>
        <v>0</v>
      </c>
      <c r="O107" s="31"/>
      <c r="P107" s="35"/>
      <c r="S107" s="28">
        <v>0</v>
      </c>
      <c r="T107" s="31"/>
      <c r="U107" s="30"/>
      <c r="W107" s="28">
        <v>0</v>
      </c>
      <c r="X107" s="31"/>
      <c r="Y107" s="30"/>
      <c r="AA107" s="28">
        <v>0</v>
      </c>
      <c r="AB107" s="31"/>
      <c r="AE107" s="28">
        <v>0</v>
      </c>
      <c r="AF107" s="31"/>
      <c r="AG107" s="30"/>
      <c r="AI107" s="28">
        <v>0</v>
      </c>
      <c r="AJ107" s="31"/>
      <c r="AM107" s="28">
        <v>0</v>
      </c>
      <c r="AN107" s="31"/>
      <c r="AO107" s="30"/>
      <c r="AQ107" s="28">
        <v>0</v>
      </c>
      <c r="AR107" s="31"/>
      <c r="AS107" s="30"/>
      <c r="AU107" s="28">
        <v>0</v>
      </c>
      <c r="AV107" s="31"/>
      <c r="AY107" s="28">
        <v>0</v>
      </c>
      <c r="AZ107" s="31"/>
      <c r="BA107" s="30"/>
      <c r="BE107" s="28">
        <v>0</v>
      </c>
      <c r="BF107" s="31"/>
      <c r="BG107" s="30"/>
      <c r="BI107" s="28">
        <v>0</v>
      </c>
      <c r="BJ107" s="31"/>
      <c r="BO107" s="28">
        <v>0</v>
      </c>
      <c r="BP107" s="31"/>
      <c r="BS107" s="28">
        <v>0</v>
      </c>
      <c r="BT107" s="31"/>
      <c r="BU107" s="30"/>
      <c r="BW107" s="28">
        <v>0</v>
      </c>
      <c r="BX107" s="31"/>
      <c r="BY107" s="30"/>
      <c r="CA107" s="28">
        <v>0</v>
      </c>
      <c r="CB107" s="31"/>
      <c r="CE107" s="28">
        <v>0</v>
      </c>
      <c r="CF107" s="31"/>
      <c r="CG107" s="30"/>
      <c r="CJ107" s="28">
        <v>0</v>
      </c>
      <c r="CK107" s="31"/>
      <c r="CL107" s="30"/>
      <c r="CP107" s="28">
        <v>0</v>
      </c>
      <c r="CQ107" s="31"/>
      <c r="CR107" s="30"/>
      <c r="CU107" s="28">
        <v>0</v>
      </c>
      <c r="CV107" s="31"/>
      <c r="CY107" s="28">
        <v>0</v>
      </c>
      <c r="CZ107" s="31"/>
      <c r="DA107" s="33"/>
      <c r="DC107" s="28">
        <v>0</v>
      </c>
      <c r="DD107" s="31"/>
      <c r="DE107" s="30"/>
      <c r="DG107" s="28">
        <v>0</v>
      </c>
      <c r="DH107" s="31"/>
      <c r="DI107" s="30"/>
      <c r="DK107" s="28">
        <v>0</v>
      </c>
      <c r="DL107" s="31"/>
      <c r="DO107" s="28">
        <v>0</v>
      </c>
      <c r="DP107" s="31"/>
      <c r="DS107" s="28">
        <v>0</v>
      </c>
      <c r="DT107" s="31"/>
      <c r="DU107" s="30"/>
      <c r="DX107" s="28">
        <v>0</v>
      </c>
      <c r="DY107" s="31"/>
      <c r="DZ107" s="30"/>
      <c r="EC107" s="28">
        <v>0</v>
      </c>
      <c r="ED107" s="31"/>
      <c r="EG107" s="28">
        <v>0</v>
      </c>
      <c r="EH107" s="31"/>
      <c r="EI107" s="30"/>
      <c r="EN107" s="28">
        <v>0</v>
      </c>
      <c r="EO107" s="31"/>
      <c r="ER107" s="28">
        <v>0</v>
      </c>
      <c r="ES107" s="31"/>
      <c r="ET107" s="30"/>
      <c r="EX107" s="28">
        <v>0</v>
      </c>
      <c r="EY107" s="31"/>
      <c r="FD107" s="28">
        <v>0</v>
      </c>
      <c r="FE107" s="31"/>
      <c r="FH107" s="28">
        <v>0</v>
      </c>
      <c r="FI107" s="31"/>
      <c r="FJ107" s="30"/>
      <c r="FL107" s="28">
        <v>0</v>
      </c>
      <c r="FM107" s="31"/>
      <c r="FN107" s="30"/>
      <c r="FP107" s="28">
        <v>0</v>
      </c>
      <c r="FQ107" s="31"/>
      <c r="FT107" s="28">
        <v>0</v>
      </c>
      <c r="FU107" s="31"/>
      <c r="FV107" s="30"/>
      <c r="FX107" s="28">
        <v>0</v>
      </c>
      <c r="FY107" s="31"/>
      <c r="FZ107" s="30"/>
      <c r="GB107" s="28">
        <v>0</v>
      </c>
      <c r="GC107" s="31"/>
      <c r="GF107" s="28">
        <v>0</v>
      </c>
      <c r="GG107" s="34"/>
      <c r="GJ107" s="28">
        <v>0</v>
      </c>
      <c r="GK107" s="31"/>
      <c r="GN107" s="28">
        <v>0</v>
      </c>
      <c r="GO107" s="34"/>
      <c r="GR107" s="28">
        <v>0</v>
      </c>
      <c r="GS107" s="31"/>
      <c r="GV107" s="28">
        <v>0</v>
      </c>
      <c r="GW107" s="34"/>
      <c r="GZ107" s="28">
        <v>0</v>
      </c>
      <c r="HA107" s="31"/>
      <c r="HB107" s="33"/>
      <c r="HD107" s="28">
        <v>0</v>
      </c>
      <c r="HE107" s="34"/>
      <c r="HH107" s="28">
        <v>0</v>
      </c>
      <c r="HI107" s="34"/>
      <c r="HL107" s="28">
        <v>0</v>
      </c>
      <c r="HM107" s="34"/>
      <c r="HP107" s="28">
        <v>0</v>
      </c>
      <c r="HQ107" s="31"/>
      <c r="HR107" s="29"/>
      <c r="HT107" s="29"/>
      <c r="HV107" s="28">
        <v>0</v>
      </c>
      <c r="HW107" s="34"/>
      <c r="HX107" s="32">
        <v>0</v>
      </c>
      <c r="HY107" s="32">
        <v>0</v>
      </c>
      <c r="HZ107" s="28">
        <v>0</v>
      </c>
      <c r="IA107" s="34"/>
      <c r="IB107" s="32">
        <v>0</v>
      </c>
      <c r="IC107" s="32">
        <v>0</v>
      </c>
      <c r="ID107" s="28">
        <v>0</v>
      </c>
      <c r="IE107" s="34"/>
      <c r="IF107" s="33">
        <v>0</v>
      </c>
      <c r="IG107" s="32">
        <v>0</v>
      </c>
      <c r="IH107" s="28">
        <v>0</v>
      </c>
      <c r="II107" s="34"/>
    </row>
    <row r="108" spans="1:243" x14ac:dyDescent="0.25">
      <c r="A108" s="28" t="s">
        <v>240</v>
      </c>
      <c r="B108" s="29">
        <v>0.41</v>
      </c>
      <c r="J108" s="30"/>
      <c r="K108" s="35"/>
      <c r="L108" s="35"/>
      <c r="M108" s="35"/>
      <c r="N108" s="35">
        <f t="shared" si="5"/>
        <v>0</v>
      </c>
      <c r="O108" s="31"/>
      <c r="P108" s="35"/>
      <c r="R108">
        <v>12</v>
      </c>
      <c r="S108" s="27">
        <v>-12</v>
      </c>
      <c r="T108" s="31">
        <v>4.92</v>
      </c>
      <c r="U108" s="30"/>
      <c r="V108">
        <v>72</v>
      </c>
      <c r="W108" s="27">
        <v>-72</v>
      </c>
      <c r="X108" s="31">
        <v>29.52</v>
      </c>
      <c r="Y108" s="30"/>
      <c r="Z108">
        <v>53</v>
      </c>
      <c r="AA108" s="27">
        <v>-53</v>
      </c>
      <c r="AB108" s="31">
        <v>21.73</v>
      </c>
      <c r="AD108">
        <v>71</v>
      </c>
      <c r="AE108" s="27">
        <v>-71</v>
      </c>
      <c r="AF108" s="31">
        <v>29.11</v>
      </c>
      <c r="AG108" s="30"/>
      <c r="AI108" s="28">
        <v>0</v>
      </c>
      <c r="AJ108" s="31"/>
      <c r="AK108">
        <v>96</v>
      </c>
      <c r="AL108">
        <v>96</v>
      </c>
      <c r="AM108" s="28">
        <v>0</v>
      </c>
      <c r="AN108" s="31"/>
      <c r="AO108" s="30"/>
      <c r="AQ108" s="28">
        <v>0</v>
      </c>
      <c r="AR108" s="31"/>
      <c r="AS108" s="24">
        <v>54</v>
      </c>
      <c r="AT108">
        <v>54</v>
      </c>
      <c r="AU108" s="28">
        <v>0</v>
      </c>
      <c r="AV108" s="31"/>
      <c r="AW108">
        <v>24</v>
      </c>
      <c r="AX108">
        <v>24</v>
      </c>
      <c r="AY108" s="28">
        <v>0</v>
      </c>
      <c r="AZ108" s="31"/>
      <c r="BA108" s="30"/>
      <c r="BE108" s="28">
        <v>0</v>
      </c>
      <c r="BF108" s="31"/>
      <c r="BG108" s="24">
        <v>42</v>
      </c>
      <c r="BH108">
        <v>45</v>
      </c>
      <c r="BI108" s="28">
        <v>-3</v>
      </c>
      <c r="BJ108" s="31"/>
      <c r="BO108" s="28">
        <v>0</v>
      </c>
      <c r="BP108" s="31"/>
      <c r="BQ108">
        <v>42</v>
      </c>
      <c r="BR108">
        <v>40</v>
      </c>
      <c r="BS108" s="28">
        <v>2</v>
      </c>
      <c r="BT108" s="31"/>
      <c r="BU108" s="24">
        <v>12</v>
      </c>
      <c r="BV108">
        <v>12</v>
      </c>
      <c r="BW108" s="28">
        <v>0</v>
      </c>
      <c r="BX108" s="31"/>
      <c r="BY108" s="24">
        <v>12</v>
      </c>
      <c r="BZ108">
        <v>13</v>
      </c>
      <c r="CA108" s="28">
        <v>-1</v>
      </c>
      <c r="CB108" s="31"/>
      <c r="CE108" s="28">
        <v>0</v>
      </c>
      <c r="CF108" s="31"/>
      <c r="CG108" s="24">
        <v>6</v>
      </c>
      <c r="CI108">
        <v>9</v>
      </c>
      <c r="CJ108" s="28">
        <v>-3</v>
      </c>
      <c r="CK108" s="31"/>
      <c r="CL108" s="30"/>
      <c r="CN108">
        <v>48</v>
      </c>
      <c r="CO108">
        <v>47</v>
      </c>
      <c r="CP108" s="28">
        <v>1</v>
      </c>
      <c r="CQ108" s="31"/>
      <c r="CR108" s="30"/>
      <c r="CU108" s="28">
        <v>0</v>
      </c>
      <c r="CV108" s="31"/>
      <c r="CW108">
        <v>48</v>
      </c>
      <c r="CX108" s="28">
        <v>46.6</v>
      </c>
      <c r="CY108" s="28">
        <v>1.399999999999999</v>
      </c>
      <c r="CZ108" s="31"/>
      <c r="DA108" s="33"/>
      <c r="DC108" s="28">
        <v>0</v>
      </c>
      <c r="DD108" s="31"/>
      <c r="DE108" s="24">
        <v>30</v>
      </c>
      <c r="DF108" s="28">
        <v>32.200000000000003</v>
      </c>
      <c r="DG108" s="28">
        <v>-2.2000000000000028</v>
      </c>
      <c r="DH108" s="31"/>
      <c r="DI108" s="30"/>
      <c r="DK108" s="28">
        <v>0</v>
      </c>
      <c r="DL108" s="31"/>
      <c r="DO108" s="28">
        <v>0</v>
      </c>
      <c r="DP108" s="31"/>
      <c r="DQ108">
        <v>36</v>
      </c>
      <c r="DR108">
        <v>36</v>
      </c>
      <c r="DS108" s="28">
        <v>0</v>
      </c>
      <c r="DT108" s="31"/>
      <c r="DU108" s="30"/>
      <c r="DX108" s="28">
        <v>0</v>
      </c>
      <c r="DY108" s="31"/>
      <c r="DZ108" s="24">
        <v>18</v>
      </c>
      <c r="EB108">
        <v>18</v>
      </c>
      <c r="EC108" s="28">
        <v>0</v>
      </c>
      <c r="ED108" s="31"/>
      <c r="EE108">
        <v>6</v>
      </c>
      <c r="EF108" s="32">
        <v>6.1999999999999957</v>
      </c>
      <c r="EG108" s="28">
        <v>-0.19999999999999571</v>
      </c>
      <c r="EH108" s="31"/>
      <c r="EI108" s="30"/>
      <c r="EN108" s="28">
        <v>0</v>
      </c>
      <c r="EO108" s="31"/>
      <c r="EP108">
        <v>48</v>
      </c>
      <c r="EQ108" s="32">
        <v>46.8</v>
      </c>
      <c r="ER108" s="28">
        <v>1.2000000000000031</v>
      </c>
      <c r="ES108" s="31"/>
      <c r="ET108" s="30"/>
      <c r="EV108">
        <v>12</v>
      </c>
      <c r="EW108">
        <v>14</v>
      </c>
      <c r="EX108" s="28">
        <v>-2</v>
      </c>
      <c r="EY108" s="31"/>
      <c r="FD108" s="28">
        <v>0</v>
      </c>
      <c r="FE108" s="31"/>
      <c r="FF108">
        <v>42</v>
      </c>
      <c r="FG108" s="32">
        <v>42</v>
      </c>
      <c r="FH108" s="28">
        <v>0</v>
      </c>
      <c r="FI108" s="31"/>
      <c r="FJ108" s="24">
        <v>6</v>
      </c>
      <c r="FK108">
        <v>6</v>
      </c>
      <c r="FL108" s="28">
        <v>0</v>
      </c>
      <c r="FM108" s="31"/>
      <c r="FN108" s="24">
        <v>18</v>
      </c>
      <c r="FO108">
        <v>18</v>
      </c>
      <c r="FP108" s="28">
        <v>0</v>
      </c>
      <c r="FQ108" s="31"/>
      <c r="FR108">
        <v>30</v>
      </c>
      <c r="FS108">
        <v>30</v>
      </c>
      <c r="FT108" s="28">
        <v>0</v>
      </c>
      <c r="FU108" s="31"/>
      <c r="FV108" s="24">
        <v>6</v>
      </c>
      <c r="FW108">
        <v>6</v>
      </c>
      <c r="FX108" s="28">
        <v>0</v>
      </c>
      <c r="FY108" s="31"/>
      <c r="FZ108" s="24">
        <v>24</v>
      </c>
      <c r="GA108">
        <v>24</v>
      </c>
      <c r="GB108" s="28">
        <v>0</v>
      </c>
      <c r="GC108" s="31"/>
      <c r="GD108">
        <v>18</v>
      </c>
      <c r="GE108">
        <v>20</v>
      </c>
      <c r="GF108" s="28">
        <v>-2</v>
      </c>
      <c r="GG108" s="34"/>
      <c r="GH108">
        <v>12</v>
      </c>
      <c r="GI108">
        <v>11</v>
      </c>
      <c r="GJ108" s="28">
        <v>1</v>
      </c>
      <c r="GK108" s="31"/>
      <c r="GL108">
        <v>18</v>
      </c>
      <c r="GM108">
        <v>18</v>
      </c>
      <c r="GN108" s="28">
        <v>0</v>
      </c>
      <c r="GO108" s="34"/>
      <c r="GP108">
        <v>12</v>
      </c>
      <c r="GQ108">
        <v>12</v>
      </c>
      <c r="GR108" s="28">
        <v>0</v>
      </c>
      <c r="GS108" s="31"/>
      <c r="GV108" s="28">
        <v>0</v>
      </c>
      <c r="GW108" s="34"/>
      <c r="GZ108" s="28">
        <v>0</v>
      </c>
      <c r="HA108" s="31"/>
      <c r="HB108" s="33"/>
      <c r="HD108" s="28">
        <v>0</v>
      </c>
      <c r="HE108" s="34"/>
      <c r="HH108" s="28">
        <v>0</v>
      </c>
      <c r="HI108" s="34"/>
      <c r="HL108" s="28">
        <v>0</v>
      </c>
      <c r="HM108" s="34"/>
      <c r="HP108" s="28">
        <v>0</v>
      </c>
      <c r="HQ108" s="31"/>
      <c r="HR108" s="29"/>
      <c r="HT108">
        <v>48</v>
      </c>
      <c r="HU108">
        <v>51</v>
      </c>
      <c r="HV108" s="28">
        <v>-3</v>
      </c>
      <c r="HW108" s="34"/>
      <c r="HX108" s="32">
        <v>0</v>
      </c>
      <c r="HY108" s="32">
        <v>0</v>
      </c>
      <c r="HZ108" s="28">
        <v>0</v>
      </c>
      <c r="IA108" s="34"/>
      <c r="IB108" s="32">
        <v>0</v>
      </c>
      <c r="IC108" s="32">
        <v>0</v>
      </c>
      <c r="ID108" s="28">
        <v>0</v>
      </c>
      <c r="IE108" s="34"/>
      <c r="IF108" s="33">
        <v>0</v>
      </c>
      <c r="IG108" s="32">
        <v>0</v>
      </c>
      <c r="IH108" s="28">
        <v>0</v>
      </c>
      <c r="II108" s="34"/>
    </row>
    <row r="109" spans="1:243" x14ac:dyDescent="0.25">
      <c r="A109" s="28" t="s">
        <v>241</v>
      </c>
      <c r="B109" s="29">
        <v>1</v>
      </c>
      <c r="J109" s="30"/>
      <c r="K109" s="35"/>
      <c r="L109" s="35"/>
      <c r="M109" s="35"/>
      <c r="N109" s="35">
        <f t="shared" si="5"/>
        <v>0</v>
      </c>
      <c r="O109" s="31"/>
      <c r="P109" s="35"/>
      <c r="S109" s="28">
        <v>0</v>
      </c>
      <c r="T109" s="31"/>
      <c r="U109" s="30"/>
      <c r="W109" s="28">
        <v>0</v>
      </c>
      <c r="X109" s="31"/>
      <c r="Y109" s="30"/>
      <c r="AA109" s="28">
        <v>0</v>
      </c>
      <c r="AB109" s="31"/>
      <c r="AE109" s="28">
        <v>0</v>
      </c>
      <c r="AF109" s="31"/>
      <c r="AG109" s="30"/>
      <c r="AI109" s="28">
        <v>0</v>
      </c>
      <c r="AJ109" s="31"/>
      <c r="AM109" s="28">
        <v>0</v>
      </c>
      <c r="AN109" s="31"/>
      <c r="AO109" s="30"/>
      <c r="AQ109" s="28">
        <v>0</v>
      </c>
      <c r="AR109" s="31"/>
      <c r="AS109" s="30"/>
      <c r="AU109" s="28">
        <v>0</v>
      </c>
      <c r="AV109" s="31"/>
      <c r="AY109" s="28">
        <v>0</v>
      </c>
      <c r="AZ109" s="31"/>
      <c r="BA109" s="30"/>
      <c r="BE109" s="28">
        <v>0</v>
      </c>
      <c r="BF109" s="31"/>
      <c r="BG109" s="30"/>
      <c r="BI109" s="28">
        <v>0</v>
      </c>
      <c r="BJ109" s="31"/>
      <c r="BO109" s="28">
        <v>0</v>
      </c>
      <c r="BP109" s="31"/>
      <c r="BS109" s="28">
        <v>0</v>
      </c>
      <c r="BT109" s="31"/>
      <c r="BU109" s="30"/>
      <c r="BW109" s="28">
        <v>0</v>
      </c>
      <c r="BX109" s="31"/>
      <c r="BY109" s="30"/>
      <c r="CA109" s="28">
        <v>0</v>
      </c>
      <c r="CB109" s="31"/>
      <c r="CE109" s="28">
        <v>0</v>
      </c>
      <c r="CF109" s="31"/>
      <c r="CG109" s="30"/>
      <c r="CJ109" s="28">
        <v>0</v>
      </c>
      <c r="CK109" s="31"/>
      <c r="CL109" s="30"/>
      <c r="CP109" s="28">
        <v>0</v>
      </c>
      <c r="CQ109" s="31"/>
      <c r="CR109" s="30"/>
      <c r="CU109" s="28">
        <v>0</v>
      </c>
      <c r="CV109" s="31"/>
      <c r="CY109" s="28">
        <v>0</v>
      </c>
      <c r="CZ109" s="31"/>
      <c r="DA109" s="33"/>
      <c r="DC109" s="28">
        <v>0</v>
      </c>
      <c r="DD109" s="31"/>
      <c r="DE109" s="30"/>
      <c r="DG109" s="28">
        <v>0</v>
      </c>
      <c r="DH109" s="31"/>
      <c r="DI109" s="30"/>
      <c r="DK109" s="28">
        <v>0</v>
      </c>
      <c r="DL109" s="31"/>
      <c r="DO109" s="28">
        <v>0</v>
      </c>
      <c r="DP109" s="31"/>
      <c r="DS109" s="28">
        <v>0</v>
      </c>
      <c r="DT109" s="31"/>
      <c r="DU109" s="30"/>
      <c r="DX109" s="28">
        <v>0</v>
      </c>
      <c r="DY109" s="31"/>
      <c r="DZ109" s="30"/>
      <c r="EC109" s="28">
        <v>0</v>
      </c>
      <c r="ED109" s="31"/>
      <c r="EG109" s="28">
        <v>0</v>
      </c>
      <c r="EH109" s="31"/>
      <c r="EI109" s="30"/>
      <c r="EN109" s="28">
        <v>0</v>
      </c>
      <c r="EO109" s="31"/>
      <c r="ER109" s="28">
        <v>0</v>
      </c>
      <c r="ES109" s="31"/>
      <c r="ET109" s="30"/>
      <c r="EX109" s="28">
        <v>0</v>
      </c>
      <c r="EY109" s="31"/>
      <c r="FD109" s="28">
        <v>0</v>
      </c>
      <c r="FE109" s="31"/>
      <c r="FH109" s="28">
        <v>0</v>
      </c>
      <c r="FI109" s="31"/>
      <c r="FJ109" s="30"/>
      <c r="FL109" s="28">
        <v>0</v>
      </c>
      <c r="FM109" s="31"/>
      <c r="FN109" s="30"/>
      <c r="FP109" s="28">
        <v>0</v>
      </c>
      <c r="FQ109" s="31"/>
      <c r="FT109" s="28">
        <v>0</v>
      </c>
      <c r="FU109" s="31"/>
      <c r="FV109" s="30"/>
      <c r="FX109" s="28">
        <v>0</v>
      </c>
      <c r="FY109" s="31"/>
      <c r="FZ109" s="30"/>
      <c r="GB109" s="28">
        <v>0</v>
      </c>
      <c r="GC109" s="31"/>
      <c r="GF109" s="28">
        <v>0</v>
      </c>
      <c r="GG109" s="34"/>
      <c r="GJ109" s="28">
        <v>0</v>
      </c>
      <c r="GK109" s="31"/>
      <c r="GN109" s="28">
        <v>0</v>
      </c>
      <c r="GO109" s="34"/>
      <c r="GR109" s="28">
        <v>0</v>
      </c>
      <c r="GS109" s="31"/>
      <c r="GV109" s="28">
        <v>0</v>
      </c>
      <c r="GW109" s="34"/>
      <c r="GZ109" s="28">
        <v>0</v>
      </c>
      <c r="HA109" s="31"/>
      <c r="HB109" s="33"/>
      <c r="HD109" s="28">
        <v>0</v>
      </c>
      <c r="HE109" s="34"/>
      <c r="HH109" s="28">
        <v>0</v>
      </c>
      <c r="HI109" s="34"/>
      <c r="HL109" s="28">
        <v>0</v>
      </c>
      <c r="HM109" s="34"/>
      <c r="HP109" s="28">
        <v>0</v>
      </c>
      <c r="HQ109" s="31"/>
      <c r="HR109" s="29"/>
      <c r="HT109" s="29"/>
      <c r="HV109" s="28">
        <v>0</v>
      </c>
      <c r="HW109" s="34"/>
      <c r="HX109" s="32">
        <v>0</v>
      </c>
      <c r="HY109" s="32">
        <v>0</v>
      </c>
      <c r="HZ109" s="28">
        <v>0</v>
      </c>
      <c r="IA109" s="34"/>
      <c r="IB109" s="32">
        <v>0</v>
      </c>
      <c r="IC109" s="32">
        <v>0</v>
      </c>
      <c r="ID109" s="28">
        <v>0</v>
      </c>
      <c r="IE109" s="34"/>
      <c r="IF109" s="33">
        <v>0</v>
      </c>
      <c r="IG109" s="32">
        <v>0</v>
      </c>
      <c r="IH109" s="28">
        <v>0</v>
      </c>
      <c r="II109" s="34"/>
    </row>
    <row r="110" spans="1:243" x14ac:dyDescent="0.25">
      <c r="A110" s="28" t="s">
        <v>242</v>
      </c>
      <c r="B110" s="29">
        <v>0.41</v>
      </c>
      <c r="J110" s="30"/>
      <c r="K110" s="35"/>
      <c r="L110" s="35"/>
      <c r="M110" s="35"/>
      <c r="N110" s="35">
        <f t="shared" si="5"/>
        <v>0</v>
      </c>
      <c r="O110" s="31"/>
      <c r="P110" s="35"/>
      <c r="R110">
        <v>16</v>
      </c>
      <c r="S110" s="27">
        <v>-16</v>
      </c>
      <c r="T110" s="31">
        <v>6.56</v>
      </c>
      <c r="U110" s="30"/>
      <c r="V110">
        <v>24</v>
      </c>
      <c r="W110" s="27">
        <v>-24</v>
      </c>
      <c r="X110" s="31">
        <v>9.84</v>
      </c>
      <c r="Y110" s="30"/>
      <c r="Z110">
        <v>12</v>
      </c>
      <c r="AA110" s="27">
        <v>-12</v>
      </c>
      <c r="AB110" s="31">
        <v>4.92</v>
      </c>
      <c r="AD110">
        <v>26</v>
      </c>
      <c r="AE110" s="27">
        <v>-26</v>
      </c>
      <c r="AF110" s="31">
        <v>10.66</v>
      </c>
      <c r="AG110" s="30"/>
      <c r="AH110">
        <v>26</v>
      </c>
      <c r="AI110" s="27">
        <v>-26</v>
      </c>
      <c r="AJ110" s="31">
        <v>10.66</v>
      </c>
      <c r="AK110">
        <v>12</v>
      </c>
      <c r="AL110">
        <v>10</v>
      </c>
      <c r="AM110" s="28">
        <v>2</v>
      </c>
      <c r="AN110" s="31"/>
      <c r="AO110" s="24">
        <v>12</v>
      </c>
      <c r="AP110">
        <v>10</v>
      </c>
      <c r="AQ110" s="28">
        <v>2</v>
      </c>
      <c r="AR110" s="31"/>
      <c r="AS110" s="24">
        <v>6</v>
      </c>
      <c r="AT110">
        <v>9</v>
      </c>
      <c r="AU110" s="28">
        <v>-3</v>
      </c>
      <c r="AV110" s="31"/>
      <c r="AY110" s="28">
        <v>0</v>
      </c>
      <c r="AZ110" s="31"/>
      <c r="BA110" s="30"/>
      <c r="BE110" s="28">
        <v>0</v>
      </c>
      <c r="BF110" s="31"/>
      <c r="BG110" s="24">
        <v>30</v>
      </c>
      <c r="BH110">
        <v>30</v>
      </c>
      <c r="BI110" s="28">
        <v>0</v>
      </c>
      <c r="BJ110" s="31"/>
      <c r="BO110" s="28">
        <v>0</v>
      </c>
      <c r="BP110" s="31"/>
      <c r="BS110" s="28">
        <v>0</v>
      </c>
      <c r="BT110" s="31"/>
      <c r="BU110" s="24">
        <v>6</v>
      </c>
      <c r="BV110">
        <v>6</v>
      </c>
      <c r="BW110" s="28">
        <v>0</v>
      </c>
      <c r="BX110" s="31"/>
      <c r="BY110" s="24">
        <v>24</v>
      </c>
      <c r="BZ110">
        <v>22</v>
      </c>
      <c r="CA110" s="28">
        <v>2</v>
      </c>
      <c r="CB110" s="31"/>
      <c r="CE110" s="28">
        <v>0</v>
      </c>
      <c r="CF110" s="31"/>
      <c r="CG110" s="24">
        <v>18</v>
      </c>
      <c r="CI110">
        <v>16</v>
      </c>
      <c r="CJ110" s="28">
        <v>2</v>
      </c>
      <c r="CK110" s="31"/>
      <c r="CL110" s="30"/>
      <c r="CN110">
        <v>12</v>
      </c>
      <c r="CO110">
        <v>12</v>
      </c>
      <c r="CP110" s="28">
        <v>0</v>
      </c>
      <c r="CQ110" s="31"/>
      <c r="CR110" s="30"/>
      <c r="CU110" s="28">
        <v>0</v>
      </c>
      <c r="CV110" s="31"/>
      <c r="CW110">
        <v>18</v>
      </c>
      <c r="CX110" s="28">
        <v>19</v>
      </c>
      <c r="CY110" s="28">
        <v>-1</v>
      </c>
      <c r="CZ110" s="31"/>
      <c r="DA110" s="33"/>
      <c r="DC110" s="28">
        <v>0</v>
      </c>
      <c r="DD110" s="31"/>
      <c r="DE110" s="24">
        <v>12</v>
      </c>
      <c r="DF110" s="28">
        <v>13.2</v>
      </c>
      <c r="DG110" s="28">
        <v>-1.1999999999999991</v>
      </c>
      <c r="DH110" s="31"/>
      <c r="DI110" s="30"/>
      <c r="DK110" s="28">
        <v>0</v>
      </c>
      <c r="DL110" s="31"/>
      <c r="DO110" s="28">
        <v>0</v>
      </c>
      <c r="DP110" s="31"/>
      <c r="DQ110">
        <v>18</v>
      </c>
      <c r="DR110">
        <v>17</v>
      </c>
      <c r="DS110" s="28">
        <v>1</v>
      </c>
      <c r="DT110" s="31"/>
      <c r="DU110" s="30"/>
      <c r="DX110" s="28">
        <v>0</v>
      </c>
      <c r="DY110" s="31"/>
      <c r="DZ110" s="30"/>
      <c r="EC110" s="28">
        <v>0</v>
      </c>
      <c r="ED110" s="31"/>
      <c r="EG110" s="28">
        <v>0</v>
      </c>
      <c r="EH110" s="31"/>
      <c r="EI110" s="30"/>
      <c r="EL110">
        <v>18</v>
      </c>
      <c r="EM110">
        <v>19</v>
      </c>
      <c r="EN110" s="28">
        <v>-1</v>
      </c>
      <c r="EO110" s="31"/>
      <c r="EP110">
        <v>6</v>
      </c>
      <c r="EQ110" s="32">
        <v>5.4000000000000021</v>
      </c>
      <c r="ER110" s="28">
        <v>0.59999999999999787</v>
      </c>
      <c r="ES110" s="31"/>
      <c r="ET110" s="30"/>
      <c r="EV110">
        <v>12</v>
      </c>
      <c r="EW110">
        <v>12</v>
      </c>
      <c r="EX110" s="28">
        <v>0</v>
      </c>
      <c r="EY110" s="31"/>
      <c r="FB110">
        <v>12</v>
      </c>
      <c r="FC110">
        <v>12</v>
      </c>
      <c r="FD110" s="28">
        <v>0</v>
      </c>
      <c r="FE110" s="31"/>
      <c r="FF110">
        <v>6</v>
      </c>
      <c r="FG110" s="32">
        <v>8</v>
      </c>
      <c r="FH110" s="28">
        <v>-2</v>
      </c>
      <c r="FI110" s="31"/>
      <c r="FJ110" s="30"/>
      <c r="FL110" s="28">
        <v>0</v>
      </c>
      <c r="FM110" s="31"/>
      <c r="FN110" s="24">
        <v>6</v>
      </c>
      <c r="FO110">
        <v>6</v>
      </c>
      <c r="FP110" s="28">
        <v>0</v>
      </c>
      <c r="FQ110" s="31"/>
      <c r="FR110">
        <v>6</v>
      </c>
      <c r="FS110">
        <v>6</v>
      </c>
      <c r="FT110" s="28">
        <v>0</v>
      </c>
      <c r="FU110" s="31"/>
      <c r="FV110" s="24">
        <v>18</v>
      </c>
      <c r="FW110">
        <v>18</v>
      </c>
      <c r="FX110" s="28">
        <v>0</v>
      </c>
      <c r="FY110" s="31"/>
      <c r="FZ110" s="30"/>
      <c r="GB110" s="28">
        <v>0</v>
      </c>
      <c r="GC110" s="31"/>
      <c r="GF110" s="28">
        <v>0</v>
      </c>
      <c r="GG110" s="34"/>
      <c r="GH110">
        <v>6</v>
      </c>
      <c r="GI110">
        <v>4</v>
      </c>
      <c r="GJ110" s="28">
        <v>2</v>
      </c>
      <c r="GK110" s="31"/>
      <c r="GL110">
        <v>6</v>
      </c>
      <c r="GM110">
        <v>6</v>
      </c>
      <c r="GN110" s="28">
        <v>0</v>
      </c>
      <c r="GO110" s="34"/>
      <c r="GP110">
        <v>6</v>
      </c>
      <c r="GQ110">
        <v>6</v>
      </c>
      <c r="GR110" s="28">
        <v>0</v>
      </c>
      <c r="GS110" s="31"/>
      <c r="GV110" s="28">
        <v>0</v>
      </c>
      <c r="GW110" s="34"/>
      <c r="GX110">
        <v>6</v>
      </c>
      <c r="GY110" s="32">
        <v>7.6000000000000014</v>
      </c>
      <c r="GZ110" s="28">
        <v>-1.600000000000001</v>
      </c>
      <c r="HA110" s="31"/>
      <c r="HB110" s="33"/>
      <c r="HD110" s="28">
        <v>0</v>
      </c>
      <c r="HE110" s="34"/>
      <c r="HH110" s="28">
        <v>0</v>
      </c>
      <c r="HI110" s="34"/>
      <c r="HL110" s="28">
        <v>0</v>
      </c>
      <c r="HM110" s="34"/>
      <c r="HP110" s="28">
        <v>0</v>
      </c>
      <c r="HQ110" s="31"/>
      <c r="HR110" s="29"/>
      <c r="HT110">
        <v>24</v>
      </c>
      <c r="HU110">
        <v>26</v>
      </c>
      <c r="HV110" s="28">
        <v>-2</v>
      </c>
      <c r="HW110" s="34"/>
      <c r="HX110" s="32">
        <v>0</v>
      </c>
      <c r="HY110" s="32">
        <v>0</v>
      </c>
      <c r="HZ110" s="28">
        <v>0</v>
      </c>
      <c r="IA110" s="34"/>
      <c r="IB110" s="32">
        <v>0</v>
      </c>
      <c r="IC110" s="32">
        <v>0</v>
      </c>
      <c r="ID110" s="28">
        <v>0</v>
      </c>
      <c r="IE110" s="34"/>
      <c r="IF110" s="33">
        <v>0</v>
      </c>
      <c r="IG110" s="32">
        <v>0</v>
      </c>
      <c r="IH110" s="28">
        <v>0</v>
      </c>
      <c r="II110" s="34"/>
    </row>
    <row r="111" spans="1:243" x14ac:dyDescent="0.25">
      <c r="A111" s="28" t="s">
        <v>243</v>
      </c>
      <c r="B111" s="29">
        <v>0.28000000000000003</v>
      </c>
      <c r="J111" s="30"/>
      <c r="K111" s="35"/>
      <c r="L111" s="35"/>
      <c r="M111" s="35"/>
      <c r="N111" s="35">
        <f t="shared" si="5"/>
        <v>0</v>
      </c>
      <c r="O111" s="31"/>
      <c r="P111" s="35"/>
      <c r="S111" s="28">
        <v>0</v>
      </c>
      <c r="T111" s="31"/>
      <c r="U111" s="30"/>
      <c r="W111" s="28">
        <v>0</v>
      </c>
      <c r="X111" s="31"/>
      <c r="Y111" s="30"/>
      <c r="AA111" s="28">
        <v>0</v>
      </c>
      <c r="AB111" s="31"/>
      <c r="AE111" s="28">
        <v>0</v>
      </c>
      <c r="AF111" s="31"/>
      <c r="AG111" s="30"/>
      <c r="AI111" s="28">
        <v>0</v>
      </c>
      <c r="AJ111" s="31"/>
      <c r="AM111" s="28">
        <v>0</v>
      </c>
      <c r="AN111" s="31"/>
      <c r="AO111" s="30"/>
      <c r="AQ111" s="28">
        <v>0</v>
      </c>
      <c r="AR111" s="31"/>
      <c r="AS111" s="30"/>
      <c r="AU111" s="28">
        <v>0</v>
      </c>
      <c r="AV111" s="31"/>
      <c r="AY111" s="28">
        <v>0</v>
      </c>
      <c r="AZ111" s="31"/>
      <c r="BA111" s="30"/>
      <c r="BE111" s="28">
        <v>0</v>
      </c>
      <c r="BF111" s="31"/>
      <c r="BG111" s="30"/>
      <c r="BI111" s="28">
        <v>0</v>
      </c>
      <c r="BJ111" s="31"/>
      <c r="BO111" s="28">
        <v>0</v>
      </c>
      <c r="BP111" s="31"/>
      <c r="BS111" s="28">
        <v>0</v>
      </c>
      <c r="BT111" s="31"/>
      <c r="BU111" s="30"/>
      <c r="BW111" s="28">
        <v>0</v>
      </c>
      <c r="BX111" s="31"/>
      <c r="BY111" s="30"/>
      <c r="CA111" s="28">
        <v>0</v>
      </c>
      <c r="CB111" s="31"/>
      <c r="CE111" s="28">
        <v>0</v>
      </c>
      <c r="CF111" s="31"/>
      <c r="CG111" s="30"/>
      <c r="CJ111" s="28">
        <v>0</v>
      </c>
      <c r="CK111" s="31"/>
      <c r="CL111" s="30"/>
      <c r="CP111" s="28">
        <v>0</v>
      </c>
      <c r="CQ111" s="31"/>
      <c r="CR111" s="30"/>
      <c r="CU111" s="28">
        <v>0</v>
      </c>
      <c r="CV111" s="31"/>
      <c r="CY111" s="28">
        <v>0</v>
      </c>
      <c r="CZ111" s="31"/>
      <c r="DA111" s="33"/>
      <c r="DC111" s="28">
        <v>0</v>
      </c>
      <c r="DD111" s="31"/>
      <c r="DE111" s="30"/>
      <c r="DG111" s="28">
        <v>0</v>
      </c>
      <c r="DH111" s="31"/>
      <c r="DI111" s="30"/>
      <c r="DK111" s="28">
        <v>0</v>
      </c>
      <c r="DL111" s="31"/>
      <c r="DO111" s="28">
        <v>0</v>
      </c>
      <c r="DP111" s="31"/>
      <c r="DS111" s="28">
        <v>0</v>
      </c>
      <c r="DT111" s="31"/>
      <c r="DU111" s="30"/>
      <c r="DX111" s="28">
        <v>0</v>
      </c>
      <c r="DY111" s="31"/>
      <c r="DZ111" s="30"/>
      <c r="EC111" s="28">
        <v>0</v>
      </c>
      <c r="ED111" s="31"/>
      <c r="EG111" s="28">
        <v>0</v>
      </c>
      <c r="EH111" s="31"/>
      <c r="EI111" s="30"/>
      <c r="EM111">
        <v>44</v>
      </c>
      <c r="EN111" s="28">
        <v>-4</v>
      </c>
      <c r="EO111" s="31"/>
      <c r="EQ111" s="21">
        <v>36.200000000000003</v>
      </c>
      <c r="ER111" s="28">
        <v>-4.2000000000000028</v>
      </c>
      <c r="ES111" s="31"/>
      <c r="ET111" s="30"/>
      <c r="EX111" s="28">
        <v>0</v>
      </c>
      <c r="EY111" s="31"/>
      <c r="EZ111">
        <v>24</v>
      </c>
      <c r="FA111">
        <v>24</v>
      </c>
      <c r="FB111">
        <v>32</v>
      </c>
      <c r="FC111">
        <v>36</v>
      </c>
      <c r="FD111" s="28">
        <v>-4</v>
      </c>
      <c r="FE111" s="31"/>
      <c r="FF111">
        <v>8</v>
      </c>
      <c r="FG111" s="32">
        <v>8</v>
      </c>
      <c r="FH111" s="28">
        <v>0</v>
      </c>
      <c r="FI111" s="31"/>
      <c r="FJ111" s="24">
        <v>24</v>
      </c>
      <c r="FK111">
        <v>24</v>
      </c>
      <c r="FL111" s="28">
        <v>0</v>
      </c>
      <c r="FM111" s="31"/>
      <c r="FN111" s="24">
        <v>16</v>
      </c>
      <c r="FO111">
        <v>16</v>
      </c>
      <c r="FP111" s="28">
        <v>0</v>
      </c>
      <c r="FQ111" s="31"/>
      <c r="FR111">
        <v>32</v>
      </c>
      <c r="FS111">
        <v>32</v>
      </c>
      <c r="FT111" s="28">
        <v>0</v>
      </c>
      <c r="FU111" s="31"/>
      <c r="FV111" s="24">
        <v>8</v>
      </c>
      <c r="FW111">
        <v>8</v>
      </c>
      <c r="FX111" s="28">
        <v>0</v>
      </c>
      <c r="FY111" s="31"/>
      <c r="FZ111" s="30"/>
      <c r="GB111" s="28">
        <v>0</v>
      </c>
      <c r="GC111" s="31"/>
      <c r="GD111">
        <v>16</v>
      </c>
      <c r="GE111">
        <v>16</v>
      </c>
      <c r="GF111" s="28">
        <v>0</v>
      </c>
      <c r="GG111" s="34"/>
      <c r="GJ111" s="28">
        <v>0</v>
      </c>
      <c r="GK111" s="31"/>
      <c r="GL111">
        <v>32</v>
      </c>
      <c r="GM111">
        <v>32</v>
      </c>
      <c r="GN111" s="28">
        <v>0</v>
      </c>
      <c r="GO111" s="34"/>
      <c r="GR111" s="28">
        <v>0</v>
      </c>
      <c r="GS111" s="31"/>
      <c r="GV111" s="28">
        <v>0</v>
      </c>
      <c r="GW111" s="34"/>
      <c r="GZ111" s="28">
        <v>0</v>
      </c>
      <c r="HA111" s="31"/>
      <c r="HB111" s="24">
        <v>8</v>
      </c>
      <c r="HC111" s="32">
        <v>8</v>
      </c>
      <c r="HD111" s="28">
        <v>0</v>
      </c>
      <c r="HE111" s="34"/>
      <c r="HH111" s="28">
        <v>0</v>
      </c>
      <c r="HI111" s="34"/>
      <c r="HL111" s="28">
        <v>0</v>
      </c>
      <c r="HM111" s="34"/>
      <c r="HP111" s="28">
        <v>0</v>
      </c>
      <c r="HQ111" s="31"/>
      <c r="HR111" s="29"/>
      <c r="HT111" s="29"/>
      <c r="HV111" s="28">
        <v>0</v>
      </c>
      <c r="HW111" s="34"/>
      <c r="HX111" s="32">
        <v>0</v>
      </c>
      <c r="HY111" s="32">
        <v>0</v>
      </c>
      <c r="HZ111" s="28">
        <v>0</v>
      </c>
      <c r="IA111" s="34"/>
      <c r="IB111" s="32">
        <v>0</v>
      </c>
      <c r="IC111" s="32">
        <v>0</v>
      </c>
      <c r="ID111" s="28">
        <v>0</v>
      </c>
      <c r="IE111" s="34"/>
      <c r="IF111" s="33">
        <v>0</v>
      </c>
      <c r="IG111" s="32">
        <v>0</v>
      </c>
      <c r="IH111" s="28">
        <v>0</v>
      </c>
      <c r="II111" s="34"/>
    </row>
    <row r="112" spans="1:243" x14ac:dyDescent="0.25">
      <c r="A112" s="28" t="s">
        <v>244</v>
      </c>
      <c r="B112" s="29">
        <v>0.35</v>
      </c>
      <c r="J112" s="30"/>
      <c r="K112" s="35"/>
      <c r="L112" s="35"/>
      <c r="M112" s="35"/>
      <c r="N112" s="35">
        <f t="shared" si="5"/>
        <v>0</v>
      </c>
      <c r="O112" s="31"/>
      <c r="P112" s="35"/>
      <c r="S112" s="28">
        <v>0</v>
      </c>
      <c r="T112" s="31"/>
      <c r="U112" s="30"/>
      <c r="W112" s="28">
        <v>0</v>
      </c>
      <c r="X112" s="31"/>
      <c r="Y112" s="30"/>
      <c r="AA112" s="28">
        <v>0</v>
      </c>
      <c r="AB112" s="31"/>
      <c r="AE112" s="28">
        <v>0</v>
      </c>
      <c r="AF112" s="31"/>
      <c r="AG112" s="30"/>
      <c r="AI112" s="28">
        <v>0</v>
      </c>
      <c r="AJ112" s="31"/>
      <c r="AM112" s="28">
        <v>0</v>
      </c>
      <c r="AN112" s="31"/>
      <c r="AO112" s="30"/>
      <c r="AQ112" s="28">
        <v>0</v>
      </c>
      <c r="AR112" s="31"/>
      <c r="AS112" s="30"/>
      <c r="AU112" s="28">
        <v>0</v>
      </c>
      <c r="AV112" s="31"/>
      <c r="AY112" s="28">
        <v>0</v>
      </c>
      <c r="AZ112" s="31"/>
      <c r="BA112" s="30"/>
      <c r="BE112" s="28">
        <v>0</v>
      </c>
      <c r="BF112" s="31"/>
      <c r="BG112" s="30"/>
      <c r="BI112" s="28">
        <v>0</v>
      </c>
      <c r="BJ112" s="31"/>
      <c r="BO112" s="28">
        <v>0</v>
      </c>
      <c r="BP112" s="31"/>
      <c r="BS112" s="28">
        <v>0</v>
      </c>
      <c r="BT112" s="31"/>
      <c r="BU112" s="30"/>
      <c r="BW112" s="28">
        <v>0</v>
      </c>
      <c r="BX112" s="31"/>
      <c r="BY112" s="30"/>
      <c r="CA112" s="28">
        <v>0</v>
      </c>
      <c r="CB112" s="31"/>
      <c r="CE112" s="28">
        <v>0</v>
      </c>
      <c r="CF112" s="31"/>
      <c r="CG112" s="30"/>
      <c r="CJ112" s="28">
        <v>0</v>
      </c>
      <c r="CK112" s="31"/>
      <c r="CL112" s="30"/>
      <c r="CP112" s="28">
        <v>0</v>
      </c>
      <c r="CQ112" s="31"/>
      <c r="CR112" s="30"/>
      <c r="CU112" s="28">
        <v>0</v>
      </c>
      <c r="CV112" s="31"/>
      <c r="CY112" s="28">
        <v>0</v>
      </c>
      <c r="CZ112" s="31"/>
      <c r="DA112" s="33"/>
      <c r="DC112" s="28">
        <v>0</v>
      </c>
      <c r="DD112" s="31"/>
      <c r="DE112" s="30"/>
      <c r="DG112" s="28">
        <v>0</v>
      </c>
      <c r="DH112" s="31"/>
      <c r="DI112" s="30"/>
      <c r="DK112" s="28">
        <v>0</v>
      </c>
      <c r="DL112" s="31"/>
      <c r="DO112" s="28">
        <v>0</v>
      </c>
      <c r="DP112" s="31"/>
      <c r="DS112" s="28">
        <v>0</v>
      </c>
      <c r="DT112" s="31"/>
      <c r="DU112" s="30"/>
      <c r="DX112" s="28">
        <v>0</v>
      </c>
      <c r="DY112" s="31"/>
      <c r="DZ112" s="30"/>
      <c r="EC112" s="28">
        <v>0</v>
      </c>
      <c r="ED112" s="31"/>
      <c r="EG112" s="28">
        <v>0</v>
      </c>
      <c r="EH112" s="31"/>
      <c r="EI112" s="30"/>
      <c r="EN112" s="28">
        <v>0</v>
      </c>
      <c r="EO112" s="31"/>
      <c r="ER112" s="28">
        <v>0</v>
      </c>
      <c r="ES112" s="31"/>
      <c r="ET112" s="30"/>
      <c r="EX112" s="28">
        <v>0</v>
      </c>
      <c r="EY112" s="31"/>
      <c r="FD112" s="28">
        <v>0</v>
      </c>
      <c r="FE112" s="31"/>
      <c r="FH112" s="28">
        <v>0</v>
      </c>
      <c r="FI112" s="31"/>
      <c r="FJ112" s="30"/>
      <c r="FL112" s="28">
        <v>0</v>
      </c>
      <c r="FM112" s="31"/>
      <c r="FN112" s="30"/>
      <c r="FP112" s="28">
        <v>0</v>
      </c>
      <c r="FQ112" s="31"/>
      <c r="FT112" s="28">
        <v>0</v>
      </c>
      <c r="FU112" s="31"/>
      <c r="FV112" s="30"/>
      <c r="FX112" s="28">
        <v>0</v>
      </c>
      <c r="FY112" s="31"/>
      <c r="FZ112" s="30"/>
      <c r="GB112" s="28">
        <v>0</v>
      </c>
      <c r="GC112" s="31"/>
      <c r="GF112" s="28">
        <v>0</v>
      </c>
      <c r="GG112" s="34"/>
      <c r="GJ112" s="28">
        <v>0</v>
      </c>
      <c r="GK112" s="31"/>
      <c r="GN112" s="28">
        <v>0</v>
      </c>
      <c r="GO112" s="34"/>
      <c r="GR112" s="28">
        <v>0</v>
      </c>
      <c r="GS112" s="31"/>
      <c r="GV112" s="28">
        <v>0</v>
      </c>
      <c r="GW112" s="34"/>
      <c r="GZ112" s="28">
        <v>0</v>
      </c>
      <c r="HA112" s="31"/>
      <c r="HB112" s="33"/>
      <c r="HD112" s="28">
        <v>0</v>
      </c>
      <c r="HE112" s="34"/>
      <c r="HH112" s="28">
        <v>0</v>
      </c>
      <c r="HI112" s="34"/>
      <c r="HL112" s="28">
        <v>0</v>
      </c>
      <c r="HM112" s="34"/>
      <c r="HP112" s="28">
        <v>0</v>
      </c>
      <c r="HQ112" s="31"/>
      <c r="HR112" s="29"/>
      <c r="HT112" s="29"/>
      <c r="HV112" s="28">
        <v>0</v>
      </c>
      <c r="HW112" s="34"/>
      <c r="HX112" s="32">
        <v>0</v>
      </c>
      <c r="HY112" s="32">
        <v>0</v>
      </c>
      <c r="HZ112" s="28">
        <v>0</v>
      </c>
      <c r="IA112" s="34"/>
      <c r="IB112" s="32">
        <v>0</v>
      </c>
      <c r="IC112" s="32">
        <v>0</v>
      </c>
      <c r="ID112" s="28">
        <v>0</v>
      </c>
      <c r="IE112" s="34"/>
      <c r="IF112" s="33">
        <v>0</v>
      </c>
      <c r="IG112" s="32">
        <v>0</v>
      </c>
      <c r="IH112" s="28">
        <v>0</v>
      </c>
      <c r="II112" s="34"/>
    </row>
    <row r="113" spans="1:243" x14ac:dyDescent="0.25">
      <c r="A113" s="28" t="s">
        <v>245</v>
      </c>
      <c r="B113" s="29">
        <v>0.4</v>
      </c>
      <c r="J113" s="30"/>
      <c r="K113" s="35"/>
      <c r="L113" s="35"/>
      <c r="M113" s="35"/>
      <c r="N113" s="35">
        <f t="shared" si="5"/>
        <v>0</v>
      </c>
      <c r="O113" s="31"/>
      <c r="P113" s="35"/>
      <c r="S113" s="28">
        <v>0</v>
      </c>
      <c r="T113" s="31"/>
      <c r="U113" s="30"/>
      <c r="W113" s="28">
        <v>0</v>
      </c>
      <c r="X113" s="31"/>
      <c r="Y113" s="30"/>
      <c r="AA113" s="28">
        <v>0</v>
      </c>
      <c r="AB113" s="31"/>
      <c r="AE113" s="28">
        <v>0</v>
      </c>
      <c r="AF113" s="31"/>
      <c r="AG113" s="30"/>
      <c r="AI113" s="28">
        <v>0</v>
      </c>
      <c r="AJ113" s="31"/>
      <c r="AM113" s="28">
        <v>0</v>
      </c>
      <c r="AN113" s="31"/>
      <c r="AO113" s="30"/>
      <c r="AQ113" s="28">
        <v>0</v>
      </c>
      <c r="AR113" s="31"/>
      <c r="AS113" s="30"/>
      <c r="AU113" s="28">
        <v>0</v>
      </c>
      <c r="AV113" s="31"/>
      <c r="AY113" s="28">
        <v>0</v>
      </c>
      <c r="AZ113" s="31"/>
      <c r="BA113" s="30"/>
      <c r="BE113" s="28">
        <v>0</v>
      </c>
      <c r="BF113" s="31"/>
      <c r="BG113" s="30"/>
      <c r="BI113" s="28">
        <v>0</v>
      </c>
      <c r="BJ113" s="31"/>
      <c r="BO113" s="28">
        <v>0</v>
      </c>
      <c r="BP113" s="31"/>
      <c r="BS113" s="28">
        <v>0</v>
      </c>
      <c r="BT113" s="31"/>
      <c r="BU113" s="30"/>
      <c r="BW113" s="28">
        <v>0</v>
      </c>
      <c r="BX113" s="31"/>
      <c r="BY113" s="30"/>
      <c r="CA113" s="28">
        <v>0</v>
      </c>
      <c r="CB113" s="31"/>
      <c r="CE113" s="28">
        <v>0</v>
      </c>
      <c r="CF113" s="31"/>
      <c r="CG113" s="30"/>
      <c r="CJ113" s="28">
        <v>0</v>
      </c>
      <c r="CK113" s="31"/>
      <c r="CL113" s="30"/>
      <c r="CP113" s="28">
        <v>0</v>
      </c>
      <c r="CQ113" s="31"/>
      <c r="CR113" s="30"/>
      <c r="CU113" s="28">
        <v>0</v>
      </c>
      <c r="CV113" s="31"/>
      <c r="CY113" s="28">
        <v>0</v>
      </c>
      <c r="CZ113" s="31"/>
      <c r="DA113" s="33"/>
      <c r="DC113" s="28">
        <v>0</v>
      </c>
      <c r="DD113" s="31"/>
      <c r="DE113" s="30"/>
      <c r="DG113" s="28">
        <v>0</v>
      </c>
      <c r="DH113" s="31"/>
      <c r="DI113" s="30"/>
      <c r="DK113" s="28">
        <v>0</v>
      </c>
      <c r="DL113" s="31"/>
      <c r="DO113" s="28">
        <v>0</v>
      </c>
      <c r="DP113" s="31"/>
      <c r="DS113" s="28">
        <v>0</v>
      </c>
      <c r="DT113" s="31"/>
      <c r="DU113" s="30"/>
      <c r="DX113" s="28">
        <v>0</v>
      </c>
      <c r="DY113" s="31"/>
      <c r="DZ113" s="30"/>
      <c r="EC113" s="28">
        <v>0</v>
      </c>
      <c r="ED113" s="31"/>
      <c r="EG113" s="28">
        <v>0</v>
      </c>
      <c r="EH113" s="31"/>
      <c r="EI113" s="30"/>
      <c r="EN113" s="28">
        <v>0</v>
      </c>
      <c r="EO113" s="31"/>
      <c r="ER113" s="28">
        <v>0</v>
      </c>
      <c r="ES113" s="31"/>
      <c r="ET113" s="30"/>
      <c r="EX113" s="28">
        <v>0</v>
      </c>
      <c r="EY113" s="31"/>
      <c r="FD113" s="28">
        <v>0</v>
      </c>
      <c r="FE113" s="31"/>
      <c r="FH113" s="28">
        <v>0</v>
      </c>
      <c r="FI113" s="31"/>
      <c r="FJ113" s="30"/>
      <c r="FL113" s="28">
        <v>0</v>
      </c>
      <c r="FM113" s="31"/>
      <c r="FN113" s="30"/>
      <c r="FP113" s="28">
        <v>0</v>
      </c>
      <c r="FQ113" s="31"/>
      <c r="FT113" s="28">
        <v>0</v>
      </c>
      <c r="FU113" s="31"/>
      <c r="FV113" s="30"/>
      <c r="FX113" s="28">
        <v>0</v>
      </c>
      <c r="FY113" s="31"/>
      <c r="FZ113" s="30"/>
      <c r="GB113" s="28">
        <v>0</v>
      </c>
      <c r="GC113" s="31"/>
      <c r="GF113" s="28">
        <v>0</v>
      </c>
      <c r="GG113" s="34"/>
      <c r="GJ113" s="28">
        <v>0</v>
      </c>
      <c r="GK113" s="31"/>
      <c r="GL113">
        <v>80</v>
      </c>
      <c r="GM113">
        <v>80</v>
      </c>
      <c r="GN113" s="28">
        <v>0</v>
      </c>
      <c r="GO113" s="34"/>
      <c r="GQ113">
        <v>72</v>
      </c>
      <c r="GR113" s="27">
        <v>-72</v>
      </c>
      <c r="GS113" s="31">
        <v>28.8</v>
      </c>
      <c r="GV113" s="28">
        <v>0</v>
      </c>
      <c r="GW113" s="34"/>
      <c r="GZ113" s="28">
        <v>0</v>
      </c>
      <c r="HA113" s="31"/>
      <c r="HB113" s="24">
        <v>60</v>
      </c>
      <c r="HC113" s="32">
        <v>60</v>
      </c>
      <c r="HD113" s="28">
        <v>0</v>
      </c>
      <c r="HE113" s="34"/>
      <c r="HH113" s="28">
        <v>0</v>
      </c>
      <c r="HI113" s="34"/>
      <c r="HJ113">
        <v>60</v>
      </c>
      <c r="HK113">
        <v>58</v>
      </c>
      <c r="HL113" s="28">
        <v>-2</v>
      </c>
      <c r="HM113" s="34"/>
      <c r="HP113" s="28">
        <v>0</v>
      </c>
      <c r="HQ113" s="31"/>
      <c r="HR113" s="29"/>
      <c r="HT113">
        <v>20</v>
      </c>
      <c r="HU113">
        <v>22</v>
      </c>
      <c r="HV113" s="28">
        <v>-2</v>
      </c>
      <c r="HW113" s="34"/>
      <c r="HX113" s="32">
        <v>0</v>
      </c>
      <c r="HY113" s="32">
        <v>0</v>
      </c>
      <c r="HZ113" s="28">
        <v>0</v>
      </c>
      <c r="IA113" s="34"/>
      <c r="IB113" s="32">
        <v>0</v>
      </c>
      <c r="IC113" s="32">
        <v>0</v>
      </c>
      <c r="ID113" s="28">
        <v>0</v>
      </c>
      <c r="IE113" s="34"/>
      <c r="IF113" s="33">
        <v>0</v>
      </c>
      <c r="IG113" s="32">
        <v>0</v>
      </c>
      <c r="IH113" s="28">
        <v>0</v>
      </c>
      <c r="II113" s="34"/>
    </row>
    <row r="114" spans="1:243" x14ac:dyDescent="0.25">
      <c r="A114" s="28" t="s">
        <v>246</v>
      </c>
      <c r="B114" s="29">
        <v>0.16</v>
      </c>
      <c r="J114" s="30"/>
      <c r="K114" s="35"/>
      <c r="L114" s="35"/>
      <c r="M114" s="35"/>
      <c r="N114" s="35">
        <f t="shared" si="5"/>
        <v>0</v>
      </c>
      <c r="O114" s="31"/>
      <c r="P114" s="35"/>
      <c r="S114" s="28">
        <v>0</v>
      </c>
      <c r="T114" s="31"/>
      <c r="U114" s="30"/>
      <c r="W114" s="28">
        <v>0</v>
      </c>
      <c r="X114" s="31"/>
      <c r="Y114" s="30"/>
      <c r="AA114" s="28">
        <v>0</v>
      </c>
      <c r="AB114" s="31"/>
      <c r="AE114" s="28">
        <v>0</v>
      </c>
      <c r="AF114" s="31"/>
      <c r="AG114" s="30"/>
      <c r="AI114" s="28">
        <v>0</v>
      </c>
      <c r="AJ114" s="31"/>
      <c r="AM114" s="28">
        <v>0</v>
      </c>
      <c r="AN114" s="31"/>
      <c r="AO114" s="30"/>
      <c r="AQ114" s="28">
        <v>0</v>
      </c>
      <c r="AR114" s="31"/>
      <c r="AS114" s="30"/>
      <c r="AU114" s="28">
        <v>0</v>
      </c>
      <c r="AV114" s="31"/>
      <c r="AY114" s="28">
        <v>0</v>
      </c>
      <c r="AZ114" s="31"/>
      <c r="BA114" s="30"/>
      <c r="BE114" s="28">
        <v>0</v>
      </c>
      <c r="BF114" s="31"/>
      <c r="BG114" s="30"/>
      <c r="BI114" s="28">
        <v>0</v>
      </c>
      <c r="BJ114" s="31"/>
      <c r="BO114" s="28">
        <v>0</v>
      </c>
      <c r="BP114" s="31"/>
      <c r="BS114" s="28">
        <v>0</v>
      </c>
      <c r="BT114" s="31"/>
      <c r="BU114" s="30"/>
      <c r="BW114" s="28">
        <v>0</v>
      </c>
      <c r="BX114" s="31"/>
      <c r="BY114" s="30"/>
      <c r="CA114" s="28">
        <v>0</v>
      </c>
      <c r="CB114" s="31"/>
      <c r="CE114" s="28">
        <v>0</v>
      </c>
      <c r="CF114" s="31"/>
      <c r="CG114" s="30"/>
      <c r="CJ114" s="28">
        <v>0</v>
      </c>
      <c r="CK114" s="31"/>
      <c r="CL114" s="30"/>
      <c r="CP114" s="28">
        <v>0</v>
      </c>
      <c r="CQ114" s="31"/>
      <c r="CR114" s="30"/>
      <c r="CU114" s="28">
        <v>0</v>
      </c>
      <c r="CV114" s="31"/>
      <c r="CY114" s="28">
        <v>0</v>
      </c>
      <c r="CZ114" s="31"/>
      <c r="DA114" s="33"/>
      <c r="DC114" s="28">
        <v>0</v>
      </c>
      <c r="DD114" s="31"/>
      <c r="DE114" s="30"/>
      <c r="DG114" s="28">
        <v>0</v>
      </c>
      <c r="DH114" s="31"/>
      <c r="DI114" s="30"/>
      <c r="DK114" s="28">
        <v>0</v>
      </c>
      <c r="DL114" s="31"/>
      <c r="DO114" s="28">
        <v>0</v>
      </c>
      <c r="DP114" s="31"/>
      <c r="DS114" s="28">
        <v>0</v>
      </c>
      <c r="DT114" s="31"/>
      <c r="DU114" s="30"/>
      <c r="DX114" s="28">
        <v>0</v>
      </c>
      <c r="DY114" s="31"/>
      <c r="DZ114" s="30"/>
      <c r="EC114" s="28">
        <v>0</v>
      </c>
      <c r="ED114" s="31"/>
      <c r="EG114" s="28">
        <v>0</v>
      </c>
      <c r="EH114" s="31"/>
      <c r="EI114" s="30"/>
      <c r="EN114" s="28">
        <v>0</v>
      </c>
      <c r="EO114" s="31"/>
      <c r="ER114" s="28">
        <v>0</v>
      </c>
      <c r="ES114" s="31"/>
      <c r="ET114" s="30"/>
      <c r="EX114" s="28">
        <v>0</v>
      </c>
      <c r="EY114" s="31"/>
      <c r="FD114" s="28">
        <v>0</v>
      </c>
      <c r="FE114" s="31"/>
      <c r="FH114" s="28">
        <v>0</v>
      </c>
      <c r="FI114" s="31"/>
      <c r="FJ114" s="30"/>
      <c r="FL114" s="28">
        <v>0</v>
      </c>
      <c r="FM114" s="31"/>
      <c r="FN114" s="30"/>
      <c r="FP114" s="28">
        <v>0</v>
      </c>
      <c r="FQ114" s="31"/>
      <c r="FT114" s="28">
        <v>0</v>
      </c>
      <c r="FU114" s="31"/>
      <c r="FV114" s="30"/>
      <c r="FX114" s="28">
        <v>0</v>
      </c>
      <c r="FY114" s="31"/>
      <c r="FZ114" s="30"/>
      <c r="GB114" s="28">
        <v>0</v>
      </c>
      <c r="GC114" s="31"/>
      <c r="GF114" s="28">
        <v>0</v>
      </c>
      <c r="GG114" s="34"/>
      <c r="GJ114" s="28">
        <v>0</v>
      </c>
      <c r="GK114" s="31"/>
      <c r="GN114" s="28">
        <v>0</v>
      </c>
      <c r="GO114" s="34"/>
      <c r="GR114" s="28">
        <v>0</v>
      </c>
      <c r="GS114" s="31"/>
      <c r="GV114" s="28">
        <v>0</v>
      </c>
      <c r="GW114" s="34"/>
      <c r="GZ114" s="28">
        <v>0</v>
      </c>
      <c r="HA114" s="31"/>
      <c r="HB114" s="33"/>
      <c r="HD114" s="28">
        <v>0</v>
      </c>
      <c r="HE114" s="34"/>
      <c r="HH114" s="28">
        <v>0</v>
      </c>
      <c r="HI114" s="34"/>
      <c r="HL114" s="28">
        <v>0</v>
      </c>
      <c r="HM114" s="34"/>
      <c r="HP114" s="28">
        <v>0</v>
      </c>
      <c r="HQ114" s="31"/>
      <c r="HR114" s="29"/>
      <c r="HT114" s="29"/>
      <c r="HV114" s="28">
        <v>0</v>
      </c>
      <c r="HW114" s="34"/>
      <c r="HX114" s="32">
        <v>0</v>
      </c>
      <c r="HY114" s="32">
        <v>0</v>
      </c>
      <c r="HZ114" s="28">
        <v>0</v>
      </c>
      <c r="IA114" s="34"/>
      <c r="IB114" s="32">
        <v>0</v>
      </c>
      <c r="IC114" s="32">
        <v>0</v>
      </c>
      <c r="ID114" s="28">
        <v>0</v>
      </c>
      <c r="IE114" s="34"/>
      <c r="IF114" s="33">
        <v>0</v>
      </c>
      <c r="IG114" s="32">
        <v>0</v>
      </c>
      <c r="IH114" s="28">
        <v>0</v>
      </c>
      <c r="II114" s="34"/>
    </row>
    <row r="115" spans="1:243" x14ac:dyDescent="0.25">
      <c r="A115" s="28" t="s">
        <v>247</v>
      </c>
      <c r="B115" s="29">
        <v>0.5</v>
      </c>
      <c r="J115" s="30"/>
      <c r="K115" s="35"/>
      <c r="L115" s="35"/>
      <c r="M115" s="35"/>
      <c r="N115" s="35">
        <f t="shared" si="5"/>
        <v>0</v>
      </c>
      <c r="O115" s="31"/>
      <c r="P115" s="35"/>
      <c r="S115" s="28">
        <v>0</v>
      </c>
      <c r="T115" s="31"/>
      <c r="U115" s="30"/>
      <c r="W115" s="28">
        <v>0</v>
      </c>
      <c r="X115" s="31"/>
      <c r="Y115" s="30"/>
      <c r="AA115" s="28">
        <v>0</v>
      </c>
      <c r="AB115" s="31"/>
      <c r="AE115" s="28">
        <v>0</v>
      </c>
      <c r="AF115" s="31"/>
      <c r="AG115" s="30"/>
      <c r="AI115" s="28">
        <v>0</v>
      </c>
      <c r="AJ115" s="31"/>
      <c r="AM115" s="28">
        <v>0</v>
      </c>
      <c r="AN115" s="31"/>
      <c r="AO115" s="30"/>
      <c r="AQ115" s="28">
        <v>0</v>
      </c>
      <c r="AR115" s="31"/>
      <c r="AS115" s="30"/>
      <c r="AU115" s="28">
        <v>0</v>
      </c>
      <c r="AV115" s="31"/>
      <c r="AY115" s="28">
        <v>0</v>
      </c>
      <c r="AZ115" s="31"/>
      <c r="BA115" s="30"/>
      <c r="BE115" s="28">
        <v>0</v>
      </c>
      <c r="BF115" s="31"/>
      <c r="BG115" s="30"/>
      <c r="BI115" s="28">
        <v>0</v>
      </c>
      <c r="BJ115" s="31"/>
      <c r="BO115" s="28">
        <v>0</v>
      </c>
      <c r="BP115" s="31"/>
      <c r="BS115" s="28">
        <v>0</v>
      </c>
      <c r="BT115" s="31"/>
      <c r="BU115" s="30"/>
      <c r="BW115" s="28">
        <v>0</v>
      </c>
      <c r="BX115" s="31"/>
      <c r="BY115" s="30"/>
      <c r="CA115" s="28">
        <v>0</v>
      </c>
      <c r="CB115" s="31"/>
      <c r="CE115" s="28">
        <v>0</v>
      </c>
      <c r="CF115" s="31"/>
      <c r="CG115" s="30"/>
      <c r="CJ115" s="28">
        <v>0</v>
      </c>
      <c r="CK115" s="31"/>
      <c r="CL115" s="30"/>
      <c r="CP115" s="28">
        <v>0</v>
      </c>
      <c r="CQ115" s="31"/>
      <c r="CR115" s="30"/>
      <c r="CU115" s="28">
        <v>0</v>
      </c>
      <c r="CV115" s="31"/>
      <c r="CY115" s="28">
        <v>0</v>
      </c>
      <c r="CZ115" s="31"/>
      <c r="DA115" s="33"/>
      <c r="DC115" s="28">
        <v>0</v>
      </c>
      <c r="DD115" s="31"/>
      <c r="DE115" s="30"/>
      <c r="DG115" s="28">
        <v>0</v>
      </c>
      <c r="DH115" s="31"/>
      <c r="DI115" s="30"/>
      <c r="DK115" s="28">
        <v>0</v>
      </c>
      <c r="DL115" s="31"/>
      <c r="DO115" s="28">
        <v>0</v>
      </c>
      <c r="DP115" s="31"/>
      <c r="DS115" s="28">
        <v>0</v>
      </c>
      <c r="DT115" s="31"/>
      <c r="DU115" s="30"/>
      <c r="DX115" s="28">
        <v>0</v>
      </c>
      <c r="DY115" s="31"/>
      <c r="DZ115" s="30"/>
      <c r="EC115" s="28">
        <v>0</v>
      </c>
      <c r="ED115" s="31"/>
      <c r="EG115" s="28">
        <v>0</v>
      </c>
      <c r="EH115" s="31"/>
      <c r="EI115" s="30"/>
      <c r="EN115" s="28">
        <v>0</v>
      </c>
      <c r="EO115" s="31"/>
      <c r="ER115" s="28">
        <v>0</v>
      </c>
      <c r="ES115" s="31"/>
      <c r="ET115" s="30"/>
      <c r="EX115" s="28">
        <v>0</v>
      </c>
      <c r="EY115" s="31"/>
      <c r="FD115" s="28">
        <v>0</v>
      </c>
      <c r="FE115" s="31"/>
      <c r="FH115" s="28">
        <v>0</v>
      </c>
      <c r="FI115" s="31"/>
      <c r="FJ115" s="30"/>
      <c r="FL115" s="28">
        <v>0</v>
      </c>
      <c r="FM115" s="31"/>
      <c r="FN115" s="30"/>
      <c r="FP115" s="28">
        <v>0</v>
      </c>
      <c r="FQ115" s="31"/>
      <c r="FT115" s="28">
        <v>0</v>
      </c>
      <c r="FU115" s="31"/>
      <c r="FV115" s="30"/>
      <c r="FX115" s="28">
        <v>0</v>
      </c>
      <c r="FY115" s="31"/>
      <c r="FZ115" s="30"/>
      <c r="GB115" s="28">
        <v>0</v>
      </c>
      <c r="GC115" s="31"/>
      <c r="GF115" s="28">
        <v>0</v>
      </c>
      <c r="GG115" s="34"/>
      <c r="GJ115" s="28">
        <v>0</v>
      </c>
      <c r="GK115" s="31"/>
      <c r="GN115" s="28">
        <v>0</v>
      </c>
      <c r="GO115" s="34"/>
      <c r="GR115" s="28">
        <v>0</v>
      </c>
      <c r="GS115" s="31"/>
      <c r="GV115" s="28">
        <v>0</v>
      </c>
      <c r="GW115" s="34"/>
      <c r="GZ115" s="28">
        <v>0</v>
      </c>
      <c r="HA115" s="31"/>
      <c r="HB115" s="33"/>
      <c r="HD115" s="28">
        <v>0</v>
      </c>
      <c r="HE115" s="34"/>
      <c r="HH115" s="28">
        <v>0</v>
      </c>
      <c r="HI115" s="34"/>
      <c r="HL115" s="28">
        <v>0</v>
      </c>
      <c r="HM115" s="34"/>
      <c r="HP115" s="28">
        <v>0</v>
      </c>
      <c r="HQ115" s="31"/>
      <c r="HR115" s="29"/>
      <c r="HT115" s="29"/>
      <c r="HV115" s="28">
        <v>0</v>
      </c>
      <c r="HW115" s="34"/>
      <c r="HX115" s="32">
        <v>0</v>
      </c>
      <c r="HY115" s="32">
        <v>0</v>
      </c>
      <c r="HZ115" s="28">
        <v>0</v>
      </c>
      <c r="IA115" s="34"/>
      <c r="IB115" s="32">
        <v>0</v>
      </c>
      <c r="IC115" s="32">
        <v>0</v>
      </c>
      <c r="ID115" s="28">
        <v>0</v>
      </c>
      <c r="IE115" s="34"/>
      <c r="IF115" s="33">
        <v>0</v>
      </c>
      <c r="IG115" s="32">
        <v>0</v>
      </c>
      <c r="IH115" s="28">
        <v>0</v>
      </c>
      <c r="II115" s="34"/>
    </row>
    <row r="116" spans="1:243" x14ac:dyDescent="0.25">
      <c r="A116" s="28" t="s">
        <v>248</v>
      </c>
      <c r="B116" s="29">
        <v>0.33</v>
      </c>
      <c r="F116">
        <v>32</v>
      </c>
      <c r="G116">
        <v>37</v>
      </c>
      <c r="J116" s="24">
        <v>32</v>
      </c>
      <c r="K116" s="36">
        <v>32</v>
      </c>
      <c r="L116" s="36">
        <v>40</v>
      </c>
      <c r="M116" s="36">
        <v>43</v>
      </c>
      <c r="N116" s="35">
        <f t="shared" si="5"/>
        <v>-3</v>
      </c>
      <c r="O116" s="31"/>
      <c r="P116" s="35"/>
      <c r="S116" s="28">
        <v>0</v>
      </c>
      <c r="T116" s="31"/>
      <c r="U116" s="24">
        <v>96</v>
      </c>
      <c r="V116">
        <v>98</v>
      </c>
      <c r="W116" s="28">
        <v>-2</v>
      </c>
      <c r="X116" s="31"/>
      <c r="Y116" s="30"/>
      <c r="AA116" s="28">
        <v>0</v>
      </c>
      <c r="AB116" s="31"/>
      <c r="AC116">
        <v>80</v>
      </c>
      <c r="AD116">
        <v>78</v>
      </c>
      <c r="AE116" s="28">
        <v>2</v>
      </c>
      <c r="AF116" s="31"/>
      <c r="AG116" s="24">
        <v>8</v>
      </c>
      <c r="AH116">
        <v>8</v>
      </c>
      <c r="AI116" s="28">
        <v>0</v>
      </c>
      <c r="AJ116" s="31"/>
      <c r="AK116">
        <v>40</v>
      </c>
      <c r="AL116">
        <v>45</v>
      </c>
      <c r="AM116" s="28">
        <v>-5</v>
      </c>
      <c r="AN116" s="31"/>
      <c r="AO116" s="30"/>
      <c r="AQ116" s="28">
        <v>0</v>
      </c>
      <c r="AR116" s="31"/>
      <c r="AS116" s="24">
        <v>32</v>
      </c>
      <c r="AT116">
        <v>36</v>
      </c>
      <c r="AU116" s="28">
        <v>-4</v>
      </c>
      <c r="AV116" s="31"/>
      <c r="AY116" s="28">
        <v>0</v>
      </c>
      <c r="AZ116" s="31"/>
      <c r="BA116" s="30"/>
      <c r="BE116" s="28">
        <v>0</v>
      </c>
      <c r="BF116" s="31"/>
      <c r="BG116" s="24">
        <v>32</v>
      </c>
      <c r="BH116">
        <v>34</v>
      </c>
      <c r="BI116" s="28">
        <v>-2</v>
      </c>
      <c r="BJ116" s="31"/>
      <c r="BO116" s="28">
        <v>0</v>
      </c>
      <c r="BP116" s="31"/>
      <c r="BS116" s="28">
        <v>0</v>
      </c>
      <c r="BT116" s="31"/>
      <c r="BU116" s="24">
        <v>24</v>
      </c>
      <c r="BV116">
        <v>27</v>
      </c>
      <c r="BW116" s="28">
        <v>-3</v>
      </c>
      <c r="BX116" s="31"/>
      <c r="BY116" s="30"/>
      <c r="CA116" s="28">
        <v>0</v>
      </c>
      <c r="CB116" s="31"/>
      <c r="CE116" s="28">
        <v>0</v>
      </c>
      <c r="CF116" s="31"/>
      <c r="CG116" s="24">
        <v>24</v>
      </c>
      <c r="CI116">
        <v>23</v>
      </c>
      <c r="CJ116" s="28">
        <v>1</v>
      </c>
      <c r="CK116" s="31"/>
      <c r="CL116" s="30"/>
      <c r="CP116" s="28">
        <v>0</v>
      </c>
      <c r="CQ116" s="31"/>
      <c r="CR116" s="30"/>
      <c r="CU116" s="28">
        <v>0</v>
      </c>
      <c r="CV116" s="31"/>
      <c r="CW116">
        <v>24</v>
      </c>
      <c r="CX116" s="28">
        <v>21.8</v>
      </c>
      <c r="CY116" s="28">
        <v>2.1999999999999988</v>
      </c>
      <c r="CZ116" s="31"/>
      <c r="DA116" s="33"/>
      <c r="DC116" s="28">
        <v>0</v>
      </c>
      <c r="DD116" s="31"/>
      <c r="DE116" s="30"/>
      <c r="DG116" s="28">
        <v>0</v>
      </c>
      <c r="DH116" s="31"/>
      <c r="DI116" s="24">
        <v>16</v>
      </c>
      <c r="DJ116">
        <v>14</v>
      </c>
      <c r="DK116" s="28">
        <v>2</v>
      </c>
      <c r="DL116" s="31"/>
      <c r="DO116" s="28">
        <v>0</v>
      </c>
      <c r="DP116" s="31"/>
      <c r="DQ116">
        <v>24</v>
      </c>
      <c r="DR116">
        <v>24</v>
      </c>
      <c r="DS116" s="28">
        <v>0</v>
      </c>
      <c r="DT116" s="31"/>
      <c r="DU116" s="30"/>
      <c r="DX116" s="28">
        <v>0</v>
      </c>
      <c r="DY116" s="31"/>
      <c r="DZ116" s="30"/>
      <c r="EC116" s="28">
        <v>0</v>
      </c>
      <c r="ED116" s="31"/>
      <c r="EE116">
        <v>32</v>
      </c>
      <c r="EF116" s="32">
        <v>30.8</v>
      </c>
      <c r="EG116" s="28">
        <v>1.1999999999999991</v>
      </c>
      <c r="EH116" s="31"/>
      <c r="EI116" s="30"/>
      <c r="EN116" s="28">
        <v>0</v>
      </c>
      <c r="EO116" s="31"/>
      <c r="ER116" s="28">
        <v>0</v>
      </c>
      <c r="ES116" s="31"/>
      <c r="ET116" s="30"/>
      <c r="EX116" s="28">
        <v>0</v>
      </c>
      <c r="EY116" s="31"/>
      <c r="FB116">
        <v>32</v>
      </c>
      <c r="FC116">
        <v>32</v>
      </c>
      <c r="FD116" s="28">
        <v>0</v>
      </c>
      <c r="FE116" s="31"/>
      <c r="FF116">
        <v>8</v>
      </c>
      <c r="FG116" s="32">
        <v>8</v>
      </c>
      <c r="FH116" s="28">
        <v>0</v>
      </c>
      <c r="FI116" s="31"/>
      <c r="FJ116" s="24">
        <v>16</v>
      </c>
      <c r="FK116">
        <v>15</v>
      </c>
      <c r="FL116" s="28">
        <v>1</v>
      </c>
      <c r="FM116" s="31"/>
      <c r="FN116" s="30"/>
      <c r="FP116" s="28">
        <v>0</v>
      </c>
      <c r="FQ116" s="31"/>
      <c r="FR116">
        <v>8</v>
      </c>
      <c r="FS116">
        <v>8</v>
      </c>
      <c r="FT116" s="28">
        <v>0</v>
      </c>
      <c r="FU116" s="31"/>
      <c r="FV116" s="24">
        <v>8</v>
      </c>
      <c r="FW116">
        <v>8</v>
      </c>
      <c r="FX116" s="28">
        <v>0</v>
      </c>
      <c r="FY116" s="31"/>
      <c r="FZ116" s="30"/>
      <c r="GB116" s="28">
        <v>0</v>
      </c>
      <c r="GC116" s="31"/>
      <c r="GF116" s="28">
        <v>0</v>
      </c>
      <c r="GG116" s="34"/>
      <c r="GH116">
        <v>8</v>
      </c>
      <c r="GI116">
        <v>8</v>
      </c>
      <c r="GJ116" s="28">
        <v>0</v>
      </c>
      <c r="GK116" s="31"/>
      <c r="GN116" s="28">
        <v>0</v>
      </c>
      <c r="GO116" s="34"/>
      <c r="GR116" s="28">
        <v>0</v>
      </c>
      <c r="GS116" s="31"/>
      <c r="GT116">
        <v>8</v>
      </c>
      <c r="GU116">
        <v>8</v>
      </c>
      <c r="GV116" s="28">
        <v>0</v>
      </c>
      <c r="GW116" s="34"/>
      <c r="GZ116" s="28">
        <v>0</v>
      </c>
      <c r="HA116" s="31"/>
      <c r="HB116" s="33"/>
      <c r="HD116" s="28">
        <v>0</v>
      </c>
      <c r="HE116" s="34"/>
      <c r="HH116" s="28">
        <v>0</v>
      </c>
      <c r="HI116" s="34"/>
      <c r="HL116" s="28">
        <v>0</v>
      </c>
      <c r="HM116" s="34"/>
      <c r="HP116" s="28">
        <v>0</v>
      </c>
      <c r="HQ116" s="31"/>
      <c r="HR116" s="29"/>
      <c r="HT116" s="29"/>
      <c r="HV116" s="28">
        <v>0</v>
      </c>
      <c r="HW116" s="34"/>
      <c r="HX116" s="32">
        <v>48</v>
      </c>
      <c r="HY116" s="32">
        <v>50</v>
      </c>
      <c r="HZ116" s="28">
        <v>-2</v>
      </c>
      <c r="IA116" s="34"/>
      <c r="IE116" s="34"/>
      <c r="IF116" s="33"/>
      <c r="II116" s="34"/>
    </row>
    <row r="117" spans="1:243" x14ac:dyDescent="0.25">
      <c r="A117" s="28" t="s">
        <v>249</v>
      </c>
      <c r="B117" s="29">
        <v>1</v>
      </c>
      <c r="J117" s="30"/>
      <c r="K117" s="35"/>
      <c r="L117" s="35"/>
      <c r="M117" s="35"/>
      <c r="N117" s="35">
        <f t="shared" si="5"/>
        <v>0</v>
      </c>
      <c r="O117" s="31"/>
      <c r="P117" s="35"/>
      <c r="S117" s="28">
        <v>0</v>
      </c>
      <c r="T117" s="31"/>
      <c r="U117" s="30"/>
      <c r="W117" s="28">
        <v>0</v>
      </c>
      <c r="X117" s="31"/>
      <c r="Y117" s="30"/>
      <c r="AA117" s="28">
        <v>0</v>
      </c>
      <c r="AB117" s="31"/>
      <c r="AE117" s="28">
        <v>0</v>
      </c>
      <c r="AF117" s="31"/>
      <c r="AG117" s="30"/>
      <c r="AI117" s="28">
        <v>0</v>
      </c>
      <c r="AJ117" s="31"/>
      <c r="AM117" s="28">
        <v>0</v>
      </c>
      <c r="AN117" s="31"/>
      <c r="AO117" s="30"/>
      <c r="AQ117" s="28">
        <v>0</v>
      </c>
      <c r="AR117" s="31"/>
      <c r="AS117" s="30"/>
      <c r="AU117" s="28">
        <v>0</v>
      </c>
      <c r="AV117" s="31"/>
      <c r="AY117" s="28">
        <v>0</v>
      </c>
      <c r="AZ117" s="31"/>
      <c r="BA117" s="30"/>
      <c r="BE117" s="28">
        <v>0</v>
      </c>
      <c r="BF117" s="31"/>
      <c r="BG117" s="30"/>
      <c r="BI117" s="28">
        <v>0</v>
      </c>
      <c r="BJ117" s="31"/>
      <c r="BO117" s="28">
        <v>0</v>
      </c>
      <c r="BP117" s="31"/>
      <c r="BS117" s="28">
        <v>0</v>
      </c>
      <c r="BT117" s="31"/>
      <c r="BU117" s="30"/>
      <c r="BW117" s="28">
        <v>0</v>
      </c>
      <c r="BX117" s="31"/>
      <c r="BY117" s="30"/>
      <c r="CA117" s="28">
        <v>0</v>
      </c>
      <c r="CB117" s="31"/>
      <c r="CE117" s="28">
        <v>0</v>
      </c>
      <c r="CF117" s="31"/>
      <c r="CG117" s="30"/>
      <c r="CJ117" s="28">
        <v>0</v>
      </c>
      <c r="CK117" s="31"/>
      <c r="CL117" s="30"/>
      <c r="CP117" s="28">
        <v>0</v>
      </c>
      <c r="CQ117" s="31"/>
      <c r="CR117" s="30"/>
      <c r="CU117" s="28">
        <v>0</v>
      </c>
      <c r="CV117" s="31"/>
      <c r="CY117" s="28">
        <v>0</v>
      </c>
      <c r="CZ117" s="31"/>
      <c r="DA117" s="33"/>
      <c r="DC117" s="28">
        <v>0</v>
      </c>
      <c r="DD117" s="31"/>
      <c r="DE117" s="30"/>
      <c r="DG117" s="28">
        <v>0</v>
      </c>
      <c r="DH117" s="31"/>
      <c r="DI117" s="30"/>
      <c r="DK117" s="28">
        <v>0</v>
      </c>
      <c r="DL117" s="31"/>
      <c r="DO117" s="28">
        <v>0</v>
      </c>
      <c r="DP117" s="31"/>
      <c r="DS117" s="28">
        <v>0</v>
      </c>
      <c r="DT117" s="31"/>
      <c r="DU117" s="30"/>
      <c r="DX117" s="28">
        <v>0</v>
      </c>
      <c r="DY117" s="31"/>
      <c r="DZ117" s="30"/>
      <c r="EC117" s="28">
        <v>0</v>
      </c>
      <c r="ED117" s="31"/>
      <c r="EG117" s="28">
        <v>0</v>
      </c>
      <c r="EH117" s="31"/>
      <c r="EI117" s="30"/>
      <c r="EN117" s="28">
        <v>0</v>
      </c>
      <c r="EO117" s="31"/>
      <c r="ER117" s="28">
        <v>0</v>
      </c>
      <c r="ES117" s="31"/>
      <c r="ET117" s="30"/>
      <c r="EX117" s="28">
        <v>0</v>
      </c>
      <c r="EY117" s="31"/>
      <c r="FD117" s="28">
        <v>0</v>
      </c>
      <c r="FE117" s="31"/>
      <c r="FH117" s="28">
        <v>0</v>
      </c>
      <c r="FI117" s="31"/>
      <c r="FJ117" s="30"/>
      <c r="FL117" s="28">
        <v>0</v>
      </c>
      <c r="FM117" s="31"/>
      <c r="FN117" s="30"/>
      <c r="FP117" s="28">
        <v>0</v>
      </c>
      <c r="FQ117" s="31"/>
      <c r="FT117" s="28">
        <v>0</v>
      </c>
      <c r="FU117" s="31"/>
      <c r="FV117" s="30"/>
      <c r="FX117" s="28">
        <v>0</v>
      </c>
      <c r="FY117" s="31"/>
      <c r="FZ117" s="30"/>
      <c r="GB117" s="28">
        <v>0</v>
      </c>
      <c r="GC117" s="31"/>
      <c r="GF117" s="28">
        <v>0</v>
      </c>
      <c r="GG117" s="34"/>
      <c r="GJ117" s="28">
        <v>0</v>
      </c>
      <c r="GK117" s="31"/>
      <c r="GN117" s="28">
        <v>0</v>
      </c>
      <c r="GO117" s="34"/>
      <c r="GR117" s="28">
        <v>0</v>
      </c>
      <c r="GS117" s="31"/>
      <c r="GV117" s="28">
        <v>0</v>
      </c>
      <c r="GW117" s="34"/>
      <c r="GZ117" s="28">
        <v>0</v>
      </c>
      <c r="HA117" s="31"/>
      <c r="HB117" s="33"/>
      <c r="HD117" s="28">
        <v>0</v>
      </c>
      <c r="HE117" s="34"/>
      <c r="HH117" s="28">
        <v>0</v>
      </c>
      <c r="HI117" s="34"/>
      <c r="HL117" s="28">
        <v>0</v>
      </c>
      <c r="HM117" s="34"/>
      <c r="HP117" s="28">
        <v>0</v>
      </c>
      <c r="HQ117" s="31"/>
      <c r="HR117" s="29"/>
      <c r="HT117" s="29"/>
      <c r="HV117" s="28">
        <v>0</v>
      </c>
      <c r="HW117" s="34"/>
      <c r="HX117" s="32">
        <v>0</v>
      </c>
      <c r="HY117" s="32">
        <v>0</v>
      </c>
      <c r="HZ117" s="28">
        <v>0</v>
      </c>
      <c r="IA117" s="34"/>
      <c r="IB117" s="32">
        <v>0</v>
      </c>
      <c r="IC117" s="32">
        <v>0</v>
      </c>
      <c r="ID117" s="28">
        <v>0</v>
      </c>
      <c r="IE117" s="34"/>
      <c r="IF117" s="33">
        <v>0</v>
      </c>
      <c r="IG117" s="32">
        <v>0</v>
      </c>
      <c r="IH117" s="28">
        <v>0</v>
      </c>
      <c r="II117" s="34"/>
    </row>
    <row r="118" spans="1:243" x14ac:dyDescent="0.25">
      <c r="A118" s="28" t="s">
        <v>250</v>
      </c>
      <c r="B118" s="29">
        <v>0.33</v>
      </c>
      <c r="F118">
        <v>16</v>
      </c>
      <c r="G118">
        <v>16</v>
      </c>
      <c r="J118" s="24">
        <v>8</v>
      </c>
      <c r="K118" s="36">
        <v>8</v>
      </c>
      <c r="L118" s="35"/>
      <c r="M118" s="35"/>
      <c r="N118" s="35">
        <f t="shared" si="5"/>
        <v>0</v>
      </c>
      <c r="O118" s="31"/>
      <c r="P118" s="35"/>
      <c r="R118">
        <v>43</v>
      </c>
      <c r="S118" s="27">
        <v>-43</v>
      </c>
      <c r="T118" s="31">
        <v>14.19</v>
      </c>
      <c r="U118" s="30"/>
      <c r="W118" s="28">
        <v>0</v>
      </c>
      <c r="X118" s="31"/>
      <c r="Y118" s="24">
        <v>24</v>
      </c>
      <c r="Z118">
        <v>28</v>
      </c>
      <c r="AA118" s="28">
        <v>-4</v>
      </c>
      <c r="AB118" s="31"/>
      <c r="AD118">
        <v>34</v>
      </c>
      <c r="AE118" s="27">
        <v>-34</v>
      </c>
      <c r="AF118" s="31">
        <v>11.22</v>
      </c>
      <c r="AG118" s="24">
        <v>8</v>
      </c>
      <c r="AH118">
        <v>8</v>
      </c>
      <c r="AI118" s="28">
        <v>0</v>
      </c>
      <c r="AJ118" s="31"/>
      <c r="AK118">
        <v>32</v>
      </c>
      <c r="AL118">
        <v>32</v>
      </c>
      <c r="AM118" s="28">
        <v>0</v>
      </c>
      <c r="AN118" s="31"/>
      <c r="AO118" s="30"/>
      <c r="AQ118" s="28">
        <v>0</v>
      </c>
      <c r="AR118" s="31"/>
      <c r="AS118" s="30"/>
      <c r="AU118" s="28">
        <v>0</v>
      </c>
      <c r="AV118" s="31"/>
      <c r="AW118">
        <v>16</v>
      </c>
      <c r="AX118">
        <v>15</v>
      </c>
      <c r="AY118" s="28">
        <v>1</v>
      </c>
      <c r="AZ118" s="31"/>
      <c r="BA118" s="30"/>
      <c r="BC118">
        <v>8</v>
      </c>
      <c r="BD118">
        <v>8</v>
      </c>
      <c r="BE118" s="28">
        <v>0</v>
      </c>
      <c r="BF118" s="31"/>
      <c r="BG118" s="30"/>
      <c r="BI118" s="28">
        <v>0</v>
      </c>
      <c r="BJ118" s="31"/>
      <c r="BM118">
        <v>8</v>
      </c>
      <c r="BN118">
        <v>8</v>
      </c>
      <c r="BO118" s="28">
        <v>0</v>
      </c>
      <c r="BP118" s="31"/>
      <c r="BQ118">
        <v>8</v>
      </c>
      <c r="BR118">
        <v>8</v>
      </c>
      <c r="BS118" s="28">
        <v>0</v>
      </c>
      <c r="BT118" s="31"/>
      <c r="BU118" s="24">
        <v>8</v>
      </c>
      <c r="BV118">
        <v>8</v>
      </c>
      <c r="BW118" s="28">
        <v>0</v>
      </c>
      <c r="BX118" s="31"/>
      <c r="BY118" s="30"/>
      <c r="CA118" s="28">
        <v>0</v>
      </c>
      <c r="CB118" s="31"/>
      <c r="CE118" s="28">
        <v>0</v>
      </c>
      <c r="CF118" s="31"/>
      <c r="CG118" s="30"/>
      <c r="CJ118" s="28">
        <v>0</v>
      </c>
      <c r="CK118" s="31"/>
      <c r="CL118" s="30"/>
      <c r="CP118" s="28">
        <v>0</v>
      </c>
      <c r="CQ118" s="31"/>
      <c r="CR118" s="24">
        <v>16</v>
      </c>
      <c r="CT118">
        <v>16</v>
      </c>
      <c r="CU118" s="28">
        <v>0</v>
      </c>
      <c r="CV118" s="31"/>
      <c r="CX118" s="28">
        <v>8</v>
      </c>
      <c r="CY118" s="27">
        <v>-8</v>
      </c>
      <c r="CZ118" s="31">
        <v>2.64</v>
      </c>
      <c r="DA118" s="33"/>
      <c r="DC118" s="28">
        <v>0</v>
      </c>
      <c r="DD118" s="31"/>
      <c r="DE118" s="30"/>
      <c r="DG118" s="28">
        <v>0</v>
      </c>
      <c r="DH118" s="31"/>
      <c r="DI118" s="30"/>
      <c r="DK118" s="28">
        <v>0</v>
      </c>
      <c r="DL118" s="31"/>
      <c r="DM118">
        <v>8</v>
      </c>
      <c r="DN118" s="32">
        <v>8</v>
      </c>
      <c r="DO118" s="28">
        <v>0</v>
      </c>
      <c r="DP118" s="31"/>
      <c r="DS118" s="28">
        <v>0</v>
      </c>
      <c r="DT118" s="31"/>
      <c r="DU118" s="24">
        <v>8</v>
      </c>
      <c r="DW118">
        <v>8</v>
      </c>
      <c r="DX118" s="28">
        <v>0</v>
      </c>
      <c r="DY118" s="31"/>
      <c r="DZ118" s="24">
        <v>8</v>
      </c>
      <c r="EB118">
        <v>8</v>
      </c>
      <c r="EC118" s="28">
        <v>0</v>
      </c>
      <c r="ED118" s="31"/>
      <c r="EG118" s="28">
        <v>0</v>
      </c>
      <c r="EH118" s="31"/>
      <c r="EI118" s="30"/>
      <c r="EL118">
        <v>8</v>
      </c>
      <c r="EM118">
        <v>11</v>
      </c>
      <c r="EN118" s="28">
        <v>-3</v>
      </c>
      <c r="EO118" s="31"/>
      <c r="ER118" s="28">
        <v>0</v>
      </c>
      <c r="ES118" s="31"/>
      <c r="ET118" s="30"/>
      <c r="EX118" s="28">
        <v>0</v>
      </c>
      <c r="EY118" s="31"/>
      <c r="FD118" s="28">
        <v>0</v>
      </c>
      <c r="FE118" s="31"/>
      <c r="FH118" s="28">
        <v>0</v>
      </c>
      <c r="FI118" s="31"/>
      <c r="FJ118" s="24">
        <v>16</v>
      </c>
      <c r="FK118">
        <v>14</v>
      </c>
      <c r="FL118" s="28">
        <v>2</v>
      </c>
      <c r="FM118" s="31"/>
      <c r="FN118" s="30"/>
      <c r="FP118" s="28">
        <v>0</v>
      </c>
      <c r="FQ118" s="31"/>
      <c r="FT118" s="28">
        <v>0</v>
      </c>
      <c r="FU118" s="31"/>
      <c r="FV118" s="24">
        <v>16</v>
      </c>
      <c r="FW118">
        <v>16</v>
      </c>
      <c r="FX118" s="28">
        <v>0</v>
      </c>
      <c r="FY118" s="31"/>
      <c r="FZ118" s="30"/>
      <c r="GB118" s="28">
        <v>0</v>
      </c>
      <c r="GC118" s="31"/>
      <c r="GE118">
        <v>8</v>
      </c>
      <c r="GF118" s="27">
        <v>-8</v>
      </c>
      <c r="GG118" s="31">
        <v>2.64</v>
      </c>
      <c r="GH118">
        <v>8</v>
      </c>
      <c r="GI118">
        <v>11</v>
      </c>
      <c r="GJ118" s="28">
        <v>-3</v>
      </c>
      <c r="GK118" s="31"/>
      <c r="GN118" s="28">
        <v>0</v>
      </c>
      <c r="GO118" s="34"/>
      <c r="GR118" s="28">
        <v>0</v>
      </c>
      <c r="GS118" s="31"/>
      <c r="GV118" s="28">
        <v>0</v>
      </c>
      <c r="GW118" s="34"/>
      <c r="GZ118" s="28">
        <v>0</v>
      </c>
      <c r="HA118" s="31"/>
      <c r="HB118" s="33"/>
      <c r="HD118" s="28">
        <v>0</v>
      </c>
      <c r="HE118" s="34"/>
      <c r="HF118">
        <v>16</v>
      </c>
      <c r="HG118">
        <v>16</v>
      </c>
      <c r="HH118" s="28">
        <v>0</v>
      </c>
      <c r="HI118" s="34"/>
      <c r="HL118" s="28">
        <v>0</v>
      </c>
      <c r="HM118" s="34"/>
      <c r="HP118" s="28">
        <v>0</v>
      </c>
      <c r="HQ118" s="31"/>
      <c r="HR118" s="29"/>
      <c r="HT118" s="29"/>
      <c r="HV118" s="28">
        <v>0</v>
      </c>
      <c r="HW118" s="34"/>
      <c r="HX118" s="32">
        <v>0</v>
      </c>
      <c r="HY118" s="32">
        <v>0</v>
      </c>
      <c r="HZ118" s="28">
        <v>0</v>
      </c>
      <c r="IA118" s="34"/>
      <c r="IB118" s="32">
        <v>0</v>
      </c>
      <c r="IC118" s="32">
        <v>0</v>
      </c>
      <c r="ID118" s="28">
        <v>0</v>
      </c>
      <c r="IE118" s="34"/>
      <c r="IF118" s="33">
        <v>0</v>
      </c>
      <c r="IG118" s="32">
        <v>0</v>
      </c>
      <c r="IH118" s="28">
        <v>0</v>
      </c>
      <c r="II118" s="34"/>
    </row>
    <row r="119" spans="1:243" x14ac:dyDescent="0.25">
      <c r="A119" s="28" t="s">
        <v>251</v>
      </c>
      <c r="B119" s="29">
        <v>1</v>
      </c>
      <c r="J119" s="30"/>
      <c r="K119" s="35"/>
      <c r="L119" s="35"/>
      <c r="M119" s="35"/>
      <c r="N119" s="35">
        <f t="shared" si="5"/>
        <v>0</v>
      </c>
      <c r="O119" s="31"/>
      <c r="P119" s="35"/>
      <c r="S119" s="28">
        <v>0</v>
      </c>
      <c r="T119" s="31"/>
      <c r="U119" s="30"/>
      <c r="W119" s="28">
        <v>0</v>
      </c>
      <c r="X119" s="31"/>
      <c r="Y119" s="30"/>
      <c r="AA119" s="28">
        <v>0</v>
      </c>
      <c r="AB119" s="31"/>
      <c r="AE119" s="28">
        <v>0</v>
      </c>
      <c r="AF119" s="31"/>
      <c r="AG119" s="30"/>
      <c r="AI119" s="28">
        <v>0</v>
      </c>
      <c r="AJ119" s="31"/>
      <c r="AM119" s="28">
        <v>0</v>
      </c>
      <c r="AN119" s="31"/>
      <c r="AO119" s="30"/>
      <c r="AQ119" s="28">
        <v>0</v>
      </c>
      <c r="AR119" s="31"/>
      <c r="AS119" s="30"/>
      <c r="AU119" s="28">
        <v>0</v>
      </c>
      <c r="AV119" s="31"/>
      <c r="AY119" s="28">
        <v>0</v>
      </c>
      <c r="AZ119" s="31"/>
      <c r="BA119" s="30"/>
      <c r="BE119" s="28">
        <v>0</v>
      </c>
      <c r="BF119" s="31"/>
      <c r="BG119" s="30"/>
      <c r="BI119" s="28">
        <v>0</v>
      </c>
      <c r="BJ119" s="31"/>
      <c r="BO119" s="28">
        <v>0</v>
      </c>
      <c r="BP119" s="31"/>
      <c r="BS119" s="28">
        <v>0</v>
      </c>
      <c r="BT119" s="31"/>
      <c r="BU119" s="30"/>
      <c r="BW119" s="28">
        <v>0</v>
      </c>
      <c r="BX119" s="31"/>
      <c r="BY119" s="30"/>
      <c r="CA119" s="28">
        <v>0</v>
      </c>
      <c r="CB119" s="31"/>
      <c r="CE119" s="28">
        <v>0</v>
      </c>
      <c r="CF119" s="31"/>
      <c r="CG119" s="30"/>
      <c r="CJ119" s="28">
        <v>0</v>
      </c>
      <c r="CK119" s="31"/>
      <c r="CL119" s="30"/>
      <c r="CP119" s="28">
        <v>0</v>
      </c>
      <c r="CQ119" s="31"/>
      <c r="CR119" s="30"/>
      <c r="CU119" s="28">
        <v>0</v>
      </c>
      <c r="CV119" s="31"/>
      <c r="CY119" s="28">
        <v>0</v>
      </c>
      <c r="CZ119" s="31"/>
      <c r="DA119" s="33"/>
      <c r="DC119" s="28">
        <v>0</v>
      </c>
      <c r="DD119" s="31"/>
      <c r="DE119" s="30"/>
      <c r="DG119" s="28">
        <v>0</v>
      </c>
      <c r="DH119" s="31"/>
      <c r="DI119" s="30"/>
      <c r="DK119" s="28">
        <v>0</v>
      </c>
      <c r="DL119" s="31"/>
      <c r="DO119" s="28">
        <v>0</v>
      </c>
      <c r="DP119" s="31"/>
      <c r="DS119" s="28">
        <v>0</v>
      </c>
      <c r="DT119" s="31"/>
      <c r="DU119" s="30"/>
      <c r="DX119" s="28">
        <v>0</v>
      </c>
      <c r="DY119" s="31"/>
      <c r="DZ119" s="30"/>
      <c r="EC119" s="28">
        <v>0</v>
      </c>
      <c r="ED119" s="31"/>
      <c r="EG119" s="28">
        <v>0</v>
      </c>
      <c r="EH119" s="31"/>
      <c r="EI119" s="30"/>
      <c r="EN119" s="28">
        <v>0</v>
      </c>
      <c r="EO119" s="31"/>
      <c r="ER119" s="28">
        <v>0</v>
      </c>
      <c r="ES119" s="31"/>
      <c r="ET119" s="30"/>
      <c r="EX119" s="28">
        <v>0</v>
      </c>
      <c r="EY119" s="31"/>
      <c r="FD119" s="28">
        <v>0</v>
      </c>
      <c r="FE119" s="31"/>
      <c r="FH119" s="28">
        <v>0</v>
      </c>
      <c r="FI119" s="31"/>
      <c r="FJ119" s="30"/>
      <c r="FL119" s="28">
        <v>0</v>
      </c>
      <c r="FM119" s="31"/>
      <c r="FN119" s="30"/>
      <c r="FP119" s="28">
        <v>0</v>
      </c>
      <c r="FQ119" s="31"/>
      <c r="FT119" s="28">
        <v>0</v>
      </c>
      <c r="FU119" s="31"/>
      <c r="FV119" s="30"/>
      <c r="FX119" s="28">
        <v>0</v>
      </c>
      <c r="FY119" s="31"/>
      <c r="FZ119" s="30"/>
      <c r="GB119" s="28">
        <v>0</v>
      </c>
      <c r="GC119" s="31"/>
      <c r="GF119" s="28">
        <v>0</v>
      </c>
      <c r="GG119" s="34"/>
      <c r="GJ119" s="28">
        <v>0</v>
      </c>
      <c r="GK119" s="31"/>
      <c r="GN119" s="28">
        <v>0</v>
      </c>
      <c r="GO119" s="34"/>
      <c r="GR119" s="28">
        <v>0</v>
      </c>
      <c r="GS119" s="31"/>
      <c r="GV119" s="28">
        <v>0</v>
      </c>
      <c r="GW119" s="34"/>
      <c r="GZ119" s="28">
        <v>0</v>
      </c>
      <c r="HA119" s="31"/>
      <c r="HB119" s="33"/>
      <c r="HD119" s="28">
        <v>0</v>
      </c>
      <c r="HE119" s="34"/>
      <c r="HH119" s="28">
        <v>0</v>
      </c>
      <c r="HI119" s="34"/>
      <c r="HL119" s="28">
        <v>0</v>
      </c>
      <c r="HM119" s="34"/>
      <c r="HP119" s="28">
        <v>0</v>
      </c>
      <c r="HQ119" s="31"/>
      <c r="HR119" s="29"/>
      <c r="HT119" s="29"/>
      <c r="HV119" s="28">
        <v>0</v>
      </c>
      <c r="HW119" s="34"/>
      <c r="HX119" s="32">
        <v>0</v>
      </c>
      <c r="HY119" s="32">
        <v>0</v>
      </c>
      <c r="HZ119" s="28">
        <v>0</v>
      </c>
      <c r="IA119" s="34"/>
      <c r="IB119" s="32">
        <v>0</v>
      </c>
      <c r="IC119" s="32">
        <v>0</v>
      </c>
      <c r="ID119" s="28">
        <v>0</v>
      </c>
      <c r="IE119" s="34"/>
      <c r="IF119" s="33">
        <v>0</v>
      </c>
      <c r="IG119" s="32">
        <v>0</v>
      </c>
      <c r="IH119" s="28">
        <v>0</v>
      </c>
      <c r="II119" s="34"/>
    </row>
    <row r="120" spans="1:243" x14ac:dyDescent="0.25">
      <c r="A120" s="28" t="s">
        <v>252</v>
      </c>
      <c r="B120" s="29">
        <v>0.33</v>
      </c>
      <c r="F120">
        <v>144</v>
      </c>
      <c r="G120">
        <v>150</v>
      </c>
      <c r="J120" s="30"/>
      <c r="K120" s="35"/>
      <c r="L120" s="35"/>
      <c r="M120" s="35"/>
      <c r="N120" s="35">
        <f t="shared" si="5"/>
        <v>0</v>
      </c>
      <c r="O120" s="31"/>
      <c r="P120" s="35"/>
      <c r="Q120">
        <v>96</v>
      </c>
      <c r="R120">
        <v>98</v>
      </c>
      <c r="S120" s="28">
        <v>-2</v>
      </c>
      <c r="T120" s="31"/>
      <c r="U120" s="24">
        <v>24</v>
      </c>
      <c r="V120">
        <v>28</v>
      </c>
      <c r="W120" s="28">
        <v>-4</v>
      </c>
      <c r="X120" s="31"/>
      <c r="Y120" s="30"/>
      <c r="AA120" s="28">
        <v>0</v>
      </c>
      <c r="AB120" s="31"/>
      <c r="AC120">
        <v>104</v>
      </c>
      <c r="AD120">
        <v>102</v>
      </c>
      <c r="AE120" s="28">
        <v>2</v>
      </c>
      <c r="AF120" s="31"/>
      <c r="AG120" s="24">
        <v>8</v>
      </c>
      <c r="AH120">
        <v>6</v>
      </c>
      <c r="AI120" s="28">
        <v>2</v>
      </c>
      <c r="AJ120" s="31"/>
      <c r="AK120">
        <v>8</v>
      </c>
      <c r="AL120">
        <v>8</v>
      </c>
      <c r="AM120" s="28">
        <v>0</v>
      </c>
      <c r="AN120" s="31"/>
      <c r="AO120" s="24">
        <v>56</v>
      </c>
      <c r="AP120">
        <v>56</v>
      </c>
      <c r="AQ120" s="28">
        <v>0</v>
      </c>
      <c r="AR120" s="31"/>
      <c r="AS120" s="30"/>
      <c r="AU120" s="28">
        <v>0</v>
      </c>
      <c r="AV120" s="31"/>
      <c r="AW120">
        <v>32</v>
      </c>
      <c r="AX120">
        <v>34</v>
      </c>
      <c r="AY120" s="28">
        <v>-2</v>
      </c>
      <c r="AZ120" s="31"/>
      <c r="BA120" s="30"/>
      <c r="BE120" s="28">
        <v>0</v>
      </c>
      <c r="BF120" s="31"/>
      <c r="BG120" s="24">
        <v>32</v>
      </c>
      <c r="BH120">
        <v>33</v>
      </c>
      <c r="BI120" s="28">
        <v>-1</v>
      </c>
      <c r="BJ120" s="31"/>
      <c r="BM120">
        <v>16</v>
      </c>
      <c r="BN120">
        <v>15</v>
      </c>
      <c r="BO120" s="28">
        <v>1</v>
      </c>
      <c r="BP120" s="31"/>
      <c r="BS120" s="28">
        <v>0</v>
      </c>
      <c r="BT120" s="31"/>
      <c r="BU120" s="24">
        <v>24</v>
      </c>
      <c r="BV120">
        <v>28</v>
      </c>
      <c r="BW120" s="28">
        <v>-4</v>
      </c>
      <c r="BX120" s="31"/>
      <c r="BY120" s="30"/>
      <c r="CA120" s="28">
        <v>0</v>
      </c>
      <c r="CB120" s="31"/>
      <c r="CC120">
        <v>24</v>
      </c>
      <c r="CD120">
        <v>25</v>
      </c>
      <c r="CE120" s="28">
        <v>-1</v>
      </c>
      <c r="CF120" s="31"/>
      <c r="CG120" s="30"/>
      <c r="CJ120" s="28">
        <v>0</v>
      </c>
      <c r="CK120" s="31"/>
      <c r="CL120" s="30"/>
      <c r="CP120" s="28">
        <v>0</v>
      </c>
      <c r="CQ120" s="31"/>
      <c r="CR120" s="24">
        <v>40</v>
      </c>
      <c r="CT120">
        <v>43</v>
      </c>
      <c r="CU120" s="28">
        <v>-3</v>
      </c>
      <c r="CV120" s="31"/>
      <c r="CW120">
        <v>8</v>
      </c>
      <c r="CX120" s="28">
        <v>11.8</v>
      </c>
      <c r="CY120" s="28">
        <v>-3.8000000000000012</v>
      </c>
      <c r="CZ120" s="31"/>
      <c r="DA120" s="33"/>
      <c r="DC120" s="28">
        <v>0</v>
      </c>
      <c r="DD120" s="31"/>
      <c r="DE120" s="24">
        <v>40</v>
      </c>
      <c r="DF120" s="28">
        <v>38.799999999999997</v>
      </c>
      <c r="DG120" s="28">
        <v>1.2000000000000031</v>
      </c>
      <c r="DH120" s="31"/>
      <c r="DI120" s="24">
        <v>8</v>
      </c>
      <c r="DJ120">
        <v>7</v>
      </c>
      <c r="DK120" s="28">
        <v>1</v>
      </c>
      <c r="DL120" s="31"/>
      <c r="DM120">
        <v>8</v>
      </c>
      <c r="DN120" s="32">
        <v>7.8000000000000043</v>
      </c>
      <c r="DO120" s="28">
        <v>0.19999999999999571</v>
      </c>
      <c r="DP120" s="31"/>
      <c r="DQ120">
        <v>16</v>
      </c>
      <c r="DR120">
        <v>16</v>
      </c>
      <c r="DS120" s="28">
        <v>0</v>
      </c>
      <c r="DT120" s="31"/>
      <c r="DU120" s="24">
        <v>32</v>
      </c>
      <c r="DW120">
        <v>32</v>
      </c>
      <c r="DX120" s="28">
        <v>0</v>
      </c>
      <c r="DY120" s="31"/>
      <c r="DZ120" s="24">
        <v>24</v>
      </c>
      <c r="EB120">
        <v>28</v>
      </c>
      <c r="EC120" s="28">
        <v>-4</v>
      </c>
      <c r="ED120" s="31"/>
      <c r="EG120" s="28">
        <v>0</v>
      </c>
      <c r="EH120" s="31"/>
      <c r="EI120" s="30"/>
      <c r="EN120" s="28">
        <v>0</v>
      </c>
      <c r="EO120" s="31"/>
      <c r="EP120">
        <v>48</v>
      </c>
      <c r="EQ120" s="32">
        <v>50.8</v>
      </c>
      <c r="ER120" s="28">
        <v>-2.7999999999999972</v>
      </c>
      <c r="ES120" s="31"/>
      <c r="ET120" s="30"/>
      <c r="EX120" s="28">
        <v>0</v>
      </c>
      <c r="EY120" s="31"/>
      <c r="FB120">
        <v>8</v>
      </c>
      <c r="FC120">
        <v>10</v>
      </c>
      <c r="FD120" s="28">
        <v>-2</v>
      </c>
      <c r="FE120" s="31"/>
      <c r="FF120">
        <v>32</v>
      </c>
      <c r="FG120" s="32">
        <v>32</v>
      </c>
      <c r="FH120" s="28">
        <v>0</v>
      </c>
      <c r="FI120" s="31"/>
      <c r="FJ120" s="24">
        <v>16</v>
      </c>
      <c r="FK120">
        <v>20</v>
      </c>
      <c r="FL120" s="28">
        <v>-4</v>
      </c>
      <c r="FM120" s="31"/>
      <c r="FN120" s="30"/>
      <c r="FP120" s="28">
        <v>0</v>
      </c>
      <c r="FQ120" s="31"/>
      <c r="FR120">
        <v>32</v>
      </c>
      <c r="FS120">
        <v>32</v>
      </c>
      <c r="FT120" s="28">
        <v>0</v>
      </c>
      <c r="FU120" s="31"/>
      <c r="FV120" s="24">
        <v>8</v>
      </c>
      <c r="FW120">
        <v>8</v>
      </c>
      <c r="FX120" s="28">
        <v>0</v>
      </c>
      <c r="FY120" s="31"/>
      <c r="FZ120" s="24">
        <v>16</v>
      </c>
      <c r="GA120">
        <v>21</v>
      </c>
      <c r="GB120" s="28">
        <v>-5</v>
      </c>
      <c r="GC120" s="31"/>
      <c r="GF120" s="28">
        <v>0</v>
      </c>
      <c r="GG120" s="34"/>
      <c r="GJ120" s="28">
        <v>0</v>
      </c>
      <c r="GK120" s="31"/>
      <c r="GL120">
        <v>24</v>
      </c>
      <c r="GM120">
        <v>24</v>
      </c>
      <c r="GN120" s="28">
        <v>0</v>
      </c>
      <c r="GO120" s="34"/>
      <c r="GR120" s="28">
        <v>0</v>
      </c>
      <c r="GS120" s="31"/>
      <c r="GT120">
        <v>8</v>
      </c>
      <c r="GU120">
        <v>8</v>
      </c>
      <c r="GV120" s="28">
        <v>0</v>
      </c>
      <c r="GW120" s="34"/>
      <c r="GX120">
        <v>8</v>
      </c>
      <c r="GY120" s="32">
        <v>9.8000000000000043</v>
      </c>
      <c r="GZ120" s="28">
        <v>-1.800000000000004</v>
      </c>
      <c r="HA120" s="31"/>
      <c r="HB120" s="24">
        <v>8</v>
      </c>
      <c r="HC120" s="32">
        <v>10</v>
      </c>
      <c r="HD120" s="28">
        <v>-2</v>
      </c>
      <c r="HE120" s="34"/>
      <c r="HH120" s="28">
        <v>0</v>
      </c>
      <c r="HI120" s="34"/>
      <c r="HL120" s="28">
        <v>0</v>
      </c>
      <c r="HM120" s="34"/>
      <c r="HP120" s="28">
        <v>0</v>
      </c>
      <c r="HQ120" s="31"/>
      <c r="HR120">
        <v>40</v>
      </c>
      <c r="HS120">
        <v>40</v>
      </c>
      <c r="HT120">
        <v>24</v>
      </c>
      <c r="HU120">
        <v>22</v>
      </c>
      <c r="HV120" s="28">
        <v>2</v>
      </c>
      <c r="HW120" s="34"/>
      <c r="HX120" s="32">
        <v>24</v>
      </c>
      <c r="HY120" s="32">
        <v>24</v>
      </c>
      <c r="HZ120" s="28">
        <v>0</v>
      </c>
      <c r="IA120" s="34"/>
      <c r="IB120" s="32">
        <v>0</v>
      </c>
      <c r="IC120" s="32">
        <v>0</v>
      </c>
      <c r="ID120" s="28">
        <v>0</v>
      </c>
      <c r="IE120" s="34"/>
      <c r="IF120" s="33">
        <v>0</v>
      </c>
      <c r="IG120" s="32">
        <v>0</v>
      </c>
      <c r="IH120" s="28">
        <v>0</v>
      </c>
      <c r="II120" s="34"/>
    </row>
    <row r="121" spans="1:243" x14ac:dyDescent="0.25">
      <c r="A121" s="28" t="s">
        <v>253</v>
      </c>
      <c r="B121" s="29">
        <v>1</v>
      </c>
      <c r="J121" s="30"/>
      <c r="K121" s="35"/>
      <c r="L121" s="35"/>
      <c r="M121" s="35"/>
      <c r="N121" s="35">
        <f t="shared" si="5"/>
        <v>0</v>
      </c>
      <c r="O121" s="31"/>
      <c r="P121" s="35"/>
      <c r="S121" s="28">
        <v>0</v>
      </c>
      <c r="T121" s="31"/>
      <c r="U121" s="30"/>
      <c r="W121" s="28">
        <v>0</v>
      </c>
      <c r="X121" s="31"/>
      <c r="Y121" s="30"/>
      <c r="AA121" s="28">
        <v>0</v>
      </c>
      <c r="AB121" s="31"/>
      <c r="AE121" s="28">
        <v>0</v>
      </c>
      <c r="AF121" s="31"/>
      <c r="AG121" s="30"/>
      <c r="AI121" s="28">
        <v>0</v>
      </c>
      <c r="AJ121" s="31"/>
      <c r="AM121" s="28">
        <v>0</v>
      </c>
      <c r="AN121" s="31"/>
      <c r="AO121" s="30"/>
      <c r="AQ121" s="28">
        <v>0</v>
      </c>
      <c r="AR121" s="31"/>
      <c r="AS121" s="30"/>
      <c r="AU121" s="28">
        <v>0</v>
      </c>
      <c r="AV121" s="31"/>
      <c r="AY121" s="28">
        <v>0</v>
      </c>
      <c r="AZ121" s="31"/>
      <c r="BA121" s="30"/>
      <c r="BE121" s="28">
        <v>0</v>
      </c>
      <c r="BF121" s="31"/>
      <c r="BG121" s="30"/>
      <c r="BI121" s="28">
        <v>0</v>
      </c>
      <c r="BJ121" s="31"/>
      <c r="BO121" s="28">
        <v>0</v>
      </c>
      <c r="BP121" s="31"/>
      <c r="BS121" s="28">
        <v>0</v>
      </c>
      <c r="BT121" s="31"/>
      <c r="BU121" s="30"/>
      <c r="BW121" s="28">
        <v>0</v>
      </c>
      <c r="BX121" s="31"/>
      <c r="BY121" s="30"/>
      <c r="CA121" s="28">
        <v>0</v>
      </c>
      <c r="CB121" s="31"/>
      <c r="CE121" s="28">
        <v>0</v>
      </c>
      <c r="CF121" s="31"/>
      <c r="CG121" s="30"/>
      <c r="CJ121" s="28">
        <v>0</v>
      </c>
      <c r="CK121" s="31"/>
      <c r="CL121" s="30"/>
      <c r="CP121" s="28">
        <v>0</v>
      </c>
      <c r="CQ121" s="31"/>
      <c r="CR121" s="30"/>
      <c r="CU121" s="28">
        <v>0</v>
      </c>
      <c r="CV121" s="31"/>
      <c r="CY121" s="28">
        <v>0</v>
      </c>
      <c r="CZ121" s="31"/>
      <c r="DA121" s="33"/>
      <c r="DC121" s="28">
        <v>0</v>
      </c>
      <c r="DD121" s="31"/>
      <c r="DE121" s="30"/>
      <c r="DG121" s="28">
        <v>0</v>
      </c>
      <c r="DH121" s="31"/>
      <c r="DI121" s="30"/>
      <c r="DK121" s="28">
        <v>0</v>
      </c>
      <c r="DL121" s="31"/>
      <c r="DO121" s="28">
        <v>0</v>
      </c>
      <c r="DP121" s="31"/>
      <c r="DS121" s="28">
        <v>0</v>
      </c>
      <c r="DT121" s="31"/>
      <c r="DU121" s="30"/>
      <c r="DX121" s="28">
        <v>0</v>
      </c>
      <c r="DY121" s="31"/>
      <c r="DZ121" s="30"/>
      <c r="EC121" s="28">
        <v>0</v>
      </c>
      <c r="ED121" s="31"/>
      <c r="EG121" s="28">
        <v>0</v>
      </c>
      <c r="EH121" s="31"/>
      <c r="EI121" s="30"/>
      <c r="EN121" s="28">
        <v>0</v>
      </c>
      <c r="EO121" s="31"/>
      <c r="ER121" s="28">
        <v>0</v>
      </c>
      <c r="ES121" s="31"/>
      <c r="ET121" s="30"/>
      <c r="EX121" s="28">
        <v>0</v>
      </c>
      <c r="EY121" s="31"/>
      <c r="FD121" s="28">
        <v>0</v>
      </c>
      <c r="FE121" s="31"/>
      <c r="FH121" s="28">
        <v>0</v>
      </c>
      <c r="FI121" s="31"/>
      <c r="FJ121" s="30"/>
      <c r="FL121" s="28">
        <v>0</v>
      </c>
      <c r="FM121" s="31"/>
      <c r="FN121" s="30"/>
      <c r="FP121" s="28">
        <v>0</v>
      </c>
      <c r="FQ121" s="31"/>
      <c r="FT121" s="28">
        <v>0</v>
      </c>
      <c r="FU121" s="31"/>
      <c r="FV121" s="24">
        <v>10</v>
      </c>
      <c r="FW121">
        <v>10</v>
      </c>
      <c r="FX121" s="28">
        <v>0</v>
      </c>
      <c r="FY121" s="31"/>
      <c r="FZ121" s="30"/>
      <c r="GB121" s="28">
        <v>0</v>
      </c>
      <c r="GC121" s="31"/>
      <c r="GF121" s="28">
        <v>0</v>
      </c>
      <c r="GG121" s="34"/>
      <c r="GI121">
        <v>1</v>
      </c>
      <c r="GJ121" s="28">
        <v>-1</v>
      </c>
      <c r="GK121" s="31"/>
      <c r="GL121">
        <v>5</v>
      </c>
      <c r="GM121">
        <v>4</v>
      </c>
      <c r="GN121" s="28">
        <v>1</v>
      </c>
      <c r="GO121" s="34"/>
      <c r="GR121" s="28">
        <v>0</v>
      </c>
      <c r="GS121" s="31"/>
      <c r="GT121">
        <v>5</v>
      </c>
      <c r="GU121">
        <v>8</v>
      </c>
      <c r="GV121" s="28">
        <v>-3</v>
      </c>
      <c r="GW121" s="34"/>
      <c r="GZ121" s="28">
        <v>0</v>
      </c>
      <c r="HA121" s="31"/>
      <c r="HB121" s="33"/>
      <c r="HD121" s="28">
        <v>0</v>
      </c>
      <c r="HE121" s="34"/>
      <c r="HH121" s="28">
        <v>0</v>
      </c>
      <c r="HI121" s="34"/>
      <c r="HJ121">
        <v>10</v>
      </c>
      <c r="HK121">
        <v>8</v>
      </c>
      <c r="HL121" s="28">
        <v>-2</v>
      </c>
      <c r="HM121" s="34"/>
      <c r="HP121" s="28">
        <v>0</v>
      </c>
      <c r="HQ121" s="31"/>
      <c r="HR121" s="29"/>
      <c r="HT121">
        <v>26</v>
      </c>
      <c r="HU121">
        <v>27</v>
      </c>
      <c r="HV121" s="28">
        <v>-1</v>
      </c>
      <c r="HW121" s="34"/>
      <c r="HX121" s="32">
        <v>5.2450000000000001</v>
      </c>
      <c r="HY121" s="32">
        <v>7</v>
      </c>
      <c r="HZ121" s="28">
        <v>-1.7549999999999999</v>
      </c>
      <c r="IA121" s="34"/>
      <c r="IB121" s="32">
        <v>0</v>
      </c>
      <c r="IC121" s="32">
        <v>0</v>
      </c>
      <c r="ID121" s="28">
        <v>0</v>
      </c>
      <c r="IE121" s="34"/>
      <c r="IF121" s="33">
        <v>0</v>
      </c>
      <c r="IG121" s="32">
        <v>0</v>
      </c>
      <c r="IH121" s="28">
        <v>0</v>
      </c>
      <c r="II121" s="34"/>
    </row>
    <row r="122" spans="1:243" x14ac:dyDescent="0.25">
      <c r="A122" s="28" t="s">
        <v>254</v>
      </c>
      <c r="B122" s="29">
        <v>0.33</v>
      </c>
      <c r="J122" s="30"/>
      <c r="K122" s="35"/>
      <c r="L122" s="35"/>
      <c r="M122" s="35"/>
      <c r="N122" s="35">
        <f t="shared" si="5"/>
        <v>0</v>
      </c>
      <c r="O122" s="31"/>
      <c r="P122" s="35"/>
      <c r="S122" s="28">
        <v>0</v>
      </c>
      <c r="T122" s="31"/>
      <c r="U122" s="30"/>
      <c r="W122" s="28">
        <v>0</v>
      </c>
      <c r="X122" s="31"/>
      <c r="Y122" s="30"/>
      <c r="AA122" s="28">
        <v>0</v>
      </c>
      <c r="AB122" s="31"/>
      <c r="AE122" s="28">
        <v>0</v>
      </c>
      <c r="AF122" s="31"/>
      <c r="AG122" s="30"/>
      <c r="AI122" s="28">
        <v>0</v>
      </c>
      <c r="AJ122" s="31"/>
      <c r="AM122" s="28">
        <v>0</v>
      </c>
      <c r="AN122" s="31"/>
      <c r="AO122" s="30"/>
      <c r="AQ122" s="28">
        <v>0</v>
      </c>
      <c r="AR122" s="31"/>
      <c r="AS122" s="30"/>
      <c r="AU122" s="28">
        <v>0</v>
      </c>
      <c r="AV122" s="31"/>
      <c r="AY122" s="28">
        <v>0</v>
      </c>
      <c r="AZ122" s="31"/>
      <c r="BA122" s="30"/>
      <c r="BE122" s="28">
        <v>0</v>
      </c>
      <c r="BF122" s="31"/>
      <c r="BG122" s="30"/>
      <c r="BI122" s="28">
        <v>0</v>
      </c>
      <c r="BJ122" s="31"/>
      <c r="BO122" s="28">
        <v>0</v>
      </c>
      <c r="BP122" s="31"/>
      <c r="BS122" s="28">
        <v>0</v>
      </c>
      <c r="BT122" s="31"/>
      <c r="BU122" s="30"/>
      <c r="BW122" s="28">
        <v>0</v>
      </c>
      <c r="BX122" s="31"/>
      <c r="BY122" s="30"/>
      <c r="CA122" s="28">
        <v>0</v>
      </c>
      <c r="CB122" s="31"/>
      <c r="CE122" s="28">
        <v>0</v>
      </c>
      <c r="CF122" s="31"/>
      <c r="CG122" s="30"/>
      <c r="CJ122" s="28">
        <v>0</v>
      </c>
      <c r="CK122" s="31"/>
      <c r="CL122" s="30"/>
      <c r="CP122" s="28">
        <v>0</v>
      </c>
      <c r="CQ122" s="31"/>
      <c r="CR122" s="30"/>
      <c r="CU122" s="28">
        <v>0</v>
      </c>
      <c r="CV122" s="31"/>
      <c r="CY122" s="28">
        <v>0</v>
      </c>
      <c r="CZ122" s="31"/>
      <c r="DA122" s="33"/>
      <c r="DC122" s="28">
        <v>0</v>
      </c>
      <c r="DD122" s="31"/>
      <c r="DE122" s="30"/>
      <c r="DG122" s="28">
        <v>0</v>
      </c>
      <c r="DH122" s="31"/>
      <c r="DI122" s="30"/>
      <c r="DK122" s="28">
        <v>0</v>
      </c>
      <c r="DL122" s="31"/>
      <c r="DO122" s="28">
        <v>0</v>
      </c>
      <c r="DP122" s="31"/>
      <c r="DS122" s="28">
        <v>0</v>
      </c>
      <c r="DT122" s="31"/>
      <c r="DU122" s="30"/>
      <c r="DX122" s="28">
        <v>0</v>
      </c>
      <c r="DY122" s="31"/>
      <c r="DZ122" s="30"/>
      <c r="EC122" s="28">
        <v>0</v>
      </c>
      <c r="ED122" s="31"/>
      <c r="EG122" s="28">
        <v>0</v>
      </c>
      <c r="EH122" s="31"/>
      <c r="EI122" s="30"/>
      <c r="EN122" s="28">
        <v>0</v>
      </c>
      <c r="EO122" s="31"/>
      <c r="ER122" s="28">
        <v>0</v>
      </c>
      <c r="ES122" s="31"/>
      <c r="ET122" s="30"/>
      <c r="EX122" s="28">
        <v>0</v>
      </c>
      <c r="EY122" s="31"/>
      <c r="FD122" s="28">
        <v>0</v>
      </c>
      <c r="FE122" s="31"/>
      <c r="FH122" s="28">
        <v>0</v>
      </c>
      <c r="FI122" s="31"/>
      <c r="FJ122" s="30"/>
      <c r="FL122" s="28">
        <v>0</v>
      </c>
      <c r="FM122" s="31"/>
      <c r="FN122" s="30"/>
      <c r="FP122" s="28">
        <v>0</v>
      </c>
      <c r="FQ122" s="31"/>
      <c r="FR122">
        <v>16</v>
      </c>
      <c r="FS122">
        <v>16</v>
      </c>
      <c r="FT122" s="28">
        <v>0</v>
      </c>
      <c r="FU122" s="31"/>
      <c r="FV122" s="30"/>
      <c r="FX122" s="28">
        <v>0</v>
      </c>
      <c r="FY122" s="31"/>
      <c r="FZ122" s="30"/>
      <c r="GB122" s="28">
        <v>0</v>
      </c>
      <c r="GC122" s="31"/>
      <c r="GF122" s="28">
        <v>0</v>
      </c>
      <c r="GG122" s="34"/>
      <c r="GH122">
        <v>8</v>
      </c>
      <c r="GI122">
        <v>9</v>
      </c>
      <c r="GJ122" s="28">
        <v>-1</v>
      </c>
      <c r="GK122" s="31"/>
      <c r="GN122" s="28">
        <v>0</v>
      </c>
      <c r="GO122" s="34"/>
      <c r="GR122" s="28">
        <v>0</v>
      </c>
      <c r="GS122" s="31"/>
      <c r="GV122" s="28">
        <v>0</v>
      </c>
      <c r="GW122" s="34"/>
      <c r="GZ122" s="28">
        <v>0</v>
      </c>
      <c r="HA122" s="31"/>
      <c r="HB122" s="33"/>
      <c r="HD122" s="28">
        <v>0</v>
      </c>
      <c r="HE122" s="34"/>
      <c r="HF122">
        <v>16</v>
      </c>
      <c r="HG122">
        <v>16</v>
      </c>
      <c r="HH122" s="28">
        <v>0</v>
      </c>
      <c r="HI122" s="34"/>
      <c r="HL122" s="28">
        <v>0</v>
      </c>
      <c r="HM122" s="34"/>
      <c r="HP122" s="28">
        <v>0</v>
      </c>
      <c r="HQ122" s="31"/>
      <c r="HR122" s="29"/>
      <c r="HT122" s="29"/>
      <c r="HV122" s="28">
        <v>0</v>
      </c>
      <c r="HW122" s="34"/>
      <c r="HX122" s="32">
        <v>0</v>
      </c>
      <c r="HY122" s="32">
        <v>0</v>
      </c>
      <c r="HZ122" s="28">
        <v>0</v>
      </c>
      <c r="IA122" s="34"/>
      <c r="IB122" s="32">
        <v>0</v>
      </c>
      <c r="IC122" s="32">
        <v>0</v>
      </c>
      <c r="ID122" s="28">
        <v>0</v>
      </c>
      <c r="IE122" s="34"/>
      <c r="IF122" s="33">
        <v>0</v>
      </c>
      <c r="IG122" s="32">
        <v>0</v>
      </c>
      <c r="IH122" s="28">
        <v>0</v>
      </c>
      <c r="II122" s="34"/>
    </row>
    <row r="123" spans="1:243" x14ac:dyDescent="0.25">
      <c r="A123" s="28" t="s">
        <v>255</v>
      </c>
      <c r="B123" s="29">
        <v>1</v>
      </c>
      <c r="J123" s="30"/>
      <c r="K123" s="35"/>
      <c r="L123" s="35"/>
      <c r="M123" s="35"/>
      <c r="N123" s="35">
        <f t="shared" si="5"/>
        <v>0</v>
      </c>
      <c r="O123" s="31"/>
      <c r="P123" s="35"/>
      <c r="S123" s="28">
        <v>0</v>
      </c>
      <c r="T123" s="31"/>
      <c r="U123" s="30"/>
      <c r="W123" s="28">
        <v>0</v>
      </c>
      <c r="X123" s="31"/>
      <c r="Y123" s="30"/>
      <c r="AA123" s="28">
        <v>0</v>
      </c>
      <c r="AB123" s="31"/>
      <c r="AE123" s="28">
        <v>0</v>
      </c>
      <c r="AF123" s="31"/>
      <c r="AG123" s="30"/>
      <c r="AI123" s="28">
        <v>0</v>
      </c>
      <c r="AJ123" s="31"/>
      <c r="AM123" s="28">
        <v>0</v>
      </c>
      <c r="AN123" s="31"/>
      <c r="AO123" s="30"/>
      <c r="AQ123" s="28">
        <v>0</v>
      </c>
      <c r="AR123" s="31"/>
      <c r="AS123" s="30"/>
      <c r="AU123" s="28">
        <v>0</v>
      </c>
      <c r="AV123" s="31"/>
      <c r="AY123" s="28">
        <v>0</v>
      </c>
      <c r="AZ123" s="31"/>
      <c r="BA123" s="30"/>
      <c r="BE123" s="28">
        <v>0</v>
      </c>
      <c r="BF123" s="31"/>
      <c r="BG123" s="30"/>
      <c r="BI123" s="28">
        <v>0</v>
      </c>
      <c r="BJ123" s="31"/>
      <c r="BO123" s="28">
        <v>0</v>
      </c>
      <c r="BP123" s="31"/>
      <c r="BS123" s="28">
        <v>0</v>
      </c>
      <c r="BT123" s="31"/>
      <c r="BU123" s="30"/>
      <c r="BW123" s="28">
        <v>0</v>
      </c>
      <c r="BX123" s="31"/>
      <c r="BY123" s="30"/>
      <c r="CA123" s="28">
        <v>0</v>
      </c>
      <c r="CB123" s="31"/>
      <c r="CE123" s="28">
        <v>0</v>
      </c>
      <c r="CF123" s="31"/>
      <c r="CG123" s="30"/>
      <c r="CJ123" s="28">
        <v>0</v>
      </c>
      <c r="CK123" s="31"/>
      <c r="CL123" s="30"/>
      <c r="CP123" s="28">
        <v>0</v>
      </c>
      <c r="CQ123" s="31"/>
      <c r="CR123" s="30"/>
      <c r="CU123" s="28">
        <v>0</v>
      </c>
      <c r="CV123" s="31"/>
      <c r="CY123" s="28">
        <v>0</v>
      </c>
      <c r="CZ123" s="31"/>
      <c r="DA123" s="33"/>
      <c r="DC123" s="28">
        <v>0</v>
      </c>
      <c r="DD123" s="31"/>
      <c r="DE123" s="30"/>
      <c r="DG123" s="28">
        <v>0</v>
      </c>
      <c r="DH123" s="31"/>
      <c r="DI123" s="30"/>
      <c r="DK123" s="28">
        <v>0</v>
      </c>
      <c r="DL123" s="31"/>
      <c r="DO123" s="28">
        <v>0</v>
      </c>
      <c r="DP123" s="31"/>
      <c r="DS123" s="28">
        <v>0</v>
      </c>
      <c r="DT123" s="31"/>
      <c r="DU123" s="30"/>
      <c r="DX123" s="28">
        <v>0</v>
      </c>
      <c r="DY123" s="31"/>
      <c r="DZ123" s="30"/>
      <c r="EC123" s="28">
        <v>0</v>
      </c>
      <c r="ED123" s="31"/>
      <c r="EG123" s="28">
        <v>0</v>
      </c>
      <c r="EH123" s="31"/>
      <c r="EI123" s="30"/>
      <c r="EN123" s="28">
        <v>0</v>
      </c>
      <c r="EO123" s="31"/>
      <c r="ER123" s="28">
        <v>0</v>
      </c>
      <c r="ES123" s="31"/>
      <c r="ET123" s="30"/>
      <c r="EX123" s="28">
        <v>0</v>
      </c>
      <c r="EY123" s="31"/>
      <c r="FD123" s="28">
        <v>0</v>
      </c>
      <c r="FE123" s="31"/>
      <c r="FH123" s="28">
        <v>0</v>
      </c>
      <c r="FI123" s="31"/>
      <c r="FJ123" s="30"/>
      <c r="FL123" s="28">
        <v>0</v>
      </c>
      <c r="FM123" s="31"/>
      <c r="FN123" s="30"/>
      <c r="FP123" s="28">
        <v>0</v>
      </c>
      <c r="FQ123" s="31"/>
      <c r="FT123" s="28">
        <v>0</v>
      </c>
      <c r="FU123" s="31"/>
      <c r="FV123" s="30"/>
      <c r="FX123" s="28">
        <v>0</v>
      </c>
      <c r="FY123" s="31"/>
      <c r="FZ123" s="30"/>
      <c r="GB123" s="28">
        <v>0</v>
      </c>
      <c r="GC123" s="31"/>
      <c r="GF123" s="28">
        <v>0</v>
      </c>
      <c r="GG123" s="34"/>
      <c r="GJ123" s="28">
        <v>0</v>
      </c>
      <c r="GK123" s="31"/>
      <c r="GN123" s="28">
        <v>0</v>
      </c>
      <c r="GO123" s="34"/>
      <c r="GR123" s="28">
        <v>0</v>
      </c>
      <c r="GS123" s="31"/>
      <c r="GV123" s="28">
        <v>0</v>
      </c>
      <c r="GW123" s="34"/>
      <c r="GZ123" s="28">
        <v>0</v>
      </c>
      <c r="HA123" s="31"/>
      <c r="HB123" s="33"/>
      <c r="HD123" s="28">
        <v>0</v>
      </c>
      <c r="HE123" s="34"/>
      <c r="HH123" s="28">
        <v>0</v>
      </c>
      <c r="HI123" s="34"/>
      <c r="HL123" s="28">
        <v>0</v>
      </c>
      <c r="HM123" s="34"/>
      <c r="HP123" s="28">
        <v>0</v>
      </c>
      <c r="HQ123" s="31"/>
      <c r="HR123" s="29"/>
      <c r="HT123" s="29"/>
      <c r="HV123" s="28">
        <v>0</v>
      </c>
      <c r="HW123" s="34"/>
      <c r="HX123" s="32">
        <v>0</v>
      </c>
      <c r="HY123" s="32">
        <v>0</v>
      </c>
      <c r="HZ123" s="28">
        <v>0</v>
      </c>
      <c r="IA123" s="34"/>
      <c r="IB123" s="32">
        <v>0</v>
      </c>
      <c r="IC123" s="32">
        <v>0</v>
      </c>
      <c r="ID123" s="28">
        <v>0</v>
      </c>
      <c r="IE123" s="34"/>
      <c r="IF123" s="33">
        <v>0</v>
      </c>
      <c r="IG123" s="32">
        <v>0</v>
      </c>
      <c r="IH123" s="28">
        <v>0</v>
      </c>
      <c r="II123" s="34"/>
    </row>
    <row r="124" spans="1:243" x14ac:dyDescent="0.25">
      <c r="A124" s="28" t="s">
        <v>256</v>
      </c>
      <c r="B124" s="29">
        <v>0.75</v>
      </c>
      <c r="J124" s="30"/>
      <c r="K124" s="35"/>
      <c r="L124" s="35"/>
      <c r="M124" s="35"/>
      <c r="N124" s="35">
        <f t="shared" si="5"/>
        <v>0</v>
      </c>
      <c r="O124" s="31"/>
      <c r="P124" s="35"/>
      <c r="S124" s="28">
        <v>0</v>
      </c>
      <c r="T124" s="31"/>
      <c r="U124" s="30"/>
      <c r="W124" s="28">
        <v>0</v>
      </c>
      <c r="X124" s="31"/>
      <c r="Y124" s="30"/>
      <c r="AA124" s="28">
        <v>0</v>
      </c>
      <c r="AB124" s="31"/>
      <c r="AE124" s="28">
        <v>0</v>
      </c>
      <c r="AF124" s="31"/>
      <c r="AG124" s="30"/>
      <c r="AI124" s="28">
        <v>0</v>
      </c>
      <c r="AJ124" s="31"/>
      <c r="AM124" s="28">
        <v>0</v>
      </c>
      <c r="AN124" s="31"/>
      <c r="AO124" s="30"/>
      <c r="AQ124" s="28">
        <v>0</v>
      </c>
      <c r="AR124" s="31"/>
      <c r="AS124" s="30"/>
      <c r="AU124" s="28">
        <v>0</v>
      </c>
      <c r="AV124" s="31"/>
      <c r="AY124" s="28">
        <v>0</v>
      </c>
      <c r="AZ124" s="31"/>
      <c r="BA124" s="30"/>
      <c r="BE124" s="28">
        <v>0</v>
      </c>
      <c r="BF124" s="31"/>
      <c r="BG124" s="30"/>
      <c r="BI124" s="28">
        <v>0</v>
      </c>
      <c r="BJ124" s="31"/>
      <c r="BO124" s="28">
        <v>0</v>
      </c>
      <c r="BP124" s="31"/>
      <c r="BS124" s="28">
        <v>0</v>
      </c>
      <c r="BT124" s="31"/>
      <c r="BU124" s="30"/>
      <c r="BW124" s="28">
        <v>0</v>
      </c>
      <c r="BX124" s="31"/>
      <c r="BY124" s="30"/>
      <c r="CA124" s="28">
        <v>0</v>
      </c>
      <c r="CB124" s="31"/>
      <c r="CE124" s="28">
        <v>0</v>
      </c>
      <c r="CF124" s="31"/>
      <c r="CG124" s="30"/>
      <c r="CJ124" s="28">
        <v>0</v>
      </c>
      <c r="CK124" s="31"/>
      <c r="CL124" s="30"/>
      <c r="CP124" s="28">
        <v>0</v>
      </c>
      <c r="CQ124" s="31"/>
      <c r="CR124" s="30"/>
      <c r="CU124" s="28">
        <v>0</v>
      </c>
      <c r="CV124" s="31"/>
      <c r="CY124" s="28">
        <v>0</v>
      </c>
      <c r="CZ124" s="31"/>
      <c r="DA124" s="33"/>
      <c r="DC124" s="28">
        <v>0</v>
      </c>
      <c r="DD124" s="31"/>
      <c r="DE124" s="30"/>
      <c r="DG124" s="28">
        <v>0</v>
      </c>
      <c r="DH124" s="31"/>
      <c r="DI124" s="30"/>
      <c r="DK124" s="28">
        <v>0</v>
      </c>
      <c r="DL124" s="31"/>
      <c r="DO124" s="28">
        <v>0</v>
      </c>
      <c r="DP124" s="31"/>
      <c r="DS124" s="28">
        <v>0</v>
      </c>
      <c r="DT124" s="31"/>
      <c r="DU124" s="30"/>
      <c r="DX124" s="28">
        <v>0</v>
      </c>
      <c r="DY124" s="31"/>
      <c r="DZ124" s="30"/>
      <c r="EC124" s="28">
        <v>0</v>
      </c>
      <c r="ED124" s="31"/>
      <c r="EG124" s="28">
        <v>0</v>
      </c>
      <c r="EH124" s="31"/>
      <c r="EI124" s="30"/>
      <c r="EN124" s="28">
        <v>0</v>
      </c>
      <c r="EO124" s="31"/>
      <c r="ER124" s="28">
        <v>0</v>
      </c>
      <c r="ES124" s="31"/>
      <c r="ET124" s="30"/>
      <c r="EX124" s="28">
        <v>0</v>
      </c>
      <c r="EY124" s="31"/>
      <c r="FD124" s="28">
        <v>0</v>
      </c>
      <c r="FE124" s="31"/>
      <c r="FH124" s="28">
        <v>0</v>
      </c>
      <c r="FI124" s="31"/>
      <c r="FJ124" s="30"/>
      <c r="FL124" s="28">
        <v>0</v>
      </c>
      <c r="FM124" s="31"/>
      <c r="FN124" s="30"/>
      <c r="FP124" s="28">
        <v>0</v>
      </c>
      <c r="FQ124" s="31"/>
      <c r="FT124" s="28">
        <v>0</v>
      </c>
      <c r="FU124" s="31"/>
      <c r="FV124" s="30"/>
      <c r="FX124" s="28">
        <v>0</v>
      </c>
      <c r="FY124" s="31"/>
      <c r="FZ124" s="30"/>
      <c r="GB124" s="28">
        <v>0</v>
      </c>
      <c r="GC124" s="31"/>
      <c r="GF124" s="28">
        <v>0</v>
      </c>
      <c r="GG124" s="34"/>
      <c r="GJ124" s="28">
        <v>0</v>
      </c>
      <c r="GK124" s="31"/>
      <c r="GN124" s="28">
        <v>0</v>
      </c>
      <c r="GO124" s="34"/>
      <c r="GR124" s="28">
        <v>0</v>
      </c>
      <c r="GS124" s="31"/>
      <c r="GV124" s="28">
        <v>0</v>
      </c>
      <c r="GW124" s="34"/>
      <c r="GZ124" s="28">
        <v>0</v>
      </c>
      <c r="HA124" s="31"/>
      <c r="HB124" s="33"/>
      <c r="HD124" s="28">
        <v>0</v>
      </c>
      <c r="HE124" s="34"/>
      <c r="HH124" s="28">
        <v>0</v>
      </c>
      <c r="HI124" s="34"/>
      <c r="HL124" s="28">
        <v>0</v>
      </c>
      <c r="HM124" s="34"/>
      <c r="HP124" s="28">
        <v>0</v>
      </c>
      <c r="HQ124" s="31"/>
      <c r="HR124" s="29"/>
      <c r="HT124" s="29"/>
      <c r="HV124" s="28">
        <v>0</v>
      </c>
      <c r="HW124" s="34"/>
      <c r="HX124" s="32">
        <v>0</v>
      </c>
      <c r="HY124" s="32">
        <v>0</v>
      </c>
      <c r="HZ124" s="28">
        <v>0</v>
      </c>
      <c r="IA124" s="34"/>
      <c r="IB124" s="32">
        <v>0</v>
      </c>
      <c r="IC124" s="32">
        <v>0</v>
      </c>
      <c r="ID124" s="28">
        <v>0</v>
      </c>
      <c r="IE124" s="34"/>
      <c r="IF124" s="33">
        <v>0</v>
      </c>
      <c r="IG124" s="32">
        <v>0</v>
      </c>
      <c r="IH124" s="28">
        <v>0</v>
      </c>
      <c r="II124" s="34"/>
    </row>
    <row r="125" spans="1:243" x14ac:dyDescent="0.25">
      <c r="A125" s="28" t="s">
        <v>257</v>
      </c>
      <c r="B125" s="29">
        <v>0.66</v>
      </c>
      <c r="J125" s="30"/>
      <c r="K125" s="35"/>
      <c r="L125" s="35"/>
      <c r="M125" s="35"/>
      <c r="N125" s="35">
        <f t="shared" si="5"/>
        <v>0</v>
      </c>
      <c r="O125" s="31"/>
      <c r="P125" s="35"/>
      <c r="S125" s="28">
        <v>0</v>
      </c>
      <c r="T125" s="31"/>
      <c r="U125" s="30"/>
      <c r="W125" s="28">
        <v>0</v>
      </c>
      <c r="X125" s="31"/>
      <c r="Y125" s="30"/>
      <c r="AA125" s="28">
        <v>0</v>
      </c>
      <c r="AB125" s="31"/>
      <c r="AE125" s="28">
        <v>0</v>
      </c>
      <c r="AF125" s="31"/>
      <c r="AG125" s="30"/>
      <c r="AI125" s="28">
        <v>0</v>
      </c>
      <c r="AJ125" s="31"/>
      <c r="AM125" s="28">
        <v>0</v>
      </c>
      <c r="AN125" s="31"/>
      <c r="AO125" s="30"/>
      <c r="AQ125" s="28">
        <v>0</v>
      </c>
      <c r="AR125" s="31"/>
      <c r="AS125" s="30"/>
      <c r="AU125" s="28">
        <v>0</v>
      </c>
      <c r="AV125" s="31"/>
      <c r="AY125" s="28">
        <v>0</v>
      </c>
      <c r="AZ125" s="31"/>
      <c r="BA125" s="30"/>
      <c r="BE125" s="28">
        <v>0</v>
      </c>
      <c r="BF125" s="31"/>
      <c r="BG125" s="30"/>
      <c r="BI125" s="28">
        <v>0</v>
      </c>
      <c r="BJ125" s="31"/>
      <c r="BO125" s="28">
        <v>0</v>
      </c>
      <c r="BP125" s="31"/>
      <c r="BS125" s="28">
        <v>0</v>
      </c>
      <c r="BT125" s="31"/>
      <c r="BU125" s="30"/>
      <c r="BW125" s="28">
        <v>0</v>
      </c>
      <c r="BX125" s="31"/>
      <c r="BY125" s="30"/>
      <c r="CA125" s="28">
        <v>0</v>
      </c>
      <c r="CB125" s="31"/>
      <c r="CE125" s="28">
        <v>0</v>
      </c>
      <c r="CF125" s="31"/>
      <c r="CG125" s="30"/>
      <c r="CJ125" s="28">
        <v>0</v>
      </c>
      <c r="CK125" s="31"/>
      <c r="CL125" s="30"/>
      <c r="CP125" s="28">
        <v>0</v>
      </c>
      <c r="CQ125" s="31"/>
      <c r="CR125" s="30"/>
      <c r="CU125" s="28">
        <v>0</v>
      </c>
      <c r="CV125" s="31"/>
      <c r="CY125" s="28">
        <v>0</v>
      </c>
      <c r="CZ125" s="31"/>
      <c r="DA125" s="33"/>
      <c r="DC125" s="28">
        <v>0</v>
      </c>
      <c r="DD125" s="31"/>
      <c r="DE125" s="30"/>
      <c r="DG125" s="28">
        <v>0</v>
      </c>
      <c r="DH125" s="31"/>
      <c r="DI125" s="30"/>
      <c r="DK125" s="28">
        <v>0</v>
      </c>
      <c r="DL125" s="31"/>
      <c r="DO125" s="28">
        <v>0</v>
      </c>
      <c r="DP125" s="31"/>
      <c r="DS125" s="28">
        <v>0</v>
      </c>
      <c r="DT125" s="31"/>
      <c r="DU125" s="30"/>
      <c r="DX125" s="28">
        <v>0</v>
      </c>
      <c r="DY125" s="31"/>
      <c r="DZ125" s="30"/>
      <c r="EC125" s="28">
        <v>0</v>
      </c>
      <c r="ED125" s="31"/>
      <c r="EG125" s="28">
        <v>0</v>
      </c>
      <c r="EH125" s="31"/>
      <c r="EI125" s="30"/>
      <c r="EN125" s="28">
        <v>0</v>
      </c>
      <c r="EO125" s="31"/>
      <c r="ER125" s="28">
        <v>0</v>
      </c>
      <c r="ES125" s="31"/>
      <c r="ET125" s="30"/>
      <c r="EX125" s="28">
        <v>0</v>
      </c>
      <c r="EY125" s="31"/>
      <c r="FD125" s="28">
        <v>0</v>
      </c>
      <c r="FE125" s="31"/>
      <c r="FH125" s="28">
        <v>0</v>
      </c>
      <c r="FI125" s="31"/>
      <c r="FJ125" s="30"/>
      <c r="FL125" s="28">
        <v>0</v>
      </c>
      <c r="FM125" s="31"/>
      <c r="FN125" s="30"/>
      <c r="FP125" s="28">
        <v>0</v>
      </c>
      <c r="FQ125" s="31"/>
      <c r="FT125" s="28">
        <v>0</v>
      </c>
      <c r="FU125" s="31"/>
      <c r="FV125" s="30"/>
      <c r="FX125" s="28">
        <v>0</v>
      </c>
      <c r="FY125" s="31"/>
      <c r="FZ125" s="30"/>
      <c r="GB125" s="28">
        <v>0</v>
      </c>
      <c r="GC125" s="31"/>
      <c r="GF125" s="28">
        <v>0</v>
      </c>
      <c r="GG125" s="34"/>
      <c r="GJ125" s="28">
        <v>0</v>
      </c>
      <c r="GK125" s="31"/>
      <c r="GN125" s="28">
        <v>0</v>
      </c>
      <c r="GO125" s="34"/>
      <c r="GR125" s="28">
        <v>0</v>
      </c>
      <c r="GS125" s="31"/>
      <c r="GV125" s="28">
        <v>0</v>
      </c>
      <c r="GW125" s="34"/>
      <c r="GZ125" s="28">
        <v>0</v>
      </c>
      <c r="HA125" s="31"/>
      <c r="HB125" s="33"/>
      <c r="HD125" s="28">
        <v>0</v>
      </c>
      <c r="HE125" s="34"/>
      <c r="HH125" s="28">
        <v>0</v>
      </c>
      <c r="HI125" s="34"/>
      <c r="HL125" s="28">
        <v>0</v>
      </c>
      <c r="HM125" s="34"/>
      <c r="HP125" s="28">
        <v>0</v>
      </c>
      <c r="HQ125" s="31"/>
      <c r="HR125" s="29"/>
      <c r="HT125" s="29"/>
      <c r="HV125" s="28">
        <v>0</v>
      </c>
      <c r="HW125" s="34"/>
      <c r="HX125" s="32">
        <v>0</v>
      </c>
      <c r="HY125" s="32">
        <v>0</v>
      </c>
      <c r="HZ125" s="28">
        <v>0</v>
      </c>
      <c r="IA125" s="34"/>
      <c r="IB125" s="32">
        <v>0</v>
      </c>
      <c r="IC125" s="32">
        <v>0</v>
      </c>
      <c r="ID125" s="28">
        <v>0</v>
      </c>
      <c r="IE125" s="34"/>
      <c r="IF125" s="33">
        <v>0</v>
      </c>
      <c r="IG125" s="32">
        <v>0</v>
      </c>
      <c r="IH125" s="28">
        <v>0</v>
      </c>
      <c r="II125" s="34"/>
    </row>
    <row r="126" spans="1:243" x14ac:dyDescent="0.25">
      <c r="A126" s="28" t="s">
        <v>258</v>
      </c>
      <c r="B126" s="29">
        <v>0.66</v>
      </c>
      <c r="J126" s="30"/>
      <c r="K126" s="35"/>
      <c r="L126" s="35"/>
      <c r="M126" s="35"/>
      <c r="N126" s="35">
        <f t="shared" si="5"/>
        <v>0</v>
      </c>
      <c r="O126" s="31"/>
      <c r="P126" s="35"/>
      <c r="S126" s="28">
        <v>0</v>
      </c>
      <c r="T126" s="31"/>
      <c r="U126" s="30"/>
      <c r="W126" s="28">
        <v>0</v>
      </c>
      <c r="X126" s="31"/>
      <c r="Y126" s="30"/>
      <c r="AA126" s="28">
        <v>0</v>
      </c>
      <c r="AB126" s="31"/>
      <c r="AE126" s="28">
        <v>0</v>
      </c>
      <c r="AF126" s="31"/>
      <c r="AG126" s="30"/>
      <c r="AI126" s="28">
        <v>0</v>
      </c>
      <c r="AJ126" s="31"/>
      <c r="AM126" s="28">
        <v>0</v>
      </c>
      <c r="AN126" s="31"/>
      <c r="AO126" s="30"/>
      <c r="AQ126" s="28">
        <v>0</v>
      </c>
      <c r="AR126" s="31"/>
      <c r="AS126" s="30"/>
      <c r="AU126" s="28">
        <v>0</v>
      </c>
      <c r="AV126" s="31"/>
      <c r="AY126" s="28">
        <v>0</v>
      </c>
      <c r="AZ126" s="31"/>
      <c r="BA126" s="30"/>
      <c r="BE126" s="28">
        <v>0</v>
      </c>
      <c r="BF126" s="31"/>
      <c r="BG126" s="30"/>
      <c r="BI126" s="28">
        <v>0</v>
      </c>
      <c r="BJ126" s="31"/>
      <c r="BO126" s="28">
        <v>0</v>
      </c>
      <c r="BP126" s="31"/>
      <c r="BS126" s="28">
        <v>0</v>
      </c>
      <c r="BT126" s="31"/>
      <c r="BU126" s="30"/>
      <c r="BW126" s="28">
        <v>0</v>
      </c>
      <c r="BX126" s="31"/>
      <c r="BY126" s="30"/>
      <c r="CA126" s="28">
        <v>0</v>
      </c>
      <c r="CB126" s="31"/>
      <c r="CE126" s="28">
        <v>0</v>
      </c>
      <c r="CF126" s="31"/>
      <c r="CG126" s="30"/>
      <c r="CJ126" s="28">
        <v>0</v>
      </c>
      <c r="CK126" s="31"/>
      <c r="CL126" s="30"/>
      <c r="CP126" s="28">
        <v>0</v>
      </c>
      <c r="CQ126" s="31"/>
      <c r="CR126" s="30"/>
      <c r="CU126" s="28">
        <v>0</v>
      </c>
      <c r="CV126" s="31"/>
      <c r="CY126" s="28">
        <v>0</v>
      </c>
      <c r="CZ126" s="31"/>
      <c r="DA126" s="33"/>
      <c r="DC126" s="28">
        <v>0</v>
      </c>
      <c r="DD126" s="31"/>
      <c r="DE126" s="30"/>
      <c r="DG126" s="28">
        <v>0</v>
      </c>
      <c r="DH126" s="31"/>
      <c r="DI126" s="30"/>
      <c r="DK126" s="28">
        <v>0</v>
      </c>
      <c r="DL126" s="31"/>
      <c r="DO126" s="28">
        <v>0</v>
      </c>
      <c r="DP126" s="31"/>
      <c r="DS126" s="28">
        <v>0</v>
      </c>
      <c r="DT126" s="31"/>
      <c r="DU126" s="30"/>
      <c r="DX126" s="28">
        <v>0</v>
      </c>
      <c r="DY126" s="31"/>
      <c r="DZ126" s="30"/>
      <c r="EC126" s="28">
        <v>0</v>
      </c>
      <c r="ED126" s="31"/>
      <c r="EG126" s="28">
        <v>0</v>
      </c>
      <c r="EH126" s="31"/>
      <c r="EI126" s="30"/>
      <c r="EN126" s="28">
        <v>0</v>
      </c>
      <c r="EO126" s="31"/>
      <c r="ER126" s="28">
        <v>0</v>
      </c>
      <c r="ES126" s="31"/>
      <c r="ET126" s="30"/>
      <c r="EX126" s="28">
        <v>0</v>
      </c>
      <c r="EY126" s="31"/>
      <c r="FD126" s="28">
        <v>0</v>
      </c>
      <c r="FE126" s="31"/>
      <c r="FH126" s="28">
        <v>0</v>
      </c>
      <c r="FI126" s="31"/>
      <c r="FJ126" s="30"/>
      <c r="FL126" s="28">
        <v>0</v>
      </c>
      <c r="FM126" s="31"/>
      <c r="FN126" s="30"/>
      <c r="FP126" s="28">
        <v>0</v>
      </c>
      <c r="FQ126" s="31"/>
      <c r="FT126" s="28">
        <v>0</v>
      </c>
      <c r="FU126" s="31"/>
      <c r="FV126" s="30"/>
      <c r="FX126" s="28">
        <v>0</v>
      </c>
      <c r="FY126" s="31"/>
      <c r="FZ126" s="30"/>
      <c r="GB126" s="28">
        <v>0</v>
      </c>
      <c r="GC126" s="31"/>
      <c r="GF126" s="28">
        <v>0</v>
      </c>
      <c r="GG126" s="34"/>
      <c r="GJ126" s="28">
        <v>0</v>
      </c>
      <c r="GK126" s="31"/>
      <c r="GN126" s="28">
        <v>0</v>
      </c>
      <c r="GO126" s="34"/>
      <c r="GR126" s="28">
        <v>0</v>
      </c>
      <c r="GS126" s="31"/>
      <c r="GV126" s="28">
        <v>0</v>
      </c>
      <c r="GW126" s="34"/>
      <c r="GZ126" s="28">
        <v>0</v>
      </c>
      <c r="HA126" s="31"/>
      <c r="HB126" s="33"/>
      <c r="HD126" s="28">
        <v>0</v>
      </c>
      <c r="HE126" s="34"/>
      <c r="HH126" s="28">
        <v>0</v>
      </c>
      <c r="HI126" s="34"/>
      <c r="HL126" s="28">
        <v>0</v>
      </c>
      <c r="HM126" s="34"/>
      <c r="HP126" s="28">
        <v>0</v>
      </c>
      <c r="HQ126" s="31"/>
      <c r="HR126" s="29"/>
      <c r="HT126" s="29"/>
      <c r="HV126" s="28">
        <v>0</v>
      </c>
      <c r="HW126" s="34"/>
      <c r="HX126" s="32">
        <v>0</v>
      </c>
      <c r="HY126" s="32">
        <v>0</v>
      </c>
      <c r="HZ126" s="28">
        <v>0</v>
      </c>
      <c r="IA126" s="34"/>
      <c r="IB126" s="32">
        <v>0</v>
      </c>
      <c r="IC126" s="32">
        <v>0</v>
      </c>
      <c r="ID126" s="28">
        <v>0</v>
      </c>
      <c r="IE126" s="34"/>
      <c r="IF126" s="33">
        <v>0</v>
      </c>
      <c r="IG126" s="32">
        <v>0</v>
      </c>
      <c r="IH126" s="28">
        <v>0</v>
      </c>
      <c r="II126" s="34"/>
    </row>
    <row r="127" spans="1:243" x14ac:dyDescent="0.25">
      <c r="A127" s="28" t="s">
        <v>259</v>
      </c>
      <c r="B127" s="29">
        <v>0.66</v>
      </c>
      <c r="J127" s="30"/>
      <c r="K127" s="35"/>
      <c r="L127" s="35"/>
      <c r="M127" s="35"/>
      <c r="N127" s="35">
        <f t="shared" si="5"/>
        <v>0</v>
      </c>
      <c r="O127" s="31"/>
      <c r="P127" s="35"/>
      <c r="S127" s="28">
        <v>0</v>
      </c>
      <c r="T127" s="31"/>
      <c r="U127" s="30"/>
      <c r="W127" s="28">
        <v>0</v>
      </c>
      <c r="X127" s="31"/>
      <c r="Y127" s="30"/>
      <c r="AA127" s="28">
        <v>0</v>
      </c>
      <c r="AB127" s="31"/>
      <c r="AE127" s="28">
        <v>0</v>
      </c>
      <c r="AF127" s="31"/>
      <c r="AG127" s="30"/>
      <c r="AI127" s="28">
        <v>0</v>
      </c>
      <c r="AJ127" s="31"/>
      <c r="AM127" s="28">
        <v>0</v>
      </c>
      <c r="AN127" s="31"/>
      <c r="AO127" s="30"/>
      <c r="AQ127" s="28">
        <v>0</v>
      </c>
      <c r="AR127" s="31"/>
      <c r="AS127" s="30"/>
      <c r="AU127" s="28">
        <v>0</v>
      </c>
      <c r="AV127" s="31"/>
      <c r="AY127" s="28">
        <v>0</v>
      </c>
      <c r="AZ127" s="31"/>
      <c r="BA127" s="30"/>
      <c r="BE127" s="28">
        <v>0</v>
      </c>
      <c r="BF127" s="31"/>
      <c r="BG127" s="30"/>
      <c r="BI127" s="28">
        <v>0</v>
      </c>
      <c r="BJ127" s="31"/>
      <c r="BO127" s="28">
        <v>0</v>
      </c>
      <c r="BP127" s="31"/>
      <c r="BS127" s="28">
        <v>0</v>
      </c>
      <c r="BT127" s="31"/>
      <c r="BU127" s="30"/>
      <c r="BW127" s="28">
        <v>0</v>
      </c>
      <c r="BX127" s="31"/>
      <c r="BY127" s="30"/>
      <c r="CA127" s="28">
        <v>0</v>
      </c>
      <c r="CB127" s="31"/>
      <c r="CE127" s="28">
        <v>0</v>
      </c>
      <c r="CF127" s="31"/>
      <c r="CG127" s="30"/>
      <c r="CJ127" s="28">
        <v>0</v>
      </c>
      <c r="CK127" s="31"/>
      <c r="CL127" s="30"/>
      <c r="CP127" s="28">
        <v>0</v>
      </c>
      <c r="CQ127" s="31"/>
      <c r="CR127" s="30"/>
      <c r="CU127" s="28">
        <v>0</v>
      </c>
      <c r="CV127" s="31"/>
      <c r="CY127" s="28">
        <v>0</v>
      </c>
      <c r="CZ127" s="31"/>
      <c r="DA127" s="33"/>
      <c r="DC127" s="28">
        <v>0</v>
      </c>
      <c r="DD127" s="31"/>
      <c r="DE127" s="30"/>
      <c r="DG127" s="28">
        <v>0</v>
      </c>
      <c r="DH127" s="31"/>
      <c r="DI127" s="30"/>
      <c r="DK127" s="28">
        <v>0</v>
      </c>
      <c r="DL127" s="31"/>
      <c r="DO127" s="28">
        <v>0</v>
      </c>
      <c r="DP127" s="31"/>
      <c r="DS127" s="28">
        <v>0</v>
      </c>
      <c r="DT127" s="31"/>
      <c r="DU127" s="30"/>
      <c r="DX127" s="28">
        <v>0</v>
      </c>
      <c r="DY127" s="31"/>
      <c r="DZ127" s="30"/>
      <c r="EC127" s="28">
        <v>0</v>
      </c>
      <c r="ED127" s="31"/>
      <c r="EG127" s="28">
        <v>0</v>
      </c>
      <c r="EH127" s="31"/>
      <c r="EI127" s="30"/>
      <c r="EN127" s="28">
        <v>0</v>
      </c>
      <c r="EO127" s="31"/>
      <c r="ER127" s="28">
        <v>0</v>
      </c>
      <c r="ES127" s="31"/>
      <c r="ET127" s="30"/>
      <c r="EX127" s="28">
        <v>0</v>
      </c>
      <c r="EY127" s="31"/>
      <c r="FD127" s="28">
        <v>0</v>
      </c>
      <c r="FE127" s="31"/>
      <c r="FH127" s="28">
        <v>0</v>
      </c>
      <c r="FI127" s="31"/>
      <c r="FJ127" s="30"/>
      <c r="FL127" s="28">
        <v>0</v>
      </c>
      <c r="FM127" s="31"/>
      <c r="FN127" s="30"/>
      <c r="FP127" s="28">
        <v>0</v>
      </c>
      <c r="FQ127" s="31"/>
      <c r="FT127" s="28">
        <v>0</v>
      </c>
      <c r="FU127" s="31"/>
      <c r="FV127" s="30"/>
      <c r="FX127" s="28">
        <v>0</v>
      </c>
      <c r="FY127" s="31"/>
      <c r="FZ127" s="30"/>
      <c r="GB127" s="28">
        <v>0</v>
      </c>
      <c r="GC127" s="31"/>
      <c r="GF127" s="28">
        <v>0</v>
      </c>
      <c r="GG127" s="34"/>
      <c r="GJ127" s="28">
        <v>0</v>
      </c>
      <c r="GK127" s="31"/>
      <c r="GN127" s="28">
        <v>0</v>
      </c>
      <c r="GO127" s="34"/>
      <c r="GR127" s="28">
        <v>0</v>
      </c>
      <c r="GS127" s="31"/>
      <c r="GV127" s="28">
        <v>0</v>
      </c>
      <c r="GW127" s="34"/>
      <c r="GZ127" s="28">
        <v>0</v>
      </c>
      <c r="HA127" s="31"/>
      <c r="HB127" s="33"/>
      <c r="HD127" s="28">
        <v>0</v>
      </c>
      <c r="HE127" s="34"/>
      <c r="HH127" s="28">
        <v>0</v>
      </c>
      <c r="HI127" s="34"/>
      <c r="HL127" s="28">
        <v>0</v>
      </c>
      <c r="HM127" s="34"/>
      <c r="HP127" s="28">
        <v>0</v>
      </c>
      <c r="HQ127" s="31"/>
      <c r="HR127" s="29"/>
      <c r="HT127" s="29"/>
      <c r="HV127" s="28">
        <v>0</v>
      </c>
      <c r="HW127" s="34"/>
      <c r="HX127" s="32">
        <v>0</v>
      </c>
      <c r="HY127" s="32">
        <v>0</v>
      </c>
      <c r="HZ127" s="28">
        <v>0</v>
      </c>
      <c r="IA127" s="34"/>
      <c r="IB127" s="32">
        <v>0</v>
      </c>
      <c r="IC127" s="32">
        <v>0</v>
      </c>
      <c r="ID127" s="28">
        <v>0</v>
      </c>
      <c r="IE127" s="34"/>
      <c r="IF127" s="33">
        <v>0</v>
      </c>
      <c r="IG127" s="32">
        <v>0</v>
      </c>
      <c r="IH127" s="28">
        <v>0</v>
      </c>
      <c r="II127" s="34"/>
    </row>
    <row r="128" spans="1:243" x14ac:dyDescent="0.25">
      <c r="A128" s="28" t="s">
        <v>260</v>
      </c>
      <c r="B128" s="29">
        <v>0.33</v>
      </c>
      <c r="F128">
        <v>120</v>
      </c>
      <c r="G128">
        <v>120</v>
      </c>
      <c r="J128" s="30"/>
      <c r="K128" s="35"/>
      <c r="L128" s="35"/>
      <c r="M128" s="35"/>
      <c r="N128" s="35">
        <f t="shared" si="5"/>
        <v>0</v>
      </c>
      <c r="O128" s="31"/>
      <c r="P128" s="35"/>
      <c r="Q128">
        <v>24</v>
      </c>
      <c r="R128">
        <v>22</v>
      </c>
      <c r="S128" s="28">
        <v>2</v>
      </c>
      <c r="T128" s="31"/>
      <c r="U128" s="24">
        <v>88</v>
      </c>
      <c r="V128">
        <v>90</v>
      </c>
      <c r="W128" s="28">
        <v>-2</v>
      </c>
      <c r="X128" s="31"/>
      <c r="Y128" s="24">
        <v>40</v>
      </c>
      <c r="Z128">
        <v>41</v>
      </c>
      <c r="AA128" s="28">
        <v>-1</v>
      </c>
      <c r="AB128" s="31"/>
      <c r="AC128">
        <v>16</v>
      </c>
      <c r="AD128">
        <v>16</v>
      </c>
      <c r="AE128" s="28">
        <v>0</v>
      </c>
      <c r="AF128" s="31"/>
      <c r="AG128" s="24">
        <v>64</v>
      </c>
      <c r="AH128">
        <v>64</v>
      </c>
      <c r="AI128" s="28">
        <v>0</v>
      </c>
      <c r="AJ128" s="31"/>
      <c r="AK128">
        <v>8</v>
      </c>
      <c r="AL128">
        <v>8</v>
      </c>
      <c r="AM128" s="28">
        <v>0</v>
      </c>
      <c r="AN128" s="31"/>
      <c r="AO128" s="24">
        <v>40</v>
      </c>
      <c r="AP128">
        <v>41</v>
      </c>
      <c r="AQ128" s="28">
        <v>-1</v>
      </c>
      <c r="AR128" s="31"/>
      <c r="AS128" s="24">
        <v>16</v>
      </c>
      <c r="AT128">
        <v>17</v>
      </c>
      <c r="AU128" s="28">
        <v>-1</v>
      </c>
      <c r="AV128" s="31"/>
      <c r="AY128" s="28">
        <v>0</v>
      </c>
      <c r="AZ128" s="31"/>
      <c r="BA128" s="30"/>
      <c r="BC128">
        <v>24</v>
      </c>
      <c r="BD128">
        <v>22</v>
      </c>
      <c r="BE128" s="28">
        <v>2</v>
      </c>
      <c r="BF128" s="31"/>
      <c r="BG128" s="24">
        <v>8</v>
      </c>
      <c r="BH128">
        <v>8</v>
      </c>
      <c r="BI128" s="28">
        <v>0</v>
      </c>
      <c r="BJ128" s="31"/>
      <c r="BO128" s="28">
        <v>0</v>
      </c>
      <c r="BP128" s="31"/>
      <c r="BS128" s="28">
        <v>0</v>
      </c>
      <c r="BT128" s="31"/>
      <c r="BU128" s="24">
        <v>24</v>
      </c>
      <c r="BV128">
        <v>23</v>
      </c>
      <c r="BW128" s="28">
        <v>1</v>
      </c>
      <c r="BX128" s="31"/>
      <c r="BY128" s="24">
        <v>8</v>
      </c>
      <c r="BZ128">
        <v>8</v>
      </c>
      <c r="CA128" s="28">
        <v>0</v>
      </c>
      <c r="CB128" s="31"/>
      <c r="CC128">
        <v>8</v>
      </c>
      <c r="CD128">
        <v>8</v>
      </c>
      <c r="CE128" s="28">
        <v>0</v>
      </c>
      <c r="CF128" s="31"/>
      <c r="CG128" s="24">
        <v>8</v>
      </c>
      <c r="CI128">
        <v>7</v>
      </c>
      <c r="CJ128" s="28">
        <v>1</v>
      </c>
      <c r="CK128" s="31"/>
      <c r="CL128" s="30"/>
      <c r="CP128" s="28">
        <v>0</v>
      </c>
      <c r="CQ128" s="31"/>
      <c r="CR128" s="24">
        <v>16</v>
      </c>
      <c r="CT128">
        <v>20</v>
      </c>
      <c r="CU128" s="28">
        <v>-4</v>
      </c>
      <c r="CV128" s="31"/>
      <c r="CW128">
        <v>8</v>
      </c>
      <c r="CX128" s="28">
        <v>8</v>
      </c>
      <c r="CY128" s="28">
        <v>0</v>
      </c>
      <c r="CZ128" s="31"/>
      <c r="DA128" s="33"/>
      <c r="DC128" s="28">
        <v>0</v>
      </c>
      <c r="DD128" s="31"/>
      <c r="DE128" s="24">
        <v>8</v>
      </c>
      <c r="DF128" s="28">
        <v>10.199999999999999</v>
      </c>
      <c r="DG128" s="28">
        <v>-2.1999999999999988</v>
      </c>
      <c r="DH128" s="31"/>
      <c r="DI128" s="24">
        <v>8</v>
      </c>
      <c r="DJ128">
        <v>8</v>
      </c>
      <c r="DK128" s="28">
        <v>0</v>
      </c>
      <c r="DL128" s="31"/>
      <c r="DM128">
        <v>16</v>
      </c>
      <c r="DN128" s="32">
        <v>19</v>
      </c>
      <c r="DO128" s="28">
        <v>-3</v>
      </c>
      <c r="DP128" s="31"/>
      <c r="DS128" s="28">
        <v>0</v>
      </c>
      <c r="DT128" s="31"/>
      <c r="DU128" s="24">
        <v>8</v>
      </c>
      <c r="DW128">
        <v>8</v>
      </c>
      <c r="DX128" s="28">
        <v>0</v>
      </c>
      <c r="DY128" s="31"/>
      <c r="DZ128" s="24">
        <v>8</v>
      </c>
      <c r="EB128">
        <v>8</v>
      </c>
      <c r="EC128" s="28">
        <v>0</v>
      </c>
      <c r="ED128" s="31"/>
      <c r="EE128">
        <v>16</v>
      </c>
      <c r="EF128" s="32">
        <v>18.399999999999999</v>
      </c>
      <c r="EG128" s="28">
        <v>-2.399999999999999</v>
      </c>
      <c r="EH128" s="31"/>
      <c r="EI128" s="30"/>
      <c r="EL128">
        <v>8</v>
      </c>
      <c r="EM128">
        <v>9</v>
      </c>
      <c r="EN128" s="28">
        <v>-1</v>
      </c>
      <c r="EO128" s="31"/>
      <c r="ER128" s="28">
        <v>0</v>
      </c>
      <c r="ES128" s="31"/>
      <c r="ET128" s="30"/>
      <c r="EX128" s="28">
        <v>0</v>
      </c>
      <c r="EY128" s="31"/>
      <c r="FB128">
        <v>24</v>
      </c>
      <c r="FC128">
        <v>24</v>
      </c>
      <c r="FD128" s="28">
        <v>0</v>
      </c>
      <c r="FE128" s="31"/>
      <c r="FH128" s="28">
        <v>0</v>
      </c>
      <c r="FI128" s="31"/>
      <c r="FJ128" s="24">
        <v>16</v>
      </c>
      <c r="FK128">
        <v>18</v>
      </c>
      <c r="FL128" s="28">
        <v>-2</v>
      </c>
      <c r="FM128" s="31"/>
      <c r="FN128" s="24">
        <v>8</v>
      </c>
      <c r="FO128">
        <v>8</v>
      </c>
      <c r="FP128" s="28">
        <v>0</v>
      </c>
      <c r="FQ128" s="31"/>
      <c r="FT128" s="28">
        <v>0</v>
      </c>
      <c r="FU128" s="31"/>
      <c r="FV128" s="24">
        <v>16</v>
      </c>
      <c r="FW128">
        <v>16</v>
      </c>
      <c r="FX128" s="28">
        <v>0</v>
      </c>
      <c r="FY128" s="31"/>
      <c r="FZ128" s="30"/>
      <c r="GB128" s="28">
        <v>0</v>
      </c>
      <c r="GC128" s="31"/>
      <c r="GF128" s="28">
        <v>0</v>
      </c>
      <c r="GG128" s="34"/>
      <c r="GJ128" s="28">
        <v>0</v>
      </c>
      <c r="GK128" s="31"/>
      <c r="GL128">
        <v>8</v>
      </c>
      <c r="GM128">
        <v>4.8</v>
      </c>
      <c r="GN128" s="28">
        <v>3.2</v>
      </c>
      <c r="GO128" s="34"/>
      <c r="GR128" s="28">
        <v>0</v>
      </c>
      <c r="GS128" s="31"/>
      <c r="GV128" s="28">
        <v>0</v>
      </c>
      <c r="GW128" s="34"/>
      <c r="GX128">
        <v>8</v>
      </c>
      <c r="GY128" s="32">
        <v>10</v>
      </c>
      <c r="GZ128" s="28">
        <v>-2</v>
      </c>
      <c r="HA128" s="31"/>
      <c r="HB128" s="33"/>
      <c r="HD128" s="28">
        <v>0</v>
      </c>
      <c r="HE128" s="34"/>
      <c r="HH128" s="28">
        <v>0</v>
      </c>
      <c r="HI128" s="34"/>
      <c r="HL128" s="28">
        <v>0</v>
      </c>
      <c r="HM128" s="34"/>
      <c r="HP128" s="28">
        <v>0</v>
      </c>
      <c r="HQ128" s="31"/>
      <c r="HR128" s="29"/>
      <c r="HT128">
        <v>24</v>
      </c>
      <c r="HU128">
        <v>26</v>
      </c>
      <c r="HV128" s="28">
        <v>-2</v>
      </c>
      <c r="HW128" s="34"/>
      <c r="HX128" s="32">
        <v>0</v>
      </c>
      <c r="HY128" s="32">
        <v>0</v>
      </c>
      <c r="HZ128" s="28">
        <v>0</v>
      </c>
      <c r="IA128" s="34"/>
      <c r="IB128" s="32">
        <v>0</v>
      </c>
      <c r="IC128" s="32">
        <v>0</v>
      </c>
      <c r="ID128" s="28">
        <v>0</v>
      </c>
      <c r="IE128" s="34"/>
      <c r="IF128" s="33">
        <v>0</v>
      </c>
      <c r="IG128" s="32">
        <v>0</v>
      </c>
      <c r="IH128" s="28">
        <v>0</v>
      </c>
      <c r="II128" s="34"/>
    </row>
    <row r="129" spans="1:243" x14ac:dyDescent="0.25">
      <c r="A129" s="28" t="s">
        <v>261</v>
      </c>
      <c r="B129" s="29">
        <v>0.36</v>
      </c>
      <c r="J129" s="30"/>
      <c r="K129" s="35"/>
      <c r="L129" s="35"/>
      <c r="M129" s="35"/>
      <c r="N129" s="35">
        <f t="shared" si="5"/>
        <v>0</v>
      </c>
      <c r="O129" s="31"/>
      <c r="P129" s="35"/>
      <c r="R129">
        <v>20</v>
      </c>
      <c r="S129" s="27">
        <v>-20</v>
      </c>
      <c r="T129" s="31">
        <v>7.1999999999999993</v>
      </c>
      <c r="U129" s="30"/>
      <c r="V129">
        <v>40</v>
      </c>
      <c r="W129" s="27">
        <v>-40</v>
      </c>
      <c r="X129" s="31">
        <v>14.4</v>
      </c>
      <c r="Y129" s="30"/>
      <c r="AA129" s="28">
        <v>0</v>
      </c>
      <c r="AB129" s="31"/>
      <c r="AD129">
        <v>42</v>
      </c>
      <c r="AE129" s="27">
        <v>-42</v>
      </c>
      <c r="AF129" s="31">
        <v>15.12</v>
      </c>
      <c r="AG129" s="30"/>
      <c r="AH129">
        <v>26</v>
      </c>
      <c r="AI129" s="27">
        <v>-26</v>
      </c>
      <c r="AJ129" s="31">
        <v>9.36</v>
      </c>
      <c r="AK129">
        <v>16</v>
      </c>
      <c r="AL129">
        <v>16</v>
      </c>
      <c r="AM129" s="28">
        <v>0</v>
      </c>
      <c r="AN129" s="31"/>
      <c r="AO129" s="30"/>
      <c r="AQ129" s="28">
        <v>0</v>
      </c>
      <c r="AR129" s="31"/>
      <c r="AS129" s="24">
        <v>16</v>
      </c>
      <c r="AT129">
        <v>20</v>
      </c>
      <c r="AU129" s="28">
        <v>-4</v>
      </c>
      <c r="AV129" s="31"/>
      <c r="AY129" s="28">
        <v>0</v>
      </c>
      <c r="AZ129" s="31"/>
      <c r="BA129" s="30"/>
      <c r="BC129">
        <v>8</v>
      </c>
      <c r="BD129">
        <v>18</v>
      </c>
      <c r="BE129" s="27">
        <v>-10</v>
      </c>
      <c r="BF129" s="31">
        <v>9.64</v>
      </c>
      <c r="BG129" s="24">
        <v>8</v>
      </c>
      <c r="BH129">
        <v>8</v>
      </c>
      <c r="BI129" s="28">
        <v>0</v>
      </c>
      <c r="BJ129" s="31"/>
      <c r="BO129" s="28">
        <v>0</v>
      </c>
      <c r="BP129" s="31"/>
      <c r="BQ129">
        <v>16</v>
      </c>
      <c r="BR129">
        <v>20</v>
      </c>
      <c r="BS129" s="28">
        <v>-4</v>
      </c>
      <c r="BT129" s="31"/>
      <c r="BU129" s="30"/>
      <c r="BW129" s="28">
        <v>0</v>
      </c>
      <c r="BX129" s="31"/>
      <c r="BY129" s="30"/>
      <c r="BZ129">
        <v>8</v>
      </c>
      <c r="CA129" s="27">
        <v>-8</v>
      </c>
      <c r="CB129" s="31">
        <v>2.88</v>
      </c>
      <c r="CC129">
        <v>16</v>
      </c>
      <c r="CD129">
        <v>15</v>
      </c>
      <c r="CE129" s="28">
        <v>1</v>
      </c>
      <c r="CF129" s="31"/>
      <c r="CG129" s="30"/>
      <c r="CJ129" s="28">
        <v>0</v>
      </c>
      <c r="CK129" s="31"/>
      <c r="CL129" s="30"/>
      <c r="CP129" s="28">
        <v>0</v>
      </c>
      <c r="CQ129" s="31"/>
      <c r="CR129" s="24">
        <v>24</v>
      </c>
      <c r="CT129">
        <v>29</v>
      </c>
      <c r="CU129" s="28">
        <v>-5</v>
      </c>
      <c r="CV129" s="31"/>
      <c r="CY129" s="28">
        <v>0</v>
      </c>
      <c r="CZ129" s="31"/>
      <c r="DA129" s="24">
        <v>24</v>
      </c>
      <c r="DB129" s="28">
        <v>29.2</v>
      </c>
      <c r="DC129" s="28">
        <v>-5.1999999999999993</v>
      </c>
      <c r="DD129" s="31"/>
      <c r="DE129" s="24">
        <v>8</v>
      </c>
      <c r="DF129" s="28">
        <v>11.2</v>
      </c>
      <c r="DG129" s="28">
        <v>-3.1999999999999988</v>
      </c>
      <c r="DH129" s="31"/>
      <c r="DI129" s="30"/>
      <c r="DK129" s="28">
        <v>0</v>
      </c>
      <c r="DL129" s="31"/>
      <c r="DM129">
        <v>16</v>
      </c>
      <c r="DN129" s="32">
        <v>16.600000000000001</v>
      </c>
      <c r="DO129" s="28">
        <v>-0.60000000000000142</v>
      </c>
      <c r="DP129" s="31"/>
      <c r="DQ129">
        <v>16</v>
      </c>
      <c r="DR129">
        <v>21</v>
      </c>
      <c r="DS129" s="28">
        <v>-5</v>
      </c>
      <c r="DT129" s="31"/>
      <c r="DU129" s="30"/>
      <c r="DX129" s="28">
        <v>0</v>
      </c>
      <c r="DY129" s="31"/>
      <c r="DZ129" s="30"/>
      <c r="EC129" s="28">
        <v>0</v>
      </c>
      <c r="ED129" s="31"/>
      <c r="EG129" s="28">
        <v>0</v>
      </c>
      <c r="EH129" s="31"/>
      <c r="EI129" s="30"/>
      <c r="EL129">
        <v>24</v>
      </c>
      <c r="EM129">
        <v>26</v>
      </c>
      <c r="EN129" s="28">
        <v>-2</v>
      </c>
      <c r="EO129" s="31"/>
      <c r="EP129">
        <v>8</v>
      </c>
      <c r="EQ129" s="32">
        <v>11.8</v>
      </c>
      <c r="ER129" s="28">
        <v>-3.8000000000000012</v>
      </c>
      <c r="ES129" s="31"/>
      <c r="ET129" s="30"/>
      <c r="EX129" s="28">
        <v>0</v>
      </c>
      <c r="EY129" s="31"/>
      <c r="FB129">
        <v>24</v>
      </c>
      <c r="FC129">
        <v>28</v>
      </c>
      <c r="FD129" s="28">
        <v>-4</v>
      </c>
      <c r="FE129" s="31"/>
      <c r="FH129" s="28">
        <v>0</v>
      </c>
      <c r="FI129" s="31"/>
      <c r="FJ129" s="24">
        <v>8</v>
      </c>
      <c r="FK129">
        <v>7</v>
      </c>
      <c r="FL129" s="28">
        <v>1</v>
      </c>
      <c r="FM129" s="31"/>
      <c r="FN129" s="24">
        <v>16</v>
      </c>
      <c r="FO129">
        <v>16</v>
      </c>
      <c r="FP129" s="28">
        <v>0</v>
      </c>
      <c r="FQ129" s="31"/>
      <c r="FR129">
        <v>16</v>
      </c>
      <c r="FS129">
        <v>15</v>
      </c>
      <c r="FT129" s="28">
        <v>1</v>
      </c>
      <c r="FU129" s="31"/>
      <c r="FV129" s="24">
        <v>24</v>
      </c>
      <c r="FW129">
        <v>24</v>
      </c>
      <c r="FX129" s="28">
        <v>0</v>
      </c>
      <c r="FY129" s="31"/>
      <c r="FZ129" s="30"/>
      <c r="GB129" s="28">
        <v>0</v>
      </c>
      <c r="GC129" s="31"/>
      <c r="GD129">
        <v>8</v>
      </c>
      <c r="GE129">
        <v>8</v>
      </c>
      <c r="GF129" s="28">
        <v>0</v>
      </c>
      <c r="GG129" s="34"/>
      <c r="GH129">
        <v>24</v>
      </c>
      <c r="GI129">
        <v>25</v>
      </c>
      <c r="GJ129" s="28">
        <v>-1</v>
      </c>
      <c r="GK129" s="31"/>
      <c r="GL129">
        <v>8</v>
      </c>
      <c r="GM129">
        <v>8</v>
      </c>
      <c r="GN129" s="28">
        <v>0</v>
      </c>
      <c r="GO129" s="34"/>
      <c r="GP129">
        <v>24</v>
      </c>
      <c r="GQ129">
        <v>22</v>
      </c>
      <c r="GR129" s="28">
        <v>2</v>
      </c>
      <c r="GS129" s="31"/>
      <c r="GT129">
        <v>8</v>
      </c>
      <c r="GU129">
        <v>8</v>
      </c>
      <c r="GV129" s="28">
        <v>0</v>
      </c>
      <c r="GW129" s="34"/>
      <c r="GZ129" s="28">
        <v>0</v>
      </c>
      <c r="HA129" s="31"/>
      <c r="HB129" s="33"/>
      <c r="HD129" s="28">
        <v>0</v>
      </c>
      <c r="HE129" s="34"/>
      <c r="HF129">
        <v>40</v>
      </c>
      <c r="HG129">
        <v>39</v>
      </c>
      <c r="HH129" s="28">
        <v>1</v>
      </c>
      <c r="HI129" s="34"/>
      <c r="HL129" s="28">
        <v>0</v>
      </c>
      <c r="HM129" s="34"/>
      <c r="HP129" s="28">
        <v>0</v>
      </c>
      <c r="HQ129" s="31"/>
      <c r="HR129" s="29"/>
      <c r="HT129">
        <v>32</v>
      </c>
      <c r="HU129">
        <v>36</v>
      </c>
      <c r="HV129" s="28">
        <v>-4</v>
      </c>
      <c r="HW129" s="34"/>
      <c r="HX129" s="32">
        <v>0</v>
      </c>
      <c r="HY129" s="32">
        <v>0</v>
      </c>
      <c r="HZ129" s="28">
        <v>0</v>
      </c>
      <c r="IA129" s="34"/>
      <c r="IB129" s="32">
        <v>0</v>
      </c>
      <c r="IC129" s="32">
        <v>0</v>
      </c>
      <c r="ID129" s="28">
        <v>0</v>
      </c>
      <c r="IE129" s="34"/>
      <c r="IF129" s="33">
        <v>0</v>
      </c>
      <c r="IG129" s="32">
        <v>0</v>
      </c>
      <c r="IH129" s="28">
        <v>0</v>
      </c>
      <c r="II129" s="34"/>
    </row>
    <row r="130" spans="1:243" x14ac:dyDescent="0.25">
      <c r="A130" s="28" t="s">
        <v>262</v>
      </c>
      <c r="B130" s="29">
        <v>0.15</v>
      </c>
      <c r="J130" s="30"/>
      <c r="K130" s="35"/>
      <c r="L130" s="35"/>
      <c r="M130" s="35"/>
      <c r="N130" s="35">
        <f t="shared" si="5"/>
        <v>0</v>
      </c>
      <c r="O130" s="31"/>
      <c r="P130" s="35"/>
      <c r="S130" s="28">
        <v>0</v>
      </c>
      <c r="T130" s="31"/>
      <c r="U130" s="30"/>
      <c r="W130" s="28">
        <v>0</v>
      </c>
      <c r="X130" s="31"/>
      <c r="Y130" s="30"/>
      <c r="AA130" s="28">
        <v>0</v>
      </c>
      <c r="AB130" s="31"/>
      <c r="AE130" s="28">
        <v>0</v>
      </c>
      <c r="AF130" s="31"/>
      <c r="AG130" s="30"/>
      <c r="AI130" s="28">
        <v>0</v>
      </c>
      <c r="AJ130" s="31"/>
      <c r="AM130" s="28">
        <v>0</v>
      </c>
      <c r="AN130" s="31"/>
      <c r="AO130" s="30"/>
      <c r="AQ130" s="28">
        <v>0</v>
      </c>
      <c r="AR130" s="31"/>
      <c r="AS130" s="30"/>
      <c r="AU130" s="28">
        <v>0</v>
      </c>
      <c r="AV130" s="31"/>
      <c r="AY130" s="28">
        <v>0</v>
      </c>
      <c r="AZ130" s="31"/>
      <c r="BA130" s="30"/>
      <c r="BE130" s="28">
        <v>0</v>
      </c>
      <c r="BF130" s="31"/>
      <c r="BG130" s="30"/>
      <c r="BI130" s="28">
        <v>0</v>
      </c>
      <c r="BJ130" s="31"/>
      <c r="BO130" s="28">
        <v>0</v>
      </c>
      <c r="BP130" s="31"/>
      <c r="BS130" s="28">
        <v>0</v>
      </c>
      <c r="BT130" s="31"/>
      <c r="BU130" s="30"/>
      <c r="BW130" s="28">
        <v>0</v>
      </c>
      <c r="BX130" s="31"/>
      <c r="BY130" s="30"/>
      <c r="CA130" s="28">
        <v>0</v>
      </c>
      <c r="CB130" s="31"/>
      <c r="CE130" s="28">
        <v>0</v>
      </c>
      <c r="CF130" s="31"/>
      <c r="CG130" s="30"/>
      <c r="CJ130" s="28">
        <v>0</v>
      </c>
      <c r="CK130" s="31"/>
      <c r="CL130" s="30"/>
      <c r="CP130" s="28">
        <v>0</v>
      </c>
      <c r="CQ130" s="31"/>
      <c r="CR130" s="30"/>
      <c r="CU130" s="28">
        <v>0</v>
      </c>
      <c r="CV130" s="31"/>
      <c r="CY130" s="28">
        <v>0</v>
      </c>
      <c r="CZ130" s="31"/>
      <c r="DA130" s="33"/>
      <c r="DC130" s="28">
        <v>0</v>
      </c>
      <c r="DD130" s="31"/>
      <c r="DE130" s="30"/>
      <c r="DG130" s="28">
        <v>0</v>
      </c>
      <c r="DH130" s="31"/>
      <c r="DI130" s="30"/>
      <c r="DK130" s="28">
        <v>0</v>
      </c>
      <c r="DL130" s="31"/>
      <c r="DO130" s="28">
        <v>0</v>
      </c>
      <c r="DP130" s="31"/>
      <c r="DS130" s="28">
        <v>0</v>
      </c>
      <c r="DT130" s="31"/>
      <c r="DU130" s="30"/>
      <c r="DX130" s="28">
        <v>0</v>
      </c>
      <c r="DY130" s="31"/>
      <c r="DZ130" s="30"/>
      <c r="EC130" s="28">
        <v>0</v>
      </c>
      <c r="ED130" s="31"/>
      <c r="EG130" s="28">
        <v>0</v>
      </c>
      <c r="EH130" s="31"/>
      <c r="EI130" s="30"/>
      <c r="EN130" s="28">
        <v>0</v>
      </c>
      <c r="EO130" s="31"/>
      <c r="ER130" s="28">
        <v>0</v>
      </c>
      <c r="ES130" s="31"/>
      <c r="ET130" s="30"/>
      <c r="EX130" s="28">
        <v>0</v>
      </c>
      <c r="EY130" s="31"/>
      <c r="FD130" s="28">
        <v>0</v>
      </c>
      <c r="FE130" s="31"/>
      <c r="FH130" s="28">
        <v>0</v>
      </c>
      <c r="FI130" s="31"/>
      <c r="FJ130" s="30"/>
      <c r="FL130" s="28">
        <v>0</v>
      </c>
      <c r="FM130" s="31"/>
      <c r="FN130" s="30"/>
      <c r="FP130" s="28">
        <v>0</v>
      </c>
      <c r="FQ130" s="31"/>
      <c r="FT130" s="28">
        <v>0</v>
      </c>
      <c r="FU130" s="31"/>
      <c r="FV130" s="30"/>
      <c r="FX130" s="28">
        <v>0</v>
      </c>
      <c r="FY130" s="31"/>
      <c r="FZ130" s="30"/>
      <c r="GB130" s="28">
        <v>0</v>
      </c>
      <c r="GC130" s="31"/>
      <c r="GF130" s="28">
        <v>0</v>
      </c>
      <c r="GG130" s="34"/>
      <c r="GJ130" s="28">
        <v>0</v>
      </c>
      <c r="GK130" s="31"/>
      <c r="GN130" s="28">
        <v>0</v>
      </c>
      <c r="GO130" s="34"/>
      <c r="GR130" s="28">
        <v>0</v>
      </c>
      <c r="GS130" s="31"/>
      <c r="GV130" s="28">
        <v>0</v>
      </c>
      <c r="GW130" s="34"/>
      <c r="GZ130" s="28">
        <v>0</v>
      </c>
      <c r="HA130" s="31"/>
      <c r="HB130" s="33"/>
      <c r="HD130" s="28">
        <v>0</v>
      </c>
      <c r="HE130" s="34"/>
      <c r="HH130" s="28">
        <v>0</v>
      </c>
      <c r="HI130" s="34"/>
      <c r="HL130" s="28">
        <v>0</v>
      </c>
      <c r="HM130" s="34"/>
      <c r="HP130" s="28">
        <v>0</v>
      </c>
      <c r="HQ130" s="31"/>
      <c r="HR130" s="29"/>
      <c r="HT130" s="29"/>
      <c r="HV130" s="28">
        <v>0</v>
      </c>
      <c r="HW130" s="34"/>
      <c r="HX130" s="32">
        <v>0</v>
      </c>
      <c r="HY130" s="32">
        <v>0</v>
      </c>
      <c r="HZ130" s="28">
        <v>0</v>
      </c>
      <c r="IA130" s="34"/>
      <c r="IB130" s="32">
        <v>0</v>
      </c>
      <c r="IC130" s="32">
        <v>0</v>
      </c>
      <c r="ID130" s="28">
        <v>0</v>
      </c>
      <c r="IE130" s="34"/>
      <c r="IF130" s="33">
        <v>0</v>
      </c>
      <c r="IG130" s="32">
        <v>0</v>
      </c>
      <c r="IH130" s="28">
        <v>0</v>
      </c>
      <c r="II130" s="34"/>
    </row>
    <row r="131" spans="1:243" x14ac:dyDescent="0.25">
      <c r="A131" s="28" t="s">
        <v>263</v>
      </c>
      <c r="B131" s="29">
        <v>0.15</v>
      </c>
      <c r="J131" s="30"/>
      <c r="K131" s="35"/>
      <c r="L131" s="35"/>
      <c r="M131" s="35"/>
      <c r="N131" s="35">
        <f t="shared" si="5"/>
        <v>0</v>
      </c>
      <c r="O131" s="31"/>
      <c r="P131" s="35"/>
      <c r="S131" s="28">
        <v>0</v>
      </c>
      <c r="T131" s="31"/>
      <c r="U131" s="30"/>
      <c r="W131" s="28">
        <v>0</v>
      </c>
      <c r="X131" s="31"/>
      <c r="Y131" s="30"/>
      <c r="AA131" s="28">
        <v>0</v>
      </c>
      <c r="AB131" s="31"/>
      <c r="AE131" s="28">
        <v>0</v>
      </c>
      <c r="AF131" s="31"/>
      <c r="AG131" s="30"/>
      <c r="AI131" s="28">
        <v>0</v>
      </c>
      <c r="AJ131" s="31"/>
      <c r="AM131" s="28">
        <v>0</v>
      </c>
      <c r="AN131" s="31"/>
      <c r="AO131" s="30"/>
      <c r="AQ131" s="28">
        <v>0</v>
      </c>
      <c r="AR131" s="31"/>
      <c r="AS131" s="30"/>
      <c r="AU131" s="28">
        <v>0</v>
      </c>
      <c r="AV131" s="31"/>
      <c r="AY131" s="28">
        <v>0</v>
      </c>
      <c r="AZ131" s="31"/>
      <c r="BA131" s="30"/>
      <c r="BE131" s="28">
        <v>0</v>
      </c>
      <c r="BF131" s="31"/>
      <c r="BG131" s="30"/>
      <c r="BI131" s="28">
        <v>0</v>
      </c>
      <c r="BJ131" s="31"/>
      <c r="BO131" s="28">
        <v>0</v>
      </c>
      <c r="BP131" s="31"/>
      <c r="BS131" s="28">
        <v>0</v>
      </c>
      <c r="BT131" s="31"/>
      <c r="BU131" s="30"/>
      <c r="BW131" s="28">
        <v>0</v>
      </c>
      <c r="BX131" s="31"/>
      <c r="BY131" s="30"/>
      <c r="CA131" s="28">
        <v>0</v>
      </c>
      <c r="CB131" s="31"/>
      <c r="CE131" s="28">
        <v>0</v>
      </c>
      <c r="CF131" s="31"/>
      <c r="CG131" s="30"/>
      <c r="CJ131" s="28">
        <v>0</v>
      </c>
      <c r="CK131" s="31"/>
      <c r="CL131" s="30"/>
      <c r="CP131" s="28">
        <v>0</v>
      </c>
      <c r="CQ131" s="31"/>
      <c r="CR131" s="30"/>
      <c r="CU131" s="28">
        <v>0</v>
      </c>
      <c r="CV131" s="31"/>
      <c r="CY131" s="28">
        <v>0</v>
      </c>
      <c r="CZ131" s="31"/>
      <c r="DA131" s="33"/>
      <c r="DC131" s="28">
        <v>0</v>
      </c>
      <c r="DD131" s="31"/>
      <c r="DE131" s="30"/>
      <c r="DG131" s="28">
        <v>0</v>
      </c>
      <c r="DH131" s="31"/>
      <c r="DI131" s="30"/>
      <c r="DK131" s="28">
        <v>0</v>
      </c>
      <c r="DL131" s="31"/>
      <c r="DO131" s="28">
        <v>0</v>
      </c>
      <c r="DP131" s="31"/>
      <c r="DS131" s="28">
        <v>0</v>
      </c>
      <c r="DT131" s="31"/>
      <c r="DU131" s="30"/>
      <c r="DX131" s="28">
        <v>0</v>
      </c>
      <c r="DY131" s="31"/>
      <c r="DZ131" s="30"/>
      <c r="EC131" s="28">
        <v>0</v>
      </c>
      <c r="ED131" s="31"/>
      <c r="EG131" s="28">
        <v>0</v>
      </c>
      <c r="EH131" s="31"/>
      <c r="EI131" s="30"/>
      <c r="EN131" s="28">
        <v>0</v>
      </c>
      <c r="EO131" s="31"/>
      <c r="ER131" s="28">
        <v>0</v>
      </c>
      <c r="ES131" s="31"/>
      <c r="ET131" s="30"/>
      <c r="EX131" s="28">
        <v>0</v>
      </c>
      <c r="EY131" s="31"/>
      <c r="FD131" s="28">
        <v>0</v>
      </c>
      <c r="FE131" s="31"/>
      <c r="FH131" s="28">
        <v>0</v>
      </c>
      <c r="FI131" s="31"/>
      <c r="FJ131" s="30"/>
      <c r="FL131" s="28">
        <v>0</v>
      </c>
      <c r="FM131" s="31"/>
      <c r="FN131" s="30"/>
      <c r="FP131" s="28">
        <v>0</v>
      </c>
      <c r="FQ131" s="31"/>
      <c r="FT131" s="28">
        <v>0</v>
      </c>
      <c r="FU131" s="31"/>
      <c r="FV131" s="30"/>
      <c r="FX131" s="28">
        <v>0</v>
      </c>
      <c r="FY131" s="31"/>
      <c r="FZ131" s="30"/>
      <c r="GB131" s="28">
        <v>0</v>
      </c>
      <c r="GC131" s="31"/>
      <c r="GF131" s="28">
        <v>0</v>
      </c>
      <c r="GG131" s="34"/>
      <c r="GJ131" s="28">
        <v>0</v>
      </c>
      <c r="GK131" s="31"/>
      <c r="GN131" s="28">
        <v>0</v>
      </c>
      <c r="GO131" s="34"/>
      <c r="GR131" s="28">
        <v>0</v>
      </c>
      <c r="GS131" s="31"/>
      <c r="GV131" s="28">
        <v>0</v>
      </c>
      <c r="GW131" s="34"/>
      <c r="GZ131" s="28">
        <v>0</v>
      </c>
      <c r="HA131" s="31"/>
      <c r="HB131" s="33"/>
      <c r="HD131" s="28">
        <v>0</v>
      </c>
      <c r="HE131" s="34"/>
      <c r="HH131" s="28">
        <v>0</v>
      </c>
      <c r="HI131" s="34"/>
      <c r="HL131" s="28">
        <v>0</v>
      </c>
      <c r="HM131" s="34"/>
      <c r="HP131" s="28">
        <v>0</v>
      </c>
      <c r="HQ131" s="31"/>
      <c r="HR131" s="29"/>
      <c r="HT131" s="29"/>
      <c r="HV131" s="28">
        <v>0</v>
      </c>
      <c r="HW131" s="34"/>
      <c r="HX131" s="32">
        <v>0</v>
      </c>
      <c r="HY131" s="32">
        <v>0</v>
      </c>
      <c r="HZ131" s="28">
        <v>0</v>
      </c>
      <c r="IA131" s="34"/>
      <c r="IB131" s="32">
        <v>0</v>
      </c>
      <c r="IC131" s="32">
        <v>0</v>
      </c>
      <c r="ID131" s="28">
        <v>0</v>
      </c>
      <c r="IE131" s="34"/>
      <c r="IF131" s="33">
        <v>0</v>
      </c>
      <c r="IG131" s="32">
        <v>0</v>
      </c>
      <c r="IH131" s="28">
        <v>0</v>
      </c>
      <c r="II131" s="34"/>
    </row>
    <row r="132" spans="1:243" x14ac:dyDescent="0.25">
      <c r="A132" s="28" t="s">
        <v>264</v>
      </c>
      <c r="B132" s="29">
        <v>0.15</v>
      </c>
      <c r="J132" s="30"/>
      <c r="K132" s="35"/>
      <c r="L132" s="35"/>
      <c r="M132" s="35"/>
      <c r="N132" s="35">
        <f t="shared" ref="N132:N183" si="6">J132+L132-K132-M132</f>
        <v>0</v>
      </c>
      <c r="O132" s="31"/>
      <c r="P132" s="35"/>
      <c r="S132" s="28">
        <v>0</v>
      </c>
      <c r="T132" s="31"/>
      <c r="U132" s="30"/>
      <c r="W132" s="28">
        <v>0</v>
      </c>
      <c r="X132" s="31"/>
      <c r="Y132" s="30"/>
      <c r="AA132" s="28">
        <v>0</v>
      </c>
      <c r="AB132" s="31"/>
      <c r="AE132" s="28">
        <v>0</v>
      </c>
      <c r="AF132" s="31"/>
      <c r="AG132" s="30"/>
      <c r="AI132" s="28">
        <v>0</v>
      </c>
      <c r="AJ132" s="31"/>
      <c r="AM132" s="28">
        <v>0</v>
      </c>
      <c r="AN132" s="31"/>
      <c r="AO132" s="30"/>
      <c r="AQ132" s="28">
        <v>0</v>
      </c>
      <c r="AR132" s="31"/>
      <c r="AS132" s="30"/>
      <c r="AU132" s="28">
        <v>0</v>
      </c>
      <c r="AV132" s="31"/>
      <c r="AY132" s="28">
        <v>0</v>
      </c>
      <c r="AZ132" s="31"/>
      <c r="BA132" s="30"/>
      <c r="BE132" s="28">
        <v>0</v>
      </c>
      <c r="BF132" s="31"/>
      <c r="BG132" s="30"/>
      <c r="BI132" s="28">
        <v>0</v>
      </c>
      <c r="BJ132" s="31"/>
      <c r="BO132" s="28">
        <v>0</v>
      </c>
      <c r="BP132" s="31"/>
      <c r="BS132" s="28">
        <v>0</v>
      </c>
      <c r="BT132" s="31"/>
      <c r="BU132" s="30"/>
      <c r="BW132" s="28">
        <v>0</v>
      </c>
      <c r="BX132" s="31"/>
      <c r="BY132" s="30"/>
      <c r="CA132" s="28">
        <v>0</v>
      </c>
      <c r="CB132" s="31"/>
      <c r="CE132" s="28">
        <v>0</v>
      </c>
      <c r="CF132" s="31"/>
      <c r="CG132" s="30"/>
      <c r="CJ132" s="28">
        <v>0</v>
      </c>
      <c r="CK132" s="31"/>
      <c r="CL132" s="30"/>
      <c r="CP132" s="28">
        <v>0</v>
      </c>
      <c r="CQ132" s="31"/>
      <c r="CR132" s="30"/>
      <c r="CU132" s="28">
        <v>0</v>
      </c>
      <c r="CV132" s="31"/>
      <c r="CY132" s="28">
        <v>0</v>
      </c>
      <c r="CZ132" s="31"/>
      <c r="DA132" s="33"/>
      <c r="DC132" s="28">
        <v>0</v>
      </c>
      <c r="DD132" s="31"/>
      <c r="DE132" s="30"/>
      <c r="DG132" s="28">
        <v>0</v>
      </c>
      <c r="DH132" s="31"/>
      <c r="DI132" s="30"/>
      <c r="DK132" s="28">
        <v>0</v>
      </c>
      <c r="DL132" s="31"/>
      <c r="DO132" s="28">
        <v>0</v>
      </c>
      <c r="DP132" s="31"/>
      <c r="DS132" s="28">
        <v>0</v>
      </c>
      <c r="DT132" s="31"/>
      <c r="DU132" s="30"/>
      <c r="DX132" s="28">
        <v>0</v>
      </c>
      <c r="DY132" s="31"/>
      <c r="DZ132" s="30"/>
      <c r="EC132" s="28">
        <v>0</v>
      </c>
      <c r="ED132" s="31"/>
      <c r="EG132" s="28">
        <v>0</v>
      </c>
      <c r="EH132" s="31"/>
      <c r="EI132" s="30"/>
      <c r="EN132" s="28">
        <v>0</v>
      </c>
      <c r="EO132" s="31"/>
      <c r="ER132" s="28">
        <v>0</v>
      </c>
      <c r="ES132" s="31"/>
      <c r="ET132" s="30"/>
      <c r="EX132" s="28">
        <v>0</v>
      </c>
      <c r="EY132" s="31"/>
      <c r="FD132" s="28">
        <v>0</v>
      </c>
      <c r="FE132" s="31"/>
      <c r="FH132" s="28">
        <v>0</v>
      </c>
      <c r="FI132" s="31"/>
      <c r="FJ132" s="30"/>
      <c r="FL132" s="28">
        <v>0</v>
      </c>
      <c r="FM132" s="31"/>
      <c r="FN132" s="30"/>
      <c r="FP132" s="28">
        <v>0</v>
      </c>
      <c r="FQ132" s="31"/>
      <c r="FT132" s="28">
        <v>0</v>
      </c>
      <c r="FU132" s="31"/>
      <c r="FV132" s="30"/>
      <c r="FX132" s="28">
        <v>0</v>
      </c>
      <c r="FY132" s="31"/>
      <c r="FZ132" s="30"/>
      <c r="GB132" s="28">
        <v>0</v>
      </c>
      <c r="GC132" s="31"/>
      <c r="GF132" s="28">
        <v>0</v>
      </c>
      <c r="GG132" s="34"/>
      <c r="GJ132" s="28">
        <v>0</v>
      </c>
      <c r="GK132" s="31"/>
      <c r="GN132" s="28">
        <v>0</v>
      </c>
      <c r="GO132" s="34"/>
      <c r="GR132" s="28">
        <v>0</v>
      </c>
      <c r="GS132" s="31"/>
      <c r="GV132" s="28">
        <v>0</v>
      </c>
      <c r="GW132" s="34"/>
      <c r="GZ132" s="28">
        <v>0</v>
      </c>
      <c r="HA132" s="31"/>
      <c r="HB132" s="33"/>
      <c r="HD132" s="28">
        <v>0</v>
      </c>
      <c r="HE132" s="34"/>
      <c r="HH132" s="28">
        <v>0</v>
      </c>
      <c r="HI132" s="34"/>
      <c r="HL132" s="28">
        <v>0</v>
      </c>
      <c r="HM132" s="34"/>
      <c r="HP132" s="28">
        <v>0</v>
      </c>
      <c r="HQ132" s="31"/>
      <c r="HR132" s="29"/>
      <c r="HT132" s="29"/>
      <c r="HV132" s="28">
        <v>0</v>
      </c>
      <c r="HW132" s="34"/>
      <c r="HX132" s="32">
        <v>0</v>
      </c>
      <c r="HY132" s="32">
        <v>0</v>
      </c>
      <c r="HZ132" s="28">
        <v>0</v>
      </c>
      <c r="IA132" s="34"/>
      <c r="IB132" s="32">
        <v>0</v>
      </c>
      <c r="IC132" s="32">
        <v>0</v>
      </c>
      <c r="ID132" s="28">
        <v>0</v>
      </c>
      <c r="IE132" s="34"/>
      <c r="IF132" s="33">
        <v>0</v>
      </c>
      <c r="IG132" s="32">
        <v>0</v>
      </c>
      <c r="IH132" s="28">
        <v>0</v>
      </c>
      <c r="II132" s="34"/>
    </row>
    <row r="133" spans="1:243" x14ac:dyDescent="0.25">
      <c r="A133" s="28" t="s">
        <v>265</v>
      </c>
      <c r="B133" s="29">
        <v>1</v>
      </c>
      <c r="F133">
        <v>50</v>
      </c>
      <c r="G133">
        <v>50</v>
      </c>
      <c r="J133" s="24">
        <v>179</v>
      </c>
      <c r="K133" s="36">
        <v>180</v>
      </c>
      <c r="L133" s="36">
        <v>194</v>
      </c>
      <c r="M133" s="36">
        <v>197</v>
      </c>
      <c r="N133" s="35">
        <f t="shared" si="6"/>
        <v>-4</v>
      </c>
      <c r="O133" s="31"/>
      <c r="P133" s="35"/>
      <c r="Q133">
        <v>25</v>
      </c>
      <c r="R133">
        <v>26</v>
      </c>
      <c r="S133" s="28">
        <v>-1</v>
      </c>
      <c r="T133" s="31"/>
      <c r="U133" s="24">
        <v>253</v>
      </c>
      <c r="V133">
        <v>250</v>
      </c>
      <c r="W133" s="28">
        <v>3</v>
      </c>
      <c r="X133" s="31"/>
      <c r="Y133" s="24">
        <v>367</v>
      </c>
      <c r="Z133">
        <v>360</v>
      </c>
      <c r="AA133" s="28">
        <v>7</v>
      </c>
      <c r="AB133" s="31"/>
      <c r="AC133">
        <v>76</v>
      </c>
      <c r="AD133">
        <v>75</v>
      </c>
      <c r="AE133" s="28">
        <v>1</v>
      </c>
      <c r="AF133" s="31"/>
      <c r="AG133" s="24">
        <v>409</v>
      </c>
      <c r="AH133">
        <v>412</v>
      </c>
      <c r="AI133" s="28">
        <v>-3</v>
      </c>
      <c r="AJ133" s="31"/>
      <c r="AK133">
        <v>151</v>
      </c>
      <c r="AL133">
        <v>152</v>
      </c>
      <c r="AM133" s="28">
        <v>-1</v>
      </c>
      <c r="AN133" s="31"/>
      <c r="AO133" s="24">
        <v>427</v>
      </c>
      <c r="AP133">
        <v>432</v>
      </c>
      <c r="AQ133" s="28">
        <v>-5</v>
      </c>
      <c r="AR133" s="31"/>
      <c r="AS133" s="30"/>
      <c r="AU133" s="28">
        <v>0</v>
      </c>
      <c r="AV133" s="31"/>
      <c r="AY133" s="28">
        <v>0</v>
      </c>
      <c r="AZ133" s="31"/>
      <c r="BA133" s="24">
        <v>266</v>
      </c>
      <c r="BB133">
        <v>270</v>
      </c>
      <c r="BC133">
        <v>266</v>
      </c>
      <c r="BD133">
        <v>268</v>
      </c>
      <c r="BE133" s="28">
        <v>-6</v>
      </c>
      <c r="BF133" s="31"/>
      <c r="BG133" s="30"/>
      <c r="BI133" s="28">
        <v>0</v>
      </c>
      <c r="BJ133" s="31"/>
      <c r="BK133">
        <v>152</v>
      </c>
      <c r="BL133">
        <v>150</v>
      </c>
      <c r="BM133">
        <v>385</v>
      </c>
      <c r="BN133">
        <v>389</v>
      </c>
      <c r="BO133" s="28">
        <v>-2</v>
      </c>
      <c r="BP133" s="31"/>
      <c r="BQ133">
        <v>92</v>
      </c>
      <c r="BR133">
        <v>95</v>
      </c>
      <c r="BS133" s="28">
        <v>-3</v>
      </c>
      <c r="BT133" s="31"/>
      <c r="BU133" s="24">
        <v>217</v>
      </c>
      <c r="BV133">
        <v>232</v>
      </c>
      <c r="BW133" s="27">
        <v>-15</v>
      </c>
      <c r="BX133" s="31">
        <v>15</v>
      </c>
      <c r="BY133" s="24">
        <v>134</v>
      </c>
      <c r="BZ133">
        <v>134</v>
      </c>
      <c r="CA133" s="28">
        <v>0</v>
      </c>
      <c r="CB133" s="31"/>
      <c r="CC133">
        <v>330</v>
      </c>
      <c r="CD133">
        <v>331</v>
      </c>
      <c r="CE133" s="28">
        <v>-1</v>
      </c>
      <c r="CF133" s="31"/>
      <c r="CG133" s="30"/>
      <c r="CJ133" s="28">
        <v>0</v>
      </c>
      <c r="CK133" s="31"/>
      <c r="CL133" s="30"/>
      <c r="CN133">
        <v>348</v>
      </c>
      <c r="CO133">
        <v>347</v>
      </c>
      <c r="CP133" s="28">
        <v>1</v>
      </c>
      <c r="CQ133" s="31"/>
      <c r="CR133" s="24">
        <v>201</v>
      </c>
      <c r="CT133">
        <v>202</v>
      </c>
      <c r="CU133" s="28">
        <v>-1</v>
      </c>
      <c r="CV133" s="31"/>
      <c r="CW133">
        <v>299</v>
      </c>
      <c r="CX133" s="28">
        <v>303.75560000000002</v>
      </c>
      <c r="CY133" s="28">
        <v>-4.7556000000000154</v>
      </c>
      <c r="CZ133" s="31"/>
      <c r="DA133" s="33"/>
      <c r="DC133" s="28">
        <v>0</v>
      </c>
      <c r="DD133" s="31"/>
      <c r="DE133" s="24">
        <v>220</v>
      </c>
      <c r="DF133" s="28">
        <v>221.18199999999999</v>
      </c>
      <c r="DG133" s="28">
        <v>-1.1819999999999879</v>
      </c>
      <c r="DH133" s="31"/>
      <c r="DI133" s="24">
        <v>34</v>
      </c>
      <c r="DJ133">
        <v>31</v>
      </c>
      <c r="DK133" s="28">
        <v>3</v>
      </c>
      <c r="DL133" s="31"/>
      <c r="DM133">
        <v>25</v>
      </c>
      <c r="DN133" s="32">
        <v>27.744800000000001</v>
      </c>
      <c r="DO133" s="28">
        <v>-2.744800000000001</v>
      </c>
      <c r="DP133" s="31"/>
      <c r="DQ133">
        <v>344</v>
      </c>
      <c r="DR133">
        <v>345</v>
      </c>
      <c r="DS133" s="28">
        <v>-1</v>
      </c>
      <c r="DT133" s="31"/>
      <c r="DU133" s="30"/>
      <c r="DX133" s="28">
        <v>0</v>
      </c>
      <c r="DY133" s="31"/>
      <c r="DZ133" s="30"/>
      <c r="EC133" s="28">
        <v>0</v>
      </c>
      <c r="ED133" s="31"/>
      <c r="EG133" s="28">
        <v>0</v>
      </c>
      <c r="EH133" s="31"/>
      <c r="EI133" s="30"/>
      <c r="EJ133">
        <v>179</v>
      </c>
      <c r="EK133">
        <v>180</v>
      </c>
      <c r="EL133">
        <v>161</v>
      </c>
      <c r="EM133">
        <v>162</v>
      </c>
      <c r="EN133" s="28">
        <v>-2</v>
      </c>
      <c r="EO133" s="31"/>
      <c r="EP133">
        <v>276</v>
      </c>
      <c r="EQ133" s="32">
        <v>275.31939999999997</v>
      </c>
      <c r="ER133" s="28">
        <v>0.68060000000002674</v>
      </c>
      <c r="ES133" s="31"/>
      <c r="ET133" s="24">
        <v>59</v>
      </c>
      <c r="EU133">
        <v>60</v>
      </c>
      <c r="EV133">
        <v>51</v>
      </c>
      <c r="EW133">
        <v>50</v>
      </c>
      <c r="EX133" s="28">
        <v>0</v>
      </c>
      <c r="EY133" s="31"/>
      <c r="EZ133">
        <v>127</v>
      </c>
      <c r="FA133">
        <v>130</v>
      </c>
      <c r="FB133">
        <v>125</v>
      </c>
      <c r="FC133">
        <v>130</v>
      </c>
      <c r="FD133" s="28">
        <v>-8</v>
      </c>
      <c r="FE133" s="31"/>
      <c r="FF133">
        <v>118</v>
      </c>
      <c r="FG133" s="32">
        <v>118.2676</v>
      </c>
      <c r="FH133" s="28">
        <v>-0.26760000000000161</v>
      </c>
      <c r="FI133" s="31"/>
      <c r="FJ133" s="24">
        <v>75</v>
      </c>
      <c r="FK133">
        <v>79</v>
      </c>
      <c r="FL133" s="27">
        <v>-4</v>
      </c>
      <c r="FM133" s="31">
        <v>4</v>
      </c>
      <c r="FN133" s="24">
        <v>146</v>
      </c>
      <c r="FO133">
        <v>147</v>
      </c>
      <c r="FP133" s="28">
        <v>-1</v>
      </c>
      <c r="FQ133" s="31"/>
      <c r="FR133">
        <v>17</v>
      </c>
      <c r="FS133">
        <v>20</v>
      </c>
      <c r="FT133" s="28">
        <v>-3</v>
      </c>
      <c r="FU133" s="31"/>
      <c r="FV133" s="24">
        <v>117</v>
      </c>
      <c r="FW133">
        <v>120</v>
      </c>
      <c r="FX133" s="28">
        <v>-3</v>
      </c>
      <c r="FY133" s="31"/>
      <c r="FZ133" s="24">
        <v>201</v>
      </c>
      <c r="GA133">
        <v>186</v>
      </c>
      <c r="GB133" s="28">
        <v>15</v>
      </c>
      <c r="GC133" s="31"/>
      <c r="GD133">
        <v>127</v>
      </c>
      <c r="GE133">
        <v>130</v>
      </c>
      <c r="GF133" s="28">
        <v>-3</v>
      </c>
      <c r="GG133" s="34"/>
      <c r="GH133">
        <v>134</v>
      </c>
      <c r="GI133">
        <v>132</v>
      </c>
      <c r="GJ133" s="28">
        <v>2</v>
      </c>
      <c r="GK133" s="31"/>
      <c r="GL133">
        <v>17</v>
      </c>
      <c r="GM133">
        <v>20</v>
      </c>
      <c r="GN133" s="28">
        <v>-3</v>
      </c>
      <c r="GO133" s="34"/>
      <c r="GP133">
        <v>93</v>
      </c>
      <c r="GQ133">
        <v>95</v>
      </c>
      <c r="GR133" s="28">
        <v>-2</v>
      </c>
      <c r="GS133" s="31"/>
      <c r="GV133" s="28">
        <v>0</v>
      </c>
      <c r="GW133" s="34"/>
      <c r="GX133">
        <v>8</v>
      </c>
      <c r="GY133" s="32">
        <v>12.9894</v>
      </c>
      <c r="GZ133" s="28">
        <v>-4.9893999999999998</v>
      </c>
      <c r="HA133" s="31"/>
      <c r="HB133" s="24">
        <v>59</v>
      </c>
      <c r="HC133" s="32">
        <v>56</v>
      </c>
      <c r="HD133" s="28">
        <v>3</v>
      </c>
      <c r="HE133" s="34"/>
      <c r="HH133" s="28">
        <v>0</v>
      </c>
      <c r="HI133" s="34"/>
      <c r="HJ133">
        <v>42</v>
      </c>
      <c r="HK133">
        <v>40</v>
      </c>
      <c r="HL133" s="28">
        <v>-2</v>
      </c>
      <c r="HM133" s="34"/>
      <c r="HN133">
        <v>17</v>
      </c>
      <c r="HO133">
        <v>20</v>
      </c>
      <c r="HP133" s="28">
        <v>-3</v>
      </c>
      <c r="HQ133" s="31"/>
      <c r="HR133" s="29"/>
      <c r="HT133" s="29"/>
      <c r="HV133" s="28">
        <v>0</v>
      </c>
      <c r="HW133" s="34"/>
      <c r="HX133" s="32">
        <v>0</v>
      </c>
      <c r="HY133" s="32">
        <v>0</v>
      </c>
      <c r="HZ133" s="28">
        <v>0</v>
      </c>
      <c r="IA133" s="34"/>
      <c r="IB133" s="32">
        <v>0</v>
      </c>
      <c r="IC133" s="32">
        <v>0</v>
      </c>
      <c r="ID133" s="28">
        <v>0</v>
      </c>
      <c r="IE133" s="34"/>
      <c r="IF133" s="33">
        <v>124.57899999999999</v>
      </c>
      <c r="IG133" s="32">
        <v>125</v>
      </c>
      <c r="IH133" s="28">
        <v>-0.42100000000000648</v>
      </c>
      <c r="II133" s="34"/>
    </row>
    <row r="134" spans="1:243" x14ac:dyDescent="0.25">
      <c r="A134" s="28" t="s">
        <v>266</v>
      </c>
      <c r="B134" s="29">
        <v>1</v>
      </c>
      <c r="J134" s="30"/>
      <c r="K134" s="35"/>
      <c r="L134" s="35"/>
      <c r="M134" s="35"/>
      <c r="N134" s="35">
        <f t="shared" si="6"/>
        <v>0</v>
      </c>
      <c r="O134" s="31"/>
      <c r="P134" s="35"/>
      <c r="Q134">
        <v>23</v>
      </c>
      <c r="S134" s="28">
        <v>23</v>
      </c>
      <c r="T134" s="31"/>
      <c r="U134" s="30"/>
      <c r="W134" s="28">
        <v>0</v>
      </c>
      <c r="X134" s="31"/>
      <c r="Y134" s="30"/>
      <c r="AA134" s="28">
        <v>0</v>
      </c>
      <c r="AB134" s="31"/>
      <c r="AF134" s="31"/>
      <c r="AG134" s="24"/>
      <c r="AJ134" s="31"/>
      <c r="AN134" s="31"/>
      <c r="AO134" s="24"/>
      <c r="AR134" s="31"/>
      <c r="AS134" s="30"/>
      <c r="AV134" s="31"/>
      <c r="AZ134" s="31"/>
      <c r="BA134" s="24"/>
      <c r="BF134" s="31"/>
      <c r="BG134" s="30"/>
      <c r="BJ134" s="31"/>
      <c r="BP134" s="31"/>
      <c r="BT134" s="31"/>
      <c r="BU134" s="24"/>
      <c r="BX134" s="31"/>
      <c r="BY134" s="24"/>
      <c r="CB134" s="31"/>
      <c r="CF134" s="31"/>
      <c r="CG134" s="30"/>
      <c r="CK134" s="31"/>
      <c r="CL134" s="30"/>
      <c r="CQ134" s="31"/>
      <c r="CR134" s="24"/>
      <c r="CV134" s="31"/>
      <c r="CZ134" s="31"/>
      <c r="DA134" s="33"/>
      <c r="DB134" s="28"/>
      <c r="DD134" s="31"/>
      <c r="DE134" s="24"/>
      <c r="DH134" s="31"/>
      <c r="DI134" s="24"/>
      <c r="DL134" s="31"/>
      <c r="DP134" s="31"/>
      <c r="DT134" s="31"/>
      <c r="DU134" s="30"/>
      <c r="DY134" s="31"/>
      <c r="DZ134" s="30"/>
      <c r="ED134" s="31"/>
      <c r="EH134" s="31"/>
      <c r="EI134" s="30"/>
      <c r="EO134" s="31"/>
      <c r="EQ134" s="32"/>
      <c r="ES134" s="31"/>
      <c r="ET134" s="24"/>
      <c r="EY134" s="31"/>
      <c r="FE134" s="31"/>
      <c r="FG134" s="32"/>
      <c r="FI134" s="31"/>
      <c r="FJ134" s="24"/>
      <c r="FM134" s="31"/>
      <c r="FN134" s="24"/>
      <c r="FQ134" s="31"/>
      <c r="FU134" s="31"/>
      <c r="FV134" s="24"/>
      <c r="FY134" s="31"/>
      <c r="FZ134" s="24"/>
      <c r="GC134" s="31"/>
      <c r="GG134" s="34"/>
      <c r="GK134" s="31"/>
      <c r="GO134" s="34"/>
      <c r="GS134" s="31"/>
      <c r="GW134" s="34"/>
      <c r="GY134" s="32"/>
      <c r="HA134" s="31"/>
      <c r="HB134" s="24"/>
      <c r="HC134" s="32"/>
      <c r="HE134" s="34"/>
      <c r="HI134" s="34"/>
      <c r="HM134" s="34"/>
      <c r="HQ134" s="31"/>
      <c r="HR134" s="29"/>
      <c r="HT134" s="29"/>
      <c r="HW134" s="34"/>
      <c r="HX134" s="32"/>
      <c r="HY134" s="32"/>
      <c r="IA134" s="34"/>
      <c r="IB134" s="32"/>
      <c r="IC134" s="32"/>
      <c r="IE134" s="34"/>
      <c r="IF134" s="33"/>
      <c r="IG134" s="32"/>
      <c r="II134" s="34"/>
    </row>
    <row r="135" spans="1:243" x14ac:dyDescent="0.25">
      <c r="A135" s="28" t="s">
        <v>267</v>
      </c>
      <c r="B135" s="29">
        <v>0.1</v>
      </c>
      <c r="J135" s="30"/>
      <c r="K135" s="35"/>
      <c r="L135" s="35"/>
      <c r="M135" s="35"/>
      <c r="N135" s="35">
        <f t="shared" si="6"/>
        <v>0</v>
      </c>
      <c r="O135" s="31"/>
      <c r="P135" s="35"/>
      <c r="S135" s="28">
        <v>0</v>
      </c>
      <c r="T135" s="31"/>
      <c r="U135" s="30"/>
      <c r="W135" s="28">
        <v>0</v>
      </c>
      <c r="X135" s="31"/>
      <c r="Y135" s="30"/>
      <c r="AA135" s="28">
        <v>0</v>
      </c>
      <c r="AB135" s="31"/>
      <c r="AE135" s="28">
        <v>0</v>
      </c>
      <c r="AF135" s="31"/>
      <c r="AG135" s="30"/>
      <c r="AI135" s="28">
        <v>0</v>
      </c>
      <c r="AJ135" s="31"/>
      <c r="AM135" s="28">
        <v>0</v>
      </c>
      <c r="AN135" s="31"/>
      <c r="AO135" s="30"/>
      <c r="AQ135" s="28">
        <v>0</v>
      </c>
      <c r="AR135" s="31"/>
      <c r="AS135" s="30"/>
      <c r="AU135" s="28">
        <v>0</v>
      </c>
      <c r="AV135" s="31"/>
      <c r="AY135" s="28">
        <v>0</v>
      </c>
      <c r="AZ135" s="31"/>
      <c r="BA135" s="30"/>
      <c r="BE135" s="28">
        <v>0</v>
      </c>
      <c r="BF135" s="31"/>
      <c r="BG135" s="30"/>
      <c r="BI135" s="28">
        <v>0</v>
      </c>
      <c r="BJ135" s="31"/>
      <c r="BO135" s="28">
        <v>0</v>
      </c>
      <c r="BP135" s="31"/>
      <c r="BS135" s="28">
        <v>0</v>
      </c>
      <c r="BT135" s="31"/>
      <c r="BU135" s="30"/>
      <c r="BW135" s="28">
        <v>0</v>
      </c>
      <c r="BX135" s="31"/>
      <c r="BY135" s="30"/>
      <c r="CA135" s="28">
        <v>0</v>
      </c>
      <c r="CB135" s="31"/>
      <c r="CE135" s="28">
        <v>0</v>
      </c>
      <c r="CF135" s="31"/>
      <c r="CG135" s="30"/>
      <c r="CJ135" s="28">
        <v>0</v>
      </c>
      <c r="CK135" s="31"/>
      <c r="CL135" s="30"/>
      <c r="CP135" s="28">
        <v>0</v>
      </c>
      <c r="CQ135" s="31"/>
      <c r="CR135" s="30"/>
      <c r="CU135" s="28">
        <v>0</v>
      </c>
      <c r="CV135" s="31"/>
      <c r="CY135" s="28">
        <v>0</v>
      </c>
      <c r="CZ135" s="31"/>
      <c r="DA135" s="33"/>
      <c r="DC135" s="28">
        <v>0</v>
      </c>
      <c r="DD135" s="31"/>
      <c r="DE135" s="30"/>
      <c r="DG135" s="28">
        <v>0</v>
      </c>
      <c r="DH135" s="31"/>
      <c r="DI135" s="30"/>
      <c r="DK135" s="28">
        <v>0</v>
      </c>
      <c r="DL135" s="31"/>
      <c r="DO135" s="28">
        <v>0</v>
      </c>
      <c r="DP135" s="31"/>
      <c r="DS135" s="28">
        <v>0</v>
      </c>
      <c r="DT135" s="31"/>
      <c r="DU135" s="30"/>
      <c r="DX135" s="28">
        <v>0</v>
      </c>
      <c r="DY135" s="31"/>
      <c r="DZ135" s="30"/>
      <c r="EC135" s="28">
        <v>0</v>
      </c>
      <c r="ED135" s="31"/>
      <c r="EG135" s="28">
        <v>0</v>
      </c>
      <c r="EH135" s="31"/>
      <c r="EI135" s="30"/>
      <c r="EN135" s="28">
        <v>0</v>
      </c>
      <c r="EO135" s="31"/>
      <c r="ER135" s="28">
        <v>0</v>
      </c>
      <c r="ES135" s="31"/>
      <c r="ET135" s="30"/>
      <c r="EX135" s="28">
        <v>0</v>
      </c>
      <c r="EY135" s="31"/>
      <c r="EZ135">
        <v>20</v>
      </c>
      <c r="FA135">
        <v>20</v>
      </c>
      <c r="FB135">
        <v>30</v>
      </c>
      <c r="FC135">
        <v>30</v>
      </c>
      <c r="FD135" s="28">
        <v>0</v>
      </c>
      <c r="FE135" s="31"/>
      <c r="FH135" s="28">
        <v>0</v>
      </c>
      <c r="FI135" s="31"/>
      <c r="FJ135" s="30"/>
      <c r="FL135" s="28">
        <v>0</v>
      </c>
      <c r="FM135" s="31"/>
      <c r="FN135" s="24">
        <v>10</v>
      </c>
      <c r="FO135">
        <v>10</v>
      </c>
      <c r="FP135" s="28">
        <v>0</v>
      </c>
      <c r="FQ135" s="31"/>
      <c r="FR135">
        <v>20</v>
      </c>
      <c r="FS135" s="28">
        <v>20</v>
      </c>
      <c r="FT135" s="28">
        <v>0</v>
      </c>
      <c r="FU135" s="31"/>
      <c r="FV135" s="30"/>
      <c r="FX135" s="28">
        <v>0</v>
      </c>
      <c r="FY135" s="31"/>
      <c r="FZ135" s="30"/>
      <c r="GB135" s="28">
        <v>0</v>
      </c>
      <c r="GC135" s="31"/>
      <c r="GF135" s="28">
        <v>0</v>
      </c>
      <c r="GG135" s="34"/>
      <c r="GJ135" s="28">
        <v>0</v>
      </c>
      <c r="GK135" s="31"/>
      <c r="GN135" s="28">
        <v>0</v>
      </c>
      <c r="GO135" s="34"/>
      <c r="GR135" s="28">
        <v>0</v>
      </c>
      <c r="GS135" s="31"/>
      <c r="GV135" s="28">
        <v>0</v>
      </c>
      <c r="GW135" s="34"/>
      <c r="GZ135" s="28">
        <v>0</v>
      </c>
      <c r="HA135" s="31"/>
      <c r="HB135" s="33"/>
      <c r="HD135" s="28">
        <v>0</v>
      </c>
      <c r="HE135" s="34"/>
      <c r="HH135" s="28">
        <v>0</v>
      </c>
      <c r="HI135" s="34"/>
      <c r="HL135" s="28">
        <v>0</v>
      </c>
      <c r="HM135" s="34"/>
      <c r="HP135" s="28">
        <v>0</v>
      </c>
      <c r="HQ135" s="31"/>
      <c r="HR135" s="29"/>
      <c r="HT135" s="29"/>
      <c r="HV135" s="28">
        <v>0</v>
      </c>
      <c r="HW135" s="34"/>
      <c r="HX135" s="32">
        <v>0</v>
      </c>
      <c r="HY135" s="32">
        <v>0</v>
      </c>
      <c r="HZ135" s="28">
        <v>0</v>
      </c>
      <c r="IA135" s="34"/>
      <c r="IB135" s="32">
        <v>0</v>
      </c>
      <c r="IC135" s="32">
        <v>0</v>
      </c>
      <c r="ID135" s="28">
        <v>0</v>
      </c>
      <c r="IE135" s="34"/>
      <c r="IF135" s="33">
        <v>0</v>
      </c>
      <c r="IG135" s="32">
        <v>0</v>
      </c>
      <c r="IH135" s="28">
        <v>0</v>
      </c>
      <c r="II135" s="34"/>
    </row>
    <row r="136" spans="1:243" x14ac:dyDescent="0.25">
      <c r="A136" s="28" t="s">
        <v>268</v>
      </c>
      <c r="B136" s="29">
        <v>0.4</v>
      </c>
      <c r="F136">
        <v>6</v>
      </c>
      <c r="G136">
        <v>5</v>
      </c>
      <c r="J136" s="30"/>
      <c r="K136" s="36">
        <v>32</v>
      </c>
      <c r="L136" s="36">
        <v>42</v>
      </c>
      <c r="M136" s="36">
        <v>45</v>
      </c>
      <c r="N136" s="40">
        <f t="shared" si="6"/>
        <v>-35</v>
      </c>
      <c r="O136" s="31">
        <f>-1*N136*B136</f>
        <v>14</v>
      </c>
      <c r="P136" s="35"/>
      <c r="Q136">
        <v>108</v>
      </c>
      <c r="R136">
        <v>111</v>
      </c>
      <c r="S136" s="28">
        <v>-3</v>
      </c>
      <c r="T136" s="31"/>
      <c r="U136" s="30"/>
      <c r="W136" s="28">
        <v>0</v>
      </c>
      <c r="X136" s="31"/>
      <c r="Y136" s="24">
        <v>120</v>
      </c>
      <c r="Z136">
        <v>118</v>
      </c>
      <c r="AA136" s="28">
        <v>2</v>
      </c>
      <c r="AB136" s="31"/>
      <c r="AE136" s="28">
        <v>0</v>
      </c>
      <c r="AF136" s="31"/>
      <c r="AG136" s="24">
        <v>60</v>
      </c>
      <c r="AH136">
        <v>60</v>
      </c>
      <c r="AI136" s="28">
        <v>0</v>
      </c>
      <c r="AJ136" s="31"/>
      <c r="AK136">
        <v>6</v>
      </c>
      <c r="AL136">
        <v>8</v>
      </c>
      <c r="AM136" s="28">
        <v>-2</v>
      </c>
      <c r="AN136" s="31"/>
      <c r="AO136" s="24">
        <v>30</v>
      </c>
      <c r="AP136">
        <v>29</v>
      </c>
      <c r="AQ136" s="28">
        <v>1</v>
      </c>
      <c r="AR136" s="31"/>
      <c r="AS136" s="24">
        <v>12</v>
      </c>
      <c r="AT136">
        <v>15</v>
      </c>
      <c r="AU136" s="28">
        <v>-3</v>
      </c>
      <c r="AV136" s="31"/>
      <c r="AW136">
        <v>6</v>
      </c>
      <c r="AX136">
        <v>9</v>
      </c>
      <c r="AY136" s="28">
        <v>-3</v>
      </c>
      <c r="AZ136" s="31"/>
      <c r="BA136" s="30"/>
      <c r="BE136" s="28">
        <v>0</v>
      </c>
      <c r="BF136" s="31"/>
      <c r="BG136" s="24">
        <v>36</v>
      </c>
      <c r="BH136">
        <v>37</v>
      </c>
      <c r="BI136" s="28">
        <v>-1</v>
      </c>
      <c r="BJ136" s="31"/>
      <c r="BO136" s="28">
        <v>0</v>
      </c>
      <c r="BP136" s="31"/>
      <c r="BQ136">
        <v>6</v>
      </c>
      <c r="BR136">
        <v>8</v>
      </c>
      <c r="BS136" s="28">
        <v>-2</v>
      </c>
      <c r="BT136" s="31"/>
      <c r="BU136" s="30"/>
      <c r="BW136" s="28">
        <v>0</v>
      </c>
      <c r="BX136" s="31"/>
      <c r="BY136" s="30">
        <v>30</v>
      </c>
      <c r="BZ136" s="28">
        <v>30</v>
      </c>
      <c r="CA136" s="28">
        <v>0</v>
      </c>
      <c r="CB136" s="31"/>
      <c r="CE136" s="28">
        <v>0</v>
      </c>
      <c r="CF136" s="31"/>
      <c r="CG136" s="30"/>
      <c r="CJ136" s="28">
        <v>0</v>
      </c>
      <c r="CK136" s="31"/>
      <c r="CL136" s="30"/>
      <c r="CP136" s="28">
        <v>0</v>
      </c>
      <c r="CQ136" s="31"/>
      <c r="CR136" s="30"/>
      <c r="CV136" s="34"/>
      <c r="CZ136" s="31"/>
      <c r="DA136" s="33"/>
      <c r="DD136" s="31"/>
      <c r="DE136" s="30"/>
      <c r="DH136" s="31"/>
      <c r="DI136" s="30"/>
      <c r="DL136" s="31"/>
      <c r="DP136" s="31"/>
      <c r="DT136" s="31"/>
      <c r="DU136" s="30"/>
      <c r="DY136" s="31"/>
      <c r="DZ136" s="30"/>
      <c r="ED136" s="31"/>
      <c r="EH136" s="31"/>
      <c r="EI136" s="30"/>
      <c r="EO136" s="31"/>
      <c r="ES136" s="31"/>
      <c r="ET136" s="30"/>
      <c r="EW136" s="29"/>
      <c r="EY136" s="31"/>
      <c r="FE136" s="31"/>
      <c r="FF136" s="32"/>
      <c r="FI136" s="31"/>
      <c r="FJ136" s="30"/>
      <c r="FM136" s="31"/>
      <c r="FN136" s="24"/>
      <c r="FQ136" s="31"/>
      <c r="FU136" s="31"/>
      <c r="FV136" s="30"/>
      <c r="FY136" s="31"/>
      <c r="FZ136" s="30"/>
      <c r="GC136" s="31"/>
      <c r="GG136" s="34"/>
      <c r="GK136" s="31"/>
      <c r="GO136" s="34"/>
      <c r="GS136" s="31"/>
      <c r="GW136" s="34"/>
      <c r="HA136" s="31"/>
      <c r="HB136" s="33"/>
      <c r="HE136" s="34"/>
      <c r="HI136" s="34"/>
      <c r="HM136" s="34"/>
      <c r="HQ136" s="31"/>
      <c r="HR136" s="29"/>
      <c r="HT136" s="29"/>
      <c r="HW136" s="34"/>
      <c r="HX136" s="32"/>
      <c r="HY136" s="32"/>
      <c r="IA136" s="34"/>
      <c r="IB136" s="32"/>
      <c r="IC136" s="32"/>
      <c r="IE136" s="34"/>
      <c r="IF136" s="33"/>
      <c r="IG136" s="32"/>
      <c r="II136" s="34"/>
    </row>
    <row r="137" spans="1:243" x14ac:dyDescent="0.25">
      <c r="A137" s="28" t="s">
        <v>269</v>
      </c>
      <c r="B137" s="29">
        <v>1</v>
      </c>
      <c r="J137" s="30"/>
      <c r="K137" s="35"/>
      <c r="L137" s="35"/>
      <c r="M137" s="35"/>
      <c r="N137" s="35">
        <f t="shared" si="6"/>
        <v>0</v>
      </c>
      <c r="O137" s="31"/>
      <c r="P137" s="35"/>
      <c r="S137" s="28">
        <v>0</v>
      </c>
      <c r="T137" s="31"/>
      <c r="U137" s="30"/>
      <c r="W137" s="28">
        <v>0</v>
      </c>
      <c r="X137" s="31"/>
      <c r="Y137" s="30"/>
      <c r="AA137" s="28">
        <v>0</v>
      </c>
      <c r="AB137" s="31"/>
      <c r="AE137" s="28">
        <v>0</v>
      </c>
      <c r="AF137" s="31"/>
      <c r="AG137" s="30"/>
      <c r="AI137" s="28">
        <v>0</v>
      </c>
      <c r="AJ137" s="31"/>
      <c r="AM137" s="28">
        <v>0</v>
      </c>
      <c r="AN137" s="31"/>
      <c r="AO137" s="30"/>
      <c r="AQ137" s="28">
        <v>0</v>
      </c>
      <c r="AR137" s="31"/>
      <c r="AS137" s="30"/>
      <c r="AU137" s="28">
        <v>0</v>
      </c>
      <c r="AV137" s="31"/>
      <c r="AY137" s="28">
        <v>0</v>
      </c>
      <c r="AZ137" s="31"/>
      <c r="BA137" s="30"/>
      <c r="BE137" s="28">
        <v>0</v>
      </c>
      <c r="BF137" s="31"/>
      <c r="BG137" s="30"/>
      <c r="BI137" s="28">
        <v>0</v>
      </c>
      <c r="BJ137" s="31"/>
      <c r="BO137" s="28">
        <v>0</v>
      </c>
      <c r="BP137" s="31"/>
      <c r="BS137" s="28">
        <v>0</v>
      </c>
      <c r="BT137" s="31"/>
      <c r="BU137" s="30"/>
      <c r="BW137" s="28">
        <v>0</v>
      </c>
      <c r="BX137" s="31"/>
      <c r="BY137" s="30"/>
      <c r="CA137" s="28">
        <v>0</v>
      </c>
      <c r="CB137" s="31"/>
      <c r="CE137" s="28">
        <v>0</v>
      </c>
      <c r="CF137" s="31"/>
      <c r="CG137" s="30"/>
      <c r="CJ137" s="28">
        <v>0</v>
      </c>
      <c r="CK137" s="31"/>
      <c r="CL137" s="30"/>
      <c r="CP137" s="28">
        <v>0</v>
      </c>
      <c r="CQ137" s="31"/>
      <c r="CR137" s="30"/>
      <c r="CU137" s="28">
        <v>0</v>
      </c>
      <c r="CV137" s="31"/>
      <c r="CY137" s="28">
        <v>0</v>
      </c>
      <c r="CZ137" s="31"/>
      <c r="DA137" s="33"/>
      <c r="DC137" s="28">
        <v>0</v>
      </c>
      <c r="DD137" s="31"/>
      <c r="DE137" s="30"/>
      <c r="DG137" s="28">
        <v>0</v>
      </c>
      <c r="DH137" s="31"/>
      <c r="DI137" s="30"/>
      <c r="DK137" s="28">
        <v>0</v>
      </c>
      <c r="DL137" s="31"/>
      <c r="DO137" s="28">
        <v>0</v>
      </c>
      <c r="DP137" s="31"/>
      <c r="DS137" s="28">
        <v>0</v>
      </c>
      <c r="DT137" s="31"/>
      <c r="DU137" s="30"/>
      <c r="DX137" s="28">
        <v>0</v>
      </c>
      <c r="DY137" s="31"/>
      <c r="DZ137" s="30"/>
      <c r="EC137" s="28">
        <v>0</v>
      </c>
      <c r="ED137" s="31"/>
      <c r="EG137" s="28">
        <v>0</v>
      </c>
      <c r="EH137" s="31"/>
      <c r="EI137" s="30"/>
      <c r="EN137" s="28">
        <v>0</v>
      </c>
      <c r="EO137" s="31"/>
      <c r="ER137" s="28">
        <v>0</v>
      </c>
      <c r="ES137" s="31"/>
      <c r="ET137" s="30"/>
      <c r="EX137" s="28">
        <v>0</v>
      </c>
      <c r="EY137" s="31"/>
      <c r="FD137" s="28">
        <v>0</v>
      </c>
      <c r="FE137" s="31"/>
      <c r="FH137" s="28">
        <v>0</v>
      </c>
      <c r="FI137" s="31"/>
      <c r="FJ137" s="30"/>
      <c r="FL137" s="28">
        <v>0</v>
      </c>
      <c r="FM137" s="31"/>
      <c r="FN137" s="30"/>
      <c r="FP137" s="28">
        <v>0</v>
      </c>
      <c r="FQ137" s="31"/>
      <c r="FT137" s="28">
        <v>0</v>
      </c>
      <c r="FU137" s="31"/>
      <c r="FV137" s="30"/>
      <c r="FX137" s="28">
        <v>0</v>
      </c>
      <c r="FY137" s="31"/>
      <c r="FZ137" s="30"/>
      <c r="GB137" s="28">
        <v>0</v>
      </c>
      <c r="GC137" s="31"/>
      <c r="GF137" s="28">
        <v>0</v>
      </c>
      <c r="GG137" s="34"/>
      <c r="GJ137" s="28">
        <v>0</v>
      </c>
      <c r="GK137" s="31"/>
      <c r="GN137" s="28">
        <v>0</v>
      </c>
      <c r="GO137" s="34"/>
      <c r="GR137" s="28">
        <v>0</v>
      </c>
      <c r="GS137" s="31"/>
      <c r="GV137" s="28">
        <v>0</v>
      </c>
      <c r="GW137" s="34"/>
      <c r="GZ137" s="28">
        <v>0</v>
      </c>
      <c r="HA137" s="31"/>
      <c r="HB137" s="33"/>
      <c r="HD137" s="28">
        <v>0</v>
      </c>
      <c r="HE137" s="34"/>
      <c r="HH137" s="28">
        <v>0</v>
      </c>
      <c r="HI137" s="34"/>
      <c r="HL137" s="28">
        <v>0</v>
      </c>
      <c r="HM137" s="34"/>
      <c r="HP137" s="28">
        <v>0</v>
      </c>
      <c r="HQ137" s="31"/>
      <c r="HR137" s="29"/>
      <c r="HT137" s="29"/>
      <c r="HV137" s="28">
        <v>0</v>
      </c>
      <c r="HW137" s="34"/>
      <c r="HX137" s="32">
        <v>0</v>
      </c>
      <c r="HY137" s="32">
        <v>0</v>
      </c>
      <c r="HZ137" s="28">
        <v>0</v>
      </c>
      <c r="IA137" s="34"/>
      <c r="IB137" s="32">
        <v>0</v>
      </c>
      <c r="IC137" s="32">
        <v>0</v>
      </c>
      <c r="ID137" s="28">
        <v>0</v>
      </c>
      <c r="IE137" s="34"/>
      <c r="IF137" s="33">
        <v>0</v>
      </c>
      <c r="IG137" s="32">
        <v>0</v>
      </c>
      <c r="IH137" s="28">
        <v>0</v>
      </c>
      <c r="II137" s="34"/>
    </row>
    <row r="138" spans="1:243" x14ac:dyDescent="0.25">
      <c r="A138" s="28" t="s">
        <v>270</v>
      </c>
      <c r="B138" s="29">
        <v>1</v>
      </c>
      <c r="J138" s="30"/>
      <c r="K138" s="35"/>
      <c r="L138" s="35"/>
      <c r="M138" s="35"/>
      <c r="N138" s="35">
        <f t="shared" si="6"/>
        <v>0</v>
      </c>
      <c r="O138" s="31"/>
      <c r="P138" s="35"/>
      <c r="S138" s="28">
        <v>0</v>
      </c>
      <c r="T138" s="31"/>
      <c r="U138" s="30"/>
      <c r="W138" s="28">
        <v>0</v>
      </c>
      <c r="X138" s="31"/>
      <c r="Y138" s="30"/>
      <c r="AA138" s="28">
        <v>0</v>
      </c>
      <c r="AB138" s="31"/>
      <c r="AE138" s="28">
        <v>0</v>
      </c>
      <c r="AF138" s="31"/>
      <c r="AG138" s="30"/>
      <c r="AI138" s="28">
        <v>0</v>
      </c>
      <c r="AJ138" s="31"/>
      <c r="AM138" s="28">
        <v>0</v>
      </c>
      <c r="AN138" s="31"/>
      <c r="AO138" s="30"/>
      <c r="AQ138" s="28">
        <v>0</v>
      </c>
      <c r="AR138" s="31"/>
      <c r="AS138" s="30"/>
      <c r="AU138" s="28">
        <v>0</v>
      </c>
      <c r="AV138" s="31"/>
      <c r="AY138" s="28">
        <v>0</v>
      </c>
      <c r="AZ138" s="31"/>
      <c r="BA138" s="30"/>
      <c r="BE138" s="28">
        <v>0</v>
      </c>
      <c r="BF138" s="31"/>
      <c r="BG138" s="30"/>
      <c r="BI138" s="28">
        <v>0</v>
      </c>
      <c r="BJ138" s="31"/>
      <c r="BO138" s="28">
        <v>0</v>
      </c>
      <c r="BP138" s="31"/>
      <c r="BS138" s="28">
        <v>0</v>
      </c>
      <c r="BT138" s="31"/>
      <c r="BU138" s="30"/>
      <c r="BW138" s="28">
        <v>0</v>
      </c>
      <c r="BX138" s="31"/>
      <c r="BY138" s="30"/>
      <c r="CA138" s="28">
        <v>0</v>
      </c>
      <c r="CB138" s="31"/>
      <c r="CE138" s="28">
        <v>0</v>
      </c>
      <c r="CF138" s="31"/>
      <c r="CG138" s="30"/>
      <c r="CJ138" s="28">
        <v>0</v>
      </c>
      <c r="CK138" s="31"/>
      <c r="CL138" s="30"/>
      <c r="CP138" s="28">
        <v>0</v>
      </c>
      <c r="CQ138" s="31"/>
      <c r="CR138" s="30"/>
      <c r="CU138" s="28">
        <v>0</v>
      </c>
      <c r="CV138" s="31"/>
      <c r="CY138" s="28">
        <v>0</v>
      </c>
      <c r="CZ138" s="31"/>
      <c r="DA138" s="33"/>
      <c r="DC138" s="28">
        <v>0</v>
      </c>
      <c r="DD138" s="31"/>
      <c r="DE138" s="30"/>
      <c r="DG138" s="28">
        <v>0</v>
      </c>
      <c r="DH138" s="31"/>
      <c r="DI138" s="30"/>
      <c r="DK138" s="28">
        <v>0</v>
      </c>
      <c r="DL138" s="31"/>
      <c r="DO138" s="28">
        <v>0</v>
      </c>
      <c r="DP138" s="31"/>
      <c r="DS138" s="28">
        <v>0</v>
      </c>
      <c r="DT138" s="31"/>
      <c r="DU138" s="30"/>
      <c r="DX138" s="28">
        <v>0</v>
      </c>
      <c r="DY138" s="31"/>
      <c r="DZ138" s="30"/>
      <c r="EC138" s="28">
        <v>0</v>
      </c>
      <c r="ED138" s="31"/>
      <c r="EG138" s="28">
        <v>0</v>
      </c>
      <c r="EH138" s="31"/>
      <c r="EI138" s="30"/>
      <c r="EN138" s="28">
        <v>0</v>
      </c>
      <c r="EO138" s="31"/>
      <c r="ER138" s="28">
        <v>0</v>
      </c>
      <c r="ES138" s="31"/>
      <c r="ET138" s="30"/>
      <c r="EX138" s="28">
        <v>0</v>
      </c>
      <c r="EY138" s="31"/>
      <c r="FD138" s="28">
        <v>0</v>
      </c>
      <c r="FE138" s="31"/>
      <c r="FH138" s="28">
        <v>0</v>
      </c>
      <c r="FI138" s="31"/>
      <c r="FJ138" s="30"/>
      <c r="FL138" s="28">
        <v>0</v>
      </c>
      <c r="FM138" s="31"/>
      <c r="FN138" s="30"/>
      <c r="FP138" s="28">
        <v>0</v>
      </c>
      <c r="FQ138" s="31"/>
      <c r="FT138" s="28">
        <v>0</v>
      </c>
      <c r="FU138" s="31"/>
      <c r="FV138" s="30"/>
      <c r="FX138" s="28">
        <v>0</v>
      </c>
      <c r="FY138" s="31"/>
      <c r="FZ138" s="30"/>
      <c r="GB138" s="28">
        <v>0</v>
      </c>
      <c r="GC138" s="31"/>
      <c r="GF138" s="28">
        <v>0</v>
      </c>
      <c r="GG138" s="34"/>
      <c r="GJ138" s="28">
        <v>0</v>
      </c>
      <c r="GK138" s="31"/>
      <c r="GN138" s="28">
        <v>0</v>
      </c>
      <c r="GO138" s="34"/>
      <c r="GR138" s="28">
        <v>0</v>
      </c>
      <c r="GS138" s="31"/>
      <c r="GV138" s="28">
        <v>0</v>
      </c>
      <c r="GW138" s="34"/>
      <c r="GZ138" s="28">
        <v>0</v>
      </c>
      <c r="HA138" s="31"/>
      <c r="HB138" s="33"/>
      <c r="HD138" s="28">
        <v>0</v>
      </c>
      <c r="HE138" s="34"/>
      <c r="HH138" s="28">
        <v>0</v>
      </c>
      <c r="HI138" s="34"/>
      <c r="HL138" s="28">
        <v>0</v>
      </c>
      <c r="HM138" s="34"/>
      <c r="HP138" s="28">
        <v>0</v>
      </c>
      <c r="HQ138" s="31"/>
      <c r="HR138" s="29"/>
      <c r="HT138" s="29"/>
      <c r="HV138" s="28">
        <v>0</v>
      </c>
      <c r="HW138" s="34"/>
      <c r="HX138" s="32">
        <v>0</v>
      </c>
      <c r="HY138" s="32">
        <v>0</v>
      </c>
      <c r="HZ138" s="28">
        <v>0</v>
      </c>
      <c r="IA138" s="34"/>
      <c r="IB138" s="32">
        <v>0</v>
      </c>
      <c r="IC138" s="32">
        <v>0</v>
      </c>
      <c r="ID138" s="28">
        <v>0</v>
      </c>
      <c r="IE138" s="34"/>
      <c r="IF138" s="33">
        <v>0</v>
      </c>
      <c r="IG138" s="32">
        <v>0</v>
      </c>
      <c r="IH138" s="28">
        <v>0</v>
      </c>
      <c r="II138" s="34"/>
    </row>
    <row r="139" spans="1:243" x14ac:dyDescent="0.25">
      <c r="A139" s="28" t="s">
        <v>271</v>
      </c>
      <c r="B139" s="29">
        <v>1</v>
      </c>
      <c r="J139" s="30"/>
      <c r="K139" s="35"/>
      <c r="L139" s="36">
        <v>18</v>
      </c>
      <c r="M139" s="36">
        <v>18</v>
      </c>
      <c r="N139" s="35">
        <f t="shared" si="6"/>
        <v>0</v>
      </c>
      <c r="O139" s="31"/>
      <c r="P139" s="35"/>
      <c r="Q139">
        <v>12</v>
      </c>
      <c r="R139">
        <v>12</v>
      </c>
      <c r="S139" s="28">
        <v>0</v>
      </c>
      <c r="T139" s="31"/>
      <c r="U139" s="30"/>
      <c r="W139" s="28">
        <v>0</v>
      </c>
      <c r="X139" s="31"/>
      <c r="Y139" s="24">
        <v>6</v>
      </c>
      <c r="Z139">
        <v>5</v>
      </c>
      <c r="AA139" s="28">
        <v>1</v>
      </c>
      <c r="AB139" s="31"/>
      <c r="AC139">
        <v>12</v>
      </c>
      <c r="AD139">
        <v>10</v>
      </c>
      <c r="AE139" s="28">
        <v>2</v>
      </c>
      <c r="AF139" s="31"/>
      <c r="AG139" s="24">
        <v>6</v>
      </c>
      <c r="AH139">
        <v>9</v>
      </c>
      <c r="AI139" s="28">
        <v>-3</v>
      </c>
      <c r="AJ139" s="31"/>
      <c r="AK139">
        <v>18</v>
      </c>
      <c r="AL139">
        <v>17</v>
      </c>
      <c r="AM139" s="28">
        <v>1</v>
      </c>
      <c r="AN139" s="31"/>
      <c r="AO139" s="24">
        <v>18</v>
      </c>
      <c r="AP139">
        <v>19</v>
      </c>
      <c r="AQ139" s="28">
        <v>-1</v>
      </c>
      <c r="AR139" s="31"/>
      <c r="AS139" s="24">
        <v>6</v>
      </c>
      <c r="AT139">
        <v>4</v>
      </c>
      <c r="AU139" s="28">
        <v>2</v>
      </c>
      <c r="AV139" s="31"/>
      <c r="AW139">
        <v>6</v>
      </c>
      <c r="AX139">
        <v>3</v>
      </c>
      <c r="AY139" s="28">
        <v>3</v>
      </c>
      <c r="AZ139" s="31"/>
      <c r="BA139" s="24">
        <v>6</v>
      </c>
      <c r="BB139">
        <v>5</v>
      </c>
      <c r="BE139" s="28">
        <v>1</v>
      </c>
      <c r="BF139" s="31"/>
      <c r="BG139" s="24">
        <v>12</v>
      </c>
      <c r="BH139">
        <v>12</v>
      </c>
      <c r="BI139" s="28">
        <v>0</v>
      </c>
      <c r="BJ139" s="31"/>
      <c r="BO139" s="28">
        <v>0</v>
      </c>
      <c r="BP139" s="31"/>
      <c r="BS139" s="28">
        <v>0</v>
      </c>
      <c r="BT139" s="31"/>
      <c r="BU139" s="24">
        <v>18</v>
      </c>
      <c r="BV139">
        <v>16</v>
      </c>
      <c r="BW139" s="28">
        <v>2</v>
      </c>
      <c r="BX139" s="31"/>
      <c r="BY139" s="30"/>
      <c r="BZ139">
        <v>8</v>
      </c>
      <c r="CA139" s="27">
        <v>-8</v>
      </c>
      <c r="CB139" s="31">
        <v>8</v>
      </c>
      <c r="CE139" s="28">
        <v>0</v>
      </c>
      <c r="CF139" s="31"/>
      <c r="CG139" s="30"/>
      <c r="CJ139" s="28">
        <v>0</v>
      </c>
      <c r="CK139" s="31"/>
      <c r="CL139" s="30"/>
      <c r="CP139" s="28">
        <v>0</v>
      </c>
      <c r="CQ139" s="31"/>
      <c r="CR139" s="24">
        <v>12</v>
      </c>
      <c r="CT139">
        <v>10</v>
      </c>
      <c r="CU139" s="28">
        <v>2</v>
      </c>
      <c r="CV139" s="31"/>
      <c r="CY139" s="28">
        <v>0</v>
      </c>
      <c r="CZ139" s="31"/>
      <c r="DA139" s="33"/>
      <c r="DC139" s="28">
        <v>0</v>
      </c>
      <c r="DD139" s="31"/>
      <c r="DE139" s="30"/>
      <c r="DG139" s="28">
        <v>0</v>
      </c>
      <c r="DH139" s="31"/>
      <c r="DI139" s="30"/>
      <c r="DK139" s="28">
        <v>0</v>
      </c>
      <c r="DL139" s="31"/>
      <c r="DO139" s="28">
        <v>0</v>
      </c>
      <c r="DP139" s="31"/>
      <c r="DQ139">
        <v>6</v>
      </c>
      <c r="DR139">
        <v>6</v>
      </c>
      <c r="DS139" s="28">
        <v>0</v>
      </c>
      <c r="DT139" s="31"/>
      <c r="DU139" s="30"/>
      <c r="DX139" s="28">
        <v>0</v>
      </c>
      <c r="DY139" s="31"/>
      <c r="DZ139" s="30"/>
      <c r="EC139" s="28">
        <v>0</v>
      </c>
      <c r="ED139" s="31"/>
      <c r="EG139" s="28">
        <v>0</v>
      </c>
      <c r="EH139" s="31"/>
      <c r="EI139" s="30"/>
      <c r="EL139">
        <v>18</v>
      </c>
      <c r="EM139">
        <v>17</v>
      </c>
      <c r="EN139" s="28">
        <v>1</v>
      </c>
      <c r="EO139" s="31"/>
      <c r="EP139">
        <v>12</v>
      </c>
      <c r="EQ139" s="32">
        <v>9.8189999999999991</v>
      </c>
      <c r="ER139" s="28">
        <v>2.1810000000000009</v>
      </c>
      <c r="ES139" s="31"/>
      <c r="ET139" s="30"/>
      <c r="EV139">
        <v>24</v>
      </c>
      <c r="EW139">
        <v>22</v>
      </c>
      <c r="EX139" s="28">
        <v>2</v>
      </c>
      <c r="EY139" s="31"/>
      <c r="FD139" s="28">
        <v>0</v>
      </c>
      <c r="FE139" s="31"/>
      <c r="FF139">
        <v>24</v>
      </c>
      <c r="FG139" s="32">
        <v>25</v>
      </c>
      <c r="FH139" s="28">
        <v>-1</v>
      </c>
      <c r="FI139" s="31"/>
      <c r="FJ139" s="30"/>
      <c r="FL139" s="28">
        <v>0</v>
      </c>
      <c r="FM139" s="31"/>
      <c r="FN139" s="30"/>
      <c r="FP139" s="28">
        <v>0</v>
      </c>
      <c r="FQ139" s="31"/>
      <c r="FR139">
        <v>18</v>
      </c>
      <c r="FS139">
        <v>16</v>
      </c>
      <c r="FT139" s="28">
        <v>2</v>
      </c>
      <c r="FU139" s="31"/>
      <c r="FV139" s="30"/>
      <c r="FX139" s="28">
        <v>0</v>
      </c>
      <c r="FY139" s="31"/>
      <c r="FZ139" s="24">
        <v>6</v>
      </c>
      <c r="GA139">
        <v>8</v>
      </c>
      <c r="GB139" s="28">
        <v>-2</v>
      </c>
      <c r="GC139" s="31"/>
      <c r="GF139" s="28">
        <v>0</v>
      </c>
      <c r="GG139" s="34"/>
      <c r="GJ139" s="28">
        <v>0</v>
      </c>
      <c r="GK139" s="31"/>
      <c r="GN139" s="28">
        <v>0</v>
      </c>
      <c r="GO139" s="34"/>
      <c r="GS139" s="31"/>
      <c r="GW139" s="34"/>
      <c r="HA139" s="31"/>
      <c r="HB139" s="33"/>
      <c r="HE139" s="34"/>
      <c r="HF139" s="29"/>
      <c r="HI139" s="34"/>
      <c r="HM139" s="34"/>
      <c r="HO139" s="32"/>
      <c r="HQ139" s="31"/>
      <c r="HR139" s="29"/>
      <c r="HT139" s="29"/>
      <c r="HW139" s="34"/>
      <c r="HX139" s="32"/>
      <c r="HY139" s="32"/>
      <c r="IA139" s="34"/>
      <c r="IB139" s="32"/>
      <c r="IC139" s="32"/>
      <c r="IE139" s="34"/>
      <c r="IF139" s="33"/>
      <c r="IG139" s="32"/>
      <c r="II139" s="34"/>
    </row>
    <row r="140" spans="1:243" x14ac:dyDescent="0.25">
      <c r="A140" s="28" t="s">
        <v>272</v>
      </c>
      <c r="B140" s="29">
        <v>1</v>
      </c>
      <c r="J140" s="30"/>
      <c r="K140" s="35"/>
      <c r="L140" s="35"/>
      <c r="M140" s="35"/>
      <c r="N140" s="35">
        <f t="shared" si="6"/>
        <v>0</v>
      </c>
      <c r="O140" s="31"/>
      <c r="P140" s="35"/>
      <c r="S140" s="28">
        <v>0</v>
      </c>
      <c r="T140" s="31"/>
      <c r="U140" s="30"/>
      <c r="W140" s="28">
        <v>0</v>
      </c>
      <c r="X140" s="31"/>
      <c r="Y140" s="30"/>
      <c r="AA140" s="28">
        <v>0</v>
      </c>
      <c r="AB140" s="31"/>
      <c r="AE140" s="28">
        <v>0</v>
      </c>
      <c r="AF140" s="31"/>
      <c r="AG140" s="30"/>
      <c r="AI140" s="28">
        <v>0</v>
      </c>
      <c r="AJ140" s="31"/>
      <c r="AM140" s="28">
        <v>0</v>
      </c>
      <c r="AN140" s="31"/>
      <c r="AO140" s="30"/>
      <c r="AQ140" s="28">
        <v>0</v>
      </c>
      <c r="AR140" s="31"/>
      <c r="AS140" s="30"/>
      <c r="AU140" s="28">
        <v>0</v>
      </c>
      <c r="AV140" s="31"/>
      <c r="AY140" s="28">
        <v>0</v>
      </c>
      <c r="AZ140" s="31"/>
      <c r="BA140" s="30"/>
      <c r="BE140" s="28">
        <v>0</v>
      </c>
      <c r="BF140" s="31"/>
      <c r="BG140" s="30"/>
      <c r="BI140" s="28">
        <v>0</v>
      </c>
      <c r="BJ140" s="31"/>
      <c r="BO140" s="28">
        <v>0</v>
      </c>
      <c r="BP140" s="31"/>
      <c r="BS140" s="28">
        <v>0</v>
      </c>
      <c r="BT140" s="31"/>
      <c r="BU140" s="30"/>
      <c r="BW140" s="28">
        <v>0</v>
      </c>
      <c r="BX140" s="31"/>
      <c r="BY140" s="30"/>
      <c r="CA140" s="28">
        <v>0</v>
      </c>
      <c r="CB140" s="31"/>
      <c r="CE140" s="28">
        <v>0</v>
      </c>
      <c r="CF140" s="31"/>
      <c r="CG140" s="30"/>
      <c r="CJ140" s="28">
        <v>0</v>
      </c>
      <c r="CK140" s="31"/>
      <c r="CL140" s="30"/>
      <c r="CP140" s="28">
        <v>0</v>
      </c>
      <c r="CQ140" s="31"/>
      <c r="CR140" s="30"/>
      <c r="CU140" s="28">
        <v>0</v>
      </c>
      <c r="CV140" s="31"/>
      <c r="CY140" s="28">
        <v>0</v>
      </c>
      <c r="CZ140" s="31"/>
      <c r="DA140" s="33"/>
      <c r="DC140" s="28">
        <v>0</v>
      </c>
      <c r="DD140" s="31"/>
      <c r="DE140" s="30"/>
      <c r="DG140" s="28">
        <v>0</v>
      </c>
      <c r="DH140" s="31"/>
      <c r="DI140" s="30"/>
      <c r="DK140" s="28">
        <v>0</v>
      </c>
      <c r="DL140" s="31"/>
      <c r="DO140" s="28">
        <v>0</v>
      </c>
      <c r="DP140" s="31"/>
      <c r="DS140" s="28">
        <v>0</v>
      </c>
      <c r="DT140" s="31"/>
      <c r="DU140" s="30"/>
      <c r="DX140" s="28">
        <v>0</v>
      </c>
      <c r="DY140" s="31"/>
      <c r="DZ140" s="30"/>
      <c r="EC140" s="28">
        <v>0</v>
      </c>
      <c r="ED140" s="31"/>
      <c r="EG140" s="28">
        <v>0</v>
      </c>
      <c r="EH140" s="31"/>
      <c r="EI140" s="30"/>
      <c r="EN140" s="28">
        <v>0</v>
      </c>
      <c r="EO140" s="31"/>
      <c r="ER140" s="28">
        <v>0</v>
      </c>
      <c r="ES140" s="31"/>
      <c r="ET140" s="30"/>
      <c r="EX140" s="28">
        <v>0</v>
      </c>
      <c r="EY140" s="31"/>
      <c r="FD140" s="28">
        <v>0</v>
      </c>
      <c r="FE140" s="31"/>
      <c r="FH140" s="28">
        <v>0</v>
      </c>
      <c r="FI140" s="31"/>
      <c r="FJ140" s="30"/>
      <c r="FL140" s="28">
        <v>0</v>
      </c>
      <c r="FM140" s="31"/>
      <c r="FN140" s="30"/>
      <c r="FP140" s="28">
        <v>0</v>
      </c>
      <c r="FQ140" s="31"/>
      <c r="FT140" s="28">
        <v>0</v>
      </c>
      <c r="FU140" s="31"/>
      <c r="FV140" s="30"/>
      <c r="FX140" s="28">
        <v>0</v>
      </c>
      <c r="FY140" s="31"/>
      <c r="FZ140" s="30"/>
      <c r="GB140" s="28">
        <v>0</v>
      </c>
      <c r="GC140" s="31"/>
      <c r="GF140" s="28">
        <v>0</v>
      </c>
      <c r="GG140" s="34"/>
      <c r="GJ140" s="28">
        <v>0</v>
      </c>
      <c r="GK140" s="31"/>
      <c r="GN140" s="28">
        <v>0</v>
      </c>
      <c r="GO140" s="34"/>
      <c r="GR140" s="28">
        <v>0</v>
      </c>
      <c r="GS140" s="31"/>
      <c r="GV140" s="28">
        <v>0</v>
      </c>
      <c r="GW140" s="34"/>
      <c r="GZ140" s="28">
        <v>0</v>
      </c>
      <c r="HA140" s="31"/>
      <c r="HB140" s="33"/>
      <c r="HD140" s="28">
        <v>0</v>
      </c>
      <c r="HE140" s="34"/>
      <c r="HH140" s="28">
        <v>0</v>
      </c>
      <c r="HI140" s="34"/>
      <c r="HL140" s="28">
        <v>0</v>
      </c>
      <c r="HM140" s="34"/>
      <c r="HP140" s="28">
        <v>0</v>
      </c>
      <c r="HQ140" s="31"/>
      <c r="HR140" s="29"/>
      <c r="HT140" s="29"/>
      <c r="HV140" s="28">
        <v>0</v>
      </c>
      <c r="HW140" s="34"/>
      <c r="HX140" s="32">
        <v>0</v>
      </c>
      <c r="HY140" s="32">
        <v>0</v>
      </c>
      <c r="HZ140" s="28">
        <v>0</v>
      </c>
      <c r="IA140" s="34"/>
      <c r="IB140" s="32">
        <v>0</v>
      </c>
      <c r="IC140" s="32">
        <v>0</v>
      </c>
      <c r="ID140" s="28">
        <v>0</v>
      </c>
      <c r="IE140" s="34"/>
      <c r="IF140" s="33">
        <v>0</v>
      </c>
      <c r="IG140" s="32">
        <v>0</v>
      </c>
      <c r="IH140" s="28">
        <v>0</v>
      </c>
      <c r="II140" s="34"/>
    </row>
    <row r="141" spans="1:243" x14ac:dyDescent="0.25">
      <c r="A141" s="28" t="s">
        <v>273</v>
      </c>
      <c r="B141" s="29">
        <v>1</v>
      </c>
      <c r="J141" s="30"/>
      <c r="K141" s="35"/>
      <c r="L141" s="35"/>
      <c r="M141" s="35"/>
      <c r="N141" s="35">
        <f t="shared" si="6"/>
        <v>0</v>
      </c>
      <c r="O141" s="31"/>
      <c r="P141" s="35"/>
      <c r="S141" s="28">
        <v>0</v>
      </c>
      <c r="T141" s="31"/>
      <c r="U141" s="30"/>
      <c r="W141" s="28">
        <v>0</v>
      </c>
      <c r="X141" s="31"/>
      <c r="Y141" s="30"/>
      <c r="AA141" s="28">
        <v>0</v>
      </c>
      <c r="AB141" s="31"/>
      <c r="AE141" s="28">
        <v>0</v>
      </c>
      <c r="AF141" s="31"/>
      <c r="AG141" s="30"/>
      <c r="AI141" s="28">
        <v>0</v>
      </c>
      <c r="AJ141" s="31"/>
      <c r="AM141" s="28">
        <v>0</v>
      </c>
      <c r="AN141" s="31"/>
      <c r="AO141" s="30"/>
      <c r="AQ141" s="28">
        <v>0</v>
      </c>
      <c r="AR141" s="31"/>
      <c r="AS141" s="30"/>
      <c r="AU141" s="28">
        <v>0</v>
      </c>
      <c r="AV141" s="31"/>
      <c r="AY141" s="28">
        <v>0</v>
      </c>
      <c r="AZ141" s="31"/>
      <c r="BA141" s="30"/>
      <c r="BE141" s="28">
        <v>0</v>
      </c>
      <c r="BF141" s="31"/>
      <c r="BG141" s="30"/>
      <c r="BI141" s="28">
        <v>0</v>
      </c>
      <c r="BJ141" s="31"/>
      <c r="BO141" s="28">
        <v>0</v>
      </c>
      <c r="BP141" s="31"/>
      <c r="BS141" s="28">
        <v>0</v>
      </c>
      <c r="BT141" s="31"/>
      <c r="BU141" s="30"/>
      <c r="BW141" s="28">
        <v>0</v>
      </c>
      <c r="BX141" s="31"/>
      <c r="BY141" s="30"/>
      <c r="CA141" s="28">
        <v>0</v>
      </c>
      <c r="CB141" s="31"/>
      <c r="CE141" s="28">
        <v>0</v>
      </c>
      <c r="CF141" s="31"/>
      <c r="CG141" s="30"/>
      <c r="CH141">
        <v>39</v>
      </c>
      <c r="CI141">
        <v>40</v>
      </c>
      <c r="CJ141" s="28">
        <v>-1</v>
      </c>
      <c r="CK141" s="31"/>
      <c r="CL141" s="30"/>
      <c r="CP141" s="28">
        <v>0</v>
      </c>
      <c r="CQ141" s="31"/>
      <c r="CR141" s="30"/>
      <c r="CS141">
        <v>12</v>
      </c>
      <c r="CT141">
        <v>10</v>
      </c>
      <c r="CU141" s="28">
        <v>2</v>
      </c>
      <c r="CV141" s="31"/>
      <c r="CY141" s="28">
        <v>0</v>
      </c>
      <c r="CZ141" s="31"/>
      <c r="DA141" s="33"/>
      <c r="DC141" s="28">
        <v>0</v>
      </c>
      <c r="DD141" s="31"/>
      <c r="DE141" s="30"/>
      <c r="DG141" s="28">
        <v>0</v>
      </c>
      <c r="DH141" s="31"/>
      <c r="DI141" s="30"/>
      <c r="DK141" s="28">
        <v>0</v>
      </c>
      <c r="DL141" s="31"/>
      <c r="DO141" s="28">
        <v>0</v>
      </c>
      <c r="DP141" s="31"/>
      <c r="DS141" s="28">
        <v>0</v>
      </c>
      <c r="DT141" s="31"/>
      <c r="DU141" s="30"/>
      <c r="DV141">
        <v>103</v>
      </c>
      <c r="DW141">
        <v>100</v>
      </c>
      <c r="DX141" s="28">
        <v>3</v>
      </c>
      <c r="DY141" s="31"/>
      <c r="DZ141" s="30"/>
      <c r="EA141">
        <v>20</v>
      </c>
      <c r="EB141" s="32">
        <v>20</v>
      </c>
      <c r="EC141" s="28">
        <v>0</v>
      </c>
      <c r="ED141" s="31"/>
      <c r="EG141" s="28">
        <v>0</v>
      </c>
      <c r="EH141" s="31"/>
      <c r="EI141" s="33">
        <v>40</v>
      </c>
      <c r="EN141" s="28">
        <v>40</v>
      </c>
      <c r="EO141" s="31"/>
      <c r="ES141" s="31"/>
      <c r="ET141" s="30"/>
      <c r="EY141" s="31"/>
      <c r="FE141" s="31"/>
      <c r="FI141" s="31"/>
      <c r="FJ141" s="30"/>
      <c r="FM141" s="31"/>
      <c r="FN141" s="30"/>
      <c r="FQ141" s="31"/>
      <c r="FU141" s="31"/>
      <c r="FV141" s="30"/>
      <c r="FY141" s="31"/>
      <c r="FZ141" s="30"/>
      <c r="GC141" s="31"/>
      <c r="GG141" s="34"/>
      <c r="GK141" s="31"/>
      <c r="GO141" s="34"/>
      <c r="GS141" s="31"/>
      <c r="GW141" s="34"/>
      <c r="HA141" s="31"/>
      <c r="HB141" s="33"/>
      <c r="HE141" s="34"/>
      <c r="HI141" s="34"/>
      <c r="HM141" s="34"/>
      <c r="HQ141" s="31"/>
      <c r="HR141" s="29"/>
      <c r="HT141" s="29"/>
      <c r="HW141" s="34"/>
      <c r="HX141" s="32"/>
      <c r="HY141" s="32"/>
      <c r="IA141" s="34"/>
      <c r="IB141" s="32"/>
      <c r="IC141" s="32"/>
      <c r="IE141" s="34"/>
      <c r="IF141" s="33"/>
      <c r="IG141" s="32"/>
      <c r="II141" s="34"/>
    </row>
    <row r="142" spans="1:243" x14ac:dyDescent="0.25">
      <c r="A142" s="28" t="s">
        <v>274</v>
      </c>
      <c r="B142" s="29">
        <v>1</v>
      </c>
      <c r="J142" s="30"/>
      <c r="K142" s="35"/>
      <c r="L142" s="35"/>
      <c r="M142" s="35"/>
      <c r="N142" s="35">
        <f t="shared" si="6"/>
        <v>0</v>
      </c>
      <c r="O142" s="31"/>
      <c r="P142" s="35"/>
      <c r="S142" s="28">
        <v>0</v>
      </c>
      <c r="T142" s="31"/>
      <c r="U142" s="30"/>
      <c r="W142" s="28">
        <v>0</v>
      </c>
      <c r="X142" s="31"/>
      <c r="Y142" s="30"/>
      <c r="AA142" s="28">
        <v>0</v>
      </c>
      <c r="AB142" s="31"/>
      <c r="AE142" s="28">
        <v>0</v>
      </c>
      <c r="AF142" s="31"/>
      <c r="AG142" s="30"/>
      <c r="AI142" s="28">
        <v>0</v>
      </c>
      <c r="AJ142" s="31"/>
      <c r="AM142" s="28">
        <v>0</v>
      </c>
      <c r="AN142" s="31"/>
      <c r="AO142" s="30"/>
      <c r="AQ142" s="28">
        <v>0</v>
      </c>
      <c r="AR142" s="31"/>
      <c r="AS142" s="30"/>
      <c r="AU142" s="28">
        <v>0</v>
      </c>
      <c r="AV142" s="31"/>
      <c r="AY142" s="28">
        <v>0</v>
      </c>
      <c r="AZ142" s="31"/>
      <c r="BA142" s="30"/>
      <c r="BE142" s="28">
        <v>0</v>
      </c>
      <c r="BF142" s="31"/>
      <c r="BG142" s="30"/>
      <c r="BI142" s="28">
        <v>0</v>
      </c>
      <c r="BJ142" s="31"/>
      <c r="BO142" s="28">
        <v>0</v>
      </c>
      <c r="BP142" s="31"/>
      <c r="BS142" s="28">
        <v>0</v>
      </c>
      <c r="BT142" s="31"/>
      <c r="BU142" s="30"/>
      <c r="BW142" s="28">
        <v>0</v>
      </c>
      <c r="BX142" s="31"/>
      <c r="BY142" s="30"/>
      <c r="CA142" s="28">
        <v>0</v>
      </c>
      <c r="CB142" s="31"/>
      <c r="CE142" s="28">
        <v>0</v>
      </c>
      <c r="CF142" s="31"/>
      <c r="CG142" s="30"/>
      <c r="CJ142" s="28">
        <v>0</v>
      </c>
      <c r="CK142" s="31"/>
      <c r="CL142" s="30"/>
      <c r="CP142" s="28">
        <v>0</v>
      </c>
      <c r="CQ142" s="31"/>
      <c r="CR142" s="30"/>
      <c r="CU142" s="28">
        <v>0</v>
      </c>
      <c r="CV142" s="31"/>
      <c r="CY142" s="28">
        <v>0</v>
      </c>
      <c r="CZ142" s="31"/>
      <c r="DA142" s="33"/>
      <c r="DC142" s="28">
        <v>0</v>
      </c>
      <c r="DD142" s="31"/>
      <c r="DE142" s="30"/>
      <c r="DG142" s="28">
        <v>0</v>
      </c>
      <c r="DH142" s="31"/>
      <c r="DI142" s="30"/>
      <c r="DK142" s="28">
        <v>0</v>
      </c>
      <c r="DL142" s="31"/>
      <c r="DN142" s="32">
        <v>54.695000000000007</v>
      </c>
      <c r="DO142" s="27">
        <v>-54.695000000000007</v>
      </c>
      <c r="DP142" s="31">
        <v>54.695000000000007</v>
      </c>
      <c r="DS142" s="28">
        <v>0</v>
      </c>
      <c r="DT142" s="31"/>
      <c r="DU142" s="24">
        <v>40</v>
      </c>
      <c r="DW142">
        <v>40</v>
      </c>
      <c r="DX142" s="28">
        <v>0</v>
      </c>
      <c r="DY142" s="31"/>
      <c r="DZ142" s="30"/>
      <c r="EC142" s="28">
        <v>0</v>
      </c>
      <c r="ED142" s="31"/>
      <c r="EG142" s="28">
        <v>0</v>
      </c>
      <c r="EH142" s="31"/>
      <c r="EI142" s="30"/>
      <c r="EJ142" s="32">
        <v>53</v>
      </c>
      <c r="EK142" s="32">
        <v>52</v>
      </c>
      <c r="EN142" s="28">
        <v>1</v>
      </c>
      <c r="EO142" s="31"/>
      <c r="ER142" s="28">
        <v>0</v>
      </c>
      <c r="ES142" s="31"/>
      <c r="ET142" s="30"/>
      <c r="EY142" s="31"/>
      <c r="FE142" s="31"/>
      <c r="FI142" s="31"/>
      <c r="FJ142" s="30"/>
      <c r="FM142" s="31"/>
      <c r="FN142" s="30"/>
      <c r="FQ142" s="31"/>
      <c r="FU142" s="31"/>
      <c r="FV142" s="30"/>
      <c r="FY142" s="31"/>
      <c r="FZ142" s="30"/>
      <c r="GC142" s="31"/>
      <c r="GG142" s="34"/>
      <c r="GK142" s="31"/>
      <c r="GO142" s="34"/>
      <c r="GS142" s="31"/>
      <c r="GW142" s="34"/>
      <c r="HA142" s="31"/>
      <c r="HB142" s="33"/>
      <c r="HE142" s="34"/>
      <c r="HI142" s="34"/>
      <c r="HM142" s="34"/>
      <c r="HQ142" s="31"/>
      <c r="HR142" s="29"/>
      <c r="HT142" s="29"/>
      <c r="HW142" s="34"/>
      <c r="HX142" s="32"/>
      <c r="HY142" s="32"/>
      <c r="IA142" s="34"/>
      <c r="IB142" s="32"/>
      <c r="IC142" s="32"/>
      <c r="IE142" s="34"/>
      <c r="IF142" s="33"/>
      <c r="IG142" s="32"/>
      <c r="II142" s="34"/>
    </row>
    <row r="143" spans="1:243" x14ac:dyDescent="0.25">
      <c r="A143" s="28" t="s">
        <v>275</v>
      </c>
      <c r="B143" s="29">
        <v>1</v>
      </c>
      <c r="J143" s="30"/>
      <c r="K143" s="35"/>
      <c r="L143" s="35"/>
      <c r="M143" s="35"/>
      <c r="N143" s="35">
        <f t="shared" si="6"/>
        <v>0</v>
      </c>
      <c r="O143" s="31"/>
      <c r="P143" s="35"/>
      <c r="S143" s="28">
        <v>0</v>
      </c>
      <c r="T143" s="31"/>
      <c r="U143" s="30"/>
      <c r="W143" s="28">
        <v>0</v>
      </c>
      <c r="X143" s="31"/>
      <c r="Y143" s="30"/>
      <c r="AA143" s="28">
        <v>0</v>
      </c>
      <c r="AB143" s="31"/>
      <c r="AE143" s="28">
        <v>0</v>
      </c>
      <c r="AF143" s="31"/>
      <c r="AG143" s="30"/>
      <c r="AI143" s="28">
        <v>0</v>
      </c>
      <c r="AJ143" s="31"/>
      <c r="AM143" s="28">
        <v>0</v>
      </c>
      <c r="AN143" s="31"/>
      <c r="AO143" s="30"/>
      <c r="AQ143" s="28">
        <v>0</v>
      </c>
      <c r="AR143" s="31"/>
      <c r="AS143" s="30"/>
      <c r="AU143" s="28">
        <v>0</v>
      </c>
      <c r="AV143" s="31"/>
      <c r="AY143" s="28">
        <v>0</v>
      </c>
      <c r="AZ143" s="31"/>
      <c r="BA143" s="30"/>
      <c r="BE143" s="28">
        <v>0</v>
      </c>
      <c r="BF143" s="31"/>
      <c r="BG143" s="30"/>
      <c r="BI143" s="28">
        <v>0</v>
      </c>
      <c r="BJ143" s="31"/>
      <c r="BO143" s="28">
        <v>0</v>
      </c>
      <c r="BP143" s="31"/>
      <c r="BS143" s="28">
        <v>0</v>
      </c>
      <c r="BT143" s="31"/>
      <c r="BU143" s="30"/>
      <c r="BW143" s="28">
        <v>0</v>
      </c>
      <c r="BX143" s="31"/>
      <c r="BY143" s="30"/>
      <c r="CA143" s="28">
        <v>0</v>
      </c>
      <c r="CB143" s="31"/>
      <c r="CE143" s="28">
        <v>0</v>
      </c>
      <c r="CF143" s="31"/>
      <c r="CG143" s="30"/>
      <c r="CJ143" s="28">
        <v>0</v>
      </c>
      <c r="CK143" s="31"/>
      <c r="CL143" s="30"/>
      <c r="CP143" s="28">
        <v>0</v>
      </c>
      <c r="CQ143" s="31"/>
      <c r="CR143" s="30"/>
      <c r="CU143" s="28">
        <v>0</v>
      </c>
      <c r="CV143" s="31"/>
      <c r="CY143" s="28">
        <v>0</v>
      </c>
      <c r="CZ143" s="31"/>
      <c r="DA143" s="33"/>
      <c r="DC143" s="28">
        <v>0</v>
      </c>
      <c r="DD143" s="31"/>
      <c r="DE143" s="30"/>
      <c r="DG143" s="28">
        <v>0</v>
      </c>
      <c r="DH143" s="31"/>
      <c r="DI143" s="30"/>
      <c r="DK143" s="28">
        <v>0</v>
      </c>
      <c r="DL143" s="31"/>
      <c r="DO143" s="28">
        <v>0</v>
      </c>
      <c r="DP143" s="31"/>
      <c r="DR143">
        <v>8</v>
      </c>
      <c r="DS143" s="28">
        <v>-8</v>
      </c>
      <c r="DT143" s="31"/>
      <c r="DU143" s="30"/>
      <c r="DX143" s="28">
        <v>0</v>
      </c>
      <c r="DY143" s="31"/>
      <c r="DZ143" s="30"/>
      <c r="EB143">
        <v>40</v>
      </c>
      <c r="EC143" s="27">
        <v>-40</v>
      </c>
      <c r="ED143" s="31">
        <v>40</v>
      </c>
      <c r="EG143" s="28">
        <v>0</v>
      </c>
      <c r="EH143" s="31"/>
      <c r="EI143" s="30"/>
      <c r="EK143" s="32">
        <v>52</v>
      </c>
      <c r="EN143" s="27">
        <v>-52</v>
      </c>
      <c r="EO143" s="31">
        <v>52</v>
      </c>
      <c r="ER143" s="28">
        <v>0</v>
      </c>
      <c r="ES143" s="31"/>
      <c r="ET143" s="30"/>
      <c r="EY143" s="31"/>
      <c r="FE143" s="31"/>
      <c r="FI143" s="31"/>
      <c r="FJ143" s="30"/>
      <c r="FM143" s="31"/>
      <c r="FN143" s="30"/>
      <c r="FQ143" s="31"/>
      <c r="FU143" s="31"/>
      <c r="FV143" s="30"/>
      <c r="FY143" s="31"/>
      <c r="FZ143" s="30"/>
      <c r="GC143" s="31"/>
      <c r="GG143" s="34"/>
      <c r="GK143" s="31"/>
      <c r="GO143" s="34"/>
      <c r="GS143" s="31"/>
      <c r="GW143" s="34"/>
      <c r="HA143" s="31"/>
      <c r="HB143" s="33"/>
      <c r="HE143" s="34"/>
      <c r="HI143" s="34"/>
      <c r="HM143" s="34"/>
      <c r="HQ143" s="31"/>
      <c r="HR143" s="29"/>
      <c r="HT143" s="29"/>
      <c r="HW143" s="34"/>
      <c r="HX143" s="32"/>
      <c r="HY143" s="32"/>
      <c r="IA143" s="34"/>
      <c r="IB143" s="32"/>
      <c r="IC143" s="32"/>
      <c r="IE143" s="34"/>
      <c r="IF143" s="33"/>
      <c r="IG143" s="32"/>
      <c r="II143" s="34"/>
    </row>
    <row r="144" spans="1:243" x14ac:dyDescent="0.25">
      <c r="A144" s="28" t="s">
        <v>276</v>
      </c>
      <c r="B144" s="29">
        <v>0.4</v>
      </c>
      <c r="J144" s="30"/>
      <c r="K144" s="35"/>
      <c r="L144" s="35"/>
      <c r="M144" s="35"/>
      <c r="N144" s="35">
        <f t="shared" si="6"/>
        <v>0</v>
      </c>
      <c r="O144" s="31"/>
      <c r="P144" s="35"/>
      <c r="S144" s="28">
        <v>0</v>
      </c>
      <c r="T144" s="31"/>
      <c r="U144" s="30"/>
      <c r="W144" s="28">
        <v>0</v>
      </c>
      <c r="X144" s="31"/>
      <c r="Y144" s="30"/>
      <c r="AA144" s="28">
        <v>0</v>
      </c>
      <c r="AB144" s="31"/>
      <c r="AE144" s="28">
        <v>0</v>
      </c>
      <c r="AF144" s="31"/>
      <c r="AG144" s="30"/>
      <c r="AI144" s="28">
        <v>0</v>
      </c>
      <c r="AJ144" s="31"/>
      <c r="AM144" s="28">
        <v>0</v>
      </c>
      <c r="AN144" s="31"/>
      <c r="AO144" s="30"/>
      <c r="AQ144" s="28">
        <v>0</v>
      </c>
      <c r="AR144" s="31"/>
      <c r="AS144" s="30"/>
      <c r="AU144" s="28">
        <v>0</v>
      </c>
      <c r="AV144" s="31"/>
      <c r="AY144" s="28">
        <v>0</v>
      </c>
      <c r="AZ144" s="31"/>
      <c r="BA144" s="30"/>
      <c r="BE144" s="28">
        <v>0</v>
      </c>
      <c r="BF144" s="31"/>
      <c r="BG144" s="30"/>
      <c r="BI144" s="28">
        <v>0</v>
      </c>
      <c r="BJ144" s="31"/>
      <c r="BO144" s="28">
        <v>0</v>
      </c>
      <c r="BP144" s="31"/>
      <c r="BS144" s="28">
        <v>0</v>
      </c>
      <c r="BT144" s="31"/>
      <c r="BU144" s="30"/>
      <c r="BW144" s="28">
        <v>0</v>
      </c>
      <c r="BX144" s="31"/>
      <c r="BY144" s="30"/>
      <c r="CA144" s="28">
        <v>0</v>
      </c>
      <c r="CB144" s="31"/>
      <c r="CE144" s="28">
        <v>0</v>
      </c>
      <c r="CF144" s="31"/>
      <c r="CG144" s="30"/>
      <c r="CJ144" s="28">
        <v>0</v>
      </c>
      <c r="CK144" s="31"/>
      <c r="CL144" s="30"/>
      <c r="CP144" s="28">
        <v>0</v>
      </c>
      <c r="CQ144" s="31"/>
      <c r="CR144" s="30"/>
      <c r="CU144" s="28">
        <v>0</v>
      </c>
      <c r="CV144" s="31"/>
      <c r="CY144" s="28">
        <v>0</v>
      </c>
      <c r="CZ144" s="31"/>
      <c r="DA144" s="33"/>
      <c r="DC144" s="28">
        <v>0</v>
      </c>
      <c r="DD144" s="31"/>
      <c r="DE144" s="30"/>
      <c r="DG144" s="28">
        <v>0</v>
      </c>
      <c r="DH144" s="31"/>
      <c r="DI144" s="30"/>
      <c r="DK144" s="28">
        <v>0</v>
      </c>
      <c r="DL144" s="31"/>
      <c r="DO144" s="28">
        <v>0</v>
      </c>
      <c r="DP144" s="31"/>
      <c r="DS144" s="28">
        <v>0</v>
      </c>
      <c r="DT144" s="31"/>
      <c r="DU144" s="30"/>
      <c r="DX144" s="28">
        <v>0</v>
      </c>
      <c r="DY144" s="31"/>
      <c r="DZ144" s="30"/>
      <c r="EC144" s="28">
        <v>0</v>
      </c>
      <c r="ED144" s="31"/>
      <c r="EG144" s="28">
        <v>0</v>
      </c>
      <c r="EH144" s="31"/>
      <c r="EI144" s="30"/>
      <c r="EN144" s="28">
        <v>0</v>
      </c>
      <c r="EO144" s="31"/>
      <c r="ER144" s="28">
        <v>0</v>
      </c>
      <c r="ES144" s="31"/>
      <c r="ET144" s="30"/>
      <c r="EW144">
        <v>16</v>
      </c>
      <c r="EX144" s="27">
        <v>-16</v>
      </c>
      <c r="EY144" s="31">
        <v>6.4</v>
      </c>
      <c r="FC144">
        <v>16</v>
      </c>
      <c r="FD144" s="27">
        <v>-16</v>
      </c>
      <c r="FE144" s="31">
        <v>6.4</v>
      </c>
      <c r="FG144" s="32">
        <v>8</v>
      </c>
      <c r="FH144" s="27">
        <v>-8</v>
      </c>
      <c r="FI144" s="31">
        <v>3.2</v>
      </c>
      <c r="FJ144" s="30"/>
      <c r="FL144" s="28">
        <v>0</v>
      </c>
      <c r="FM144" s="31"/>
      <c r="FN144" s="30"/>
      <c r="FP144" s="28">
        <v>0</v>
      </c>
      <c r="FQ144" s="31"/>
      <c r="FU144" s="31"/>
      <c r="FV144" s="30"/>
      <c r="FY144" s="31"/>
      <c r="FZ144" s="30"/>
      <c r="GC144" s="31"/>
      <c r="GG144" s="34"/>
      <c r="GK144" s="31"/>
      <c r="GO144" s="34"/>
      <c r="GS144" s="31"/>
      <c r="GW144" s="34"/>
      <c r="GY144" s="32"/>
      <c r="HA144" s="31"/>
      <c r="HB144" s="33"/>
      <c r="HE144" s="34"/>
      <c r="HI144" s="34"/>
      <c r="HM144" s="34"/>
      <c r="HQ144" s="31"/>
      <c r="HR144" s="29"/>
      <c r="HT144" s="29"/>
      <c r="HW144" s="34"/>
      <c r="HX144" s="32"/>
      <c r="HY144" s="32"/>
      <c r="IA144" s="34"/>
      <c r="IB144" s="32"/>
      <c r="IC144" s="32"/>
      <c r="IE144" s="34"/>
      <c r="IF144" s="33"/>
      <c r="IG144" s="32"/>
      <c r="II144" s="34"/>
    </row>
    <row r="145" spans="1:243" x14ac:dyDescent="0.25">
      <c r="A145" s="28" t="s">
        <v>277</v>
      </c>
      <c r="B145" s="29">
        <v>0.41</v>
      </c>
      <c r="J145" s="30"/>
      <c r="K145" s="35"/>
      <c r="L145" s="35"/>
      <c r="M145" s="35"/>
      <c r="N145" s="35">
        <f t="shared" si="6"/>
        <v>0</v>
      </c>
      <c r="O145" s="31"/>
      <c r="P145" s="35"/>
      <c r="S145" s="28">
        <v>0</v>
      </c>
      <c r="T145" s="31"/>
      <c r="U145" s="30"/>
      <c r="W145" s="28">
        <v>0</v>
      </c>
      <c r="X145" s="31"/>
      <c r="Y145" s="30"/>
      <c r="AA145" s="28">
        <v>0</v>
      </c>
      <c r="AB145" s="31"/>
      <c r="AE145" s="28">
        <v>0</v>
      </c>
      <c r="AF145" s="31"/>
      <c r="AG145" s="30"/>
      <c r="AI145" s="28">
        <v>0</v>
      </c>
      <c r="AJ145" s="31"/>
      <c r="AM145" s="28">
        <v>0</v>
      </c>
      <c r="AN145" s="31"/>
      <c r="AO145" s="30"/>
      <c r="AQ145" s="28">
        <v>0</v>
      </c>
      <c r="AR145" s="31"/>
      <c r="AS145" s="30"/>
      <c r="AU145" s="28">
        <v>0</v>
      </c>
      <c r="AV145" s="31"/>
      <c r="AY145" s="28">
        <v>0</v>
      </c>
      <c r="AZ145" s="31"/>
      <c r="BA145" s="30"/>
      <c r="BE145" s="28">
        <v>0</v>
      </c>
      <c r="BF145" s="31"/>
      <c r="BG145" s="30"/>
      <c r="BI145" s="28">
        <v>0</v>
      </c>
      <c r="BJ145" s="31"/>
      <c r="BO145" s="28">
        <v>0</v>
      </c>
      <c r="BP145" s="31"/>
      <c r="BS145" s="28">
        <v>0</v>
      </c>
      <c r="BT145" s="31"/>
      <c r="BU145" s="30"/>
      <c r="BW145" s="28">
        <v>0</v>
      </c>
      <c r="BX145" s="31"/>
      <c r="BY145" s="30"/>
      <c r="CA145" s="28">
        <v>0</v>
      </c>
      <c r="CB145" s="31"/>
      <c r="CE145" s="28">
        <v>0</v>
      </c>
      <c r="CF145" s="31"/>
      <c r="CG145" s="30"/>
      <c r="CJ145" s="28">
        <v>0</v>
      </c>
      <c r="CK145" s="31"/>
      <c r="CL145" s="30"/>
      <c r="CP145" s="28">
        <v>0</v>
      </c>
      <c r="CQ145" s="31"/>
      <c r="CR145" s="30"/>
      <c r="CU145" s="28">
        <v>0</v>
      </c>
      <c r="CV145" s="31"/>
      <c r="CY145" s="28">
        <v>0</v>
      </c>
      <c r="CZ145" s="31"/>
      <c r="DA145" s="33"/>
      <c r="DC145" s="28">
        <v>0</v>
      </c>
      <c r="DD145" s="31"/>
      <c r="DE145" s="30"/>
      <c r="DG145" s="28">
        <v>0</v>
      </c>
      <c r="DH145" s="31"/>
      <c r="DI145" s="30"/>
      <c r="DK145" s="28">
        <v>0</v>
      </c>
      <c r="DL145" s="31"/>
      <c r="DO145" s="28">
        <v>0</v>
      </c>
      <c r="DP145" s="31"/>
      <c r="DS145" s="28">
        <v>0</v>
      </c>
      <c r="DT145" s="31"/>
      <c r="DU145" s="30"/>
      <c r="DX145" s="28">
        <v>0</v>
      </c>
      <c r="DY145" s="31"/>
      <c r="DZ145" s="30"/>
      <c r="EC145" s="28">
        <v>0</v>
      </c>
      <c r="ED145" s="31"/>
      <c r="EG145" s="28">
        <v>0</v>
      </c>
      <c r="EH145" s="31"/>
      <c r="EI145" s="30"/>
      <c r="EN145" s="28">
        <v>0</v>
      </c>
      <c r="EO145" s="31"/>
      <c r="ER145" s="28">
        <v>0</v>
      </c>
      <c r="ES145" s="31"/>
      <c r="ET145" s="30"/>
      <c r="EX145" s="28">
        <v>0</v>
      </c>
      <c r="EY145" s="31"/>
      <c r="FD145" s="28">
        <v>0</v>
      </c>
      <c r="FE145" s="31"/>
      <c r="FH145" s="28">
        <v>0</v>
      </c>
      <c r="FI145" s="31"/>
      <c r="FJ145" s="30"/>
      <c r="FL145" s="28">
        <v>0</v>
      </c>
      <c r="FM145" s="31"/>
      <c r="FN145" s="30"/>
      <c r="FP145" s="28">
        <v>0</v>
      </c>
      <c r="FQ145" s="31"/>
      <c r="FT145" s="28">
        <v>0</v>
      </c>
      <c r="FU145" s="31"/>
      <c r="FV145" s="30"/>
      <c r="FX145" s="28">
        <v>0</v>
      </c>
      <c r="FY145" s="31"/>
      <c r="FZ145" s="30"/>
      <c r="GB145" s="28">
        <v>0</v>
      </c>
      <c r="GC145" s="31"/>
      <c r="GF145" s="28">
        <v>0</v>
      </c>
      <c r="GG145" s="34"/>
      <c r="GJ145" s="28">
        <v>0</v>
      </c>
      <c r="GK145" s="31"/>
      <c r="GN145" s="28">
        <v>0</v>
      </c>
      <c r="GO145" s="34"/>
      <c r="GR145" s="28">
        <v>0</v>
      </c>
      <c r="GS145" s="31"/>
      <c r="GV145" s="28">
        <v>0</v>
      </c>
      <c r="GW145" s="34"/>
      <c r="GZ145" s="28">
        <v>0</v>
      </c>
      <c r="HA145" s="31"/>
      <c r="HB145" s="33"/>
      <c r="HD145" s="28">
        <v>0</v>
      </c>
      <c r="HE145" s="34"/>
      <c r="HH145" s="28">
        <v>0</v>
      </c>
      <c r="HI145" s="34"/>
      <c r="HL145" s="28">
        <v>0</v>
      </c>
      <c r="HM145" s="34"/>
      <c r="HP145" s="28">
        <v>0</v>
      </c>
      <c r="HQ145" s="31"/>
      <c r="HR145" s="29"/>
      <c r="HT145" s="29"/>
      <c r="HV145" s="28">
        <v>0</v>
      </c>
      <c r="HW145" s="34"/>
      <c r="HX145" s="32">
        <v>0</v>
      </c>
      <c r="HY145" s="32">
        <v>0</v>
      </c>
      <c r="HZ145" s="28">
        <v>0</v>
      </c>
      <c r="IA145" s="34"/>
      <c r="IB145" s="32">
        <v>0</v>
      </c>
      <c r="IC145" s="32">
        <v>0</v>
      </c>
      <c r="ID145" s="28">
        <v>0</v>
      </c>
      <c r="IE145" s="34"/>
      <c r="IF145" s="6">
        <v>110</v>
      </c>
      <c r="IG145" s="32">
        <v>0</v>
      </c>
      <c r="IH145" s="28">
        <v>0</v>
      </c>
      <c r="II145" s="34"/>
    </row>
    <row r="146" spans="1:243" x14ac:dyDescent="0.25">
      <c r="A146" s="28" t="s">
        <v>278</v>
      </c>
      <c r="B146" s="29">
        <v>0.33</v>
      </c>
      <c r="J146" s="30"/>
      <c r="K146" s="35"/>
      <c r="L146" s="35"/>
      <c r="M146" s="35"/>
      <c r="N146" s="35">
        <f t="shared" si="6"/>
        <v>0</v>
      </c>
      <c r="O146" s="31"/>
      <c r="P146" s="35"/>
      <c r="S146" s="28">
        <v>0</v>
      </c>
      <c r="T146" s="31"/>
      <c r="U146" s="30"/>
      <c r="W146" s="28">
        <v>0</v>
      </c>
      <c r="X146" s="31"/>
      <c r="Y146" s="30"/>
      <c r="AA146" s="28">
        <v>0</v>
      </c>
      <c r="AB146" s="31"/>
      <c r="AE146" s="28">
        <v>0</v>
      </c>
      <c r="AF146" s="31"/>
      <c r="AG146" s="30"/>
      <c r="AI146" s="28">
        <v>0</v>
      </c>
      <c r="AJ146" s="31"/>
      <c r="AM146" s="28">
        <v>0</v>
      </c>
      <c r="AN146" s="31"/>
      <c r="AO146" s="30"/>
      <c r="AQ146" s="28">
        <v>0</v>
      </c>
      <c r="AR146" s="31"/>
      <c r="AS146" s="30"/>
      <c r="AU146" s="28">
        <v>0</v>
      </c>
      <c r="AV146" s="31"/>
      <c r="AY146" s="28">
        <v>0</v>
      </c>
      <c r="AZ146" s="31"/>
      <c r="BA146" s="30"/>
      <c r="BE146" s="28">
        <v>0</v>
      </c>
      <c r="BF146" s="31"/>
      <c r="BG146" s="30"/>
      <c r="BI146" s="28">
        <v>0</v>
      </c>
      <c r="BJ146" s="31"/>
      <c r="BO146" s="28">
        <v>0</v>
      </c>
      <c r="BP146" s="31"/>
      <c r="BS146" s="28">
        <v>0</v>
      </c>
      <c r="BT146" s="31"/>
      <c r="BU146" s="30"/>
      <c r="BW146" s="28">
        <v>0</v>
      </c>
      <c r="BX146" s="31"/>
      <c r="BY146" s="30"/>
      <c r="CA146" s="28">
        <v>0</v>
      </c>
      <c r="CB146" s="31"/>
      <c r="CE146" s="28">
        <v>0</v>
      </c>
      <c r="CF146" s="31"/>
      <c r="CG146" s="30"/>
      <c r="CJ146" s="28">
        <v>0</v>
      </c>
      <c r="CK146" s="31"/>
      <c r="CL146" s="30"/>
      <c r="CP146" s="28">
        <v>0</v>
      </c>
      <c r="CQ146" s="31"/>
      <c r="CR146" s="30"/>
      <c r="CU146" s="28">
        <v>0</v>
      </c>
      <c r="CV146" s="31"/>
      <c r="CY146" s="28">
        <v>0</v>
      </c>
      <c r="CZ146" s="31"/>
      <c r="DA146" s="33"/>
      <c r="DC146" s="28">
        <v>0</v>
      </c>
      <c r="DD146" s="31"/>
      <c r="DE146" s="30"/>
      <c r="DG146" s="28">
        <v>0</v>
      </c>
      <c r="DH146" s="31"/>
      <c r="DI146" s="30"/>
      <c r="DK146" s="28">
        <v>0</v>
      </c>
      <c r="DL146" s="31"/>
      <c r="DO146" s="28">
        <v>0</v>
      </c>
      <c r="DP146" s="31"/>
      <c r="DS146" s="28">
        <v>0</v>
      </c>
      <c r="DT146" s="31"/>
      <c r="DU146" s="30"/>
      <c r="DX146" s="28">
        <v>0</v>
      </c>
      <c r="DY146" s="31"/>
      <c r="DZ146" s="30"/>
      <c r="EC146" s="28">
        <v>0</v>
      </c>
      <c r="ED146" s="31"/>
      <c r="EG146" s="28">
        <v>0</v>
      </c>
      <c r="EH146" s="31"/>
      <c r="EI146" s="30"/>
      <c r="EN146" s="28">
        <v>0</v>
      </c>
      <c r="EO146" s="31"/>
      <c r="ER146" s="28">
        <v>0</v>
      </c>
      <c r="ES146" s="31"/>
      <c r="ET146" s="30"/>
      <c r="EX146" s="28">
        <v>0</v>
      </c>
      <c r="EY146" s="31"/>
      <c r="FB146">
        <v>48</v>
      </c>
      <c r="FC146">
        <v>48</v>
      </c>
      <c r="FD146" s="28">
        <v>0</v>
      </c>
      <c r="FE146" s="31"/>
      <c r="FH146" s="28">
        <v>0</v>
      </c>
      <c r="FI146" s="31"/>
      <c r="FJ146" s="30"/>
      <c r="FL146" s="28">
        <v>0</v>
      </c>
      <c r="FM146" s="31"/>
      <c r="FN146" s="24">
        <v>8</v>
      </c>
      <c r="FO146">
        <v>8</v>
      </c>
      <c r="FP146" s="28">
        <v>0</v>
      </c>
      <c r="FQ146" s="31"/>
      <c r="FR146">
        <v>32</v>
      </c>
      <c r="FS146">
        <v>32</v>
      </c>
      <c r="FT146" s="28">
        <v>0</v>
      </c>
      <c r="FU146" s="31"/>
      <c r="FV146" s="24">
        <v>16</v>
      </c>
      <c r="FW146">
        <v>16</v>
      </c>
      <c r="FX146" s="28">
        <v>0</v>
      </c>
      <c r="FY146" s="31"/>
      <c r="FZ146" s="24">
        <v>16</v>
      </c>
      <c r="GA146">
        <v>20</v>
      </c>
      <c r="GB146" s="28">
        <v>-4</v>
      </c>
      <c r="GC146" s="31"/>
      <c r="GD146">
        <v>16</v>
      </c>
      <c r="GE146">
        <v>16</v>
      </c>
      <c r="GF146" s="28">
        <v>0</v>
      </c>
      <c r="GG146" s="34"/>
      <c r="GJ146" s="28">
        <v>0</v>
      </c>
      <c r="GK146" s="31"/>
      <c r="GL146">
        <v>32</v>
      </c>
      <c r="GM146">
        <v>32</v>
      </c>
      <c r="GN146" s="28">
        <v>0</v>
      </c>
      <c r="GO146" s="34"/>
      <c r="GR146" s="28">
        <v>0</v>
      </c>
      <c r="GS146" s="31"/>
      <c r="GT146">
        <v>8</v>
      </c>
      <c r="GU146">
        <v>8</v>
      </c>
      <c r="GV146" s="28">
        <v>0</v>
      </c>
      <c r="GW146" s="34"/>
      <c r="GZ146" s="28">
        <v>0</v>
      </c>
      <c r="HA146" s="31"/>
      <c r="HB146" s="33"/>
      <c r="HD146" s="28">
        <v>0</v>
      </c>
      <c r="HE146" s="34"/>
      <c r="HH146" s="28">
        <v>0</v>
      </c>
      <c r="HI146" s="34"/>
      <c r="HL146" s="28">
        <v>0</v>
      </c>
      <c r="HM146" s="34"/>
      <c r="HP146" s="28">
        <v>0</v>
      </c>
      <c r="HQ146" s="31"/>
      <c r="HR146">
        <v>48</v>
      </c>
      <c r="HS146">
        <v>50</v>
      </c>
      <c r="HT146">
        <v>32</v>
      </c>
      <c r="HU146">
        <v>34</v>
      </c>
      <c r="HV146" s="28">
        <v>-4</v>
      </c>
      <c r="HW146" s="34"/>
      <c r="HX146" s="32">
        <v>96</v>
      </c>
      <c r="HY146" s="32">
        <v>100</v>
      </c>
      <c r="HZ146" s="28">
        <v>-4</v>
      </c>
      <c r="IA146" s="34"/>
      <c r="IE146" s="34"/>
      <c r="IF146" s="33"/>
      <c r="II146" s="34"/>
    </row>
    <row r="147" spans="1:243" x14ac:dyDescent="0.25">
      <c r="A147" s="28" t="s">
        <v>279</v>
      </c>
      <c r="B147" s="29">
        <v>0.3</v>
      </c>
      <c r="J147" s="30"/>
      <c r="K147" s="35"/>
      <c r="L147" s="35"/>
      <c r="M147" s="35"/>
      <c r="N147" s="35">
        <f t="shared" si="6"/>
        <v>0</v>
      </c>
      <c r="O147" s="31"/>
      <c r="P147" s="35"/>
      <c r="S147" s="28">
        <v>0</v>
      </c>
      <c r="T147" s="31"/>
      <c r="U147" s="30"/>
      <c r="W147" s="28">
        <v>0</v>
      </c>
      <c r="X147" s="31"/>
      <c r="Y147" s="30"/>
      <c r="AA147" s="28">
        <v>0</v>
      </c>
      <c r="AB147" s="31"/>
      <c r="AE147" s="28">
        <v>0</v>
      </c>
      <c r="AF147" s="31"/>
      <c r="AG147" s="30"/>
      <c r="AI147" s="28">
        <v>0</v>
      </c>
      <c r="AJ147" s="31"/>
      <c r="AM147" s="28">
        <v>0</v>
      </c>
      <c r="AN147" s="31"/>
      <c r="AO147" s="30"/>
      <c r="AQ147" s="28">
        <v>0</v>
      </c>
      <c r="AR147" s="31"/>
      <c r="AS147" s="30"/>
      <c r="AU147" s="28">
        <v>0</v>
      </c>
      <c r="AV147" s="31"/>
      <c r="AY147" s="28">
        <v>0</v>
      </c>
      <c r="AZ147" s="31"/>
      <c r="BA147" s="30"/>
      <c r="BE147" s="28">
        <v>0</v>
      </c>
      <c r="BF147" s="31"/>
      <c r="BG147" s="30"/>
      <c r="BI147" s="28">
        <v>0</v>
      </c>
      <c r="BJ147" s="31"/>
      <c r="BO147" s="28">
        <v>0</v>
      </c>
      <c r="BP147" s="31"/>
      <c r="BS147" s="28">
        <v>0</v>
      </c>
      <c r="BT147" s="31"/>
      <c r="BU147" s="30"/>
      <c r="BW147" s="28">
        <v>0</v>
      </c>
      <c r="BX147" s="31"/>
      <c r="BY147" s="30"/>
      <c r="CA147" s="28">
        <v>0</v>
      </c>
      <c r="CB147" s="31"/>
      <c r="CE147" s="28">
        <v>0</v>
      </c>
      <c r="CF147" s="31"/>
      <c r="CG147" s="30"/>
      <c r="CJ147" s="28">
        <v>0</v>
      </c>
      <c r="CK147" s="31"/>
      <c r="CL147" s="30"/>
      <c r="CP147" s="28">
        <v>0</v>
      </c>
      <c r="CQ147" s="31"/>
      <c r="CR147" s="30"/>
      <c r="CU147" s="28">
        <v>0</v>
      </c>
      <c r="CV147" s="31"/>
      <c r="CY147" s="28">
        <v>0</v>
      </c>
      <c r="CZ147" s="31"/>
      <c r="DA147" s="33"/>
      <c r="DC147" s="28">
        <v>0</v>
      </c>
      <c r="DD147" s="31"/>
      <c r="DE147" s="30"/>
      <c r="DG147" s="28">
        <v>0</v>
      </c>
      <c r="DH147" s="31"/>
      <c r="DI147" s="30"/>
      <c r="DK147" s="28">
        <v>0</v>
      </c>
      <c r="DL147" s="31"/>
      <c r="DO147" s="28">
        <v>0</v>
      </c>
      <c r="DP147" s="31"/>
      <c r="DS147" s="28">
        <v>0</v>
      </c>
      <c r="DT147" s="31"/>
      <c r="DU147" s="30"/>
      <c r="DX147" s="28">
        <v>0</v>
      </c>
      <c r="DY147" s="31"/>
      <c r="DZ147" s="30"/>
      <c r="EC147" s="28">
        <v>0</v>
      </c>
      <c r="ED147" s="31"/>
      <c r="EG147" s="28">
        <v>0</v>
      </c>
      <c r="EH147" s="31"/>
      <c r="EI147" s="30"/>
      <c r="EN147" s="28">
        <v>0</v>
      </c>
      <c r="EO147" s="31"/>
      <c r="ER147" s="28">
        <v>0</v>
      </c>
      <c r="ES147" s="31"/>
      <c r="ET147" s="30"/>
      <c r="EX147" s="28">
        <v>0</v>
      </c>
      <c r="EY147" s="31"/>
      <c r="FD147" s="28">
        <v>0</v>
      </c>
      <c r="FE147" s="31"/>
      <c r="FH147" s="28">
        <v>0</v>
      </c>
      <c r="FI147" s="31"/>
      <c r="FJ147" s="30"/>
      <c r="FL147" s="28">
        <v>0</v>
      </c>
      <c r="FM147" s="31"/>
      <c r="FN147" s="30"/>
      <c r="FP147" s="28">
        <v>0</v>
      </c>
      <c r="FQ147" s="31"/>
      <c r="FT147" s="28">
        <v>0</v>
      </c>
      <c r="FU147" s="31"/>
      <c r="FV147" s="24">
        <v>84</v>
      </c>
      <c r="FW147">
        <v>280</v>
      </c>
      <c r="FX147" s="27">
        <v>-196</v>
      </c>
      <c r="FY147" s="31">
        <v>58.8</v>
      </c>
      <c r="FZ147" s="30"/>
      <c r="GB147" s="28">
        <v>0</v>
      </c>
      <c r="GC147" s="31"/>
      <c r="GF147" s="28">
        <v>0</v>
      </c>
      <c r="GG147" s="34"/>
      <c r="GH147">
        <v>18</v>
      </c>
      <c r="GI147">
        <v>16</v>
      </c>
      <c r="GJ147" s="28">
        <v>2</v>
      </c>
      <c r="GK147" s="31"/>
      <c r="GN147" s="28">
        <v>0</v>
      </c>
      <c r="GO147" s="34"/>
      <c r="GR147" s="28">
        <v>0</v>
      </c>
      <c r="GS147" s="31"/>
      <c r="GT147">
        <v>30</v>
      </c>
      <c r="GU147">
        <v>31</v>
      </c>
      <c r="GV147" s="28">
        <v>-1</v>
      </c>
      <c r="GW147" s="34"/>
      <c r="GZ147" s="28">
        <v>0</v>
      </c>
      <c r="HA147" s="31"/>
      <c r="HB147" s="33"/>
      <c r="HD147" s="28">
        <v>0</v>
      </c>
      <c r="HE147" s="34"/>
      <c r="HF147">
        <v>30</v>
      </c>
      <c r="HG147">
        <v>33</v>
      </c>
      <c r="HH147" s="28">
        <v>-3</v>
      </c>
      <c r="HI147" s="34"/>
      <c r="HJ147">
        <v>24</v>
      </c>
      <c r="HK147">
        <v>25</v>
      </c>
      <c r="HL147" s="28">
        <v>1</v>
      </c>
      <c r="HM147" s="34"/>
      <c r="HP147" s="28">
        <v>0</v>
      </c>
      <c r="HQ147" s="31"/>
      <c r="HR147">
        <v>60</v>
      </c>
      <c r="HS147">
        <v>60</v>
      </c>
      <c r="HT147">
        <v>42</v>
      </c>
      <c r="HU147">
        <v>40</v>
      </c>
      <c r="HV147" s="28">
        <v>2</v>
      </c>
      <c r="HW147" s="34"/>
      <c r="HX147" s="32">
        <v>48</v>
      </c>
      <c r="HY147" s="32">
        <v>50</v>
      </c>
      <c r="HZ147" s="28">
        <v>-2</v>
      </c>
      <c r="IA147" s="34"/>
      <c r="IE147" s="34"/>
      <c r="IF147" s="33"/>
      <c r="II147" s="34"/>
    </row>
    <row r="148" spans="1:243" x14ac:dyDescent="0.25">
      <c r="A148" s="28" t="s">
        <v>280</v>
      </c>
      <c r="B148" s="29">
        <v>1</v>
      </c>
      <c r="J148" s="30"/>
      <c r="K148" s="35"/>
      <c r="L148" s="35"/>
      <c r="M148" s="35"/>
      <c r="N148" s="35">
        <f t="shared" si="6"/>
        <v>0</v>
      </c>
      <c r="O148" s="31"/>
      <c r="P148" s="35"/>
      <c r="S148" s="28">
        <v>0</v>
      </c>
      <c r="T148" s="31"/>
      <c r="U148" s="30"/>
      <c r="W148" s="28">
        <v>0</v>
      </c>
      <c r="X148" s="31"/>
      <c r="Y148" s="30"/>
      <c r="AA148" s="28">
        <v>0</v>
      </c>
      <c r="AB148" s="31"/>
      <c r="AE148" s="28">
        <v>0</v>
      </c>
      <c r="AF148" s="31"/>
      <c r="AG148" s="30"/>
      <c r="AI148" s="28">
        <v>0</v>
      </c>
      <c r="AJ148" s="31"/>
      <c r="AM148" s="28">
        <v>0</v>
      </c>
      <c r="AN148" s="31"/>
      <c r="AO148" s="30"/>
      <c r="AQ148" s="28">
        <v>0</v>
      </c>
      <c r="AR148" s="31"/>
      <c r="AS148" s="30"/>
      <c r="AU148" s="28">
        <v>0</v>
      </c>
      <c r="AV148" s="31"/>
      <c r="AY148" s="28">
        <v>0</v>
      </c>
      <c r="AZ148" s="31"/>
      <c r="BA148" s="30"/>
      <c r="BE148" s="28">
        <v>0</v>
      </c>
      <c r="BF148" s="31"/>
      <c r="BG148" s="30"/>
      <c r="BI148" s="28">
        <v>0</v>
      </c>
      <c r="BJ148" s="31"/>
      <c r="BO148" s="28">
        <v>0</v>
      </c>
      <c r="BP148" s="31"/>
      <c r="BS148" s="28">
        <v>0</v>
      </c>
      <c r="BT148" s="31"/>
      <c r="BU148" s="30"/>
      <c r="BW148" s="28">
        <v>0</v>
      </c>
      <c r="BX148" s="31"/>
      <c r="BY148" s="30"/>
      <c r="CA148" s="28">
        <v>0</v>
      </c>
      <c r="CB148" s="31"/>
      <c r="CE148" s="28">
        <v>0</v>
      </c>
      <c r="CF148" s="31"/>
      <c r="CG148" s="30"/>
      <c r="CJ148" s="28">
        <v>0</v>
      </c>
      <c r="CK148" s="31"/>
      <c r="CL148" s="30"/>
      <c r="CP148" s="28">
        <v>0</v>
      </c>
      <c r="CQ148" s="31"/>
      <c r="CR148" s="30"/>
      <c r="CU148" s="28">
        <v>0</v>
      </c>
      <c r="CV148" s="31"/>
      <c r="CY148" s="28">
        <v>0</v>
      </c>
      <c r="CZ148" s="31"/>
      <c r="DA148" s="33"/>
      <c r="DC148" s="28">
        <v>0</v>
      </c>
      <c r="DD148" s="31"/>
      <c r="DE148" s="30"/>
      <c r="DG148" s="28">
        <v>0</v>
      </c>
      <c r="DH148" s="31"/>
      <c r="DI148" s="30"/>
      <c r="DK148" s="28">
        <v>0</v>
      </c>
      <c r="DL148" s="31"/>
      <c r="DO148" s="28">
        <v>0</v>
      </c>
      <c r="DP148" s="31"/>
      <c r="DS148" s="28">
        <v>0</v>
      </c>
      <c r="DT148" s="31"/>
      <c r="DU148" s="30"/>
      <c r="DX148" s="28">
        <v>0</v>
      </c>
      <c r="DY148" s="31"/>
      <c r="DZ148" s="30"/>
      <c r="EC148" s="28">
        <v>0</v>
      </c>
      <c r="ED148" s="31"/>
      <c r="EG148" s="28">
        <v>0</v>
      </c>
      <c r="EH148" s="31"/>
      <c r="EI148" s="30"/>
      <c r="EN148" s="28">
        <v>0</v>
      </c>
      <c r="EO148" s="31"/>
      <c r="ER148" s="28">
        <v>0</v>
      </c>
      <c r="ES148" s="31"/>
      <c r="ET148" s="30"/>
      <c r="EX148" s="28">
        <v>0</v>
      </c>
      <c r="EY148" s="31"/>
      <c r="FD148" s="28">
        <v>0</v>
      </c>
      <c r="FE148" s="31"/>
      <c r="FH148" s="28">
        <v>0</v>
      </c>
      <c r="FI148" s="31"/>
      <c r="FJ148" s="30"/>
      <c r="FL148" s="28">
        <v>0</v>
      </c>
      <c r="FM148" s="31"/>
      <c r="FN148" s="30"/>
      <c r="FP148" s="28">
        <v>0</v>
      </c>
      <c r="FQ148" s="31"/>
      <c r="FT148" s="28">
        <v>0</v>
      </c>
      <c r="FU148" s="31"/>
      <c r="FV148" s="30"/>
      <c r="FX148" s="28">
        <v>0</v>
      </c>
      <c r="FY148" s="31"/>
      <c r="FZ148" s="30"/>
      <c r="GB148" s="28">
        <v>0</v>
      </c>
      <c r="GC148" s="31"/>
      <c r="GF148" s="28">
        <v>0</v>
      </c>
      <c r="GG148" s="34"/>
      <c r="GJ148" s="28">
        <v>0</v>
      </c>
      <c r="GK148" s="31"/>
      <c r="GL148">
        <v>37</v>
      </c>
      <c r="GM148">
        <v>40</v>
      </c>
      <c r="GN148" s="28">
        <v>-3</v>
      </c>
      <c r="GO148" s="34"/>
      <c r="GP148">
        <v>49</v>
      </c>
      <c r="GQ148">
        <v>50</v>
      </c>
      <c r="GR148" s="28">
        <v>-1</v>
      </c>
      <c r="GS148" s="31"/>
      <c r="GT148">
        <v>38</v>
      </c>
      <c r="GU148">
        <v>42</v>
      </c>
      <c r="GV148" s="28">
        <v>-4</v>
      </c>
      <c r="GW148" s="34"/>
      <c r="GX148">
        <v>6</v>
      </c>
      <c r="GY148" s="32">
        <v>8.7494000000000085</v>
      </c>
      <c r="GZ148" s="28">
        <v>-2.7494000000000089</v>
      </c>
      <c r="HA148" s="31"/>
      <c r="HB148" s="33"/>
      <c r="HD148" s="28">
        <v>0</v>
      </c>
      <c r="HE148" s="34"/>
      <c r="HF148">
        <v>31</v>
      </c>
      <c r="HG148">
        <v>33</v>
      </c>
      <c r="HH148" s="28">
        <v>-2</v>
      </c>
      <c r="HI148" s="34"/>
      <c r="HJ148">
        <v>62</v>
      </c>
      <c r="HK148">
        <v>62</v>
      </c>
      <c r="HL148" s="28">
        <v>0</v>
      </c>
      <c r="HM148" s="34"/>
      <c r="HP148" s="28">
        <v>0</v>
      </c>
      <c r="HQ148" s="31"/>
      <c r="HR148">
        <v>49</v>
      </c>
      <c r="HS148">
        <v>50</v>
      </c>
      <c r="HT148">
        <v>43</v>
      </c>
      <c r="HU148">
        <v>46</v>
      </c>
      <c r="HV148" s="28">
        <v>-4</v>
      </c>
      <c r="HW148" s="34"/>
      <c r="IA148" s="34"/>
      <c r="IE148" s="34"/>
      <c r="IF148" s="33"/>
      <c r="II148" s="34"/>
    </row>
    <row r="149" spans="1:243" x14ac:dyDescent="0.25">
      <c r="A149" s="28" t="s">
        <v>281</v>
      </c>
      <c r="B149" s="29">
        <v>1</v>
      </c>
      <c r="J149" s="30"/>
      <c r="K149" s="35"/>
      <c r="L149" s="35"/>
      <c r="M149" s="35"/>
      <c r="N149" s="35">
        <f t="shared" si="6"/>
        <v>0</v>
      </c>
      <c r="O149" s="31"/>
      <c r="P149" s="35"/>
      <c r="S149" s="28">
        <v>0</v>
      </c>
      <c r="T149" s="31"/>
      <c r="U149" s="30"/>
      <c r="W149" s="28">
        <v>0</v>
      </c>
      <c r="X149" s="31"/>
      <c r="Y149" s="30"/>
      <c r="AA149" s="28">
        <v>0</v>
      </c>
      <c r="AB149" s="31"/>
      <c r="AE149" s="28">
        <v>0</v>
      </c>
      <c r="AF149" s="31"/>
      <c r="AG149" s="30"/>
      <c r="AI149" s="28">
        <v>0</v>
      </c>
      <c r="AJ149" s="31"/>
      <c r="AM149" s="28">
        <v>0</v>
      </c>
      <c r="AN149" s="31"/>
      <c r="AO149" s="30"/>
      <c r="AQ149" s="28">
        <v>0</v>
      </c>
      <c r="AR149" s="31"/>
      <c r="AS149" s="30"/>
      <c r="AU149" s="28">
        <v>0</v>
      </c>
      <c r="AV149" s="31"/>
      <c r="AY149" s="28">
        <v>0</v>
      </c>
      <c r="AZ149" s="31"/>
      <c r="BA149" s="30"/>
      <c r="BE149" s="28">
        <v>0</v>
      </c>
      <c r="BF149" s="31"/>
      <c r="BG149" s="30"/>
      <c r="BI149" s="28">
        <v>0</v>
      </c>
      <c r="BJ149" s="31"/>
      <c r="BO149" s="28">
        <v>0</v>
      </c>
      <c r="BP149" s="31"/>
      <c r="BS149" s="28">
        <v>0</v>
      </c>
      <c r="BT149" s="31"/>
      <c r="BU149" s="30"/>
      <c r="BW149" s="28">
        <v>0</v>
      </c>
      <c r="BX149" s="31"/>
      <c r="BY149" s="30"/>
      <c r="CA149" s="28">
        <v>0</v>
      </c>
      <c r="CB149" s="31"/>
      <c r="CE149" s="28">
        <v>0</v>
      </c>
      <c r="CF149" s="31"/>
      <c r="CG149" s="30"/>
      <c r="CJ149" s="28">
        <v>0</v>
      </c>
      <c r="CK149" s="31"/>
      <c r="CL149" s="30"/>
      <c r="CP149" s="28">
        <v>0</v>
      </c>
      <c r="CQ149" s="31"/>
      <c r="CR149" s="30"/>
      <c r="CU149" s="28">
        <v>0</v>
      </c>
      <c r="CV149" s="31"/>
      <c r="CY149" s="28">
        <v>0</v>
      </c>
      <c r="CZ149" s="31"/>
      <c r="DA149" s="33"/>
      <c r="DC149" s="28">
        <v>0</v>
      </c>
      <c r="DD149" s="31"/>
      <c r="DE149" s="30"/>
      <c r="DG149" s="28">
        <v>0</v>
      </c>
      <c r="DH149" s="31"/>
      <c r="DI149" s="30"/>
      <c r="DK149" s="28">
        <v>0</v>
      </c>
      <c r="DL149" s="31"/>
      <c r="DO149" s="28">
        <v>0</v>
      </c>
      <c r="DP149" s="31"/>
      <c r="DS149" s="28">
        <v>0</v>
      </c>
      <c r="DT149" s="31"/>
      <c r="DU149" s="30"/>
      <c r="DX149" s="28">
        <v>0</v>
      </c>
      <c r="DY149" s="31"/>
      <c r="DZ149" s="30"/>
      <c r="EC149" s="28">
        <v>0</v>
      </c>
      <c r="ED149" s="31"/>
      <c r="EG149" s="28">
        <v>0</v>
      </c>
      <c r="EH149" s="31"/>
      <c r="EI149" s="30"/>
      <c r="EN149" s="28">
        <v>0</v>
      </c>
      <c r="EO149" s="31"/>
      <c r="ER149" s="28">
        <v>0</v>
      </c>
      <c r="ES149" s="31"/>
      <c r="ET149" s="30"/>
      <c r="EX149" s="28">
        <v>0</v>
      </c>
      <c r="EY149" s="31"/>
      <c r="FD149" s="28">
        <v>0</v>
      </c>
      <c r="FE149" s="31"/>
      <c r="FH149" s="28">
        <v>0</v>
      </c>
      <c r="FI149" s="31"/>
      <c r="FJ149" s="30"/>
      <c r="FL149" s="28">
        <v>0</v>
      </c>
      <c r="FM149" s="31"/>
      <c r="FN149" s="30"/>
      <c r="FP149" s="28">
        <v>0</v>
      </c>
      <c r="FQ149" s="31"/>
      <c r="FT149" s="28">
        <v>0</v>
      </c>
      <c r="FU149" s="31"/>
      <c r="FV149" s="30"/>
      <c r="FX149" s="28">
        <v>0</v>
      </c>
      <c r="FY149" s="31"/>
      <c r="FZ149" s="30"/>
      <c r="GB149" s="28">
        <v>0</v>
      </c>
      <c r="GC149" s="31"/>
      <c r="GF149" s="28">
        <v>0</v>
      </c>
      <c r="GG149" s="34"/>
      <c r="GJ149" s="28">
        <v>0</v>
      </c>
      <c r="GK149" s="31"/>
      <c r="GL149">
        <v>18</v>
      </c>
      <c r="GM149">
        <v>20</v>
      </c>
      <c r="GN149" s="28">
        <v>-2</v>
      </c>
      <c r="GO149" s="34"/>
      <c r="GP149">
        <v>68</v>
      </c>
      <c r="GQ149">
        <v>65</v>
      </c>
      <c r="GR149" s="28">
        <v>3</v>
      </c>
      <c r="GS149" s="31"/>
      <c r="GT149">
        <v>6</v>
      </c>
      <c r="GU149">
        <v>8</v>
      </c>
      <c r="GV149" s="28">
        <v>-2</v>
      </c>
      <c r="GW149" s="34"/>
      <c r="GX149">
        <v>31</v>
      </c>
      <c r="GY149" s="32">
        <v>31.628999999999991</v>
      </c>
      <c r="GZ149" s="28">
        <v>-0.62899999999999068</v>
      </c>
      <c r="HA149" s="31"/>
      <c r="HB149" s="24">
        <v>12</v>
      </c>
      <c r="HC149" s="32">
        <v>12</v>
      </c>
      <c r="HD149" s="28">
        <v>0</v>
      </c>
      <c r="HE149" s="34"/>
      <c r="HF149">
        <v>31</v>
      </c>
      <c r="HG149">
        <v>32</v>
      </c>
      <c r="HH149" s="28">
        <v>-1</v>
      </c>
      <c r="HI149" s="34"/>
      <c r="HJ149">
        <v>19</v>
      </c>
      <c r="HK149">
        <v>20</v>
      </c>
      <c r="HL149" s="28">
        <v>1</v>
      </c>
      <c r="HM149" s="34"/>
      <c r="HP149" s="28">
        <v>0</v>
      </c>
      <c r="HQ149" s="31"/>
      <c r="HR149" s="29"/>
      <c r="HT149" s="12">
        <v>49</v>
      </c>
      <c r="HV149" s="28">
        <v>0</v>
      </c>
      <c r="HW149" s="34"/>
      <c r="IA149" s="34"/>
      <c r="IE149" s="34"/>
      <c r="IF149" s="33"/>
      <c r="II149" s="34"/>
    </row>
    <row r="150" spans="1:243" x14ac:dyDescent="0.25">
      <c r="A150" s="28" t="s">
        <v>282</v>
      </c>
      <c r="B150" s="29">
        <v>1</v>
      </c>
      <c r="J150" s="24">
        <v>31</v>
      </c>
      <c r="K150" s="36">
        <v>30</v>
      </c>
      <c r="L150" s="36">
        <v>31</v>
      </c>
      <c r="M150" s="36">
        <v>30</v>
      </c>
      <c r="N150" s="35">
        <f t="shared" si="6"/>
        <v>2</v>
      </c>
      <c r="O150" s="31"/>
      <c r="P150" s="35"/>
      <c r="Q150">
        <v>13</v>
      </c>
      <c r="R150">
        <v>12</v>
      </c>
      <c r="S150" s="28">
        <v>1</v>
      </c>
      <c r="T150" s="31"/>
      <c r="U150" s="24">
        <v>47</v>
      </c>
      <c r="V150">
        <v>43</v>
      </c>
      <c r="W150" s="28">
        <v>4</v>
      </c>
      <c r="X150" s="31"/>
      <c r="Y150" s="24">
        <v>84</v>
      </c>
      <c r="Z150">
        <v>81</v>
      </c>
      <c r="AA150" s="28">
        <v>3</v>
      </c>
      <c r="AB150" s="31"/>
      <c r="AE150" s="28">
        <v>0</v>
      </c>
      <c r="AF150" s="31"/>
      <c r="AG150" s="24">
        <v>6</v>
      </c>
      <c r="AH150">
        <v>6</v>
      </c>
      <c r="AI150" s="28">
        <v>0</v>
      </c>
      <c r="AJ150" s="31"/>
      <c r="AK150">
        <v>101</v>
      </c>
      <c r="AL150">
        <v>94</v>
      </c>
      <c r="AM150" s="28">
        <v>7</v>
      </c>
      <c r="AN150" s="31"/>
      <c r="AO150" s="30"/>
      <c r="AQ150" s="28">
        <v>0</v>
      </c>
      <c r="AR150" s="31"/>
      <c r="AS150" s="24">
        <v>67</v>
      </c>
      <c r="AT150">
        <v>61</v>
      </c>
      <c r="AU150" s="28">
        <v>6</v>
      </c>
      <c r="AV150" s="31"/>
      <c r="AW150">
        <v>47</v>
      </c>
      <c r="AX150">
        <v>45</v>
      </c>
      <c r="AY150" s="28">
        <v>2</v>
      </c>
      <c r="AZ150" s="31"/>
      <c r="BA150" s="24">
        <v>9</v>
      </c>
      <c r="BB150">
        <v>8</v>
      </c>
      <c r="BE150" s="28">
        <v>1</v>
      </c>
      <c r="BF150" s="31"/>
      <c r="BG150" s="30"/>
      <c r="BI150" s="28">
        <v>0</v>
      </c>
      <c r="BJ150" s="31"/>
      <c r="BM150">
        <v>80</v>
      </c>
      <c r="BN150">
        <v>76</v>
      </c>
      <c r="BO150" s="28">
        <v>4</v>
      </c>
      <c r="BP150" s="31"/>
      <c r="BS150" s="28">
        <v>0</v>
      </c>
      <c r="BT150" s="31"/>
      <c r="BU150" s="30"/>
      <c r="BW150" s="28">
        <v>0</v>
      </c>
      <c r="BX150" s="31"/>
      <c r="BY150" s="24">
        <v>87</v>
      </c>
      <c r="BZ150">
        <v>84</v>
      </c>
      <c r="CA150" s="28">
        <v>3</v>
      </c>
      <c r="CB150" s="31"/>
      <c r="CC150">
        <v>18</v>
      </c>
      <c r="CD150">
        <v>17</v>
      </c>
      <c r="CE150" s="28">
        <v>1</v>
      </c>
      <c r="CF150" s="31"/>
      <c r="CG150" s="24">
        <v>12</v>
      </c>
      <c r="CI150">
        <v>10</v>
      </c>
      <c r="CJ150" s="28">
        <v>2</v>
      </c>
      <c r="CK150" s="31"/>
      <c r="CL150" s="30"/>
      <c r="CN150">
        <v>19</v>
      </c>
      <c r="CO150">
        <v>18</v>
      </c>
      <c r="CP150" s="28">
        <v>1</v>
      </c>
      <c r="CQ150" s="31"/>
      <c r="CR150" s="24">
        <v>60</v>
      </c>
      <c r="CT150">
        <v>56</v>
      </c>
      <c r="CU150" s="28">
        <v>4</v>
      </c>
      <c r="CV150" s="31"/>
      <c r="CY150" s="28">
        <v>0</v>
      </c>
      <c r="CZ150" s="31"/>
      <c r="DA150" s="33"/>
      <c r="DC150" s="28">
        <v>0</v>
      </c>
      <c r="DD150" s="31"/>
      <c r="DE150" s="30"/>
      <c r="DG150" s="28">
        <v>0</v>
      </c>
      <c r="DH150" s="31"/>
      <c r="DI150" s="24">
        <v>74</v>
      </c>
      <c r="DJ150">
        <v>70</v>
      </c>
      <c r="DK150" s="28">
        <v>4</v>
      </c>
      <c r="DL150" s="31"/>
      <c r="DO150" s="28">
        <v>0</v>
      </c>
      <c r="DP150" s="31"/>
      <c r="DQ150">
        <v>102</v>
      </c>
      <c r="DR150">
        <v>97</v>
      </c>
      <c r="DS150" s="28">
        <v>5</v>
      </c>
      <c r="DT150" s="31"/>
      <c r="DU150" s="24">
        <v>12</v>
      </c>
      <c r="DW150">
        <v>11</v>
      </c>
      <c r="DX150" s="28">
        <v>1</v>
      </c>
      <c r="DY150" s="31"/>
      <c r="DZ150" s="30"/>
      <c r="EC150" s="28">
        <v>0</v>
      </c>
      <c r="ED150" s="31"/>
      <c r="EG150" s="28">
        <v>0</v>
      </c>
      <c r="EH150" s="31"/>
      <c r="EI150" s="30"/>
      <c r="EJ150">
        <v>19</v>
      </c>
      <c r="EK150">
        <v>20</v>
      </c>
      <c r="EL150">
        <v>34</v>
      </c>
      <c r="EM150">
        <v>31</v>
      </c>
      <c r="EN150" s="28">
        <v>2</v>
      </c>
      <c r="EO150" s="31"/>
      <c r="EP150">
        <v>22</v>
      </c>
      <c r="EQ150" s="32">
        <v>19.895799999999991</v>
      </c>
      <c r="ER150" s="28">
        <v>2.104200000000009</v>
      </c>
      <c r="ES150" s="31"/>
      <c r="ET150" s="30"/>
      <c r="EX150" s="28">
        <v>0</v>
      </c>
      <c r="EY150" s="31"/>
      <c r="EZ150">
        <v>62</v>
      </c>
      <c r="FA150">
        <v>60</v>
      </c>
      <c r="FB150">
        <v>74</v>
      </c>
      <c r="FC150">
        <v>70</v>
      </c>
      <c r="FD150" s="28">
        <v>6</v>
      </c>
      <c r="FE150" s="31"/>
      <c r="FF150">
        <v>6</v>
      </c>
      <c r="FG150" s="32">
        <v>5.1883999999999997</v>
      </c>
      <c r="FH150" s="28">
        <v>0.81160000000000032</v>
      </c>
      <c r="FI150" s="31"/>
      <c r="FJ150" s="24">
        <v>13</v>
      </c>
      <c r="FK150">
        <v>10</v>
      </c>
      <c r="FL150" s="28">
        <v>3</v>
      </c>
      <c r="FM150" s="31"/>
      <c r="FN150" s="30"/>
      <c r="FP150" s="28">
        <v>0</v>
      </c>
      <c r="FQ150" s="31"/>
      <c r="FR150">
        <v>21</v>
      </c>
      <c r="FS150">
        <v>20</v>
      </c>
      <c r="FT150" s="28">
        <v>1</v>
      </c>
      <c r="FU150" s="31"/>
      <c r="FV150" s="24">
        <v>120</v>
      </c>
      <c r="FW150">
        <v>110</v>
      </c>
      <c r="FX150" s="28">
        <v>10</v>
      </c>
      <c r="FY150" s="31"/>
      <c r="FZ150" s="24">
        <v>3</v>
      </c>
      <c r="GA150">
        <v>3</v>
      </c>
      <c r="GB150" s="28">
        <v>0</v>
      </c>
      <c r="GC150" s="31"/>
      <c r="GD150">
        <v>45</v>
      </c>
      <c r="GE150" s="28">
        <v>40</v>
      </c>
      <c r="GF150" s="28">
        <v>5</v>
      </c>
      <c r="GG150" s="34"/>
      <c r="GH150">
        <v>65</v>
      </c>
      <c r="GI150" s="32">
        <v>60</v>
      </c>
      <c r="GJ150" s="28">
        <v>5</v>
      </c>
      <c r="GK150" s="31"/>
      <c r="GN150" s="28">
        <v>0</v>
      </c>
      <c r="GO150" s="34"/>
      <c r="GS150" s="31"/>
      <c r="GW150" s="34"/>
      <c r="HA150" s="31"/>
      <c r="HB150" s="24"/>
      <c r="HE150" s="34"/>
      <c r="HI150" s="34"/>
      <c r="HM150" s="34"/>
      <c r="HO150" s="32"/>
      <c r="HQ150" s="31"/>
      <c r="HR150" s="29"/>
      <c r="HW150" s="34"/>
      <c r="IA150" s="34"/>
      <c r="IE150" s="34"/>
      <c r="IF150" s="33"/>
      <c r="II150" s="34"/>
    </row>
    <row r="151" spans="1:243" x14ac:dyDescent="0.25">
      <c r="A151" s="28" t="s">
        <v>283</v>
      </c>
      <c r="B151" s="29">
        <v>0.41</v>
      </c>
      <c r="J151" s="24">
        <v>200</v>
      </c>
      <c r="K151" s="36">
        <v>200</v>
      </c>
      <c r="L151" s="36">
        <v>120</v>
      </c>
      <c r="M151" s="36">
        <v>127</v>
      </c>
      <c r="N151" s="35">
        <f t="shared" si="6"/>
        <v>-7</v>
      </c>
      <c r="O151" s="31"/>
      <c r="P151" s="35"/>
      <c r="Q151">
        <v>240</v>
      </c>
      <c r="R151">
        <v>245</v>
      </c>
      <c r="S151" s="28">
        <v>-5</v>
      </c>
      <c r="T151" s="31"/>
      <c r="U151" s="30"/>
      <c r="W151" s="28">
        <v>0</v>
      </c>
      <c r="X151" s="31"/>
      <c r="Y151" s="24">
        <v>200</v>
      </c>
      <c r="Z151">
        <v>200</v>
      </c>
      <c r="AA151" s="28">
        <v>0</v>
      </c>
      <c r="AB151" s="31"/>
      <c r="AC151">
        <v>370</v>
      </c>
      <c r="AD151">
        <v>373</v>
      </c>
      <c r="AE151" s="28">
        <v>-3</v>
      </c>
      <c r="AF151" s="31"/>
      <c r="AG151" s="24">
        <v>70</v>
      </c>
      <c r="AH151">
        <v>73</v>
      </c>
      <c r="AI151" s="28">
        <v>-3</v>
      </c>
      <c r="AJ151" s="31"/>
      <c r="AK151">
        <v>250</v>
      </c>
      <c r="AL151">
        <v>250</v>
      </c>
      <c r="AM151" s="28">
        <v>0</v>
      </c>
      <c r="AN151" s="31"/>
      <c r="AO151" s="30"/>
      <c r="AQ151" s="28">
        <v>0</v>
      </c>
      <c r="AR151" s="31"/>
      <c r="AS151" s="24">
        <v>240</v>
      </c>
      <c r="AT151">
        <v>240</v>
      </c>
      <c r="AU151" s="28">
        <v>0</v>
      </c>
      <c r="AV151" s="31"/>
      <c r="AY151" s="28">
        <v>0</v>
      </c>
      <c r="AZ151" s="31"/>
      <c r="BA151" s="30"/>
      <c r="BE151" s="28">
        <v>0</v>
      </c>
      <c r="BF151" s="31"/>
      <c r="BG151" s="24">
        <v>210</v>
      </c>
      <c r="BH151">
        <v>213</v>
      </c>
      <c r="BI151" s="28">
        <v>-3</v>
      </c>
      <c r="BJ151" s="31"/>
      <c r="BM151">
        <v>10</v>
      </c>
      <c r="BN151">
        <v>13</v>
      </c>
      <c r="BO151" s="28">
        <v>-3</v>
      </c>
      <c r="BP151" s="31"/>
      <c r="BQ151">
        <v>160</v>
      </c>
      <c r="BR151">
        <v>160</v>
      </c>
      <c r="BS151" s="28">
        <v>0</v>
      </c>
      <c r="BT151" s="31"/>
      <c r="BU151" s="30"/>
      <c r="BW151" s="28">
        <v>0</v>
      </c>
      <c r="BX151" s="31"/>
      <c r="BY151" s="24">
        <v>80</v>
      </c>
      <c r="BZ151">
        <v>83</v>
      </c>
      <c r="CA151" s="28">
        <v>-3</v>
      </c>
      <c r="CB151" s="31"/>
      <c r="CC151">
        <v>100</v>
      </c>
      <c r="CD151">
        <v>98</v>
      </c>
      <c r="CE151" s="28">
        <v>2</v>
      </c>
      <c r="CF151" s="31"/>
      <c r="CG151" s="24">
        <v>50</v>
      </c>
      <c r="CI151">
        <v>56</v>
      </c>
      <c r="CJ151" s="28">
        <v>-6</v>
      </c>
      <c r="CK151" s="31"/>
      <c r="CL151" s="30"/>
      <c r="CN151">
        <v>60</v>
      </c>
      <c r="CO151">
        <v>58</v>
      </c>
      <c r="CP151" s="28">
        <v>2</v>
      </c>
      <c r="CQ151" s="31"/>
      <c r="CR151" s="24">
        <v>80</v>
      </c>
      <c r="CT151">
        <v>86</v>
      </c>
      <c r="CU151" s="28">
        <v>-6</v>
      </c>
      <c r="CV151" s="31"/>
      <c r="CW151">
        <v>100</v>
      </c>
      <c r="CX151" s="28">
        <v>105</v>
      </c>
      <c r="CY151" s="28">
        <v>-5</v>
      </c>
      <c r="CZ151" s="31"/>
      <c r="DA151" s="33"/>
      <c r="DC151" s="28">
        <v>0</v>
      </c>
      <c r="DD151" s="31"/>
      <c r="DE151" s="24">
        <v>30</v>
      </c>
      <c r="DF151" s="28">
        <v>32.200000000000017</v>
      </c>
      <c r="DG151" s="28">
        <v>-2.2000000000000171</v>
      </c>
      <c r="DH151" s="31"/>
      <c r="DI151" s="24">
        <v>110</v>
      </c>
      <c r="DJ151">
        <v>117</v>
      </c>
      <c r="DK151" s="28">
        <v>-7</v>
      </c>
      <c r="DL151" s="31"/>
      <c r="DM151">
        <v>20</v>
      </c>
      <c r="DN151" s="32">
        <v>23</v>
      </c>
      <c r="DO151" s="28">
        <v>-3</v>
      </c>
      <c r="DP151" s="31"/>
      <c r="DQ151">
        <v>100</v>
      </c>
      <c r="DR151">
        <v>100</v>
      </c>
      <c r="DS151" s="28">
        <v>0</v>
      </c>
      <c r="DT151" s="31"/>
      <c r="DU151" s="30"/>
      <c r="DX151" s="28">
        <v>0</v>
      </c>
      <c r="DY151" s="31"/>
      <c r="DZ151" s="24">
        <v>60</v>
      </c>
      <c r="EB151">
        <v>59</v>
      </c>
      <c r="EC151" s="28">
        <v>1</v>
      </c>
      <c r="ED151" s="31"/>
      <c r="EE151">
        <v>40</v>
      </c>
      <c r="EF151" s="32">
        <v>47.399999999999991</v>
      </c>
      <c r="EG151" s="28">
        <v>-7.3999999999999906</v>
      </c>
      <c r="EH151" s="31"/>
      <c r="EI151" s="30"/>
      <c r="EL151">
        <v>40</v>
      </c>
      <c r="EM151">
        <v>39</v>
      </c>
      <c r="EN151" s="28">
        <v>1</v>
      </c>
      <c r="EO151" s="31"/>
      <c r="EP151">
        <v>20</v>
      </c>
      <c r="EQ151" s="32">
        <v>23.8</v>
      </c>
      <c r="ER151" s="28">
        <v>-3.8000000000000012</v>
      </c>
      <c r="ES151" s="31"/>
      <c r="ET151" s="30"/>
      <c r="EV151">
        <v>10</v>
      </c>
      <c r="EW151">
        <v>8</v>
      </c>
      <c r="EX151" s="28">
        <v>2</v>
      </c>
      <c r="EY151" s="31"/>
      <c r="FB151">
        <v>60</v>
      </c>
      <c r="FC151">
        <v>60</v>
      </c>
      <c r="FD151" s="28">
        <v>0</v>
      </c>
      <c r="FE151" s="31"/>
      <c r="FF151">
        <v>10</v>
      </c>
      <c r="FG151" s="32">
        <v>10</v>
      </c>
      <c r="FH151" s="28">
        <v>0</v>
      </c>
      <c r="FI151" s="31"/>
      <c r="FJ151" s="24">
        <v>20</v>
      </c>
      <c r="FK151">
        <v>20</v>
      </c>
      <c r="FL151" s="28">
        <v>0</v>
      </c>
      <c r="FM151" s="31"/>
      <c r="FN151" s="24">
        <v>10</v>
      </c>
      <c r="FO151">
        <v>10</v>
      </c>
      <c r="FP151" s="28">
        <v>0</v>
      </c>
      <c r="FQ151" s="31"/>
      <c r="FR151">
        <v>20</v>
      </c>
      <c r="FS151">
        <v>20</v>
      </c>
      <c r="FT151" s="28">
        <v>0</v>
      </c>
      <c r="FU151" s="31"/>
      <c r="FV151" s="24">
        <v>60</v>
      </c>
      <c r="FW151">
        <v>58</v>
      </c>
      <c r="FX151" s="28">
        <v>2</v>
      </c>
      <c r="FY151" s="31"/>
      <c r="FZ151" s="30"/>
      <c r="GB151" s="28">
        <v>0</v>
      </c>
      <c r="GC151" s="31"/>
      <c r="GD151">
        <v>20</v>
      </c>
      <c r="GE151" s="28">
        <v>20</v>
      </c>
      <c r="GF151" s="28">
        <v>0</v>
      </c>
      <c r="GG151" s="34"/>
      <c r="GH151">
        <v>40</v>
      </c>
      <c r="GI151" s="32">
        <v>40</v>
      </c>
      <c r="GJ151" s="28">
        <v>0</v>
      </c>
      <c r="GK151" s="31"/>
      <c r="GN151" s="28">
        <v>0</v>
      </c>
      <c r="GO151" s="34"/>
      <c r="GS151" s="31"/>
      <c r="GW151" s="34"/>
      <c r="HA151" s="31"/>
      <c r="HB151" s="24"/>
      <c r="HE151" s="34"/>
      <c r="HI151" s="34"/>
      <c r="HM151" s="34"/>
      <c r="HO151" s="32"/>
      <c r="HQ151" s="31"/>
      <c r="HR151" s="29"/>
      <c r="HW151" s="34"/>
      <c r="IA151" s="34"/>
      <c r="IE151" s="34"/>
      <c r="IF151" s="33"/>
      <c r="II151" s="34"/>
    </row>
    <row r="152" spans="1:243" x14ac:dyDescent="0.25">
      <c r="A152" s="28" t="s">
        <v>284</v>
      </c>
      <c r="B152" s="29">
        <v>1</v>
      </c>
      <c r="E152">
        <v>60</v>
      </c>
      <c r="F152">
        <v>105</v>
      </c>
      <c r="G152">
        <v>105</v>
      </c>
      <c r="J152" s="24">
        <v>80</v>
      </c>
      <c r="K152" s="36">
        <v>78</v>
      </c>
      <c r="L152" s="35"/>
      <c r="M152" s="35"/>
      <c r="N152" s="35">
        <f t="shared" si="6"/>
        <v>2</v>
      </c>
      <c r="O152" s="31"/>
      <c r="P152" s="35"/>
      <c r="Q152">
        <v>149</v>
      </c>
      <c r="R152">
        <v>147</v>
      </c>
      <c r="S152" s="28">
        <v>2</v>
      </c>
      <c r="T152" s="31"/>
      <c r="U152" s="30"/>
      <c r="W152" s="28">
        <v>0</v>
      </c>
      <c r="X152" s="31"/>
      <c r="Y152" s="24">
        <v>415</v>
      </c>
      <c r="Z152">
        <v>400</v>
      </c>
      <c r="AA152" s="28">
        <v>15</v>
      </c>
      <c r="AB152" s="31"/>
      <c r="AC152">
        <v>237</v>
      </c>
      <c r="AD152">
        <v>228</v>
      </c>
      <c r="AE152" s="28">
        <v>9</v>
      </c>
      <c r="AF152" s="31"/>
      <c r="AG152" s="24">
        <v>6</v>
      </c>
      <c r="AH152">
        <v>4</v>
      </c>
      <c r="AI152" s="28">
        <v>2</v>
      </c>
      <c r="AJ152" s="31"/>
      <c r="AK152">
        <v>267</v>
      </c>
      <c r="AL152">
        <v>260</v>
      </c>
      <c r="AM152" s="28">
        <v>7</v>
      </c>
      <c r="AN152" s="31"/>
      <c r="AO152" s="24">
        <v>68</v>
      </c>
      <c r="AP152">
        <v>64</v>
      </c>
      <c r="AQ152" s="28">
        <v>4</v>
      </c>
      <c r="AR152" s="31"/>
      <c r="AS152" s="24">
        <v>156</v>
      </c>
      <c r="AT152">
        <v>153</v>
      </c>
      <c r="AU152" s="28">
        <v>3</v>
      </c>
      <c r="AV152" s="31"/>
      <c r="AX152">
        <v>30</v>
      </c>
      <c r="AY152" s="27">
        <v>-30</v>
      </c>
      <c r="AZ152" s="31">
        <v>30</v>
      </c>
      <c r="BA152" s="24">
        <v>81</v>
      </c>
      <c r="BB152">
        <v>80</v>
      </c>
      <c r="BC152">
        <v>95</v>
      </c>
      <c r="BD152">
        <v>93</v>
      </c>
      <c r="BE152" s="28">
        <v>3</v>
      </c>
      <c r="BF152" s="31"/>
      <c r="BG152" s="24">
        <v>37</v>
      </c>
      <c r="BH152">
        <v>39</v>
      </c>
      <c r="BI152" s="28">
        <v>-2</v>
      </c>
      <c r="BJ152" s="31"/>
      <c r="BK152">
        <v>49</v>
      </c>
      <c r="BL152">
        <v>50</v>
      </c>
      <c r="BM152">
        <v>125</v>
      </c>
      <c r="BN152">
        <v>120</v>
      </c>
      <c r="BO152" s="28">
        <v>4</v>
      </c>
      <c r="BP152" s="31"/>
      <c r="BQ152">
        <v>37</v>
      </c>
      <c r="BR152">
        <v>38</v>
      </c>
      <c r="BS152" s="28">
        <v>-1</v>
      </c>
      <c r="BT152" s="31"/>
      <c r="BU152" s="24">
        <v>106</v>
      </c>
      <c r="BV152">
        <v>106</v>
      </c>
      <c r="BW152" s="28">
        <v>0</v>
      </c>
      <c r="BX152" s="31"/>
      <c r="BY152" s="24">
        <v>25</v>
      </c>
      <c r="BZ152">
        <v>27</v>
      </c>
      <c r="CA152" s="28">
        <v>-2</v>
      </c>
      <c r="CB152" s="31"/>
      <c r="CC152">
        <v>135</v>
      </c>
      <c r="CD152">
        <v>135</v>
      </c>
      <c r="CE152" s="28">
        <v>0</v>
      </c>
      <c r="CF152" s="31"/>
      <c r="CG152" s="24">
        <v>19</v>
      </c>
      <c r="CI152">
        <v>16</v>
      </c>
      <c r="CJ152" s="28">
        <v>3</v>
      </c>
      <c r="CK152" s="31"/>
      <c r="CL152" s="30"/>
      <c r="CN152">
        <v>74</v>
      </c>
      <c r="CO152">
        <v>72</v>
      </c>
      <c r="CP152" s="28">
        <v>2</v>
      </c>
      <c r="CQ152" s="31"/>
      <c r="CR152" s="24">
        <v>130</v>
      </c>
      <c r="CT152">
        <v>124</v>
      </c>
      <c r="CU152" s="28">
        <v>6</v>
      </c>
      <c r="CV152" s="31"/>
      <c r="CW152">
        <v>63</v>
      </c>
      <c r="CX152" s="28">
        <v>62.457799999999992</v>
      </c>
      <c r="CY152" s="28">
        <v>0.54220000000000823</v>
      </c>
      <c r="CZ152" s="31"/>
      <c r="DA152" s="33"/>
      <c r="DC152" s="28">
        <v>0</v>
      </c>
      <c r="DD152" s="31"/>
      <c r="DE152" s="24">
        <v>114</v>
      </c>
      <c r="DF152" s="28">
        <v>105.94540000000001</v>
      </c>
      <c r="DG152" s="28">
        <v>8.0545999999999935</v>
      </c>
      <c r="DH152" s="31"/>
      <c r="DI152" s="30"/>
      <c r="DK152" s="28">
        <v>0</v>
      </c>
      <c r="DL152" s="31"/>
      <c r="DO152" s="28">
        <v>0</v>
      </c>
      <c r="DP152" s="31"/>
      <c r="DQ152">
        <v>157</v>
      </c>
      <c r="DR152">
        <v>150</v>
      </c>
      <c r="DS152" s="28">
        <v>7</v>
      </c>
      <c r="DT152" s="31"/>
      <c r="DU152" s="24">
        <v>12</v>
      </c>
      <c r="DW152">
        <v>15</v>
      </c>
      <c r="DX152" s="28">
        <v>-3</v>
      </c>
      <c r="DY152" s="31"/>
      <c r="DZ152" s="30"/>
      <c r="EC152" s="28">
        <v>0</v>
      </c>
      <c r="ED152" s="31"/>
      <c r="EG152" s="28">
        <v>0</v>
      </c>
      <c r="EH152" s="31"/>
      <c r="EI152" s="30"/>
      <c r="EN152" s="28">
        <v>0</v>
      </c>
      <c r="EO152" s="31"/>
      <c r="EP152">
        <v>87</v>
      </c>
      <c r="EQ152" s="32">
        <v>84.713800000000006</v>
      </c>
      <c r="ER152" s="28">
        <v>2.2861999999999938</v>
      </c>
      <c r="ES152" s="31"/>
      <c r="ET152" s="30"/>
      <c r="EX152" s="28">
        <v>0</v>
      </c>
      <c r="EY152" s="31"/>
      <c r="FD152" s="28">
        <v>0</v>
      </c>
      <c r="FE152" s="31"/>
      <c r="FF152">
        <v>124</v>
      </c>
      <c r="FG152" s="32">
        <v>120.7676</v>
      </c>
      <c r="FH152" s="28">
        <v>3.2323999999999979</v>
      </c>
      <c r="FI152" s="31"/>
      <c r="FJ152" s="24">
        <v>38</v>
      </c>
      <c r="FK152">
        <v>35</v>
      </c>
      <c r="FL152" s="28">
        <v>3</v>
      </c>
      <c r="FM152" s="31"/>
      <c r="FN152" s="24">
        <v>61</v>
      </c>
      <c r="FO152">
        <v>60</v>
      </c>
      <c r="FP152" s="28">
        <v>1</v>
      </c>
      <c r="FQ152" s="31"/>
      <c r="FT152" s="28">
        <v>0</v>
      </c>
      <c r="FU152" s="31"/>
      <c r="FV152" s="24">
        <v>43</v>
      </c>
      <c r="FW152">
        <v>40</v>
      </c>
      <c r="FX152" s="28">
        <v>3</v>
      </c>
      <c r="FY152" s="31"/>
      <c r="FZ152" s="24">
        <v>49</v>
      </c>
      <c r="GA152">
        <v>46</v>
      </c>
      <c r="GB152" s="28">
        <v>3</v>
      </c>
      <c r="GC152" s="31"/>
      <c r="GF152" s="28">
        <v>0</v>
      </c>
      <c r="GG152" s="34"/>
      <c r="GH152" s="28">
        <v>44</v>
      </c>
      <c r="GI152" s="32">
        <v>40</v>
      </c>
      <c r="GJ152" s="28">
        <v>4</v>
      </c>
      <c r="GK152" s="31"/>
      <c r="GN152" s="28">
        <v>0</v>
      </c>
      <c r="GO152" s="34"/>
      <c r="GS152" s="31"/>
      <c r="GW152" s="34"/>
      <c r="HA152" s="31"/>
      <c r="HB152" s="24"/>
      <c r="HE152" s="34"/>
      <c r="HI152" s="34"/>
      <c r="HM152" s="34"/>
      <c r="HO152" s="32"/>
      <c r="HQ152" s="31"/>
      <c r="HR152" s="29"/>
      <c r="HW152" s="34"/>
      <c r="IA152" s="34"/>
      <c r="IE152" s="34"/>
      <c r="IF152" s="33"/>
      <c r="II152" s="34"/>
    </row>
    <row r="153" spans="1:243" x14ac:dyDescent="0.25">
      <c r="A153" s="28" t="s">
        <v>285</v>
      </c>
      <c r="B153" s="29">
        <v>0.35</v>
      </c>
      <c r="J153" s="30"/>
      <c r="K153" s="35"/>
      <c r="L153" s="35"/>
      <c r="M153" s="35"/>
      <c r="N153" s="35">
        <f t="shared" si="6"/>
        <v>0</v>
      </c>
      <c r="O153" s="31"/>
      <c r="P153" s="35"/>
      <c r="Q153">
        <v>136</v>
      </c>
      <c r="R153">
        <v>138</v>
      </c>
      <c r="S153" s="28">
        <v>-2</v>
      </c>
      <c r="T153" s="31"/>
      <c r="U153" s="24">
        <v>72</v>
      </c>
      <c r="V153">
        <v>75</v>
      </c>
      <c r="W153" s="28">
        <v>-3</v>
      </c>
      <c r="X153" s="31"/>
      <c r="Y153" s="24">
        <v>64</v>
      </c>
      <c r="Z153">
        <v>73</v>
      </c>
      <c r="AA153" s="28">
        <v>-9</v>
      </c>
      <c r="AB153" s="31"/>
      <c r="AC153">
        <v>8</v>
      </c>
      <c r="AD153">
        <v>8</v>
      </c>
      <c r="AE153" s="28">
        <v>0</v>
      </c>
      <c r="AF153" s="31"/>
      <c r="AG153" s="24">
        <v>96</v>
      </c>
      <c r="AH153">
        <v>96</v>
      </c>
      <c r="AI153" s="28">
        <v>0</v>
      </c>
      <c r="AJ153" s="31"/>
      <c r="AK153">
        <v>16</v>
      </c>
      <c r="AL153">
        <v>15</v>
      </c>
      <c r="AM153" s="28">
        <v>1</v>
      </c>
      <c r="AN153" s="31"/>
      <c r="AO153" s="24">
        <v>64</v>
      </c>
      <c r="AP153">
        <v>64</v>
      </c>
      <c r="AQ153" s="28">
        <v>0</v>
      </c>
      <c r="AR153" s="31"/>
      <c r="AS153" s="30"/>
      <c r="AU153" s="28">
        <v>0</v>
      </c>
      <c r="AV153" s="31"/>
      <c r="AY153" s="28">
        <v>0</v>
      </c>
      <c r="AZ153" s="31"/>
      <c r="BA153" s="24">
        <v>40</v>
      </c>
      <c r="BB153">
        <v>40</v>
      </c>
      <c r="BC153">
        <v>48</v>
      </c>
      <c r="BD153">
        <v>53</v>
      </c>
      <c r="BE153" s="28">
        <v>-5</v>
      </c>
      <c r="BF153" s="31"/>
      <c r="BG153" s="30"/>
      <c r="BH153">
        <v>19</v>
      </c>
      <c r="BI153" s="27">
        <v>-19</v>
      </c>
      <c r="BJ153" s="31">
        <v>6.6499999999999986</v>
      </c>
      <c r="BM153">
        <v>48</v>
      </c>
      <c r="BN153">
        <v>51</v>
      </c>
      <c r="BO153" s="28">
        <v>-3</v>
      </c>
      <c r="BP153" s="31"/>
      <c r="BQ153">
        <v>8</v>
      </c>
      <c r="BR153">
        <v>8</v>
      </c>
      <c r="BS153" s="28">
        <v>0</v>
      </c>
      <c r="BT153" s="31"/>
      <c r="BU153" s="30"/>
      <c r="BW153" s="28">
        <v>0</v>
      </c>
      <c r="BX153" s="31"/>
      <c r="BY153" s="24">
        <v>64</v>
      </c>
      <c r="BZ153">
        <v>64</v>
      </c>
      <c r="CA153" s="28">
        <v>0</v>
      </c>
      <c r="CB153" s="31"/>
      <c r="CE153" s="28">
        <v>0</v>
      </c>
      <c r="CF153" s="31"/>
      <c r="CG153" s="30"/>
      <c r="CJ153" s="28">
        <v>0</v>
      </c>
      <c r="CK153" s="31"/>
      <c r="CL153" s="30"/>
      <c r="CN153">
        <v>64</v>
      </c>
      <c r="CO153">
        <v>65</v>
      </c>
      <c r="CP153" s="28">
        <v>-1</v>
      </c>
      <c r="CQ153" s="31"/>
      <c r="CR153" s="30"/>
      <c r="CU153" s="28">
        <v>0</v>
      </c>
      <c r="CV153" s="31"/>
      <c r="CW153">
        <v>48</v>
      </c>
      <c r="CX153" s="28">
        <v>46.8</v>
      </c>
      <c r="CY153" s="28">
        <v>1.2000000000000031</v>
      </c>
      <c r="CZ153" s="31"/>
      <c r="DA153" s="33"/>
      <c r="DC153" s="28">
        <v>0</v>
      </c>
      <c r="DD153" s="31"/>
      <c r="DE153" s="24">
        <v>8</v>
      </c>
      <c r="DF153" s="28">
        <v>8</v>
      </c>
      <c r="DG153" s="28">
        <v>0</v>
      </c>
      <c r="DH153" s="31"/>
      <c r="DI153" s="24">
        <v>32</v>
      </c>
      <c r="DJ153">
        <v>35</v>
      </c>
      <c r="DK153" s="28">
        <v>-3</v>
      </c>
      <c r="DL153" s="31"/>
      <c r="DO153" s="28">
        <v>0</v>
      </c>
      <c r="DP153" s="31"/>
      <c r="DQ153">
        <v>32</v>
      </c>
      <c r="DR153">
        <v>35</v>
      </c>
      <c r="DS153" s="28">
        <v>-3</v>
      </c>
      <c r="DT153" s="31"/>
      <c r="DU153" s="30"/>
      <c r="DX153" s="28">
        <v>0</v>
      </c>
      <c r="DY153" s="31"/>
      <c r="DZ153" s="30"/>
      <c r="EC153" s="28">
        <v>0</v>
      </c>
      <c r="ED153" s="31"/>
      <c r="EG153" s="28">
        <v>0</v>
      </c>
      <c r="EH153" s="31"/>
      <c r="EI153" s="30"/>
      <c r="EL153">
        <v>16</v>
      </c>
      <c r="EM153">
        <v>17</v>
      </c>
      <c r="EN153" s="28">
        <v>-1</v>
      </c>
      <c r="EO153" s="31"/>
      <c r="EP153">
        <v>40</v>
      </c>
      <c r="EQ153" s="32">
        <v>44.8</v>
      </c>
      <c r="ER153" s="28">
        <v>-4.7999999999999972</v>
      </c>
      <c r="ES153" s="31"/>
      <c r="ET153" s="30"/>
      <c r="EV153">
        <v>16</v>
      </c>
      <c r="EW153">
        <v>21</v>
      </c>
      <c r="EX153" s="28">
        <v>-5</v>
      </c>
      <c r="EY153" s="31"/>
      <c r="FB153">
        <v>32</v>
      </c>
      <c r="FC153">
        <v>30</v>
      </c>
      <c r="FD153" s="28">
        <v>2</v>
      </c>
      <c r="FE153" s="31"/>
      <c r="FH153" s="28">
        <v>0</v>
      </c>
      <c r="FI153" s="31"/>
      <c r="FJ153" s="30"/>
      <c r="FL153" s="28">
        <v>0</v>
      </c>
      <c r="FM153" s="31"/>
      <c r="FN153" s="24">
        <v>40</v>
      </c>
      <c r="FO153" s="28">
        <v>40</v>
      </c>
      <c r="FP153" s="28">
        <v>0</v>
      </c>
      <c r="FQ153" s="31"/>
      <c r="FT153" s="28">
        <v>0</v>
      </c>
      <c r="FU153" s="31"/>
      <c r="FV153" s="24">
        <v>16</v>
      </c>
      <c r="FW153">
        <v>16</v>
      </c>
      <c r="FX153" s="28">
        <v>0</v>
      </c>
      <c r="FY153" s="31"/>
      <c r="FZ153" s="30"/>
      <c r="GC153" s="31"/>
      <c r="GG153" s="34"/>
      <c r="GK153" s="31"/>
      <c r="GO153" s="34"/>
      <c r="GS153" s="31"/>
      <c r="GW153" s="34"/>
      <c r="GY153" s="29"/>
      <c r="HA153" s="31"/>
      <c r="HB153" s="24"/>
      <c r="HE153" s="34"/>
      <c r="HH153" s="32"/>
      <c r="HI153" s="34"/>
      <c r="HM153" s="34"/>
      <c r="HO153" s="32"/>
      <c r="HQ153" s="31"/>
      <c r="HR153" s="29"/>
      <c r="HW153" s="34"/>
      <c r="IA153" s="34"/>
      <c r="IE153" s="34"/>
      <c r="IF153" s="33"/>
      <c r="II153" s="34"/>
    </row>
    <row r="154" spans="1:243" x14ac:dyDescent="0.25">
      <c r="A154" s="28" t="s">
        <v>286</v>
      </c>
      <c r="B154" s="29">
        <v>1</v>
      </c>
      <c r="E154">
        <v>40</v>
      </c>
      <c r="F154">
        <v>99</v>
      </c>
      <c r="G154">
        <v>98</v>
      </c>
      <c r="J154" s="30"/>
      <c r="K154" s="35"/>
      <c r="L154" s="35"/>
      <c r="M154" s="35"/>
      <c r="N154" s="35">
        <f t="shared" si="6"/>
        <v>0</v>
      </c>
      <c r="O154" s="31"/>
      <c r="P154" s="35"/>
      <c r="Q154">
        <v>31</v>
      </c>
      <c r="R154">
        <v>28</v>
      </c>
      <c r="S154" s="28">
        <v>3</v>
      </c>
      <c r="T154" s="31"/>
      <c r="U154" s="24">
        <v>169</v>
      </c>
      <c r="V154">
        <v>171</v>
      </c>
      <c r="W154" s="28">
        <v>-2</v>
      </c>
      <c r="X154" s="31"/>
      <c r="Y154" s="30"/>
      <c r="AA154" s="28">
        <v>0</v>
      </c>
      <c r="AB154" s="31"/>
      <c r="AC154">
        <v>111</v>
      </c>
      <c r="AD154">
        <v>110</v>
      </c>
      <c r="AE154" s="28">
        <v>1</v>
      </c>
      <c r="AF154" s="31"/>
      <c r="AG154" s="24">
        <v>18</v>
      </c>
      <c r="AH154">
        <v>16</v>
      </c>
      <c r="AI154" s="28">
        <v>2</v>
      </c>
      <c r="AJ154" s="31"/>
      <c r="AK154">
        <v>85</v>
      </c>
      <c r="AL154">
        <v>82</v>
      </c>
      <c r="AM154" s="28">
        <v>3</v>
      </c>
      <c r="AN154" s="31"/>
      <c r="AO154" s="30"/>
      <c r="AQ154" s="28">
        <v>0</v>
      </c>
      <c r="AR154" s="31"/>
      <c r="AS154" s="24">
        <v>112</v>
      </c>
      <c r="AT154">
        <v>106</v>
      </c>
      <c r="AU154" s="28">
        <v>6</v>
      </c>
      <c r="AV154" s="31"/>
      <c r="AW154">
        <v>31</v>
      </c>
      <c r="AX154">
        <v>32</v>
      </c>
      <c r="AY154" s="28">
        <v>-1</v>
      </c>
      <c r="AZ154" s="31"/>
      <c r="BA154" s="30"/>
      <c r="BE154" s="28">
        <v>0</v>
      </c>
      <c r="BF154" s="31"/>
      <c r="BG154" s="24">
        <v>117</v>
      </c>
      <c r="BH154">
        <v>112</v>
      </c>
      <c r="BI154" s="28">
        <v>5</v>
      </c>
      <c r="BJ154" s="31"/>
      <c r="BM154">
        <v>38</v>
      </c>
      <c r="BN154">
        <v>36</v>
      </c>
      <c r="BO154" s="28">
        <v>2</v>
      </c>
      <c r="BP154" s="31"/>
      <c r="BS154" s="28">
        <v>0</v>
      </c>
      <c r="BT154" s="31"/>
      <c r="BU154" s="24">
        <v>69</v>
      </c>
      <c r="BV154">
        <v>68</v>
      </c>
      <c r="BW154" s="28">
        <v>1</v>
      </c>
      <c r="BX154" s="31"/>
      <c r="BY154" s="30"/>
      <c r="BZ154">
        <v>87</v>
      </c>
      <c r="CA154" s="27">
        <v>-87</v>
      </c>
      <c r="CB154" s="31">
        <v>87</v>
      </c>
      <c r="CE154" s="28">
        <v>0</v>
      </c>
      <c r="CF154" s="31"/>
      <c r="CG154" s="24">
        <v>74</v>
      </c>
      <c r="CI154">
        <v>73</v>
      </c>
      <c r="CJ154" s="28">
        <v>1</v>
      </c>
      <c r="CK154" s="31"/>
      <c r="CL154" s="30"/>
      <c r="CP154" s="28">
        <v>0</v>
      </c>
      <c r="CQ154" s="31"/>
      <c r="CR154" s="24">
        <v>88</v>
      </c>
      <c r="CT154">
        <v>85</v>
      </c>
      <c r="CU154" s="28">
        <v>3</v>
      </c>
      <c r="CV154" s="31"/>
      <c r="CW154">
        <v>36</v>
      </c>
      <c r="CX154" s="28">
        <v>35.914600000000007</v>
      </c>
      <c r="CY154" s="28">
        <v>8.5399999999992815E-2</v>
      </c>
      <c r="CZ154" s="31"/>
      <c r="DA154" s="24">
        <v>24</v>
      </c>
      <c r="DB154" s="28">
        <v>25.658000000000001</v>
      </c>
      <c r="DC154" s="28">
        <v>-1.658000000000001</v>
      </c>
      <c r="DD154" s="31"/>
      <c r="DE154" s="30"/>
      <c r="DG154" s="28">
        <v>0</v>
      </c>
      <c r="DH154" s="31"/>
      <c r="DI154" s="24">
        <v>12</v>
      </c>
      <c r="DJ154">
        <v>11</v>
      </c>
      <c r="DK154" s="28">
        <v>1</v>
      </c>
      <c r="DL154" s="31"/>
      <c r="DM154">
        <v>43</v>
      </c>
      <c r="DN154" s="32">
        <v>41.936999999999998</v>
      </c>
      <c r="DO154" s="28">
        <v>1.0630000000000019</v>
      </c>
      <c r="DP154" s="31"/>
      <c r="DQ154">
        <v>44</v>
      </c>
      <c r="DR154">
        <v>45</v>
      </c>
      <c r="DS154" s="28">
        <v>-1</v>
      </c>
      <c r="DT154" s="31"/>
      <c r="DU154" s="30"/>
      <c r="DX154" s="28">
        <v>0</v>
      </c>
      <c r="DY154" s="31"/>
      <c r="DZ154" s="24">
        <v>13</v>
      </c>
      <c r="EB154">
        <v>11</v>
      </c>
      <c r="EC154" s="28">
        <v>2</v>
      </c>
      <c r="ED154" s="31"/>
      <c r="EG154" s="28">
        <v>0</v>
      </c>
      <c r="EH154" s="31"/>
      <c r="EI154" s="30"/>
      <c r="EN154" s="28">
        <v>0</v>
      </c>
      <c r="EO154" s="31"/>
      <c r="EP154">
        <v>37</v>
      </c>
      <c r="EQ154" s="32">
        <v>37.338799999999999</v>
      </c>
      <c r="ER154" s="28">
        <v>-0.3387999999999991</v>
      </c>
      <c r="ES154" s="31"/>
      <c r="ET154" s="30"/>
      <c r="EX154" s="28">
        <v>0</v>
      </c>
      <c r="EY154" s="31"/>
      <c r="FD154" s="28">
        <v>0</v>
      </c>
      <c r="FE154" s="31"/>
      <c r="FF154">
        <v>82</v>
      </c>
      <c r="FG154" s="32">
        <v>80</v>
      </c>
      <c r="FH154" s="28">
        <v>2</v>
      </c>
      <c r="FI154" s="31"/>
      <c r="FJ154" s="24">
        <v>37</v>
      </c>
      <c r="FK154">
        <v>35</v>
      </c>
      <c r="FL154" s="28">
        <v>2</v>
      </c>
      <c r="FM154" s="31"/>
      <c r="FN154" s="30"/>
      <c r="FP154" s="28">
        <v>0</v>
      </c>
      <c r="FQ154" s="31"/>
      <c r="FR154" s="28">
        <v>44</v>
      </c>
      <c r="FS154" s="28">
        <v>40</v>
      </c>
      <c r="FT154" s="28">
        <v>4</v>
      </c>
      <c r="FU154" s="31"/>
      <c r="FV154" s="30"/>
      <c r="FX154" s="28">
        <v>0</v>
      </c>
      <c r="FY154" s="31"/>
      <c r="FZ154" s="30"/>
      <c r="GC154" s="31"/>
      <c r="GG154" s="34"/>
      <c r="GK154" s="31"/>
      <c r="GO154" s="34"/>
      <c r="GS154" s="31"/>
      <c r="GW154" s="34"/>
      <c r="GY154" s="29"/>
      <c r="HA154" s="31"/>
      <c r="HB154" s="24"/>
      <c r="HE154" s="34"/>
      <c r="HH154" s="32"/>
      <c r="HI154" s="34"/>
      <c r="HM154" s="34"/>
      <c r="HO154" s="32"/>
      <c r="HQ154" s="31"/>
      <c r="HR154" s="29"/>
      <c r="HW154" s="34"/>
      <c r="IA154" s="34"/>
      <c r="IE154" s="34"/>
      <c r="IF154" s="33"/>
      <c r="II154" s="34"/>
    </row>
    <row r="155" spans="1:243" x14ac:dyDescent="0.25">
      <c r="A155" s="28" t="s">
        <v>287</v>
      </c>
      <c r="B155" s="29">
        <v>0.4</v>
      </c>
      <c r="J155" s="30"/>
      <c r="K155" s="35"/>
      <c r="L155" s="35"/>
      <c r="M155" s="35"/>
      <c r="N155" s="35">
        <f t="shared" si="6"/>
        <v>0</v>
      </c>
      <c r="O155" s="31"/>
      <c r="P155" s="35"/>
      <c r="R155">
        <v>455</v>
      </c>
      <c r="S155" s="28">
        <v>1</v>
      </c>
      <c r="T155" s="31"/>
      <c r="U155" s="30"/>
      <c r="W155" s="28">
        <v>0</v>
      </c>
      <c r="X155" s="31"/>
      <c r="Y155" s="24">
        <v>350</v>
      </c>
      <c r="Z155">
        <v>357</v>
      </c>
      <c r="AA155" s="28">
        <v>-7</v>
      </c>
      <c r="AB155" s="31"/>
      <c r="AE155" s="28">
        <v>0</v>
      </c>
      <c r="AF155" s="31"/>
      <c r="AG155" s="24">
        <v>300</v>
      </c>
      <c r="AH155">
        <v>304</v>
      </c>
      <c r="AI155" s="28">
        <v>-4</v>
      </c>
      <c r="AJ155" s="31"/>
      <c r="AK155">
        <v>10</v>
      </c>
      <c r="AL155">
        <v>16</v>
      </c>
      <c r="AM155" s="28">
        <v>-6</v>
      </c>
      <c r="AN155" s="31"/>
      <c r="AO155" s="24">
        <v>90</v>
      </c>
      <c r="AP155">
        <v>90</v>
      </c>
      <c r="AQ155" s="28">
        <v>0</v>
      </c>
      <c r="AR155" s="31"/>
      <c r="AS155" s="24">
        <v>110</v>
      </c>
      <c r="AT155">
        <v>117</v>
      </c>
      <c r="AU155" s="28">
        <v>-7</v>
      </c>
      <c r="AV155" s="31"/>
      <c r="AY155" s="28">
        <v>0</v>
      </c>
      <c r="AZ155" s="31"/>
      <c r="BA155" s="30"/>
      <c r="BB155">
        <v>80</v>
      </c>
      <c r="BC155">
        <v>80</v>
      </c>
      <c r="BD155">
        <v>82</v>
      </c>
      <c r="BE155" s="27">
        <v>-82</v>
      </c>
      <c r="BF155" s="31">
        <v>81.599999999999994</v>
      </c>
      <c r="BG155" s="24">
        <v>90</v>
      </c>
      <c r="BH155">
        <v>97</v>
      </c>
      <c r="BI155" s="28">
        <v>-7</v>
      </c>
      <c r="BJ155" s="31"/>
      <c r="BM155">
        <v>10</v>
      </c>
      <c r="BN155">
        <v>8</v>
      </c>
      <c r="BO155" s="28">
        <v>2</v>
      </c>
      <c r="BP155" s="31"/>
      <c r="BQ155">
        <v>160</v>
      </c>
      <c r="BR155">
        <v>162</v>
      </c>
      <c r="BS155" s="28">
        <v>-2</v>
      </c>
      <c r="BT155" s="31"/>
      <c r="BU155" s="24">
        <v>90</v>
      </c>
      <c r="BV155">
        <v>90</v>
      </c>
      <c r="BW155" s="28">
        <v>0</v>
      </c>
      <c r="BX155" s="31"/>
      <c r="BY155" s="24">
        <v>10</v>
      </c>
      <c r="BZ155">
        <v>8</v>
      </c>
      <c r="CA155" s="28">
        <v>2</v>
      </c>
      <c r="CB155" s="31"/>
      <c r="CC155">
        <v>130</v>
      </c>
      <c r="CD155">
        <v>128</v>
      </c>
      <c r="CE155" s="28">
        <v>2</v>
      </c>
      <c r="CF155" s="31"/>
      <c r="CG155" s="24">
        <v>40</v>
      </c>
      <c r="CI155">
        <v>38</v>
      </c>
      <c r="CJ155" s="28">
        <v>2</v>
      </c>
      <c r="CK155" s="31"/>
      <c r="CL155" s="30"/>
      <c r="CP155" s="28">
        <v>0</v>
      </c>
      <c r="CQ155" s="31"/>
      <c r="CR155" s="24">
        <v>160</v>
      </c>
      <c r="CT155">
        <v>162</v>
      </c>
      <c r="CU155" s="28">
        <v>-2</v>
      </c>
      <c r="CV155" s="31"/>
      <c r="CY155" s="28">
        <v>0</v>
      </c>
      <c r="CZ155" s="31"/>
      <c r="DA155" s="24">
        <v>110</v>
      </c>
      <c r="DB155" s="28">
        <v>116</v>
      </c>
      <c r="DC155" s="28">
        <v>-6</v>
      </c>
      <c r="DD155" s="31"/>
      <c r="DE155" s="24">
        <v>10</v>
      </c>
      <c r="DF155" s="28">
        <v>13.400000000000009</v>
      </c>
      <c r="DG155" s="28">
        <v>-3.4000000000000088</v>
      </c>
      <c r="DH155" s="31"/>
      <c r="DI155" s="30"/>
      <c r="DJ155">
        <v>74</v>
      </c>
      <c r="DK155" s="27">
        <v>-74</v>
      </c>
      <c r="DL155" s="34">
        <v>29.6</v>
      </c>
      <c r="DM155">
        <v>90</v>
      </c>
      <c r="DN155" s="32">
        <v>95.200000000000017</v>
      </c>
      <c r="DO155" s="28">
        <v>-5.2000000000000171</v>
      </c>
      <c r="DP155" s="31"/>
      <c r="DQ155">
        <v>70</v>
      </c>
      <c r="DR155">
        <v>77</v>
      </c>
      <c r="DS155" s="28">
        <v>-7</v>
      </c>
      <c r="DT155" s="31"/>
      <c r="DU155" s="30"/>
      <c r="DX155" s="28">
        <v>0</v>
      </c>
      <c r="DY155" s="31"/>
      <c r="DZ155" s="24">
        <v>50</v>
      </c>
      <c r="EB155">
        <v>55</v>
      </c>
      <c r="EC155" s="28">
        <v>-5</v>
      </c>
      <c r="ED155" s="31"/>
      <c r="EE155">
        <v>80</v>
      </c>
      <c r="EF155" s="32">
        <v>80.200000000000017</v>
      </c>
      <c r="EG155" s="28">
        <v>-0.20000000000001711</v>
      </c>
      <c r="EH155" s="31"/>
      <c r="EI155" s="30"/>
      <c r="EL155">
        <v>30</v>
      </c>
      <c r="EM155">
        <v>30</v>
      </c>
      <c r="EN155" s="28">
        <v>0</v>
      </c>
      <c r="EO155" s="31"/>
      <c r="EP155">
        <v>70</v>
      </c>
      <c r="EQ155" s="32">
        <v>76.400000000000006</v>
      </c>
      <c r="ER155" s="28">
        <v>-6.4000000000000057</v>
      </c>
      <c r="ES155" s="31"/>
      <c r="ET155" s="30"/>
      <c r="EV155">
        <v>40</v>
      </c>
      <c r="EW155">
        <v>44</v>
      </c>
      <c r="EX155" s="28">
        <v>-4</v>
      </c>
      <c r="EY155" s="31"/>
      <c r="EZ155">
        <v>40</v>
      </c>
      <c r="FA155">
        <v>40</v>
      </c>
      <c r="FB155">
        <v>50</v>
      </c>
      <c r="FC155">
        <v>50</v>
      </c>
      <c r="FD155" s="28">
        <v>0</v>
      </c>
      <c r="FE155" s="31"/>
      <c r="FH155" s="28">
        <v>0</v>
      </c>
      <c r="FI155" s="31"/>
      <c r="FJ155" s="24">
        <v>40</v>
      </c>
      <c r="FK155">
        <v>38</v>
      </c>
      <c r="FL155" s="28">
        <v>2</v>
      </c>
      <c r="FM155" s="31"/>
      <c r="FN155" s="24">
        <v>70</v>
      </c>
      <c r="FO155">
        <v>70</v>
      </c>
      <c r="FP155" s="28">
        <v>0</v>
      </c>
      <c r="FQ155" s="31"/>
      <c r="FR155">
        <v>20</v>
      </c>
      <c r="FS155">
        <v>20</v>
      </c>
      <c r="FT155" s="28">
        <v>0</v>
      </c>
      <c r="FU155" s="31"/>
      <c r="FV155" s="24">
        <v>60</v>
      </c>
      <c r="FW155">
        <v>64</v>
      </c>
      <c r="FX155" s="28">
        <v>-4</v>
      </c>
      <c r="FY155" s="31"/>
      <c r="FZ155" s="30"/>
      <c r="GB155" s="28">
        <v>0</v>
      </c>
      <c r="GC155" s="31"/>
      <c r="GD155">
        <v>60</v>
      </c>
      <c r="GE155" s="28">
        <v>60</v>
      </c>
      <c r="GF155" s="28">
        <v>0</v>
      </c>
      <c r="GG155" s="34"/>
      <c r="GH155">
        <v>10</v>
      </c>
      <c r="GI155" s="32">
        <v>8</v>
      </c>
      <c r="GJ155" s="28">
        <v>2</v>
      </c>
      <c r="GK155" s="31"/>
      <c r="GN155" s="28">
        <v>0</v>
      </c>
      <c r="GO155" s="34"/>
      <c r="GS155" s="31"/>
      <c r="GW155" s="34"/>
      <c r="HA155" s="31"/>
      <c r="HB155" s="24"/>
      <c r="HE155" s="34"/>
      <c r="HI155" s="34"/>
      <c r="HM155" s="34"/>
      <c r="HO155" s="32"/>
      <c r="HQ155" s="31"/>
      <c r="HR155" s="29"/>
      <c r="HW155" s="34"/>
      <c r="IA155" s="34"/>
      <c r="IE155" s="34"/>
      <c r="IF155" s="33"/>
      <c r="II155" s="34"/>
    </row>
    <row r="156" spans="1:243" x14ac:dyDescent="0.25">
      <c r="A156" s="28" t="s">
        <v>288</v>
      </c>
      <c r="B156" s="29">
        <v>0.41</v>
      </c>
      <c r="E156">
        <v>50</v>
      </c>
      <c r="F156">
        <v>100</v>
      </c>
      <c r="G156">
        <v>108</v>
      </c>
      <c r="J156" s="24">
        <v>100</v>
      </c>
      <c r="K156" s="36">
        <v>100</v>
      </c>
      <c r="L156" s="36">
        <v>80</v>
      </c>
      <c r="M156" s="36">
        <v>80</v>
      </c>
      <c r="N156" s="35">
        <f t="shared" si="6"/>
        <v>0</v>
      </c>
      <c r="O156" s="31"/>
      <c r="P156" s="35"/>
      <c r="Q156">
        <v>220</v>
      </c>
      <c r="R156">
        <v>221</v>
      </c>
      <c r="S156" s="28">
        <v>-1</v>
      </c>
      <c r="T156" s="31"/>
      <c r="U156" s="24">
        <v>100</v>
      </c>
      <c r="V156">
        <v>101</v>
      </c>
      <c r="W156" s="28">
        <v>-1</v>
      </c>
      <c r="X156" s="31"/>
      <c r="Y156" s="24">
        <v>350</v>
      </c>
      <c r="Z156">
        <v>354</v>
      </c>
      <c r="AA156" s="28">
        <v>-4</v>
      </c>
      <c r="AB156" s="31"/>
      <c r="AC156">
        <v>80</v>
      </c>
      <c r="AD156">
        <v>86</v>
      </c>
      <c r="AE156" s="28">
        <v>-6</v>
      </c>
      <c r="AF156" s="31"/>
      <c r="AG156" s="24">
        <v>270</v>
      </c>
      <c r="AH156">
        <v>274</v>
      </c>
      <c r="AI156" s="28">
        <v>-4</v>
      </c>
      <c r="AJ156" s="31"/>
      <c r="AM156" s="28">
        <v>0</v>
      </c>
      <c r="AN156" s="31"/>
      <c r="AO156" s="24">
        <v>250</v>
      </c>
      <c r="AP156">
        <v>252</v>
      </c>
      <c r="AQ156" s="28">
        <v>-2</v>
      </c>
      <c r="AR156" s="31"/>
      <c r="AS156" s="24">
        <v>10</v>
      </c>
      <c r="AT156">
        <v>4</v>
      </c>
      <c r="AU156" s="28">
        <v>6</v>
      </c>
      <c r="AV156" s="31"/>
      <c r="AW156">
        <v>60</v>
      </c>
      <c r="AX156">
        <v>66</v>
      </c>
      <c r="AY156" s="28">
        <v>-6</v>
      </c>
      <c r="AZ156" s="31"/>
      <c r="BA156" s="24">
        <v>50</v>
      </c>
      <c r="BB156">
        <v>50</v>
      </c>
      <c r="BC156">
        <v>80</v>
      </c>
      <c r="BD156">
        <v>83</v>
      </c>
      <c r="BE156" s="28">
        <v>-3</v>
      </c>
      <c r="BF156" s="31"/>
      <c r="BG156" s="24">
        <v>30</v>
      </c>
      <c r="BH156">
        <v>35</v>
      </c>
      <c r="BI156" s="28">
        <v>-5</v>
      </c>
      <c r="BJ156" s="31"/>
      <c r="BM156">
        <v>30</v>
      </c>
      <c r="BN156">
        <v>28</v>
      </c>
      <c r="BO156" s="28">
        <v>2</v>
      </c>
      <c r="BP156" s="31"/>
      <c r="BQ156">
        <v>50</v>
      </c>
      <c r="BR156">
        <v>49</v>
      </c>
      <c r="BS156" s="28">
        <v>1</v>
      </c>
      <c r="BT156" s="31"/>
      <c r="BU156" s="24">
        <v>130</v>
      </c>
      <c r="BV156">
        <v>130</v>
      </c>
      <c r="BW156" s="28">
        <v>0</v>
      </c>
      <c r="BX156" s="31"/>
      <c r="BY156" s="24">
        <v>50</v>
      </c>
      <c r="BZ156">
        <v>53</v>
      </c>
      <c r="CA156" s="28">
        <v>-3</v>
      </c>
      <c r="CB156" s="31"/>
      <c r="CE156" s="28">
        <v>0</v>
      </c>
      <c r="CF156" s="31"/>
      <c r="CG156" s="24">
        <v>80</v>
      </c>
      <c r="CI156">
        <v>81</v>
      </c>
      <c r="CJ156" s="28">
        <v>-1</v>
      </c>
      <c r="CK156" s="31"/>
      <c r="CL156" s="30"/>
      <c r="CN156">
        <v>120</v>
      </c>
      <c r="CO156">
        <v>121</v>
      </c>
      <c r="CP156" s="28">
        <v>-1</v>
      </c>
      <c r="CQ156" s="31"/>
      <c r="CR156" s="30"/>
      <c r="CU156" s="28">
        <v>0</v>
      </c>
      <c r="CV156" s="31"/>
      <c r="CW156">
        <v>130</v>
      </c>
      <c r="CX156" s="28">
        <v>131</v>
      </c>
      <c r="CY156" s="28">
        <v>-1</v>
      </c>
      <c r="CZ156" s="31"/>
      <c r="DA156" s="33"/>
      <c r="DC156" s="28">
        <v>0</v>
      </c>
      <c r="DD156" s="31"/>
      <c r="DE156" s="24">
        <v>10</v>
      </c>
      <c r="DF156" s="28">
        <v>5.2000000000000028</v>
      </c>
      <c r="DG156" s="28">
        <v>4.7999999999999972</v>
      </c>
      <c r="DH156" s="31"/>
      <c r="DI156" s="24">
        <v>90</v>
      </c>
      <c r="DJ156">
        <v>94</v>
      </c>
      <c r="DK156" s="28">
        <v>-4</v>
      </c>
      <c r="DL156" s="31"/>
      <c r="DO156" s="28">
        <v>0</v>
      </c>
      <c r="DP156" s="31"/>
      <c r="DQ156">
        <v>90</v>
      </c>
      <c r="DR156">
        <v>94</v>
      </c>
      <c r="DS156" s="28">
        <v>-4</v>
      </c>
      <c r="DT156" s="31"/>
      <c r="DU156" s="24">
        <v>60</v>
      </c>
      <c r="DW156">
        <v>62</v>
      </c>
      <c r="DX156" s="28">
        <v>-2</v>
      </c>
      <c r="DY156" s="31"/>
      <c r="DZ156" s="24">
        <v>30</v>
      </c>
      <c r="EB156">
        <v>34</v>
      </c>
      <c r="EC156" s="28">
        <v>-4</v>
      </c>
      <c r="ED156" s="31"/>
      <c r="EE156">
        <v>40</v>
      </c>
      <c r="EF156" s="32">
        <v>44</v>
      </c>
      <c r="EG156" s="28">
        <v>-4</v>
      </c>
      <c r="EH156" s="31"/>
      <c r="EI156" s="30"/>
      <c r="EL156">
        <v>10</v>
      </c>
      <c r="EM156">
        <v>15</v>
      </c>
      <c r="EN156" s="28">
        <v>-5</v>
      </c>
      <c r="EO156" s="31"/>
      <c r="EP156">
        <v>60</v>
      </c>
      <c r="EQ156" s="32">
        <v>61</v>
      </c>
      <c r="ER156" s="28">
        <v>-1</v>
      </c>
      <c r="ES156" s="31"/>
      <c r="ET156" s="30"/>
      <c r="EV156">
        <v>20</v>
      </c>
      <c r="EW156">
        <v>26</v>
      </c>
      <c r="EX156" s="28">
        <v>-6</v>
      </c>
      <c r="EY156" s="31"/>
      <c r="FB156">
        <v>50</v>
      </c>
      <c r="FC156">
        <v>50</v>
      </c>
      <c r="FD156" s="28">
        <v>0</v>
      </c>
      <c r="FE156" s="31"/>
      <c r="FH156" s="28">
        <v>0</v>
      </c>
      <c r="FI156" s="31"/>
      <c r="FJ156" s="24">
        <v>20</v>
      </c>
      <c r="FK156">
        <v>20</v>
      </c>
      <c r="FL156" s="28">
        <v>0</v>
      </c>
      <c r="FM156" s="31"/>
      <c r="FN156" s="24">
        <v>10</v>
      </c>
      <c r="FO156">
        <v>10</v>
      </c>
      <c r="FP156" s="28">
        <v>0</v>
      </c>
      <c r="FQ156" s="31"/>
      <c r="FR156">
        <v>20</v>
      </c>
      <c r="FS156">
        <v>20</v>
      </c>
      <c r="FT156" s="28">
        <v>0</v>
      </c>
      <c r="FU156" s="31"/>
      <c r="FV156" s="24">
        <v>50</v>
      </c>
      <c r="FW156">
        <v>50</v>
      </c>
      <c r="FX156" s="28">
        <v>0</v>
      </c>
      <c r="FY156" s="31"/>
      <c r="FZ156" s="30"/>
      <c r="GB156" s="28">
        <v>0</v>
      </c>
      <c r="GC156" s="31"/>
      <c r="GD156">
        <v>20</v>
      </c>
      <c r="GE156" s="28">
        <v>20</v>
      </c>
      <c r="GF156" s="28">
        <v>0</v>
      </c>
      <c r="GG156" s="34"/>
      <c r="GH156">
        <v>20</v>
      </c>
      <c r="GI156" s="32">
        <v>20</v>
      </c>
      <c r="GJ156" s="28">
        <v>0</v>
      </c>
      <c r="GK156" s="31"/>
      <c r="GN156" s="28">
        <v>0</v>
      </c>
      <c r="GO156" s="34"/>
      <c r="GS156" s="31"/>
      <c r="GW156" s="34"/>
      <c r="HA156" s="31"/>
      <c r="HB156" s="24"/>
      <c r="HE156" s="34"/>
      <c r="HI156" s="34"/>
      <c r="HM156" s="34"/>
      <c r="HO156" s="32"/>
      <c r="HQ156" s="31"/>
      <c r="HR156" s="29"/>
      <c r="HW156" s="34"/>
      <c r="IA156" s="34"/>
      <c r="IE156" s="34"/>
      <c r="IF156" s="33"/>
      <c r="II156" s="34"/>
    </row>
    <row r="157" spans="1:243" x14ac:dyDescent="0.25">
      <c r="A157" s="28" t="s">
        <v>289</v>
      </c>
      <c r="B157" s="29">
        <v>1</v>
      </c>
      <c r="J157" s="24">
        <v>157</v>
      </c>
      <c r="K157" s="36">
        <v>150</v>
      </c>
      <c r="L157" s="36">
        <v>124</v>
      </c>
      <c r="M157" s="36">
        <v>125</v>
      </c>
      <c r="N157" s="35">
        <f t="shared" si="6"/>
        <v>6</v>
      </c>
      <c r="O157" s="31"/>
      <c r="P157" s="35"/>
      <c r="S157" s="28">
        <v>0</v>
      </c>
      <c r="T157" s="31"/>
      <c r="U157" s="24">
        <v>365</v>
      </c>
      <c r="V157">
        <v>351</v>
      </c>
      <c r="W157" s="28">
        <v>14</v>
      </c>
      <c r="X157" s="31"/>
      <c r="Y157" s="30"/>
      <c r="AA157" s="28">
        <v>0</v>
      </c>
      <c r="AB157" s="31"/>
      <c r="AC157">
        <v>226</v>
      </c>
      <c r="AD157">
        <v>223</v>
      </c>
      <c r="AE157" s="28">
        <v>3</v>
      </c>
      <c r="AF157" s="31"/>
      <c r="AG157" s="24">
        <v>251</v>
      </c>
      <c r="AH157">
        <v>238</v>
      </c>
      <c r="AI157" s="28">
        <v>13</v>
      </c>
      <c r="AJ157" s="31"/>
      <c r="AM157" s="28">
        <v>0</v>
      </c>
      <c r="AN157" s="31"/>
      <c r="AO157" s="24">
        <v>295</v>
      </c>
      <c r="AP157">
        <v>285</v>
      </c>
      <c r="AQ157" s="28">
        <v>10</v>
      </c>
      <c r="AR157" s="31"/>
      <c r="AS157" s="30"/>
      <c r="AU157" s="28">
        <v>0</v>
      </c>
      <c r="AV157" s="31"/>
      <c r="AY157" s="28">
        <v>0</v>
      </c>
      <c r="AZ157" s="31"/>
      <c r="BA157" s="24">
        <v>145</v>
      </c>
      <c r="BB157">
        <v>140</v>
      </c>
      <c r="BC157">
        <v>143</v>
      </c>
      <c r="BD157">
        <v>141</v>
      </c>
      <c r="BE157" s="28">
        <v>7</v>
      </c>
      <c r="BF157" s="31"/>
      <c r="BG157" s="30"/>
      <c r="BI157" s="28">
        <v>0</v>
      </c>
      <c r="BJ157" s="31"/>
      <c r="BM157">
        <v>220</v>
      </c>
      <c r="BN157">
        <v>208</v>
      </c>
      <c r="BO157" s="28">
        <v>12</v>
      </c>
      <c r="BP157" s="31"/>
      <c r="BS157" s="28">
        <v>0</v>
      </c>
      <c r="BT157" s="31"/>
      <c r="BU157" s="30"/>
      <c r="BW157" s="28">
        <v>0</v>
      </c>
      <c r="BX157" s="31"/>
      <c r="BY157" s="24">
        <v>163</v>
      </c>
      <c r="BZ157">
        <v>156</v>
      </c>
      <c r="CA157" s="28">
        <v>7</v>
      </c>
      <c r="CB157" s="31"/>
      <c r="CE157" s="28">
        <v>0</v>
      </c>
      <c r="CF157" s="31"/>
      <c r="CG157" s="24">
        <v>44</v>
      </c>
      <c r="CI157">
        <v>67</v>
      </c>
      <c r="CJ157" s="27">
        <v>-23</v>
      </c>
      <c r="CK157" s="31">
        <v>23</v>
      </c>
      <c r="CL157" s="30"/>
      <c r="CN157">
        <v>100</v>
      </c>
      <c r="CO157">
        <v>97</v>
      </c>
      <c r="CP157" s="28">
        <v>3</v>
      </c>
      <c r="CQ157" s="31"/>
      <c r="CR157" s="30"/>
      <c r="CU157" s="28">
        <v>0</v>
      </c>
      <c r="CV157" s="31"/>
      <c r="CW157">
        <v>111</v>
      </c>
      <c r="CX157" s="28">
        <v>110.8314</v>
      </c>
      <c r="CY157" s="28">
        <v>0.16859999999999789</v>
      </c>
      <c r="CZ157" s="31"/>
      <c r="DA157" s="33"/>
      <c r="DC157" s="28">
        <v>0</v>
      </c>
      <c r="DD157" s="31"/>
      <c r="DE157" s="24">
        <v>19</v>
      </c>
      <c r="DF157" s="28">
        <v>17.182600000000001</v>
      </c>
      <c r="DG157" s="28">
        <v>1.817399999999999</v>
      </c>
      <c r="DH157" s="31"/>
      <c r="DI157" s="24">
        <v>89</v>
      </c>
      <c r="DJ157">
        <v>83</v>
      </c>
      <c r="DK157" s="28">
        <v>6</v>
      </c>
      <c r="DL157" s="31"/>
      <c r="DO157" s="28">
        <v>0</v>
      </c>
      <c r="DP157" s="31"/>
      <c r="DQ157">
        <v>118</v>
      </c>
      <c r="DR157">
        <v>116</v>
      </c>
      <c r="DS157" s="28">
        <v>2</v>
      </c>
      <c r="DT157" s="31"/>
      <c r="DU157" s="24">
        <v>44</v>
      </c>
      <c r="DW157">
        <v>45</v>
      </c>
      <c r="DX157" s="28">
        <v>-1</v>
      </c>
      <c r="DY157" s="31"/>
      <c r="DZ157" s="30"/>
      <c r="EC157" s="28">
        <v>0</v>
      </c>
      <c r="ED157" s="31"/>
      <c r="EG157" s="28">
        <v>0</v>
      </c>
      <c r="EH157" s="31"/>
      <c r="EI157" s="30"/>
      <c r="EJ157">
        <v>50</v>
      </c>
      <c r="EK157">
        <v>50</v>
      </c>
      <c r="EL157">
        <v>56</v>
      </c>
      <c r="EM157">
        <v>53</v>
      </c>
      <c r="EN157" s="28">
        <v>3</v>
      </c>
      <c r="EO157" s="31"/>
      <c r="ER157" s="28">
        <v>0</v>
      </c>
      <c r="ES157" s="31"/>
      <c r="ET157" s="30"/>
      <c r="EX157" s="28">
        <v>0</v>
      </c>
      <c r="EY157" s="31"/>
      <c r="FD157" s="28">
        <v>0</v>
      </c>
      <c r="FE157" s="31"/>
      <c r="FH157" s="28">
        <v>0</v>
      </c>
      <c r="FI157" s="31"/>
      <c r="FJ157" s="24">
        <v>69</v>
      </c>
      <c r="FK157">
        <v>65</v>
      </c>
      <c r="FL157" s="28">
        <v>4</v>
      </c>
      <c r="FM157" s="31"/>
      <c r="FN157" s="24">
        <v>75</v>
      </c>
      <c r="FO157">
        <v>72</v>
      </c>
      <c r="FP157" s="28">
        <v>3</v>
      </c>
      <c r="FQ157" s="31"/>
      <c r="FR157">
        <v>31</v>
      </c>
      <c r="FS157">
        <v>30</v>
      </c>
      <c r="FT157" s="28">
        <v>1</v>
      </c>
      <c r="FU157" s="31"/>
      <c r="FV157" s="24">
        <v>50</v>
      </c>
      <c r="FW157">
        <v>50</v>
      </c>
      <c r="FX157" s="28">
        <v>0</v>
      </c>
      <c r="FY157" s="31"/>
      <c r="FZ157" s="24">
        <v>50</v>
      </c>
      <c r="GA157">
        <v>51</v>
      </c>
      <c r="GB157" s="28">
        <v>-1</v>
      </c>
      <c r="GC157" s="31"/>
      <c r="GD157">
        <v>19</v>
      </c>
      <c r="GE157" s="28">
        <v>20</v>
      </c>
      <c r="GF157" s="28">
        <v>-1</v>
      </c>
      <c r="GG157" s="34"/>
      <c r="GH157">
        <v>44</v>
      </c>
      <c r="GI157" s="32">
        <v>40</v>
      </c>
      <c r="GJ157" s="28">
        <v>4</v>
      </c>
      <c r="GK157" s="31"/>
      <c r="GN157" s="28">
        <v>0</v>
      </c>
      <c r="GO157" s="34"/>
      <c r="GS157" s="31"/>
      <c r="GW157" s="34"/>
      <c r="HA157" s="31"/>
      <c r="HB157" s="24"/>
      <c r="HE157" s="34"/>
      <c r="HI157" s="34"/>
      <c r="HM157" s="34"/>
      <c r="HO157" s="32"/>
      <c r="HQ157" s="31"/>
      <c r="HR157" s="29"/>
      <c r="HW157" s="34"/>
      <c r="IA157" s="34"/>
      <c r="IE157" s="34"/>
      <c r="IF157" s="33"/>
      <c r="II157" s="34"/>
    </row>
    <row r="158" spans="1:243" x14ac:dyDescent="0.25">
      <c r="A158" s="28" t="s">
        <v>290</v>
      </c>
      <c r="B158" s="29">
        <v>0.35</v>
      </c>
      <c r="F158">
        <v>6</v>
      </c>
      <c r="G158">
        <v>6</v>
      </c>
      <c r="J158" s="30"/>
      <c r="K158" s="35"/>
      <c r="L158" s="35"/>
      <c r="M158" s="35"/>
      <c r="N158" s="35">
        <f t="shared" si="6"/>
        <v>0</v>
      </c>
      <c r="O158" s="31"/>
      <c r="P158" s="35"/>
      <c r="Q158">
        <v>138</v>
      </c>
      <c r="R158">
        <v>140</v>
      </c>
      <c r="S158" s="28">
        <v>-2</v>
      </c>
      <c r="T158" s="31"/>
      <c r="U158" s="24">
        <v>54</v>
      </c>
      <c r="V158">
        <v>52</v>
      </c>
      <c r="W158" s="28">
        <v>2</v>
      </c>
      <c r="X158" s="31"/>
      <c r="Y158" s="24">
        <v>84</v>
      </c>
      <c r="Z158">
        <v>83</v>
      </c>
      <c r="AA158" s="28">
        <v>1</v>
      </c>
      <c r="AB158" s="31"/>
      <c r="AC158">
        <v>60</v>
      </c>
      <c r="AD158">
        <v>59</v>
      </c>
      <c r="AE158" s="28">
        <v>1</v>
      </c>
      <c r="AF158" s="31"/>
      <c r="AG158" s="24">
        <v>36</v>
      </c>
      <c r="AH158">
        <v>37</v>
      </c>
      <c r="AI158" s="28">
        <v>-1</v>
      </c>
      <c r="AJ158" s="31"/>
      <c r="AK158">
        <v>48</v>
      </c>
      <c r="AL158">
        <v>46</v>
      </c>
      <c r="AM158" s="28">
        <v>2</v>
      </c>
      <c r="AN158" s="31"/>
      <c r="AO158" s="30"/>
      <c r="AQ158" s="28">
        <v>0</v>
      </c>
      <c r="AR158" s="31"/>
      <c r="AS158" s="24">
        <v>54</v>
      </c>
      <c r="AT158">
        <v>55</v>
      </c>
      <c r="AU158" s="28">
        <v>-1</v>
      </c>
      <c r="AV158" s="31"/>
      <c r="AX158">
        <v>9</v>
      </c>
      <c r="AY158" s="27">
        <v>-9</v>
      </c>
      <c r="AZ158" s="31">
        <v>3.15</v>
      </c>
      <c r="BA158" s="24">
        <v>24</v>
      </c>
      <c r="BB158">
        <v>24</v>
      </c>
      <c r="BC158">
        <v>18</v>
      </c>
      <c r="BD158">
        <v>27</v>
      </c>
      <c r="BE158" s="28">
        <v>-9</v>
      </c>
      <c r="BF158" s="31"/>
      <c r="BG158" s="30"/>
      <c r="BI158" s="28">
        <v>0</v>
      </c>
      <c r="BJ158" s="31"/>
      <c r="BM158">
        <v>54</v>
      </c>
      <c r="BN158">
        <v>53</v>
      </c>
      <c r="BO158" s="28">
        <v>1</v>
      </c>
      <c r="BP158" s="31"/>
      <c r="BQ158">
        <v>18</v>
      </c>
      <c r="BR158">
        <v>16</v>
      </c>
      <c r="BS158" s="28">
        <v>2</v>
      </c>
      <c r="BT158" s="31"/>
      <c r="BU158" s="30"/>
      <c r="BW158" s="28">
        <v>0</v>
      </c>
      <c r="BX158" s="31"/>
      <c r="BY158" s="30"/>
      <c r="CA158" s="28">
        <v>0</v>
      </c>
      <c r="CB158" s="31"/>
      <c r="CC158">
        <v>48</v>
      </c>
      <c r="CD158">
        <v>48</v>
      </c>
      <c r="CE158" s="28">
        <v>0</v>
      </c>
      <c r="CF158" s="31"/>
      <c r="CG158" s="24">
        <v>12</v>
      </c>
      <c r="CI158">
        <v>10</v>
      </c>
      <c r="CJ158" s="28">
        <v>2</v>
      </c>
      <c r="CK158" s="31"/>
      <c r="CL158" s="30"/>
      <c r="CP158" s="28">
        <v>0</v>
      </c>
      <c r="CQ158" s="31"/>
      <c r="CR158" s="24">
        <v>72</v>
      </c>
      <c r="CT158">
        <v>70</v>
      </c>
      <c r="CU158" s="28">
        <v>2</v>
      </c>
      <c r="CV158" s="31"/>
      <c r="CY158" s="28">
        <v>0</v>
      </c>
      <c r="CZ158" s="31"/>
      <c r="DA158" s="24">
        <v>42</v>
      </c>
      <c r="DB158" s="28">
        <v>45</v>
      </c>
      <c r="DC158" s="28">
        <v>-3</v>
      </c>
      <c r="DD158" s="31"/>
      <c r="DE158" s="30"/>
      <c r="DG158" s="28">
        <v>0</v>
      </c>
      <c r="DH158" s="31"/>
      <c r="DI158" s="30"/>
      <c r="DK158" s="28">
        <v>0</v>
      </c>
      <c r="DL158" s="31"/>
      <c r="DO158" s="28">
        <v>0</v>
      </c>
      <c r="DP158" s="31"/>
      <c r="DQ158">
        <v>66</v>
      </c>
      <c r="DR158">
        <v>66</v>
      </c>
      <c r="DS158" s="28">
        <v>0</v>
      </c>
      <c r="DT158" s="31"/>
      <c r="DU158" s="30"/>
      <c r="DX158" s="28">
        <v>0</v>
      </c>
      <c r="DY158" s="31"/>
      <c r="DZ158" s="24">
        <v>30</v>
      </c>
      <c r="EB158">
        <v>32</v>
      </c>
      <c r="EC158" s="28">
        <v>-2</v>
      </c>
      <c r="ED158" s="31"/>
      <c r="EE158">
        <v>54</v>
      </c>
      <c r="EF158" s="32">
        <v>53</v>
      </c>
      <c r="EG158" s="28">
        <v>1</v>
      </c>
      <c r="EH158" s="31"/>
      <c r="EI158" s="30"/>
      <c r="EN158" s="28">
        <v>0</v>
      </c>
      <c r="EO158" s="31"/>
      <c r="EP158">
        <v>54</v>
      </c>
      <c r="EQ158" s="32">
        <v>52</v>
      </c>
      <c r="ER158" s="28">
        <v>2</v>
      </c>
      <c r="ES158" s="31"/>
      <c r="ET158" s="30"/>
      <c r="EV158">
        <v>12</v>
      </c>
      <c r="EW158">
        <v>10</v>
      </c>
      <c r="EX158" s="28">
        <v>2</v>
      </c>
      <c r="EY158" s="31"/>
      <c r="FB158">
        <v>12</v>
      </c>
      <c r="FC158">
        <v>11</v>
      </c>
      <c r="FD158" s="28">
        <v>1</v>
      </c>
      <c r="FE158" s="31"/>
      <c r="FF158">
        <v>24</v>
      </c>
      <c r="FG158" s="32">
        <v>24</v>
      </c>
      <c r="FH158" s="28">
        <v>0</v>
      </c>
      <c r="FI158" s="31"/>
      <c r="FJ158" s="24">
        <v>24</v>
      </c>
      <c r="FK158">
        <v>26</v>
      </c>
      <c r="FL158" s="28">
        <v>-2</v>
      </c>
      <c r="FM158" s="31"/>
      <c r="FN158" s="30"/>
      <c r="FP158" s="28">
        <v>0</v>
      </c>
      <c r="FQ158" s="31"/>
      <c r="FR158">
        <v>36</v>
      </c>
      <c r="FS158">
        <v>37</v>
      </c>
      <c r="FT158" s="28">
        <v>-1</v>
      </c>
      <c r="FU158" s="31"/>
      <c r="FV158" s="24">
        <v>12</v>
      </c>
      <c r="FW158">
        <v>10</v>
      </c>
      <c r="FX158" s="28">
        <v>2</v>
      </c>
      <c r="FY158" s="31"/>
      <c r="FZ158" s="30"/>
      <c r="GB158" s="28">
        <v>0</v>
      </c>
      <c r="GC158" s="31"/>
      <c r="GD158">
        <v>24</v>
      </c>
      <c r="GE158" s="28">
        <v>24</v>
      </c>
      <c r="GF158" s="28">
        <v>0</v>
      </c>
      <c r="GG158" s="34"/>
      <c r="GH158">
        <v>12</v>
      </c>
      <c r="GI158" s="32">
        <v>10</v>
      </c>
      <c r="GJ158" s="28">
        <v>2</v>
      </c>
      <c r="GK158" s="31"/>
      <c r="GN158" s="28">
        <v>0</v>
      </c>
      <c r="GO158" s="34"/>
      <c r="GS158" s="31"/>
      <c r="GW158" s="34"/>
      <c r="HA158" s="31"/>
      <c r="HB158" s="24"/>
      <c r="HE158" s="34"/>
      <c r="HI158" s="34"/>
      <c r="HM158" s="34"/>
      <c r="HO158" s="32"/>
      <c r="HQ158" s="31"/>
      <c r="HR158" s="29"/>
      <c r="HW158" s="34"/>
      <c r="IA158" s="34"/>
      <c r="IE158" s="34"/>
      <c r="IF158" s="33"/>
      <c r="II158" s="34"/>
    </row>
    <row r="159" spans="1:243" x14ac:dyDescent="0.25">
      <c r="A159" s="28" t="s">
        <v>291</v>
      </c>
      <c r="B159" s="29">
        <v>0.14000000000000001</v>
      </c>
      <c r="J159" s="30"/>
      <c r="K159" s="35"/>
      <c r="L159" s="35"/>
      <c r="M159" s="35"/>
      <c r="N159" s="35">
        <f t="shared" si="6"/>
        <v>0</v>
      </c>
      <c r="O159" s="31"/>
      <c r="P159" s="35"/>
      <c r="Q159">
        <v>190</v>
      </c>
      <c r="R159">
        <v>195</v>
      </c>
      <c r="S159" s="28">
        <v>-5</v>
      </c>
      <c r="T159" s="31"/>
      <c r="U159" s="30"/>
      <c r="W159" s="28">
        <v>0</v>
      </c>
      <c r="X159" s="31"/>
      <c r="Y159" s="24">
        <v>130</v>
      </c>
      <c r="Z159">
        <v>131</v>
      </c>
      <c r="AA159" s="28">
        <v>-1</v>
      </c>
      <c r="AB159" s="31"/>
      <c r="AE159" s="28">
        <v>0</v>
      </c>
      <c r="AF159" s="31"/>
      <c r="AG159" s="24">
        <v>70</v>
      </c>
      <c r="AH159">
        <v>70</v>
      </c>
      <c r="AI159" s="28">
        <v>0</v>
      </c>
      <c r="AJ159" s="31"/>
      <c r="AK159">
        <v>10</v>
      </c>
      <c r="AL159">
        <v>10</v>
      </c>
      <c r="AM159" s="28">
        <v>0</v>
      </c>
      <c r="AN159" s="31"/>
      <c r="AO159" s="24">
        <v>40</v>
      </c>
      <c r="AP159">
        <v>43</v>
      </c>
      <c r="AQ159" s="28">
        <v>-3</v>
      </c>
      <c r="AR159" s="31"/>
      <c r="AS159" s="30"/>
      <c r="AU159" s="28">
        <v>0</v>
      </c>
      <c r="AV159" s="31"/>
      <c r="AY159" s="28">
        <v>0</v>
      </c>
      <c r="AZ159" s="31"/>
      <c r="BA159" s="30"/>
      <c r="BB159">
        <v>24</v>
      </c>
      <c r="BC159">
        <v>30</v>
      </c>
      <c r="BD159">
        <v>32</v>
      </c>
      <c r="BE159" s="27">
        <v>-26</v>
      </c>
      <c r="BF159" s="31">
        <v>25.86</v>
      </c>
      <c r="BG159" s="30"/>
      <c r="BI159" s="28">
        <v>0</v>
      </c>
      <c r="BJ159" s="31"/>
      <c r="BM159">
        <v>50</v>
      </c>
      <c r="BN159">
        <v>48</v>
      </c>
      <c r="BO159" s="28">
        <v>2</v>
      </c>
      <c r="BP159" s="31"/>
      <c r="BS159" s="28">
        <v>0</v>
      </c>
      <c r="BT159" s="31"/>
      <c r="BU159" s="30"/>
      <c r="BW159" s="28">
        <v>0</v>
      </c>
      <c r="BX159" s="31"/>
      <c r="BY159" s="30">
        <v>30</v>
      </c>
      <c r="BZ159" s="28">
        <v>30</v>
      </c>
      <c r="CA159" s="28">
        <v>0</v>
      </c>
      <c r="CB159" s="31"/>
      <c r="CE159" s="28">
        <v>0</v>
      </c>
      <c r="CF159" s="31"/>
      <c r="CG159" s="30"/>
      <c r="CJ159" s="28">
        <v>0</v>
      </c>
      <c r="CK159" s="31"/>
      <c r="CL159" s="30"/>
      <c r="CP159" s="28">
        <v>0</v>
      </c>
      <c r="CQ159" s="31"/>
      <c r="CR159" s="30"/>
      <c r="CV159" s="34"/>
      <c r="CZ159" s="31"/>
      <c r="DA159" s="24"/>
      <c r="DD159" s="31"/>
      <c r="DE159" s="30"/>
      <c r="DH159" s="31"/>
      <c r="DI159" s="30"/>
      <c r="DL159" s="31"/>
      <c r="DP159" s="31"/>
      <c r="DT159" s="31"/>
      <c r="DU159" s="30"/>
      <c r="DY159" s="31"/>
      <c r="DZ159" s="24"/>
      <c r="ED159" s="31"/>
      <c r="EH159" s="31"/>
      <c r="EI159" s="30"/>
      <c r="EO159" s="31"/>
      <c r="ES159" s="31"/>
      <c r="ET159" s="30"/>
      <c r="EY159" s="31"/>
      <c r="FE159" s="31"/>
      <c r="FG159" s="32"/>
      <c r="FI159" s="31"/>
      <c r="FJ159" s="24"/>
      <c r="FM159" s="31"/>
      <c r="FN159" s="30"/>
      <c r="FQ159" s="31"/>
      <c r="FU159" s="31"/>
      <c r="FV159" s="24"/>
      <c r="FY159" s="31"/>
      <c r="FZ159" s="30"/>
      <c r="GC159" s="31"/>
      <c r="GG159" s="34"/>
      <c r="GI159" s="32"/>
      <c r="GK159" s="31"/>
      <c r="GO159" s="34"/>
      <c r="GS159" s="31"/>
      <c r="GW159" s="34"/>
      <c r="HA159" s="31"/>
      <c r="HB159" s="24"/>
      <c r="HE159" s="34"/>
      <c r="HI159" s="34"/>
      <c r="HM159" s="34"/>
      <c r="HO159" s="32"/>
      <c r="HQ159" s="31"/>
      <c r="HR159" s="29"/>
      <c r="HW159" s="34"/>
      <c r="IA159" s="34"/>
      <c r="IE159" s="34"/>
      <c r="IF159" s="33"/>
      <c r="II159" s="34"/>
    </row>
    <row r="160" spans="1:243" x14ac:dyDescent="0.25">
      <c r="A160" s="28" t="s">
        <v>292</v>
      </c>
      <c r="B160" s="29">
        <v>0.18</v>
      </c>
      <c r="F160">
        <v>40</v>
      </c>
      <c r="G160">
        <v>44</v>
      </c>
      <c r="J160" s="24">
        <v>40</v>
      </c>
      <c r="K160" s="36">
        <v>40</v>
      </c>
      <c r="L160" s="36">
        <v>60</v>
      </c>
      <c r="M160" s="36">
        <v>67</v>
      </c>
      <c r="N160" s="35">
        <f t="shared" si="6"/>
        <v>-7</v>
      </c>
      <c r="O160" s="31"/>
      <c r="P160" s="35"/>
      <c r="S160" s="28">
        <v>0</v>
      </c>
      <c r="T160" s="31"/>
      <c r="U160" s="24">
        <v>220</v>
      </c>
      <c r="V160">
        <v>224</v>
      </c>
      <c r="W160" s="28">
        <v>-4</v>
      </c>
      <c r="X160" s="31"/>
      <c r="Y160" s="30"/>
      <c r="AA160" s="28">
        <v>0</v>
      </c>
      <c r="AB160" s="31"/>
      <c r="AC160">
        <v>150</v>
      </c>
      <c r="AD160">
        <v>153</v>
      </c>
      <c r="AE160" s="28">
        <v>-3</v>
      </c>
      <c r="AF160" s="31"/>
      <c r="AG160" s="30"/>
      <c r="AI160" s="28">
        <v>0</v>
      </c>
      <c r="AJ160" s="31"/>
      <c r="AK160">
        <v>100</v>
      </c>
      <c r="AL160">
        <v>100</v>
      </c>
      <c r="AM160" s="28">
        <v>0</v>
      </c>
      <c r="AN160" s="31"/>
      <c r="AO160" s="30"/>
      <c r="AQ160" s="28">
        <v>0</v>
      </c>
      <c r="AR160" s="31"/>
      <c r="AS160" s="24">
        <v>60</v>
      </c>
      <c r="AT160">
        <v>59</v>
      </c>
      <c r="AU160" s="28">
        <v>1</v>
      </c>
      <c r="AV160" s="31"/>
      <c r="AY160" s="28">
        <v>0</v>
      </c>
      <c r="AZ160" s="31"/>
      <c r="BA160" s="30"/>
      <c r="BE160" s="28">
        <v>0</v>
      </c>
      <c r="BF160" s="31"/>
      <c r="BG160" s="24">
        <v>50</v>
      </c>
      <c r="BH160">
        <v>49</v>
      </c>
      <c r="BI160" s="28">
        <v>1</v>
      </c>
      <c r="BJ160" s="31"/>
      <c r="BO160" s="28">
        <v>0</v>
      </c>
      <c r="BP160" s="31"/>
      <c r="BS160" s="28">
        <v>0</v>
      </c>
      <c r="BT160" s="31"/>
      <c r="BU160" s="24">
        <v>50</v>
      </c>
      <c r="BV160">
        <v>49</v>
      </c>
      <c r="BW160" s="28">
        <v>1</v>
      </c>
      <c r="BX160" s="31"/>
      <c r="BY160" s="30"/>
      <c r="CA160" s="28">
        <v>0</v>
      </c>
      <c r="CB160" s="31"/>
      <c r="CE160" s="28">
        <v>0</v>
      </c>
      <c r="CF160" s="31"/>
      <c r="CG160" s="24">
        <v>30</v>
      </c>
      <c r="CI160">
        <v>35</v>
      </c>
      <c r="CJ160" s="28">
        <v>-5</v>
      </c>
      <c r="CK160" s="31"/>
      <c r="CL160" s="30"/>
      <c r="CP160" s="28">
        <v>0</v>
      </c>
      <c r="CQ160" s="31"/>
      <c r="CR160" s="24">
        <v>30</v>
      </c>
      <c r="CT160">
        <v>34</v>
      </c>
      <c r="CU160" s="28">
        <v>-4</v>
      </c>
      <c r="CV160" s="31"/>
      <c r="CY160" s="28">
        <v>0</v>
      </c>
      <c r="CZ160" s="31"/>
      <c r="DA160" s="33"/>
      <c r="DC160" s="28">
        <v>0</v>
      </c>
      <c r="DD160" s="31"/>
      <c r="DE160" s="24">
        <v>10</v>
      </c>
      <c r="DF160" s="28">
        <v>6</v>
      </c>
      <c r="DG160" s="28">
        <v>4</v>
      </c>
      <c r="DH160" s="31"/>
      <c r="DI160" s="24">
        <v>20</v>
      </c>
      <c r="DJ160">
        <v>18</v>
      </c>
      <c r="DK160" s="28">
        <v>2</v>
      </c>
      <c r="DL160" s="31"/>
      <c r="DM160">
        <v>10</v>
      </c>
      <c r="DN160" s="32">
        <v>14.2</v>
      </c>
      <c r="DO160" s="28">
        <v>-4.1999999999999993</v>
      </c>
      <c r="DP160" s="31"/>
      <c r="DQ160">
        <v>10</v>
      </c>
      <c r="DR160">
        <v>15</v>
      </c>
      <c r="DS160" s="28">
        <v>-5</v>
      </c>
      <c r="DT160" s="31"/>
      <c r="DU160" s="24">
        <v>10</v>
      </c>
      <c r="DW160">
        <v>14</v>
      </c>
      <c r="DX160" s="28">
        <v>-4</v>
      </c>
      <c r="DY160" s="31"/>
      <c r="DZ160" s="24">
        <v>10</v>
      </c>
      <c r="EB160">
        <v>8</v>
      </c>
      <c r="EC160" s="28">
        <v>2</v>
      </c>
      <c r="ED160" s="31"/>
      <c r="EG160" s="28">
        <v>0</v>
      </c>
      <c r="EH160" s="31"/>
      <c r="EI160" s="30"/>
      <c r="EN160" s="28">
        <v>0</v>
      </c>
      <c r="EO160" s="31"/>
      <c r="EP160">
        <v>30</v>
      </c>
      <c r="EQ160" s="32">
        <v>35.4</v>
      </c>
      <c r="ER160" s="28">
        <v>-5.3999999999999986</v>
      </c>
      <c r="ES160" s="31"/>
      <c r="ET160" s="30"/>
      <c r="EX160" s="28">
        <v>0</v>
      </c>
      <c r="EY160" s="31"/>
      <c r="FB160">
        <v>10</v>
      </c>
      <c r="FC160">
        <v>13</v>
      </c>
      <c r="FD160" s="28">
        <v>-3</v>
      </c>
      <c r="FE160" s="31"/>
      <c r="FH160" s="28">
        <v>0</v>
      </c>
      <c r="FI160" s="31"/>
      <c r="FJ160" s="24">
        <v>40</v>
      </c>
      <c r="FK160">
        <v>40</v>
      </c>
      <c r="FL160" s="28">
        <v>0</v>
      </c>
      <c r="FM160" s="31"/>
      <c r="FN160" s="30"/>
      <c r="FP160" s="28">
        <v>0</v>
      </c>
      <c r="FQ160" s="31"/>
      <c r="FT160" s="28">
        <v>0</v>
      </c>
      <c r="FU160" s="31"/>
      <c r="FV160" s="30"/>
      <c r="FX160" s="28">
        <v>0</v>
      </c>
      <c r="FY160" s="31"/>
      <c r="FZ160" s="24">
        <v>10</v>
      </c>
      <c r="GA160">
        <v>10</v>
      </c>
      <c r="GB160" s="28">
        <v>0</v>
      </c>
      <c r="GC160" s="31"/>
      <c r="GF160" s="28">
        <v>0</v>
      </c>
      <c r="GG160" s="34"/>
      <c r="GJ160" s="28">
        <v>0</v>
      </c>
      <c r="GK160" s="31"/>
      <c r="GL160">
        <v>20</v>
      </c>
      <c r="GM160" s="28">
        <v>20</v>
      </c>
      <c r="GN160" s="28">
        <v>0</v>
      </c>
      <c r="GO160" s="34"/>
      <c r="GP160">
        <v>20</v>
      </c>
      <c r="GQ160">
        <v>20</v>
      </c>
      <c r="GR160" s="28">
        <v>0</v>
      </c>
      <c r="GS160" s="31"/>
      <c r="GW160" s="25"/>
      <c r="HA160" s="31"/>
      <c r="HB160" s="24"/>
      <c r="HE160" s="34"/>
      <c r="HI160" s="34"/>
      <c r="HM160" s="34"/>
      <c r="HQ160" s="31"/>
      <c r="HR160" s="29"/>
      <c r="HW160" s="34"/>
      <c r="IA160" s="34"/>
      <c r="IE160" s="34"/>
      <c r="IF160" s="33"/>
      <c r="II160" s="34"/>
    </row>
    <row r="161" spans="1:243" x14ac:dyDescent="0.25">
      <c r="A161" s="28" t="s">
        <v>293</v>
      </c>
      <c r="B161" s="29">
        <v>1</v>
      </c>
      <c r="J161" s="30"/>
      <c r="K161" s="35"/>
      <c r="L161" s="35"/>
      <c r="M161" s="35"/>
      <c r="N161" s="35">
        <f t="shared" si="6"/>
        <v>0</v>
      </c>
      <c r="O161" s="31"/>
      <c r="P161" s="35"/>
      <c r="S161" s="28">
        <v>0</v>
      </c>
      <c r="T161" s="31"/>
      <c r="U161" s="30"/>
      <c r="W161" s="28">
        <v>0</v>
      </c>
      <c r="X161" s="31"/>
      <c r="Y161" s="30"/>
      <c r="AA161" s="28">
        <v>0</v>
      </c>
      <c r="AB161" s="31"/>
      <c r="AE161" s="28">
        <v>0</v>
      </c>
      <c r="AF161" s="31"/>
      <c r="AG161" s="30"/>
      <c r="AI161" s="28">
        <v>0</v>
      </c>
      <c r="AJ161" s="31"/>
      <c r="AM161" s="28">
        <v>0</v>
      </c>
      <c r="AN161" s="31"/>
      <c r="AO161" s="30"/>
      <c r="AQ161" s="28">
        <v>0</v>
      </c>
      <c r="AR161" s="31"/>
      <c r="AS161" s="30"/>
      <c r="AU161" s="28">
        <v>0</v>
      </c>
      <c r="AV161" s="31"/>
      <c r="AY161" s="28">
        <v>0</v>
      </c>
      <c r="AZ161" s="31"/>
      <c r="BA161" s="30"/>
      <c r="BE161" s="28">
        <v>0</v>
      </c>
      <c r="BF161" s="31"/>
      <c r="BG161" s="30"/>
      <c r="BI161" s="28">
        <v>0</v>
      </c>
      <c r="BJ161" s="31"/>
      <c r="BO161" s="28">
        <v>0</v>
      </c>
      <c r="BP161" s="31"/>
      <c r="BS161" s="28">
        <v>0</v>
      </c>
      <c r="BT161" s="31"/>
      <c r="BU161" s="30"/>
      <c r="BW161" s="28">
        <v>0</v>
      </c>
      <c r="BX161" s="31"/>
      <c r="BY161" s="30"/>
      <c r="CA161" s="28">
        <v>0</v>
      </c>
      <c r="CB161" s="31"/>
      <c r="CD161">
        <v>8</v>
      </c>
      <c r="CE161" s="27">
        <v>-8</v>
      </c>
      <c r="CF161" s="31">
        <v>8</v>
      </c>
      <c r="CG161" s="30"/>
      <c r="CJ161" s="28">
        <v>0</v>
      </c>
      <c r="CK161" s="31"/>
      <c r="CL161" s="30"/>
      <c r="CO161">
        <v>33</v>
      </c>
      <c r="CP161" s="27">
        <v>-33</v>
      </c>
      <c r="CQ161" s="31">
        <v>33</v>
      </c>
      <c r="CR161" s="30"/>
      <c r="CU161" s="28">
        <v>0</v>
      </c>
      <c r="CV161" s="31"/>
      <c r="CY161" s="28">
        <v>0</v>
      </c>
      <c r="CZ161" s="31"/>
      <c r="DA161" s="24">
        <v>24</v>
      </c>
      <c r="DB161" s="28">
        <v>24.22</v>
      </c>
      <c r="DC161" s="28">
        <v>-0.21999999999999889</v>
      </c>
      <c r="DD161" s="31"/>
      <c r="DE161" s="30"/>
      <c r="DF161" s="28">
        <v>50.449800000000003</v>
      </c>
      <c r="DG161" s="27">
        <v>-50.449800000000003</v>
      </c>
      <c r="DH161" s="31">
        <v>50.449800000000003</v>
      </c>
      <c r="DI161" s="30"/>
      <c r="DK161" s="28">
        <v>0</v>
      </c>
      <c r="DL161" s="31"/>
      <c r="DM161">
        <v>41</v>
      </c>
      <c r="DN161" s="32">
        <v>39.878</v>
      </c>
      <c r="DO161" s="28">
        <v>1.1220000000000001</v>
      </c>
      <c r="DP161" s="31"/>
      <c r="DR161">
        <v>4</v>
      </c>
      <c r="DS161" s="27">
        <v>-4</v>
      </c>
      <c r="DT161" s="31">
        <v>4</v>
      </c>
      <c r="DU161" s="30"/>
      <c r="DX161" s="28">
        <v>0</v>
      </c>
      <c r="DY161" s="31"/>
      <c r="DZ161" s="30"/>
      <c r="EC161" s="28">
        <v>0</v>
      </c>
      <c r="ED161" s="31"/>
      <c r="EE161">
        <v>32</v>
      </c>
      <c r="EF161" s="32">
        <v>31.859200000000001</v>
      </c>
      <c r="EG161" s="28">
        <v>0.1407999999999987</v>
      </c>
      <c r="EH161" s="31"/>
      <c r="EI161" s="30"/>
      <c r="EN161" s="28">
        <v>0</v>
      </c>
      <c r="EO161" s="31"/>
      <c r="EP161">
        <v>20</v>
      </c>
      <c r="EQ161" s="32">
        <v>21.08919999999998</v>
      </c>
      <c r="ER161" s="28">
        <v>-1.08919999999998</v>
      </c>
      <c r="ES161" s="31"/>
      <c r="ET161" s="30"/>
      <c r="EV161">
        <v>16</v>
      </c>
      <c r="EW161">
        <v>14</v>
      </c>
      <c r="EX161" s="28">
        <v>2</v>
      </c>
      <c r="EY161" s="31"/>
      <c r="EZ161">
        <v>33</v>
      </c>
      <c r="FA161">
        <v>30</v>
      </c>
      <c r="FB161">
        <v>32</v>
      </c>
      <c r="FC161">
        <v>30</v>
      </c>
      <c r="FD161" s="28">
        <v>5</v>
      </c>
      <c r="FE161" s="31"/>
      <c r="FH161" s="28">
        <v>0</v>
      </c>
      <c r="FI161" s="31"/>
      <c r="FJ161" s="30"/>
      <c r="FL161" s="28">
        <v>0</v>
      </c>
      <c r="FM161" s="31"/>
      <c r="FN161" s="24">
        <v>49</v>
      </c>
      <c r="FO161" s="28">
        <v>50</v>
      </c>
      <c r="FP161" s="28">
        <v>-1</v>
      </c>
      <c r="FQ161" s="31"/>
      <c r="FT161" s="28">
        <v>0</v>
      </c>
      <c r="FU161" s="31"/>
      <c r="FV161" s="30"/>
      <c r="FX161" s="28">
        <v>0</v>
      </c>
      <c r="FY161" s="31"/>
      <c r="FZ161" s="30"/>
      <c r="GC161" s="31"/>
      <c r="GG161" s="34"/>
      <c r="GK161" s="31"/>
      <c r="GO161" s="34"/>
      <c r="GS161" s="31"/>
      <c r="GW161" s="25"/>
      <c r="HA161" s="31"/>
      <c r="HB161" s="24"/>
      <c r="HE161" s="34"/>
      <c r="HF161" s="32"/>
      <c r="HI161" s="34"/>
      <c r="HM161" s="34"/>
      <c r="HQ161" s="31"/>
      <c r="HR161" s="29"/>
      <c r="HW161" s="34"/>
      <c r="IA161" s="34"/>
      <c r="IE161" s="34"/>
      <c r="IF161" s="33"/>
      <c r="II161" s="34"/>
    </row>
    <row r="162" spans="1:243" x14ac:dyDescent="0.25">
      <c r="A162" s="28" t="s">
        <v>294</v>
      </c>
      <c r="B162" s="29">
        <v>0.4</v>
      </c>
      <c r="J162" s="30"/>
      <c r="K162" s="35"/>
      <c r="L162" s="35"/>
      <c r="M162" s="35"/>
      <c r="N162" s="35">
        <f t="shared" si="6"/>
        <v>0</v>
      </c>
      <c r="O162" s="31"/>
      <c r="P162" s="35"/>
      <c r="R162">
        <v>16</v>
      </c>
      <c r="S162" s="27">
        <v>-16</v>
      </c>
      <c r="T162" s="31">
        <v>6.4</v>
      </c>
      <c r="U162" s="30"/>
      <c r="V162">
        <v>32</v>
      </c>
      <c r="W162" s="27">
        <v>-32</v>
      </c>
      <c r="X162" s="31">
        <v>12.8</v>
      </c>
      <c r="Y162" s="30"/>
      <c r="Z162">
        <v>8</v>
      </c>
      <c r="AA162" s="27">
        <v>-8</v>
      </c>
      <c r="AB162" s="31">
        <v>3.2</v>
      </c>
      <c r="AD162">
        <v>35</v>
      </c>
      <c r="AE162" s="27">
        <v>-35</v>
      </c>
      <c r="AF162" s="31">
        <v>14</v>
      </c>
      <c r="AG162" s="30"/>
      <c r="AH162">
        <v>38</v>
      </c>
      <c r="AI162" s="27">
        <v>-38</v>
      </c>
      <c r="AJ162" s="31">
        <v>15.2</v>
      </c>
      <c r="AK162">
        <v>16</v>
      </c>
      <c r="AL162">
        <v>15</v>
      </c>
      <c r="AM162" s="28">
        <v>1</v>
      </c>
      <c r="AN162" s="31"/>
      <c r="AO162" s="30"/>
      <c r="AQ162" s="28">
        <v>0</v>
      </c>
      <c r="AR162" s="31"/>
      <c r="AS162" s="24">
        <v>32</v>
      </c>
      <c r="AT162">
        <v>30</v>
      </c>
      <c r="AU162" s="28">
        <v>2</v>
      </c>
      <c r="AV162" s="31"/>
      <c r="AY162" s="28">
        <v>0</v>
      </c>
      <c r="AZ162" s="31"/>
      <c r="BA162" s="30"/>
      <c r="BC162">
        <v>8</v>
      </c>
      <c r="BD162">
        <v>8</v>
      </c>
      <c r="BE162" s="28">
        <v>0</v>
      </c>
      <c r="BF162" s="31"/>
      <c r="BG162" s="24">
        <v>16</v>
      </c>
      <c r="BH162">
        <v>18</v>
      </c>
      <c r="BI162" s="28">
        <v>-2</v>
      </c>
      <c r="BJ162" s="31"/>
      <c r="BO162" s="28">
        <v>0</v>
      </c>
      <c r="BP162" s="31"/>
      <c r="BQ162">
        <v>8</v>
      </c>
      <c r="BR162">
        <v>9</v>
      </c>
      <c r="BS162" s="28">
        <v>-1</v>
      </c>
      <c r="BT162" s="31"/>
      <c r="BU162" s="30"/>
      <c r="BW162" s="28">
        <v>0</v>
      </c>
      <c r="BX162" s="31"/>
      <c r="BY162" s="24">
        <v>8</v>
      </c>
      <c r="BZ162">
        <v>8</v>
      </c>
      <c r="CA162" s="28">
        <v>0</v>
      </c>
      <c r="CB162" s="31"/>
      <c r="CE162" s="28">
        <v>0</v>
      </c>
      <c r="CF162" s="31"/>
      <c r="CG162" s="30"/>
      <c r="CJ162" s="28">
        <v>0</v>
      </c>
      <c r="CK162" s="31"/>
      <c r="CL162" s="30"/>
      <c r="CN162">
        <v>8</v>
      </c>
      <c r="CO162">
        <v>12</v>
      </c>
      <c r="CP162" s="28">
        <v>-4</v>
      </c>
      <c r="CQ162" s="31"/>
      <c r="CR162" s="24">
        <v>8</v>
      </c>
      <c r="CT162">
        <v>8</v>
      </c>
      <c r="CU162" s="28">
        <v>0</v>
      </c>
      <c r="CV162" s="31"/>
      <c r="CW162">
        <v>8</v>
      </c>
      <c r="CX162" s="28">
        <v>10.8</v>
      </c>
      <c r="CY162" s="28">
        <v>-2.8000000000000012</v>
      </c>
      <c r="CZ162" s="31"/>
      <c r="DA162" s="33"/>
      <c r="DC162" s="28">
        <v>0</v>
      </c>
      <c r="DD162" s="31"/>
      <c r="DE162" s="24">
        <v>8</v>
      </c>
      <c r="DF162" s="28">
        <v>7.4</v>
      </c>
      <c r="DG162" s="28">
        <v>0.59999999999999964</v>
      </c>
      <c r="DH162" s="31"/>
      <c r="DI162" s="30"/>
      <c r="DK162" s="28">
        <v>0</v>
      </c>
      <c r="DL162" s="31"/>
      <c r="DO162" s="28">
        <v>0</v>
      </c>
      <c r="DP162" s="31"/>
      <c r="DQ162">
        <v>8</v>
      </c>
      <c r="DR162">
        <v>8</v>
      </c>
      <c r="DS162" s="28">
        <v>0</v>
      </c>
      <c r="DT162" s="31"/>
      <c r="DU162" s="30"/>
      <c r="DX162" s="28">
        <v>0</v>
      </c>
      <c r="DY162" s="31"/>
      <c r="DZ162" s="24">
        <v>8</v>
      </c>
      <c r="EB162">
        <v>12</v>
      </c>
      <c r="EC162" s="28">
        <v>-4</v>
      </c>
      <c r="ED162" s="31"/>
      <c r="EG162" s="28">
        <v>0</v>
      </c>
      <c r="EH162" s="31"/>
      <c r="EI162" s="30"/>
      <c r="EL162">
        <v>8</v>
      </c>
      <c r="EM162">
        <v>6</v>
      </c>
      <c r="EN162" s="28">
        <v>2</v>
      </c>
      <c r="EO162" s="31"/>
      <c r="ER162" s="28">
        <v>0</v>
      </c>
      <c r="ES162" s="31"/>
      <c r="ET162" s="30"/>
      <c r="EX162" s="28">
        <v>0</v>
      </c>
      <c r="EY162" s="31"/>
      <c r="FD162" s="28">
        <v>0</v>
      </c>
      <c r="FE162" s="31"/>
      <c r="FH162" s="28">
        <v>0</v>
      </c>
      <c r="FI162" s="31"/>
      <c r="FJ162" s="30"/>
      <c r="FL162" s="28">
        <v>0</v>
      </c>
      <c r="FM162" s="31"/>
      <c r="FN162" s="24">
        <v>16</v>
      </c>
      <c r="FO162">
        <v>16</v>
      </c>
      <c r="FP162" s="28">
        <v>0</v>
      </c>
      <c r="FQ162" s="31"/>
      <c r="FR162">
        <v>32</v>
      </c>
      <c r="FS162" s="28">
        <v>32</v>
      </c>
      <c r="FT162" s="28">
        <v>0</v>
      </c>
      <c r="FU162" s="31"/>
      <c r="FV162" s="30"/>
      <c r="FX162" s="28">
        <v>0</v>
      </c>
      <c r="FY162" s="31"/>
      <c r="FZ162" s="30"/>
      <c r="GC162" s="31"/>
      <c r="GG162" s="34"/>
      <c r="GK162" s="31"/>
      <c r="GO162" s="34"/>
      <c r="GS162" s="31"/>
      <c r="GW162" s="25"/>
      <c r="HA162" s="31"/>
      <c r="HB162" s="24"/>
      <c r="HE162" s="34"/>
      <c r="HI162" s="34"/>
      <c r="HM162" s="34"/>
      <c r="HQ162" s="31"/>
      <c r="HR162" s="29"/>
      <c r="HW162" s="34"/>
      <c r="IA162" s="34"/>
      <c r="IE162" s="34"/>
      <c r="IF162" s="33"/>
      <c r="II162" s="34"/>
    </row>
    <row r="163" spans="1:243" x14ac:dyDescent="0.25">
      <c r="A163" s="28" t="s">
        <v>295</v>
      </c>
      <c r="B163" s="29">
        <v>1</v>
      </c>
      <c r="J163" s="30"/>
      <c r="K163" s="35"/>
      <c r="L163" s="35"/>
      <c r="M163" s="35"/>
      <c r="N163" s="35">
        <f t="shared" si="6"/>
        <v>0</v>
      </c>
      <c r="O163" s="31"/>
      <c r="P163" s="35"/>
      <c r="S163" s="28">
        <v>0</v>
      </c>
      <c r="T163" s="31"/>
      <c r="U163" s="30"/>
      <c r="W163" s="28">
        <v>0</v>
      </c>
      <c r="X163" s="31"/>
      <c r="Y163" s="30"/>
      <c r="AA163" s="28">
        <v>0</v>
      </c>
      <c r="AB163" s="31"/>
      <c r="AE163" s="28">
        <v>0</v>
      </c>
      <c r="AF163" s="31"/>
      <c r="AG163" s="30"/>
      <c r="AI163" s="28">
        <v>0</v>
      </c>
      <c r="AJ163" s="31"/>
      <c r="AM163" s="28">
        <v>0</v>
      </c>
      <c r="AN163" s="31"/>
      <c r="AO163" s="30"/>
      <c r="AQ163" s="28">
        <v>0</v>
      </c>
      <c r="AR163" s="31"/>
      <c r="AS163" s="30"/>
      <c r="AU163" s="28">
        <v>0</v>
      </c>
      <c r="AV163" s="31"/>
      <c r="AY163" s="28">
        <v>0</v>
      </c>
      <c r="AZ163" s="31"/>
      <c r="BA163" s="30"/>
      <c r="BE163" s="28">
        <v>0</v>
      </c>
      <c r="BF163" s="31"/>
      <c r="BG163" s="30"/>
      <c r="BI163" s="28">
        <v>0</v>
      </c>
      <c r="BJ163" s="31"/>
      <c r="BO163" s="28">
        <v>0</v>
      </c>
      <c r="BP163" s="31"/>
      <c r="BS163" s="28">
        <v>0</v>
      </c>
      <c r="BT163" s="31"/>
      <c r="BU163" s="30"/>
      <c r="BW163" s="28">
        <v>0</v>
      </c>
      <c r="BX163" s="31"/>
      <c r="BY163" s="30"/>
      <c r="CA163" s="28">
        <v>0</v>
      </c>
      <c r="CB163" s="31"/>
      <c r="CE163" s="28">
        <v>0</v>
      </c>
      <c r="CF163" s="31"/>
      <c r="CG163" s="30"/>
      <c r="CJ163" s="28">
        <v>0</v>
      </c>
      <c r="CK163" s="31"/>
      <c r="CL163" s="30"/>
      <c r="CP163" s="28">
        <v>0</v>
      </c>
      <c r="CQ163" s="31"/>
      <c r="CR163" s="30"/>
      <c r="CU163" s="28">
        <v>0</v>
      </c>
      <c r="CV163" s="31"/>
      <c r="CY163" s="28">
        <v>0</v>
      </c>
      <c r="CZ163" s="31"/>
      <c r="DA163" s="33"/>
      <c r="DC163" s="28">
        <v>0</v>
      </c>
      <c r="DD163" s="31"/>
      <c r="DE163" s="30"/>
      <c r="DG163" s="28">
        <v>0</v>
      </c>
      <c r="DH163" s="31"/>
      <c r="DI163" s="30"/>
      <c r="DK163" s="28">
        <v>0</v>
      </c>
      <c r="DL163" s="31"/>
      <c r="DO163" s="28">
        <v>0</v>
      </c>
      <c r="DP163" s="31"/>
      <c r="DS163" s="28">
        <v>0</v>
      </c>
      <c r="DT163" s="31"/>
      <c r="DU163" s="30"/>
      <c r="DX163" s="28">
        <v>0</v>
      </c>
      <c r="DY163" s="31"/>
      <c r="DZ163" s="30"/>
      <c r="EC163" s="28">
        <v>0</v>
      </c>
      <c r="ED163" s="31"/>
      <c r="EG163" s="28">
        <v>0</v>
      </c>
      <c r="EH163" s="31"/>
      <c r="EI163" s="30"/>
      <c r="EN163" s="28">
        <v>0</v>
      </c>
      <c r="EO163" s="31"/>
      <c r="ER163" s="28">
        <v>0</v>
      </c>
      <c r="ES163" s="31"/>
      <c r="ET163" s="30"/>
      <c r="EX163" s="28">
        <v>0</v>
      </c>
      <c r="EY163" s="31"/>
      <c r="FD163" s="28">
        <v>0</v>
      </c>
      <c r="FE163" s="31"/>
      <c r="FH163" s="28">
        <v>0</v>
      </c>
      <c r="FI163" s="31"/>
      <c r="FJ163" s="24">
        <v>5</v>
      </c>
      <c r="FK163">
        <v>4</v>
      </c>
      <c r="FL163" s="28">
        <v>1</v>
      </c>
      <c r="FM163" s="31"/>
      <c r="FN163" s="24">
        <v>10</v>
      </c>
      <c r="FO163">
        <v>8</v>
      </c>
      <c r="FP163" s="28">
        <v>2</v>
      </c>
      <c r="FQ163" s="31"/>
      <c r="FT163" s="28">
        <v>0</v>
      </c>
      <c r="FU163" s="31"/>
      <c r="FV163" s="30"/>
      <c r="FX163" s="28">
        <v>0</v>
      </c>
      <c r="FY163" s="31"/>
      <c r="FZ163" s="30"/>
      <c r="GC163" s="31"/>
      <c r="GG163" s="34"/>
      <c r="GK163" s="31"/>
      <c r="GO163" s="34"/>
      <c r="GP163" s="29"/>
      <c r="GS163" s="31"/>
      <c r="GW163" s="25"/>
      <c r="HA163" s="31"/>
      <c r="HB163" s="24"/>
      <c r="HE163" s="34"/>
      <c r="HF163" s="32"/>
      <c r="HI163" s="34"/>
      <c r="HM163" s="34"/>
      <c r="HQ163" s="31"/>
      <c r="HR163" s="29"/>
      <c r="HW163" s="34"/>
      <c r="IA163" s="34"/>
      <c r="IE163" s="34"/>
      <c r="IF163" s="33"/>
      <c r="II163" s="34"/>
    </row>
    <row r="164" spans="1:243" x14ac:dyDescent="0.25">
      <c r="A164" s="28" t="s">
        <v>296</v>
      </c>
      <c r="B164" s="29">
        <v>0.84</v>
      </c>
      <c r="J164" s="30"/>
      <c r="K164" s="35"/>
      <c r="L164" s="35"/>
      <c r="M164" s="35"/>
      <c r="N164" s="35">
        <f t="shared" si="6"/>
        <v>0</v>
      </c>
      <c r="O164" s="31"/>
      <c r="P164" s="35"/>
      <c r="S164" s="28">
        <v>0</v>
      </c>
      <c r="T164" s="31"/>
      <c r="U164" s="30"/>
      <c r="W164" s="28">
        <v>0</v>
      </c>
      <c r="X164" s="31"/>
      <c r="Y164" s="30"/>
      <c r="AA164" s="28">
        <v>0</v>
      </c>
      <c r="AB164" s="31"/>
      <c r="AE164" s="28">
        <v>0</v>
      </c>
      <c r="AF164" s="31"/>
      <c r="AG164" s="30"/>
      <c r="AI164" s="28">
        <v>0</v>
      </c>
      <c r="AJ164" s="31"/>
      <c r="AM164" s="28">
        <v>0</v>
      </c>
      <c r="AN164" s="31"/>
      <c r="AO164" s="30"/>
      <c r="AQ164" s="28">
        <v>0</v>
      </c>
      <c r="AR164" s="31"/>
      <c r="AS164" s="30"/>
      <c r="AU164" s="28">
        <v>0</v>
      </c>
      <c r="AV164" s="31"/>
      <c r="AY164" s="28">
        <v>0</v>
      </c>
      <c r="AZ164" s="31"/>
      <c r="BA164" s="30"/>
      <c r="BE164" s="28">
        <v>0</v>
      </c>
      <c r="BF164" s="31"/>
      <c r="BG164" s="30"/>
      <c r="BI164" s="28">
        <v>0</v>
      </c>
      <c r="BJ164" s="31"/>
      <c r="BO164" s="28">
        <v>0</v>
      </c>
      <c r="BP164" s="31"/>
      <c r="BS164" s="28">
        <v>0</v>
      </c>
      <c r="BT164" s="31"/>
      <c r="BU164" s="30"/>
      <c r="BW164" s="28">
        <v>0</v>
      </c>
      <c r="BX164" s="31"/>
      <c r="BY164" s="30"/>
      <c r="CA164" s="28">
        <v>0</v>
      </c>
      <c r="CB164" s="31"/>
      <c r="CE164" s="28">
        <v>0</v>
      </c>
      <c r="CF164" s="31"/>
      <c r="CG164" s="30"/>
      <c r="CJ164" s="28">
        <v>0</v>
      </c>
      <c r="CK164" s="31"/>
      <c r="CL164" s="30"/>
      <c r="CP164" s="28">
        <v>0</v>
      </c>
      <c r="CQ164" s="31"/>
      <c r="CR164" s="30"/>
      <c r="CU164" s="28">
        <v>0</v>
      </c>
      <c r="CV164" s="31"/>
      <c r="CY164" s="28">
        <v>0</v>
      </c>
      <c r="CZ164" s="31"/>
      <c r="DA164" s="33"/>
      <c r="DC164" s="28">
        <v>0</v>
      </c>
      <c r="DD164" s="31"/>
      <c r="DE164" s="30"/>
      <c r="DG164" s="28">
        <v>0</v>
      </c>
      <c r="DH164" s="31"/>
      <c r="DI164" s="30"/>
      <c r="DK164" s="28">
        <v>0</v>
      </c>
      <c r="DL164" s="31"/>
      <c r="DO164" s="28">
        <v>0</v>
      </c>
      <c r="DP164" s="31"/>
      <c r="DS164" s="28">
        <v>0</v>
      </c>
      <c r="DT164" s="31"/>
      <c r="DU164" s="30"/>
      <c r="DX164" s="28">
        <v>0</v>
      </c>
      <c r="DY164" s="31"/>
      <c r="DZ164" s="30"/>
      <c r="EC164" s="28">
        <v>0</v>
      </c>
      <c r="ED164" s="31"/>
      <c r="EG164" s="28">
        <v>0</v>
      </c>
      <c r="EH164" s="31"/>
      <c r="EI164" s="30"/>
      <c r="EN164" s="28">
        <v>0</v>
      </c>
      <c r="EO164" s="31"/>
      <c r="ER164" s="28">
        <v>0</v>
      </c>
      <c r="ES164" s="31"/>
      <c r="ET164" s="30"/>
      <c r="EW164">
        <v>6</v>
      </c>
      <c r="EX164" s="27">
        <v>-6</v>
      </c>
      <c r="EY164" s="31">
        <v>5.04</v>
      </c>
      <c r="FC164">
        <v>6</v>
      </c>
      <c r="FD164" s="27">
        <v>-6</v>
      </c>
      <c r="FE164" s="31">
        <v>5.04</v>
      </c>
      <c r="FG164" s="32">
        <v>6</v>
      </c>
      <c r="FH164" s="27">
        <v>-6</v>
      </c>
      <c r="FI164" s="31">
        <v>5.04</v>
      </c>
      <c r="FJ164" s="30"/>
      <c r="FL164" s="28">
        <v>0</v>
      </c>
      <c r="FM164" s="31"/>
      <c r="FN164" s="30"/>
      <c r="FP164" s="28">
        <v>0</v>
      </c>
      <c r="FQ164" s="31"/>
      <c r="FU164" s="31"/>
      <c r="FV164" s="30"/>
      <c r="FY164" s="31"/>
      <c r="FZ164" s="30"/>
      <c r="GC164" s="31"/>
      <c r="GG164" s="34"/>
      <c r="GK164" s="31"/>
      <c r="GO164" s="34"/>
      <c r="GP164" s="29"/>
      <c r="GS164" s="31"/>
      <c r="GW164" s="25"/>
      <c r="HA164" s="31"/>
      <c r="HB164" s="24"/>
      <c r="HE164" s="34"/>
      <c r="HF164" s="32"/>
      <c r="HI164" s="34"/>
      <c r="HM164" s="34"/>
      <c r="HQ164" s="31"/>
      <c r="HR164" s="29"/>
      <c r="HW164" s="34"/>
      <c r="IA164" s="34"/>
      <c r="IE164" s="34"/>
      <c r="IF164" s="33"/>
      <c r="II164" s="34"/>
    </row>
    <row r="165" spans="1:243" x14ac:dyDescent="0.25">
      <c r="A165" s="28" t="s">
        <v>297</v>
      </c>
      <c r="B165" s="29">
        <v>0.84</v>
      </c>
      <c r="J165" s="30"/>
      <c r="K165" s="35"/>
      <c r="L165" s="35"/>
      <c r="M165" s="35"/>
      <c r="N165" s="35">
        <f t="shared" si="6"/>
        <v>0</v>
      </c>
      <c r="O165" s="31"/>
      <c r="P165" s="35"/>
      <c r="S165" s="28">
        <v>0</v>
      </c>
      <c r="T165" s="31"/>
      <c r="U165" s="30"/>
      <c r="W165" s="28">
        <v>0</v>
      </c>
      <c r="X165" s="31"/>
      <c r="Y165" s="30"/>
      <c r="AA165" s="28">
        <v>0</v>
      </c>
      <c r="AB165" s="31"/>
      <c r="AE165" s="28">
        <v>0</v>
      </c>
      <c r="AF165" s="31"/>
      <c r="AG165" s="30"/>
      <c r="AI165" s="28">
        <v>0</v>
      </c>
      <c r="AJ165" s="31"/>
      <c r="AM165" s="28">
        <v>0</v>
      </c>
      <c r="AN165" s="31"/>
      <c r="AO165" s="30"/>
      <c r="AQ165" s="28">
        <v>0</v>
      </c>
      <c r="AR165" s="31"/>
      <c r="AS165" s="30"/>
      <c r="AU165" s="28">
        <v>0</v>
      </c>
      <c r="AV165" s="31"/>
      <c r="AY165" s="28">
        <v>0</v>
      </c>
      <c r="AZ165" s="31"/>
      <c r="BA165" s="30"/>
      <c r="BE165" s="28">
        <v>0</v>
      </c>
      <c r="BF165" s="31"/>
      <c r="BG165" s="30"/>
      <c r="BI165" s="28">
        <v>0</v>
      </c>
      <c r="BJ165" s="31"/>
      <c r="BO165" s="28">
        <v>0</v>
      </c>
      <c r="BP165" s="31"/>
      <c r="BS165" s="28">
        <v>0</v>
      </c>
      <c r="BT165" s="31"/>
      <c r="BU165" s="30"/>
      <c r="BW165" s="28">
        <v>0</v>
      </c>
      <c r="BX165" s="31"/>
      <c r="BY165" s="30"/>
      <c r="CA165" s="28">
        <v>0</v>
      </c>
      <c r="CB165" s="31"/>
      <c r="CE165" s="28">
        <v>0</v>
      </c>
      <c r="CF165" s="31"/>
      <c r="CG165" s="30"/>
      <c r="CJ165" s="28">
        <v>0</v>
      </c>
      <c r="CK165" s="31"/>
      <c r="CL165" s="30"/>
      <c r="CP165" s="28">
        <v>0</v>
      </c>
      <c r="CQ165" s="31"/>
      <c r="CR165" s="30"/>
      <c r="CU165" s="28">
        <v>0</v>
      </c>
      <c r="CV165" s="31"/>
      <c r="CY165" s="28">
        <v>0</v>
      </c>
      <c r="CZ165" s="31"/>
      <c r="DA165" s="33"/>
      <c r="DC165" s="28">
        <v>0</v>
      </c>
      <c r="DD165" s="31"/>
      <c r="DE165" s="30"/>
      <c r="DG165" s="28">
        <v>0</v>
      </c>
      <c r="DH165" s="31"/>
      <c r="DI165" s="30"/>
      <c r="DK165" s="28">
        <v>0</v>
      </c>
      <c r="DL165" s="31"/>
      <c r="DO165" s="28">
        <v>0</v>
      </c>
      <c r="DP165" s="31"/>
      <c r="DS165" s="28">
        <v>0</v>
      </c>
      <c r="DT165" s="31"/>
      <c r="DU165" s="30"/>
      <c r="DX165" s="28">
        <v>0</v>
      </c>
      <c r="DY165" s="31"/>
      <c r="DZ165" s="30"/>
      <c r="EC165" s="28">
        <v>0</v>
      </c>
      <c r="ED165" s="31"/>
      <c r="EG165" s="28">
        <v>0</v>
      </c>
      <c r="EH165" s="31"/>
      <c r="EI165" s="30"/>
      <c r="EN165" s="28">
        <v>0</v>
      </c>
      <c r="EO165" s="31"/>
      <c r="ER165" s="28">
        <v>0</v>
      </c>
      <c r="ES165" s="31"/>
      <c r="ET165" s="30"/>
      <c r="EX165" s="28">
        <v>0</v>
      </c>
      <c r="EY165" s="31"/>
      <c r="FD165" s="28">
        <v>0</v>
      </c>
      <c r="FE165" s="31"/>
      <c r="FH165" s="28">
        <v>0</v>
      </c>
      <c r="FI165" s="31"/>
      <c r="FJ165" s="30"/>
      <c r="FL165" s="28">
        <v>0</v>
      </c>
      <c r="FM165" s="31"/>
      <c r="FN165" s="30"/>
      <c r="FP165" s="28">
        <v>0</v>
      </c>
      <c r="FQ165" s="31"/>
      <c r="FR165" s="28">
        <v>12</v>
      </c>
      <c r="FS165" s="28">
        <v>15</v>
      </c>
      <c r="FT165" s="28">
        <v>-3</v>
      </c>
      <c r="FU165" s="31"/>
      <c r="FV165" s="30"/>
      <c r="FX165" s="28">
        <v>0</v>
      </c>
      <c r="FY165" s="31"/>
      <c r="FZ165" s="30"/>
      <c r="GC165" s="31"/>
      <c r="GG165" s="34"/>
      <c r="GK165" s="31"/>
      <c r="GO165" s="34"/>
      <c r="GS165" s="31"/>
      <c r="GW165" s="25"/>
      <c r="HA165" s="31"/>
      <c r="HB165" s="24"/>
      <c r="HE165" s="34"/>
      <c r="HI165" s="34"/>
      <c r="HM165" s="34"/>
      <c r="HQ165" s="31"/>
      <c r="HR165" s="29"/>
      <c r="HW165" s="34"/>
      <c r="IA165" s="34"/>
      <c r="IE165" s="34"/>
      <c r="IF165" s="33"/>
      <c r="II165" s="34"/>
    </row>
    <row r="166" spans="1:243" x14ac:dyDescent="0.25">
      <c r="A166" s="28" t="s">
        <v>298</v>
      </c>
      <c r="B166" s="29">
        <v>0.35</v>
      </c>
      <c r="J166" s="24">
        <v>56</v>
      </c>
      <c r="K166" s="36">
        <v>60</v>
      </c>
      <c r="L166" s="36">
        <v>136</v>
      </c>
      <c r="M166" s="36">
        <v>142</v>
      </c>
      <c r="N166" s="35">
        <f t="shared" si="6"/>
        <v>-10</v>
      </c>
      <c r="O166" s="31"/>
      <c r="P166" s="35"/>
      <c r="Q166">
        <v>264</v>
      </c>
      <c r="R166">
        <v>265</v>
      </c>
      <c r="S166" s="28">
        <v>-1</v>
      </c>
      <c r="T166" s="31"/>
      <c r="U166" s="30"/>
      <c r="W166" s="28">
        <v>0</v>
      </c>
      <c r="X166" s="31"/>
      <c r="Y166" s="24">
        <v>168</v>
      </c>
      <c r="Z166">
        <v>172</v>
      </c>
      <c r="AA166" s="28">
        <v>-4</v>
      </c>
      <c r="AB166" s="31"/>
      <c r="AC166">
        <v>208</v>
      </c>
      <c r="AD166">
        <v>212</v>
      </c>
      <c r="AE166" s="28">
        <v>-4</v>
      </c>
      <c r="AF166" s="31"/>
      <c r="AG166" s="24">
        <v>16</v>
      </c>
      <c r="AH166">
        <v>20</v>
      </c>
      <c r="AI166" s="28">
        <v>-4</v>
      </c>
      <c r="AJ166" s="31"/>
      <c r="AK166">
        <v>216</v>
      </c>
      <c r="AL166">
        <v>220</v>
      </c>
      <c r="AM166" s="28">
        <v>-4</v>
      </c>
      <c r="AN166" s="31"/>
      <c r="AO166" s="24">
        <v>8</v>
      </c>
      <c r="AP166">
        <v>11</v>
      </c>
      <c r="AQ166" s="28">
        <v>-3</v>
      </c>
      <c r="AR166" s="31"/>
      <c r="AS166" s="24">
        <v>200</v>
      </c>
      <c r="AT166">
        <v>200</v>
      </c>
      <c r="AU166" s="28">
        <v>0</v>
      </c>
      <c r="AV166" s="31"/>
      <c r="AY166" s="28">
        <v>0</v>
      </c>
      <c r="AZ166" s="31"/>
      <c r="BA166" s="24">
        <v>56</v>
      </c>
      <c r="BB166">
        <v>60</v>
      </c>
      <c r="BC166">
        <v>56</v>
      </c>
      <c r="BD166">
        <v>68</v>
      </c>
      <c r="BE166" s="27">
        <v>-16</v>
      </c>
      <c r="BF166" s="31">
        <v>15.65</v>
      </c>
      <c r="BG166" s="24">
        <v>96</v>
      </c>
      <c r="BH166">
        <v>101</v>
      </c>
      <c r="BI166" s="28">
        <v>-5</v>
      </c>
      <c r="BJ166" s="31"/>
      <c r="BM166">
        <v>64</v>
      </c>
      <c r="BN166">
        <v>62</v>
      </c>
      <c r="BO166" s="28">
        <v>2</v>
      </c>
      <c r="BP166" s="31"/>
      <c r="BS166" s="28">
        <v>0</v>
      </c>
      <c r="BT166" s="31"/>
      <c r="BU166" s="24">
        <v>120</v>
      </c>
      <c r="BV166">
        <v>123</v>
      </c>
      <c r="BW166" s="28">
        <v>-3</v>
      </c>
      <c r="BX166" s="31"/>
      <c r="BY166" s="24">
        <v>32</v>
      </c>
      <c r="BZ166">
        <v>34</v>
      </c>
      <c r="CA166" s="28">
        <v>-2</v>
      </c>
      <c r="CB166" s="31"/>
      <c r="CE166" s="28">
        <v>0</v>
      </c>
      <c r="CF166" s="31"/>
      <c r="CG166" s="30"/>
      <c r="CJ166" s="28">
        <v>0</v>
      </c>
      <c r="CK166" s="31"/>
      <c r="CL166" s="30"/>
      <c r="CN166">
        <v>56</v>
      </c>
      <c r="CO166">
        <v>57</v>
      </c>
      <c r="CP166" s="28">
        <v>-1</v>
      </c>
      <c r="CQ166" s="31"/>
      <c r="CR166" s="24">
        <v>128</v>
      </c>
      <c r="CT166">
        <v>126</v>
      </c>
      <c r="CU166" s="28">
        <v>2</v>
      </c>
      <c r="CV166" s="31"/>
      <c r="CW166">
        <v>72</v>
      </c>
      <c r="CX166" s="28">
        <v>73.200000000000017</v>
      </c>
      <c r="CY166" s="28">
        <v>-1.2000000000000171</v>
      </c>
      <c r="CZ166" s="31"/>
      <c r="DA166" s="24">
        <v>32</v>
      </c>
      <c r="DB166" s="28">
        <v>32</v>
      </c>
      <c r="DC166" s="28">
        <v>0</v>
      </c>
      <c r="DD166" s="31"/>
      <c r="DE166" s="24">
        <v>48</v>
      </c>
      <c r="DF166" s="28">
        <v>48.400000000000013</v>
      </c>
      <c r="DG166" s="28">
        <v>-0.40000000000001279</v>
      </c>
      <c r="DH166" s="31"/>
      <c r="DI166" s="24">
        <v>48</v>
      </c>
      <c r="DJ166">
        <v>47</v>
      </c>
      <c r="DK166" s="28">
        <v>1</v>
      </c>
      <c r="DL166" s="31"/>
      <c r="DM166">
        <v>64</v>
      </c>
      <c r="DN166" s="32">
        <v>62.599999999999987</v>
      </c>
      <c r="DO166" s="28">
        <v>1.400000000000013</v>
      </c>
      <c r="DP166" s="31"/>
      <c r="DQ166">
        <v>40</v>
      </c>
      <c r="DR166">
        <v>45</v>
      </c>
      <c r="DS166" s="28">
        <v>-5</v>
      </c>
      <c r="DT166" s="31"/>
      <c r="DU166" s="24">
        <v>16</v>
      </c>
      <c r="DW166">
        <v>20</v>
      </c>
      <c r="DX166" s="28">
        <v>-4</v>
      </c>
      <c r="DY166" s="31"/>
      <c r="DZ166" s="24">
        <v>160</v>
      </c>
      <c r="EB166">
        <v>163</v>
      </c>
      <c r="EC166" s="28">
        <v>-3</v>
      </c>
      <c r="ED166" s="31"/>
      <c r="EE166">
        <v>16</v>
      </c>
      <c r="EF166" s="32">
        <v>19.200000000000021</v>
      </c>
      <c r="EG166" s="28">
        <v>-3.200000000000021</v>
      </c>
      <c r="EH166" s="31"/>
      <c r="EI166" s="30"/>
      <c r="EL166">
        <v>80</v>
      </c>
      <c r="EM166">
        <v>78</v>
      </c>
      <c r="EN166" s="28">
        <v>2</v>
      </c>
      <c r="EO166" s="31"/>
      <c r="EP166">
        <v>88</v>
      </c>
      <c r="EQ166" s="32">
        <v>93</v>
      </c>
      <c r="ER166" s="28">
        <v>-5</v>
      </c>
      <c r="ES166" s="31"/>
      <c r="ET166" s="30"/>
      <c r="EX166" s="28">
        <v>0</v>
      </c>
      <c r="EY166" s="31"/>
      <c r="FB166">
        <v>136</v>
      </c>
      <c r="FC166" s="28">
        <v>140</v>
      </c>
      <c r="FD166" s="28">
        <v>-4</v>
      </c>
      <c r="FE166" s="31"/>
      <c r="FH166" s="28">
        <v>0</v>
      </c>
      <c r="FI166" s="31"/>
      <c r="FJ166" s="24">
        <v>40</v>
      </c>
      <c r="FK166">
        <v>40</v>
      </c>
      <c r="FL166" s="28">
        <v>0</v>
      </c>
      <c r="FM166" s="31"/>
      <c r="FN166" s="24">
        <v>56</v>
      </c>
      <c r="FO166" s="28">
        <v>60</v>
      </c>
      <c r="FP166" s="28">
        <v>-4</v>
      </c>
      <c r="FQ166" s="31"/>
      <c r="FT166" s="28">
        <v>0</v>
      </c>
      <c r="FU166" s="31"/>
      <c r="FV166" s="30"/>
      <c r="FX166" s="28">
        <v>0</v>
      </c>
      <c r="FY166" s="31"/>
      <c r="FZ166" s="30"/>
      <c r="GC166" s="31"/>
      <c r="GG166" s="34"/>
      <c r="GK166" s="31"/>
      <c r="GO166" s="34"/>
      <c r="GP166" s="29"/>
      <c r="GS166" s="31"/>
      <c r="GW166" s="25"/>
      <c r="HA166" s="31"/>
      <c r="HB166" s="24"/>
      <c r="HE166" s="34"/>
      <c r="HF166" s="32"/>
      <c r="HI166" s="34"/>
      <c r="HM166" s="34"/>
      <c r="HQ166" s="31"/>
      <c r="HR166" s="29"/>
      <c r="HW166" s="34"/>
      <c r="IA166" s="34"/>
      <c r="IE166" s="34"/>
      <c r="IF166" s="33"/>
      <c r="II166" s="34"/>
    </row>
    <row r="167" spans="1:243" x14ac:dyDescent="0.25">
      <c r="A167" s="28" t="s">
        <v>299</v>
      </c>
      <c r="B167" s="29">
        <v>1</v>
      </c>
      <c r="J167" s="24">
        <v>79</v>
      </c>
      <c r="K167" s="36">
        <v>80</v>
      </c>
      <c r="L167" s="36">
        <v>140</v>
      </c>
      <c r="M167" s="36">
        <v>144</v>
      </c>
      <c r="N167" s="35">
        <f t="shared" si="6"/>
        <v>-5</v>
      </c>
      <c r="O167" s="31"/>
      <c r="P167" s="35"/>
      <c r="Q167">
        <v>135</v>
      </c>
      <c r="R167">
        <v>134</v>
      </c>
      <c r="S167" s="28">
        <v>1</v>
      </c>
      <c r="T167" s="31"/>
      <c r="U167" s="24">
        <v>292</v>
      </c>
      <c r="V167">
        <v>291</v>
      </c>
      <c r="W167" s="28">
        <v>1</v>
      </c>
      <c r="X167" s="31"/>
      <c r="Y167" s="24">
        <v>79</v>
      </c>
      <c r="Z167">
        <v>80</v>
      </c>
      <c r="AA167" s="28">
        <v>-1</v>
      </c>
      <c r="AB167" s="31"/>
      <c r="AC167">
        <v>192</v>
      </c>
      <c r="AD167">
        <v>188</v>
      </c>
      <c r="AE167" s="28">
        <v>4</v>
      </c>
      <c r="AF167" s="31"/>
      <c r="AG167" s="24">
        <v>205</v>
      </c>
      <c r="AH167">
        <v>209</v>
      </c>
      <c r="AI167" s="27">
        <v>-4</v>
      </c>
      <c r="AJ167" s="31">
        <v>4</v>
      </c>
      <c r="AK167">
        <v>164</v>
      </c>
      <c r="AL167">
        <v>161</v>
      </c>
      <c r="AM167" s="28">
        <v>3</v>
      </c>
      <c r="AN167" s="31"/>
      <c r="AO167" s="24">
        <v>186</v>
      </c>
      <c r="AP167">
        <v>186</v>
      </c>
      <c r="AQ167" s="28">
        <v>0</v>
      </c>
      <c r="AR167" s="31"/>
      <c r="AS167" s="24">
        <v>163</v>
      </c>
      <c r="AT167">
        <v>164</v>
      </c>
      <c r="AU167" s="28">
        <v>-1</v>
      </c>
      <c r="AV167" s="31"/>
      <c r="AY167" s="28">
        <v>0</v>
      </c>
      <c r="AZ167" s="31"/>
      <c r="BA167" s="24">
        <v>162</v>
      </c>
      <c r="BB167">
        <v>160</v>
      </c>
      <c r="BC167">
        <v>150</v>
      </c>
      <c r="BD167">
        <v>149</v>
      </c>
      <c r="BE167" s="28">
        <v>3</v>
      </c>
      <c r="BF167" s="31"/>
      <c r="BG167" s="30"/>
      <c r="BI167" s="28">
        <v>0</v>
      </c>
      <c r="BJ167" s="31"/>
      <c r="BK167">
        <v>101</v>
      </c>
      <c r="BL167">
        <v>100</v>
      </c>
      <c r="BM167">
        <v>230</v>
      </c>
      <c r="BN167">
        <v>231</v>
      </c>
      <c r="BO167" s="28">
        <v>0</v>
      </c>
      <c r="BP167" s="31"/>
      <c r="BQ167">
        <v>56</v>
      </c>
      <c r="BR167">
        <v>58</v>
      </c>
      <c r="BS167" s="28">
        <v>-2</v>
      </c>
      <c r="BT167" s="31"/>
      <c r="BU167" s="30"/>
      <c r="BW167" s="28">
        <v>0</v>
      </c>
      <c r="BX167" s="31"/>
      <c r="BY167" s="24">
        <v>156</v>
      </c>
      <c r="BZ167">
        <v>158</v>
      </c>
      <c r="CA167" s="28">
        <v>-2</v>
      </c>
      <c r="CB167" s="31"/>
      <c r="CC167">
        <v>169</v>
      </c>
      <c r="CD167">
        <v>170</v>
      </c>
      <c r="CE167" s="28">
        <v>-1</v>
      </c>
      <c r="CF167" s="31"/>
      <c r="CG167" s="24">
        <v>62</v>
      </c>
      <c r="CI167">
        <v>63</v>
      </c>
      <c r="CJ167" s="28">
        <v>-1</v>
      </c>
      <c r="CK167" s="31"/>
      <c r="CL167" s="30"/>
      <c r="CN167">
        <v>204</v>
      </c>
      <c r="CO167">
        <v>195</v>
      </c>
      <c r="CP167" s="28">
        <v>9</v>
      </c>
      <c r="CQ167" s="31"/>
      <c r="CR167" s="24">
        <v>56</v>
      </c>
      <c r="CT167">
        <v>55</v>
      </c>
      <c r="CU167" s="28">
        <v>1</v>
      </c>
      <c r="CV167" s="31"/>
      <c r="CW167">
        <v>118</v>
      </c>
      <c r="CX167" s="28">
        <v>117.9328</v>
      </c>
      <c r="CY167" s="28">
        <v>6.7199999999999704E-2</v>
      </c>
      <c r="CZ167" s="31"/>
      <c r="DA167" s="24">
        <v>57</v>
      </c>
      <c r="DB167" s="28">
        <v>56.322000000000017</v>
      </c>
      <c r="DC167" s="28">
        <v>0.67799999999998306</v>
      </c>
      <c r="DD167" s="31"/>
      <c r="DE167" s="24">
        <v>11</v>
      </c>
      <c r="DF167" s="28">
        <v>12.433199999999999</v>
      </c>
      <c r="DG167" s="28">
        <v>-1.4331999999999989</v>
      </c>
      <c r="DH167" s="31"/>
      <c r="DI167" s="24">
        <v>62</v>
      </c>
      <c r="DJ167">
        <v>60</v>
      </c>
      <c r="DK167" s="28">
        <v>2</v>
      </c>
      <c r="DL167" s="31"/>
      <c r="DM167">
        <v>107</v>
      </c>
      <c r="DN167" s="32">
        <v>104.83880000000001</v>
      </c>
      <c r="DO167" s="28">
        <v>2.1611999999999938</v>
      </c>
      <c r="DP167" s="31"/>
      <c r="DQ167">
        <v>73</v>
      </c>
      <c r="DR167">
        <v>73</v>
      </c>
      <c r="DS167" s="28">
        <v>0</v>
      </c>
      <c r="DT167" s="31"/>
      <c r="DU167" s="24">
        <v>68</v>
      </c>
      <c r="DW167">
        <v>65</v>
      </c>
      <c r="DX167" s="28">
        <v>3</v>
      </c>
      <c r="DY167" s="31"/>
      <c r="DZ167" s="24">
        <v>84</v>
      </c>
      <c r="EB167">
        <v>83</v>
      </c>
      <c r="EC167" s="28">
        <v>1</v>
      </c>
      <c r="ED167" s="31"/>
      <c r="EG167" s="28">
        <v>0</v>
      </c>
      <c r="EH167" s="31"/>
      <c r="EI167" s="30"/>
      <c r="EJ167">
        <v>101</v>
      </c>
      <c r="EK167">
        <v>100</v>
      </c>
      <c r="EL167">
        <v>101</v>
      </c>
      <c r="EM167">
        <v>101</v>
      </c>
      <c r="EN167" s="28">
        <v>1</v>
      </c>
      <c r="EO167" s="31"/>
      <c r="EP167">
        <v>22</v>
      </c>
      <c r="EQ167" s="32">
        <v>24.472999999999999</v>
      </c>
      <c r="ER167" s="28">
        <v>-2.472999999999999</v>
      </c>
      <c r="ES167" s="31"/>
      <c r="ET167" s="24">
        <v>61</v>
      </c>
      <c r="EU167">
        <v>60</v>
      </c>
      <c r="EV167">
        <v>107</v>
      </c>
      <c r="EW167">
        <v>104</v>
      </c>
      <c r="EX167" s="28">
        <v>4</v>
      </c>
      <c r="EY167" s="31"/>
      <c r="FB167">
        <v>34</v>
      </c>
      <c r="FC167">
        <v>36</v>
      </c>
      <c r="FD167" s="28">
        <v>-2</v>
      </c>
      <c r="FE167" s="31"/>
      <c r="FH167" s="28">
        <v>0</v>
      </c>
      <c r="FI167" s="31"/>
      <c r="FJ167" s="24">
        <v>129</v>
      </c>
      <c r="FK167">
        <v>130</v>
      </c>
      <c r="FL167" s="28">
        <v>-1</v>
      </c>
      <c r="FM167" s="31"/>
      <c r="FN167" s="24">
        <v>39</v>
      </c>
      <c r="FO167">
        <v>40</v>
      </c>
      <c r="FP167" s="28">
        <v>-1</v>
      </c>
      <c r="FQ167" s="31"/>
      <c r="FR167" s="28">
        <v>117</v>
      </c>
      <c r="FS167" s="28">
        <v>120</v>
      </c>
      <c r="FT167" s="28">
        <v>-3</v>
      </c>
      <c r="FU167" s="31"/>
      <c r="FV167" s="30"/>
      <c r="FX167" s="28">
        <v>0</v>
      </c>
      <c r="FY167" s="31"/>
      <c r="FZ167" s="30"/>
      <c r="GC167" s="31"/>
      <c r="GG167" s="34"/>
      <c r="GK167" s="31"/>
      <c r="GO167" s="34"/>
      <c r="GS167" s="31"/>
      <c r="GW167" s="25"/>
      <c r="GX167" s="29"/>
      <c r="HA167" s="31"/>
      <c r="HB167" s="24"/>
      <c r="HE167" s="34"/>
      <c r="HG167" s="32"/>
      <c r="HI167" s="34"/>
      <c r="HM167" s="34"/>
      <c r="HQ167" s="31"/>
      <c r="HR167" s="29"/>
      <c r="HW167" s="34"/>
      <c r="IA167" s="34"/>
      <c r="IE167" s="34"/>
      <c r="IF167" s="33"/>
      <c r="II167" s="34"/>
    </row>
    <row r="168" spans="1:243" x14ac:dyDescent="0.25">
      <c r="A168" s="28" t="s">
        <v>300</v>
      </c>
      <c r="B168" s="29">
        <v>0.35</v>
      </c>
      <c r="E168">
        <v>40</v>
      </c>
      <c r="F168">
        <v>120</v>
      </c>
      <c r="G168">
        <v>122</v>
      </c>
      <c r="J168" s="24">
        <v>120</v>
      </c>
      <c r="K168" s="36">
        <v>120</v>
      </c>
      <c r="L168" s="36">
        <v>168</v>
      </c>
      <c r="M168" s="36">
        <v>171</v>
      </c>
      <c r="N168" s="35">
        <f t="shared" si="6"/>
        <v>-3</v>
      </c>
      <c r="O168" s="31"/>
      <c r="P168" s="36">
        <v>16</v>
      </c>
      <c r="Q168">
        <v>88</v>
      </c>
      <c r="R168">
        <v>89</v>
      </c>
      <c r="S168" s="28">
        <v>15</v>
      </c>
      <c r="T168" s="31"/>
      <c r="U168" s="24">
        <v>280</v>
      </c>
      <c r="V168">
        <v>300</v>
      </c>
      <c r="W168" s="27">
        <v>-20</v>
      </c>
      <c r="X168" s="31">
        <v>7</v>
      </c>
      <c r="Y168" s="24">
        <v>344</v>
      </c>
      <c r="Z168">
        <v>344</v>
      </c>
      <c r="AA168" s="28">
        <v>0</v>
      </c>
      <c r="AB168" s="31"/>
      <c r="AC168">
        <v>32</v>
      </c>
      <c r="AD168">
        <v>30</v>
      </c>
      <c r="AE168" s="28">
        <v>2</v>
      </c>
      <c r="AF168" s="31"/>
      <c r="AG168" s="24">
        <v>456</v>
      </c>
      <c r="AH168">
        <v>461</v>
      </c>
      <c r="AI168" s="28">
        <v>-5</v>
      </c>
      <c r="AJ168" s="31"/>
      <c r="AM168" s="28">
        <v>0</v>
      </c>
      <c r="AN168" s="31"/>
      <c r="AO168" s="24">
        <v>280</v>
      </c>
      <c r="AP168">
        <v>284</v>
      </c>
      <c r="AQ168" s="28">
        <v>-4</v>
      </c>
      <c r="AR168" s="31"/>
      <c r="AS168" s="24">
        <v>248</v>
      </c>
      <c r="AT168">
        <v>246</v>
      </c>
      <c r="AU168" s="28">
        <v>2</v>
      </c>
      <c r="AV168" s="31"/>
      <c r="AW168">
        <v>8</v>
      </c>
      <c r="AX168">
        <v>5</v>
      </c>
      <c r="AY168" s="28">
        <v>3</v>
      </c>
      <c r="AZ168" s="31"/>
      <c r="BA168" s="24">
        <v>96</v>
      </c>
      <c r="BB168">
        <v>96</v>
      </c>
      <c r="BE168" s="28">
        <v>0</v>
      </c>
      <c r="BF168" s="31"/>
      <c r="BG168" s="24">
        <v>296</v>
      </c>
      <c r="BH168">
        <v>301</v>
      </c>
      <c r="BI168" s="28">
        <v>-5</v>
      </c>
      <c r="BJ168" s="31"/>
      <c r="BM168">
        <v>224</v>
      </c>
      <c r="BN168">
        <v>224</v>
      </c>
      <c r="BO168" s="28">
        <v>0</v>
      </c>
      <c r="BP168" s="31"/>
      <c r="BQ168">
        <v>128</v>
      </c>
      <c r="BR168">
        <v>131</v>
      </c>
      <c r="BS168" s="28">
        <v>-3</v>
      </c>
      <c r="BT168" s="31"/>
      <c r="BU168" s="24">
        <v>160</v>
      </c>
      <c r="BV168">
        <v>161</v>
      </c>
      <c r="BW168" s="28">
        <v>-1</v>
      </c>
      <c r="BX168" s="31"/>
      <c r="BY168" s="24">
        <v>144</v>
      </c>
      <c r="BZ168">
        <v>148</v>
      </c>
      <c r="CA168" s="28">
        <v>-4</v>
      </c>
      <c r="CB168" s="31"/>
      <c r="CC168">
        <v>32</v>
      </c>
      <c r="CD168">
        <v>33</v>
      </c>
      <c r="CE168" s="28">
        <v>-1</v>
      </c>
      <c r="CF168" s="31"/>
      <c r="CG168" s="24">
        <v>192</v>
      </c>
      <c r="CI168">
        <v>195</v>
      </c>
      <c r="CJ168" s="28">
        <v>-3</v>
      </c>
      <c r="CK168" s="31"/>
      <c r="CL168" s="30"/>
      <c r="CN168">
        <v>56</v>
      </c>
      <c r="CO168">
        <v>54</v>
      </c>
      <c r="CP168" s="28">
        <v>2</v>
      </c>
      <c r="CQ168" s="31"/>
      <c r="CR168" s="24">
        <v>224</v>
      </c>
      <c r="CT168">
        <v>223</v>
      </c>
      <c r="CU168" s="28">
        <v>1</v>
      </c>
      <c r="CV168" s="31"/>
      <c r="CW168">
        <v>144</v>
      </c>
      <c r="CX168" s="28">
        <v>145.6</v>
      </c>
      <c r="CY168" s="28">
        <v>-1.5999999999999941</v>
      </c>
      <c r="CZ168" s="31"/>
      <c r="DA168" s="24">
        <v>48</v>
      </c>
      <c r="DB168" s="28">
        <v>46</v>
      </c>
      <c r="DC168" s="28">
        <v>2</v>
      </c>
      <c r="DD168" s="31"/>
      <c r="DE168" s="24">
        <v>184</v>
      </c>
      <c r="DF168" s="28">
        <v>182.2</v>
      </c>
      <c r="DG168" s="28">
        <v>1.8000000000000109</v>
      </c>
      <c r="DH168" s="31"/>
      <c r="DI168" s="24">
        <v>16</v>
      </c>
      <c r="DJ168">
        <v>17</v>
      </c>
      <c r="DK168" s="28">
        <v>-1</v>
      </c>
      <c r="DL168" s="31"/>
      <c r="DM168">
        <v>136</v>
      </c>
      <c r="DN168" s="32">
        <v>140.80000000000001</v>
      </c>
      <c r="DO168" s="28">
        <v>-4.8000000000000114</v>
      </c>
      <c r="DP168" s="31"/>
      <c r="DQ168">
        <v>72</v>
      </c>
      <c r="DR168">
        <v>75</v>
      </c>
      <c r="DS168" s="28">
        <v>-3</v>
      </c>
      <c r="DT168" s="31"/>
      <c r="DU168" s="24">
        <v>32</v>
      </c>
      <c r="DW168">
        <v>30</v>
      </c>
      <c r="DX168" s="28">
        <v>2</v>
      </c>
      <c r="DY168" s="31"/>
      <c r="DZ168" s="24">
        <v>48</v>
      </c>
      <c r="EB168">
        <v>51</v>
      </c>
      <c r="EC168" s="28">
        <v>-3</v>
      </c>
      <c r="ED168" s="31"/>
      <c r="EE168">
        <v>152</v>
      </c>
      <c r="EF168" s="32">
        <v>153</v>
      </c>
      <c r="EG168" s="28">
        <v>-1</v>
      </c>
      <c r="EH168" s="31"/>
      <c r="EI168" s="30"/>
      <c r="EL168">
        <v>48</v>
      </c>
      <c r="EM168">
        <v>48</v>
      </c>
      <c r="EN168" s="28">
        <v>0</v>
      </c>
      <c r="EO168" s="31"/>
      <c r="ER168" s="28">
        <v>0</v>
      </c>
      <c r="ES168" s="31"/>
      <c r="ET168" s="30"/>
      <c r="EV168">
        <v>144</v>
      </c>
      <c r="EW168">
        <v>146</v>
      </c>
      <c r="EX168" s="28">
        <v>-2</v>
      </c>
      <c r="EY168" s="31"/>
      <c r="FD168" s="28">
        <v>0</v>
      </c>
      <c r="FE168" s="31"/>
      <c r="FF168">
        <v>96</v>
      </c>
      <c r="FG168" s="32">
        <v>100</v>
      </c>
      <c r="FH168" s="28">
        <v>-4</v>
      </c>
      <c r="FI168" s="31"/>
      <c r="FJ168" s="24">
        <v>72</v>
      </c>
      <c r="FK168">
        <v>70</v>
      </c>
      <c r="FL168" s="28">
        <v>2</v>
      </c>
      <c r="FM168" s="31"/>
      <c r="FN168" s="24">
        <v>32</v>
      </c>
      <c r="FO168">
        <v>30</v>
      </c>
      <c r="FP168" s="28">
        <v>2</v>
      </c>
      <c r="FQ168" s="31"/>
      <c r="FR168" s="28">
        <v>48</v>
      </c>
      <c r="FS168" s="28">
        <v>50</v>
      </c>
      <c r="FT168" s="28">
        <v>-2</v>
      </c>
      <c r="FU168" s="31"/>
      <c r="FV168" s="30"/>
      <c r="FX168" s="28">
        <v>0</v>
      </c>
      <c r="FY168" s="31"/>
      <c r="FZ168" s="30"/>
      <c r="GC168" s="31"/>
      <c r="GG168" s="34"/>
      <c r="GK168" s="31"/>
      <c r="GO168" s="34"/>
      <c r="GS168" s="31"/>
      <c r="GW168" s="25"/>
      <c r="GX168" s="29"/>
      <c r="HA168" s="31"/>
      <c r="HB168" s="24"/>
      <c r="HE168" s="34"/>
      <c r="HG168" s="32"/>
      <c r="HI168" s="34"/>
      <c r="HM168" s="34"/>
      <c r="HQ168" s="31"/>
      <c r="HR168" s="29"/>
      <c r="HW168" s="34"/>
      <c r="IA168" s="34"/>
      <c r="IE168" s="34"/>
      <c r="IF168" s="33"/>
      <c r="II168" s="34"/>
    </row>
    <row r="169" spans="1:243" x14ac:dyDescent="0.25">
      <c r="A169" s="28" t="s">
        <v>301</v>
      </c>
      <c r="B169" s="29">
        <v>0.28000000000000003</v>
      </c>
      <c r="J169" s="30"/>
      <c r="K169" s="35"/>
      <c r="L169" s="35"/>
      <c r="M169" s="35"/>
      <c r="N169" s="35">
        <f t="shared" si="6"/>
        <v>0</v>
      </c>
      <c r="O169" s="31"/>
      <c r="P169" s="35"/>
      <c r="S169" s="28">
        <v>0</v>
      </c>
      <c r="T169" s="31"/>
      <c r="U169" s="30"/>
      <c r="W169" s="28">
        <v>0</v>
      </c>
      <c r="X169" s="31"/>
      <c r="Y169" s="30"/>
      <c r="AA169" s="28">
        <v>0</v>
      </c>
      <c r="AB169" s="31"/>
      <c r="AE169" s="28">
        <v>0</v>
      </c>
      <c r="AF169" s="31"/>
      <c r="AG169" s="30"/>
      <c r="AI169" s="28">
        <v>0</v>
      </c>
      <c r="AJ169" s="31"/>
      <c r="AM169" s="28">
        <v>0</v>
      </c>
      <c r="AN169" s="31"/>
      <c r="AO169" s="30"/>
      <c r="AQ169" s="28">
        <v>0</v>
      </c>
      <c r="AR169" s="31"/>
      <c r="AS169" s="30"/>
      <c r="AU169" s="28">
        <v>0</v>
      </c>
      <c r="AV169" s="31"/>
      <c r="AY169" s="28">
        <v>0</v>
      </c>
      <c r="AZ169" s="31"/>
      <c r="BA169" s="30"/>
      <c r="BE169" s="28">
        <v>0</v>
      </c>
      <c r="BF169" s="31"/>
      <c r="BG169" s="30"/>
      <c r="BI169" s="28">
        <v>0</v>
      </c>
      <c r="BJ169" s="31"/>
      <c r="BO169" s="28">
        <v>0</v>
      </c>
      <c r="BP169" s="31"/>
      <c r="BS169" s="28">
        <v>0</v>
      </c>
      <c r="BT169" s="31"/>
      <c r="BU169" s="30"/>
      <c r="BW169" s="28">
        <v>0</v>
      </c>
      <c r="BX169" s="31"/>
      <c r="BY169" s="30"/>
      <c r="CA169" s="28">
        <v>0</v>
      </c>
      <c r="CB169" s="31"/>
      <c r="CE169" s="28">
        <v>0</v>
      </c>
      <c r="CF169" s="31"/>
      <c r="CG169" s="30"/>
      <c r="CJ169" s="28">
        <v>0</v>
      </c>
      <c r="CK169" s="31"/>
      <c r="CL169" s="30"/>
      <c r="CP169" s="28">
        <v>0</v>
      </c>
      <c r="CQ169" s="31"/>
      <c r="CR169" s="30"/>
      <c r="CU169" s="28">
        <v>0</v>
      </c>
      <c r="CV169" s="31"/>
      <c r="CY169" s="28">
        <v>0</v>
      </c>
      <c r="CZ169" s="31"/>
      <c r="DA169" s="33"/>
      <c r="DC169" s="28">
        <v>0</v>
      </c>
      <c r="DD169" s="31"/>
      <c r="DE169" s="30"/>
      <c r="DG169" s="28">
        <v>0</v>
      </c>
      <c r="DH169" s="31"/>
      <c r="DI169" s="30"/>
      <c r="DK169" s="28">
        <v>0</v>
      </c>
      <c r="DL169" s="31"/>
      <c r="DO169" s="28">
        <v>0</v>
      </c>
      <c r="DP169" s="31"/>
      <c r="DS169" s="28">
        <v>0</v>
      </c>
      <c r="DT169" s="31"/>
      <c r="DU169" s="30"/>
      <c r="DX169" s="28">
        <v>0</v>
      </c>
      <c r="DY169" s="31"/>
      <c r="DZ169" s="30"/>
      <c r="EC169" s="28">
        <v>0</v>
      </c>
      <c r="ED169" s="31"/>
      <c r="EG169" s="28">
        <v>0</v>
      </c>
      <c r="EH169" s="31"/>
      <c r="EI169" s="30"/>
      <c r="EM169">
        <v>34</v>
      </c>
      <c r="EN169" s="28">
        <v>-2</v>
      </c>
      <c r="EO169" s="31"/>
      <c r="ER169" s="28">
        <v>0</v>
      </c>
      <c r="ES169" s="31"/>
      <c r="ET169" s="30"/>
      <c r="EX169" s="28">
        <v>0</v>
      </c>
      <c r="EY169" s="31"/>
      <c r="FB169">
        <v>32</v>
      </c>
      <c r="FC169">
        <v>30</v>
      </c>
      <c r="FD169" s="28">
        <v>2</v>
      </c>
      <c r="FE169" s="31"/>
      <c r="FH169" s="28">
        <v>0</v>
      </c>
      <c r="FI169" s="31"/>
      <c r="FJ169" s="24">
        <v>16</v>
      </c>
      <c r="FK169">
        <v>16</v>
      </c>
      <c r="FL169" s="28">
        <v>0</v>
      </c>
      <c r="FM169" s="31"/>
      <c r="FN169" s="30"/>
      <c r="FO169" s="19">
        <v>24</v>
      </c>
      <c r="FP169" s="28">
        <v>-24</v>
      </c>
      <c r="FQ169" s="31">
        <v>6.7200000000000006</v>
      </c>
      <c r="FR169" s="28">
        <v>16</v>
      </c>
      <c r="FS169" s="28">
        <v>16</v>
      </c>
      <c r="FT169" s="28">
        <v>0</v>
      </c>
      <c r="FU169" s="31"/>
      <c r="FV169" s="30"/>
      <c r="FX169" s="28">
        <v>0</v>
      </c>
      <c r="FY169" s="31"/>
      <c r="FZ169" s="30"/>
      <c r="GC169" s="31"/>
      <c r="GG169" s="34"/>
      <c r="GK169" s="31"/>
      <c r="GO169" s="34"/>
      <c r="GS169" s="31"/>
      <c r="GW169" s="25"/>
      <c r="GX169" s="29"/>
      <c r="HA169" s="31"/>
      <c r="HB169" s="24"/>
      <c r="HE169" s="34"/>
      <c r="HG169" s="32"/>
      <c r="HI169" s="34"/>
      <c r="HM169" s="34"/>
      <c r="HQ169" s="31"/>
      <c r="HR169" s="29"/>
      <c r="HW169" s="34"/>
      <c r="IA169" s="34"/>
      <c r="IE169" s="34"/>
      <c r="IF169" s="33"/>
      <c r="II169" s="34"/>
    </row>
    <row r="170" spans="1:243" x14ac:dyDescent="0.25">
      <c r="A170" s="28" t="s">
        <v>302</v>
      </c>
      <c r="B170" s="29">
        <v>0.3</v>
      </c>
      <c r="J170" s="30"/>
      <c r="K170" s="35"/>
      <c r="L170" s="35"/>
      <c r="M170" s="35"/>
      <c r="N170" s="35">
        <f t="shared" si="6"/>
        <v>0</v>
      </c>
      <c r="O170" s="31"/>
      <c r="P170" s="35"/>
      <c r="Q170">
        <v>84</v>
      </c>
      <c r="R170">
        <v>86</v>
      </c>
      <c r="S170" s="28">
        <v>-2</v>
      </c>
      <c r="T170" s="31"/>
      <c r="U170" s="30"/>
      <c r="W170" s="28">
        <v>0</v>
      </c>
      <c r="X170" s="31"/>
      <c r="Y170" s="24">
        <v>72</v>
      </c>
      <c r="Z170">
        <v>72</v>
      </c>
      <c r="AA170" s="28">
        <v>0</v>
      </c>
      <c r="AB170" s="31"/>
      <c r="AC170">
        <v>24</v>
      </c>
      <c r="AD170">
        <v>24</v>
      </c>
      <c r="AE170" s="28">
        <v>0</v>
      </c>
      <c r="AF170" s="31"/>
      <c r="AG170" s="24">
        <v>24</v>
      </c>
      <c r="AH170">
        <v>27</v>
      </c>
      <c r="AI170" s="28">
        <v>-3</v>
      </c>
      <c r="AJ170" s="31"/>
      <c r="AK170">
        <v>12</v>
      </c>
      <c r="AL170">
        <v>10</v>
      </c>
      <c r="AM170" s="28">
        <v>2</v>
      </c>
      <c r="AN170" s="31"/>
      <c r="AO170" s="24">
        <v>42</v>
      </c>
      <c r="AP170">
        <v>43</v>
      </c>
      <c r="AQ170" s="28">
        <v>-1</v>
      </c>
      <c r="AR170" s="31"/>
      <c r="AS170" s="30"/>
      <c r="AU170" s="28">
        <v>0</v>
      </c>
      <c r="AV170" s="31"/>
      <c r="AW170">
        <v>42</v>
      </c>
      <c r="AX170">
        <v>41</v>
      </c>
      <c r="AY170" s="28">
        <v>1</v>
      </c>
      <c r="AZ170" s="31"/>
      <c r="BA170" s="24">
        <v>6</v>
      </c>
      <c r="BB170">
        <v>6</v>
      </c>
      <c r="BE170" s="28">
        <v>0</v>
      </c>
      <c r="BF170" s="31"/>
      <c r="BG170" s="24">
        <v>6</v>
      </c>
      <c r="BH170">
        <v>8</v>
      </c>
      <c r="BI170" s="28">
        <v>-2</v>
      </c>
      <c r="BJ170" s="31"/>
      <c r="BM170">
        <v>12</v>
      </c>
      <c r="BN170">
        <v>15</v>
      </c>
      <c r="BO170" s="28">
        <v>-3</v>
      </c>
      <c r="BP170" s="31"/>
      <c r="BQ170">
        <v>30</v>
      </c>
      <c r="BR170">
        <v>30</v>
      </c>
      <c r="BS170" s="28">
        <v>0</v>
      </c>
      <c r="BT170" s="31"/>
      <c r="BU170" s="30"/>
      <c r="BW170" s="28">
        <v>0</v>
      </c>
      <c r="BX170" s="31"/>
      <c r="BY170" s="24">
        <v>18</v>
      </c>
      <c r="BZ170">
        <v>20</v>
      </c>
      <c r="CA170" s="28">
        <v>-2</v>
      </c>
      <c r="CB170" s="31"/>
      <c r="CC170">
        <v>30</v>
      </c>
      <c r="CD170">
        <v>30</v>
      </c>
      <c r="CE170" s="28">
        <v>0</v>
      </c>
      <c r="CF170" s="31"/>
      <c r="CG170" s="30"/>
      <c r="CJ170" s="28">
        <v>0</v>
      </c>
      <c r="CK170" s="31"/>
      <c r="CL170" s="30"/>
      <c r="CP170" s="28">
        <v>0</v>
      </c>
      <c r="CQ170" s="31"/>
      <c r="CR170" s="24">
        <v>12</v>
      </c>
      <c r="CT170">
        <v>11</v>
      </c>
      <c r="CU170" s="28">
        <v>1</v>
      </c>
      <c r="CV170" s="31"/>
      <c r="CY170" s="28">
        <v>0</v>
      </c>
      <c r="CZ170" s="31"/>
      <c r="DA170" s="33"/>
      <c r="DC170" s="28">
        <v>0</v>
      </c>
      <c r="DD170" s="31"/>
      <c r="DE170" s="30"/>
      <c r="DG170" s="28">
        <v>0</v>
      </c>
      <c r="DH170" s="31"/>
      <c r="DI170" s="24">
        <v>42</v>
      </c>
      <c r="DJ170">
        <v>41</v>
      </c>
      <c r="DK170" s="28">
        <v>1</v>
      </c>
      <c r="DL170" s="31"/>
      <c r="DM170">
        <v>18</v>
      </c>
      <c r="DN170" s="32">
        <v>19.2</v>
      </c>
      <c r="DO170" s="28">
        <v>-1.1999999999999991</v>
      </c>
      <c r="DP170" s="31"/>
      <c r="DS170" s="28">
        <v>0</v>
      </c>
      <c r="DT170" s="31"/>
      <c r="DU170" s="24">
        <v>72</v>
      </c>
      <c r="DW170">
        <v>72</v>
      </c>
      <c r="DX170" s="28">
        <v>0</v>
      </c>
      <c r="DY170" s="31"/>
      <c r="DZ170" s="30"/>
      <c r="EC170" s="28">
        <v>0</v>
      </c>
      <c r="ED170" s="31"/>
      <c r="EG170" s="28">
        <v>0</v>
      </c>
      <c r="EH170" s="31"/>
      <c r="EI170" s="30"/>
      <c r="EJ170" s="32">
        <v>42</v>
      </c>
      <c r="EK170" s="32">
        <v>42</v>
      </c>
      <c r="EN170" s="28">
        <v>0</v>
      </c>
      <c r="EO170" s="31"/>
      <c r="ER170" s="28">
        <v>0</v>
      </c>
      <c r="ES170" s="31"/>
      <c r="ET170" s="30"/>
      <c r="EY170" s="31"/>
      <c r="FE170" s="31"/>
      <c r="FI170" s="31"/>
      <c r="FJ170" s="24"/>
      <c r="FM170" s="31"/>
      <c r="FN170" s="30"/>
      <c r="FQ170" s="31"/>
      <c r="FU170" s="31"/>
      <c r="FV170" s="30"/>
      <c r="FY170" s="31"/>
      <c r="FZ170" s="30"/>
      <c r="GC170" s="31"/>
      <c r="GE170" s="29"/>
      <c r="GG170" s="34"/>
      <c r="GK170" s="31"/>
      <c r="GN170" s="32"/>
      <c r="GO170" s="34"/>
      <c r="GS170" s="31"/>
      <c r="GW170" s="25"/>
      <c r="GX170" s="29"/>
      <c r="HA170" s="31"/>
      <c r="HB170" s="24"/>
      <c r="HE170" s="34"/>
      <c r="HG170" s="32"/>
      <c r="HI170" s="34"/>
      <c r="HM170" s="34"/>
      <c r="HQ170" s="31"/>
      <c r="HR170" s="29"/>
      <c r="HW170" s="34"/>
      <c r="IA170" s="34"/>
      <c r="IE170" s="34"/>
      <c r="IF170" s="33"/>
      <c r="II170" s="34"/>
    </row>
    <row r="171" spans="1:243" x14ac:dyDescent="0.25">
      <c r="A171" s="28" t="s">
        <v>303</v>
      </c>
      <c r="B171" s="29">
        <v>0.18</v>
      </c>
      <c r="J171" s="30"/>
      <c r="K171" s="35"/>
      <c r="L171" s="35"/>
      <c r="M171" s="35"/>
      <c r="N171" s="35">
        <f t="shared" si="6"/>
        <v>0</v>
      </c>
      <c r="O171" s="31"/>
      <c r="P171" s="35"/>
      <c r="S171" s="28">
        <v>0</v>
      </c>
      <c r="T171" s="31"/>
      <c r="U171" s="30"/>
      <c r="W171" s="28">
        <v>0</v>
      </c>
      <c r="X171" s="31"/>
      <c r="Y171" s="30"/>
      <c r="AA171" s="28">
        <v>0</v>
      </c>
      <c r="AB171" s="31"/>
      <c r="AE171" s="28">
        <v>0</v>
      </c>
      <c r="AF171" s="31"/>
      <c r="AG171" s="30"/>
      <c r="AI171" s="28">
        <v>0</v>
      </c>
      <c r="AJ171" s="31"/>
      <c r="AL171">
        <v>20</v>
      </c>
      <c r="AM171" s="27">
        <v>-20</v>
      </c>
      <c r="AN171" s="31">
        <v>3.6</v>
      </c>
      <c r="AO171" s="30"/>
      <c r="AP171">
        <v>20</v>
      </c>
      <c r="AQ171" s="27">
        <v>-20</v>
      </c>
      <c r="AR171" s="31">
        <v>3.6</v>
      </c>
      <c r="AS171" s="30"/>
      <c r="AT171">
        <v>20</v>
      </c>
      <c r="AU171" s="27">
        <v>-20</v>
      </c>
      <c r="AV171" s="31">
        <v>3.6</v>
      </c>
      <c r="AY171" s="28">
        <v>0</v>
      </c>
      <c r="AZ171" s="31"/>
      <c r="BA171" s="30"/>
      <c r="BD171">
        <v>20</v>
      </c>
      <c r="BE171" s="27">
        <v>-20</v>
      </c>
      <c r="BF171" s="31">
        <v>19.82</v>
      </c>
      <c r="BG171" s="24">
        <v>16</v>
      </c>
      <c r="BH171">
        <v>20</v>
      </c>
      <c r="BI171" s="28">
        <v>-4</v>
      </c>
      <c r="BJ171" s="31"/>
      <c r="BN171">
        <v>20</v>
      </c>
      <c r="BO171" s="27">
        <v>-20</v>
      </c>
      <c r="BP171" s="31">
        <v>3.6</v>
      </c>
      <c r="BS171" s="28">
        <v>0</v>
      </c>
      <c r="BT171" s="31"/>
      <c r="BU171" s="30"/>
      <c r="BV171">
        <v>10</v>
      </c>
      <c r="BW171" s="27">
        <v>-10</v>
      </c>
      <c r="BX171" s="31">
        <v>1.8</v>
      </c>
      <c r="BY171" s="30"/>
      <c r="CA171" s="28">
        <v>0</v>
      </c>
      <c r="CB171" s="31"/>
      <c r="CC171">
        <v>8</v>
      </c>
      <c r="CD171">
        <v>10</v>
      </c>
      <c r="CE171" s="28">
        <v>-2</v>
      </c>
      <c r="CF171" s="31"/>
      <c r="CG171" s="30"/>
      <c r="CI171">
        <v>12</v>
      </c>
      <c r="CJ171" s="27">
        <v>-12</v>
      </c>
      <c r="CK171" s="31">
        <v>2.16</v>
      </c>
      <c r="CL171" s="30"/>
      <c r="CO171">
        <v>10</v>
      </c>
      <c r="CP171" s="27">
        <v>-10</v>
      </c>
      <c r="CQ171" s="31">
        <v>1.8</v>
      </c>
      <c r="CR171" s="30"/>
      <c r="CU171" s="28">
        <v>0</v>
      </c>
      <c r="CV171" s="31"/>
      <c r="CX171" s="28">
        <v>7</v>
      </c>
      <c r="CY171" s="28">
        <v>-7</v>
      </c>
      <c r="CZ171" s="31"/>
      <c r="DA171" s="33"/>
      <c r="DC171" s="28">
        <v>0</v>
      </c>
      <c r="DD171" s="31"/>
      <c r="DE171" s="30"/>
      <c r="DG171" s="28">
        <v>0</v>
      </c>
      <c r="DH171" s="31"/>
      <c r="DI171" s="30">
        <v>24</v>
      </c>
      <c r="DJ171">
        <v>50</v>
      </c>
      <c r="DK171" s="27">
        <v>-26</v>
      </c>
      <c r="DL171" s="34">
        <v>4.68</v>
      </c>
      <c r="DO171" s="28">
        <v>0</v>
      </c>
      <c r="DP171" s="31"/>
      <c r="DS171" s="28">
        <v>0</v>
      </c>
      <c r="DT171" s="31"/>
      <c r="DU171" s="30"/>
      <c r="DX171" s="28">
        <v>0</v>
      </c>
      <c r="DY171" s="31"/>
      <c r="DZ171" s="30"/>
      <c r="EC171" s="28">
        <v>0</v>
      </c>
      <c r="ED171" s="31"/>
      <c r="EH171" s="31"/>
      <c r="EI171" s="30"/>
      <c r="EO171" s="31"/>
      <c r="ES171" s="31"/>
      <c r="ET171" s="30"/>
      <c r="EY171" s="31"/>
      <c r="FE171" s="31"/>
      <c r="FI171" s="31"/>
      <c r="FJ171" s="24"/>
      <c r="FM171" s="31"/>
      <c r="FN171" s="30"/>
      <c r="FQ171" s="31"/>
      <c r="FR171" s="29"/>
      <c r="FT171" s="29"/>
      <c r="FU171" s="31"/>
      <c r="FV171" s="30"/>
      <c r="FY171" s="31"/>
      <c r="FZ171" s="30"/>
      <c r="GA171" s="32"/>
      <c r="GC171" s="31"/>
      <c r="GE171" s="29"/>
      <c r="GG171" s="34"/>
      <c r="GK171" s="31"/>
      <c r="GN171" s="32"/>
      <c r="GO171" s="34"/>
      <c r="GS171" s="31"/>
      <c r="GW171" s="25"/>
      <c r="GX171" s="29"/>
      <c r="HA171" s="31"/>
      <c r="HB171" s="24"/>
      <c r="HE171" s="34"/>
      <c r="HG171" s="32"/>
      <c r="HI171" s="34"/>
      <c r="HM171" s="34"/>
      <c r="HQ171" s="31"/>
      <c r="HR171" s="29"/>
      <c r="HW171" s="34"/>
      <c r="IA171" s="34"/>
      <c r="IE171" s="34"/>
      <c r="IF171" s="33"/>
      <c r="II171" s="34"/>
    </row>
    <row r="172" spans="1:243" x14ac:dyDescent="0.25">
      <c r="A172" s="28" t="s">
        <v>304</v>
      </c>
      <c r="B172" s="29">
        <v>0.3</v>
      </c>
      <c r="F172">
        <v>40</v>
      </c>
      <c r="G172">
        <v>41</v>
      </c>
      <c r="J172" s="30"/>
      <c r="K172" s="35"/>
      <c r="L172" s="36">
        <v>64</v>
      </c>
      <c r="M172" s="36">
        <v>64</v>
      </c>
      <c r="N172" s="35">
        <f t="shared" si="6"/>
        <v>0</v>
      </c>
      <c r="O172" s="31"/>
      <c r="P172" s="35"/>
      <c r="S172" s="28">
        <v>0</v>
      </c>
      <c r="T172" s="31"/>
      <c r="U172" s="24">
        <v>104</v>
      </c>
      <c r="V172">
        <v>108</v>
      </c>
      <c r="W172" s="28">
        <v>-4</v>
      </c>
      <c r="X172" s="31"/>
      <c r="Y172" s="24">
        <v>32</v>
      </c>
      <c r="Z172">
        <v>31</v>
      </c>
      <c r="AA172" s="28">
        <v>1</v>
      </c>
      <c r="AB172" s="31"/>
      <c r="AC172">
        <v>8</v>
      </c>
      <c r="AD172">
        <v>8</v>
      </c>
      <c r="AE172" s="28">
        <v>0</v>
      </c>
      <c r="AF172" s="31"/>
      <c r="AG172" s="24">
        <v>72</v>
      </c>
      <c r="AH172">
        <v>73</v>
      </c>
      <c r="AI172" s="28">
        <v>-1</v>
      </c>
      <c r="AJ172" s="31"/>
      <c r="AK172">
        <v>16</v>
      </c>
      <c r="AL172">
        <v>16</v>
      </c>
      <c r="AM172" s="28">
        <v>0</v>
      </c>
      <c r="AN172" s="31"/>
      <c r="AO172" s="24">
        <v>48</v>
      </c>
      <c r="AP172">
        <v>52</v>
      </c>
      <c r="AQ172" s="28">
        <v>-4</v>
      </c>
      <c r="AR172" s="31"/>
      <c r="AS172" s="24">
        <v>8</v>
      </c>
      <c r="AT172">
        <v>8</v>
      </c>
      <c r="AU172" s="28">
        <v>0</v>
      </c>
      <c r="AV172" s="31"/>
      <c r="AW172">
        <v>32</v>
      </c>
      <c r="AX172">
        <v>32</v>
      </c>
      <c r="AY172" s="28">
        <v>0</v>
      </c>
      <c r="AZ172" s="31"/>
      <c r="BA172" s="30"/>
      <c r="BE172" s="28">
        <v>0</v>
      </c>
      <c r="BF172" s="31"/>
      <c r="BG172" s="30"/>
      <c r="BH172">
        <v>28</v>
      </c>
      <c r="BI172" s="27">
        <v>-28</v>
      </c>
      <c r="BJ172" s="31">
        <v>8.4</v>
      </c>
      <c r="BM172">
        <v>8</v>
      </c>
      <c r="BN172">
        <v>8</v>
      </c>
      <c r="BO172" s="28">
        <v>0</v>
      </c>
      <c r="BP172" s="31"/>
      <c r="BS172" s="28">
        <v>0</v>
      </c>
      <c r="BT172" s="31"/>
      <c r="BU172" s="30"/>
      <c r="BW172" s="28">
        <v>0</v>
      </c>
      <c r="BX172" s="31"/>
      <c r="BY172" s="30">
        <v>32</v>
      </c>
      <c r="BZ172" s="28">
        <v>32</v>
      </c>
      <c r="CA172" s="28">
        <v>0</v>
      </c>
      <c r="CB172" s="31"/>
      <c r="CE172" s="28">
        <v>0</v>
      </c>
      <c r="CF172" s="31"/>
      <c r="CG172" s="30"/>
      <c r="CJ172" s="28">
        <v>0</v>
      </c>
      <c r="CK172" s="31"/>
      <c r="CL172" s="30"/>
      <c r="CP172" s="28">
        <v>0</v>
      </c>
      <c r="CQ172" s="31"/>
      <c r="CR172" s="30"/>
      <c r="CV172" s="34"/>
      <c r="CZ172" s="31"/>
      <c r="DA172" s="33"/>
      <c r="DD172" s="31"/>
      <c r="DE172" s="30"/>
      <c r="DH172" s="31"/>
      <c r="DI172" s="30"/>
      <c r="DL172" s="34"/>
      <c r="DP172" s="31"/>
      <c r="DT172" s="31"/>
      <c r="DU172" s="30"/>
      <c r="DY172" s="31"/>
      <c r="DZ172" s="30"/>
      <c r="ED172" s="31"/>
      <c r="EH172" s="31"/>
      <c r="EI172" s="30"/>
      <c r="EO172" s="31"/>
      <c r="ES172" s="31"/>
      <c r="ET172" s="30"/>
      <c r="EW172" s="29"/>
      <c r="EY172" s="31"/>
      <c r="FD172" s="32"/>
      <c r="FE172" s="31"/>
      <c r="FF172" s="32"/>
      <c r="FH172" s="32"/>
      <c r="FI172" s="31"/>
      <c r="FJ172" s="24"/>
      <c r="FM172" s="31"/>
      <c r="FN172" s="30"/>
      <c r="FQ172" s="31"/>
      <c r="FR172" s="29"/>
      <c r="FT172" s="29"/>
      <c r="FU172" s="31"/>
      <c r="FV172" s="30"/>
      <c r="FY172" s="31"/>
      <c r="FZ172" s="30"/>
      <c r="GA172" s="32"/>
      <c r="GC172" s="31"/>
      <c r="GE172" s="29"/>
      <c r="GG172" s="34"/>
      <c r="GK172" s="31"/>
      <c r="GN172" s="32"/>
      <c r="GO172" s="34"/>
      <c r="GS172" s="31"/>
      <c r="GW172" s="25"/>
      <c r="GX172" s="29"/>
      <c r="HA172" s="31"/>
      <c r="HB172" s="24"/>
      <c r="HE172" s="34"/>
      <c r="HG172" s="32"/>
      <c r="HI172" s="34"/>
      <c r="HM172" s="34"/>
      <c r="HQ172" s="31"/>
      <c r="HR172" s="29"/>
      <c r="HW172" s="34"/>
      <c r="IA172" s="34"/>
      <c r="IE172" s="34"/>
      <c r="IF172" s="33"/>
      <c r="II172" s="34"/>
    </row>
    <row r="173" spans="1:243" x14ac:dyDescent="0.25">
      <c r="A173" s="28" t="s">
        <v>305</v>
      </c>
      <c r="B173" s="29">
        <v>0.28000000000000003</v>
      </c>
      <c r="F173">
        <v>56</v>
      </c>
      <c r="G173">
        <v>56</v>
      </c>
      <c r="J173" s="24">
        <v>48</v>
      </c>
      <c r="K173" s="36">
        <v>50</v>
      </c>
      <c r="L173" s="36">
        <v>64</v>
      </c>
      <c r="M173" s="36">
        <v>75</v>
      </c>
      <c r="N173" s="40">
        <f t="shared" si="6"/>
        <v>-13</v>
      </c>
      <c r="O173" s="31">
        <f>-1*N173*B173</f>
        <v>3.6400000000000006</v>
      </c>
      <c r="P173" s="35"/>
      <c r="Q173">
        <v>96</v>
      </c>
      <c r="R173">
        <v>95</v>
      </c>
      <c r="S173" s="28">
        <v>1</v>
      </c>
      <c r="T173" s="31"/>
      <c r="U173" s="24">
        <v>16</v>
      </c>
      <c r="V173">
        <v>20</v>
      </c>
      <c r="W173" s="28">
        <v>-4</v>
      </c>
      <c r="X173" s="31"/>
      <c r="Y173" s="24">
        <v>120</v>
      </c>
      <c r="Z173">
        <v>120</v>
      </c>
      <c r="AA173" s="28">
        <v>0</v>
      </c>
      <c r="AB173" s="31"/>
      <c r="AE173" s="28">
        <v>0</v>
      </c>
      <c r="AF173" s="31"/>
      <c r="AG173" s="24">
        <v>112</v>
      </c>
      <c r="AH173">
        <v>112</v>
      </c>
      <c r="AI173" s="28">
        <v>0</v>
      </c>
      <c r="AJ173" s="31"/>
      <c r="AM173" s="28">
        <v>0</v>
      </c>
      <c r="AN173" s="31"/>
      <c r="AO173" s="24">
        <v>96</v>
      </c>
      <c r="AP173">
        <v>99</v>
      </c>
      <c r="AQ173" s="28">
        <v>-3</v>
      </c>
      <c r="AR173" s="31"/>
      <c r="AS173" s="24">
        <v>16</v>
      </c>
      <c r="AT173">
        <v>16</v>
      </c>
      <c r="AU173" s="28">
        <v>0</v>
      </c>
      <c r="AV173" s="31"/>
      <c r="AY173" s="28">
        <v>0</v>
      </c>
      <c r="AZ173" s="31"/>
      <c r="BA173" s="24">
        <v>40</v>
      </c>
      <c r="BB173">
        <v>40</v>
      </c>
      <c r="BC173">
        <v>40</v>
      </c>
      <c r="BD173">
        <v>40</v>
      </c>
      <c r="BE173" s="28">
        <v>0</v>
      </c>
      <c r="BF173" s="31"/>
      <c r="BG173" s="30"/>
      <c r="BI173" s="28">
        <v>0</v>
      </c>
      <c r="BJ173" s="31"/>
      <c r="BM173">
        <v>16</v>
      </c>
      <c r="BN173">
        <v>20</v>
      </c>
      <c r="BO173" s="28">
        <v>-4</v>
      </c>
      <c r="BP173" s="31"/>
      <c r="BQ173">
        <v>32</v>
      </c>
      <c r="BR173">
        <v>36</v>
      </c>
      <c r="BS173" s="28">
        <v>-4</v>
      </c>
      <c r="BT173" s="31"/>
      <c r="BU173" s="30"/>
      <c r="BW173" s="28">
        <v>0</v>
      </c>
      <c r="BX173" s="31"/>
      <c r="BY173" s="24">
        <v>16</v>
      </c>
      <c r="BZ173">
        <v>15</v>
      </c>
      <c r="CA173" s="28">
        <v>1</v>
      </c>
      <c r="CB173" s="31"/>
      <c r="CC173">
        <v>32</v>
      </c>
      <c r="CD173">
        <v>33</v>
      </c>
      <c r="CE173" s="28">
        <v>-1</v>
      </c>
      <c r="CF173" s="31"/>
      <c r="CG173" s="30"/>
      <c r="CJ173" s="28">
        <v>0</v>
      </c>
      <c r="CK173" s="31"/>
      <c r="CL173" s="30"/>
      <c r="CP173" s="28">
        <v>0</v>
      </c>
      <c r="CQ173" s="31"/>
      <c r="CR173" s="24">
        <v>40</v>
      </c>
      <c r="CT173">
        <v>43</v>
      </c>
      <c r="CU173" s="28">
        <v>-3</v>
      </c>
      <c r="CV173" s="31"/>
      <c r="CW173">
        <v>8</v>
      </c>
      <c r="CX173" s="28">
        <v>6.6000000000000014</v>
      </c>
      <c r="CY173" s="28">
        <v>1.399999999999999</v>
      </c>
      <c r="CZ173" s="31"/>
      <c r="DA173" s="24">
        <v>24</v>
      </c>
      <c r="DB173" s="28">
        <v>24</v>
      </c>
      <c r="DC173" s="28">
        <v>0</v>
      </c>
      <c r="DD173" s="31"/>
      <c r="DE173" s="24">
        <v>8</v>
      </c>
      <c r="DF173" s="28">
        <v>8</v>
      </c>
      <c r="DG173" s="28">
        <v>0</v>
      </c>
      <c r="DH173" s="31"/>
      <c r="DI173" s="24">
        <v>16</v>
      </c>
      <c r="DJ173">
        <v>18</v>
      </c>
      <c r="DK173" s="28">
        <v>-2</v>
      </c>
      <c r="DL173" s="31"/>
      <c r="DM173">
        <v>8</v>
      </c>
      <c r="DN173" s="32">
        <v>11.4</v>
      </c>
      <c r="DO173" s="28">
        <v>-3.4</v>
      </c>
      <c r="DP173" s="31"/>
      <c r="DQ173">
        <v>16</v>
      </c>
      <c r="DR173">
        <v>21</v>
      </c>
      <c r="DS173" s="28">
        <v>-5</v>
      </c>
      <c r="DT173" s="31"/>
      <c r="DU173" s="24">
        <v>16</v>
      </c>
      <c r="DW173">
        <v>18</v>
      </c>
      <c r="DX173" s="28">
        <v>-2</v>
      </c>
      <c r="DY173" s="31"/>
      <c r="DZ173" s="24">
        <v>24</v>
      </c>
      <c r="EB173">
        <v>24</v>
      </c>
      <c r="EC173" s="28">
        <v>0</v>
      </c>
      <c r="ED173" s="31"/>
      <c r="EG173" s="28">
        <v>0</v>
      </c>
      <c r="EH173" s="31"/>
      <c r="EI173" s="30"/>
      <c r="EL173" s="32">
        <v>32</v>
      </c>
      <c r="EN173" s="28">
        <v>0</v>
      </c>
      <c r="EO173" s="31"/>
      <c r="ER173" s="28">
        <v>0</v>
      </c>
      <c r="ES173" s="31"/>
      <c r="ET173" s="30"/>
      <c r="EY173" s="31"/>
      <c r="FE173" s="31"/>
      <c r="FI173" s="31"/>
      <c r="FJ173" s="24"/>
      <c r="FM173" s="31"/>
      <c r="FN173" s="30"/>
      <c r="FQ173" s="31"/>
      <c r="FU173" s="31"/>
      <c r="FV173" s="30"/>
      <c r="FY173" s="31"/>
      <c r="FZ173" s="30"/>
      <c r="GC173" s="31"/>
      <c r="GE173" s="29"/>
      <c r="GG173" s="34"/>
      <c r="GK173" s="31"/>
      <c r="GN173" s="32"/>
      <c r="GO173" s="34"/>
      <c r="GS173" s="31"/>
      <c r="GW173" s="25"/>
      <c r="GX173" s="29"/>
      <c r="HA173" s="31"/>
      <c r="HB173" s="24"/>
      <c r="HE173" s="34"/>
      <c r="HG173" s="32"/>
      <c r="HI173" s="34"/>
      <c r="HM173" s="34"/>
      <c r="HQ173" s="31"/>
      <c r="HR173" s="29"/>
      <c r="HW173" s="34"/>
      <c r="IA173" s="34"/>
      <c r="IE173" s="34"/>
      <c r="IF173" s="33"/>
      <c r="II173" s="34"/>
    </row>
    <row r="174" spans="1:243" x14ac:dyDescent="0.25">
      <c r="A174" s="28" t="s">
        <v>306</v>
      </c>
      <c r="B174" s="29">
        <v>0.28000000000000003</v>
      </c>
      <c r="J174" s="24">
        <v>120</v>
      </c>
      <c r="K174" s="36">
        <v>120</v>
      </c>
      <c r="L174" s="36">
        <v>224</v>
      </c>
      <c r="M174" s="36">
        <v>228</v>
      </c>
      <c r="N174" s="35">
        <f t="shared" si="6"/>
        <v>-4</v>
      </c>
      <c r="O174" s="31"/>
      <c r="P174" s="35"/>
      <c r="Q174">
        <v>160</v>
      </c>
      <c r="R174">
        <v>158</v>
      </c>
      <c r="S174" s="28">
        <v>2</v>
      </c>
      <c r="T174" s="31"/>
      <c r="U174" s="30"/>
      <c r="V174">
        <v>171</v>
      </c>
      <c r="W174" s="27">
        <v>-171</v>
      </c>
      <c r="X174" s="31">
        <v>47.88</v>
      </c>
      <c r="Y174" s="24">
        <v>256</v>
      </c>
      <c r="Z174">
        <v>256</v>
      </c>
      <c r="AA174" s="28">
        <v>0</v>
      </c>
      <c r="AB174" s="31"/>
      <c r="AC174">
        <v>48</v>
      </c>
      <c r="AD174">
        <v>50</v>
      </c>
      <c r="AE174" s="28">
        <v>-2</v>
      </c>
      <c r="AF174" s="31"/>
      <c r="AG174" s="24">
        <v>336</v>
      </c>
      <c r="AH174">
        <v>337</v>
      </c>
      <c r="AI174" s="28">
        <v>-1</v>
      </c>
      <c r="AJ174" s="31"/>
      <c r="AK174">
        <v>48</v>
      </c>
      <c r="AL174">
        <v>49</v>
      </c>
      <c r="AM174" s="28">
        <v>-1</v>
      </c>
      <c r="AN174" s="31"/>
      <c r="AO174" s="24">
        <v>112</v>
      </c>
      <c r="AP174">
        <v>112</v>
      </c>
      <c r="AQ174" s="28">
        <v>0</v>
      </c>
      <c r="AR174" s="31"/>
      <c r="AS174" s="24">
        <v>200</v>
      </c>
      <c r="AT174">
        <v>202</v>
      </c>
      <c r="AU174" s="28">
        <v>-2</v>
      </c>
      <c r="AV174" s="31"/>
      <c r="AW174">
        <v>48</v>
      </c>
      <c r="AX174">
        <v>46</v>
      </c>
      <c r="AY174" s="28">
        <v>2</v>
      </c>
      <c r="AZ174" s="31"/>
      <c r="BA174" s="24">
        <v>56</v>
      </c>
      <c r="BB174">
        <v>60</v>
      </c>
      <c r="BC174">
        <v>64</v>
      </c>
      <c r="BD174">
        <v>68</v>
      </c>
      <c r="BE174" s="28">
        <v>-8</v>
      </c>
      <c r="BF174" s="31"/>
      <c r="BG174" s="30"/>
      <c r="BI174" s="28">
        <v>0</v>
      </c>
      <c r="BJ174" s="31"/>
      <c r="BM174">
        <v>176</v>
      </c>
      <c r="BN174">
        <v>178</v>
      </c>
      <c r="BO174" s="28">
        <v>-2</v>
      </c>
      <c r="BP174" s="31"/>
      <c r="BQ174">
        <v>32</v>
      </c>
      <c r="BR174">
        <v>36</v>
      </c>
      <c r="BS174" s="28">
        <v>-4</v>
      </c>
      <c r="BT174" s="31"/>
      <c r="BU174" s="24">
        <v>144</v>
      </c>
      <c r="BV174">
        <v>146</v>
      </c>
      <c r="BW174" s="28">
        <v>-2</v>
      </c>
      <c r="BX174" s="31"/>
      <c r="BY174" s="24">
        <v>96</v>
      </c>
      <c r="BZ174">
        <v>95</v>
      </c>
      <c r="CA174" s="28">
        <v>1</v>
      </c>
      <c r="CB174" s="31"/>
      <c r="CC174">
        <v>88</v>
      </c>
      <c r="CD174">
        <v>92</v>
      </c>
      <c r="CE174" s="28">
        <v>-4</v>
      </c>
      <c r="CF174" s="31"/>
      <c r="CG174" s="30"/>
      <c r="CJ174" s="28">
        <v>0</v>
      </c>
      <c r="CK174" s="31"/>
      <c r="CL174" s="30"/>
      <c r="CN174">
        <v>112</v>
      </c>
      <c r="CO174">
        <v>117</v>
      </c>
      <c r="CP174" s="28">
        <v>-5</v>
      </c>
      <c r="CQ174" s="31"/>
      <c r="CR174" s="24">
        <v>136</v>
      </c>
      <c r="CT174">
        <v>141</v>
      </c>
      <c r="CU174" s="28">
        <v>-5</v>
      </c>
      <c r="CV174" s="31"/>
      <c r="CW174">
        <v>104</v>
      </c>
      <c r="CX174" s="28">
        <v>105.8</v>
      </c>
      <c r="CY174" s="28">
        <v>-1.7999999999999969</v>
      </c>
      <c r="CZ174" s="31"/>
      <c r="DA174" s="24">
        <v>16</v>
      </c>
      <c r="DB174" s="28">
        <v>20</v>
      </c>
      <c r="DC174" s="28">
        <v>-4</v>
      </c>
      <c r="DD174" s="31"/>
      <c r="DE174" s="24">
        <v>56</v>
      </c>
      <c r="DF174" s="28">
        <v>59.400000000000013</v>
      </c>
      <c r="DG174" s="28">
        <v>-3.4000000000000128</v>
      </c>
      <c r="DH174" s="31"/>
      <c r="DI174" s="24">
        <v>16</v>
      </c>
      <c r="DJ174">
        <v>16</v>
      </c>
      <c r="DK174" s="28">
        <v>0</v>
      </c>
      <c r="DL174" s="31"/>
      <c r="DM174">
        <v>120</v>
      </c>
      <c r="DN174" s="32">
        <v>124.8</v>
      </c>
      <c r="DO174" s="28">
        <v>-4.7999999999999972</v>
      </c>
      <c r="DP174" s="31"/>
      <c r="DQ174">
        <v>88</v>
      </c>
      <c r="DR174">
        <v>101</v>
      </c>
      <c r="DS174" s="27">
        <v>-13</v>
      </c>
      <c r="DT174" s="31">
        <v>3.640000000000001</v>
      </c>
      <c r="DU174" s="30"/>
      <c r="DX174" s="28">
        <v>0</v>
      </c>
      <c r="DY174" s="31"/>
      <c r="DZ174" s="24">
        <v>64</v>
      </c>
      <c r="EC174" s="28">
        <v>0</v>
      </c>
      <c r="ED174" s="31"/>
      <c r="EE174" s="32">
        <v>192</v>
      </c>
      <c r="EG174" s="28">
        <v>0</v>
      </c>
      <c r="EH174" s="31"/>
      <c r="EI174" s="30"/>
      <c r="EN174" s="28">
        <v>0</v>
      </c>
      <c r="EO174" s="31"/>
      <c r="ES174" s="31"/>
      <c r="ET174" s="30"/>
      <c r="EY174" s="31"/>
      <c r="FE174" s="31"/>
      <c r="FI174" s="31"/>
      <c r="FJ174" s="24"/>
      <c r="FM174" s="31"/>
      <c r="FN174" s="30"/>
      <c r="FQ174" s="31"/>
      <c r="FU174" s="31"/>
      <c r="FV174" s="30"/>
      <c r="FX174" s="29"/>
      <c r="FY174" s="31"/>
      <c r="FZ174" s="30"/>
      <c r="GC174" s="31"/>
      <c r="GE174" s="29"/>
      <c r="GG174" s="34"/>
      <c r="GK174" s="31"/>
      <c r="GN174" s="32"/>
      <c r="GO174" s="34"/>
      <c r="GS174" s="31"/>
      <c r="GW174" s="25"/>
      <c r="GX174" s="29"/>
      <c r="HA174" s="31"/>
      <c r="HB174" s="24"/>
      <c r="HE174" s="34"/>
      <c r="HG174" s="32"/>
      <c r="HI174" s="34"/>
      <c r="HM174" s="34"/>
      <c r="HQ174" s="31"/>
      <c r="HR174" s="29"/>
      <c r="HW174" s="34"/>
      <c r="IA174" s="34"/>
      <c r="IE174" s="34"/>
      <c r="IF174" s="33"/>
      <c r="II174" s="34"/>
    </row>
    <row r="175" spans="1:243" x14ac:dyDescent="0.25">
      <c r="A175" s="28" t="s">
        <v>307</v>
      </c>
      <c r="B175" s="29">
        <v>0.28000000000000003</v>
      </c>
      <c r="F175">
        <v>120</v>
      </c>
      <c r="G175">
        <v>123</v>
      </c>
      <c r="J175" s="30"/>
      <c r="K175" s="35"/>
      <c r="L175" s="36">
        <v>80</v>
      </c>
      <c r="M175" s="36">
        <v>74</v>
      </c>
      <c r="N175" s="35">
        <f t="shared" si="6"/>
        <v>6</v>
      </c>
      <c r="O175" s="31"/>
      <c r="P175" s="35"/>
      <c r="Q175">
        <v>56</v>
      </c>
      <c r="R175">
        <v>58</v>
      </c>
      <c r="S175" s="28">
        <v>-2</v>
      </c>
      <c r="T175" s="31"/>
      <c r="U175" s="24">
        <v>216</v>
      </c>
      <c r="V175">
        <v>214</v>
      </c>
      <c r="W175" s="28">
        <v>2</v>
      </c>
      <c r="X175" s="31"/>
      <c r="Y175" s="24">
        <v>112</v>
      </c>
      <c r="Z175">
        <v>113</v>
      </c>
      <c r="AA175" s="28">
        <v>-1</v>
      </c>
      <c r="AB175" s="31"/>
      <c r="AC175">
        <v>32</v>
      </c>
      <c r="AD175">
        <v>30</v>
      </c>
      <c r="AE175" s="28">
        <v>2</v>
      </c>
      <c r="AF175" s="31"/>
      <c r="AG175" s="24">
        <v>216</v>
      </c>
      <c r="AH175">
        <v>217</v>
      </c>
      <c r="AI175" s="28">
        <v>-1</v>
      </c>
      <c r="AJ175" s="31"/>
      <c r="AK175">
        <v>8</v>
      </c>
      <c r="AL175">
        <v>8</v>
      </c>
      <c r="AM175" s="28">
        <v>0</v>
      </c>
      <c r="AN175" s="31"/>
      <c r="AO175" s="24">
        <v>144</v>
      </c>
      <c r="AP175">
        <v>143</v>
      </c>
      <c r="AQ175" s="28">
        <v>1</v>
      </c>
      <c r="AR175" s="31"/>
      <c r="AS175" s="24">
        <v>72</v>
      </c>
      <c r="AT175">
        <v>73</v>
      </c>
      <c r="AU175" s="28">
        <v>-1</v>
      </c>
      <c r="AV175" s="31"/>
      <c r="AW175">
        <v>24</v>
      </c>
      <c r="AX175">
        <v>22</v>
      </c>
      <c r="AY175" s="28">
        <v>2</v>
      </c>
      <c r="AZ175" s="31"/>
      <c r="BA175" s="30"/>
      <c r="BB175">
        <v>60</v>
      </c>
      <c r="BC175">
        <v>64</v>
      </c>
      <c r="BD175">
        <v>69</v>
      </c>
      <c r="BE175" s="27">
        <v>-65</v>
      </c>
      <c r="BF175" s="31">
        <v>64.72</v>
      </c>
      <c r="BG175" s="24">
        <v>8</v>
      </c>
      <c r="BH175">
        <v>8</v>
      </c>
      <c r="BI175" s="28">
        <v>0</v>
      </c>
      <c r="BJ175" s="31"/>
      <c r="BM175">
        <v>56</v>
      </c>
      <c r="BN175">
        <v>55</v>
      </c>
      <c r="BO175" s="28">
        <v>1</v>
      </c>
      <c r="BP175" s="31"/>
      <c r="BQ175">
        <v>112</v>
      </c>
      <c r="BR175">
        <v>112</v>
      </c>
      <c r="BS175" s="28">
        <v>0</v>
      </c>
      <c r="BT175" s="31"/>
      <c r="BU175" s="24">
        <v>72</v>
      </c>
      <c r="BV175">
        <v>75</v>
      </c>
      <c r="BW175" s="28">
        <v>-3</v>
      </c>
      <c r="BX175" s="31"/>
      <c r="BY175" s="24">
        <v>40</v>
      </c>
      <c r="BZ175">
        <v>40</v>
      </c>
      <c r="CA175" s="28">
        <v>0</v>
      </c>
      <c r="CB175" s="31"/>
      <c r="CC175">
        <v>88</v>
      </c>
      <c r="CD175">
        <v>86</v>
      </c>
      <c r="CE175" s="28">
        <v>2</v>
      </c>
      <c r="CF175" s="31"/>
      <c r="CG175" s="30"/>
      <c r="CJ175" s="28">
        <v>0</v>
      </c>
      <c r="CK175" s="31"/>
      <c r="CL175" s="30"/>
      <c r="CN175">
        <v>80</v>
      </c>
      <c r="CO175">
        <v>85</v>
      </c>
      <c r="CP175" s="28">
        <v>-5</v>
      </c>
      <c r="CQ175" s="31"/>
      <c r="CR175" s="24">
        <v>88</v>
      </c>
      <c r="CT175">
        <v>90</v>
      </c>
      <c r="CU175" s="28">
        <v>-2</v>
      </c>
      <c r="CV175" s="31"/>
      <c r="CW175">
        <v>64</v>
      </c>
      <c r="CX175" s="28">
        <v>64.600000000000009</v>
      </c>
      <c r="CY175" s="28">
        <v>-0.60000000000000853</v>
      </c>
      <c r="CZ175" s="31"/>
      <c r="DA175" s="24">
        <v>56</v>
      </c>
      <c r="DB175" s="28">
        <v>55</v>
      </c>
      <c r="DC175" s="28">
        <v>1</v>
      </c>
      <c r="DD175" s="31"/>
      <c r="DE175" s="24">
        <v>8</v>
      </c>
      <c r="DF175" s="28">
        <v>34.399999999999991</v>
      </c>
      <c r="DG175" s="27">
        <v>-26.399999999999991</v>
      </c>
      <c r="DH175" s="31">
        <v>7.3919999999999986</v>
      </c>
      <c r="DI175" s="30"/>
      <c r="DK175" s="28">
        <v>0</v>
      </c>
      <c r="DL175" s="31"/>
      <c r="DM175">
        <v>24</v>
      </c>
      <c r="DN175" s="32">
        <v>23.399999999999991</v>
      </c>
      <c r="DO175" s="28">
        <v>0.60000000000000853</v>
      </c>
      <c r="DP175" s="31"/>
      <c r="DQ175">
        <v>72</v>
      </c>
      <c r="DR175">
        <v>73</v>
      </c>
      <c r="DS175" s="28">
        <v>-1</v>
      </c>
      <c r="DT175" s="31"/>
      <c r="DU175" s="24">
        <v>40</v>
      </c>
      <c r="DW175">
        <v>40</v>
      </c>
      <c r="DX175" s="28">
        <v>0</v>
      </c>
      <c r="DY175" s="31"/>
      <c r="DZ175" s="24">
        <v>80</v>
      </c>
      <c r="EB175">
        <v>78</v>
      </c>
      <c r="EC175" s="28">
        <v>2</v>
      </c>
      <c r="ED175" s="31"/>
      <c r="EG175" s="28">
        <v>0</v>
      </c>
      <c r="EH175" s="31"/>
      <c r="EI175" s="30"/>
      <c r="EL175" s="32">
        <v>64</v>
      </c>
      <c r="EN175" s="28">
        <v>0</v>
      </c>
      <c r="EO175" s="31"/>
      <c r="ER175" s="28">
        <v>0</v>
      </c>
      <c r="ES175" s="31"/>
      <c r="ET175" s="30"/>
      <c r="EY175" s="31"/>
      <c r="FE175" s="31"/>
      <c r="FI175" s="31"/>
      <c r="FJ175" s="24"/>
      <c r="FM175" s="31"/>
      <c r="FN175" s="30"/>
      <c r="FQ175" s="31"/>
      <c r="FU175" s="31"/>
      <c r="FV175" s="30"/>
      <c r="FY175" s="31"/>
      <c r="FZ175" s="30"/>
      <c r="GC175" s="31"/>
      <c r="GE175" s="29"/>
      <c r="GG175" s="34"/>
      <c r="GK175" s="31"/>
      <c r="GN175" s="32"/>
      <c r="GO175" s="34"/>
      <c r="GS175" s="31"/>
      <c r="GW175" s="25"/>
      <c r="GX175" s="29"/>
      <c r="HA175" s="31"/>
      <c r="HB175" s="24"/>
      <c r="HE175" s="34"/>
      <c r="HG175" s="32"/>
      <c r="HI175" s="34"/>
      <c r="HM175" s="34"/>
      <c r="HQ175" s="31"/>
      <c r="HR175" s="29"/>
      <c r="HW175" s="34"/>
      <c r="IA175" s="34"/>
      <c r="IE175" s="34"/>
      <c r="IF175" s="33"/>
      <c r="II175" s="34"/>
    </row>
    <row r="176" spans="1:243" x14ac:dyDescent="0.25">
      <c r="A176" s="28" t="s">
        <v>308</v>
      </c>
      <c r="B176" s="29">
        <v>0.28000000000000003</v>
      </c>
      <c r="F176">
        <v>104</v>
      </c>
      <c r="G176">
        <v>104</v>
      </c>
      <c r="J176" s="24">
        <v>96</v>
      </c>
      <c r="K176" s="36">
        <v>100</v>
      </c>
      <c r="L176" s="36">
        <v>152</v>
      </c>
      <c r="M176" s="36">
        <v>144</v>
      </c>
      <c r="N176" s="35">
        <f t="shared" si="6"/>
        <v>4</v>
      </c>
      <c r="O176" s="31"/>
      <c r="P176" s="35"/>
      <c r="Q176">
        <v>200</v>
      </c>
      <c r="R176">
        <v>205</v>
      </c>
      <c r="S176" s="28">
        <v>-5</v>
      </c>
      <c r="T176" s="31"/>
      <c r="U176" s="24">
        <v>112</v>
      </c>
      <c r="V176">
        <v>114</v>
      </c>
      <c r="W176" s="28">
        <v>-2</v>
      </c>
      <c r="X176" s="31"/>
      <c r="Y176" s="24">
        <v>168</v>
      </c>
      <c r="Z176">
        <v>177</v>
      </c>
      <c r="AA176" s="28">
        <v>-9</v>
      </c>
      <c r="AB176" s="31"/>
      <c r="AC176">
        <v>208</v>
      </c>
      <c r="AD176">
        <v>210</v>
      </c>
      <c r="AE176" s="28">
        <v>-2</v>
      </c>
      <c r="AF176" s="31"/>
      <c r="AG176" s="30"/>
      <c r="AI176" s="28">
        <v>0</v>
      </c>
      <c r="AJ176" s="31"/>
      <c r="AK176">
        <v>232</v>
      </c>
      <c r="AL176">
        <v>234</v>
      </c>
      <c r="AM176" s="28">
        <v>-2</v>
      </c>
      <c r="AN176" s="31"/>
      <c r="AO176" s="30"/>
      <c r="AQ176" s="28">
        <v>0</v>
      </c>
      <c r="AR176" s="31"/>
      <c r="AS176" s="24">
        <v>128</v>
      </c>
      <c r="AT176">
        <v>131</v>
      </c>
      <c r="AU176" s="28">
        <v>-3</v>
      </c>
      <c r="AV176" s="31"/>
      <c r="AY176" s="28">
        <v>0</v>
      </c>
      <c r="AZ176" s="31"/>
      <c r="BA176" s="30"/>
      <c r="BE176" s="28">
        <v>0</v>
      </c>
      <c r="BF176" s="31"/>
      <c r="BG176" s="24">
        <v>96</v>
      </c>
      <c r="BH176">
        <v>95</v>
      </c>
      <c r="BI176" s="28">
        <v>1</v>
      </c>
      <c r="BJ176" s="31"/>
      <c r="BO176" s="28">
        <v>0</v>
      </c>
      <c r="BP176" s="31"/>
      <c r="BQ176">
        <v>8</v>
      </c>
      <c r="BR176">
        <v>8</v>
      </c>
      <c r="BS176" s="28">
        <v>0</v>
      </c>
      <c r="BT176" s="31"/>
      <c r="BU176" s="24">
        <v>48</v>
      </c>
      <c r="BV176">
        <v>50</v>
      </c>
      <c r="BW176" s="28">
        <v>-2</v>
      </c>
      <c r="BX176" s="31"/>
      <c r="BY176" s="30"/>
      <c r="CA176" s="28">
        <v>0</v>
      </c>
      <c r="CB176" s="31"/>
      <c r="CC176">
        <v>48</v>
      </c>
      <c r="CD176">
        <v>52</v>
      </c>
      <c r="CE176" s="28">
        <v>-4</v>
      </c>
      <c r="CF176" s="31"/>
      <c r="CG176" s="30"/>
      <c r="CJ176" s="28">
        <v>0</v>
      </c>
      <c r="CK176" s="31"/>
      <c r="CL176" s="30"/>
      <c r="CN176">
        <v>72</v>
      </c>
      <c r="CO176">
        <v>70</v>
      </c>
      <c r="CP176" s="28">
        <v>2</v>
      </c>
      <c r="CQ176" s="31"/>
      <c r="CR176" s="24">
        <v>56</v>
      </c>
      <c r="CT176">
        <v>56</v>
      </c>
      <c r="CU176" s="28">
        <v>0</v>
      </c>
      <c r="CV176" s="31"/>
      <c r="CW176">
        <v>48</v>
      </c>
      <c r="CX176" s="28">
        <v>48.600000000000009</v>
      </c>
      <c r="CY176" s="28">
        <v>-0.60000000000000853</v>
      </c>
      <c r="CZ176" s="31"/>
      <c r="DA176" s="24">
        <v>40</v>
      </c>
      <c r="DB176" s="28">
        <v>44</v>
      </c>
      <c r="DC176" s="28">
        <v>-4</v>
      </c>
      <c r="DD176" s="31"/>
      <c r="DE176" s="30"/>
      <c r="DG176" s="28">
        <v>0</v>
      </c>
      <c r="DH176" s="31"/>
      <c r="DI176" s="24">
        <v>24</v>
      </c>
      <c r="DJ176">
        <v>26</v>
      </c>
      <c r="DK176" s="28">
        <v>-2</v>
      </c>
      <c r="DL176" s="31"/>
      <c r="DO176" s="28">
        <v>0</v>
      </c>
      <c r="DP176" s="31"/>
      <c r="DS176" s="28">
        <v>0</v>
      </c>
      <c r="DT176" s="31"/>
      <c r="DU176" s="24">
        <v>48</v>
      </c>
      <c r="DW176">
        <v>49</v>
      </c>
      <c r="DX176" s="28">
        <v>-1</v>
      </c>
      <c r="DY176" s="31"/>
      <c r="DZ176" s="24">
        <v>48</v>
      </c>
      <c r="EB176">
        <v>48</v>
      </c>
      <c r="EC176" s="28">
        <v>0</v>
      </c>
      <c r="ED176" s="31"/>
      <c r="EG176" s="28">
        <v>0</v>
      </c>
      <c r="EH176" s="31"/>
      <c r="EI176" s="30"/>
      <c r="EL176">
        <v>40</v>
      </c>
      <c r="EN176" s="28">
        <v>0</v>
      </c>
      <c r="EO176" s="31"/>
      <c r="EP176" s="22">
        <v>32</v>
      </c>
      <c r="ER176" s="28">
        <v>0</v>
      </c>
      <c r="ES176" s="31"/>
      <c r="ET176" s="30"/>
      <c r="EY176" s="31"/>
      <c r="FE176" s="31"/>
      <c r="FI176" s="31"/>
      <c r="FJ176" s="24"/>
      <c r="FM176" s="31"/>
      <c r="FN176" s="30"/>
      <c r="FQ176" s="31"/>
      <c r="FU176" s="31"/>
      <c r="FV176" s="30"/>
      <c r="FY176" s="31"/>
      <c r="FZ176" s="30"/>
      <c r="GC176" s="31"/>
      <c r="GE176" s="29"/>
      <c r="GG176" s="34"/>
      <c r="GK176" s="31"/>
      <c r="GN176" s="32"/>
      <c r="GO176" s="34"/>
      <c r="GS176" s="31"/>
      <c r="GW176" s="25"/>
      <c r="GX176" s="29"/>
      <c r="HA176" s="31"/>
      <c r="HB176" s="24"/>
      <c r="HE176" s="34"/>
      <c r="HG176" s="32"/>
      <c r="HI176" s="34"/>
      <c r="HM176" s="34"/>
      <c r="HQ176" s="31"/>
      <c r="HR176" s="29"/>
      <c r="HW176" s="34"/>
      <c r="IA176" s="34"/>
      <c r="IE176" s="34"/>
      <c r="IF176" s="33"/>
      <c r="II176" s="34"/>
    </row>
    <row r="177" spans="1:243" x14ac:dyDescent="0.25">
      <c r="A177" s="28" t="s">
        <v>309</v>
      </c>
      <c r="B177" s="29">
        <v>0.4</v>
      </c>
      <c r="F177">
        <v>60</v>
      </c>
      <c r="G177">
        <v>60</v>
      </c>
      <c r="J177" s="30"/>
      <c r="K177" s="35"/>
      <c r="L177" s="35"/>
      <c r="M177" s="35"/>
      <c r="N177" s="35">
        <f t="shared" si="6"/>
        <v>0</v>
      </c>
      <c r="O177" s="31"/>
      <c r="P177" s="35"/>
      <c r="Q177">
        <v>456</v>
      </c>
      <c r="S177" s="28">
        <v>0</v>
      </c>
      <c r="T177" s="31"/>
      <c r="U177" s="30"/>
      <c r="W177" s="28">
        <v>0</v>
      </c>
      <c r="X177" s="31"/>
      <c r="Y177" s="30"/>
      <c r="AA177" s="28">
        <v>0</v>
      </c>
      <c r="AB177" s="31"/>
      <c r="AF177" s="31"/>
      <c r="AG177" s="30"/>
      <c r="AJ177" s="31"/>
      <c r="AN177" s="31"/>
      <c r="AO177" s="30"/>
      <c r="AR177" s="31"/>
      <c r="AS177" s="24"/>
      <c r="AV177" s="31"/>
      <c r="AZ177" s="31"/>
      <c r="BA177" s="30"/>
      <c r="BF177" s="31"/>
      <c r="BG177" s="24"/>
      <c r="BJ177" s="31"/>
      <c r="BP177" s="31"/>
      <c r="BT177" s="31"/>
      <c r="BU177" s="24"/>
      <c r="BX177" s="31"/>
      <c r="BY177" s="30"/>
      <c r="CB177" s="31"/>
      <c r="CF177" s="31"/>
      <c r="CG177" s="30"/>
      <c r="CK177" s="31"/>
      <c r="CL177" s="30"/>
      <c r="CQ177" s="31"/>
      <c r="CR177" s="24"/>
      <c r="CV177" s="31"/>
      <c r="CZ177" s="31"/>
      <c r="DA177" s="24"/>
      <c r="DB177" s="28"/>
      <c r="DD177" s="31"/>
      <c r="DE177" s="30"/>
      <c r="DH177" s="31"/>
      <c r="DI177" s="24"/>
      <c r="DL177" s="31"/>
      <c r="DP177" s="31"/>
      <c r="DR177" s="32"/>
      <c r="DT177" s="31"/>
      <c r="DU177" s="24"/>
      <c r="DY177" s="31"/>
      <c r="DZ177" s="24"/>
      <c r="ED177" s="31"/>
      <c r="EH177" s="31"/>
      <c r="EI177" s="30"/>
      <c r="EO177" s="31"/>
      <c r="ES177" s="31"/>
      <c r="ET177" s="30"/>
      <c r="EY177" s="31"/>
      <c r="FE177" s="31"/>
      <c r="FI177" s="31"/>
      <c r="FJ177" s="24"/>
      <c r="FM177" s="31"/>
      <c r="FN177" s="30"/>
      <c r="FQ177" s="31"/>
      <c r="FU177" s="31"/>
      <c r="FV177" s="30"/>
      <c r="FY177" s="31"/>
      <c r="FZ177" s="30"/>
      <c r="GC177" s="31"/>
      <c r="GE177" s="29"/>
      <c r="GG177" s="34"/>
      <c r="GK177" s="31"/>
      <c r="GN177" s="32"/>
      <c r="GO177" s="34"/>
      <c r="GS177" s="31"/>
      <c r="GW177" s="25"/>
      <c r="GX177" s="29"/>
      <c r="HA177" s="31"/>
      <c r="HB177" s="24"/>
      <c r="HE177" s="34"/>
      <c r="HG177" s="32"/>
      <c r="HI177" s="34"/>
      <c r="HM177" s="34"/>
      <c r="HQ177" s="31"/>
      <c r="HR177" s="29"/>
      <c r="HW177" s="34"/>
      <c r="IA177" s="34"/>
      <c r="IE177" s="34"/>
      <c r="IF177" s="33"/>
      <c r="II177" s="34"/>
    </row>
    <row r="178" spans="1:243" x14ac:dyDescent="0.25">
      <c r="A178" s="28" t="s">
        <v>310</v>
      </c>
      <c r="B178" s="29">
        <v>0.33</v>
      </c>
      <c r="J178" s="30"/>
      <c r="K178" s="35"/>
      <c r="L178" s="35"/>
      <c r="M178" s="35"/>
      <c r="N178" s="35">
        <f t="shared" si="6"/>
        <v>0</v>
      </c>
      <c r="O178" s="31"/>
      <c r="P178" s="35"/>
      <c r="S178" s="28">
        <v>0</v>
      </c>
      <c r="T178" s="31"/>
      <c r="U178" s="30"/>
      <c r="W178" s="28">
        <v>0</v>
      </c>
      <c r="X178" s="31"/>
      <c r="Y178" s="30"/>
      <c r="AA178" s="28">
        <v>0</v>
      </c>
      <c r="AB178" s="31"/>
      <c r="AE178" s="28">
        <v>0</v>
      </c>
      <c r="AF178" s="31"/>
      <c r="AG178" s="30"/>
      <c r="AI178" s="28">
        <v>0</v>
      </c>
      <c r="AJ178" s="31"/>
      <c r="AM178" s="28">
        <v>0</v>
      </c>
      <c r="AN178" s="31"/>
      <c r="AO178" s="30"/>
      <c r="AQ178" s="28">
        <v>0</v>
      </c>
      <c r="AR178" s="31"/>
      <c r="AS178" s="30"/>
      <c r="AU178" s="28">
        <v>0</v>
      </c>
      <c r="AV178" s="31"/>
      <c r="AY178" s="28">
        <v>0</v>
      </c>
      <c r="AZ178" s="31"/>
      <c r="BA178" s="30"/>
      <c r="BE178" s="28">
        <v>0</v>
      </c>
      <c r="BF178" s="31"/>
      <c r="BG178" s="30"/>
      <c r="BI178" s="28">
        <v>0</v>
      </c>
      <c r="BJ178" s="31"/>
      <c r="BO178" s="28">
        <v>0</v>
      </c>
      <c r="BP178" s="31"/>
      <c r="BS178" s="28">
        <v>0</v>
      </c>
      <c r="BT178" s="31"/>
      <c r="BU178" s="30"/>
      <c r="BW178" s="28">
        <v>0</v>
      </c>
      <c r="BX178" s="31"/>
      <c r="BY178" s="30"/>
      <c r="CA178" s="28">
        <v>0</v>
      </c>
      <c r="CB178" s="31"/>
      <c r="CE178" s="28">
        <v>0</v>
      </c>
      <c r="CF178" s="31"/>
      <c r="CG178" s="24">
        <v>24</v>
      </c>
      <c r="CI178">
        <v>22</v>
      </c>
      <c r="CJ178" s="28">
        <v>2</v>
      </c>
      <c r="CK178" s="31"/>
      <c r="CL178" s="30"/>
      <c r="CP178" s="28">
        <v>0</v>
      </c>
      <c r="CQ178" s="31"/>
      <c r="CR178" s="24">
        <v>24</v>
      </c>
      <c r="CT178">
        <v>28</v>
      </c>
      <c r="CU178" s="28">
        <v>-4</v>
      </c>
      <c r="CV178" s="31"/>
      <c r="CY178" s="28">
        <v>0</v>
      </c>
      <c r="CZ178" s="31"/>
      <c r="DA178" s="24">
        <v>8</v>
      </c>
      <c r="DB178" s="28">
        <v>8</v>
      </c>
      <c r="DC178" s="28">
        <v>0</v>
      </c>
      <c r="DD178" s="31"/>
      <c r="DE178" s="30"/>
      <c r="DG178" s="28">
        <v>0</v>
      </c>
      <c r="DH178" s="31"/>
      <c r="DI178" s="24">
        <v>16</v>
      </c>
      <c r="DJ178">
        <v>16</v>
      </c>
      <c r="DK178" s="28">
        <v>0</v>
      </c>
      <c r="DL178" s="31"/>
      <c r="DM178">
        <v>8</v>
      </c>
      <c r="DN178" s="32">
        <v>13</v>
      </c>
      <c r="DO178" s="28">
        <v>-5</v>
      </c>
      <c r="DP178" s="31"/>
      <c r="DS178" s="28">
        <v>0</v>
      </c>
      <c r="DT178" s="31"/>
      <c r="DU178" s="24">
        <v>16</v>
      </c>
      <c r="DW178">
        <v>17</v>
      </c>
      <c r="DX178" s="28">
        <v>-1</v>
      </c>
      <c r="DY178" s="31"/>
      <c r="DZ178" s="30"/>
      <c r="EC178" s="28">
        <v>0</v>
      </c>
      <c r="ED178" s="34"/>
      <c r="EH178" s="31"/>
      <c r="EI178" s="30"/>
      <c r="EO178" s="31"/>
      <c r="ES178" s="31"/>
      <c r="ET178" s="30"/>
      <c r="EY178" s="31"/>
      <c r="FE178" s="31"/>
      <c r="FI178" s="31"/>
      <c r="FJ178" s="24"/>
      <c r="FM178" s="31"/>
      <c r="FN178" s="30"/>
      <c r="FP178" s="29"/>
      <c r="FQ178" s="31"/>
      <c r="FU178" s="31"/>
      <c r="FV178" s="30"/>
      <c r="FW178" s="29"/>
      <c r="FY178" s="31"/>
      <c r="FZ178" s="30"/>
      <c r="GC178" s="31"/>
      <c r="GE178" s="29"/>
      <c r="GF178" s="32"/>
      <c r="GG178" s="34"/>
      <c r="GK178" s="31"/>
      <c r="GN178" s="32"/>
      <c r="GO178" s="34"/>
      <c r="GS178" s="31"/>
      <c r="GW178" s="25"/>
      <c r="GX178" s="29"/>
      <c r="HA178" s="31"/>
      <c r="HB178" s="24"/>
      <c r="HE178" s="34"/>
      <c r="HG178" s="32"/>
      <c r="HI178" s="34"/>
      <c r="HM178" s="34"/>
      <c r="HQ178" s="31"/>
      <c r="HR178" s="29"/>
      <c r="HW178" s="34"/>
      <c r="IA178" s="34"/>
      <c r="IE178" s="34"/>
      <c r="IF178" s="33"/>
      <c r="II178" s="34"/>
    </row>
    <row r="179" spans="1:243" x14ac:dyDescent="0.25">
      <c r="A179" s="28" t="s">
        <v>311</v>
      </c>
      <c r="B179" s="29">
        <v>0.3</v>
      </c>
      <c r="J179" s="30"/>
      <c r="K179" s="35"/>
      <c r="L179" s="36">
        <v>77</v>
      </c>
      <c r="M179" s="36">
        <v>83</v>
      </c>
      <c r="N179" s="35">
        <f t="shared" si="6"/>
        <v>-6</v>
      </c>
      <c r="O179" s="31"/>
      <c r="P179" s="35"/>
      <c r="Q179">
        <v>21</v>
      </c>
      <c r="R179">
        <v>21</v>
      </c>
      <c r="S179" s="28">
        <v>0</v>
      </c>
      <c r="T179" s="31"/>
      <c r="U179" s="24">
        <v>133</v>
      </c>
      <c r="V179">
        <v>134</v>
      </c>
      <c r="W179" s="28">
        <v>-1</v>
      </c>
      <c r="X179" s="31"/>
      <c r="Y179" s="30"/>
      <c r="AA179" s="28">
        <v>0</v>
      </c>
      <c r="AB179" s="31"/>
      <c r="AC179">
        <v>126</v>
      </c>
      <c r="AD179">
        <v>125</v>
      </c>
      <c r="AE179" s="28">
        <v>1</v>
      </c>
      <c r="AF179" s="31"/>
      <c r="AG179" s="24">
        <v>91</v>
      </c>
      <c r="AH179">
        <v>89</v>
      </c>
      <c r="AI179" s="28">
        <v>2</v>
      </c>
      <c r="AJ179" s="31"/>
      <c r="AM179" s="28">
        <v>0</v>
      </c>
      <c r="AN179" s="31"/>
      <c r="AO179" s="24">
        <v>133</v>
      </c>
      <c r="AP179">
        <v>132</v>
      </c>
      <c r="AQ179" s="28">
        <v>1</v>
      </c>
      <c r="AR179" s="31"/>
      <c r="AS179" s="30"/>
      <c r="AU179" s="28">
        <v>0</v>
      </c>
      <c r="AV179" s="31"/>
      <c r="AW179">
        <v>84</v>
      </c>
      <c r="AX179">
        <v>84</v>
      </c>
      <c r="AY179" s="28">
        <v>0</v>
      </c>
      <c r="AZ179" s="31"/>
      <c r="BA179" s="24">
        <v>14</v>
      </c>
      <c r="BB179">
        <v>14</v>
      </c>
      <c r="BC179">
        <v>21</v>
      </c>
      <c r="BD179">
        <v>21</v>
      </c>
      <c r="BE179" s="28">
        <v>0</v>
      </c>
      <c r="BF179" s="31"/>
      <c r="BG179" s="24">
        <v>7</v>
      </c>
      <c r="BH179">
        <v>7</v>
      </c>
      <c r="BI179" s="28">
        <v>0</v>
      </c>
      <c r="BJ179" s="31"/>
      <c r="BM179">
        <v>70</v>
      </c>
      <c r="BN179">
        <v>70</v>
      </c>
      <c r="BO179" s="28">
        <v>0</v>
      </c>
      <c r="BP179" s="31"/>
      <c r="BS179" s="28">
        <v>0</v>
      </c>
      <c r="BT179" s="31"/>
      <c r="BU179" s="24">
        <v>56</v>
      </c>
      <c r="BV179">
        <v>59</v>
      </c>
      <c r="BW179" s="28">
        <v>-3</v>
      </c>
      <c r="BX179" s="31"/>
      <c r="BY179" s="24">
        <v>28</v>
      </c>
      <c r="BZ179">
        <v>28</v>
      </c>
      <c r="CA179" s="28">
        <v>0</v>
      </c>
      <c r="CB179" s="31"/>
      <c r="CC179">
        <v>14</v>
      </c>
      <c r="CD179">
        <v>18</v>
      </c>
      <c r="CE179" s="28">
        <v>-4</v>
      </c>
      <c r="CF179" s="31"/>
      <c r="CG179" s="24">
        <v>42</v>
      </c>
      <c r="CI179">
        <v>41</v>
      </c>
      <c r="CJ179" s="28">
        <v>1</v>
      </c>
      <c r="CK179" s="31"/>
      <c r="CL179" s="30"/>
      <c r="CN179">
        <v>7</v>
      </c>
      <c r="CO179">
        <v>10</v>
      </c>
      <c r="CP179" s="28">
        <v>-3</v>
      </c>
      <c r="CQ179" s="31"/>
      <c r="CR179" s="24">
        <v>49</v>
      </c>
      <c r="CT179" s="28">
        <v>48</v>
      </c>
      <c r="CU179" s="28">
        <v>1</v>
      </c>
      <c r="CV179" s="31"/>
      <c r="CY179" s="28">
        <v>0</v>
      </c>
      <c r="CZ179" s="31"/>
      <c r="DA179" s="33"/>
      <c r="DC179" s="28">
        <v>0</v>
      </c>
      <c r="DD179" s="31"/>
      <c r="DE179" s="30"/>
      <c r="DG179" s="28">
        <v>0</v>
      </c>
      <c r="DH179" s="31"/>
      <c r="DI179" s="30">
        <v>98</v>
      </c>
      <c r="DJ179">
        <v>100</v>
      </c>
      <c r="DK179" s="28">
        <v>-2</v>
      </c>
      <c r="DL179" s="31"/>
      <c r="DO179" s="28">
        <v>0</v>
      </c>
      <c r="DP179" s="31"/>
      <c r="DS179" s="28">
        <v>0</v>
      </c>
      <c r="DT179" s="31"/>
      <c r="DU179" s="30"/>
      <c r="DX179" s="28">
        <v>0</v>
      </c>
      <c r="DY179" s="31"/>
      <c r="DZ179" s="30"/>
      <c r="EC179" s="28">
        <v>0</v>
      </c>
      <c r="ED179" s="34"/>
      <c r="EH179" s="31"/>
      <c r="EI179" s="30"/>
      <c r="EO179" s="31"/>
      <c r="ES179" s="31"/>
      <c r="ET179" s="30"/>
      <c r="EY179" s="31"/>
      <c r="FE179" s="31"/>
      <c r="FI179" s="31"/>
      <c r="FJ179" s="24"/>
      <c r="FM179" s="31"/>
      <c r="FN179" s="30"/>
      <c r="FP179" s="29"/>
      <c r="FQ179" s="31"/>
      <c r="FU179" s="31"/>
      <c r="FV179" s="30"/>
      <c r="FW179" s="29"/>
      <c r="FY179" s="31"/>
      <c r="FZ179" s="30"/>
      <c r="GC179" s="31"/>
      <c r="GE179" s="29"/>
      <c r="GF179" s="32"/>
      <c r="GG179" s="34"/>
      <c r="GK179" s="31"/>
      <c r="GN179" s="32"/>
      <c r="GO179" s="34"/>
      <c r="GS179" s="31"/>
      <c r="GW179" s="25"/>
      <c r="GX179" s="29"/>
      <c r="HA179" s="31"/>
      <c r="HB179" s="24"/>
      <c r="HE179" s="34"/>
      <c r="HG179" s="32"/>
      <c r="HI179" s="34"/>
      <c r="HM179" s="34"/>
      <c r="HQ179" s="31"/>
      <c r="HR179" s="29"/>
      <c r="HW179" s="34"/>
      <c r="IA179" s="34"/>
      <c r="IE179" s="34"/>
      <c r="IF179" s="33"/>
      <c r="II179" s="34"/>
    </row>
    <row r="180" spans="1:243" x14ac:dyDescent="0.25">
      <c r="A180" s="28" t="s">
        <v>312</v>
      </c>
      <c r="B180" s="29">
        <v>1</v>
      </c>
      <c r="J180" s="30"/>
      <c r="K180" s="35"/>
      <c r="L180" s="35"/>
      <c r="M180" s="35"/>
      <c r="N180" s="35">
        <f t="shared" si="6"/>
        <v>0</v>
      </c>
      <c r="O180" s="31"/>
      <c r="P180" s="35"/>
      <c r="Q180">
        <v>23</v>
      </c>
      <c r="S180" s="28">
        <v>23</v>
      </c>
      <c r="T180" s="31"/>
      <c r="U180" s="30"/>
      <c r="W180" s="28">
        <v>0</v>
      </c>
      <c r="X180" s="31"/>
      <c r="Y180" s="30"/>
      <c r="AA180" s="28">
        <v>0</v>
      </c>
      <c r="AB180" s="31"/>
      <c r="AF180" s="31"/>
      <c r="AG180" s="24"/>
      <c r="AJ180" s="31"/>
      <c r="AN180" s="31"/>
      <c r="AO180" s="24"/>
      <c r="AR180" s="31"/>
      <c r="AS180" s="30"/>
      <c r="AV180" s="31"/>
      <c r="AZ180" s="31"/>
      <c r="BA180" s="24"/>
      <c r="BF180" s="31"/>
      <c r="BG180" s="24"/>
      <c r="BJ180" s="31"/>
      <c r="BP180" s="31"/>
      <c r="BT180" s="31"/>
      <c r="BU180" s="24"/>
      <c r="BX180" s="31"/>
      <c r="BY180" s="24"/>
      <c r="CB180" s="31"/>
      <c r="CF180" s="31"/>
      <c r="CG180" s="24"/>
      <c r="CK180" s="31"/>
      <c r="CL180" s="30"/>
      <c r="CQ180" s="31"/>
      <c r="CR180" s="24"/>
      <c r="CV180" s="31"/>
      <c r="CZ180" s="31"/>
      <c r="DA180" s="33"/>
      <c r="DD180" s="31"/>
      <c r="DE180" s="30"/>
      <c r="DH180" s="31"/>
      <c r="DI180" s="30"/>
      <c r="DL180" s="31"/>
      <c r="DP180" s="31"/>
      <c r="DT180" s="31"/>
      <c r="DU180" s="30"/>
      <c r="DY180" s="31"/>
      <c r="DZ180" s="30"/>
      <c r="ED180" s="34"/>
      <c r="EH180" s="31"/>
      <c r="EI180" s="30"/>
      <c r="EO180" s="31"/>
      <c r="ES180" s="31"/>
      <c r="ET180" s="30"/>
      <c r="EY180" s="31"/>
      <c r="FE180" s="31"/>
      <c r="FI180" s="31"/>
      <c r="FJ180" s="24"/>
      <c r="FM180" s="31"/>
      <c r="FN180" s="30"/>
      <c r="FP180" s="29"/>
      <c r="FQ180" s="31"/>
      <c r="FU180" s="31"/>
      <c r="FV180" s="30"/>
      <c r="FW180" s="29"/>
      <c r="FY180" s="31"/>
      <c r="FZ180" s="30"/>
      <c r="GC180" s="31"/>
      <c r="GE180" s="29"/>
      <c r="GF180" s="32"/>
      <c r="GG180" s="34"/>
      <c r="GK180" s="31"/>
      <c r="GN180" s="32"/>
      <c r="GO180" s="34"/>
      <c r="GS180" s="31"/>
      <c r="GW180" s="25"/>
      <c r="GX180" s="29"/>
      <c r="HA180" s="31"/>
      <c r="HB180" s="24"/>
      <c r="HE180" s="34"/>
      <c r="HG180" s="32"/>
      <c r="HI180" s="34"/>
      <c r="HM180" s="34"/>
      <c r="HQ180" s="31"/>
      <c r="HR180" s="29"/>
      <c r="HW180" s="34"/>
      <c r="IA180" s="34"/>
      <c r="IE180" s="34"/>
      <c r="IF180" s="33"/>
      <c r="II180" s="34"/>
    </row>
    <row r="181" spans="1:243" x14ac:dyDescent="0.25">
      <c r="A181" s="28" t="s">
        <v>313</v>
      </c>
      <c r="B181" s="29">
        <v>0.25</v>
      </c>
      <c r="J181" s="30"/>
      <c r="K181" s="35"/>
      <c r="L181" s="35"/>
      <c r="M181" s="35"/>
      <c r="N181" s="35">
        <f t="shared" si="6"/>
        <v>0</v>
      </c>
      <c r="O181" s="31"/>
      <c r="P181" s="35"/>
      <c r="S181" s="28">
        <v>0</v>
      </c>
      <c r="T181" s="31"/>
      <c r="U181" s="30"/>
      <c r="W181" s="28">
        <v>0</v>
      </c>
      <c r="X181" s="31"/>
      <c r="Y181" s="30"/>
      <c r="AA181" s="28">
        <v>0</v>
      </c>
      <c r="AB181" s="31"/>
      <c r="AE181" s="28">
        <v>0</v>
      </c>
      <c r="AF181" s="31"/>
      <c r="AG181" s="30"/>
      <c r="AI181" s="28">
        <v>0</v>
      </c>
      <c r="AJ181" s="31"/>
      <c r="AM181" s="28">
        <v>0</v>
      </c>
      <c r="AN181" s="31"/>
      <c r="AO181" s="30"/>
      <c r="AQ181" s="28">
        <v>0</v>
      </c>
      <c r="AR181" s="31"/>
      <c r="AS181" s="30"/>
      <c r="AU181" s="28">
        <v>0</v>
      </c>
      <c r="AV181" s="31"/>
      <c r="AY181" s="28">
        <v>0</v>
      </c>
      <c r="AZ181" s="31"/>
      <c r="BA181" s="24">
        <v>16</v>
      </c>
      <c r="BE181" s="28">
        <v>16</v>
      </c>
      <c r="BF181" s="31"/>
      <c r="BG181" s="30"/>
      <c r="BI181" s="28">
        <v>0</v>
      </c>
      <c r="BJ181" s="31"/>
      <c r="BP181" s="31"/>
      <c r="BT181" s="31"/>
      <c r="BU181" s="24"/>
      <c r="BX181" s="31"/>
      <c r="BY181" s="24"/>
      <c r="CB181" s="31"/>
      <c r="CF181" s="31"/>
      <c r="CG181" s="24"/>
      <c r="CK181" s="31"/>
      <c r="CL181" s="30"/>
      <c r="CQ181" s="31"/>
      <c r="CR181" s="24"/>
      <c r="CV181" s="31"/>
      <c r="CZ181" s="31"/>
      <c r="DA181" s="33"/>
      <c r="DD181" s="31"/>
      <c r="DE181" s="30"/>
      <c r="DH181" s="31"/>
      <c r="DI181" s="30"/>
      <c r="DL181" s="31"/>
      <c r="DP181" s="31"/>
      <c r="DT181" s="31"/>
      <c r="DU181" s="30"/>
      <c r="DY181" s="31"/>
      <c r="DZ181" s="30"/>
      <c r="ED181" s="34"/>
      <c r="EH181" s="31"/>
      <c r="EI181" s="30"/>
      <c r="EM181" s="32"/>
      <c r="EO181" s="31"/>
      <c r="ES181" s="31"/>
      <c r="ET181" s="30"/>
      <c r="EY181" s="31"/>
      <c r="FE181" s="31"/>
      <c r="FI181" s="31"/>
      <c r="FJ181" s="24"/>
      <c r="FM181" s="31"/>
      <c r="FN181" s="30"/>
      <c r="FP181" s="29"/>
      <c r="FQ181" s="31"/>
      <c r="FU181" s="31"/>
      <c r="FV181" s="30"/>
      <c r="FW181" s="29"/>
      <c r="FY181" s="31"/>
      <c r="FZ181" s="30"/>
      <c r="GC181" s="31"/>
      <c r="GE181" s="29"/>
      <c r="GF181" s="32"/>
      <c r="GG181" s="34"/>
      <c r="GK181" s="31"/>
      <c r="GN181" s="32"/>
      <c r="GO181" s="34"/>
      <c r="GS181" s="31"/>
      <c r="GW181" s="25"/>
      <c r="GX181" s="29"/>
      <c r="HA181" s="31"/>
      <c r="HB181" s="24"/>
      <c r="HE181" s="34"/>
      <c r="HG181" s="32"/>
      <c r="HI181" s="34"/>
      <c r="HM181" s="34"/>
      <c r="HQ181" s="31"/>
      <c r="HR181" s="29"/>
      <c r="HW181" s="34"/>
      <c r="IA181" s="34"/>
      <c r="IE181" s="34"/>
      <c r="IF181" s="33"/>
      <c r="II181" s="34"/>
    </row>
    <row r="182" spans="1:243" x14ac:dyDescent="0.25">
      <c r="A182" s="28" t="s">
        <v>314</v>
      </c>
      <c r="B182" s="29">
        <v>0.4</v>
      </c>
      <c r="F182">
        <v>56</v>
      </c>
      <c r="G182">
        <v>60</v>
      </c>
      <c r="J182" s="30"/>
      <c r="K182" s="35"/>
      <c r="L182" s="35"/>
      <c r="M182" s="35"/>
      <c r="N182" s="35">
        <f t="shared" si="6"/>
        <v>0</v>
      </c>
      <c r="O182" s="31"/>
      <c r="P182" s="35"/>
      <c r="S182" s="28">
        <v>0</v>
      </c>
      <c r="T182" s="31"/>
      <c r="U182" s="24">
        <v>48</v>
      </c>
      <c r="W182" s="28">
        <v>0</v>
      </c>
      <c r="X182" s="31"/>
      <c r="Y182" s="30">
        <v>8</v>
      </c>
      <c r="AA182" s="28">
        <v>0</v>
      </c>
      <c r="AB182" s="31"/>
      <c r="AF182" s="31"/>
      <c r="AG182" s="30"/>
      <c r="AJ182" s="31"/>
      <c r="AN182" s="31"/>
      <c r="AO182" s="30"/>
      <c r="AR182" s="31"/>
      <c r="AS182" s="30"/>
      <c r="AV182" s="31"/>
      <c r="AZ182" s="31"/>
      <c r="BA182" s="24"/>
      <c r="BF182" s="31"/>
      <c r="BG182" s="30"/>
      <c r="BJ182" s="31"/>
      <c r="BP182" s="31"/>
      <c r="BT182" s="31"/>
      <c r="BU182" s="24"/>
      <c r="BX182" s="31"/>
      <c r="BY182" s="24"/>
      <c r="CB182" s="31"/>
      <c r="CF182" s="31"/>
      <c r="CG182" s="24"/>
      <c r="CK182" s="31"/>
      <c r="CL182" s="30"/>
      <c r="CQ182" s="31"/>
      <c r="CR182" s="24"/>
      <c r="CV182" s="31"/>
      <c r="CZ182" s="31"/>
      <c r="DA182" s="33"/>
      <c r="DD182" s="31"/>
      <c r="DE182" s="30"/>
      <c r="DH182" s="31"/>
      <c r="DI182" s="30"/>
      <c r="DL182" s="31"/>
      <c r="DM182" s="29"/>
      <c r="DP182" s="31"/>
      <c r="DT182" s="31"/>
      <c r="DU182" s="30"/>
      <c r="DV182" s="32"/>
      <c r="DY182" s="31"/>
      <c r="DZ182" s="30"/>
      <c r="ED182" s="34"/>
      <c r="EH182" s="31"/>
      <c r="EI182" s="30"/>
      <c r="EM182" s="32"/>
      <c r="EO182" s="31"/>
      <c r="ES182" s="31"/>
      <c r="ET182" s="30"/>
      <c r="EY182" s="31"/>
      <c r="FE182" s="31"/>
      <c r="FI182" s="31"/>
      <c r="FJ182" s="24"/>
      <c r="FM182" s="31"/>
      <c r="FN182" s="30"/>
      <c r="FP182" s="29"/>
      <c r="FQ182" s="31"/>
      <c r="FU182" s="31"/>
      <c r="FV182" s="30"/>
      <c r="FW182" s="29"/>
      <c r="FY182" s="31"/>
      <c r="FZ182" s="30"/>
      <c r="GC182" s="31"/>
      <c r="GE182" s="29"/>
      <c r="GF182" s="32"/>
      <c r="GG182" s="34"/>
      <c r="GK182" s="31"/>
      <c r="GN182" s="32"/>
      <c r="GO182" s="34"/>
      <c r="GS182" s="31"/>
      <c r="GW182" s="25"/>
      <c r="GX182" s="29"/>
      <c r="HA182" s="31"/>
      <c r="HB182" s="24"/>
      <c r="HE182" s="34"/>
      <c r="HG182" s="32"/>
      <c r="HI182" s="34"/>
      <c r="HM182" s="34"/>
      <c r="HQ182" s="31"/>
      <c r="HR182" s="29"/>
      <c r="HW182" s="34"/>
      <c r="IA182" s="34"/>
      <c r="IE182" s="34"/>
      <c r="IF182" s="33"/>
      <c r="II182" s="34"/>
    </row>
    <row r="183" spans="1:243" ht="15.75" customHeight="1" thickBot="1" x14ac:dyDescent="0.3">
      <c r="A183" s="28" t="s">
        <v>315</v>
      </c>
      <c r="B183" s="29">
        <v>0.18</v>
      </c>
      <c r="J183" s="18"/>
      <c r="K183" s="9"/>
      <c r="L183" s="9"/>
      <c r="M183" s="9"/>
      <c r="N183" s="9">
        <f t="shared" si="6"/>
        <v>0</v>
      </c>
      <c r="O183" s="14"/>
      <c r="P183" s="9"/>
      <c r="Q183" s="9"/>
      <c r="R183" s="9"/>
      <c r="S183" s="9">
        <v>0</v>
      </c>
      <c r="T183" s="14"/>
      <c r="U183" s="18"/>
      <c r="V183" s="9"/>
      <c r="W183" s="9">
        <v>0</v>
      </c>
      <c r="X183" s="14"/>
      <c r="Y183" s="18"/>
      <c r="Z183" s="9"/>
      <c r="AA183" s="9">
        <v>0</v>
      </c>
      <c r="AB183" s="14"/>
      <c r="AC183" s="9"/>
      <c r="AD183" s="9"/>
      <c r="AE183" s="9">
        <v>0</v>
      </c>
      <c r="AF183" s="14"/>
      <c r="AG183" s="18"/>
      <c r="AH183" s="9"/>
      <c r="AI183" s="9">
        <v>0</v>
      </c>
      <c r="AJ183" s="14"/>
      <c r="AK183" s="9"/>
      <c r="AL183" s="9"/>
      <c r="AM183" s="9">
        <v>0</v>
      </c>
      <c r="AN183" s="14"/>
      <c r="AO183" s="18"/>
      <c r="AP183" s="9"/>
      <c r="AQ183" s="9">
        <v>0</v>
      </c>
      <c r="AR183" s="14"/>
      <c r="AS183" s="18"/>
      <c r="AT183" s="9"/>
      <c r="AU183" s="9">
        <v>0</v>
      </c>
      <c r="AV183" s="14"/>
      <c r="AW183" s="9"/>
      <c r="AX183" s="9"/>
      <c r="AY183" s="9">
        <v>0</v>
      </c>
      <c r="AZ183" s="14"/>
      <c r="BA183" s="18"/>
      <c r="BB183" s="9"/>
      <c r="BC183" s="9"/>
      <c r="BD183" s="9"/>
      <c r="BE183" s="9">
        <v>0</v>
      </c>
      <c r="BF183" s="14"/>
      <c r="BG183" s="18"/>
      <c r="BH183" s="9"/>
      <c r="BI183" s="9">
        <v>0</v>
      </c>
      <c r="BJ183" s="14"/>
      <c r="BK183" s="9"/>
      <c r="BL183" s="9"/>
      <c r="BM183" s="9"/>
      <c r="BN183" s="9"/>
      <c r="BO183" s="9">
        <v>0</v>
      </c>
      <c r="BP183" s="14"/>
      <c r="BQ183" s="9"/>
      <c r="BR183" s="9"/>
      <c r="BS183" s="9">
        <v>0</v>
      </c>
      <c r="BT183" s="14"/>
      <c r="BU183" s="18"/>
      <c r="BV183" s="9"/>
      <c r="BW183" s="9">
        <v>0</v>
      </c>
      <c r="BX183" s="14"/>
      <c r="BY183" s="18"/>
      <c r="BZ183" s="9"/>
      <c r="CA183" s="9">
        <v>0</v>
      </c>
      <c r="CB183" s="14"/>
      <c r="CC183" s="9"/>
      <c r="CD183" s="9"/>
      <c r="CE183" s="9">
        <v>0</v>
      </c>
      <c r="CF183" s="14"/>
      <c r="CG183" s="18"/>
      <c r="CH183" s="9"/>
      <c r="CI183" s="9"/>
      <c r="CJ183" s="9">
        <v>0</v>
      </c>
      <c r="CK183" s="14"/>
      <c r="CL183" s="18"/>
      <c r="CM183" s="9"/>
      <c r="CN183" s="9"/>
      <c r="CO183" s="9"/>
      <c r="CP183" s="9">
        <v>0</v>
      </c>
      <c r="CQ183" s="14"/>
      <c r="CR183" s="18"/>
      <c r="CS183" s="9"/>
      <c r="CT183" s="9"/>
      <c r="CU183" s="9">
        <v>0</v>
      </c>
      <c r="CV183" s="14"/>
      <c r="CW183" s="9"/>
      <c r="CX183" s="9"/>
      <c r="CY183" s="9">
        <v>0</v>
      </c>
      <c r="CZ183" s="14"/>
      <c r="DA183" s="7"/>
      <c r="DB183" s="9"/>
      <c r="DC183" s="9">
        <v>0</v>
      </c>
      <c r="DD183" s="14"/>
      <c r="DE183" s="18"/>
      <c r="DF183" s="9"/>
      <c r="DG183" s="9">
        <v>0</v>
      </c>
      <c r="DH183" s="14"/>
      <c r="DI183" s="18"/>
      <c r="DJ183" s="9"/>
      <c r="DK183" s="9">
        <v>0</v>
      </c>
      <c r="DL183" s="14"/>
      <c r="DM183" s="9"/>
      <c r="DN183" s="9"/>
      <c r="DO183" s="9">
        <v>0</v>
      </c>
      <c r="DP183" s="14"/>
      <c r="DQ183" s="9"/>
      <c r="DR183" s="9"/>
      <c r="DS183" s="9">
        <v>0</v>
      </c>
      <c r="DT183" s="14"/>
      <c r="DU183" s="18"/>
      <c r="DV183" s="9"/>
      <c r="DW183" s="9"/>
      <c r="DX183" s="9">
        <v>0</v>
      </c>
      <c r="DY183" s="14"/>
      <c r="DZ183" s="18"/>
      <c r="EA183" s="9"/>
      <c r="EB183" s="9"/>
      <c r="EC183" s="9">
        <v>0</v>
      </c>
      <c r="ED183" s="14"/>
      <c r="EE183" s="8"/>
      <c r="EF183" s="9"/>
      <c r="EG183" s="9">
        <v>0</v>
      </c>
      <c r="EH183" s="14"/>
      <c r="EI183" s="18"/>
      <c r="EJ183" s="8"/>
      <c r="EK183" s="9"/>
      <c r="EL183" s="9"/>
      <c r="EM183" s="9"/>
      <c r="EN183" s="9">
        <v>0</v>
      </c>
      <c r="EO183" s="14"/>
      <c r="EP183" s="9"/>
      <c r="EQ183" s="9"/>
      <c r="ER183" s="9">
        <v>0</v>
      </c>
      <c r="ES183" s="14"/>
      <c r="ET183" s="18"/>
      <c r="EU183" s="9"/>
      <c r="EV183" s="9"/>
      <c r="EW183" s="9"/>
      <c r="EX183" s="9">
        <v>0</v>
      </c>
      <c r="EY183" s="14"/>
      <c r="EZ183" s="9"/>
      <c r="FA183" s="9"/>
      <c r="FB183" s="9"/>
      <c r="FC183" s="9"/>
      <c r="FD183" s="9">
        <v>0</v>
      </c>
      <c r="FE183" s="14"/>
      <c r="FF183" s="9"/>
      <c r="FG183" s="9"/>
      <c r="FH183" s="9">
        <v>0</v>
      </c>
      <c r="FI183" s="14"/>
      <c r="FJ183" s="18"/>
      <c r="FK183" s="9"/>
      <c r="FL183" s="9">
        <v>0</v>
      </c>
      <c r="FM183" s="14"/>
      <c r="FN183" s="18"/>
      <c r="FO183" s="9"/>
      <c r="FP183" s="9">
        <v>0</v>
      </c>
      <c r="FQ183" s="14"/>
      <c r="FR183" s="9"/>
      <c r="FS183" s="9"/>
      <c r="FT183" s="9">
        <v>0</v>
      </c>
      <c r="FU183" s="14"/>
      <c r="FV183" s="18"/>
      <c r="FW183" s="9"/>
      <c r="FX183" s="9">
        <v>0</v>
      </c>
      <c r="FY183" s="14"/>
      <c r="FZ183" s="18"/>
      <c r="GA183" s="9"/>
      <c r="GB183" s="9">
        <v>0</v>
      </c>
      <c r="GC183" s="14"/>
      <c r="GD183" s="9"/>
      <c r="GE183" s="9"/>
      <c r="GF183" s="9">
        <v>0</v>
      </c>
      <c r="GG183" s="10"/>
      <c r="GH183" s="9"/>
      <c r="GI183" s="8"/>
      <c r="GJ183" s="9">
        <v>0</v>
      </c>
      <c r="GK183" s="14"/>
      <c r="GL183" s="8"/>
      <c r="GM183" s="15"/>
      <c r="GN183" s="9">
        <v>0</v>
      </c>
      <c r="GO183" s="10"/>
      <c r="GP183" s="8"/>
      <c r="GQ183" s="15"/>
      <c r="GR183" s="9">
        <v>0</v>
      </c>
      <c r="GS183" s="14"/>
      <c r="GT183" s="9"/>
      <c r="GU183" s="9"/>
      <c r="GV183" s="9">
        <v>0</v>
      </c>
      <c r="GW183" s="10"/>
      <c r="GX183" s="15"/>
      <c r="GY183" s="8"/>
      <c r="GZ183" s="9">
        <v>0</v>
      </c>
      <c r="HA183" s="14"/>
      <c r="HB183" s="7"/>
      <c r="HC183" s="15"/>
      <c r="HD183" s="9">
        <v>0</v>
      </c>
      <c r="HE183" s="10"/>
      <c r="HF183" s="8"/>
      <c r="HG183" s="15"/>
      <c r="HH183" s="9">
        <v>0</v>
      </c>
      <c r="HI183" s="10"/>
      <c r="HJ183" s="8"/>
      <c r="HK183" s="8"/>
      <c r="HL183" s="9">
        <v>0</v>
      </c>
      <c r="HM183" s="10"/>
      <c r="HN183" s="9"/>
      <c r="HO183" s="8"/>
      <c r="HP183" s="9">
        <v>0</v>
      </c>
      <c r="HQ183" s="14"/>
      <c r="HR183" s="13">
        <v>40</v>
      </c>
      <c r="HS183" s="13">
        <v>40</v>
      </c>
      <c r="HT183" s="13">
        <v>30</v>
      </c>
      <c r="HU183" s="13">
        <v>32</v>
      </c>
      <c r="HV183" s="9">
        <v>-2</v>
      </c>
      <c r="HW183" s="10"/>
      <c r="HX183" s="8">
        <v>30</v>
      </c>
      <c r="HY183" s="8">
        <v>30</v>
      </c>
      <c r="HZ183" s="9">
        <v>0</v>
      </c>
      <c r="IA183" s="10"/>
      <c r="IB183" s="8">
        <v>0</v>
      </c>
      <c r="IC183" s="8">
        <v>0</v>
      </c>
      <c r="ID183" s="9">
        <v>0</v>
      </c>
      <c r="IE183" s="10"/>
      <c r="IF183" s="7">
        <v>0</v>
      </c>
      <c r="IG183" s="8">
        <v>0</v>
      </c>
      <c r="IH183" s="9">
        <v>0</v>
      </c>
      <c r="II183" s="10"/>
    </row>
  </sheetData>
  <autoFilter ref="A1:DN183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2025-11-21T11:55:22Z</dcterms:modified>
</cp:coreProperties>
</file>