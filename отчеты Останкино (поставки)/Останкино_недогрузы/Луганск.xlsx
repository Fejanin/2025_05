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E6A1C632-582A-4B31-9BD2-6285BB24A1C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Донецк!$A$1:$DY$184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18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3" i="1"/>
  <c r="T182" i="1"/>
  <c r="T168" i="1"/>
  <c r="T166" i="1"/>
  <c r="T133" i="1"/>
  <c r="T118" i="1"/>
  <c r="T32" i="1"/>
  <c r="T1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3" i="1"/>
  <c r="AB180" i="1"/>
  <c r="AB118" i="1"/>
  <c r="AB66" i="1"/>
  <c r="AB24" i="1"/>
  <c r="AB9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3" i="1"/>
  <c r="D2" i="1" l="1"/>
  <c r="C2" i="1"/>
  <c r="JT2" i="1" l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N2" i="1"/>
  <c r="M2" i="1"/>
  <c r="L2" i="1"/>
  <c r="J2" i="1"/>
  <c r="H2" i="1"/>
  <c r="G2" i="1"/>
  <c r="F2" i="1"/>
  <c r="E2" i="1"/>
  <c r="O2" i="1"/>
  <c r="I2" i="1"/>
  <c r="K2" i="1"/>
</calcChain>
</file>

<file path=xl/sharedStrings.xml><?xml version="1.0" encoding="utf-8"?>
<sst xmlns="http://schemas.openxmlformats.org/spreadsheetml/2006/main" count="462" uniqueCount="336">
  <si>
    <t>Номенклатура</t>
  </si>
  <si>
    <t>кооф</t>
  </si>
  <si>
    <t>29,12,пр</t>
  </si>
  <si>
    <t>26,12,пр</t>
  </si>
  <si>
    <t>19,12,пр</t>
  </si>
  <si>
    <t>05,01,</t>
  </si>
  <si>
    <t>28,12,</t>
  </si>
  <si>
    <t>разн.шт.</t>
  </si>
  <si>
    <t>недогруз вес</t>
  </si>
  <si>
    <t>22,12,</t>
  </si>
  <si>
    <t>21,12,</t>
  </si>
  <si>
    <t>15,12,</t>
  </si>
  <si>
    <t>16,12,пр</t>
  </si>
  <si>
    <t>14,12,</t>
  </si>
  <si>
    <t>12,12,пр</t>
  </si>
  <si>
    <t>11,12,пр</t>
  </si>
  <si>
    <t>08,12,</t>
  </si>
  <si>
    <t>15,12,пр</t>
  </si>
  <si>
    <t>12,12(2),пр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</si>
  <si>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</si>
  <si>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</si>
  <si>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</si>
  <si>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</si>
  <si>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</si>
  <si>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</si>
  <si>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</si>
  <si>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</si>
  <si>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</si>
  <si>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24,11,пр</t>
  </si>
  <si>
    <t>17,11,</t>
  </si>
  <si>
    <t>19,11,пр</t>
  </si>
  <si>
    <t>15,11,</t>
  </si>
  <si>
    <t>14,11,пр</t>
  </si>
  <si>
    <t>10,11,</t>
  </si>
  <si>
    <t>11,11,пр</t>
  </si>
  <si>
    <t>08,11,</t>
  </si>
  <si>
    <t>05,11,пр</t>
  </si>
  <si>
    <t>04,11,пр</t>
  </si>
  <si>
    <t>03,11,</t>
  </si>
  <si>
    <t>29,10,пр</t>
  </si>
  <si>
    <t>27,10,</t>
  </si>
  <si>
    <t>21,10,пр</t>
  </si>
  <si>
    <t>20,10,</t>
  </si>
  <si>
    <t>15,10,пр</t>
  </si>
  <si>
    <t>13,10,</t>
  </si>
  <si>
    <t>07,10,пр</t>
  </si>
  <si>
    <t>06,10,</t>
  </si>
  <si>
    <t>02,10,пр</t>
  </si>
  <si>
    <t>29,09,</t>
  </si>
  <si>
    <t>24,09,пр</t>
  </si>
  <si>
    <t>22,09,</t>
  </si>
  <si>
    <t>18,09,пр</t>
  </si>
  <si>
    <t>15,09,</t>
  </si>
  <si>
    <t>10,09,пр</t>
  </si>
  <si>
    <t>08,09,</t>
  </si>
  <si>
    <t>04,09,пр</t>
  </si>
  <si>
    <t>01,09,</t>
  </si>
  <si>
    <t>05,09,пр</t>
  </si>
  <si>
    <t>30,08,</t>
  </si>
  <si>
    <t>28,08,пр</t>
  </si>
  <si>
    <t>25,08,</t>
  </si>
  <si>
    <t>21,08,пр</t>
  </si>
  <si>
    <t>18,08,</t>
  </si>
  <si>
    <t>18,08,пр</t>
  </si>
  <si>
    <t>16,08,</t>
  </si>
  <si>
    <t>14,08,пр</t>
  </si>
  <si>
    <t>11,08,</t>
  </si>
  <si>
    <t>05,08,пр</t>
  </si>
  <si>
    <t>02,08,</t>
  </si>
  <si>
    <t>31,07,пр</t>
  </si>
  <si>
    <t>28,07,</t>
  </si>
  <si>
    <t>23,07,пр</t>
  </si>
  <si>
    <t>19,07,</t>
  </si>
  <si>
    <t>18,07(2),пр</t>
  </si>
  <si>
    <t>18,07,пр</t>
  </si>
  <si>
    <t>14,07,</t>
  </si>
  <si>
    <t>12,07,пр</t>
  </si>
  <si>
    <t>07,07,</t>
  </si>
  <si>
    <t>08,07,пр</t>
  </si>
  <si>
    <t>05,07,</t>
  </si>
  <si>
    <t>02,07(2),пр</t>
  </si>
  <si>
    <t>02,07(1),пр</t>
  </si>
  <si>
    <t>30,06,</t>
  </si>
  <si>
    <t>23,06,пр</t>
  </si>
  <si>
    <t>21,06,</t>
  </si>
  <si>
    <t>16,06,пр</t>
  </si>
  <si>
    <t>14,06,</t>
  </si>
  <si>
    <t>09,06,пр</t>
  </si>
  <si>
    <t>07,06,</t>
  </si>
  <si>
    <t>05,06,пр</t>
  </si>
  <si>
    <t>02,06,</t>
  </si>
  <si>
    <t>26,05,пр</t>
  </si>
  <si>
    <t>24,05,</t>
  </si>
  <si>
    <t>19,05,пр</t>
  </si>
  <si>
    <t>17,05,</t>
  </si>
  <si>
    <t>12,05(2),пр</t>
  </si>
  <si>
    <t>12,05,пр</t>
  </si>
  <si>
    <t>10,05,</t>
  </si>
  <si>
    <t>05,05(2),пр</t>
  </si>
  <si>
    <t>05,05,пр</t>
  </si>
  <si>
    <t>03,05,</t>
  </si>
  <si>
    <t>01,05,пр</t>
  </si>
  <si>
    <t>26,04,</t>
  </si>
  <si>
    <t>23,04,(2),пр</t>
  </si>
  <si>
    <t>23,04,пр</t>
  </si>
  <si>
    <t>21,04,</t>
  </si>
  <si>
    <t>21,04,пр</t>
  </si>
  <si>
    <t>19,04,</t>
  </si>
  <si>
    <t>16,04,пр</t>
  </si>
  <si>
    <t>12,04,</t>
  </si>
  <si>
    <t>10,04,пр</t>
  </si>
  <si>
    <t>07,04,</t>
  </si>
  <si>
    <t>07,04,пр</t>
  </si>
  <si>
    <t>05,04,</t>
  </si>
  <si>
    <t>02,04,пр</t>
  </si>
  <si>
    <t>31,03,</t>
  </si>
  <si>
    <t>31,03,пр</t>
  </si>
  <si>
    <t>29,03,</t>
  </si>
  <si>
    <t>25,03,пр</t>
  </si>
  <si>
    <t>23,03,</t>
  </si>
  <si>
    <t>17,03,пр</t>
  </si>
  <si>
    <t>15,03,</t>
  </si>
  <si>
    <t>12,03,пр</t>
  </si>
  <si>
    <t>08,03,</t>
  </si>
  <si>
    <t>04,03,пр</t>
  </si>
  <si>
    <t>03,03,</t>
  </si>
  <si>
    <t>26,02,пр</t>
  </si>
  <si>
    <t>24,02,</t>
  </si>
  <si>
    <t>17,02,пр</t>
  </si>
  <si>
    <t>15,02,</t>
  </si>
  <si>
    <t>10,02,пр</t>
  </si>
  <si>
    <t>08,02,</t>
  </si>
  <si>
    <t>03,02,пр</t>
  </si>
  <si>
    <t>01,02,</t>
  </si>
  <si>
    <t>28,01,пр</t>
  </si>
  <si>
    <t>27,01,</t>
  </si>
  <si>
    <t>21,01,пр</t>
  </si>
  <si>
    <t>20,01,</t>
  </si>
  <si>
    <t>13,01,пр</t>
  </si>
  <si>
    <t>11,01,</t>
  </si>
  <si>
    <t>09,01,пр</t>
  </si>
  <si>
    <t>06,01,</t>
  </si>
  <si>
    <t>03,01,пр</t>
  </si>
  <si>
    <t>30,12,</t>
  </si>
  <si>
    <t>25,12,пр</t>
  </si>
  <si>
    <t>23,12,</t>
  </si>
  <si>
    <t>28,11,пр</t>
  </si>
  <si>
    <t>25,11,</t>
  </si>
  <si>
    <t>12,11,</t>
  </si>
  <si>
    <t>09,11,</t>
  </si>
  <si>
    <t>08,11,пр</t>
  </si>
  <si>
    <t>02,11,</t>
  </si>
  <si>
    <t>15,07,пр</t>
  </si>
  <si>
    <t>06,07,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</si>
  <si>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</si>
  <si>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</si>
  <si>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</si>
  <si>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</si>
  <si>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</si>
  <si>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</si>
  <si>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</si>
  <si>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</si>
  <si>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</si>
  <si>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</si>
  <si>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</si>
  <si>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</si>
  <si>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</si>
  <si>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</si>
  <si>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</si>
  <si>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</si>
  <si>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</si>
  <si>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</si>
  <si>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</si>
  <si>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</si>
  <si>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</si>
  <si>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</si>
  <si>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</si>
  <si>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</si>
  <si>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</si>
  <si>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</si>
  <si>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</si>
  <si>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</si>
  <si>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</si>
  <si>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</si>
  <si>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</si>
  <si>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</si>
  <si>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</si>
  <si>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</si>
  <si>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</si>
  <si>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</si>
  <si>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</si>
  <si>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</si>
  <si>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</si>
  <si>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</si>
  <si>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</si>
  <si>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</si>
  <si>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</si>
  <si>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</si>
  <si>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</si>
  <si>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</si>
  <si>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6279 КОРЕЙКА ПО-ОСТ.к/в в/с с/н в/у 1/150_45с  Останкино</t>
  </si>
  <si>
    <t>6228 МЯСНОЕ АССОРТИ к/з с/н мгс 1/90 10шт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</si>
  <si>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</si>
  <si>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</si>
  <si>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</si>
  <si>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</si>
  <si>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</si>
  <si>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</si>
  <si>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</si>
  <si>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</si>
  <si>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</si>
  <si>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</si>
  <si>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</si>
  <si>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</si>
  <si>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</si>
  <si>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</si>
  <si>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</si>
  <si>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</si>
  <si>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</si>
  <si>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</si>
  <si>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</si>
  <si>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</si>
  <si>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</si>
  <si>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</si>
  <si>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</si>
  <si>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</si>
  <si>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</si>
  <si>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</si>
  <si>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</si>
  <si>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</si>
  <si>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</si>
  <si>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</si>
  <si>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</si>
  <si>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</si>
  <si>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</si>
  <si>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</si>
  <si>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</si>
  <si>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</si>
  <si>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</si>
  <si>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</si>
  <si>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</si>
  <si>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</si>
  <si>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</si>
  <si>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</si>
  <si>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</si>
  <si>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</si>
  <si>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</si>
  <si>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</si>
  <si>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</si>
  <si>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</si>
  <si>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</si>
  <si>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</si>
  <si>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</si>
  <si>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</si>
  <si>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</si>
  <si>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</si>
  <si>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</si>
  <si>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</si>
  <si>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</si>
  <si>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</si>
  <si>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</si>
  <si>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</si>
  <si>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</si>
  <si>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</si>
  <si>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</si>
  <si>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</si>
  <si>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</si>
  <si>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</si>
  <si>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</si>
  <si>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</si>
  <si>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</si>
  <si>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</si>
  <si>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</si>
  <si>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</si>
  <si>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</si>
  <si>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</si>
  <si>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</si>
  <si>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</si>
  <si>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</si>
  <si>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</si>
  <si>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</si>
  <si>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</si>
  <si>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</si>
  <si>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</si>
  <si>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</si>
  <si>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</si>
  <si>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</si>
  <si>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</si>
  <si>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</si>
  <si>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</si>
  <si>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</si>
  <si>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</si>
  <si>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</si>
  <si>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</si>
  <si>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</si>
  <si>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ГРУДИНКОЙ вар б/о в/у срез 0.4кг 8шт.</t>
  </si>
  <si>
    <t>6903 СОЧНЫЕ ПМ сос п/о мгс 0,41кг_osu  Останкино</t>
  </si>
  <si>
    <t>6909 ДЛЯ ДЕТЕЙ сос п/о мгс 0,33кг 8шт  Останкино</t>
  </si>
  <si>
    <t>6495 ВЕТЧ.МРАМОРНАЯ в/у срез 0,3кг 6шт_45с  Останкино</t>
  </si>
  <si>
    <t>6951 СЛИВОЧНЫЕ Папа может сос п/о мгс 1,5*4  Останкино</t>
  </si>
  <si>
    <t>6955 СОЧНЫЕ Папа может сос п/о мгс 1,5*4 А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</si>
  <si>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</si>
  <si>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</si>
  <si>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</si>
  <si>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</si>
  <si>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</si>
  <si>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</si>
  <si>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</si>
  <si>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</si>
  <si>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</si>
  <si>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</si>
  <si>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</si>
  <si>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</si>
  <si>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</si>
  <si>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</si>
  <si>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7134 САЛЯМИ ВЕНСКАЯ п/к в/у 0.84кг 6шт.</t>
  </si>
  <si>
    <t>7149 БАЛЫКОВАЯ Коровино п/к в/у 0,84кг_50с  Останкино</t>
  </si>
  <si>
    <t>7154 СЕРВЕЛАТ ЗЕРНИСТЫЙ ПМ в/к в/у 0,35кг_50с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</si>
  <si>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</si>
  <si>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</si>
  <si>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</si>
  <si>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</si>
  <si>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</si>
  <si>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</si>
  <si>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</si>
  <si>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</si>
  <si>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</si>
  <si>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</si>
  <si>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</si>
  <si>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</si>
  <si>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</si>
  <si>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7299 НАБОР ДЛЯ ПИЦЦЫ Папа Может с/к в/у  ОСТАНКИНО</t>
  </si>
  <si>
    <t>Ароматная с/к в/у 1/250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</si>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</sst>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164" fontId="0" fillId="0" borderId="1" xfId="0" applyNumberFormat="1" applyBorder="1"/>
    <xf numFmtId="1" fontId="1" fillId="2" borderId="1" xfId="1" applyNumberFormat="1" applyFill="1" applyBorder="1"/>
    <xf numFmtId="1" fontId="0" fillId="0" borderId="2" xfId="0" applyNumberFormat="1" applyBorder="1"/>
    <xf numFmtId="1" fontId="0" fillId="5" borderId="0" xfId="0" applyNumberFormat="1" applyFill="1"/>
    <xf numFmtId="1" fontId="1" fillId="4" borderId="4" xfId="1" applyNumberFormat="1" applyFill="1" applyBorder="1"/>
    <xf numFmtId="1" fontId="0" fillId="5" borderId="5" xfId="0" applyNumberFormat="1" applyFill="1" applyBorder="1"/>
    <xf numFmtId="1" fontId="0" fillId="0" borderId="6" xfId="0" applyNumberFormat="1" applyBorder="1"/>
    <xf numFmtId="1" fontId="0" fillId="0" borderId="7" xfId="0" applyNumberFormat="1" applyBorder="1"/>
    <xf numFmtId="164" fontId="0" fillId="0" borderId="7" xfId="0" applyNumberFormat="1" applyBorder="1"/>
    <xf numFmtId="1" fontId="0" fillId="0" borderId="8" xfId="0" applyNumberFormat="1" applyBorder="1"/>
    <xf numFmtId="1" fontId="1" fillId="4" borderId="1" xfId="1" applyNumberFormat="1" applyFill="1" applyBorder="1"/>
    <xf numFmtId="0" fontId="0" fillId="7" borderId="0" xfId="0" applyFill="1"/>
    <xf numFmtId="0" fontId="0" fillId="0" borderId="7" xfId="0" applyBorder="1"/>
    <xf numFmtId="164" fontId="0" fillId="0" borderId="8" xfId="0" applyNumberFormat="1" applyBorder="1"/>
    <xf numFmtId="165" fontId="0" fillId="0" borderId="7" xfId="0" applyNumberFormat="1" applyBorder="1"/>
    <xf numFmtId="2" fontId="0" fillId="0" borderId="0" xfId="0" applyNumberFormat="1"/>
    <xf numFmtId="164" fontId="0" fillId="0" borderId="2" xfId="0" applyNumberFormat="1" applyBorder="1"/>
    <xf numFmtId="164" fontId="0" fillId="0" borderId="6" xfId="0" applyNumberFormat="1" applyBorder="1"/>
    <xf numFmtId="0" fontId="0" fillId="6" borderId="0" xfId="0" applyFill="1"/>
    <xf numFmtId="1" fontId="1" fillId="2" borderId="0" xfId="1" applyNumberFormat="1" applyFill="1"/>
    <xf numFmtId="1" fontId="0" fillId="7" borderId="0" xfId="0" applyNumberFormat="1" applyFill="1"/>
    <xf numFmtId="164" fontId="0" fillId="7" borderId="0" xfId="0" applyNumberFormat="1" applyFill="1"/>
    <xf numFmtId="0" fontId="0" fillId="8" borderId="5" xfId="0" applyFill="1" applyBorder="1"/>
    <xf numFmtId="164" fontId="1" fillId="3" borderId="0" xfId="1" applyNumberFormat="1" applyFill="1"/>
    <xf numFmtId="164" fontId="0" fillId="6" borderId="0" xfId="0" applyNumberFormat="1" applyFill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5" xfId="0" applyNumberFormat="1" applyBorder="1"/>
    <xf numFmtId="0" fontId="0" fillId="0" borderId="5" xfId="0" applyBorder="1"/>
    <xf numFmtId="1" fontId="0" fillId="0" borderId="3" xfId="0" applyNumberFormat="1" applyBorder="1"/>
    <xf numFmtId="165" fontId="0" fillId="0" borderId="3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ill="1" applyBorder="1"/>
    <xf numFmtId="164" fontId="1" fillId="3" borderId="0" xfId="1" applyNumberFormat="1" applyFill="1" applyBorder="1"/>
    <xf numFmtId="164" fontId="1" fillId="3" borderId="3" xfId="1" applyNumberFormat="1" applyFill="1" applyBorder="1"/>
    <xf numFmtId="1" fontId="0" fillId="0" borderId="0" xfId="0" applyNumberFormat="1" applyBorder="1"/>
    <xf numFmtId="164" fontId="0" fillId="6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T18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5" x14ac:dyDescent="0.25"/>
  <cols>
    <col min="1" max="1" width="62.5703125" style="26" bestFit="1" customWidth="1"/>
    <col min="2" max="2" width="6.85546875" style="27" customWidth="1"/>
    <col min="3" max="10" width="10.7109375" style="26" customWidth="1"/>
    <col min="11" max="11" width="10.7109375" style="28" customWidth="1"/>
    <col min="12" max="21" width="10.7109375" style="26" customWidth="1"/>
    <col min="22" max="22" width="10.7109375" style="28" customWidth="1"/>
    <col min="23" max="100" width="10.7109375" style="26" customWidth="1"/>
    <col min="101" max="101" width="10.7109375" style="28" customWidth="1"/>
    <col min="102" max="103" width="10.7109375" style="26" customWidth="1"/>
    <col min="104" max="104" width="10.7109375" style="28" customWidth="1"/>
    <col min="105" max="107" width="10.7109375" style="26" customWidth="1"/>
    <col min="108" max="108" width="10.7109375" style="27" customWidth="1"/>
    <col min="109" max="109" width="10.7109375" style="28" customWidth="1"/>
    <col min="110" max="111" width="10.7109375" style="26" customWidth="1"/>
    <col min="112" max="112" width="10.7109375" style="28" customWidth="1"/>
    <col min="113" max="113" width="10.7109375" style="27" customWidth="1"/>
    <col min="114" max="115" width="10.7109375" style="28" customWidth="1"/>
    <col min="116" max="116" width="10.7109375" style="26" customWidth="1"/>
    <col min="117" max="117" width="10.7109375" style="28" customWidth="1"/>
    <col min="118" max="118" width="10.7109375" style="27" customWidth="1"/>
    <col min="119" max="119" width="10.7109375" style="26" customWidth="1"/>
    <col min="120" max="120" width="10.7109375" style="27" customWidth="1"/>
    <col min="121" max="121" width="10.7109375" style="28" customWidth="1"/>
    <col min="122" max="122" width="10.7109375" style="26" customWidth="1"/>
    <col min="123" max="123" width="10.7109375" style="28" customWidth="1"/>
    <col min="124" max="124" width="10.7109375" style="26" customWidth="1"/>
    <col min="125" max="127" width="10.7109375" style="28" customWidth="1"/>
    <col min="128" max="128" width="10.7109375" style="26" customWidth="1"/>
    <col min="129" max="129" width="10.7109375" style="28" customWidth="1"/>
    <col min="130" max="131" width="10.7109375" style="26" customWidth="1"/>
    <col min="132" max="227" width="9.140625" style="26" customWidth="1"/>
    <col min="228" max="16384" width="9.140625" style="26"/>
  </cols>
  <sheetData>
    <row r="1" spans="1:280" x14ac:dyDescent="0.25">
      <c r="A1" s="26" t="s">
        <v>0</v>
      </c>
      <c r="B1" s="27" t="s">
        <v>1</v>
      </c>
      <c r="C1" s="26" t="s">
        <v>7</v>
      </c>
      <c r="D1" s="26" t="s">
        <v>8</v>
      </c>
      <c r="E1" s="20" t="s">
        <v>5</v>
      </c>
      <c r="F1" s="20" t="s">
        <v>6</v>
      </c>
      <c r="G1" s="26" t="s">
        <v>7</v>
      </c>
      <c r="H1" s="26" t="s">
        <v>8</v>
      </c>
      <c r="I1" s="5" t="s">
        <v>3</v>
      </c>
      <c r="J1" s="2" t="s">
        <v>9</v>
      </c>
      <c r="K1" s="11" t="s">
        <v>2</v>
      </c>
      <c r="L1" s="2" t="s">
        <v>10</v>
      </c>
      <c r="M1" s="1" t="s">
        <v>7</v>
      </c>
      <c r="N1" s="17" t="s">
        <v>8</v>
      </c>
      <c r="O1" s="5" t="s">
        <v>4</v>
      </c>
      <c r="P1" s="2" t="s">
        <v>11</v>
      </c>
      <c r="Q1" s="11" t="s">
        <v>12</v>
      </c>
      <c r="R1" s="2" t="s">
        <v>13</v>
      </c>
      <c r="S1" s="1" t="s">
        <v>7</v>
      </c>
      <c r="T1" s="17" t="s">
        <v>8</v>
      </c>
      <c r="U1" s="5" t="s">
        <v>14</v>
      </c>
      <c r="V1" s="11" t="s">
        <v>15</v>
      </c>
      <c r="W1" s="2" t="s">
        <v>16</v>
      </c>
      <c r="X1" s="11" t="s">
        <v>17</v>
      </c>
      <c r="Y1" s="11" t="s">
        <v>18</v>
      </c>
      <c r="Z1" s="2" t="s">
        <v>19</v>
      </c>
      <c r="AA1" s="1" t="s">
        <v>7</v>
      </c>
      <c r="AB1" s="17" t="s">
        <v>8</v>
      </c>
      <c r="AC1" s="5" t="s">
        <v>20</v>
      </c>
      <c r="AD1" s="2" t="s">
        <v>21</v>
      </c>
      <c r="AE1" s="11" t="s">
        <v>22</v>
      </c>
      <c r="AF1" s="2" t="s">
        <v>23</v>
      </c>
      <c r="AG1" s="1" t="s">
        <v>7</v>
      </c>
      <c r="AH1" s="17" t="s">
        <v>8</v>
      </c>
      <c r="AI1" s="11" t="s">
        <v>24</v>
      </c>
      <c r="AJ1" s="2" t="s">
        <v>25</v>
      </c>
      <c r="AK1" s="11" t="s">
        <v>26</v>
      </c>
      <c r="AL1" s="2" t="s">
        <v>27</v>
      </c>
      <c r="AM1" s="1" t="s">
        <v>7</v>
      </c>
      <c r="AN1" s="17" t="s">
        <v>8</v>
      </c>
      <c r="AO1" s="5" t="s">
        <v>28</v>
      </c>
      <c r="AP1" s="2" t="s">
        <v>29</v>
      </c>
      <c r="AQ1" s="11" t="s">
        <v>30</v>
      </c>
      <c r="AR1" s="2" t="s">
        <v>31</v>
      </c>
      <c r="AS1" s="1" t="s">
        <v>7</v>
      </c>
      <c r="AT1" s="17" t="s">
        <v>8</v>
      </c>
      <c r="AU1" s="11" t="s">
        <v>32</v>
      </c>
      <c r="AV1" s="2" t="s">
        <v>33</v>
      </c>
      <c r="AW1" s="11" t="s">
        <v>34</v>
      </c>
      <c r="AX1" s="2" t="s">
        <v>35</v>
      </c>
      <c r="AY1" s="1" t="s">
        <v>7</v>
      </c>
      <c r="AZ1" s="17" t="s">
        <v>8</v>
      </c>
      <c r="BA1" s="11" t="s">
        <v>36</v>
      </c>
      <c r="BB1" s="11" t="s">
        <v>37</v>
      </c>
      <c r="BC1" s="2" t="s">
        <v>38</v>
      </c>
      <c r="BD1" s="1" t="s">
        <v>7</v>
      </c>
      <c r="BE1" s="17" t="s">
        <v>8</v>
      </c>
      <c r="BF1" s="5" t="s">
        <v>39</v>
      </c>
      <c r="BG1" s="2" t="s">
        <v>40</v>
      </c>
      <c r="BH1" s="1" t="s">
        <v>7</v>
      </c>
      <c r="BI1" s="17" t="s">
        <v>8</v>
      </c>
      <c r="BJ1" s="5" t="s">
        <v>41</v>
      </c>
      <c r="BK1" s="2" t="s">
        <v>42</v>
      </c>
      <c r="BL1" s="1" t="s">
        <v>7</v>
      </c>
      <c r="BM1" s="17" t="s">
        <v>8</v>
      </c>
      <c r="BN1" s="11" t="s">
        <v>43</v>
      </c>
      <c r="BO1" s="2" t="s">
        <v>44</v>
      </c>
      <c r="BP1" s="1" t="s">
        <v>7</v>
      </c>
      <c r="BQ1" s="17" t="s">
        <v>8</v>
      </c>
      <c r="BR1" s="5" t="s">
        <v>45</v>
      </c>
      <c r="BS1" s="2" t="s">
        <v>46</v>
      </c>
      <c r="BT1" s="1" t="s">
        <v>7</v>
      </c>
      <c r="BU1" s="17" t="s">
        <v>8</v>
      </c>
      <c r="BV1" s="11" t="s">
        <v>47</v>
      </c>
      <c r="BW1" s="2" t="s">
        <v>48</v>
      </c>
      <c r="BX1" s="1" t="s">
        <v>7</v>
      </c>
      <c r="BY1" s="17" t="s">
        <v>8</v>
      </c>
      <c r="BZ1" s="5" t="s">
        <v>49</v>
      </c>
      <c r="CA1" s="2" t="s">
        <v>50</v>
      </c>
      <c r="CB1" s="1" t="s">
        <v>7</v>
      </c>
      <c r="CC1" s="17" t="s">
        <v>8</v>
      </c>
      <c r="CD1" s="5" t="s">
        <v>51</v>
      </c>
      <c r="CE1" s="2" t="s">
        <v>52</v>
      </c>
      <c r="CF1" s="1" t="s">
        <v>7</v>
      </c>
      <c r="CG1" s="17" t="s">
        <v>8</v>
      </c>
      <c r="CH1" s="11" t="s">
        <v>53</v>
      </c>
      <c r="CI1" s="2" t="s">
        <v>54</v>
      </c>
      <c r="CJ1" s="1" t="s">
        <v>7</v>
      </c>
      <c r="CK1" s="17" t="s">
        <v>8</v>
      </c>
      <c r="CL1" s="5" t="s">
        <v>55</v>
      </c>
      <c r="CM1" s="2" t="s">
        <v>56</v>
      </c>
      <c r="CN1" s="11" t="s">
        <v>57</v>
      </c>
      <c r="CO1" s="2" t="s">
        <v>58</v>
      </c>
      <c r="CP1" s="1" t="s">
        <v>7</v>
      </c>
      <c r="CQ1" s="17" t="s">
        <v>8</v>
      </c>
      <c r="CR1" s="5" t="s">
        <v>59</v>
      </c>
      <c r="CS1" s="2" t="s">
        <v>60</v>
      </c>
      <c r="CT1" s="1" t="s">
        <v>7</v>
      </c>
      <c r="CU1" s="17" t="s">
        <v>8</v>
      </c>
      <c r="CV1" s="11" t="s">
        <v>61</v>
      </c>
      <c r="CW1" s="2" t="s">
        <v>62</v>
      </c>
      <c r="CX1" s="11" t="s">
        <v>63</v>
      </c>
      <c r="CY1" s="2" t="s">
        <v>64</v>
      </c>
      <c r="CZ1" s="1" t="s">
        <v>7</v>
      </c>
      <c r="DA1" s="17" t="s">
        <v>8</v>
      </c>
      <c r="DB1" s="11" t="s">
        <v>65</v>
      </c>
      <c r="DC1" s="2" t="s">
        <v>66</v>
      </c>
      <c r="DD1" s="1" t="s">
        <v>7</v>
      </c>
      <c r="DE1" s="17" t="s">
        <v>8</v>
      </c>
      <c r="DF1" s="5" t="s">
        <v>67</v>
      </c>
      <c r="DG1" s="2" t="s">
        <v>68</v>
      </c>
      <c r="DH1" s="1" t="s">
        <v>7</v>
      </c>
      <c r="DI1" s="17" t="s">
        <v>8</v>
      </c>
      <c r="DJ1" s="5" t="s">
        <v>69</v>
      </c>
      <c r="DK1" s="2" t="s">
        <v>70</v>
      </c>
      <c r="DL1" s="1" t="s">
        <v>7</v>
      </c>
      <c r="DM1" s="17" t="s">
        <v>8</v>
      </c>
      <c r="DN1" s="11" t="s">
        <v>71</v>
      </c>
      <c r="DO1" s="2" t="s">
        <v>72</v>
      </c>
      <c r="DP1" s="1" t="s">
        <v>7</v>
      </c>
      <c r="DQ1" s="17" t="s">
        <v>8</v>
      </c>
      <c r="DR1" s="5" t="s">
        <v>73</v>
      </c>
      <c r="DS1" s="11" t="s">
        <v>74</v>
      </c>
      <c r="DT1" s="2" t="s">
        <v>75</v>
      </c>
      <c r="DU1" s="1" t="s">
        <v>7</v>
      </c>
      <c r="DV1" s="17" t="s">
        <v>8</v>
      </c>
      <c r="DW1" s="5" t="s">
        <v>76</v>
      </c>
      <c r="DX1" s="2" t="s">
        <v>77</v>
      </c>
      <c r="DY1" s="11" t="s">
        <v>78</v>
      </c>
      <c r="DZ1" s="2" t="s">
        <v>79</v>
      </c>
      <c r="EA1" s="1" t="s">
        <v>7</v>
      </c>
      <c r="EB1" s="17" t="s">
        <v>8</v>
      </c>
      <c r="EC1" s="5" t="s">
        <v>80</v>
      </c>
      <c r="ED1" s="11" t="s">
        <v>81</v>
      </c>
      <c r="EE1" s="2" t="s">
        <v>82</v>
      </c>
      <c r="EF1" s="1" t="s">
        <v>7</v>
      </c>
      <c r="EG1" s="17" t="s">
        <v>8</v>
      </c>
      <c r="EH1" s="11" t="s">
        <v>83</v>
      </c>
      <c r="EI1" s="2" t="s">
        <v>84</v>
      </c>
      <c r="EJ1" s="1" t="s">
        <v>7</v>
      </c>
      <c r="EK1" s="17" t="s">
        <v>8</v>
      </c>
      <c r="EL1" s="5" t="s">
        <v>85</v>
      </c>
      <c r="EM1" s="2" t="s">
        <v>86</v>
      </c>
      <c r="EN1" s="1" t="s">
        <v>7</v>
      </c>
      <c r="EO1" s="17" t="s">
        <v>8</v>
      </c>
      <c r="EP1" s="5" t="s">
        <v>87</v>
      </c>
      <c r="EQ1" s="2" t="s">
        <v>88</v>
      </c>
      <c r="ER1" s="1" t="s">
        <v>7</v>
      </c>
      <c r="ES1" s="17" t="s">
        <v>8</v>
      </c>
      <c r="ET1" s="5" t="s">
        <v>89</v>
      </c>
      <c r="EU1" s="2" t="s">
        <v>90</v>
      </c>
      <c r="EV1" s="1" t="s">
        <v>7</v>
      </c>
      <c r="EW1" s="17" t="s">
        <v>8</v>
      </c>
      <c r="EX1" s="11" t="s">
        <v>91</v>
      </c>
      <c r="EY1" s="2" t="s">
        <v>92</v>
      </c>
      <c r="EZ1" s="1" t="s">
        <v>7</v>
      </c>
      <c r="FA1" s="17" t="s">
        <v>8</v>
      </c>
      <c r="FB1" s="11" t="s">
        <v>93</v>
      </c>
      <c r="FC1" s="2" t="s">
        <v>94</v>
      </c>
      <c r="FD1" s="1" t="s">
        <v>7</v>
      </c>
      <c r="FE1" s="17" t="s">
        <v>8</v>
      </c>
      <c r="FF1" s="5" t="s">
        <v>95</v>
      </c>
      <c r="FG1" s="11" t="s">
        <v>96</v>
      </c>
      <c r="FH1" s="2" t="s">
        <v>97</v>
      </c>
      <c r="FI1" s="1" t="s">
        <v>7</v>
      </c>
      <c r="FJ1" s="17" t="s">
        <v>8</v>
      </c>
      <c r="FK1" s="5" t="s">
        <v>98</v>
      </c>
      <c r="FL1" s="11" t="s">
        <v>99</v>
      </c>
      <c r="FM1" s="2" t="s">
        <v>100</v>
      </c>
      <c r="FN1" s="1" t="s">
        <v>7</v>
      </c>
      <c r="FO1" s="17" t="s">
        <v>8</v>
      </c>
      <c r="FP1" s="11" t="s">
        <v>101</v>
      </c>
      <c r="FQ1" s="2" t="s">
        <v>102</v>
      </c>
      <c r="FR1" s="1" t="s">
        <v>7</v>
      </c>
      <c r="FS1" s="17" t="s">
        <v>8</v>
      </c>
      <c r="FT1" s="5" t="s">
        <v>103</v>
      </c>
      <c r="FU1" s="11" t="s">
        <v>104</v>
      </c>
      <c r="FV1" s="2" t="s">
        <v>105</v>
      </c>
      <c r="FW1" s="11" t="s">
        <v>106</v>
      </c>
      <c r="FX1" s="2" t="s">
        <v>107</v>
      </c>
      <c r="FY1" s="1" t="s">
        <v>7</v>
      </c>
      <c r="FZ1" s="17" t="s">
        <v>8</v>
      </c>
      <c r="GA1" s="11" t="s">
        <v>108</v>
      </c>
      <c r="GB1" s="2" t="s">
        <v>109</v>
      </c>
      <c r="GC1" s="1" t="s">
        <v>7</v>
      </c>
      <c r="GD1" s="17" t="s">
        <v>8</v>
      </c>
      <c r="GE1" s="5" t="s">
        <v>110</v>
      </c>
      <c r="GF1" s="2" t="s">
        <v>111</v>
      </c>
      <c r="GG1" s="11" t="s">
        <v>112</v>
      </c>
      <c r="GH1" s="2" t="s">
        <v>113</v>
      </c>
      <c r="GI1" s="1" t="s">
        <v>7</v>
      </c>
      <c r="GJ1" s="17" t="s">
        <v>8</v>
      </c>
      <c r="GK1" s="11" t="s">
        <v>114</v>
      </c>
      <c r="GL1" s="2" t="s">
        <v>115</v>
      </c>
      <c r="GM1" s="5" t="s">
        <v>116</v>
      </c>
      <c r="GN1" s="2" t="s">
        <v>117</v>
      </c>
      <c r="GO1" s="1" t="s">
        <v>7</v>
      </c>
      <c r="GP1" s="17" t="s">
        <v>8</v>
      </c>
      <c r="GQ1" s="11" t="s">
        <v>118</v>
      </c>
      <c r="GR1" s="2" t="s">
        <v>119</v>
      </c>
      <c r="GS1" s="1" t="s">
        <v>7</v>
      </c>
      <c r="GT1" s="17" t="s">
        <v>8</v>
      </c>
      <c r="GU1" s="5" t="s">
        <v>120</v>
      </c>
      <c r="GV1" s="2" t="s">
        <v>121</v>
      </c>
      <c r="GW1" s="1" t="s">
        <v>7</v>
      </c>
      <c r="GX1" s="17" t="s">
        <v>8</v>
      </c>
      <c r="GY1" s="5" t="s">
        <v>122</v>
      </c>
      <c r="GZ1" s="2" t="s">
        <v>123</v>
      </c>
      <c r="HA1" s="1" t="s">
        <v>7</v>
      </c>
      <c r="HB1" s="17" t="s">
        <v>8</v>
      </c>
      <c r="HC1" s="11" t="s">
        <v>124</v>
      </c>
      <c r="HD1" s="2" t="s">
        <v>125</v>
      </c>
      <c r="HE1" s="1" t="s">
        <v>7</v>
      </c>
      <c r="HF1" s="17" t="s">
        <v>8</v>
      </c>
      <c r="HG1" s="5" t="s">
        <v>126</v>
      </c>
      <c r="HH1" s="2" t="s">
        <v>127</v>
      </c>
      <c r="HI1" s="1" t="s">
        <v>7</v>
      </c>
      <c r="HJ1" s="17" t="s">
        <v>8</v>
      </c>
      <c r="HK1" s="5" t="s">
        <v>128</v>
      </c>
      <c r="HL1" s="2" t="s">
        <v>129</v>
      </c>
      <c r="HM1" s="1" t="s">
        <v>7</v>
      </c>
      <c r="HN1" s="17" t="s">
        <v>8</v>
      </c>
      <c r="HO1" s="11" t="s">
        <v>130</v>
      </c>
      <c r="HP1" s="2" t="s">
        <v>131</v>
      </c>
      <c r="HQ1" s="1" t="s">
        <v>7</v>
      </c>
      <c r="HR1" s="17" t="s">
        <v>8</v>
      </c>
      <c r="HS1" s="11" t="s">
        <v>132</v>
      </c>
      <c r="HT1" s="2" t="s">
        <v>133</v>
      </c>
      <c r="HU1" s="1" t="s">
        <v>7</v>
      </c>
      <c r="HV1" s="17" t="s">
        <v>8</v>
      </c>
      <c r="HW1" s="11" t="s">
        <v>134</v>
      </c>
      <c r="HX1" s="2" t="s">
        <v>135</v>
      </c>
      <c r="HY1" s="1" t="s">
        <v>7</v>
      </c>
      <c r="HZ1" s="3" t="s">
        <v>8</v>
      </c>
      <c r="IA1" s="11" t="s">
        <v>136</v>
      </c>
      <c r="IB1" s="2" t="s">
        <v>137</v>
      </c>
      <c r="IC1" s="1" t="s">
        <v>7</v>
      </c>
      <c r="ID1" s="17" t="s">
        <v>8</v>
      </c>
      <c r="IE1" s="11" t="s">
        <v>138</v>
      </c>
      <c r="IF1" s="2" t="s">
        <v>139</v>
      </c>
      <c r="IG1" s="1" t="s">
        <v>7</v>
      </c>
      <c r="IH1" s="17" t="s">
        <v>8</v>
      </c>
      <c r="II1" s="11" t="s">
        <v>140</v>
      </c>
      <c r="IJ1" s="2" t="s">
        <v>141</v>
      </c>
      <c r="IK1" s="1" t="s">
        <v>7</v>
      </c>
      <c r="IL1" s="17" t="s">
        <v>8</v>
      </c>
      <c r="IM1" s="5" t="s">
        <v>142</v>
      </c>
      <c r="IN1" s="2" t="s">
        <v>143</v>
      </c>
      <c r="IO1" s="1" t="s">
        <v>7</v>
      </c>
      <c r="IP1" s="3" t="s">
        <v>8</v>
      </c>
      <c r="IQ1" s="11" t="s">
        <v>144</v>
      </c>
      <c r="IR1" s="2" t="s">
        <v>145</v>
      </c>
      <c r="IS1" s="1" t="s">
        <v>7</v>
      </c>
      <c r="IT1" s="3" t="s">
        <v>8</v>
      </c>
      <c r="IU1" s="11" t="s">
        <v>12</v>
      </c>
      <c r="IV1" s="2" t="s">
        <v>13</v>
      </c>
      <c r="IW1" s="1" t="s">
        <v>7</v>
      </c>
      <c r="IX1" s="3" t="s">
        <v>8</v>
      </c>
      <c r="IY1" s="11" t="s">
        <v>22</v>
      </c>
      <c r="IZ1" s="2" t="s">
        <v>23</v>
      </c>
      <c r="JA1" s="1" t="s">
        <v>7</v>
      </c>
      <c r="JB1" s="3" t="s">
        <v>8</v>
      </c>
      <c r="JC1" s="11" t="s">
        <v>146</v>
      </c>
      <c r="JD1" s="2" t="s">
        <v>147</v>
      </c>
      <c r="JE1" s="11" t="s">
        <v>26</v>
      </c>
      <c r="JF1" s="2" t="s">
        <v>27</v>
      </c>
      <c r="JG1" s="1" t="s">
        <v>7</v>
      </c>
      <c r="JH1" s="3" t="s">
        <v>8</v>
      </c>
      <c r="JI1" s="11" t="s">
        <v>148</v>
      </c>
      <c r="JJ1" s="2" t="s">
        <v>149</v>
      </c>
      <c r="JK1" s="1" t="s">
        <v>7</v>
      </c>
      <c r="JL1" s="3" t="s">
        <v>8</v>
      </c>
      <c r="JM1" s="11" t="s">
        <v>150</v>
      </c>
      <c r="JN1" s="2" t="s">
        <v>151</v>
      </c>
      <c r="JO1" s="1" t="s">
        <v>7</v>
      </c>
      <c r="JP1" s="3" t="s">
        <v>8</v>
      </c>
      <c r="JQ1" s="5" t="s">
        <v>152</v>
      </c>
      <c r="JR1" s="2" t="s">
        <v>153</v>
      </c>
      <c r="JS1" s="1" t="s">
        <v>7</v>
      </c>
      <c r="JT1" s="3" t="s">
        <v>8</v>
      </c>
    </row>
    <row r="2" spans="1:280" x14ac:dyDescent="0.25">
      <c r="C2" s="24">
        <f t="shared" ref="C2:D2" si="0">SUM(C3:C184)</f>
        <v>0</v>
      </c>
      <c r="D2" s="24">
        <f t="shared" si="0"/>
        <v>0</v>
      </c>
      <c r="E2" s="24">
        <f t="shared" ref="E2:BQ2" si="1">SUM(E3:E184)</f>
        <v>6537</v>
      </c>
      <c r="F2" s="24">
        <f t="shared" si="1"/>
        <v>5775</v>
      </c>
      <c r="G2" s="24">
        <f t="shared" si="1"/>
        <v>0</v>
      </c>
      <c r="H2" s="24">
        <f t="shared" si="1"/>
        <v>0</v>
      </c>
      <c r="I2" s="37">
        <f>SUM(I3:I184)</f>
        <v>2585</v>
      </c>
      <c r="J2" s="38">
        <f t="shared" si="1"/>
        <v>2628</v>
      </c>
      <c r="K2" s="38">
        <f>SUM(K3:K184)</f>
        <v>2700</v>
      </c>
      <c r="L2" s="38">
        <f t="shared" si="1"/>
        <v>2785</v>
      </c>
      <c r="M2" s="38">
        <f t="shared" si="1"/>
        <v>-128</v>
      </c>
      <c r="N2" s="39">
        <f t="shared" si="1"/>
        <v>5.28</v>
      </c>
      <c r="O2" s="37">
        <f>SUM(O3:O184)</f>
        <v>6217</v>
      </c>
      <c r="P2" s="38">
        <f t="shared" si="1"/>
        <v>6342</v>
      </c>
      <c r="Q2" s="38">
        <f t="shared" si="1"/>
        <v>5601</v>
      </c>
      <c r="R2" s="38">
        <f t="shared" si="1"/>
        <v>6117</v>
      </c>
      <c r="S2" s="38">
        <f t="shared" si="1"/>
        <v>-641</v>
      </c>
      <c r="T2" s="39">
        <f t="shared" si="1"/>
        <v>384.69</v>
      </c>
      <c r="U2" s="37">
        <f t="shared" si="1"/>
        <v>1327</v>
      </c>
      <c r="V2" s="38">
        <f t="shared" si="1"/>
        <v>2131</v>
      </c>
      <c r="W2" s="38">
        <f t="shared" si="1"/>
        <v>3557</v>
      </c>
      <c r="X2" s="38">
        <f t="shared" si="1"/>
        <v>2343</v>
      </c>
      <c r="Y2" s="38">
        <f t="shared" si="1"/>
        <v>1606</v>
      </c>
      <c r="Z2" s="38">
        <f t="shared" si="1"/>
        <v>4169</v>
      </c>
      <c r="AA2" s="38">
        <f t="shared" si="1"/>
        <v>-319</v>
      </c>
      <c r="AB2" s="39">
        <f t="shared" si="1"/>
        <v>36.480000000000004</v>
      </c>
      <c r="AC2" s="37">
        <f t="shared" si="1"/>
        <v>3423</v>
      </c>
      <c r="AD2" s="38">
        <f t="shared" si="1"/>
        <v>3463.5294117647063</v>
      </c>
      <c r="AE2" s="38">
        <f t="shared" si="1"/>
        <v>4534</v>
      </c>
      <c r="AF2" s="38">
        <f t="shared" si="1"/>
        <v>4848.4705882352937</v>
      </c>
      <c r="AG2" s="38">
        <f t="shared" si="1"/>
        <v>-355</v>
      </c>
      <c r="AH2" s="39">
        <f t="shared" si="1"/>
        <v>142.16999999999999</v>
      </c>
      <c r="AI2" s="24">
        <f t="shared" si="1"/>
        <v>4034</v>
      </c>
      <c r="AJ2" s="24">
        <f t="shared" si="1"/>
        <v>4196</v>
      </c>
      <c r="AK2" s="24">
        <f t="shared" si="1"/>
        <v>3839</v>
      </c>
      <c r="AL2" s="24">
        <f t="shared" si="1"/>
        <v>4163</v>
      </c>
      <c r="AM2" s="24">
        <f t="shared" si="1"/>
        <v>-486</v>
      </c>
      <c r="AN2" s="24">
        <f t="shared" si="1"/>
        <v>55.05</v>
      </c>
      <c r="AO2" s="24">
        <f t="shared" si="1"/>
        <v>1858</v>
      </c>
      <c r="AP2" s="24">
        <f t="shared" si="1"/>
        <v>1865</v>
      </c>
      <c r="AQ2" s="24">
        <f t="shared" si="1"/>
        <v>3709</v>
      </c>
      <c r="AR2" s="24">
        <f t="shared" si="1"/>
        <v>3867</v>
      </c>
      <c r="AS2" s="24">
        <f t="shared" si="1"/>
        <v>-165</v>
      </c>
      <c r="AT2" s="24">
        <f t="shared" si="1"/>
        <v>20.350000000000001</v>
      </c>
      <c r="AU2" s="24">
        <f t="shared" si="1"/>
        <v>3524</v>
      </c>
      <c r="AV2" s="24">
        <f t="shared" si="1"/>
        <v>3568</v>
      </c>
      <c r="AW2" s="24">
        <f t="shared" si="1"/>
        <v>3382</v>
      </c>
      <c r="AX2" s="24">
        <f t="shared" si="1"/>
        <v>3712</v>
      </c>
      <c r="AY2" s="24">
        <f t="shared" si="1"/>
        <v>-374</v>
      </c>
      <c r="AZ2" s="24">
        <f t="shared" si="1"/>
        <v>252.64000000000001</v>
      </c>
      <c r="BA2" s="24">
        <f t="shared" si="1"/>
        <v>26</v>
      </c>
      <c r="BB2" s="24">
        <f t="shared" si="1"/>
        <v>7502</v>
      </c>
      <c r="BC2" s="24">
        <f t="shared" si="1"/>
        <v>7672</v>
      </c>
      <c r="BD2" s="24">
        <f t="shared" si="1"/>
        <v>-144</v>
      </c>
      <c r="BE2" s="24">
        <f t="shared" si="1"/>
        <v>67.67</v>
      </c>
      <c r="BF2" s="24">
        <f t="shared" si="1"/>
        <v>8264</v>
      </c>
      <c r="BG2" s="24">
        <f t="shared" si="1"/>
        <v>8680</v>
      </c>
      <c r="BH2" s="24">
        <f t="shared" si="1"/>
        <v>-416</v>
      </c>
      <c r="BI2" s="24">
        <f t="shared" si="1"/>
        <v>142.64000000000001</v>
      </c>
      <c r="BJ2" s="24">
        <f t="shared" si="1"/>
        <v>7778</v>
      </c>
      <c r="BK2" s="24">
        <f t="shared" si="1"/>
        <v>8104</v>
      </c>
      <c r="BL2" s="24">
        <f t="shared" si="1"/>
        <v>-326</v>
      </c>
      <c r="BM2" s="24">
        <f t="shared" si="1"/>
        <v>78.88000000000001</v>
      </c>
      <c r="BN2" s="24">
        <f t="shared" si="1"/>
        <v>7096</v>
      </c>
      <c r="BO2" s="24">
        <f t="shared" si="1"/>
        <v>7374</v>
      </c>
      <c r="BP2" s="24">
        <f t="shared" si="1"/>
        <v>-278</v>
      </c>
      <c r="BQ2" s="24">
        <f t="shared" si="1"/>
        <v>114.56</v>
      </c>
      <c r="BR2" s="24">
        <f t="shared" ref="BR2:EC2" si="2">SUM(BR3:BR184)</f>
        <v>7023</v>
      </c>
      <c r="BS2" s="24">
        <f t="shared" si="2"/>
        <v>7192</v>
      </c>
      <c r="BT2" s="24">
        <f t="shared" si="2"/>
        <v>-169</v>
      </c>
      <c r="BU2" s="24">
        <f t="shared" si="2"/>
        <v>56.120000000000005</v>
      </c>
      <c r="BV2" s="24">
        <f t="shared" si="2"/>
        <v>6649</v>
      </c>
      <c r="BW2" s="24">
        <f t="shared" si="2"/>
        <v>6750</v>
      </c>
      <c r="BX2" s="24">
        <f t="shared" si="2"/>
        <v>-101</v>
      </c>
      <c r="BY2" s="24">
        <f t="shared" si="2"/>
        <v>44.3</v>
      </c>
      <c r="BZ2" s="24">
        <f t="shared" si="2"/>
        <v>5779</v>
      </c>
      <c r="CA2" s="24">
        <f t="shared" si="2"/>
        <v>5958</v>
      </c>
      <c r="CB2" s="24">
        <f t="shared" si="2"/>
        <v>-179</v>
      </c>
      <c r="CC2" s="24">
        <f t="shared" si="2"/>
        <v>42.8</v>
      </c>
      <c r="CD2" s="24">
        <f t="shared" si="2"/>
        <v>4684</v>
      </c>
      <c r="CE2" s="24">
        <f t="shared" si="2"/>
        <v>5523</v>
      </c>
      <c r="CF2" s="24">
        <f t="shared" si="2"/>
        <v>-839</v>
      </c>
      <c r="CG2" s="24">
        <f t="shared" si="2"/>
        <v>787.4</v>
      </c>
      <c r="CH2" s="24">
        <f t="shared" si="2"/>
        <v>1018</v>
      </c>
      <c r="CI2" s="24">
        <f t="shared" si="2"/>
        <v>1081</v>
      </c>
      <c r="CJ2" s="24">
        <f t="shared" si="2"/>
        <v>-63</v>
      </c>
      <c r="CK2" s="24">
        <f t="shared" si="2"/>
        <v>37.449999999999996</v>
      </c>
      <c r="CL2" s="24">
        <f t="shared" si="2"/>
        <v>2831</v>
      </c>
      <c r="CM2" s="24">
        <f t="shared" si="2"/>
        <v>3160</v>
      </c>
      <c r="CN2" s="24">
        <f t="shared" si="2"/>
        <v>3410</v>
      </c>
      <c r="CO2" s="24">
        <f t="shared" si="2"/>
        <v>3646</v>
      </c>
      <c r="CP2" s="24">
        <f t="shared" si="2"/>
        <v>-565</v>
      </c>
      <c r="CQ2" s="24">
        <f t="shared" si="2"/>
        <v>598.79</v>
      </c>
      <c r="CR2" s="24">
        <f t="shared" si="2"/>
        <v>2462</v>
      </c>
      <c r="CS2" s="24">
        <f t="shared" si="2"/>
        <v>2571</v>
      </c>
      <c r="CT2" s="24">
        <f t="shared" si="2"/>
        <v>-109</v>
      </c>
      <c r="CU2" s="24">
        <f t="shared" si="2"/>
        <v>16.850000000000001</v>
      </c>
      <c r="CV2" s="24">
        <f t="shared" si="2"/>
        <v>863</v>
      </c>
      <c r="CW2" s="24">
        <f t="shared" si="2"/>
        <v>950</v>
      </c>
      <c r="CX2" s="24">
        <f t="shared" si="2"/>
        <v>5312</v>
      </c>
      <c r="CY2" s="24">
        <f t="shared" si="2"/>
        <v>5324</v>
      </c>
      <c r="CZ2" s="24">
        <f t="shared" si="2"/>
        <v>-99</v>
      </c>
      <c r="DA2" s="24">
        <f t="shared" si="2"/>
        <v>103.39999999999999</v>
      </c>
      <c r="DB2" s="24">
        <f t="shared" si="2"/>
        <v>2197</v>
      </c>
      <c r="DC2" s="24">
        <f t="shared" si="2"/>
        <v>2318</v>
      </c>
      <c r="DD2" s="24">
        <f t="shared" si="2"/>
        <v>-121</v>
      </c>
      <c r="DE2" s="24">
        <f t="shared" si="2"/>
        <v>13.4</v>
      </c>
      <c r="DF2" s="24">
        <f t="shared" si="2"/>
        <v>4131</v>
      </c>
      <c r="DG2" s="24">
        <f t="shared" si="2"/>
        <v>4210</v>
      </c>
      <c r="DH2" s="24">
        <f t="shared" si="2"/>
        <v>-79</v>
      </c>
      <c r="DI2" s="24">
        <f t="shared" si="2"/>
        <v>27.27</v>
      </c>
      <c r="DJ2" s="24">
        <f t="shared" si="2"/>
        <v>2999</v>
      </c>
      <c r="DK2" s="24">
        <f t="shared" si="2"/>
        <v>3128</v>
      </c>
      <c r="DL2" s="24">
        <f t="shared" si="2"/>
        <v>-129</v>
      </c>
      <c r="DM2" s="24">
        <f t="shared" si="2"/>
        <v>105.88</v>
      </c>
      <c r="DN2" s="24">
        <f t="shared" si="2"/>
        <v>3175</v>
      </c>
      <c r="DO2" s="24">
        <f t="shared" si="2"/>
        <v>3208</v>
      </c>
      <c r="DP2" s="24">
        <f t="shared" si="2"/>
        <v>-33</v>
      </c>
      <c r="DQ2" s="24">
        <f t="shared" si="2"/>
        <v>8</v>
      </c>
      <c r="DR2" s="24">
        <f t="shared" si="2"/>
        <v>2418</v>
      </c>
      <c r="DS2" s="24">
        <f t="shared" si="2"/>
        <v>39</v>
      </c>
      <c r="DT2" s="24">
        <f t="shared" si="2"/>
        <v>2481</v>
      </c>
      <c r="DU2" s="24">
        <f t="shared" si="2"/>
        <v>-24</v>
      </c>
      <c r="DV2" s="24">
        <f t="shared" si="2"/>
        <v>25.16</v>
      </c>
      <c r="DW2" s="24">
        <f t="shared" si="2"/>
        <v>433</v>
      </c>
      <c r="DX2" s="24">
        <f t="shared" si="2"/>
        <v>430</v>
      </c>
      <c r="DY2" s="24">
        <f t="shared" si="2"/>
        <v>3758</v>
      </c>
      <c r="DZ2" s="24">
        <f t="shared" si="2"/>
        <v>3799</v>
      </c>
      <c r="EA2" s="24">
        <f t="shared" si="2"/>
        <v>-38</v>
      </c>
      <c r="EB2" s="24">
        <f t="shared" si="2"/>
        <v>36.799999999999997</v>
      </c>
      <c r="EC2" s="24">
        <f t="shared" si="2"/>
        <v>4458</v>
      </c>
      <c r="ED2" s="24">
        <f t="shared" ref="ED2:GO2" si="3">SUM(ED3:ED184)</f>
        <v>12</v>
      </c>
      <c r="EE2" s="24">
        <f t="shared" si="3"/>
        <v>4579</v>
      </c>
      <c r="EF2" s="24">
        <f t="shared" si="3"/>
        <v>-109</v>
      </c>
      <c r="EG2" s="24">
        <f t="shared" si="3"/>
        <v>35.4</v>
      </c>
      <c r="EH2" s="24">
        <f t="shared" si="3"/>
        <v>4058</v>
      </c>
      <c r="EI2" s="24">
        <f t="shared" si="3"/>
        <v>4150.0834000000013</v>
      </c>
      <c r="EJ2" s="24">
        <f t="shared" si="3"/>
        <v>-92.083399999999969</v>
      </c>
      <c r="EK2" s="24">
        <f t="shared" si="3"/>
        <v>68.854599999999991</v>
      </c>
      <c r="EL2" s="24">
        <f t="shared" si="3"/>
        <v>1543</v>
      </c>
      <c r="EM2" s="24">
        <f t="shared" si="3"/>
        <v>1485.952</v>
      </c>
      <c r="EN2" s="24">
        <f t="shared" si="3"/>
        <v>57.04800000000003</v>
      </c>
      <c r="EO2" s="24">
        <f t="shared" si="3"/>
        <v>0</v>
      </c>
      <c r="EP2" s="24">
        <f t="shared" si="3"/>
        <v>2707</v>
      </c>
      <c r="EQ2" s="24">
        <f t="shared" si="3"/>
        <v>2788.2868000000003</v>
      </c>
      <c r="ER2" s="24">
        <f t="shared" si="3"/>
        <v>-81.286799999999886</v>
      </c>
      <c r="ES2" s="24">
        <f t="shared" si="3"/>
        <v>61.411799999999992</v>
      </c>
      <c r="ET2" s="24">
        <f t="shared" si="3"/>
        <v>1887</v>
      </c>
      <c r="EU2" s="24">
        <f t="shared" si="3"/>
        <v>1993</v>
      </c>
      <c r="EV2" s="24">
        <f t="shared" si="3"/>
        <v>-106</v>
      </c>
      <c r="EW2" s="24">
        <f t="shared" si="3"/>
        <v>35.540000000000006</v>
      </c>
      <c r="EX2" s="24">
        <f t="shared" si="3"/>
        <v>2874</v>
      </c>
      <c r="EY2" s="24">
        <f t="shared" si="3"/>
        <v>2929.4846000000002</v>
      </c>
      <c r="EZ2" s="24">
        <f t="shared" si="3"/>
        <v>-55.484600000000178</v>
      </c>
      <c r="FA2" s="24">
        <f t="shared" si="3"/>
        <v>54.695000000000007</v>
      </c>
      <c r="FB2" s="24">
        <f t="shared" si="3"/>
        <v>3901</v>
      </c>
      <c r="FC2" s="24">
        <f t="shared" si="3"/>
        <v>3935</v>
      </c>
      <c r="FD2" s="24">
        <f t="shared" si="3"/>
        <v>-34</v>
      </c>
      <c r="FE2" s="24">
        <f t="shared" si="3"/>
        <v>9.39</v>
      </c>
      <c r="FF2" s="24">
        <f t="shared" si="3"/>
        <v>1310</v>
      </c>
      <c r="FG2" s="24">
        <f t="shared" si="3"/>
        <v>103</v>
      </c>
      <c r="FH2" s="24">
        <f t="shared" si="3"/>
        <v>1415</v>
      </c>
      <c r="FI2" s="24">
        <f t="shared" si="3"/>
        <v>-2</v>
      </c>
      <c r="FJ2" s="24">
        <f t="shared" si="3"/>
        <v>0</v>
      </c>
      <c r="FK2" s="24">
        <f t="shared" si="3"/>
        <v>2194</v>
      </c>
      <c r="FL2" s="24">
        <f t="shared" si="3"/>
        <v>20</v>
      </c>
      <c r="FM2" s="24">
        <f t="shared" si="3"/>
        <v>2463</v>
      </c>
      <c r="FN2" s="24">
        <f t="shared" si="3"/>
        <v>-249</v>
      </c>
      <c r="FO2" s="24">
        <f t="shared" si="3"/>
        <v>226</v>
      </c>
      <c r="FP2" s="24">
        <f t="shared" si="3"/>
        <v>1511</v>
      </c>
      <c r="FQ2" s="24">
        <f t="shared" si="3"/>
        <v>1536.0814000000005</v>
      </c>
      <c r="FR2" s="24">
        <f t="shared" si="3"/>
        <v>-25.081400000000126</v>
      </c>
      <c r="FS2" s="24">
        <f t="shared" si="3"/>
        <v>0</v>
      </c>
      <c r="FT2" s="24">
        <f t="shared" si="3"/>
        <v>40</v>
      </c>
      <c r="FU2" s="24">
        <f t="shared" si="3"/>
        <v>1707</v>
      </c>
      <c r="FV2" s="24">
        <f t="shared" si="3"/>
        <v>1888</v>
      </c>
      <c r="FW2" s="24">
        <f t="shared" si="3"/>
        <v>2563</v>
      </c>
      <c r="FX2" s="24">
        <f t="shared" si="3"/>
        <v>2586</v>
      </c>
      <c r="FY2" s="24">
        <f t="shared" si="3"/>
        <v>-164</v>
      </c>
      <c r="FZ2" s="24">
        <f t="shared" si="3"/>
        <v>215</v>
      </c>
      <c r="GA2" s="24">
        <f t="shared" si="3"/>
        <v>2740</v>
      </c>
      <c r="GB2" s="24">
        <f t="shared" si="3"/>
        <v>2850.0293999999999</v>
      </c>
      <c r="GC2" s="24">
        <f t="shared" si="3"/>
        <v>-110.0294</v>
      </c>
      <c r="GD2" s="24">
        <f t="shared" si="3"/>
        <v>18.872</v>
      </c>
      <c r="GE2" s="24">
        <f t="shared" si="3"/>
        <v>413</v>
      </c>
      <c r="GF2" s="24">
        <f t="shared" si="3"/>
        <v>400</v>
      </c>
      <c r="GG2" s="24">
        <f t="shared" si="3"/>
        <v>1612</v>
      </c>
      <c r="GH2" s="24">
        <f t="shared" si="3"/>
        <v>1665</v>
      </c>
      <c r="GI2" s="24">
        <f t="shared" si="3"/>
        <v>-40</v>
      </c>
      <c r="GJ2" s="24">
        <f t="shared" si="3"/>
        <v>11.440000000000001</v>
      </c>
      <c r="GK2" s="24">
        <f t="shared" si="3"/>
        <v>1395</v>
      </c>
      <c r="GL2" s="24">
        <f t="shared" si="3"/>
        <v>1394</v>
      </c>
      <c r="GM2" s="24">
        <f t="shared" si="3"/>
        <v>2550</v>
      </c>
      <c r="GN2" s="24">
        <f t="shared" si="3"/>
        <v>2581</v>
      </c>
      <c r="GO2" s="24">
        <f t="shared" si="3"/>
        <v>-30</v>
      </c>
      <c r="GP2" s="24">
        <f t="shared" ref="GP2:JA2" si="4">SUM(GP3:GP184)</f>
        <v>11.440000000000001</v>
      </c>
      <c r="GQ2" s="24">
        <f t="shared" si="4"/>
        <v>2002</v>
      </c>
      <c r="GR2" s="24">
        <f t="shared" si="4"/>
        <v>2012.7349999999997</v>
      </c>
      <c r="GS2" s="24">
        <f t="shared" si="4"/>
        <v>-10.735000000000012</v>
      </c>
      <c r="GT2" s="24">
        <f t="shared" si="4"/>
        <v>8.24</v>
      </c>
      <c r="GU2" s="24">
        <f t="shared" si="4"/>
        <v>3168</v>
      </c>
      <c r="GV2" s="24">
        <f t="shared" si="4"/>
        <v>3135</v>
      </c>
      <c r="GW2" s="24">
        <f t="shared" si="4"/>
        <v>33</v>
      </c>
      <c r="GX2" s="24">
        <f t="shared" si="4"/>
        <v>4</v>
      </c>
      <c r="GY2" s="24">
        <f t="shared" si="4"/>
        <v>2204</v>
      </c>
      <c r="GZ2" s="24">
        <f t="shared" si="4"/>
        <v>2211</v>
      </c>
      <c r="HA2" s="24">
        <f t="shared" si="4"/>
        <v>-7</v>
      </c>
      <c r="HB2" s="24">
        <f t="shared" si="4"/>
        <v>6.7200000000000006</v>
      </c>
      <c r="HC2" s="24">
        <f t="shared" si="4"/>
        <v>1956</v>
      </c>
      <c r="HD2" s="24">
        <f t="shared" si="4"/>
        <v>1959</v>
      </c>
      <c r="HE2" s="24">
        <f t="shared" si="4"/>
        <v>-3</v>
      </c>
      <c r="HF2" s="24">
        <f t="shared" si="4"/>
        <v>0</v>
      </c>
      <c r="HG2" s="24">
        <f t="shared" si="4"/>
        <v>3080</v>
      </c>
      <c r="HH2" s="24">
        <f t="shared" si="4"/>
        <v>3297</v>
      </c>
      <c r="HI2" s="24">
        <f t="shared" si="4"/>
        <v>-217</v>
      </c>
      <c r="HJ2" s="24">
        <f t="shared" si="4"/>
        <v>81.8</v>
      </c>
      <c r="HK2" s="24">
        <f t="shared" si="4"/>
        <v>1608</v>
      </c>
      <c r="HL2" s="24">
        <f t="shared" si="4"/>
        <v>1632</v>
      </c>
      <c r="HM2" s="24">
        <f t="shared" si="4"/>
        <v>-24</v>
      </c>
      <c r="HN2" s="24">
        <f t="shared" si="4"/>
        <v>14</v>
      </c>
      <c r="HO2" s="24">
        <f t="shared" si="4"/>
        <v>1617</v>
      </c>
      <c r="HP2" s="24">
        <f t="shared" si="4"/>
        <v>1625</v>
      </c>
      <c r="HQ2" s="24">
        <f t="shared" si="4"/>
        <v>-8</v>
      </c>
      <c r="HR2" s="24">
        <f t="shared" si="4"/>
        <v>2.64</v>
      </c>
      <c r="HS2" s="24">
        <f t="shared" si="4"/>
        <v>2165</v>
      </c>
      <c r="HT2" s="24">
        <f t="shared" si="4"/>
        <v>2157</v>
      </c>
      <c r="HU2" s="24">
        <f t="shared" si="4"/>
        <v>8</v>
      </c>
      <c r="HV2" s="24">
        <f t="shared" si="4"/>
        <v>0</v>
      </c>
      <c r="HW2" s="24">
        <f t="shared" si="4"/>
        <v>1181</v>
      </c>
      <c r="HX2" s="24">
        <f t="shared" si="4"/>
        <v>1288.9999999999998</v>
      </c>
      <c r="HY2" s="24">
        <f t="shared" si="4"/>
        <v>-108.00000000000001</v>
      </c>
      <c r="HZ2" s="24">
        <f t="shared" si="4"/>
        <v>82</v>
      </c>
      <c r="IA2" s="24">
        <f t="shared" si="4"/>
        <v>1759</v>
      </c>
      <c r="IB2" s="24">
        <f t="shared" si="4"/>
        <v>1836</v>
      </c>
      <c r="IC2" s="24">
        <f t="shared" si="4"/>
        <v>-77</v>
      </c>
      <c r="ID2" s="24">
        <f t="shared" si="4"/>
        <v>34.4</v>
      </c>
      <c r="IE2" s="24">
        <f t="shared" si="4"/>
        <v>727</v>
      </c>
      <c r="IF2" s="24">
        <f t="shared" si="4"/>
        <v>781</v>
      </c>
      <c r="IG2" s="24">
        <f t="shared" si="4"/>
        <v>-54</v>
      </c>
      <c r="IH2" s="24">
        <f t="shared" si="4"/>
        <v>1.8</v>
      </c>
      <c r="II2" s="24">
        <f t="shared" si="4"/>
        <v>992</v>
      </c>
      <c r="IJ2" s="24">
        <f t="shared" si="4"/>
        <v>1012.1845999999999</v>
      </c>
      <c r="IK2" s="24">
        <f t="shared" si="4"/>
        <v>-20.184599999999982</v>
      </c>
      <c r="IL2" s="24">
        <f t="shared" si="4"/>
        <v>0</v>
      </c>
      <c r="IM2" s="24">
        <f t="shared" si="4"/>
        <v>1355</v>
      </c>
      <c r="IN2" s="24">
        <f t="shared" si="4"/>
        <v>1344.6</v>
      </c>
      <c r="IO2" s="24">
        <f t="shared" si="4"/>
        <v>10.4</v>
      </c>
      <c r="IP2" s="24">
        <f t="shared" si="4"/>
        <v>0</v>
      </c>
      <c r="IQ2" s="24">
        <f t="shared" si="4"/>
        <v>2124</v>
      </c>
      <c r="IR2" s="24">
        <f t="shared" si="4"/>
        <v>2108</v>
      </c>
      <c r="IS2" s="24">
        <f t="shared" si="4"/>
        <v>16</v>
      </c>
      <c r="IT2" s="24">
        <f t="shared" si="4"/>
        <v>0</v>
      </c>
      <c r="IU2" s="24">
        <f t="shared" si="4"/>
        <v>609</v>
      </c>
      <c r="IV2" s="24">
        <f t="shared" si="4"/>
        <v>602</v>
      </c>
      <c r="IW2" s="24">
        <f t="shared" si="4"/>
        <v>-7</v>
      </c>
      <c r="IX2" s="24">
        <f t="shared" si="4"/>
        <v>0</v>
      </c>
      <c r="IY2" s="24">
        <f t="shared" si="4"/>
        <v>466</v>
      </c>
      <c r="IZ2" s="24">
        <f t="shared" si="4"/>
        <v>469</v>
      </c>
      <c r="JA2" s="24">
        <f t="shared" si="4"/>
        <v>-3</v>
      </c>
      <c r="JB2" s="24">
        <f t="shared" ref="JB2:JT2" si="5">SUM(JB3:JB184)</f>
        <v>0</v>
      </c>
      <c r="JC2" s="24">
        <f t="shared" si="5"/>
        <v>2807</v>
      </c>
      <c r="JD2" s="24">
        <f t="shared" si="5"/>
        <v>2886</v>
      </c>
      <c r="JE2" s="24">
        <f t="shared" si="5"/>
        <v>2724</v>
      </c>
      <c r="JF2" s="24">
        <f t="shared" si="5"/>
        <v>2778</v>
      </c>
      <c r="JG2" s="24">
        <f t="shared" si="5"/>
        <v>-133</v>
      </c>
      <c r="JH2" s="24">
        <f t="shared" si="5"/>
        <v>70</v>
      </c>
      <c r="JI2" s="24">
        <f t="shared" si="5"/>
        <v>2922.3589999999999</v>
      </c>
      <c r="JJ2" s="24">
        <f t="shared" si="5"/>
        <v>2907</v>
      </c>
      <c r="JK2" s="24">
        <f t="shared" si="5"/>
        <v>15.359000000000041</v>
      </c>
      <c r="JL2" s="24">
        <f t="shared" si="5"/>
        <v>0</v>
      </c>
      <c r="JM2" s="24">
        <f t="shared" si="5"/>
        <v>1830.2590000000002</v>
      </c>
      <c r="JN2" s="24">
        <f t="shared" si="5"/>
        <v>1812.3815999999999</v>
      </c>
      <c r="JO2" s="24">
        <f t="shared" si="5"/>
        <v>17.877399999999998</v>
      </c>
      <c r="JP2" s="24">
        <f t="shared" si="5"/>
        <v>0</v>
      </c>
      <c r="JQ2" s="24">
        <f t="shared" si="5"/>
        <v>753.71799999999996</v>
      </c>
      <c r="JR2" s="24">
        <f t="shared" si="5"/>
        <v>759.41800000000001</v>
      </c>
      <c r="JS2" s="24">
        <f t="shared" si="5"/>
        <v>-5.7000000000000099</v>
      </c>
      <c r="JT2" s="24">
        <f t="shared" si="5"/>
        <v>3.85</v>
      </c>
    </row>
    <row r="3" spans="1:280" x14ac:dyDescent="0.25">
      <c r="A3" s="26" t="s">
        <v>154</v>
      </c>
      <c r="B3" s="27">
        <v>1</v>
      </c>
      <c r="I3" s="29"/>
      <c r="J3" s="35"/>
      <c r="K3" s="40"/>
      <c r="L3" s="35"/>
      <c r="M3" s="35">
        <f>I3+K3-J3-L3</f>
        <v>0</v>
      </c>
      <c r="N3" s="30"/>
      <c r="O3" s="29"/>
      <c r="P3" s="35"/>
      <c r="Q3" s="35"/>
      <c r="R3" s="35"/>
      <c r="S3" s="35">
        <f>O3+Q3-P3-R3</f>
        <v>0</v>
      </c>
      <c r="T3" s="30"/>
      <c r="U3" s="29"/>
      <c r="V3" s="40"/>
      <c r="W3" s="35"/>
      <c r="X3" s="35"/>
      <c r="Y3" s="35"/>
      <c r="Z3" s="35"/>
      <c r="AA3" s="35">
        <f>U3+V3+X3+Y3-W3-Z3</f>
        <v>0</v>
      </c>
      <c r="AB3" s="30"/>
      <c r="AC3" s="29"/>
      <c r="AD3" s="35"/>
      <c r="AE3" s="35"/>
      <c r="AF3" s="35"/>
      <c r="AG3" s="35">
        <v>0</v>
      </c>
      <c r="AH3" s="30"/>
      <c r="AI3" s="35"/>
      <c r="AM3" s="26">
        <v>0</v>
      </c>
      <c r="AN3" s="30"/>
      <c r="AO3" s="31"/>
      <c r="AS3" s="26">
        <v>0</v>
      </c>
      <c r="AT3" s="30"/>
      <c r="AY3" s="26">
        <v>0</v>
      </c>
      <c r="AZ3" s="30"/>
      <c r="BD3" s="26">
        <v>0</v>
      </c>
      <c r="BE3" s="30"/>
      <c r="BF3" s="29"/>
      <c r="BH3" s="26">
        <v>0</v>
      </c>
      <c r="BI3" s="30"/>
      <c r="BJ3" s="29"/>
      <c r="BL3" s="26">
        <v>0</v>
      </c>
      <c r="BM3" s="30"/>
      <c r="BP3" s="26">
        <v>0</v>
      </c>
      <c r="BQ3" s="30"/>
      <c r="BR3" s="29"/>
      <c r="BT3" s="26">
        <v>0</v>
      </c>
      <c r="BU3" s="30"/>
      <c r="BX3" s="26">
        <v>0</v>
      </c>
      <c r="BY3" s="30"/>
      <c r="BZ3" s="29"/>
      <c r="CB3" s="26">
        <v>0</v>
      </c>
      <c r="CC3" s="30"/>
      <c r="CD3" s="29"/>
      <c r="CF3" s="26">
        <v>0</v>
      </c>
      <c r="CG3" s="30"/>
      <c r="CJ3" s="26">
        <v>0</v>
      </c>
      <c r="CK3" s="30"/>
      <c r="CL3" s="29"/>
      <c r="CP3" s="26">
        <v>0</v>
      </c>
      <c r="CQ3" s="30"/>
      <c r="CR3" s="29"/>
      <c r="CT3" s="26">
        <v>0</v>
      </c>
      <c r="CU3" s="30"/>
      <c r="CZ3" s="26">
        <v>0</v>
      </c>
      <c r="DA3" s="30"/>
      <c r="DD3" s="26">
        <v>0</v>
      </c>
      <c r="DE3" s="30"/>
      <c r="DF3" s="29"/>
      <c r="DH3" s="26">
        <v>0</v>
      </c>
      <c r="DI3" s="30"/>
      <c r="DJ3" s="29"/>
      <c r="DL3" s="26">
        <v>0</v>
      </c>
      <c r="DM3" s="30"/>
      <c r="DP3" s="26">
        <v>0</v>
      </c>
      <c r="DQ3" s="30"/>
      <c r="DR3" s="29"/>
      <c r="DU3" s="26">
        <v>0</v>
      </c>
      <c r="DV3" s="30"/>
      <c r="DW3" s="29"/>
      <c r="EA3" s="26">
        <v>0</v>
      </c>
      <c r="EB3" s="30"/>
      <c r="EC3" s="29"/>
      <c r="EF3" s="26">
        <v>0</v>
      </c>
      <c r="EG3" s="30"/>
      <c r="EJ3" s="26">
        <v>0</v>
      </c>
      <c r="EK3" s="30"/>
      <c r="EL3" s="31"/>
      <c r="EN3" s="26">
        <v>0</v>
      </c>
      <c r="EO3" s="30"/>
      <c r="EP3" s="29"/>
      <c r="ER3" s="26">
        <v>0</v>
      </c>
      <c r="ES3" s="30"/>
      <c r="ET3" s="29"/>
      <c r="EV3" s="26">
        <v>0</v>
      </c>
      <c r="EW3" s="30"/>
      <c r="EZ3" s="26">
        <v>0</v>
      </c>
      <c r="FA3" s="30"/>
      <c r="FD3" s="26">
        <v>0</v>
      </c>
      <c r="FE3" s="30"/>
      <c r="FF3" s="29"/>
      <c r="FI3" s="26">
        <v>0</v>
      </c>
      <c r="FJ3" s="30"/>
      <c r="FK3" s="29"/>
      <c r="FN3" s="26">
        <v>0</v>
      </c>
      <c r="FO3" s="30"/>
      <c r="FR3" s="26">
        <v>0</v>
      </c>
      <c r="FS3" s="30"/>
      <c r="FT3" s="29"/>
      <c r="FY3" s="26">
        <v>0</v>
      </c>
      <c r="FZ3" s="30"/>
      <c r="GC3" s="26">
        <v>0</v>
      </c>
      <c r="GD3" s="30"/>
      <c r="GE3" s="29"/>
      <c r="GI3" s="26">
        <v>0</v>
      </c>
      <c r="GJ3" s="30"/>
      <c r="GO3" s="26">
        <v>0</v>
      </c>
      <c r="GP3" s="30"/>
      <c r="GS3" s="26">
        <v>0</v>
      </c>
      <c r="GT3" s="30"/>
      <c r="GU3" s="29"/>
      <c r="GW3" s="26">
        <v>0</v>
      </c>
      <c r="GX3" s="30"/>
      <c r="GY3" s="29"/>
      <c r="HA3" s="26">
        <v>0</v>
      </c>
      <c r="HB3" s="30"/>
      <c r="HE3" s="26">
        <v>0</v>
      </c>
      <c r="HF3" s="30"/>
      <c r="HG3" s="29"/>
      <c r="HI3" s="26">
        <v>0</v>
      </c>
      <c r="HJ3" s="30"/>
      <c r="HK3" s="29"/>
      <c r="HM3" s="26">
        <v>0</v>
      </c>
      <c r="HN3" s="30"/>
      <c r="HQ3" s="26">
        <v>0</v>
      </c>
      <c r="HR3" s="33"/>
      <c r="HU3" s="26">
        <v>0</v>
      </c>
      <c r="HV3" s="30"/>
      <c r="HW3" s="28">
        <v>33</v>
      </c>
      <c r="HX3" s="28">
        <v>30</v>
      </c>
      <c r="HY3" s="26">
        <v>3</v>
      </c>
      <c r="HZ3" s="33"/>
      <c r="IC3" s="26">
        <v>0</v>
      </c>
      <c r="ID3" s="30"/>
      <c r="IH3" s="33"/>
      <c r="IL3" s="30"/>
      <c r="IM3" s="32"/>
      <c r="IP3" s="33"/>
      <c r="IT3" s="33"/>
      <c r="IX3" s="33"/>
      <c r="JB3" s="30"/>
      <c r="JC3" s="27"/>
      <c r="JH3" s="33"/>
      <c r="JI3" s="28"/>
      <c r="JJ3" s="28"/>
      <c r="JL3" s="33"/>
      <c r="JM3" s="28"/>
      <c r="JN3" s="28"/>
      <c r="JP3" s="33"/>
      <c r="JQ3" s="31"/>
      <c r="JR3" s="28"/>
      <c r="JT3" s="33"/>
    </row>
    <row r="4" spans="1:280" x14ac:dyDescent="0.25">
      <c r="A4" s="26" t="s">
        <v>155</v>
      </c>
      <c r="B4" s="27">
        <v>0.4</v>
      </c>
      <c r="E4">
        <v>77</v>
      </c>
      <c r="F4">
        <v>77</v>
      </c>
      <c r="I4" s="29"/>
      <c r="J4" s="35"/>
      <c r="K4" s="40"/>
      <c r="L4" s="35"/>
      <c r="M4" s="35">
        <f t="shared" ref="M4:M67" si="6">I4+K4-J4-L4</f>
        <v>0</v>
      </c>
      <c r="N4" s="30"/>
      <c r="O4" s="32">
        <v>64</v>
      </c>
      <c r="P4" s="36">
        <v>70</v>
      </c>
      <c r="Q4" s="36">
        <v>64</v>
      </c>
      <c r="R4" s="36">
        <v>66</v>
      </c>
      <c r="S4" s="35">
        <f t="shared" ref="S4:S67" si="7">O4+Q4-P4-R4</f>
        <v>-8</v>
      </c>
      <c r="T4" s="30"/>
      <c r="U4" s="29"/>
      <c r="V4" s="40"/>
      <c r="W4" s="35"/>
      <c r="X4" s="35"/>
      <c r="Y4" s="36">
        <v>48</v>
      </c>
      <c r="Z4" s="36">
        <v>51</v>
      </c>
      <c r="AA4" s="35">
        <f t="shared" ref="AA4:AA67" si="8">U4+V4+X4+Y4-W4-Z4</f>
        <v>-3</v>
      </c>
      <c r="AB4" s="30"/>
      <c r="AC4" s="29"/>
      <c r="AD4" s="35"/>
      <c r="AE4" s="36">
        <v>48</v>
      </c>
      <c r="AF4" s="40">
        <v>51</v>
      </c>
      <c r="AG4" s="35">
        <v>-3</v>
      </c>
      <c r="AH4" s="30"/>
      <c r="AI4" s="35"/>
      <c r="AM4" s="26">
        <v>0</v>
      </c>
      <c r="AN4" s="30"/>
      <c r="AO4" s="32">
        <v>40</v>
      </c>
      <c r="AP4">
        <v>40</v>
      </c>
      <c r="AQ4">
        <v>80</v>
      </c>
      <c r="AR4">
        <v>80</v>
      </c>
      <c r="AS4" s="26">
        <v>0</v>
      </c>
      <c r="AT4" s="30"/>
      <c r="AU4">
        <v>8</v>
      </c>
      <c r="AV4">
        <v>8</v>
      </c>
      <c r="AY4" s="26">
        <v>0</v>
      </c>
      <c r="AZ4" s="30"/>
      <c r="BB4">
        <v>72</v>
      </c>
      <c r="BC4">
        <v>71</v>
      </c>
      <c r="BD4" s="26">
        <v>1</v>
      </c>
      <c r="BE4" s="30"/>
      <c r="BF4" s="32">
        <v>72</v>
      </c>
      <c r="BG4">
        <v>77</v>
      </c>
      <c r="BH4" s="26">
        <v>-5</v>
      </c>
      <c r="BI4" s="30"/>
      <c r="BJ4" s="29"/>
      <c r="BL4" s="26">
        <v>0</v>
      </c>
      <c r="BM4" s="30"/>
      <c r="BN4">
        <v>88</v>
      </c>
      <c r="BO4">
        <v>90</v>
      </c>
      <c r="BP4" s="26">
        <v>-2</v>
      </c>
      <c r="BQ4" s="30"/>
      <c r="BR4" s="32">
        <v>8</v>
      </c>
      <c r="BS4">
        <v>8</v>
      </c>
      <c r="BT4" s="26">
        <v>0</v>
      </c>
      <c r="BU4" s="30"/>
      <c r="BV4">
        <v>56</v>
      </c>
      <c r="BW4">
        <v>60</v>
      </c>
      <c r="BX4" s="26">
        <v>-4</v>
      </c>
      <c r="BY4" s="30"/>
      <c r="BZ4" s="29"/>
      <c r="CB4" s="26">
        <v>0</v>
      </c>
      <c r="CC4" s="30"/>
      <c r="CD4" s="32">
        <v>40</v>
      </c>
      <c r="CE4">
        <v>41</v>
      </c>
      <c r="CF4" s="26">
        <v>-1</v>
      </c>
      <c r="CG4" s="30"/>
      <c r="CJ4" s="26">
        <v>0</v>
      </c>
      <c r="CK4" s="30"/>
      <c r="CL4" s="29"/>
      <c r="CP4" s="26">
        <v>0</v>
      </c>
      <c r="CQ4" s="30"/>
      <c r="CR4" s="32">
        <v>32</v>
      </c>
      <c r="CS4">
        <v>32</v>
      </c>
      <c r="CT4" s="26">
        <v>0</v>
      </c>
      <c r="CU4" s="30"/>
      <c r="CZ4" s="26">
        <v>0</v>
      </c>
      <c r="DA4" s="30"/>
      <c r="DD4" s="26">
        <v>0</v>
      </c>
      <c r="DE4" s="30"/>
      <c r="DF4" s="29"/>
      <c r="DH4" s="26">
        <v>0</v>
      </c>
      <c r="DI4" s="30"/>
      <c r="DJ4" s="32">
        <v>8</v>
      </c>
      <c r="DK4">
        <v>8</v>
      </c>
      <c r="DL4" s="26">
        <v>0</v>
      </c>
      <c r="DM4" s="30"/>
      <c r="DP4" s="26">
        <v>0</v>
      </c>
      <c r="DQ4" s="30"/>
      <c r="DR4" s="32">
        <v>16</v>
      </c>
      <c r="DT4">
        <v>16</v>
      </c>
      <c r="DU4" s="26">
        <v>0</v>
      </c>
      <c r="DV4" s="30"/>
      <c r="DW4" s="29"/>
      <c r="DY4">
        <v>72</v>
      </c>
      <c r="DZ4">
        <v>72</v>
      </c>
      <c r="EA4" s="26">
        <v>0</v>
      </c>
      <c r="EB4" s="30"/>
      <c r="EC4" s="29"/>
      <c r="EF4" s="26">
        <v>0</v>
      </c>
      <c r="EG4" s="30"/>
      <c r="EH4">
        <v>40</v>
      </c>
      <c r="EI4" s="26">
        <v>38.200000000000003</v>
      </c>
      <c r="EJ4" s="26">
        <v>1.7999999999999969</v>
      </c>
      <c r="EK4" s="30"/>
      <c r="EL4" s="31"/>
      <c r="EN4" s="26">
        <v>0</v>
      </c>
      <c r="EO4" s="30"/>
      <c r="EP4" s="29"/>
      <c r="ER4" s="26">
        <v>0</v>
      </c>
      <c r="ES4" s="30"/>
      <c r="ET4" s="29"/>
      <c r="EV4" s="26">
        <v>0</v>
      </c>
      <c r="EW4" s="30"/>
      <c r="EX4">
        <v>48</v>
      </c>
      <c r="EY4" s="28">
        <v>52.400000000000013</v>
      </c>
      <c r="EZ4" s="26">
        <v>-4.4000000000000128</v>
      </c>
      <c r="FA4" s="30"/>
      <c r="FD4" s="26">
        <v>0</v>
      </c>
      <c r="FE4" s="30"/>
      <c r="FF4" s="29"/>
      <c r="FI4" s="26">
        <v>0</v>
      </c>
      <c r="FJ4" s="30"/>
      <c r="FK4" s="29"/>
      <c r="FN4" s="26">
        <v>0</v>
      </c>
      <c r="FO4" s="30"/>
      <c r="FP4">
        <v>40</v>
      </c>
      <c r="FQ4" s="28">
        <v>38.600000000000009</v>
      </c>
      <c r="FR4" s="26">
        <v>1.399999999999991</v>
      </c>
      <c r="FS4" s="30"/>
      <c r="FT4" s="29"/>
      <c r="FW4">
        <v>16</v>
      </c>
      <c r="FX4">
        <v>16</v>
      </c>
      <c r="FY4" s="26">
        <v>0</v>
      </c>
      <c r="FZ4" s="30"/>
      <c r="GA4">
        <v>48</v>
      </c>
      <c r="GB4" s="28">
        <v>49.899999999999991</v>
      </c>
      <c r="GC4" s="26">
        <v>-1.899999999999991</v>
      </c>
      <c r="GD4" s="30"/>
      <c r="GE4" s="29"/>
      <c r="GG4">
        <v>16</v>
      </c>
      <c r="GH4">
        <v>20</v>
      </c>
      <c r="GI4" s="26">
        <v>-4</v>
      </c>
      <c r="GJ4" s="30"/>
      <c r="GO4" s="26">
        <v>0</v>
      </c>
      <c r="GP4" s="30"/>
      <c r="GQ4">
        <v>40</v>
      </c>
      <c r="GR4" s="28">
        <v>40</v>
      </c>
      <c r="GS4" s="26">
        <v>0</v>
      </c>
      <c r="GT4" s="30"/>
      <c r="GU4" s="32">
        <v>8</v>
      </c>
      <c r="GV4">
        <v>10</v>
      </c>
      <c r="GW4" s="26">
        <v>-2</v>
      </c>
      <c r="GX4" s="30"/>
      <c r="GY4" s="29"/>
      <c r="HA4" s="26">
        <v>0</v>
      </c>
      <c r="HB4" s="30"/>
      <c r="HC4">
        <v>40</v>
      </c>
      <c r="HD4">
        <v>40</v>
      </c>
      <c r="HE4" s="26">
        <v>0</v>
      </c>
      <c r="HF4" s="30"/>
      <c r="HG4" s="32">
        <v>24</v>
      </c>
      <c r="HH4">
        <v>29</v>
      </c>
      <c r="HI4" s="26">
        <v>-5</v>
      </c>
      <c r="HJ4" s="30"/>
      <c r="HK4" s="29"/>
      <c r="HM4" s="26">
        <v>0</v>
      </c>
      <c r="HN4" s="30"/>
      <c r="HO4">
        <v>24</v>
      </c>
      <c r="HP4">
        <v>24</v>
      </c>
      <c r="HQ4" s="26">
        <v>0</v>
      </c>
      <c r="HR4" s="33"/>
      <c r="HS4">
        <v>24</v>
      </c>
      <c r="HT4">
        <v>26</v>
      </c>
      <c r="HU4" s="26">
        <v>-2</v>
      </c>
      <c r="HV4" s="30"/>
      <c r="HY4" s="26">
        <v>0</v>
      </c>
      <c r="HZ4" s="33"/>
      <c r="IA4">
        <v>32</v>
      </c>
      <c r="IB4">
        <v>32</v>
      </c>
      <c r="IC4" s="26">
        <v>0</v>
      </c>
      <c r="ID4" s="30"/>
      <c r="IG4" s="26">
        <v>0</v>
      </c>
      <c r="IH4" s="33"/>
      <c r="IK4" s="26">
        <v>0</v>
      </c>
      <c r="IL4" s="30"/>
      <c r="IM4" s="32">
        <v>24</v>
      </c>
      <c r="IN4" s="28">
        <v>24</v>
      </c>
      <c r="IO4" s="26">
        <v>0</v>
      </c>
      <c r="IP4" s="33"/>
      <c r="IS4" s="26">
        <v>0</v>
      </c>
      <c r="IT4" s="33"/>
      <c r="IU4">
        <v>24</v>
      </c>
      <c r="IV4">
        <v>24</v>
      </c>
      <c r="IW4" s="26">
        <v>0</v>
      </c>
      <c r="IX4" s="33"/>
      <c r="JA4" s="26">
        <v>0</v>
      </c>
      <c r="JB4" s="30"/>
      <c r="JC4" s="27"/>
      <c r="JE4">
        <v>8</v>
      </c>
      <c r="JF4">
        <v>13</v>
      </c>
      <c r="JG4" s="26">
        <v>-5</v>
      </c>
      <c r="JH4" s="33"/>
      <c r="JI4" s="28">
        <v>120</v>
      </c>
      <c r="JJ4" s="28">
        <v>120</v>
      </c>
      <c r="JK4" s="26">
        <v>0</v>
      </c>
      <c r="JL4" s="33"/>
      <c r="JM4" s="28">
        <v>0</v>
      </c>
      <c r="JN4" s="28">
        <v>0</v>
      </c>
      <c r="JO4" s="26">
        <v>0</v>
      </c>
      <c r="JP4" s="33"/>
      <c r="JQ4" s="31">
        <v>0</v>
      </c>
      <c r="JR4" s="28">
        <v>0</v>
      </c>
      <c r="JS4" s="26">
        <v>0</v>
      </c>
      <c r="JT4" s="33"/>
    </row>
    <row r="5" spans="1:280" x14ac:dyDescent="0.25">
      <c r="A5" s="26" t="s">
        <v>156</v>
      </c>
      <c r="B5" s="27">
        <v>1</v>
      </c>
      <c r="E5">
        <v>11</v>
      </c>
      <c r="F5">
        <v>4</v>
      </c>
      <c r="I5" s="29"/>
      <c r="J5" s="35"/>
      <c r="K5" s="40"/>
      <c r="L5" s="35"/>
      <c r="M5" s="35">
        <f t="shared" si="6"/>
        <v>0</v>
      </c>
      <c r="N5" s="30"/>
      <c r="O5" s="29"/>
      <c r="P5" s="35"/>
      <c r="Q5" s="36">
        <v>8</v>
      </c>
      <c r="R5" s="36">
        <v>11</v>
      </c>
      <c r="S5" s="35">
        <f t="shared" si="7"/>
        <v>-3</v>
      </c>
      <c r="T5" s="30"/>
      <c r="U5" s="29"/>
      <c r="V5" s="36">
        <v>20</v>
      </c>
      <c r="W5" s="36">
        <v>20</v>
      </c>
      <c r="X5" s="35"/>
      <c r="Y5" s="36">
        <v>31</v>
      </c>
      <c r="Z5" s="36">
        <v>34</v>
      </c>
      <c r="AA5" s="35">
        <f t="shared" si="8"/>
        <v>-3</v>
      </c>
      <c r="AB5" s="30"/>
      <c r="AC5" s="29"/>
      <c r="AD5" s="35"/>
      <c r="AE5" s="36">
        <v>16</v>
      </c>
      <c r="AF5" s="40">
        <v>17</v>
      </c>
      <c r="AG5" s="35">
        <v>-1</v>
      </c>
      <c r="AH5" s="30"/>
      <c r="AI5" s="35"/>
      <c r="AM5" s="26">
        <v>0</v>
      </c>
      <c r="AN5" s="30"/>
      <c r="AO5" s="32">
        <v>24</v>
      </c>
      <c r="AP5">
        <v>25</v>
      </c>
      <c r="AS5" s="26">
        <v>-1</v>
      </c>
      <c r="AT5" s="30"/>
      <c r="AW5">
        <v>28</v>
      </c>
      <c r="AX5">
        <v>29</v>
      </c>
      <c r="AY5" s="26">
        <v>-1</v>
      </c>
      <c r="AZ5" s="30"/>
      <c r="BB5">
        <v>28</v>
      </c>
      <c r="BC5">
        <v>25</v>
      </c>
      <c r="BD5" s="26">
        <v>3</v>
      </c>
      <c r="BE5" s="30"/>
      <c r="BF5" s="32">
        <v>20</v>
      </c>
      <c r="BG5">
        <v>20</v>
      </c>
      <c r="BH5" s="26">
        <v>0</v>
      </c>
      <c r="BI5" s="30"/>
      <c r="BJ5" s="32">
        <v>28</v>
      </c>
      <c r="BK5">
        <v>26</v>
      </c>
      <c r="BL5" s="26">
        <v>2</v>
      </c>
      <c r="BM5" s="30"/>
      <c r="BN5">
        <v>8</v>
      </c>
      <c r="BO5">
        <v>9</v>
      </c>
      <c r="BP5" s="26">
        <v>-1</v>
      </c>
      <c r="BQ5" s="30"/>
      <c r="BR5" s="32">
        <v>12</v>
      </c>
      <c r="BS5">
        <v>10</v>
      </c>
      <c r="BT5" s="26">
        <v>2</v>
      </c>
      <c r="BU5" s="30"/>
      <c r="BV5">
        <v>23</v>
      </c>
      <c r="BW5">
        <v>22</v>
      </c>
      <c r="BX5" s="26">
        <v>1</v>
      </c>
      <c r="BY5" s="30"/>
      <c r="BZ5" s="32">
        <v>4</v>
      </c>
      <c r="CA5">
        <v>4</v>
      </c>
      <c r="CB5" s="26">
        <v>0</v>
      </c>
      <c r="CC5" s="30"/>
      <c r="CD5" s="32">
        <v>4</v>
      </c>
      <c r="CE5">
        <v>4</v>
      </c>
      <c r="CF5" s="26">
        <v>0</v>
      </c>
      <c r="CG5" s="30"/>
      <c r="CJ5" s="26">
        <v>0</v>
      </c>
      <c r="CK5" s="30"/>
      <c r="CL5" s="29"/>
      <c r="CN5">
        <v>12</v>
      </c>
      <c r="CO5">
        <v>14</v>
      </c>
      <c r="CP5" s="26">
        <v>-2</v>
      </c>
      <c r="CQ5" s="30"/>
      <c r="CR5" s="29"/>
      <c r="CT5" s="26">
        <v>0</v>
      </c>
      <c r="CU5" s="30"/>
      <c r="CZ5" s="26">
        <v>0</v>
      </c>
      <c r="DA5" s="30"/>
      <c r="DD5" s="26">
        <v>0</v>
      </c>
      <c r="DE5" s="30"/>
      <c r="DF5" s="29"/>
      <c r="DH5" s="26">
        <v>0</v>
      </c>
      <c r="DI5" s="30"/>
      <c r="DJ5" s="29"/>
      <c r="DL5" s="26">
        <v>0</v>
      </c>
      <c r="DM5" s="30"/>
      <c r="DP5" s="26">
        <v>0</v>
      </c>
      <c r="DQ5" s="30"/>
      <c r="DR5" s="29"/>
      <c r="DU5" s="26">
        <v>0</v>
      </c>
      <c r="DV5" s="30"/>
      <c r="DW5" s="29"/>
      <c r="DY5">
        <v>12</v>
      </c>
      <c r="DZ5">
        <v>12</v>
      </c>
      <c r="EA5" s="26">
        <v>0</v>
      </c>
      <c r="EB5" s="30"/>
      <c r="EC5" s="32">
        <v>31</v>
      </c>
      <c r="EE5">
        <v>31</v>
      </c>
      <c r="EF5" s="26">
        <v>0</v>
      </c>
      <c r="EG5" s="30"/>
      <c r="EJ5" s="26">
        <v>0</v>
      </c>
      <c r="EK5" s="30"/>
      <c r="EL5" s="31"/>
      <c r="EN5" s="26">
        <v>0</v>
      </c>
      <c r="EO5" s="30"/>
      <c r="EP5" s="32">
        <v>31</v>
      </c>
      <c r="EQ5" s="26">
        <v>30.504999999999999</v>
      </c>
      <c r="ER5" s="26">
        <v>0.49500000000000099</v>
      </c>
      <c r="ES5" s="30"/>
      <c r="ET5" s="29"/>
      <c r="EV5" s="26">
        <v>0</v>
      </c>
      <c r="EW5" s="30"/>
      <c r="EZ5" s="26">
        <v>0</v>
      </c>
      <c r="FA5" s="30"/>
      <c r="FD5" s="26">
        <v>0</v>
      </c>
      <c r="FE5" s="30"/>
      <c r="FF5" s="29"/>
      <c r="FI5" s="26">
        <v>0</v>
      </c>
      <c r="FJ5" s="30"/>
      <c r="FK5" s="29"/>
      <c r="FN5" s="26">
        <v>0</v>
      </c>
      <c r="FO5" s="30"/>
      <c r="FP5">
        <v>12</v>
      </c>
      <c r="FQ5" s="28">
        <v>10.693199999999999</v>
      </c>
      <c r="FR5" s="26">
        <v>1.3068000000000011</v>
      </c>
      <c r="FS5" s="30"/>
      <c r="FT5" s="29"/>
      <c r="FW5">
        <v>27</v>
      </c>
      <c r="FX5">
        <v>27</v>
      </c>
      <c r="FY5" s="26">
        <v>0</v>
      </c>
      <c r="FZ5" s="30"/>
      <c r="GC5" s="26">
        <v>0</v>
      </c>
      <c r="GD5" s="30"/>
      <c r="GE5" s="29"/>
      <c r="GI5" s="26">
        <v>0</v>
      </c>
      <c r="GJ5" s="30"/>
      <c r="GO5" s="26">
        <v>0</v>
      </c>
      <c r="GP5" s="30"/>
      <c r="GS5" s="26">
        <v>0</v>
      </c>
      <c r="GT5" s="30"/>
      <c r="GU5" s="29"/>
      <c r="GW5" s="26">
        <v>0</v>
      </c>
      <c r="GX5" s="30"/>
      <c r="GY5" s="32">
        <v>27</v>
      </c>
      <c r="GZ5">
        <v>24</v>
      </c>
      <c r="HA5" s="26">
        <v>3</v>
      </c>
      <c r="HB5" s="30"/>
      <c r="HE5" s="26">
        <v>0</v>
      </c>
      <c r="HF5" s="30"/>
      <c r="HG5" s="32">
        <v>20</v>
      </c>
      <c r="HH5">
        <v>21</v>
      </c>
      <c r="HI5" s="26">
        <v>-1</v>
      </c>
      <c r="HJ5" s="30"/>
      <c r="HK5" s="29"/>
      <c r="HM5" s="26">
        <v>0</v>
      </c>
      <c r="HN5" s="30"/>
      <c r="HQ5" s="26">
        <v>0</v>
      </c>
      <c r="HR5" s="33"/>
      <c r="HU5" s="26">
        <v>0</v>
      </c>
      <c r="HV5" s="30"/>
      <c r="HY5" s="26">
        <v>0</v>
      </c>
      <c r="HZ5" s="33"/>
      <c r="IC5" s="26">
        <v>0</v>
      </c>
      <c r="ID5" s="30"/>
      <c r="IE5">
        <v>20</v>
      </c>
      <c r="IF5">
        <v>20</v>
      </c>
      <c r="IG5" s="26">
        <v>0</v>
      </c>
      <c r="IH5" s="33"/>
      <c r="II5">
        <v>12</v>
      </c>
      <c r="IJ5" s="28">
        <v>9.6679999999999957</v>
      </c>
      <c r="IK5" s="26">
        <v>2.3320000000000038</v>
      </c>
      <c r="IL5" s="30"/>
      <c r="IM5" s="31"/>
      <c r="IO5" s="26">
        <v>0</v>
      </c>
      <c r="IP5" s="33"/>
      <c r="IQ5">
        <v>32</v>
      </c>
      <c r="IR5">
        <v>30</v>
      </c>
      <c r="IS5" s="26">
        <v>2</v>
      </c>
      <c r="IT5" s="33"/>
      <c r="IW5" s="26">
        <v>0</v>
      </c>
      <c r="IX5" s="33"/>
      <c r="JA5" s="26">
        <v>0</v>
      </c>
      <c r="JB5" s="30"/>
      <c r="JC5">
        <v>20</v>
      </c>
      <c r="JD5">
        <v>20</v>
      </c>
      <c r="JE5">
        <v>20</v>
      </c>
      <c r="JF5">
        <v>20</v>
      </c>
      <c r="JG5" s="26">
        <v>0</v>
      </c>
      <c r="JH5" s="33"/>
      <c r="JI5" s="28">
        <v>0</v>
      </c>
      <c r="JJ5" s="28">
        <v>0</v>
      </c>
      <c r="JK5" s="26">
        <v>0</v>
      </c>
      <c r="JL5" s="33"/>
      <c r="JM5" s="28">
        <v>0</v>
      </c>
      <c r="JN5" s="28">
        <v>0</v>
      </c>
      <c r="JO5" s="26">
        <v>0</v>
      </c>
      <c r="JP5" s="33"/>
      <c r="JQ5" s="31">
        <v>0</v>
      </c>
      <c r="JR5" s="28">
        <v>0</v>
      </c>
      <c r="JS5" s="26">
        <v>0</v>
      </c>
      <c r="JT5" s="33"/>
    </row>
    <row r="6" spans="1:280" x14ac:dyDescent="0.25">
      <c r="A6" s="26" t="s">
        <v>157</v>
      </c>
      <c r="B6" s="27">
        <v>1</v>
      </c>
      <c r="I6" s="29"/>
      <c r="J6" s="35"/>
      <c r="K6" s="40"/>
      <c r="L6" s="35"/>
      <c r="M6" s="35">
        <f t="shared" si="6"/>
        <v>0</v>
      </c>
      <c r="N6" s="30"/>
      <c r="O6" s="29"/>
      <c r="P6" s="35"/>
      <c r="Q6" s="35"/>
      <c r="R6" s="35"/>
      <c r="S6" s="35">
        <f t="shared" si="7"/>
        <v>0</v>
      </c>
      <c r="T6" s="30"/>
      <c r="U6" s="29"/>
      <c r="V6" s="40"/>
      <c r="W6" s="35"/>
      <c r="X6" s="35"/>
      <c r="Y6" s="35"/>
      <c r="Z6" s="35"/>
      <c r="AA6" s="35">
        <f t="shared" si="8"/>
        <v>0</v>
      </c>
      <c r="AB6" s="30"/>
      <c r="AC6" s="29"/>
      <c r="AD6" s="35"/>
      <c r="AE6" s="35"/>
      <c r="AF6" s="35"/>
      <c r="AG6" s="35">
        <v>0</v>
      </c>
      <c r="AH6" s="30"/>
      <c r="AI6" s="35"/>
      <c r="AM6" s="26">
        <v>0</v>
      </c>
      <c r="AN6" s="30"/>
      <c r="AO6" s="31"/>
      <c r="AS6" s="26">
        <v>0</v>
      </c>
      <c r="AT6" s="30"/>
      <c r="AY6" s="26">
        <v>0</v>
      </c>
      <c r="AZ6" s="30"/>
      <c r="BD6" s="26">
        <v>0</v>
      </c>
      <c r="BE6" s="30"/>
      <c r="BF6" s="29"/>
      <c r="BH6" s="26">
        <v>0</v>
      </c>
      <c r="BI6" s="30"/>
      <c r="BJ6" s="29"/>
      <c r="BL6" s="26">
        <v>0</v>
      </c>
      <c r="BM6" s="30"/>
      <c r="BP6" s="26">
        <v>0</v>
      </c>
      <c r="BQ6" s="30"/>
      <c r="BR6" s="29"/>
      <c r="BT6" s="26">
        <v>0</v>
      </c>
      <c r="BU6" s="30"/>
      <c r="BX6" s="26">
        <v>0</v>
      </c>
      <c r="BY6" s="30"/>
      <c r="BZ6" s="29"/>
      <c r="CB6" s="26">
        <v>0</v>
      </c>
      <c r="CC6" s="30"/>
      <c r="CD6" s="29"/>
      <c r="CF6" s="26">
        <v>0</v>
      </c>
      <c r="CG6" s="30"/>
      <c r="CJ6" s="26">
        <v>0</v>
      </c>
      <c r="CK6" s="30"/>
      <c r="CL6" s="29"/>
      <c r="CP6" s="26">
        <v>0</v>
      </c>
      <c r="CQ6" s="30"/>
      <c r="CR6" s="29"/>
      <c r="CT6" s="26">
        <v>0</v>
      </c>
      <c r="CU6" s="30"/>
      <c r="CZ6" s="26">
        <v>0</v>
      </c>
      <c r="DA6" s="30"/>
      <c r="DD6" s="26">
        <v>0</v>
      </c>
      <c r="DE6" s="30"/>
      <c r="DF6" s="29"/>
      <c r="DH6" s="26">
        <v>0</v>
      </c>
      <c r="DI6" s="30"/>
      <c r="DJ6" s="29"/>
      <c r="DL6" s="26">
        <v>0</v>
      </c>
      <c r="DM6" s="30"/>
      <c r="DP6" s="26">
        <v>0</v>
      </c>
      <c r="DQ6" s="30"/>
      <c r="DR6" s="29"/>
      <c r="DU6" s="26">
        <v>0</v>
      </c>
      <c r="DV6" s="30"/>
      <c r="DW6" s="29"/>
      <c r="EA6" s="26">
        <v>0</v>
      </c>
      <c r="EB6" s="30"/>
      <c r="EC6" s="29"/>
      <c r="EF6" s="26">
        <v>0</v>
      </c>
      <c r="EG6" s="30"/>
      <c r="EJ6" s="26">
        <v>0</v>
      </c>
      <c r="EK6" s="30"/>
      <c r="EL6" s="31"/>
      <c r="EN6" s="26">
        <v>0</v>
      </c>
      <c r="EO6" s="30"/>
      <c r="EP6" s="29"/>
      <c r="ER6" s="26">
        <v>0</v>
      </c>
      <c r="ES6" s="30"/>
      <c r="ET6" s="29"/>
      <c r="EV6" s="26">
        <v>0</v>
      </c>
      <c r="EW6" s="30"/>
      <c r="EZ6" s="26">
        <v>0</v>
      </c>
      <c r="FA6" s="30"/>
      <c r="FD6" s="26">
        <v>0</v>
      </c>
      <c r="FE6" s="30"/>
      <c r="FF6" s="29"/>
      <c r="FI6" s="26">
        <v>0</v>
      </c>
      <c r="FJ6" s="30"/>
      <c r="FK6" s="29"/>
      <c r="FN6" s="26">
        <v>0</v>
      </c>
      <c r="FO6" s="30"/>
      <c r="FR6" s="26">
        <v>0</v>
      </c>
      <c r="FS6" s="30"/>
      <c r="FT6" s="29"/>
      <c r="FY6" s="26">
        <v>0</v>
      </c>
      <c r="FZ6" s="30"/>
      <c r="GC6" s="26">
        <v>0</v>
      </c>
      <c r="GD6" s="30"/>
      <c r="GE6" s="29"/>
      <c r="GI6" s="26">
        <v>0</v>
      </c>
      <c r="GJ6" s="30"/>
      <c r="GO6" s="26">
        <v>0</v>
      </c>
      <c r="GP6" s="30"/>
      <c r="GS6" s="26">
        <v>0</v>
      </c>
      <c r="GT6" s="30"/>
      <c r="GU6" s="29"/>
      <c r="GW6" s="26">
        <v>0</v>
      </c>
      <c r="GX6" s="30"/>
      <c r="GY6" s="29"/>
      <c r="HA6" s="26">
        <v>0</v>
      </c>
      <c r="HB6" s="30"/>
      <c r="HE6" s="26">
        <v>0</v>
      </c>
      <c r="HF6" s="30"/>
      <c r="HG6" s="29"/>
      <c r="HI6" s="26">
        <v>0</v>
      </c>
      <c r="HJ6" s="30"/>
      <c r="HK6" s="29"/>
      <c r="HM6" s="26">
        <v>0</v>
      </c>
      <c r="HN6" s="30"/>
      <c r="HQ6" s="26">
        <v>0</v>
      </c>
      <c r="HR6" s="33"/>
      <c r="HU6" s="26">
        <v>0</v>
      </c>
      <c r="HV6" s="30"/>
      <c r="HY6" s="26">
        <v>0</v>
      </c>
      <c r="HZ6" s="33"/>
      <c r="IC6" s="26">
        <v>0</v>
      </c>
      <c r="ID6" s="30"/>
      <c r="IG6" s="26">
        <v>0</v>
      </c>
      <c r="IH6" s="33"/>
      <c r="IK6" s="26">
        <v>0</v>
      </c>
      <c r="IL6" s="30"/>
      <c r="IM6" s="31"/>
      <c r="IO6" s="26">
        <v>0</v>
      </c>
      <c r="IP6" s="33"/>
      <c r="IS6" s="26">
        <v>0</v>
      </c>
      <c r="IT6" s="33"/>
      <c r="IW6" s="26">
        <v>0</v>
      </c>
      <c r="IX6" s="33"/>
      <c r="JA6" s="26">
        <v>0</v>
      </c>
      <c r="JB6" s="30"/>
      <c r="JC6" s="27"/>
      <c r="JE6" s="27"/>
      <c r="JG6" s="26">
        <v>0</v>
      </c>
      <c r="JH6" s="33"/>
      <c r="JI6" s="28">
        <v>0</v>
      </c>
      <c r="JJ6" s="28">
        <v>0</v>
      </c>
      <c r="JK6" s="26">
        <v>0</v>
      </c>
      <c r="JL6" s="33"/>
      <c r="JM6" s="28">
        <v>0</v>
      </c>
      <c r="JN6" s="28">
        <v>0</v>
      </c>
      <c r="JO6" s="26">
        <v>0</v>
      </c>
      <c r="JP6" s="33"/>
      <c r="JQ6" s="31">
        <v>0</v>
      </c>
      <c r="JR6" s="4">
        <v>64.418000000000006</v>
      </c>
      <c r="JS6" s="26">
        <v>1.018999999999991</v>
      </c>
      <c r="JT6" s="33"/>
    </row>
    <row r="7" spans="1:280" x14ac:dyDescent="0.25">
      <c r="A7" s="26" t="s">
        <v>158</v>
      </c>
      <c r="B7" s="27">
        <v>1</v>
      </c>
      <c r="I7" s="29"/>
      <c r="J7" s="35"/>
      <c r="K7" s="40"/>
      <c r="L7" s="35"/>
      <c r="M7" s="35">
        <f t="shared" si="6"/>
        <v>0</v>
      </c>
      <c r="N7" s="30"/>
      <c r="O7" s="29"/>
      <c r="P7" s="35"/>
      <c r="Q7" s="35"/>
      <c r="R7" s="35"/>
      <c r="S7" s="35">
        <f t="shared" si="7"/>
        <v>0</v>
      </c>
      <c r="T7" s="30"/>
      <c r="U7" s="29"/>
      <c r="V7" s="40"/>
      <c r="W7" s="35"/>
      <c r="X7" s="35"/>
      <c r="Y7" s="35"/>
      <c r="Z7" s="35"/>
      <c r="AA7" s="35">
        <f t="shared" si="8"/>
        <v>0</v>
      </c>
      <c r="AB7" s="30"/>
      <c r="AC7" s="29"/>
      <c r="AD7" s="35"/>
      <c r="AE7" s="35"/>
      <c r="AF7" s="35"/>
      <c r="AG7" s="35">
        <v>0</v>
      </c>
      <c r="AH7" s="30"/>
      <c r="AI7" s="35"/>
      <c r="AM7" s="26">
        <v>0</v>
      </c>
      <c r="AN7" s="30"/>
      <c r="AO7" s="31"/>
      <c r="AS7" s="26">
        <v>0</v>
      </c>
      <c r="AT7" s="30"/>
      <c r="AY7" s="26">
        <v>0</v>
      </c>
      <c r="AZ7" s="30"/>
      <c r="BD7" s="26">
        <v>0</v>
      </c>
      <c r="BE7" s="30"/>
      <c r="BF7" s="29"/>
      <c r="BH7" s="26">
        <v>0</v>
      </c>
      <c r="BI7" s="30"/>
      <c r="BJ7" s="29"/>
      <c r="BL7" s="26">
        <v>0</v>
      </c>
      <c r="BM7" s="30"/>
      <c r="BP7" s="26">
        <v>0</v>
      </c>
      <c r="BQ7" s="30"/>
      <c r="BR7" s="29"/>
      <c r="BT7" s="26">
        <v>0</v>
      </c>
      <c r="BU7" s="30"/>
      <c r="BX7" s="26">
        <v>0</v>
      </c>
      <c r="BY7" s="30"/>
      <c r="BZ7" s="29"/>
      <c r="CB7" s="26">
        <v>0</v>
      </c>
      <c r="CC7" s="30"/>
      <c r="CD7" s="29"/>
      <c r="CF7" s="26">
        <v>0</v>
      </c>
      <c r="CG7" s="30"/>
      <c r="CJ7" s="26">
        <v>0</v>
      </c>
      <c r="CK7" s="30"/>
      <c r="CL7" s="29"/>
      <c r="CP7" s="26">
        <v>0</v>
      </c>
      <c r="CQ7" s="30"/>
      <c r="CR7" s="29"/>
      <c r="CT7" s="26">
        <v>0</v>
      </c>
      <c r="CU7" s="30"/>
      <c r="CZ7" s="26">
        <v>0</v>
      </c>
      <c r="DA7" s="30"/>
      <c r="DD7" s="26">
        <v>0</v>
      </c>
      <c r="DE7" s="30"/>
      <c r="DF7" s="29"/>
      <c r="DH7" s="26">
        <v>0</v>
      </c>
      <c r="DI7" s="30"/>
      <c r="DJ7" s="29"/>
      <c r="DL7" s="26">
        <v>0</v>
      </c>
      <c r="DM7" s="30"/>
      <c r="DP7" s="26">
        <v>0</v>
      </c>
      <c r="DQ7" s="30"/>
      <c r="DR7" s="29"/>
      <c r="DU7" s="26">
        <v>0</v>
      </c>
      <c r="DV7" s="30"/>
      <c r="DW7" s="29"/>
      <c r="EA7" s="26">
        <v>0</v>
      </c>
      <c r="EB7" s="30"/>
      <c r="EC7" s="29"/>
      <c r="EF7" s="26">
        <v>0</v>
      </c>
      <c r="EG7" s="30"/>
      <c r="EJ7" s="26">
        <v>0</v>
      </c>
      <c r="EK7" s="30"/>
      <c r="EL7" s="31"/>
      <c r="EN7" s="26">
        <v>0</v>
      </c>
      <c r="EO7" s="30"/>
      <c r="EP7" s="29"/>
      <c r="ER7" s="26">
        <v>0</v>
      </c>
      <c r="ES7" s="30"/>
      <c r="ET7" s="29"/>
      <c r="EV7" s="26">
        <v>0</v>
      </c>
      <c r="EW7" s="30"/>
      <c r="EZ7" s="26">
        <v>0</v>
      </c>
      <c r="FA7" s="30"/>
      <c r="FD7" s="26">
        <v>0</v>
      </c>
      <c r="FE7" s="30"/>
      <c r="FF7" s="29"/>
      <c r="FI7" s="26">
        <v>0</v>
      </c>
      <c r="FJ7" s="30"/>
      <c r="FK7" s="29"/>
      <c r="FN7" s="26">
        <v>0</v>
      </c>
      <c r="FO7" s="30"/>
      <c r="FR7" s="26">
        <v>0</v>
      </c>
      <c r="FS7" s="30"/>
      <c r="FT7" s="29"/>
      <c r="FY7" s="26">
        <v>0</v>
      </c>
      <c r="FZ7" s="30"/>
      <c r="GC7" s="26">
        <v>0</v>
      </c>
      <c r="GD7" s="30"/>
      <c r="GE7" s="29"/>
      <c r="GI7" s="26">
        <v>0</v>
      </c>
      <c r="GJ7" s="30"/>
      <c r="GO7" s="26">
        <v>0</v>
      </c>
      <c r="GP7" s="30"/>
      <c r="GS7" s="26">
        <v>0</v>
      </c>
      <c r="GT7" s="30"/>
      <c r="GU7" s="29"/>
      <c r="GW7" s="26">
        <v>0</v>
      </c>
      <c r="GX7" s="30"/>
      <c r="GY7" s="29"/>
      <c r="HA7" s="26">
        <v>0</v>
      </c>
      <c r="HB7" s="30"/>
      <c r="HE7" s="26">
        <v>0</v>
      </c>
      <c r="HF7" s="30"/>
      <c r="HG7" s="29"/>
      <c r="HI7" s="26">
        <v>0</v>
      </c>
      <c r="HJ7" s="30"/>
      <c r="HK7" s="29"/>
      <c r="HM7" s="26">
        <v>0</v>
      </c>
      <c r="HN7" s="30"/>
      <c r="HQ7" s="26">
        <v>0</v>
      </c>
      <c r="HR7" s="33"/>
      <c r="HU7" s="26">
        <v>0</v>
      </c>
      <c r="HV7" s="30"/>
      <c r="HY7" s="26">
        <v>0</v>
      </c>
      <c r="HZ7" s="33"/>
      <c r="IC7" s="26">
        <v>0</v>
      </c>
      <c r="ID7" s="30"/>
      <c r="IG7" s="26">
        <v>0</v>
      </c>
      <c r="IH7" s="33"/>
      <c r="IK7" s="26">
        <v>0</v>
      </c>
      <c r="IL7" s="30"/>
      <c r="IM7" s="31"/>
      <c r="IO7" s="26">
        <v>0</v>
      </c>
      <c r="IP7" s="33"/>
      <c r="IS7" s="26">
        <v>0</v>
      </c>
      <c r="IT7" s="33"/>
      <c r="IW7" s="26">
        <v>0</v>
      </c>
      <c r="IX7" s="33"/>
      <c r="JA7" s="26">
        <v>0</v>
      </c>
      <c r="JB7" s="30"/>
      <c r="JC7" s="27"/>
      <c r="JE7" s="27"/>
      <c r="JG7" s="26">
        <v>0</v>
      </c>
      <c r="JH7" s="33"/>
      <c r="JI7" s="28">
        <v>0</v>
      </c>
      <c r="JJ7" s="28">
        <v>0</v>
      </c>
      <c r="JK7" s="26">
        <v>0</v>
      </c>
      <c r="JL7" s="33"/>
      <c r="JM7" s="28">
        <v>0</v>
      </c>
      <c r="JN7" s="28">
        <v>0</v>
      </c>
      <c r="JO7" s="26">
        <v>0</v>
      </c>
      <c r="JP7" s="33"/>
      <c r="JQ7" s="31">
        <v>12.08</v>
      </c>
      <c r="JR7" s="28">
        <v>10</v>
      </c>
      <c r="JS7" s="26">
        <v>2.08</v>
      </c>
      <c r="JT7" s="33"/>
    </row>
    <row r="8" spans="1:280" x14ac:dyDescent="0.25">
      <c r="A8" s="26" t="s">
        <v>159</v>
      </c>
      <c r="B8" s="27">
        <v>0.25</v>
      </c>
      <c r="E8">
        <v>43</v>
      </c>
      <c r="F8">
        <v>43</v>
      </c>
      <c r="I8" s="29"/>
      <c r="J8" s="35"/>
      <c r="K8" s="40"/>
      <c r="L8" s="35"/>
      <c r="M8" s="35">
        <f t="shared" si="6"/>
        <v>0</v>
      </c>
      <c r="N8" s="30"/>
      <c r="O8" s="29"/>
      <c r="P8" s="35"/>
      <c r="Q8" s="36">
        <v>8</v>
      </c>
      <c r="R8" s="36">
        <v>8</v>
      </c>
      <c r="S8" s="35">
        <f t="shared" si="7"/>
        <v>0</v>
      </c>
      <c r="T8" s="30"/>
      <c r="U8" s="29"/>
      <c r="V8" s="40"/>
      <c r="W8" s="35"/>
      <c r="X8" s="35"/>
      <c r="Y8" s="36">
        <v>40</v>
      </c>
      <c r="Z8" s="36">
        <v>47</v>
      </c>
      <c r="AA8" s="35">
        <f t="shared" si="8"/>
        <v>-7</v>
      </c>
      <c r="AB8" s="30"/>
      <c r="AC8" s="29"/>
      <c r="AD8" s="35"/>
      <c r="AE8" s="36">
        <v>8</v>
      </c>
      <c r="AF8" s="40">
        <v>15</v>
      </c>
      <c r="AG8" s="35">
        <v>-7</v>
      </c>
      <c r="AH8" s="30"/>
      <c r="AI8" s="35"/>
      <c r="AK8">
        <v>16</v>
      </c>
      <c r="AL8">
        <v>20</v>
      </c>
      <c r="AM8" s="26">
        <v>-4</v>
      </c>
      <c r="AN8" s="30"/>
      <c r="AO8" s="32">
        <v>24</v>
      </c>
      <c r="AP8" s="26">
        <v>25</v>
      </c>
      <c r="AS8" s="26">
        <v>-1</v>
      </c>
      <c r="AT8" s="30"/>
      <c r="AW8">
        <v>16</v>
      </c>
      <c r="AY8" s="26">
        <v>0</v>
      </c>
      <c r="AZ8" s="30"/>
      <c r="BE8" s="30"/>
      <c r="BF8" s="29"/>
      <c r="BI8" s="30"/>
      <c r="BJ8" s="29"/>
      <c r="BM8" s="30"/>
      <c r="BQ8" s="30"/>
      <c r="BR8" s="29"/>
      <c r="BU8" s="30"/>
      <c r="BY8" s="30"/>
      <c r="BZ8" s="29"/>
      <c r="CC8" s="30"/>
      <c r="CD8" s="29"/>
      <c r="CG8" s="30"/>
      <c r="CK8" s="30"/>
      <c r="CL8" s="29"/>
      <c r="CQ8" s="30"/>
      <c r="CR8" s="29"/>
      <c r="CU8" s="30"/>
      <c r="DA8" s="30"/>
      <c r="DE8" s="30"/>
      <c r="DF8" s="29"/>
      <c r="DI8" s="30"/>
      <c r="DJ8" s="29"/>
      <c r="DM8" s="30"/>
      <c r="DQ8" s="30"/>
      <c r="DR8" s="29"/>
      <c r="DV8" s="30"/>
      <c r="DW8" s="29"/>
      <c r="EB8" s="30"/>
      <c r="EC8" s="29"/>
      <c r="EG8" s="30"/>
      <c r="EK8" s="30"/>
      <c r="EL8" s="31"/>
      <c r="EO8" s="30"/>
      <c r="EP8" s="29"/>
      <c r="EQ8" s="27"/>
      <c r="ES8" s="30"/>
      <c r="ET8" s="29"/>
      <c r="EW8" s="30"/>
      <c r="FA8" s="30"/>
      <c r="FB8" s="28"/>
      <c r="FE8" s="30"/>
      <c r="FF8" s="29"/>
      <c r="FJ8" s="30"/>
      <c r="FK8" s="29"/>
      <c r="FO8" s="30"/>
      <c r="FS8" s="30"/>
      <c r="FT8" s="29"/>
      <c r="FZ8" s="30"/>
      <c r="GD8" s="30"/>
      <c r="GE8" s="29"/>
      <c r="GJ8" s="30"/>
      <c r="GP8" s="30"/>
      <c r="GT8" s="30"/>
      <c r="GU8" s="29"/>
      <c r="GX8" s="30"/>
      <c r="GY8" s="29"/>
      <c r="HB8" s="30"/>
      <c r="HF8" s="30"/>
      <c r="HG8" s="29"/>
      <c r="HJ8" s="30"/>
      <c r="HK8" s="29"/>
      <c r="HN8" s="30"/>
      <c r="HR8" s="33"/>
      <c r="HV8" s="30"/>
      <c r="HZ8" s="33"/>
      <c r="ID8" s="30"/>
      <c r="IH8" s="33"/>
      <c r="IL8" s="30"/>
      <c r="IM8" s="31"/>
      <c r="IP8" s="33"/>
      <c r="IT8" s="33"/>
      <c r="IX8" s="33"/>
      <c r="JB8" s="30"/>
      <c r="JC8" s="27"/>
      <c r="JE8" s="27"/>
      <c r="JH8" s="33"/>
      <c r="JI8" s="28"/>
      <c r="JJ8" s="28"/>
      <c r="JL8" s="33"/>
      <c r="JM8" s="28"/>
      <c r="JN8" s="28"/>
      <c r="JP8" s="33"/>
      <c r="JQ8" s="31"/>
      <c r="JR8" s="28"/>
      <c r="JT8" s="33"/>
    </row>
    <row r="9" spans="1:280" x14ac:dyDescent="0.25">
      <c r="A9" s="26" t="s">
        <v>160</v>
      </c>
      <c r="B9" s="27">
        <v>1</v>
      </c>
      <c r="E9">
        <v>127</v>
      </c>
      <c r="F9">
        <v>54</v>
      </c>
      <c r="I9" s="32">
        <v>221</v>
      </c>
      <c r="J9" s="36">
        <v>224</v>
      </c>
      <c r="K9" s="36">
        <v>222</v>
      </c>
      <c r="L9" s="36">
        <v>226</v>
      </c>
      <c r="M9" s="35">
        <f t="shared" si="6"/>
        <v>-7</v>
      </c>
      <c r="N9" s="30"/>
      <c r="O9" s="32">
        <v>384</v>
      </c>
      <c r="P9" s="36">
        <v>385</v>
      </c>
      <c r="Q9" s="36">
        <v>357</v>
      </c>
      <c r="R9" s="36">
        <v>361</v>
      </c>
      <c r="S9" s="35">
        <f t="shared" si="7"/>
        <v>-5</v>
      </c>
      <c r="T9" s="30"/>
      <c r="U9" s="29"/>
      <c r="V9" s="36">
        <v>89</v>
      </c>
      <c r="W9" s="36">
        <v>103</v>
      </c>
      <c r="X9" s="35"/>
      <c r="Y9" s="35"/>
      <c r="Z9" s="35"/>
      <c r="AA9" s="41">
        <f t="shared" si="8"/>
        <v>-14</v>
      </c>
      <c r="AB9" s="30">
        <f>-1*AA9*B9</f>
        <v>14</v>
      </c>
      <c r="AC9" s="32">
        <v>322</v>
      </c>
      <c r="AD9" s="40">
        <v>322.94117647058818</v>
      </c>
      <c r="AE9" s="36">
        <v>223</v>
      </c>
      <c r="AF9" s="40">
        <v>226.0588235294118</v>
      </c>
      <c r="AG9" s="35">
        <v>-3.999999999999972</v>
      </c>
      <c r="AH9" s="30"/>
      <c r="AI9" s="36">
        <v>170</v>
      </c>
      <c r="AJ9">
        <v>170</v>
      </c>
      <c r="AK9">
        <v>134</v>
      </c>
      <c r="AL9">
        <v>136</v>
      </c>
      <c r="AM9" s="26">
        <v>-2</v>
      </c>
      <c r="AN9" s="30"/>
      <c r="AO9" s="32">
        <v>198</v>
      </c>
      <c r="AP9">
        <v>200</v>
      </c>
      <c r="AQ9">
        <v>97</v>
      </c>
      <c r="AR9">
        <v>100</v>
      </c>
      <c r="AS9" s="26">
        <v>-5</v>
      </c>
      <c r="AT9" s="30"/>
      <c r="AU9">
        <v>301</v>
      </c>
      <c r="AV9">
        <v>300</v>
      </c>
      <c r="AX9">
        <v>236</v>
      </c>
      <c r="AY9" s="25">
        <v>-235</v>
      </c>
      <c r="AZ9" s="30">
        <v>235</v>
      </c>
      <c r="BB9">
        <v>488</v>
      </c>
      <c r="BC9">
        <v>489</v>
      </c>
      <c r="BD9" s="26">
        <v>-1</v>
      </c>
      <c r="BE9" s="30"/>
      <c r="BF9" s="32">
        <v>202</v>
      </c>
      <c r="BG9">
        <v>200</v>
      </c>
      <c r="BH9" s="26">
        <v>2</v>
      </c>
      <c r="BI9" s="30"/>
      <c r="BJ9" s="32">
        <v>459</v>
      </c>
      <c r="BK9">
        <v>460</v>
      </c>
      <c r="BL9" s="26">
        <v>-1</v>
      </c>
      <c r="BM9" s="30"/>
      <c r="BN9">
        <v>321</v>
      </c>
      <c r="BO9">
        <v>324</v>
      </c>
      <c r="BP9" s="26">
        <v>-3</v>
      </c>
      <c r="BQ9" s="30"/>
      <c r="BR9" s="32">
        <v>142</v>
      </c>
      <c r="BS9">
        <v>143</v>
      </c>
      <c r="BT9" s="26">
        <v>-1</v>
      </c>
      <c r="BU9" s="30"/>
      <c r="BV9">
        <v>604</v>
      </c>
      <c r="BW9">
        <v>600</v>
      </c>
      <c r="BX9" s="26">
        <v>4</v>
      </c>
      <c r="BY9" s="30"/>
      <c r="BZ9" s="32">
        <v>222</v>
      </c>
      <c r="CA9">
        <v>219</v>
      </c>
      <c r="CB9" s="26">
        <v>3</v>
      </c>
      <c r="CC9" s="30"/>
      <c r="CD9" s="29"/>
      <c r="CE9">
        <v>609</v>
      </c>
      <c r="CF9" s="25">
        <v>-609</v>
      </c>
      <c r="CG9" s="30">
        <v>609</v>
      </c>
      <c r="CJ9" s="26">
        <v>0</v>
      </c>
      <c r="CK9" s="30"/>
      <c r="CL9" s="32">
        <v>151</v>
      </c>
      <c r="CM9">
        <v>150</v>
      </c>
      <c r="CN9">
        <v>113</v>
      </c>
      <c r="CO9">
        <v>112</v>
      </c>
      <c r="CP9" s="26">
        <v>2</v>
      </c>
      <c r="CQ9" s="30"/>
      <c r="CR9" s="29"/>
      <c r="CT9" s="26">
        <v>0</v>
      </c>
      <c r="CU9" s="30"/>
      <c r="CV9">
        <v>203</v>
      </c>
      <c r="CW9">
        <v>200</v>
      </c>
      <c r="CX9">
        <v>529</v>
      </c>
      <c r="CY9">
        <v>529</v>
      </c>
      <c r="CZ9" s="26">
        <v>3</v>
      </c>
      <c r="DA9" s="30"/>
      <c r="DD9" s="26">
        <v>0</v>
      </c>
      <c r="DE9" s="30"/>
      <c r="DF9" s="32">
        <v>455</v>
      </c>
      <c r="DG9">
        <v>448</v>
      </c>
      <c r="DH9" s="26">
        <v>7</v>
      </c>
      <c r="DI9" s="30"/>
      <c r="DJ9" s="29"/>
      <c r="DL9" s="26">
        <v>0</v>
      </c>
      <c r="DM9" s="30"/>
      <c r="DP9" s="26">
        <v>0</v>
      </c>
      <c r="DQ9" s="30"/>
      <c r="DR9" s="32">
        <v>680</v>
      </c>
      <c r="DT9">
        <v>679</v>
      </c>
      <c r="DU9" s="26">
        <v>1</v>
      </c>
      <c r="DV9" s="30"/>
      <c r="DW9" s="32">
        <v>101</v>
      </c>
      <c r="DX9">
        <v>100</v>
      </c>
      <c r="DY9">
        <v>250</v>
      </c>
      <c r="DZ9">
        <v>245</v>
      </c>
      <c r="EA9" s="26">
        <v>6</v>
      </c>
      <c r="EB9" s="30"/>
      <c r="EC9" s="32">
        <v>194</v>
      </c>
      <c r="EE9">
        <v>193</v>
      </c>
      <c r="EF9" s="26">
        <v>1</v>
      </c>
      <c r="EG9" s="30"/>
      <c r="EH9">
        <v>380</v>
      </c>
      <c r="EI9" s="26">
        <v>379.99</v>
      </c>
      <c r="EJ9" s="26">
        <v>9.9999999999909051E-3</v>
      </c>
      <c r="EK9" s="30"/>
      <c r="EL9" s="32">
        <v>16</v>
      </c>
      <c r="EM9" s="26">
        <v>13.61199999999997</v>
      </c>
      <c r="EN9" s="26">
        <v>2.3880000000000301</v>
      </c>
      <c r="EO9" s="30"/>
      <c r="EP9" s="32">
        <v>641</v>
      </c>
      <c r="EQ9" s="26">
        <v>641.1733999999999</v>
      </c>
      <c r="ER9" s="26">
        <v>-0.17339999999990141</v>
      </c>
      <c r="ES9" s="30"/>
      <c r="ET9" s="32">
        <v>181</v>
      </c>
      <c r="EU9">
        <v>183</v>
      </c>
      <c r="EV9" s="26">
        <v>-2</v>
      </c>
      <c r="EW9" s="30"/>
      <c r="EX9">
        <v>221</v>
      </c>
      <c r="EY9" s="28">
        <v>216.81680000000009</v>
      </c>
      <c r="EZ9" s="26">
        <v>4.1831999999999141</v>
      </c>
      <c r="FA9" s="30"/>
      <c r="FB9">
        <v>189</v>
      </c>
      <c r="FC9">
        <v>186</v>
      </c>
      <c r="FD9" s="26">
        <v>3</v>
      </c>
      <c r="FE9" s="30"/>
      <c r="FF9" s="32">
        <v>49</v>
      </c>
      <c r="FH9">
        <v>47</v>
      </c>
      <c r="FI9" s="26">
        <v>2</v>
      </c>
      <c r="FJ9" s="30"/>
      <c r="FK9" s="32">
        <v>394</v>
      </c>
      <c r="FM9">
        <v>394</v>
      </c>
      <c r="FN9" s="26">
        <v>0</v>
      </c>
      <c r="FO9" s="30"/>
      <c r="FR9" s="26">
        <v>0</v>
      </c>
      <c r="FS9" s="30"/>
      <c r="FT9" s="29"/>
      <c r="FU9">
        <v>193</v>
      </c>
      <c r="FV9">
        <v>330</v>
      </c>
      <c r="FW9">
        <v>318</v>
      </c>
      <c r="FX9">
        <v>340</v>
      </c>
      <c r="FY9" s="25">
        <v>-159</v>
      </c>
      <c r="FZ9" s="30">
        <v>159</v>
      </c>
      <c r="GA9">
        <v>218</v>
      </c>
      <c r="GB9" s="28">
        <v>217.82759999999999</v>
      </c>
      <c r="GC9" s="26">
        <v>0.1724000000000103</v>
      </c>
      <c r="GD9" s="30"/>
      <c r="GE9" s="29"/>
      <c r="GI9" s="26">
        <v>0</v>
      </c>
      <c r="GJ9" s="30"/>
      <c r="GK9">
        <v>201</v>
      </c>
      <c r="GL9">
        <v>200</v>
      </c>
      <c r="GM9">
        <v>217</v>
      </c>
      <c r="GN9">
        <v>220</v>
      </c>
      <c r="GO9" s="26">
        <v>-2</v>
      </c>
      <c r="GP9" s="30"/>
      <c r="GQ9">
        <v>134</v>
      </c>
      <c r="GR9" s="28">
        <v>132.59880000000001</v>
      </c>
      <c r="GS9" s="26">
        <v>1.4011999999999889</v>
      </c>
      <c r="GT9" s="30"/>
      <c r="GU9" s="32">
        <v>69</v>
      </c>
      <c r="GV9">
        <v>70</v>
      </c>
      <c r="GW9" s="26">
        <v>-1</v>
      </c>
      <c r="GX9" s="30"/>
      <c r="GY9" s="32">
        <v>442</v>
      </c>
      <c r="GZ9">
        <v>440</v>
      </c>
      <c r="HA9" s="26">
        <v>2</v>
      </c>
      <c r="HB9" s="30"/>
      <c r="HC9">
        <v>281</v>
      </c>
      <c r="HD9">
        <v>280</v>
      </c>
      <c r="HE9" s="26">
        <v>1</v>
      </c>
      <c r="HF9" s="30"/>
      <c r="HG9" s="32">
        <v>162</v>
      </c>
      <c r="HH9">
        <v>160</v>
      </c>
      <c r="HI9" s="26">
        <v>2</v>
      </c>
      <c r="HJ9" s="30"/>
      <c r="HK9" s="29"/>
      <c r="HM9" s="26">
        <v>0</v>
      </c>
      <c r="HN9" s="30"/>
      <c r="HQ9" s="26">
        <v>0</v>
      </c>
      <c r="HR9" s="33"/>
      <c r="HS9">
        <v>450</v>
      </c>
      <c r="HT9">
        <v>450</v>
      </c>
      <c r="HU9" s="26">
        <v>0</v>
      </c>
      <c r="HV9" s="30"/>
      <c r="HW9">
        <v>61</v>
      </c>
      <c r="HX9">
        <v>60</v>
      </c>
      <c r="HY9" s="26">
        <v>1</v>
      </c>
      <c r="HZ9" s="33"/>
      <c r="IA9">
        <v>253</v>
      </c>
      <c r="IB9">
        <v>250</v>
      </c>
      <c r="IC9" s="26">
        <v>3</v>
      </c>
      <c r="ID9" s="30"/>
      <c r="IE9">
        <v>151</v>
      </c>
      <c r="IF9">
        <v>150</v>
      </c>
      <c r="IG9" s="26">
        <v>1</v>
      </c>
      <c r="IH9" s="33"/>
      <c r="IK9" s="26">
        <v>0</v>
      </c>
      <c r="IL9" s="30"/>
      <c r="IM9" s="32">
        <v>259</v>
      </c>
      <c r="IN9" s="28">
        <v>260</v>
      </c>
      <c r="IO9" s="26">
        <v>-1</v>
      </c>
      <c r="IP9" s="33"/>
      <c r="IQ9">
        <v>401</v>
      </c>
      <c r="IR9">
        <v>400</v>
      </c>
      <c r="IS9" s="26">
        <v>1</v>
      </c>
      <c r="IT9" s="33"/>
      <c r="IW9" s="26">
        <v>0</v>
      </c>
      <c r="IX9" s="33"/>
      <c r="JA9" s="26">
        <v>0</v>
      </c>
      <c r="JB9" s="30"/>
      <c r="JC9">
        <v>249</v>
      </c>
      <c r="JD9">
        <v>250</v>
      </c>
      <c r="JE9">
        <v>170</v>
      </c>
      <c r="JF9">
        <v>170</v>
      </c>
      <c r="JG9" s="26">
        <v>-1</v>
      </c>
      <c r="JH9" s="33"/>
      <c r="JI9" s="28">
        <v>142.67500000000001</v>
      </c>
      <c r="JJ9" s="28">
        <v>140</v>
      </c>
      <c r="JK9" s="26">
        <v>2.6750000000000109</v>
      </c>
      <c r="JL9" s="33"/>
      <c r="JM9" s="28">
        <v>237.42500000000001</v>
      </c>
      <c r="JN9" s="28">
        <v>235.91720000000001</v>
      </c>
      <c r="JO9" s="26">
        <v>1.507800000000032</v>
      </c>
      <c r="JP9" s="33"/>
      <c r="JQ9" s="31">
        <v>61.026000000000003</v>
      </c>
      <c r="JR9" s="28">
        <v>60</v>
      </c>
      <c r="JS9" s="26">
        <v>1.0260000000000029</v>
      </c>
      <c r="JT9" s="33"/>
    </row>
    <row r="10" spans="1:280" x14ac:dyDescent="0.25">
      <c r="A10" s="26" t="s">
        <v>161</v>
      </c>
      <c r="B10" s="27">
        <v>1</v>
      </c>
      <c r="I10" s="29"/>
      <c r="J10" s="35"/>
      <c r="K10" s="40"/>
      <c r="L10" s="35"/>
      <c r="M10" s="35">
        <f t="shared" si="6"/>
        <v>0</v>
      </c>
      <c r="N10" s="30"/>
      <c r="O10" s="29"/>
      <c r="P10" s="35"/>
      <c r="Q10" s="35"/>
      <c r="R10" s="35"/>
      <c r="S10" s="35">
        <f t="shared" si="7"/>
        <v>0</v>
      </c>
      <c r="T10" s="30"/>
      <c r="U10" s="29"/>
      <c r="V10" s="40"/>
      <c r="W10" s="35"/>
      <c r="X10" s="35"/>
      <c r="Y10" s="35"/>
      <c r="Z10" s="35"/>
      <c r="AA10" s="35">
        <f t="shared" si="8"/>
        <v>0</v>
      </c>
      <c r="AB10" s="30"/>
      <c r="AC10" s="29"/>
      <c r="AD10" s="35"/>
      <c r="AE10" s="35"/>
      <c r="AF10" s="35"/>
      <c r="AG10" s="35">
        <v>0</v>
      </c>
      <c r="AH10" s="30"/>
      <c r="AI10" s="35"/>
      <c r="AM10" s="26">
        <v>0</v>
      </c>
      <c r="AN10" s="30"/>
      <c r="AO10" s="31"/>
      <c r="AS10" s="26">
        <v>0</v>
      </c>
      <c r="AT10" s="30"/>
      <c r="AY10" s="26">
        <v>0</v>
      </c>
      <c r="AZ10" s="30"/>
      <c r="BD10" s="26">
        <v>0</v>
      </c>
      <c r="BE10" s="30"/>
      <c r="BF10" s="29"/>
      <c r="BH10" s="26">
        <v>0</v>
      </c>
      <c r="BI10" s="30"/>
      <c r="BJ10" s="29"/>
      <c r="BL10" s="26">
        <v>0</v>
      </c>
      <c r="BM10" s="30"/>
      <c r="BP10" s="26">
        <v>0</v>
      </c>
      <c r="BQ10" s="30"/>
      <c r="BR10" s="29"/>
      <c r="BT10" s="26">
        <v>0</v>
      </c>
      <c r="BU10" s="30"/>
      <c r="BX10" s="26">
        <v>0</v>
      </c>
      <c r="BY10" s="30"/>
      <c r="BZ10" s="29"/>
      <c r="CB10" s="26">
        <v>0</v>
      </c>
      <c r="CC10" s="30"/>
      <c r="CD10" s="29"/>
      <c r="CF10" s="26">
        <v>0</v>
      </c>
      <c r="CG10" s="30"/>
      <c r="CJ10" s="26">
        <v>0</v>
      </c>
      <c r="CK10" s="30"/>
      <c r="CL10" s="29"/>
      <c r="CP10" s="26">
        <v>0</v>
      </c>
      <c r="CQ10" s="30"/>
      <c r="CR10" s="29"/>
      <c r="CT10" s="26">
        <v>0</v>
      </c>
      <c r="CU10" s="30"/>
      <c r="CZ10" s="26">
        <v>0</v>
      </c>
      <c r="DA10" s="30"/>
      <c r="DD10" s="26">
        <v>0</v>
      </c>
      <c r="DE10" s="30"/>
      <c r="DF10" s="29"/>
      <c r="DH10" s="26">
        <v>0</v>
      </c>
      <c r="DI10" s="30"/>
      <c r="DJ10" s="29"/>
      <c r="DL10" s="26">
        <v>0</v>
      </c>
      <c r="DM10" s="30"/>
      <c r="DP10" s="26">
        <v>0</v>
      </c>
      <c r="DQ10" s="30"/>
      <c r="DR10" s="29"/>
      <c r="DU10" s="26">
        <v>0</v>
      </c>
      <c r="DV10" s="30"/>
      <c r="DW10" s="29"/>
      <c r="EA10" s="26">
        <v>0</v>
      </c>
      <c r="EB10" s="30"/>
      <c r="EC10" s="29"/>
      <c r="EF10" s="26">
        <v>0</v>
      </c>
      <c r="EG10" s="30"/>
      <c r="EJ10" s="26">
        <v>0</v>
      </c>
      <c r="EK10" s="30"/>
      <c r="EL10" s="31"/>
      <c r="EN10" s="26">
        <v>0</v>
      </c>
      <c r="EO10" s="30"/>
      <c r="EP10" s="29"/>
      <c r="ER10" s="26">
        <v>0</v>
      </c>
      <c r="ES10" s="30"/>
      <c r="ET10" s="29"/>
      <c r="EV10" s="26">
        <v>0</v>
      </c>
      <c r="EW10" s="30"/>
      <c r="EZ10" s="26">
        <v>0</v>
      </c>
      <c r="FA10" s="30"/>
      <c r="FD10" s="26">
        <v>0</v>
      </c>
      <c r="FE10" s="30"/>
      <c r="FF10" s="32">
        <v>4</v>
      </c>
      <c r="FH10">
        <v>5</v>
      </c>
      <c r="FI10" s="26">
        <v>-1</v>
      </c>
      <c r="FJ10" s="30"/>
      <c r="FK10" s="29"/>
      <c r="FN10" s="26">
        <v>0</v>
      </c>
      <c r="FO10" s="30"/>
      <c r="FR10" s="26">
        <v>0</v>
      </c>
      <c r="FS10" s="30"/>
      <c r="FT10" s="29"/>
      <c r="FY10" s="26">
        <v>0</v>
      </c>
      <c r="FZ10" s="30"/>
      <c r="GC10" s="26">
        <v>0</v>
      </c>
      <c r="GD10" s="30"/>
      <c r="GE10" s="29"/>
      <c r="GI10" s="26">
        <v>0</v>
      </c>
      <c r="GJ10" s="30"/>
      <c r="GO10" s="26">
        <v>0</v>
      </c>
      <c r="GP10" s="30"/>
      <c r="GQ10">
        <v>24</v>
      </c>
      <c r="GR10" s="28">
        <v>22.714600000000001</v>
      </c>
      <c r="GS10" s="26">
        <v>1.285399999999999</v>
      </c>
      <c r="GT10" s="30"/>
      <c r="GU10" s="29"/>
      <c r="GW10" s="26">
        <v>0</v>
      </c>
      <c r="GX10" s="30"/>
      <c r="GY10" s="32">
        <v>4</v>
      </c>
      <c r="GZ10">
        <v>4</v>
      </c>
      <c r="HA10" s="26">
        <v>0</v>
      </c>
      <c r="HB10" s="30"/>
      <c r="HE10" s="26">
        <v>0</v>
      </c>
      <c r="HF10" s="30"/>
      <c r="HG10" s="29"/>
      <c r="HI10" s="26">
        <v>0</v>
      </c>
      <c r="HJ10" s="30"/>
      <c r="HK10" s="29"/>
      <c r="HM10" s="26">
        <v>0</v>
      </c>
      <c r="HN10" s="30"/>
      <c r="HQ10" s="26">
        <v>0</v>
      </c>
      <c r="HR10" s="33"/>
      <c r="HU10" s="26">
        <v>0</v>
      </c>
      <c r="HV10" s="30"/>
      <c r="HY10" s="26">
        <v>0</v>
      </c>
      <c r="HZ10" s="33"/>
      <c r="IC10" s="26">
        <v>0</v>
      </c>
      <c r="ID10" s="30"/>
      <c r="IG10" s="26">
        <v>0</v>
      </c>
      <c r="IH10" s="33"/>
      <c r="IK10" s="26">
        <v>0</v>
      </c>
      <c r="IL10" s="30"/>
      <c r="IM10" s="31"/>
      <c r="IO10" s="26">
        <v>0</v>
      </c>
      <c r="IP10" s="33"/>
      <c r="IS10" s="26">
        <v>0</v>
      </c>
      <c r="IT10" s="33"/>
      <c r="IW10" s="26">
        <v>0</v>
      </c>
      <c r="IX10" s="33"/>
      <c r="JA10" s="26">
        <v>0</v>
      </c>
      <c r="JB10" s="30"/>
      <c r="JC10">
        <v>81</v>
      </c>
      <c r="JD10">
        <v>80</v>
      </c>
      <c r="JE10">
        <v>68</v>
      </c>
      <c r="JF10">
        <v>70</v>
      </c>
      <c r="JG10" s="26">
        <v>-1</v>
      </c>
      <c r="JH10" s="33"/>
      <c r="JI10" s="28">
        <v>32.343000000000004</v>
      </c>
      <c r="JJ10" s="28">
        <v>30</v>
      </c>
      <c r="JK10" s="26">
        <v>2.343000000000004</v>
      </c>
      <c r="JL10" s="33"/>
      <c r="JM10" s="28">
        <v>0</v>
      </c>
      <c r="JN10" s="28">
        <v>0</v>
      </c>
      <c r="JO10" s="26">
        <v>0</v>
      </c>
      <c r="JP10" s="33"/>
      <c r="JQ10" s="31">
        <v>0</v>
      </c>
      <c r="JR10" s="28">
        <v>0</v>
      </c>
      <c r="JS10" s="26">
        <v>0</v>
      </c>
      <c r="JT10" s="33"/>
    </row>
    <row r="11" spans="1:280" x14ac:dyDescent="0.25">
      <c r="A11" s="26" t="s">
        <v>162</v>
      </c>
      <c r="B11" s="27">
        <v>1</v>
      </c>
      <c r="I11" s="29"/>
      <c r="J11" s="35"/>
      <c r="K11" s="40"/>
      <c r="L11" s="35"/>
      <c r="M11" s="35">
        <f t="shared" si="6"/>
        <v>0</v>
      </c>
      <c r="N11" s="30"/>
      <c r="O11" s="29"/>
      <c r="P11" s="35"/>
      <c r="Q11" s="35"/>
      <c r="R11" s="35"/>
      <c r="S11" s="35">
        <f t="shared" si="7"/>
        <v>0</v>
      </c>
      <c r="T11" s="30"/>
      <c r="U11" s="29"/>
      <c r="V11" s="40"/>
      <c r="W11" s="35"/>
      <c r="X11" s="35"/>
      <c r="Y11" s="35"/>
      <c r="Z11" s="35"/>
      <c r="AA11" s="35">
        <f t="shared" si="8"/>
        <v>0</v>
      </c>
      <c r="AB11" s="30"/>
      <c r="AC11" s="29"/>
      <c r="AD11" s="35"/>
      <c r="AE11" s="35"/>
      <c r="AF11" s="35"/>
      <c r="AG11" s="35">
        <v>0</v>
      </c>
      <c r="AH11" s="30"/>
      <c r="AI11" s="35"/>
      <c r="AM11" s="26">
        <v>0</v>
      </c>
      <c r="AN11" s="30"/>
      <c r="AO11" s="31"/>
      <c r="AS11" s="26">
        <v>0</v>
      </c>
      <c r="AT11" s="30"/>
      <c r="AY11" s="26">
        <v>0</v>
      </c>
      <c r="AZ11" s="30"/>
      <c r="BD11" s="26">
        <v>0</v>
      </c>
      <c r="BE11" s="30"/>
      <c r="BF11" s="29"/>
      <c r="BH11" s="26">
        <v>0</v>
      </c>
      <c r="BI11" s="30"/>
      <c r="BJ11" s="29"/>
      <c r="BL11" s="26">
        <v>0</v>
      </c>
      <c r="BM11" s="30"/>
      <c r="BP11" s="26">
        <v>0</v>
      </c>
      <c r="BQ11" s="30"/>
      <c r="BR11" s="29"/>
      <c r="BT11" s="26">
        <v>0</v>
      </c>
      <c r="BU11" s="30"/>
      <c r="BX11" s="26">
        <v>0</v>
      </c>
      <c r="BY11" s="30"/>
      <c r="BZ11" s="29"/>
      <c r="CB11" s="26">
        <v>0</v>
      </c>
      <c r="CC11" s="30"/>
      <c r="CD11" s="29"/>
      <c r="CF11" s="26">
        <v>0</v>
      </c>
      <c r="CG11" s="30"/>
      <c r="CJ11" s="26">
        <v>0</v>
      </c>
      <c r="CK11" s="30"/>
      <c r="CL11" s="29"/>
      <c r="CP11" s="26">
        <v>0</v>
      </c>
      <c r="CQ11" s="30"/>
      <c r="CR11" s="29"/>
      <c r="CT11" s="26">
        <v>0</v>
      </c>
      <c r="CU11" s="30"/>
      <c r="CZ11" s="26">
        <v>0</v>
      </c>
      <c r="DA11" s="30"/>
      <c r="DD11" s="26">
        <v>0</v>
      </c>
      <c r="DE11" s="30"/>
      <c r="DF11" s="29"/>
      <c r="DH11" s="26">
        <v>0</v>
      </c>
      <c r="DI11" s="30"/>
      <c r="DJ11" s="29"/>
      <c r="DL11" s="26">
        <v>0</v>
      </c>
      <c r="DM11" s="30"/>
      <c r="DP11" s="26">
        <v>0</v>
      </c>
      <c r="DQ11" s="30"/>
      <c r="DR11" s="29"/>
      <c r="DU11" s="26">
        <v>0</v>
      </c>
      <c r="DV11" s="30"/>
      <c r="DW11" s="29"/>
      <c r="EA11" s="26">
        <v>0</v>
      </c>
      <c r="EB11" s="30"/>
      <c r="EC11" s="29"/>
      <c r="EF11" s="26">
        <v>0</v>
      </c>
      <c r="EG11" s="30"/>
      <c r="EJ11" s="26">
        <v>0</v>
      </c>
      <c r="EK11" s="30"/>
      <c r="EL11" s="31"/>
      <c r="EN11" s="26">
        <v>0</v>
      </c>
      <c r="EO11" s="30"/>
      <c r="EP11" s="29"/>
      <c r="ER11" s="26">
        <v>0</v>
      </c>
      <c r="ES11" s="30"/>
      <c r="ET11" s="29"/>
      <c r="EV11" s="26">
        <v>0</v>
      </c>
      <c r="EW11" s="30"/>
      <c r="EZ11" s="26">
        <v>0</v>
      </c>
      <c r="FA11" s="30"/>
      <c r="FD11" s="26">
        <v>0</v>
      </c>
      <c r="FE11" s="30"/>
      <c r="FF11" s="29"/>
      <c r="FI11" s="26">
        <v>0</v>
      </c>
      <c r="FJ11" s="30"/>
      <c r="FK11" s="29"/>
      <c r="FN11" s="26">
        <v>0</v>
      </c>
      <c r="FO11" s="30"/>
      <c r="FR11" s="26">
        <v>0</v>
      </c>
      <c r="FS11" s="30"/>
      <c r="FT11" s="29"/>
      <c r="FY11" s="26">
        <v>0</v>
      </c>
      <c r="FZ11" s="30"/>
      <c r="GC11" s="26">
        <v>0</v>
      </c>
      <c r="GD11" s="30"/>
      <c r="GE11" s="29"/>
      <c r="GI11" s="26">
        <v>0</v>
      </c>
      <c r="GJ11" s="30"/>
      <c r="GK11">
        <v>89</v>
      </c>
      <c r="GL11">
        <v>90</v>
      </c>
      <c r="GM11">
        <v>103</v>
      </c>
      <c r="GN11">
        <v>100</v>
      </c>
      <c r="GO11" s="26">
        <v>2</v>
      </c>
      <c r="GP11" s="30"/>
      <c r="GQ11">
        <v>12</v>
      </c>
      <c r="GR11" s="28">
        <v>10.5594</v>
      </c>
      <c r="GS11" s="26">
        <v>1.4406000000000001</v>
      </c>
      <c r="GT11" s="30"/>
      <c r="GU11" s="32">
        <v>150</v>
      </c>
      <c r="GV11">
        <v>150</v>
      </c>
      <c r="GW11" s="26">
        <v>0</v>
      </c>
      <c r="GX11" s="30"/>
      <c r="GY11" s="32">
        <v>12</v>
      </c>
      <c r="GZ11">
        <v>10</v>
      </c>
      <c r="HA11" s="26">
        <v>2</v>
      </c>
      <c r="HB11" s="30"/>
      <c r="HC11">
        <v>33</v>
      </c>
      <c r="HD11">
        <v>30</v>
      </c>
      <c r="HE11" s="26">
        <v>3</v>
      </c>
      <c r="HF11" s="30"/>
      <c r="HG11" s="32">
        <v>137</v>
      </c>
      <c r="HH11">
        <v>160</v>
      </c>
      <c r="HI11" s="25">
        <v>-23</v>
      </c>
      <c r="HJ11" s="30">
        <v>23</v>
      </c>
      <c r="HK11" s="29"/>
      <c r="HM11" s="26">
        <v>0</v>
      </c>
      <c r="HN11" s="30"/>
      <c r="HO11">
        <v>61</v>
      </c>
      <c r="HP11">
        <v>60</v>
      </c>
      <c r="HQ11" s="26">
        <v>1</v>
      </c>
      <c r="HR11" s="33"/>
      <c r="HS11">
        <v>61</v>
      </c>
      <c r="HT11">
        <v>61</v>
      </c>
      <c r="HU11" s="26">
        <v>0</v>
      </c>
      <c r="HV11" s="30"/>
      <c r="HY11" s="26">
        <v>0</v>
      </c>
      <c r="HZ11" s="33"/>
      <c r="IC11" s="26">
        <v>0</v>
      </c>
      <c r="ID11" s="30"/>
      <c r="IE11">
        <v>77</v>
      </c>
      <c r="IF11">
        <v>80</v>
      </c>
      <c r="IG11" s="26">
        <v>-3</v>
      </c>
      <c r="IH11" s="33"/>
      <c r="II11">
        <v>86</v>
      </c>
      <c r="IJ11" s="28">
        <v>83.295799999999986</v>
      </c>
      <c r="IK11" s="26">
        <v>2.7042000000000139</v>
      </c>
      <c r="IL11" s="30"/>
      <c r="IM11" s="31"/>
      <c r="IO11" s="26">
        <v>0</v>
      </c>
      <c r="IP11" s="33"/>
      <c r="IQ11">
        <v>60</v>
      </c>
      <c r="IR11">
        <v>59</v>
      </c>
      <c r="IS11" s="26">
        <v>1</v>
      </c>
      <c r="IT11" s="33"/>
      <c r="IU11">
        <v>41</v>
      </c>
      <c r="IV11">
        <v>40</v>
      </c>
      <c r="IW11" s="26">
        <v>-1</v>
      </c>
      <c r="IX11" s="33"/>
      <c r="JA11" s="26">
        <v>0</v>
      </c>
      <c r="JB11" s="30"/>
      <c r="JC11">
        <v>48</v>
      </c>
      <c r="JD11">
        <v>50</v>
      </c>
      <c r="JE11">
        <v>48</v>
      </c>
      <c r="JF11">
        <v>50</v>
      </c>
      <c r="JG11" s="26">
        <v>-4</v>
      </c>
      <c r="JH11" s="33"/>
      <c r="JI11" s="28">
        <v>100.88200000000001</v>
      </c>
      <c r="JJ11" s="28">
        <v>100</v>
      </c>
      <c r="JK11" s="26">
        <v>0.882000000000005</v>
      </c>
      <c r="JL11" s="33"/>
      <c r="JP11" s="33"/>
      <c r="JQ11" s="31"/>
      <c r="JT11" s="33"/>
    </row>
    <row r="12" spans="1:280" x14ac:dyDescent="0.25">
      <c r="A12" s="26" t="s">
        <v>163</v>
      </c>
      <c r="B12" s="27">
        <v>1</v>
      </c>
      <c r="E12">
        <v>183</v>
      </c>
      <c r="F12">
        <v>182</v>
      </c>
      <c r="I12" s="29"/>
      <c r="J12" s="35"/>
      <c r="K12" s="40"/>
      <c r="L12" s="35"/>
      <c r="M12" s="35">
        <f t="shared" si="6"/>
        <v>0</v>
      </c>
      <c r="N12" s="30"/>
      <c r="O12" s="32">
        <v>213</v>
      </c>
      <c r="P12" s="36">
        <v>216</v>
      </c>
      <c r="Q12" s="36">
        <v>202</v>
      </c>
      <c r="R12" s="36">
        <v>202</v>
      </c>
      <c r="S12" s="35">
        <f t="shared" si="7"/>
        <v>-3</v>
      </c>
      <c r="T12" s="30"/>
      <c r="U12" s="29"/>
      <c r="V12" s="36">
        <v>113</v>
      </c>
      <c r="W12" s="36">
        <v>113</v>
      </c>
      <c r="X12" s="35"/>
      <c r="Y12" s="36">
        <v>87</v>
      </c>
      <c r="Z12" s="36">
        <v>91</v>
      </c>
      <c r="AA12" s="35">
        <f t="shared" si="8"/>
        <v>-4</v>
      </c>
      <c r="AB12" s="30"/>
      <c r="AC12" s="32">
        <v>113</v>
      </c>
      <c r="AD12" s="40">
        <v>116.4705882352941</v>
      </c>
      <c r="AE12" s="35"/>
      <c r="AF12" s="40">
        <v>81.529411764705884</v>
      </c>
      <c r="AG12" s="41">
        <v>-84.999999999999986</v>
      </c>
      <c r="AH12" s="30">
        <v>84.999999999999986</v>
      </c>
      <c r="AI12" s="36">
        <v>102</v>
      </c>
      <c r="AJ12">
        <v>102</v>
      </c>
      <c r="AK12">
        <v>81</v>
      </c>
      <c r="AL12">
        <v>81</v>
      </c>
      <c r="AM12" s="26">
        <v>0</v>
      </c>
      <c r="AN12" s="30"/>
      <c r="AO12" s="31"/>
      <c r="AS12" s="26">
        <v>0</v>
      </c>
      <c r="AT12" s="30"/>
      <c r="AU12">
        <v>199</v>
      </c>
      <c r="AV12">
        <v>200</v>
      </c>
      <c r="AW12">
        <v>162</v>
      </c>
      <c r="AX12">
        <v>163</v>
      </c>
      <c r="AY12" s="26">
        <v>-2</v>
      </c>
      <c r="AZ12" s="30"/>
      <c r="BB12">
        <v>54</v>
      </c>
      <c r="BC12">
        <v>55</v>
      </c>
      <c r="BD12" s="26">
        <v>-1</v>
      </c>
      <c r="BE12" s="30"/>
      <c r="BF12" s="32">
        <v>416</v>
      </c>
      <c r="BG12">
        <v>418</v>
      </c>
      <c r="BH12" s="26">
        <v>-2</v>
      </c>
      <c r="BI12" s="30"/>
      <c r="BJ12" s="32">
        <v>133</v>
      </c>
      <c r="BK12">
        <v>134</v>
      </c>
      <c r="BL12" s="26">
        <v>-1</v>
      </c>
      <c r="BM12" s="30"/>
      <c r="BN12">
        <v>165</v>
      </c>
      <c r="BO12">
        <v>166</v>
      </c>
      <c r="BP12" s="26">
        <v>-1</v>
      </c>
      <c r="BQ12" s="30"/>
      <c r="BR12" s="32">
        <v>324</v>
      </c>
      <c r="BS12">
        <v>325</v>
      </c>
      <c r="BT12" s="26">
        <v>-1</v>
      </c>
      <c r="BU12" s="30"/>
      <c r="BX12" s="26">
        <v>0</v>
      </c>
      <c r="BY12" s="30"/>
      <c r="BZ12" s="32">
        <v>340</v>
      </c>
      <c r="CA12">
        <v>338</v>
      </c>
      <c r="CB12" s="26">
        <v>2</v>
      </c>
      <c r="CC12" s="30"/>
      <c r="CD12" s="32">
        <v>16</v>
      </c>
      <c r="CE12">
        <v>14</v>
      </c>
      <c r="CF12" s="26">
        <v>2</v>
      </c>
      <c r="CG12" s="30"/>
      <c r="CJ12" s="26">
        <v>0</v>
      </c>
      <c r="CK12" s="30"/>
      <c r="CL12" s="32">
        <v>122</v>
      </c>
      <c r="CM12">
        <v>120</v>
      </c>
      <c r="CN12">
        <v>130</v>
      </c>
      <c r="CO12">
        <v>127</v>
      </c>
      <c r="CP12" s="26">
        <v>5</v>
      </c>
      <c r="CQ12" s="30"/>
      <c r="CR12" s="29"/>
      <c r="CT12" s="26">
        <v>0</v>
      </c>
      <c r="CU12" s="30"/>
      <c r="CW12">
        <v>100</v>
      </c>
      <c r="CX12">
        <v>247</v>
      </c>
      <c r="CY12">
        <v>245</v>
      </c>
      <c r="CZ12" s="25">
        <v>-98</v>
      </c>
      <c r="DA12" s="30">
        <v>98</v>
      </c>
      <c r="DD12" s="26">
        <v>0</v>
      </c>
      <c r="DE12" s="30"/>
      <c r="DF12" s="32">
        <v>108</v>
      </c>
      <c r="DG12">
        <v>107</v>
      </c>
      <c r="DH12" s="26">
        <v>1</v>
      </c>
      <c r="DI12" s="30"/>
      <c r="DJ12" s="32">
        <v>122</v>
      </c>
      <c r="DK12">
        <v>121</v>
      </c>
      <c r="DL12" s="26">
        <v>1</v>
      </c>
      <c r="DM12" s="30"/>
      <c r="DN12">
        <v>153</v>
      </c>
      <c r="DO12">
        <v>155</v>
      </c>
      <c r="DP12" s="26">
        <v>-2</v>
      </c>
      <c r="DQ12" s="30"/>
      <c r="DR12" s="29"/>
      <c r="DU12" s="26">
        <v>0</v>
      </c>
      <c r="DV12" s="30"/>
      <c r="DW12" s="32">
        <v>81</v>
      </c>
      <c r="DX12">
        <v>80</v>
      </c>
      <c r="DY12">
        <v>155</v>
      </c>
      <c r="DZ12">
        <v>154</v>
      </c>
      <c r="EA12" s="26">
        <v>2</v>
      </c>
      <c r="EB12" s="30"/>
      <c r="EC12" s="32">
        <v>165</v>
      </c>
      <c r="EE12">
        <v>166</v>
      </c>
      <c r="EF12" s="26">
        <v>-1</v>
      </c>
      <c r="EG12" s="30"/>
      <c r="EH12">
        <v>117</v>
      </c>
      <c r="EI12" s="26">
        <v>170.65459999999999</v>
      </c>
      <c r="EJ12" s="25">
        <v>-53.654599999999988</v>
      </c>
      <c r="EK12" s="30">
        <v>53.654599999999988</v>
      </c>
      <c r="EL12" s="32">
        <v>20</v>
      </c>
      <c r="EM12" s="26">
        <v>17.89500000000001</v>
      </c>
      <c r="EN12" s="26">
        <v>2.1049999999999902</v>
      </c>
      <c r="EO12" s="30"/>
      <c r="EP12" s="32">
        <v>134</v>
      </c>
      <c r="EQ12" s="26">
        <v>131.6874</v>
      </c>
      <c r="ER12" s="26">
        <v>2.3126000000000029</v>
      </c>
      <c r="ES12" s="30"/>
      <c r="ET12" s="32">
        <v>92</v>
      </c>
      <c r="EU12">
        <v>93</v>
      </c>
      <c r="EV12" s="26">
        <v>-1</v>
      </c>
      <c r="EW12" s="30"/>
      <c r="EX12">
        <v>162</v>
      </c>
      <c r="EY12" s="28">
        <v>161.1116000000001</v>
      </c>
      <c r="EZ12" s="26">
        <v>0.88839999999990482</v>
      </c>
      <c r="FA12" s="30"/>
      <c r="FB12">
        <v>84</v>
      </c>
      <c r="FC12">
        <v>84</v>
      </c>
      <c r="FD12" s="26">
        <v>0</v>
      </c>
      <c r="FE12" s="30"/>
      <c r="FF12" s="32">
        <v>40</v>
      </c>
      <c r="FH12">
        <v>41</v>
      </c>
      <c r="FI12" s="26">
        <v>-1</v>
      </c>
      <c r="FJ12" s="30"/>
      <c r="FK12" s="29"/>
      <c r="FN12" s="26">
        <v>0</v>
      </c>
      <c r="FO12" s="30"/>
      <c r="FR12" s="26">
        <v>0</v>
      </c>
      <c r="FS12" s="30"/>
      <c r="FT12" s="29"/>
      <c r="FU12">
        <v>150</v>
      </c>
      <c r="FV12">
        <v>150</v>
      </c>
      <c r="FW12">
        <v>146</v>
      </c>
      <c r="FX12">
        <v>144</v>
      </c>
      <c r="FY12" s="26">
        <v>2</v>
      </c>
      <c r="FZ12" s="30"/>
      <c r="GA12">
        <v>81</v>
      </c>
      <c r="GB12" s="28">
        <v>80.933599999999984</v>
      </c>
      <c r="GC12" s="26">
        <v>6.640000000001578E-2</v>
      </c>
      <c r="GD12" s="30"/>
      <c r="GE12" s="29"/>
      <c r="GG12">
        <v>142</v>
      </c>
      <c r="GH12">
        <v>142</v>
      </c>
      <c r="GI12" s="26">
        <v>0</v>
      </c>
      <c r="GJ12" s="30"/>
      <c r="GM12">
        <v>60</v>
      </c>
      <c r="GN12">
        <v>60</v>
      </c>
      <c r="GO12" s="26">
        <v>0</v>
      </c>
      <c r="GP12" s="30"/>
      <c r="GQ12">
        <v>149</v>
      </c>
      <c r="GR12" s="28">
        <v>151.0574</v>
      </c>
      <c r="GS12" s="26">
        <v>-2.0574000000000008</v>
      </c>
      <c r="GT12" s="30"/>
      <c r="GU12" s="32">
        <v>210</v>
      </c>
      <c r="GV12">
        <v>210</v>
      </c>
      <c r="GW12" s="26">
        <v>0</v>
      </c>
      <c r="GX12" s="30"/>
      <c r="GY12" s="32">
        <v>65</v>
      </c>
      <c r="GZ12">
        <v>64</v>
      </c>
      <c r="HA12" s="26">
        <v>1</v>
      </c>
      <c r="HB12" s="30"/>
      <c r="HC12">
        <v>49</v>
      </c>
      <c r="HD12">
        <v>50</v>
      </c>
      <c r="HE12" s="26">
        <v>-1</v>
      </c>
      <c r="HF12" s="30"/>
      <c r="HG12" s="32">
        <v>151</v>
      </c>
      <c r="HH12">
        <v>149</v>
      </c>
      <c r="HI12" s="26">
        <v>2</v>
      </c>
      <c r="HJ12" s="30"/>
      <c r="HK12" s="29"/>
      <c r="HM12" s="26">
        <v>0</v>
      </c>
      <c r="HN12" s="30"/>
      <c r="HO12">
        <v>49</v>
      </c>
      <c r="HP12">
        <v>49</v>
      </c>
      <c r="HQ12" s="26">
        <v>0</v>
      </c>
      <c r="HR12" s="33"/>
      <c r="HS12">
        <v>77</v>
      </c>
      <c r="HT12">
        <v>76</v>
      </c>
      <c r="HU12" s="26">
        <v>1</v>
      </c>
      <c r="HV12" s="30"/>
      <c r="HY12" s="26">
        <v>0</v>
      </c>
      <c r="HZ12" s="33"/>
      <c r="IA12">
        <v>81</v>
      </c>
      <c r="IB12">
        <v>80</v>
      </c>
      <c r="IC12" s="26">
        <v>1</v>
      </c>
      <c r="ID12" s="30"/>
      <c r="IG12" s="26">
        <v>0</v>
      </c>
      <c r="IH12" s="33"/>
      <c r="IK12" s="26">
        <v>0</v>
      </c>
      <c r="IL12" s="30"/>
      <c r="IM12" s="32">
        <v>109</v>
      </c>
      <c r="IN12" s="28">
        <v>110</v>
      </c>
      <c r="IO12" s="26">
        <v>-1</v>
      </c>
      <c r="IP12" s="33"/>
      <c r="IQ12">
        <v>241</v>
      </c>
      <c r="IR12">
        <v>238</v>
      </c>
      <c r="IS12" s="26">
        <v>3</v>
      </c>
      <c r="IT12" s="33"/>
      <c r="IW12" s="26">
        <v>0</v>
      </c>
      <c r="IX12" s="33"/>
      <c r="JA12" s="26">
        <v>0</v>
      </c>
      <c r="JB12" s="30"/>
      <c r="JC12">
        <v>102</v>
      </c>
      <c r="JD12">
        <v>100</v>
      </c>
      <c r="JE12">
        <v>88</v>
      </c>
      <c r="JF12">
        <v>89</v>
      </c>
      <c r="JG12" s="26">
        <v>1</v>
      </c>
      <c r="JH12" s="33"/>
      <c r="JI12" s="28">
        <v>129.37100000000001</v>
      </c>
      <c r="JJ12" s="28">
        <v>130</v>
      </c>
      <c r="JK12" s="26">
        <v>-0.62899999999999068</v>
      </c>
      <c r="JL12" s="33"/>
      <c r="JM12" s="28">
        <v>112.304</v>
      </c>
      <c r="JN12" s="28">
        <v>110.68680000000001</v>
      </c>
      <c r="JO12" s="26">
        <v>1.6171999999999971</v>
      </c>
      <c r="JP12" s="33"/>
      <c r="JQ12" s="31">
        <v>0</v>
      </c>
      <c r="JR12" s="28">
        <v>0</v>
      </c>
      <c r="JS12" s="26">
        <v>0</v>
      </c>
      <c r="JT12" s="33"/>
    </row>
    <row r="13" spans="1:280" x14ac:dyDescent="0.25">
      <c r="A13" s="26" t="s">
        <v>164</v>
      </c>
      <c r="B13" s="27">
        <v>1</v>
      </c>
      <c r="E13">
        <v>186</v>
      </c>
      <c r="F13">
        <v>186</v>
      </c>
      <c r="I13" s="32">
        <v>112</v>
      </c>
      <c r="J13" s="36">
        <v>114</v>
      </c>
      <c r="K13" s="36">
        <v>114</v>
      </c>
      <c r="L13" s="36">
        <v>116</v>
      </c>
      <c r="M13" s="35">
        <f t="shared" si="6"/>
        <v>-4</v>
      </c>
      <c r="N13" s="30"/>
      <c r="O13" s="32">
        <v>348</v>
      </c>
      <c r="P13" s="36">
        <v>351</v>
      </c>
      <c r="Q13" s="35"/>
      <c r="R13" s="36">
        <v>329</v>
      </c>
      <c r="S13" s="41">
        <f t="shared" si="7"/>
        <v>-332</v>
      </c>
      <c r="T13" s="30">
        <f>-1*S13*B13</f>
        <v>332</v>
      </c>
      <c r="U13" s="29"/>
      <c r="V13" s="36">
        <v>139</v>
      </c>
      <c r="W13" s="36">
        <v>140</v>
      </c>
      <c r="X13" s="36">
        <v>109</v>
      </c>
      <c r="Y13" s="35"/>
      <c r="Z13" s="36">
        <v>112</v>
      </c>
      <c r="AA13" s="35">
        <f t="shared" si="8"/>
        <v>-4</v>
      </c>
      <c r="AB13" s="30"/>
      <c r="AC13" s="32">
        <v>290</v>
      </c>
      <c r="AD13" s="40">
        <v>287.05882352941182</v>
      </c>
      <c r="AE13" s="36">
        <v>195</v>
      </c>
      <c r="AF13" s="40">
        <v>200.9411764705882</v>
      </c>
      <c r="AG13" s="35">
        <v>-3.000000000000028</v>
      </c>
      <c r="AH13" s="30"/>
      <c r="AI13" s="36">
        <v>168</v>
      </c>
      <c r="AJ13">
        <v>167</v>
      </c>
      <c r="AK13">
        <v>130</v>
      </c>
      <c r="AL13">
        <v>133</v>
      </c>
      <c r="AM13" s="26">
        <v>-2</v>
      </c>
      <c r="AN13" s="30"/>
      <c r="AO13" s="32">
        <v>97</v>
      </c>
      <c r="AP13">
        <v>100</v>
      </c>
      <c r="AQ13">
        <v>49</v>
      </c>
      <c r="AR13">
        <v>50</v>
      </c>
      <c r="AS13" s="26">
        <v>-4</v>
      </c>
      <c r="AT13" s="30"/>
      <c r="AU13">
        <v>248</v>
      </c>
      <c r="AV13">
        <v>250</v>
      </c>
      <c r="AW13">
        <v>145</v>
      </c>
      <c r="AX13">
        <v>148</v>
      </c>
      <c r="AY13" s="26">
        <v>-5</v>
      </c>
      <c r="AZ13" s="30"/>
      <c r="BB13">
        <v>391</v>
      </c>
      <c r="BC13">
        <v>394</v>
      </c>
      <c r="BD13" s="26">
        <v>-3</v>
      </c>
      <c r="BE13" s="30"/>
      <c r="BF13" s="32">
        <v>219</v>
      </c>
      <c r="BG13">
        <v>217</v>
      </c>
      <c r="BH13" s="26">
        <v>2</v>
      </c>
      <c r="BI13" s="30"/>
      <c r="BJ13" s="32">
        <v>219</v>
      </c>
      <c r="BK13">
        <v>220</v>
      </c>
      <c r="BL13" s="26">
        <v>-1</v>
      </c>
      <c r="BM13" s="30"/>
      <c r="BN13">
        <v>246</v>
      </c>
      <c r="BO13">
        <v>246</v>
      </c>
      <c r="BP13" s="26">
        <v>0</v>
      </c>
      <c r="BQ13" s="30"/>
      <c r="BR13" s="32">
        <v>512</v>
      </c>
      <c r="BS13">
        <v>513</v>
      </c>
      <c r="BT13" s="26">
        <v>-1</v>
      </c>
      <c r="BU13" s="30"/>
      <c r="BV13">
        <v>418</v>
      </c>
      <c r="BW13">
        <v>419</v>
      </c>
      <c r="BX13" s="26">
        <v>-1</v>
      </c>
      <c r="BY13" s="30"/>
      <c r="BZ13" s="32">
        <v>396</v>
      </c>
      <c r="CA13">
        <v>395</v>
      </c>
      <c r="CB13" s="26">
        <v>1</v>
      </c>
      <c r="CC13" s="30"/>
      <c r="CD13" s="29"/>
      <c r="CE13">
        <v>86</v>
      </c>
      <c r="CF13" s="25">
        <v>-86</v>
      </c>
      <c r="CG13" s="30">
        <v>86</v>
      </c>
      <c r="CJ13" s="26">
        <v>0</v>
      </c>
      <c r="CK13" s="30"/>
      <c r="CL13" s="32">
        <v>257</v>
      </c>
      <c r="CM13">
        <v>250</v>
      </c>
      <c r="CN13">
        <v>344</v>
      </c>
      <c r="CO13">
        <v>343</v>
      </c>
      <c r="CP13" s="26">
        <v>8</v>
      </c>
      <c r="CQ13" s="30"/>
      <c r="CR13" s="29"/>
      <c r="CT13" s="26">
        <v>0</v>
      </c>
      <c r="CU13" s="30"/>
      <c r="CV13">
        <v>150</v>
      </c>
      <c r="CW13">
        <v>150</v>
      </c>
      <c r="CX13">
        <v>344</v>
      </c>
      <c r="CY13">
        <v>344</v>
      </c>
      <c r="CZ13" s="26">
        <v>0</v>
      </c>
      <c r="DA13" s="30"/>
      <c r="DB13">
        <v>8</v>
      </c>
      <c r="DC13">
        <v>7</v>
      </c>
      <c r="DD13" s="26">
        <v>1</v>
      </c>
      <c r="DE13" s="30"/>
      <c r="DF13" s="32">
        <v>333</v>
      </c>
      <c r="DG13">
        <v>330</v>
      </c>
      <c r="DH13" s="26">
        <v>3</v>
      </c>
      <c r="DI13" s="30"/>
      <c r="DJ13" s="32">
        <v>199</v>
      </c>
      <c r="DK13">
        <v>199</v>
      </c>
      <c r="DL13" s="26">
        <v>0</v>
      </c>
      <c r="DM13" s="30"/>
      <c r="DN13">
        <v>174</v>
      </c>
      <c r="DO13">
        <v>172</v>
      </c>
      <c r="DP13" s="26">
        <v>2</v>
      </c>
      <c r="DQ13" s="30"/>
      <c r="DR13" s="29"/>
      <c r="DU13" s="26">
        <v>0</v>
      </c>
      <c r="DV13" s="30"/>
      <c r="DW13" s="32">
        <v>150</v>
      </c>
      <c r="DX13">
        <v>150</v>
      </c>
      <c r="DY13">
        <v>251</v>
      </c>
      <c r="DZ13">
        <v>250</v>
      </c>
      <c r="EA13" s="26">
        <v>1</v>
      </c>
      <c r="EB13" s="30"/>
      <c r="EC13" s="32">
        <v>214</v>
      </c>
      <c r="EE13">
        <v>216</v>
      </c>
      <c r="EF13" s="26">
        <v>-2</v>
      </c>
      <c r="EG13" s="30"/>
      <c r="EH13">
        <v>269</v>
      </c>
      <c r="EI13" s="26">
        <v>270.55499999999989</v>
      </c>
      <c r="EJ13" s="26">
        <v>-1.5549999999998929</v>
      </c>
      <c r="EK13" s="30"/>
      <c r="EL13" s="32">
        <v>49</v>
      </c>
      <c r="EM13" s="26">
        <v>47.744</v>
      </c>
      <c r="EN13" s="26">
        <v>1.256</v>
      </c>
      <c r="EO13" s="30"/>
      <c r="EP13" s="32">
        <v>52</v>
      </c>
      <c r="EQ13" s="26">
        <v>50.623000000000019</v>
      </c>
      <c r="ER13" s="26">
        <v>1.3769999999999809</v>
      </c>
      <c r="ES13" s="30"/>
      <c r="ET13" s="29"/>
      <c r="EV13" s="26">
        <v>0</v>
      </c>
      <c r="EW13" s="30"/>
      <c r="EX13">
        <v>219</v>
      </c>
      <c r="EY13" s="28">
        <v>219.1028</v>
      </c>
      <c r="EZ13" s="26">
        <v>-0.102800000000002</v>
      </c>
      <c r="FA13" s="30"/>
      <c r="FB13">
        <v>244</v>
      </c>
      <c r="FC13">
        <v>241</v>
      </c>
      <c r="FD13" s="26">
        <v>3</v>
      </c>
      <c r="FE13" s="30"/>
      <c r="FF13" s="32">
        <v>97</v>
      </c>
      <c r="FH13">
        <v>95</v>
      </c>
      <c r="FI13" s="26">
        <v>2</v>
      </c>
      <c r="FJ13" s="30"/>
      <c r="FK13" s="32">
        <v>92</v>
      </c>
      <c r="FM13">
        <v>92</v>
      </c>
      <c r="FN13" s="26">
        <v>0</v>
      </c>
      <c r="FO13" s="30"/>
      <c r="FP13">
        <v>158</v>
      </c>
      <c r="FQ13" s="28">
        <v>157.66000000000011</v>
      </c>
      <c r="FR13" s="26">
        <v>0.33999999999988972</v>
      </c>
      <c r="FS13" s="30"/>
      <c r="FT13" s="29"/>
      <c r="FU13">
        <v>69</v>
      </c>
      <c r="FV13">
        <v>70</v>
      </c>
      <c r="FW13">
        <v>61</v>
      </c>
      <c r="FX13">
        <v>60</v>
      </c>
      <c r="FY13" s="26">
        <v>0</v>
      </c>
      <c r="FZ13" s="30"/>
      <c r="GA13">
        <v>97</v>
      </c>
      <c r="GB13" s="28">
        <v>97.200600000000037</v>
      </c>
      <c r="GC13" s="26">
        <v>-0.200600000000037</v>
      </c>
      <c r="GD13" s="30"/>
      <c r="GE13" s="29"/>
      <c r="GG13">
        <v>182</v>
      </c>
      <c r="GH13">
        <v>181</v>
      </c>
      <c r="GI13" s="26">
        <v>1</v>
      </c>
      <c r="GJ13" s="30"/>
      <c r="GK13">
        <v>69</v>
      </c>
      <c r="GL13">
        <v>70</v>
      </c>
      <c r="GM13">
        <v>102</v>
      </c>
      <c r="GN13">
        <v>100</v>
      </c>
      <c r="GO13" s="26">
        <v>1</v>
      </c>
      <c r="GP13" s="30"/>
      <c r="GQ13">
        <v>32</v>
      </c>
      <c r="GR13" s="28">
        <v>30</v>
      </c>
      <c r="GS13" s="26">
        <v>2</v>
      </c>
      <c r="GT13" s="30"/>
      <c r="GU13" s="32">
        <v>130</v>
      </c>
      <c r="GV13">
        <v>130</v>
      </c>
      <c r="GW13" s="26">
        <v>0</v>
      </c>
      <c r="GX13" s="30"/>
      <c r="GY13" s="32">
        <v>109</v>
      </c>
      <c r="GZ13">
        <v>110</v>
      </c>
      <c r="HA13" s="26">
        <v>-1</v>
      </c>
      <c r="HB13" s="30"/>
      <c r="HE13" s="26">
        <v>0</v>
      </c>
      <c r="HF13" s="30"/>
      <c r="HG13" s="32">
        <v>270</v>
      </c>
      <c r="HH13">
        <v>270</v>
      </c>
      <c r="HI13" s="26">
        <v>0</v>
      </c>
      <c r="HJ13" s="30"/>
      <c r="HK13" s="29"/>
      <c r="HM13" s="26">
        <v>0</v>
      </c>
      <c r="HN13" s="30"/>
      <c r="HO13">
        <v>163</v>
      </c>
      <c r="HP13">
        <v>160</v>
      </c>
      <c r="HQ13" s="26">
        <v>3</v>
      </c>
      <c r="HR13" s="33"/>
      <c r="HS13">
        <v>85</v>
      </c>
      <c r="HT13">
        <v>85</v>
      </c>
      <c r="HU13" s="26">
        <v>0</v>
      </c>
      <c r="HV13" s="30"/>
      <c r="HY13" s="26">
        <v>0</v>
      </c>
      <c r="HZ13" s="33"/>
      <c r="IC13" s="26">
        <v>0</v>
      </c>
      <c r="ID13" s="30"/>
      <c r="IG13" s="26">
        <v>0</v>
      </c>
      <c r="IH13" s="33"/>
      <c r="II13">
        <v>270</v>
      </c>
      <c r="IJ13" s="28">
        <v>265.13799999999998</v>
      </c>
      <c r="IK13" s="26">
        <v>4.8620000000000232</v>
      </c>
      <c r="IL13" s="30"/>
      <c r="IM13" s="32">
        <v>122</v>
      </c>
      <c r="IN13" s="28">
        <v>120</v>
      </c>
      <c r="IO13" s="26">
        <v>2</v>
      </c>
      <c r="IP13" s="33"/>
      <c r="IQ13">
        <v>114</v>
      </c>
      <c r="IR13">
        <v>114</v>
      </c>
      <c r="IS13" s="26">
        <v>0</v>
      </c>
      <c r="IT13" s="33"/>
      <c r="IW13" s="26">
        <v>0</v>
      </c>
      <c r="IX13" s="33"/>
      <c r="IY13">
        <v>300</v>
      </c>
      <c r="IZ13">
        <v>300</v>
      </c>
      <c r="JA13" s="26">
        <v>0</v>
      </c>
      <c r="JB13" s="30"/>
      <c r="JC13">
        <v>102</v>
      </c>
      <c r="JD13">
        <v>100</v>
      </c>
      <c r="JE13">
        <v>82</v>
      </c>
      <c r="JF13">
        <v>80</v>
      </c>
      <c r="JG13" s="26">
        <v>4</v>
      </c>
      <c r="JH13" s="33"/>
      <c r="JI13" s="28">
        <v>121.492</v>
      </c>
      <c r="JJ13" s="28">
        <v>120</v>
      </c>
      <c r="JK13" s="26">
        <v>1.492000000000004</v>
      </c>
      <c r="JL13" s="33"/>
      <c r="JM13" s="28">
        <v>120.499</v>
      </c>
      <c r="JN13" s="28">
        <v>118.935</v>
      </c>
      <c r="JO13" s="26">
        <v>1.563999999999993</v>
      </c>
      <c r="JP13" s="33"/>
      <c r="JQ13" s="31">
        <v>12.096</v>
      </c>
      <c r="JR13" s="28">
        <v>10</v>
      </c>
      <c r="JS13" s="26">
        <v>2.0960000000000001</v>
      </c>
      <c r="JT13" s="33"/>
    </row>
    <row r="14" spans="1:280" x14ac:dyDescent="0.25">
      <c r="A14" s="26" t="s">
        <v>165</v>
      </c>
      <c r="B14" s="27">
        <v>0.25</v>
      </c>
      <c r="E14">
        <v>81</v>
      </c>
      <c r="F14">
        <v>81</v>
      </c>
      <c r="I14" s="29"/>
      <c r="J14" s="35"/>
      <c r="K14" s="40"/>
      <c r="L14" s="35"/>
      <c r="M14" s="35">
        <f t="shared" si="6"/>
        <v>0</v>
      </c>
      <c r="N14" s="30"/>
      <c r="O14" s="29"/>
      <c r="P14" s="35"/>
      <c r="Q14" s="35"/>
      <c r="R14" s="35"/>
      <c r="S14" s="35">
        <f t="shared" si="7"/>
        <v>0</v>
      </c>
      <c r="T14" s="30"/>
      <c r="U14" s="29"/>
      <c r="V14" s="36">
        <v>40</v>
      </c>
      <c r="W14" s="36">
        <v>40</v>
      </c>
      <c r="X14" s="36">
        <v>72</v>
      </c>
      <c r="Y14" s="35"/>
      <c r="Z14" s="36">
        <v>85</v>
      </c>
      <c r="AA14" s="35">
        <f t="shared" si="8"/>
        <v>-13</v>
      </c>
      <c r="AB14" s="30"/>
      <c r="AC14" s="29"/>
      <c r="AD14" s="35"/>
      <c r="AE14" s="36">
        <v>24</v>
      </c>
      <c r="AF14" s="40">
        <v>30</v>
      </c>
      <c r="AG14" s="35">
        <v>-6</v>
      </c>
      <c r="AH14" s="30"/>
      <c r="AI14" s="36">
        <v>32</v>
      </c>
      <c r="AJ14">
        <v>33</v>
      </c>
      <c r="AM14" s="26">
        <v>-1</v>
      </c>
      <c r="AN14" s="30"/>
      <c r="AO14" s="32">
        <v>40</v>
      </c>
      <c r="AP14">
        <v>40</v>
      </c>
      <c r="AQ14">
        <v>64</v>
      </c>
      <c r="AR14">
        <v>66</v>
      </c>
      <c r="AS14" s="26">
        <v>-2</v>
      </c>
      <c r="AT14" s="30"/>
      <c r="AW14">
        <v>24</v>
      </c>
      <c r="AX14">
        <v>30</v>
      </c>
      <c r="AY14" s="26">
        <v>-6</v>
      </c>
      <c r="AZ14" s="30"/>
      <c r="BB14">
        <v>16</v>
      </c>
      <c r="BC14">
        <v>16</v>
      </c>
      <c r="BD14" s="26">
        <v>0</v>
      </c>
      <c r="BE14" s="30"/>
      <c r="BF14" s="32">
        <v>120</v>
      </c>
      <c r="BG14">
        <v>121</v>
      </c>
      <c r="BH14" s="26">
        <v>-1</v>
      </c>
      <c r="BI14" s="30"/>
      <c r="BJ14" s="29"/>
      <c r="BK14">
        <v>76</v>
      </c>
      <c r="BL14" s="25">
        <v>-76</v>
      </c>
      <c r="BM14" s="30">
        <v>19</v>
      </c>
      <c r="BP14" s="26">
        <v>0</v>
      </c>
      <c r="BQ14" s="30"/>
      <c r="BR14" s="32">
        <v>112</v>
      </c>
      <c r="BS14">
        <v>115</v>
      </c>
      <c r="BT14" s="26">
        <v>-3</v>
      </c>
      <c r="BU14" s="30"/>
      <c r="BV14">
        <v>8</v>
      </c>
      <c r="BW14">
        <v>8</v>
      </c>
      <c r="BX14" s="26">
        <v>0</v>
      </c>
      <c r="BY14" s="30"/>
      <c r="BZ14" s="32">
        <v>56</v>
      </c>
      <c r="CA14">
        <v>58</v>
      </c>
      <c r="CB14" s="26">
        <v>-2</v>
      </c>
      <c r="CC14" s="30"/>
      <c r="CD14" s="29"/>
      <c r="CF14" s="26">
        <v>0</v>
      </c>
      <c r="CG14" s="30"/>
      <c r="CI14">
        <v>10</v>
      </c>
      <c r="CJ14" s="25">
        <v>-10</v>
      </c>
      <c r="CK14" s="30">
        <v>2.5</v>
      </c>
      <c r="CL14" s="32">
        <v>16</v>
      </c>
      <c r="CM14">
        <v>16</v>
      </c>
      <c r="CN14">
        <v>24</v>
      </c>
      <c r="CO14">
        <v>27</v>
      </c>
      <c r="CP14" s="26">
        <v>-3</v>
      </c>
      <c r="CQ14" s="30"/>
      <c r="CR14" s="29"/>
      <c r="CT14" s="26">
        <v>0</v>
      </c>
      <c r="CU14" s="30"/>
      <c r="CX14">
        <v>16</v>
      </c>
      <c r="CY14">
        <v>20</v>
      </c>
      <c r="CZ14" s="26">
        <v>-4</v>
      </c>
      <c r="DA14" s="30"/>
      <c r="DB14">
        <v>32</v>
      </c>
      <c r="DC14">
        <v>31</v>
      </c>
      <c r="DD14" s="26">
        <v>1</v>
      </c>
      <c r="DE14" s="30"/>
      <c r="DF14" s="32">
        <v>8</v>
      </c>
      <c r="DG14">
        <v>8</v>
      </c>
      <c r="DH14" s="26">
        <v>0</v>
      </c>
      <c r="DI14" s="30"/>
      <c r="DJ14" s="32">
        <v>32</v>
      </c>
      <c r="DK14">
        <v>32</v>
      </c>
      <c r="DL14" s="26">
        <v>0</v>
      </c>
      <c r="DM14" s="30"/>
      <c r="DP14" s="26">
        <v>0</v>
      </c>
      <c r="DQ14" s="30"/>
      <c r="DR14" s="29"/>
      <c r="DU14" s="26">
        <v>0</v>
      </c>
      <c r="DV14" s="30"/>
      <c r="DW14" s="29"/>
      <c r="DY14">
        <v>8</v>
      </c>
      <c r="DZ14">
        <v>8</v>
      </c>
      <c r="EA14" s="26">
        <v>0</v>
      </c>
      <c r="EB14" s="30"/>
      <c r="EC14" s="32">
        <v>40</v>
      </c>
      <c r="EE14">
        <v>44</v>
      </c>
      <c r="EF14" s="26">
        <v>-4</v>
      </c>
      <c r="EG14" s="30"/>
      <c r="EJ14" s="26">
        <v>0</v>
      </c>
      <c r="EK14" s="30"/>
      <c r="EL14" s="31"/>
      <c r="EN14" s="26">
        <v>0</v>
      </c>
      <c r="EO14" s="30"/>
      <c r="EP14" s="32">
        <v>40</v>
      </c>
      <c r="EQ14" s="26">
        <v>41.4</v>
      </c>
      <c r="ER14" s="26">
        <v>-1.399999999999999</v>
      </c>
      <c r="ES14" s="30"/>
      <c r="ET14" s="29"/>
      <c r="EV14" s="26">
        <v>0</v>
      </c>
      <c r="EW14" s="30"/>
      <c r="EZ14" s="26">
        <v>0</v>
      </c>
      <c r="FA14" s="30"/>
      <c r="FD14" s="26">
        <v>0</v>
      </c>
      <c r="FE14" s="30"/>
      <c r="FF14" s="29"/>
      <c r="FI14" s="26">
        <v>0</v>
      </c>
      <c r="FJ14" s="30"/>
      <c r="FK14" s="32">
        <v>16</v>
      </c>
      <c r="FM14">
        <v>21</v>
      </c>
      <c r="FN14" s="26">
        <v>-5</v>
      </c>
      <c r="FO14" s="30"/>
      <c r="FR14" s="26">
        <v>0</v>
      </c>
      <c r="FS14" s="30"/>
      <c r="FT14" s="29"/>
      <c r="FW14">
        <v>24</v>
      </c>
      <c r="FX14">
        <v>27</v>
      </c>
      <c r="FY14" s="26">
        <v>-3</v>
      </c>
      <c r="FZ14" s="30"/>
      <c r="GA14">
        <v>16</v>
      </c>
      <c r="GB14" s="28">
        <v>15</v>
      </c>
      <c r="GC14" s="26">
        <v>1</v>
      </c>
      <c r="GD14" s="30"/>
      <c r="GE14" s="29"/>
      <c r="GI14" s="26">
        <v>0</v>
      </c>
      <c r="GJ14" s="30"/>
      <c r="GO14" s="26">
        <v>0</v>
      </c>
      <c r="GP14" s="30"/>
      <c r="GS14" s="26">
        <v>0</v>
      </c>
      <c r="GT14" s="30"/>
      <c r="GU14" s="29"/>
      <c r="GW14" s="26">
        <v>0</v>
      </c>
      <c r="GX14" s="30"/>
      <c r="GY14" s="29"/>
      <c r="HA14" s="26">
        <v>0</v>
      </c>
      <c r="HB14" s="30"/>
      <c r="HE14" s="26">
        <v>0</v>
      </c>
      <c r="HF14" s="30"/>
      <c r="HG14" s="32">
        <v>48</v>
      </c>
      <c r="HH14">
        <v>50</v>
      </c>
      <c r="HI14" s="26">
        <v>-2</v>
      </c>
      <c r="HJ14" s="30"/>
      <c r="HK14" s="29"/>
      <c r="HM14" s="26">
        <v>0</v>
      </c>
      <c r="HN14" s="30"/>
      <c r="HQ14" s="26">
        <v>0</v>
      </c>
      <c r="HR14" s="33"/>
      <c r="HS14">
        <v>16</v>
      </c>
      <c r="HT14">
        <v>14</v>
      </c>
      <c r="HU14" s="26">
        <v>2</v>
      </c>
      <c r="HV14" s="30"/>
      <c r="HY14" s="26">
        <v>0</v>
      </c>
      <c r="HZ14" s="33"/>
      <c r="IC14" s="26">
        <v>0</v>
      </c>
      <c r="ID14" s="30"/>
      <c r="IG14" s="26">
        <v>0</v>
      </c>
      <c r="IH14" s="33"/>
      <c r="IK14" s="26">
        <v>0</v>
      </c>
      <c r="IL14" s="30"/>
      <c r="IM14" s="31"/>
      <c r="IO14" s="26">
        <v>0</v>
      </c>
      <c r="IP14" s="33"/>
      <c r="IS14" s="26">
        <v>0</v>
      </c>
      <c r="IT14" s="33"/>
      <c r="IW14" s="26">
        <v>0</v>
      </c>
      <c r="IX14" s="33"/>
      <c r="JA14" s="26">
        <v>0</v>
      </c>
      <c r="JB14" s="30"/>
      <c r="JC14">
        <v>32</v>
      </c>
      <c r="JD14">
        <v>32</v>
      </c>
      <c r="JE14">
        <v>24</v>
      </c>
      <c r="JF14">
        <v>28</v>
      </c>
      <c r="JG14" s="26">
        <v>-4</v>
      </c>
      <c r="JH14" s="33"/>
      <c r="JI14" s="28">
        <v>48</v>
      </c>
      <c r="JJ14" s="28">
        <v>50</v>
      </c>
      <c r="JK14" s="26">
        <v>-2</v>
      </c>
      <c r="JL14" s="33"/>
      <c r="JM14" s="28">
        <v>48</v>
      </c>
      <c r="JN14" s="28">
        <v>51.6</v>
      </c>
      <c r="JO14" s="26">
        <v>-3.600000000000001</v>
      </c>
      <c r="JP14" s="33"/>
      <c r="JQ14" s="31">
        <v>0</v>
      </c>
      <c r="JR14" s="28">
        <v>0</v>
      </c>
      <c r="JS14" s="26">
        <v>0</v>
      </c>
      <c r="JT14" s="33"/>
    </row>
    <row r="15" spans="1:280" x14ac:dyDescent="0.25">
      <c r="A15" s="26" t="s">
        <v>166</v>
      </c>
      <c r="B15" s="27">
        <v>0.15</v>
      </c>
      <c r="I15" s="29"/>
      <c r="J15" s="35"/>
      <c r="K15" s="40"/>
      <c r="L15" s="35"/>
      <c r="M15" s="35">
        <f t="shared" si="6"/>
        <v>0</v>
      </c>
      <c r="N15" s="30"/>
      <c r="O15" s="29"/>
      <c r="P15" s="35"/>
      <c r="Q15" s="35"/>
      <c r="R15" s="35"/>
      <c r="S15" s="35">
        <f t="shared" si="7"/>
        <v>0</v>
      </c>
      <c r="T15" s="30"/>
      <c r="U15" s="29"/>
      <c r="V15" s="40"/>
      <c r="W15" s="35"/>
      <c r="X15" s="35"/>
      <c r="Y15" s="35"/>
      <c r="Z15" s="35"/>
      <c r="AA15" s="35">
        <f t="shared" si="8"/>
        <v>0</v>
      </c>
      <c r="AB15" s="30"/>
      <c r="AC15" s="29"/>
      <c r="AD15" s="35"/>
      <c r="AE15" s="35"/>
      <c r="AF15" s="35"/>
      <c r="AG15" s="35">
        <v>0</v>
      </c>
      <c r="AH15" s="30"/>
      <c r="AI15" s="35"/>
      <c r="AM15" s="26">
        <v>0</v>
      </c>
      <c r="AN15" s="30"/>
      <c r="AO15" s="31"/>
      <c r="AS15" s="26">
        <v>0</v>
      </c>
      <c r="AT15" s="30"/>
      <c r="AY15" s="26">
        <v>0</v>
      </c>
      <c r="AZ15" s="30"/>
      <c r="BD15" s="26">
        <v>0</v>
      </c>
      <c r="BE15" s="30"/>
      <c r="BF15" s="29"/>
      <c r="BH15" s="26">
        <v>0</v>
      </c>
      <c r="BI15" s="30"/>
      <c r="BJ15" s="29"/>
      <c r="BL15" s="26">
        <v>0</v>
      </c>
      <c r="BM15" s="30"/>
      <c r="BP15" s="26">
        <v>0</v>
      </c>
      <c r="BQ15" s="30"/>
      <c r="BR15" s="29"/>
      <c r="BT15" s="26">
        <v>0</v>
      </c>
      <c r="BU15" s="30"/>
      <c r="BX15" s="26">
        <v>0</v>
      </c>
      <c r="BY15" s="30"/>
      <c r="BZ15" s="29"/>
      <c r="CB15" s="26">
        <v>0</v>
      </c>
      <c r="CC15" s="30"/>
      <c r="CD15" s="29"/>
      <c r="CF15" s="26">
        <v>0</v>
      </c>
      <c r="CG15" s="30"/>
      <c r="CJ15" s="26">
        <v>0</v>
      </c>
      <c r="CK15" s="30"/>
      <c r="CL15" s="29"/>
      <c r="CP15" s="26">
        <v>0</v>
      </c>
      <c r="CQ15" s="30"/>
      <c r="CR15" s="29"/>
      <c r="CT15" s="26">
        <v>0</v>
      </c>
      <c r="CU15" s="30"/>
      <c r="CZ15" s="26">
        <v>0</v>
      </c>
      <c r="DA15" s="30"/>
      <c r="DD15" s="26">
        <v>0</v>
      </c>
      <c r="DE15" s="30"/>
      <c r="DF15" s="29"/>
      <c r="DH15" s="26">
        <v>0</v>
      </c>
      <c r="DI15" s="30"/>
      <c r="DJ15" s="29"/>
      <c r="DL15" s="26">
        <v>0</v>
      </c>
      <c r="DM15" s="30"/>
      <c r="DP15" s="26">
        <v>0</v>
      </c>
      <c r="DQ15" s="30"/>
      <c r="DR15" s="29"/>
      <c r="DU15" s="26">
        <v>0</v>
      </c>
      <c r="DV15" s="30"/>
      <c r="DW15" s="29"/>
      <c r="EA15" s="26">
        <v>0</v>
      </c>
      <c r="EB15" s="30"/>
      <c r="EC15" s="29"/>
      <c r="EF15" s="26">
        <v>0</v>
      </c>
      <c r="EG15" s="30"/>
      <c r="EJ15" s="26">
        <v>0</v>
      </c>
      <c r="EK15" s="30"/>
      <c r="EL15" s="31"/>
      <c r="EN15" s="26">
        <v>0</v>
      </c>
      <c r="EO15" s="30"/>
      <c r="EP15" s="29"/>
      <c r="ER15" s="26">
        <v>0</v>
      </c>
      <c r="ES15" s="30"/>
      <c r="ET15" s="29"/>
      <c r="EV15" s="26">
        <v>0</v>
      </c>
      <c r="EW15" s="30"/>
      <c r="EZ15" s="26">
        <v>0</v>
      </c>
      <c r="FA15" s="30"/>
      <c r="FD15" s="26">
        <v>0</v>
      </c>
      <c r="FE15" s="30"/>
      <c r="FF15" s="29"/>
      <c r="FI15" s="26">
        <v>0</v>
      </c>
      <c r="FJ15" s="30"/>
      <c r="FK15" s="29"/>
      <c r="FN15" s="26">
        <v>0</v>
      </c>
      <c r="FO15" s="30"/>
      <c r="FR15" s="26">
        <v>0</v>
      </c>
      <c r="FS15" s="30"/>
      <c r="FT15" s="29"/>
      <c r="FY15" s="26">
        <v>0</v>
      </c>
      <c r="FZ15" s="30"/>
      <c r="GC15" s="26">
        <v>0</v>
      </c>
      <c r="GD15" s="30"/>
      <c r="GE15" s="29"/>
      <c r="GI15" s="26">
        <v>0</v>
      </c>
      <c r="GJ15" s="30"/>
      <c r="GO15" s="26">
        <v>0</v>
      </c>
      <c r="GP15" s="30"/>
      <c r="GS15" s="26">
        <v>0</v>
      </c>
      <c r="GT15" s="30"/>
      <c r="GU15" s="29"/>
      <c r="GW15" s="26">
        <v>0</v>
      </c>
      <c r="GX15" s="30"/>
      <c r="GY15" s="29"/>
      <c r="HA15" s="26">
        <v>0</v>
      </c>
      <c r="HB15" s="30"/>
      <c r="HE15" s="26">
        <v>0</v>
      </c>
      <c r="HF15" s="30"/>
      <c r="HG15" s="29"/>
      <c r="HI15" s="26">
        <v>0</v>
      </c>
      <c r="HJ15" s="30"/>
      <c r="HK15" s="29"/>
      <c r="HM15" s="26">
        <v>0</v>
      </c>
      <c r="HN15" s="30"/>
      <c r="HQ15" s="26">
        <v>0</v>
      </c>
      <c r="HR15" s="33"/>
      <c r="HU15" s="26">
        <v>0</v>
      </c>
      <c r="HV15" s="30"/>
      <c r="HY15" s="26">
        <v>0</v>
      </c>
      <c r="HZ15" s="33"/>
      <c r="IC15" s="26">
        <v>0</v>
      </c>
      <c r="ID15" s="30"/>
      <c r="IG15" s="26">
        <v>0</v>
      </c>
      <c r="IH15" s="33"/>
      <c r="IK15" s="26">
        <v>0</v>
      </c>
      <c r="IL15" s="30"/>
      <c r="IM15" s="31"/>
      <c r="IO15" s="26">
        <v>0</v>
      </c>
      <c r="IP15" s="33"/>
      <c r="IS15" s="26">
        <v>0</v>
      </c>
      <c r="IT15" s="33"/>
      <c r="IW15" s="26">
        <v>0</v>
      </c>
      <c r="IX15" s="33"/>
      <c r="JA15" s="26">
        <v>0</v>
      </c>
      <c r="JB15" s="30"/>
      <c r="JC15" s="27"/>
      <c r="JE15" s="27"/>
      <c r="JG15" s="26">
        <v>0</v>
      </c>
      <c r="JH15" s="33"/>
      <c r="JI15" s="28">
        <v>0</v>
      </c>
      <c r="JJ15" s="28">
        <v>0</v>
      </c>
      <c r="JK15" s="26">
        <v>0</v>
      </c>
      <c r="JL15" s="33"/>
      <c r="JM15" s="28">
        <v>0</v>
      </c>
      <c r="JN15" s="28">
        <v>0</v>
      </c>
      <c r="JO15" s="26">
        <v>0</v>
      </c>
      <c r="JP15" s="33"/>
      <c r="JQ15" s="31">
        <v>0</v>
      </c>
      <c r="JR15" s="28">
        <v>0</v>
      </c>
      <c r="JS15" s="26">
        <v>0</v>
      </c>
      <c r="JT15" s="33"/>
    </row>
    <row r="16" spans="1:280" x14ac:dyDescent="0.25">
      <c r="A16" s="26" t="s">
        <v>167</v>
      </c>
      <c r="B16" s="27">
        <v>0.15</v>
      </c>
      <c r="I16" s="29"/>
      <c r="J16" s="35"/>
      <c r="K16" s="40"/>
      <c r="L16" s="35"/>
      <c r="M16" s="35">
        <f t="shared" si="6"/>
        <v>0</v>
      </c>
      <c r="N16" s="30"/>
      <c r="O16" s="29"/>
      <c r="P16" s="35"/>
      <c r="Q16" s="35"/>
      <c r="R16" s="35"/>
      <c r="S16" s="35">
        <f t="shared" si="7"/>
        <v>0</v>
      </c>
      <c r="T16" s="30"/>
      <c r="U16" s="29"/>
      <c r="V16" s="40"/>
      <c r="W16" s="35"/>
      <c r="X16" s="35"/>
      <c r="Y16" s="35"/>
      <c r="Z16" s="35"/>
      <c r="AA16" s="35">
        <f t="shared" si="8"/>
        <v>0</v>
      </c>
      <c r="AB16" s="30"/>
      <c r="AC16" s="29"/>
      <c r="AD16" s="35"/>
      <c r="AE16" s="35"/>
      <c r="AF16" s="35"/>
      <c r="AG16" s="35">
        <v>0</v>
      </c>
      <c r="AH16" s="30"/>
      <c r="AI16" s="35"/>
      <c r="AM16" s="26">
        <v>0</v>
      </c>
      <c r="AN16" s="30"/>
      <c r="AO16" s="31"/>
      <c r="AS16" s="26">
        <v>0</v>
      </c>
      <c r="AT16" s="30"/>
      <c r="AY16" s="26">
        <v>0</v>
      </c>
      <c r="AZ16" s="30"/>
      <c r="BD16" s="26">
        <v>0</v>
      </c>
      <c r="BE16" s="30"/>
      <c r="BF16" s="29"/>
      <c r="BH16" s="26">
        <v>0</v>
      </c>
      <c r="BI16" s="30"/>
      <c r="BJ16" s="29"/>
      <c r="BL16" s="26">
        <v>0</v>
      </c>
      <c r="BM16" s="30"/>
      <c r="BP16" s="26">
        <v>0</v>
      </c>
      <c r="BQ16" s="30"/>
      <c r="BR16" s="29"/>
      <c r="BT16" s="26">
        <v>0</v>
      </c>
      <c r="BU16" s="30"/>
      <c r="BX16" s="26">
        <v>0</v>
      </c>
      <c r="BY16" s="30"/>
      <c r="BZ16" s="29"/>
      <c r="CB16" s="26">
        <v>0</v>
      </c>
      <c r="CC16" s="30"/>
      <c r="CD16" s="29"/>
      <c r="CF16" s="26">
        <v>0</v>
      </c>
      <c r="CG16" s="30"/>
      <c r="CJ16" s="26">
        <v>0</v>
      </c>
      <c r="CK16" s="30"/>
      <c r="CL16" s="29"/>
      <c r="CP16" s="26">
        <v>0</v>
      </c>
      <c r="CQ16" s="30"/>
      <c r="CR16" s="29"/>
      <c r="CT16" s="26">
        <v>0</v>
      </c>
      <c r="CU16" s="30"/>
      <c r="CZ16" s="26">
        <v>0</v>
      </c>
      <c r="DA16" s="30"/>
      <c r="DD16" s="26">
        <v>0</v>
      </c>
      <c r="DE16" s="30"/>
      <c r="DF16" s="29"/>
      <c r="DH16" s="26">
        <v>0</v>
      </c>
      <c r="DI16" s="30"/>
      <c r="DJ16" s="29"/>
      <c r="DL16" s="26">
        <v>0</v>
      </c>
      <c r="DM16" s="30"/>
      <c r="DP16" s="26">
        <v>0</v>
      </c>
      <c r="DQ16" s="30"/>
      <c r="DR16" s="29"/>
      <c r="DU16" s="26">
        <v>0</v>
      </c>
      <c r="DV16" s="30"/>
      <c r="DW16" s="29"/>
      <c r="EA16" s="26">
        <v>0</v>
      </c>
      <c r="EB16" s="30"/>
      <c r="EC16" s="29"/>
      <c r="EF16" s="26">
        <v>0</v>
      </c>
      <c r="EG16" s="30"/>
      <c r="EJ16" s="26">
        <v>0</v>
      </c>
      <c r="EK16" s="30"/>
      <c r="EL16" s="31"/>
      <c r="EN16" s="26">
        <v>0</v>
      </c>
      <c r="EO16" s="30"/>
      <c r="EP16" s="29"/>
      <c r="ER16" s="26">
        <v>0</v>
      </c>
      <c r="ES16" s="30"/>
      <c r="ET16" s="29"/>
      <c r="EV16" s="26">
        <v>0</v>
      </c>
      <c r="EW16" s="30"/>
      <c r="EZ16" s="26">
        <v>0</v>
      </c>
      <c r="FA16" s="30"/>
      <c r="FD16" s="26">
        <v>0</v>
      </c>
      <c r="FE16" s="30"/>
      <c r="FF16" s="29"/>
      <c r="FI16" s="26">
        <v>0</v>
      </c>
      <c r="FJ16" s="30"/>
      <c r="FK16" s="29"/>
      <c r="FN16" s="26">
        <v>0</v>
      </c>
      <c r="FO16" s="30"/>
      <c r="FR16" s="26">
        <v>0</v>
      </c>
      <c r="FS16" s="30"/>
      <c r="FT16" s="29"/>
      <c r="FY16" s="26">
        <v>0</v>
      </c>
      <c r="FZ16" s="30"/>
      <c r="GC16" s="26">
        <v>0</v>
      </c>
      <c r="GD16" s="30"/>
      <c r="GE16" s="29"/>
      <c r="GI16" s="26">
        <v>0</v>
      </c>
      <c r="GJ16" s="30"/>
      <c r="GO16" s="26">
        <v>0</v>
      </c>
      <c r="GP16" s="30"/>
      <c r="GS16" s="26">
        <v>0</v>
      </c>
      <c r="GT16" s="30"/>
      <c r="GU16" s="29"/>
      <c r="GW16" s="26">
        <v>0</v>
      </c>
      <c r="GX16" s="30"/>
      <c r="GY16" s="29"/>
      <c r="HA16" s="26">
        <v>0</v>
      </c>
      <c r="HB16" s="30"/>
      <c r="HE16" s="26">
        <v>0</v>
      </c>
      <c r="HF16" s="30"/>
      <c r="HG16" s="29"/>
      <c r="HI16" s="26">
        <v>0</v>
      </c>
      <c r="HJ16" s="30"/>
      <c r="HK16" s="29"/>
      <c r="HM16" s="26">
        <v>0</v>
      </c>
      <c r="HN16" s="30"/>
      <c r="HQ16" s="26">
        <v>0</v>
      </c>
      <c r="HR16" s="33"/>
      <c r="HU16" s="26">
        <v>0</v>
      </c>
      <c r="HV16" s="30"/>
      <c r="HY16" s="26">
        <v>0</v>
      </c>
      <c r="HZ16" s="33"/>
      <c r="IC16" s="26">
        <v>0</v>
      </c>
      <c r="ID16" s="30"/>
      <c r="IG16" s="26">
        <v>0</v>
      </c>
      <c r="IH16" s="33"/>
      <c r="IK16" s="26">
        <v>0</v>
      </c>
      <c r="IL16" s="30"/>
      <c r="IM16" s="31"/>
      <c r="IO16" s="26">
        <v>0</v>
      </c>
      <c r="IP16" s="33"/>
      <c r="IS16" s="26">
        <v>0</v>
      </c>
      <c r="IT16" s="33"/>
      <c r="IW16" s="26">
        <v>0</v>
      </c>
      <c r="IX16" s="33"/>
      <c r="JA16" s="26">
        <v>0</v>
      </c>
      <c r="JB16" s="30"/>
      <c r="JC16" s="27"/>
      <c r="JE16" s="27"/>
      <c r="JG16" s="26">
        <v>0</v>
      </c>
      <c r="JH16" s="33"/>
      <c r="JI16" s="28">
        <v>0</v>
      </c>
      <c r="JJ16" s="28">
        <v>0</v>
      </c>
      <c r="JK16" s="26">
        <v>0</v>
      </c>
      <c r="JL16" s="33"/>
      <c r="JM16" s="28">
        <v>0</v>
      </c>
      <c r="JN16" s="28">
        <v>0</v>
      </c>
      <c r="JO16" s="26">
        <v>0</v>
      </c>
      <c r="JP16" s="33"/>
      <c r="JQ16" s="31">
        <v>0</v>
      </c>
      <c r="JR16" s="28">
        <v>0</v>
      </c>
      <c r="JS16" s="26">
        <v>0</v>
      </c>
      <c r="JT16" s="33"/>
    </row>
    <row r="17" spans="1:280" x14ac:dyDescent="0.25">
      <c r="A17" s="26" t="s">
        <v>168</v>
      </c>
      <c r="B17" s="27">
        <v>0.15</v>
      </c>
      <c r="I17" s="29"/>
      <c r="J17" s="35"/>
      <c r="K17" s="40"/>
      <c r="L17" s="35"/>
      <c r="M17" s="35">
        <f t="shared" si="6"/>
        <v>0</v>
      </c>
      <c r="N17" s="30"/>
      <c r="O17" s="29"/>
      <c r="P17" s="35"/>
      <c r="Q17" s="35"/>
      <c r="R17" s="35"/>
      <c r="S17" s="35">
        <f t="shared" si="7"/>
        <v>0</v>
      </c>
      <c r="T17" s="30"/>
      <c r="U17" s="29"/>
      <c r="V17" s="40"/>
      <c r="W17" s="35"/>
      <c r="X17" s="35"/>
      <c r="Y17" s="35"/>
      <c r="Z17" s="35"/>
      <c r="AA17" s="35">
        <f t="shared" si="8"/>
        <v>0</v>
      </c>
      <c r="AB17" s="30"/>
      <c r="AC17" s="29"/>
      <c r="AD17" s="35"/>
      <c r="AE17" s="35"/>
      <c r="AF17" s="35"/>
      <c r="AG17" s="35">
        <v>0</v>
      </c>
      <c r="AH17" s="30"/>
      <c r="AI17" s="35"/>
      <c r="AM17" s="26">
        <v>0</v>
      </c>
      <c r="AN17" s="30"/>
      <c r="AO17" s="31"/>
      <c r="AS17" s="26">
        <v>0</v>
      </c>
      <c r="AT17" s="30"/>
      <c r="AY17" s="26">
        <v>0</v>
      </c>
      <c r="AZ17" s="30"/>
      <c r="BD17" s="26">
        <v>0</v>
      </c>
      <c r="BE17" s="30"/>
      <c r="BF17" s="29"/>
      <c r="BH17" s="26">
        <v>0</v>
      </c>
      <c r="BI17" s="30"/>
      <c r="BJ17" s="29"/>
      <c r="BL17" s="26">
        <v>0</v>
      </c>
      <c r="BM17" s="30"/>
      <c r="BP17" s="26">
        <v>0</v>
      </c>
      <c r="BQ17" s="30"/>
      <c r="BR17" s="29"/>
      <c r="BT17" s="26">
        <v>0</v>
      </c>
      <c r="BU17" s="30"/>
      <c r="BX17" s="26">
        <v>0</v>
      </c>
      <c r="BY17" s="30"/>
      <c r="BZ17" s="29"/>
      <c r="CB17" s="26">
        <v>0</v>
      </c>
      <c r="CC17" s="30"/>
      <c r="CD17" s="29"/>
      <c r="CF17" s="26">
        <v>0</v>
      </c>
      <c r="CG17" s="30"/>
      <c r="CJ17" s="26">
        <v>0</v>
      </c>
      <c r="CK17" s="30"/>
      <c r="CL17" s="29"/>
      <c r="CP17" s="26">
        <v>0</v>
      </c>
      <c r="CQ17" s="30"/>
      <c r="CR17" s="29"/>
      <c r="CT17" s="26">
        <v>0</v>
      </c>
      <c r="CU17" s="30"/>
      <c r="CZ17" s="26">
        <v>0</v>
      </c>
      <c r="DA17" s="30"/>
      <c r="DD17" s="26">
        <v>0</v>
      </c>
      <c r="DE17" s="30"/>
      <c r="DF17" s="29"/>
      <c r="DH17" s="26">
        <v>0</v>
      </c>
      <c r="DI17" s="30"/>
      <c r="DJ17" s="29"/>
      <c r="DL17" s="26">
        <v>0</v>
      </c>
      <c r="DM17" s="30"/>
      <c r="DP17" s="26">
        <v>0</v>
      </c>
      <c r="DQ17" s="30"/>
      <c r="DR17" s="29"/>
      <c r="DU17" s="26">
        <v>0</v>
      </c>
      <c r="DV17" s="30"/>
      <c r="DW17" s="29"/>
      <c r="EA17" s="26">
        <v>0</v>
      </c>
      <c r="EB17" s="30"/>
      <c r="EC17" s="29"/>
      <c r="EF17" s="26">
        <v>0</v>
      </c>
      <c r="EG17" s="30"/>
      <c r="EJ17" s="26">
        <v>0</v>
      </c>
      <c r="EK17" s="30"/>
      <c r="EL17" s="31"/>
      <c r="EN17" s="26">
        <v>0</v>
      </c>
      <c r="EO17" s="30"/>
      <c r="EP17" s="29"/>
      <c r="ER17" s="26">
        <v>0</v>
      </c>
      <c r="ES17" s="30"/>
      <c r="ET17" s="29"/>
      <c r="EV17" s="26">
        <v>0</v>
      </c>
      <c r="EW17" s="30"/>
      <c r="EZ17" s="26">
        <v>0</v>
      </c>
      <c r="FA17" s="30"/>
      <c r="FD17" s="26">
        <v>0</v>
      </c>
      <c r="FE17" s="30"/>
      <c r="FF17" s="29"/>
      <c r="FI17" s="26">
        <v>0</v>
      </c>
      <c r="FJ17" s="30"/>
      <c r="FK17" s="29"/>
      <c r="FN17" s="26">
        <v>0</v>
      </c>
      <c r="FO17" s="30"/>
      <c r="FR17" s="26">
        <v>0</v>
      </c>
      <c r="FS17" s="30"/>
      <c r="FT17" s="29"/>
      <c r="FY17" s="26">
        <v>0</v>
      </c>
      <c r="FZ17" s="30"/>
      <c r="GC17" s="26">
        <v>0</v>
      </c>
      <c r="GD17" s="30"/>
      <c r="GE17" s="29"/>
      <c r="GI17" s="26">
        <v>0</v>
      </c>
      <c r="GJ17" s="30"/>
      <c r="GO17" s="26">
        <v>0</v>
      </c>
      <c r="GP17" s="30"/>
      <c r="GS17" s="26">
        <v>0</v>
      </c>
      <c r="GT17" s="30"/>
      <c r="GU17" s="29"/>
      <c r="GW17" s="26">
        <v>0</v>
      </c>
      <c r="GX17" s="30"/>
      <c r="GY17" s="29"/>
      <c r="HA17" s="26">
        <v>0</v>
      </c>
      <c r="HB17" s="30"/>
      <c r="HE17" s="26">
        <v>0</v>
      </c>
      <c r="HF17" s="30"/>
      <c r="HG17" s="29"/>
      <c r="HI17" s="26">
        <v>0</v>
      </c>
      <c r="HJ17" s="30"/>
      <c r="HK17" s="29"/>
      <c r="HM17" s="26">
        <v>0</v>
      </c>
      <c r="HN17" s="30"/>
      <c r="HQ17" s="26">
        <v>0</v>
      </c>
      <c r="HR17" s="33"/>
      <c r="HU17" s="26">
        <v>0</v>
      </c>
      <c r="HV17" s="30"/>
      <c r="HY17" s="26">
        <v>0</v>
      </c>
      <c r="HZ17" s="33"/>
      <c r="IC17" s="26">
        <v>0</v>
      </c>
      <c r="ID17" s="30"/>
      <c r="IG17" s="26">
        <v>0</v>
      </c>
      <c r="IH17" s="33"/>
      <c r="IK17" s="26">
        <v>0</v>
      </c>
      <c r="IL17" s="30"/>
      <c r="IM17" s="31"/>
      <c r="IO17" s="26">
        <v>0</v>
      </c>
      <c r="IP17" s="33"/>
      <c r="IS17" s="26">
        <v>0</v>
      </c>
      <c r="IT17" s="33"/>
      <c r="IW17" s="26">
        <v>0</v>
      </c>
      <c r="IX17" s="33"/>
      <c r="JA17" s="26">
        <v>0</v>
      </c>
      <c r="JB17" s="30"/>
      <c r="JC17" s="27"/>
      <c r="JE17" s="27"/>
      <c r="JG17" s="26">
        <v>0</v>
      </c>
      <c r="JH17" s="33"/>
      <c r="JI17" s="28">
        <v>0</v>
      </c>
      <c r="JJ17" s="28">
        <v>0</v>
      </c>
      <c r="JK17" s="26">
        <v>0</v>
      </c>
      <c r="JL17" s="33"/>
      <c r="JM17" s="28">
        <v>0</v>
      </c>
      <c r="JN17" s="28">
        <v>0</v>
      </c>
      <c r="JO17" s="26">
        <v>0</v>
      </c>
      <c r="JP17" s="33"/>
      <c r="JQ17" s="31">
        <v>0</v>
      </c>
      <c r="JR17" s="28">
        <v>0</v>
      </c>
      <c r="JS17" s="26">
        <v>0</v>
      </c>
      <c r="JT17" s="33"/>
    </row>
    <row r="18" spans="1:280" x14ac:dyDescent="0.25">
      <c r="A18" s="26" t="s">
        <v>169</v>
      </c>
      <c r="B18" s="27">
        <v>1</v>
      </c>
      <c r="I18" s="29"/>
      <c r="J18" s="35"/>
      <c r="K18" s="40"/>
      <c r="L18" s="35"/>
      <c r="M18" s="35">
        <f t="shared" si="6"/>
        <v>0</v>
      </c>
      <c r="N18" s="30"/>
      <c r="O18" s="29"/>
      <c r="P18" s="35"/>
      <c r="Q18" s="35"/>
      <c r="R18" s="35"/>
      <c r="S18" s="35">
        <f t="shared" si="7"/>
        <v>0</v>
      </c>
      <c r="T18" s="30"/>
      <c r="U18" s="29"/>
      <c r="V18" s="40"/>
      <c r="W18" s="35"/>
      <c r="X18" s="35"/>
      <c r="Y18" s="35"/>
      <c r="Z18" s="35"/>
      <c r="AA18" s="35">
        <f t="shared" si="8"/>
        <v>0</v>
      </c>
      <c r="AB18" s="30"/>
      <c r="AC18" s="29"/>
      <c r="AD18" s="35"/>
      <c r="AE18" s="35"/>
      <c r="AF18" s="35"/>
      <c r="AG18" s="35">
        <v>0</v>
      </c>
      <c r="AH18" s="30"/>
      <c r="AI18" s="35"/>
      <c r="AM18" s="26">
        <v>0</v>
      </c>
      <c r="AN18" s="30"/>
      <c r="AO18" s="31"/>
      <c r="AS18" s="26">
        <v>0</v>
      </c>
      <c r="AT18" s="30"/>
      <c r="AY18" s="26">
        <v>0</v>
      </c>
      <c r="AZ18" s="30"/>
      <c r="BD18" s="26">
        <v>0</v>
      </c>
      <c r="BE18" s="30"/>
      <c r="BF18" s="29"/>
      <c r="BH18" s="26">
        <v>0</v>
      </c>
      <c r="BI18" s="30"/>
      <c r="BJ18" s="29"/>
      <c r="BL18" s="26">
        <v>0</v>
      </c>
      <c r="BM18" s="30"/>
      <c r="BP18" s="26">
        <v>0</v>
      </c>
      <c r="BQ18" s="30"/>
      <c r="BR18" s="29"/>
      <c r="BT18" s="26">
        <v>0</v>
      </c>
      <c r="BU18" s="30"/>
      <c r="BX18" s="26">
        <v>0</v>
      </c>
      <c r="BY18" s="30"/>
      <c r="BZ18" s="29"/>
      <c r="CB18" s="26">
        <v>0</v>
      </c>
      <c r="CC18" s="30"/>
      <c r="CD18" s="29"/>
      <c r="CF18" s="26">
        <v>0</v>
      </c>
      <c r="CG18" s="30"/>
      <c r="CJ18" s="26">
        <v>0</v>
      </c>
      <c r="CK18" s="30"/>
      <c r="CL18" s="29"/>
      <c r="CP18" s="26">
        <v>0</v>
      </c>
      <c r="CQ18" s="30"/>
      <c r="CR18" s="29"/>
      <c r="CT18" s="26">
        <v>0</v>
      </c>
      <c r="CU18" s="30"/>
      <c r="CZ18" s="26">
        <v>0</v>
      </c>
      <c r="DA18" s="30"/>
      <c r="DD18" s="26">
        <v>0</v>
      </c>
      <c r="DE18" s="30"/>
      <c r="DF18" s="29"/>
      <c r="DH18" s="26">
        <v>0</v>
      </c>
      <c r="DI18" s="30"/>
      <c r="DJ18" s="29"/>
      <c r="DL18" s="26">
        <v>0</v>
      </c>
      <c r="DM18" s="30"/>
      <c r="DP18" s="26">
        <v>0</v>
      </c>
      <c r="DQ18" s="30"/>
      <c r="DR18" s="29"/>
      <c r="DU18" s="26">
        <v>0</v>
      </c>
      <c r="DV18" s="30"/>
      <c r="DW18" s="29"/>
      <c r="EA18" s="26">
        <v>0</v>
      </c>
      <c r="EB18" s="30"/>
      <c r="EC18" s="29"/>
      <c r="EF18" s="26">
        <v>0</v>
      </c>
      <c r="EG18" s="30"/>
      <c r="EJ18" s="26">
        <v>0</v>
      </c>
      <c r="EK18" s="30"/>
      <c r="EL18" s="31"/>
      <c r="EN18" s="26">
        <v>0</v>
      </c>
      <c r="EO18" s="30"/>
      <c r="EP18" s="29"/>
      <c r="ER18" s="26">
        <v>0</v>
      </c>
      <c r="ES18" s="30"/>
      <c r="ET18" s="29"/>
      <c r="EV18" s="26">
        <v>0</v>
      </c>
      <c r="EW18" s="30"/>
      <c r="EZ18" s="26">
        <v>0</v>
      </c>
      <c r="FA18" s="30"/>
      <c r="FD18" s="26">
        <v>0</v>
      </c>
      <c r="FE18" s="30"/>
      <c r="FF18" s="29"/>
      <c r="FI18" s="26">
        <v>0</v>
      </c>
      <c r="FJ18" s="30"/>
      <c r="FK18" s="29"/>
      <c r="FN18" s="26">
        <v>0</v>
      </c>
      <c r="FO18" s="30"/>
      <c r="FR18" s="26">
        <v>0</v>
      </c>
      <c r="FS18" s="30"/>
      <c r="FT18" s="29"/>
      <c r="FY18" s="26">
        <v>0</v>
      </c>
      <c r="FZ18" s="30"/>
      <c r="GC18" s="26">
        <v>0</v>
      </c>
      <c r="GD18" s="30"/>
      <c r="GE18" s="29"/>
      <c r="GI18" s="26">
        <v>0</v>
      </c>
      <c r="GJ18" s="30"/>
      <c r="GO18" s="26">
        <v>0</v>
      </c>
      <c r="GP18" s="30"/>
      <c r="GS18" s="26">
        <v>0</v>
      </c>
      <c r="GT18" s="30"/>
      <c r="GU18" s="29"/>
      <c r="GW18" s="26">
        <v>0</v>
      </c>
      <c r="GX18" s="30"/>
      <c r="GY18" s="29"/>
      <c r="HA18" s="26">
        <v>0</v>
      </c>
      <c r="HB18" s="30"/>
      <c r="HE18" s="26">
        <v>0</v>
      </c>
      <c r="HF18" s="30"/>
      <c r="HG18" s="29"/>
      <c r="HI18" s="26">
        <v>0</v>
      </c>
      <c r="HJ18" s="30"/>
      <c r="HK18" s="29"/>
      <c r="HM18" s="26">
        <v>0</v>
      </c>
      <c r="HN18" s="30"/>
      <c r="HQ18" s="26">
        <v>0</v>
      </c>
      <c r="HR18" s="33"/>
      <c r="HU18" s="26">
        <v>0</v>
      </c>
      <c r="HV18" s="30"/>
      <c r="HY18" s="26">
        <v>0</v>
      </c>
      <c r="HZ18" s="33"/>
      <c r="IC18" s="26">
        <v>0</v>
      </c>
      <c r="ID18" s="30"/>
      <c r="IG18" s="26">
        <v>0</v>
      </c>
      <c r="IH18" s="33"/>
      <c r="IK18" s="26">
        <v>0</v>
      </c>
      <c r="IL18" s="30"/>
      <c r="IM18" s="31"/>
      <c r="IO18" s="26">
        <v>0</v>
      </c>
      <c r="IP18" s="33"/>
      <c r="IS18" s="26">
        <v>0</v>
      </c>
      <c r="IT18" s="33"/>
      <c r="IW18" s="26">
        <v>0</v>
      </c>
      <c r="IX18" s="33"/>
      <c r="JA18" s="26">
        <v>0</v>
      </c>
      <c r="JB18" s="30"/>
      <c r="JC18" s="27"/>
      <c r="JE18" s="27"/>
      <c r="JG18" s="26">
        <v>0</v>
      </c>
      <c r="JH18" s="33"/>
      <c r="JI18" s="28">
        <v>0</v>
      </c>
      <c r="JJ18" s="28">
        <v>0</v>
      </c>
      <c r="JK18" s="26">
        <v>0</v>
      </c>
      <c r="JL18" s="33"/>
      <c r="JM18" s="28">
        <v>0</v>
      </c>
      <c r="JN18" s="28">
        <v>0</v>
      </c>
      <c r="JO18" s="26">
        <v>0</v>
      </c>
      <c r="JP18" s="33"/>
      <c r="JQ18" s="31">
        <v>0</v>
      </c>
      <c r="JR18" s="28">
        <v>0</v>
      </c>
      <c r="JS18" s="26">
        <v>0</v>
      </c>
      <c r="JT18" s="33"/>
    </row>
    <row r="19" spans="1:280" x14ac:dyDescent="0.25">
      <c r="A19" s="26" t="s">
        <v>170</v>
      </c>
      <c r="B19" s="27">
        <v>1</v>
      </c>
      <c r="I19" s="29"/>
      <c r="J19" s="35"/>
      <c r="K19" s="40"/>
      <c r="L19" s="35"/>
      <c r="M19" s="35">
        <f t="shared" si="6"/>
        <v>0</v>
      </c>
      <c r="N19" s="30"/>
      <c r="O19" s="29"/>
      <c r="P19" s="35"/>
      <c r="Q19" s="35"/>
      <c r="R19" s="35"/>
      <c r="S19" s="35">
        <f t="shared" si="7"/>
        <v>0</v>
      </c>
      <c r="T19" s="30"/>
      <c r="U19" s="29"/>
      <c r="V19" s="40"/>
      <c r="W19" s="35"/>
      <c r="X19" s="35"/>
      <c r="Y19" s="35"/>
      <c r="Z19" s="35"/>
      <c r="AA19" s="35">
        <f t="shared" si="8"/>
        <v>0</v>
      </c>
      <c r="AB19" s="30"/>
      <c r="AC19" s="29"/>
      <c r="AD19" s="35"/>
      <c r="AE19" s="35"/>
      <c r="AF19" s="35"/>
      <c r="AG19" s="35">
        <v>0</v>
      </c>
      <c r="AH19" s="30"/>
      <c r="AI19" s="35"/>
      <c r="AM19" s="26">
        <v>0</v>
      </c>
      <c r="AN19" s="30"/>
      <c r="AO19" s="31"/>
      <c r="AS19" s="26">
        <v>0</v>
      </c>
      <c r="AT19" s="30"/>
      <c r="AY19" s="26">
        <v>0</v>
      </c>
      <c r="AZ19" s="30"/>
      <c r="BD19" s="26">
        <v>0</v>
      </c>
      <c r="BE19" s="30"/>
      <c r="BF19" s="29"/>
      <c r="BH19" s="26">
        <v>0</v>
      </c>
      <c r="BI19" s="30"/>
      <c r="BJ19" s="29"/>
      <c r="BL19" s="26">
        <v>0</v>
      </c>
      <c r="BM19" s="30"/>
      <c r="BP19" s="26">
        <v>0</v>
      </c>
      <c r="BQ19" s="30"/>
      <c r="BR19" s="29"/>
      <c r="BT19" s="26">
        <v>0</v>
      </c>
      <c r="BU19" s="30"/>
      <c r="BX19" s="26">
        <v>0</v>
      </c>
      <c r="BY19" s="30"/>
      <c r="BZ19" s="29"/>
      <c r="CB19" s="26">
        <v>0</v>
      </c>
      <c r="CC19" s="30"/>
      <c r="CD19" s="29"/>
      <c r="CF19" s="26">
        <v>0</v>
      </c>
      <c r="CG19" s="30"/>
      <c r="CJ19" s="26">
        <v>0</v>
      </c>
      <c r="CK19" s="30"/>
      <c r="CL19" s="29"/>
      <c r="CP19" s="26">
        <v>0</v>
      </c>
      <c r="CQ19" s="30"/>
      <c r="CR19" s="29"/>
      <c r="CT19" s="26">
        <v>0</v>
      </c>
      <c r="CU19" s="30"/>
      <c r="CZ19" s="26">
        <v>0</v>
      </c>
      <c r="DA19" s="30"/>
      <c r="DD19" s="26">
        <v>0</v>
      </c>
      <c r="DE19" s="30"/>
      <c r="DF19" s="29"/>
      <c r="DH19" s="26">
        <v>0</v>
      </c>
      <c r="DI19" s="30"/>
      <c r="DJ19" s="29"/>
      <c r="DL19" s="26">
        <v>0</v>
      </c>
      <c r="DM19" s="30"/>
      <c r="DP19" s="26">
        <v>0</v>
      </c>
      <c r="DQ19" s="30"/>
      <c r="DR19" s="29"/>
      <c r="DU19" s="26">
        <v>0</v>
      </c>
      <c r="DV19" s="30"/>
      <c r="DW19" s="29"/>
      <c r="EA19" s="26">
        <v>0</v>
      </c>
      <c r="EB19" s="30"/>
      <c r="EC19" s="29"/>
      <c r="EF19" s="26">
        <v>0</v>
      </c>
      <c r="EG19" s="30"/>
      <c r="EJ19" s="26">
        <v>0</v>
      </c>
      <c r="EK19" s="30"/>
      <c r="EL19" s="31"/>
      <c r="EN19" s="26">
        <v>0</v>
      </c>
      <c r="EO19" s="30"/>
      <c r="EP19" s="29"/>
      <c r="ER19" s="26">
        <v>0</v>
      </c>
      <c r="ES19" s="30"/>
      <c r="ET19" s="29"/>
      <c r="EV19" s="26">
        <v>0</v>
      </c>
      <c r="EW19" s="30"/>
      <c r="EZ19" s="26">
        <v>0</v>
      </c>
      <c r="FA19" s="30"/>
      <c r="FD19" s="26">
        <v>0</v>
      </c>
      <c r="FE19" s="30"/>
      <c r="FF19" s="29"/>
      <c r="FI19" s="26">
        <v>0</v>
      </c>
      <c r="FJ19" s="30"/>
      <c r="FK19" s="29"/>
      <c r="FN19" s="26">
        <v>0</v>
      </c>
      <c r="FO19" s="30"/>
      <c r="FR19" s="26">
        <v>0</v>
      </c>
      <c r="FS19" s="30"/>
      <c r="FT19" s="29"/>
      <c r="FY19" s="26">
        <v>0</v>
      </c>
      <c r="FZ19" s="30"/>
      <c r="GC19" s="26">
        <v>0</v>
      </c>
      <c r="GD19" s="30"/>
      <c r="GE19" s="29"/>
      <c r="GI19" s="26">
        <v>0</v>
      </c>
      <c r="GJ19" s="30"/>
      <c r="GO19" s="26">
        <v>0</v>
      </c>
      <c r="GP19" s="30"/>
      <c r="GS19" s="26">
        <v>0</v>
      </c>
      <c r="GT19" s="30"/>
      <c r="GU19" s="29"/>
      <c r="GW19" s="26">
        <v>0</v>
      </c>
      <c r="GX19" s="30"/>
      <c r="GY19" s="29"/>
      <c r="HA19" s="26">
        <v>0</v>
      </c>
      <c r="HB19" s="30"/>
      <c r="HE19" s="26">
        <v>0</v>
      </c>
      <c r="HF19" s="30"/>
      <c r="HG19" s="29"/>
      <c r="HI19" s="26">
        <v>0</v>
      </c>
      <c r="HJ19" s="30"/>
      <c r="HK19" s="29"/>
      <c r="HM19" s="26">
        <v>0</v>
      </c>
      <c r="HN19" s="30"/>
      <c r="HQ19" s="26">
        <v>0</v>
      </c>
      <c r="HR19" s="33"/>
      <c r="HU19" s="26">
        <v>0</v>
      </c>
      <c r="HV19" s="30"/>
      <c r="HY19" s="26">
        <v>0</v>
      </c>
      <c r="HZ19" s="33"/>
      <c r="IC19" s="26">
        <v>0</v>
      </c>
      <c r="ID19" s="30"/>
      <c r="IG19" s="26">
        <v>0</v>
      </c>
      <c r="IH19" s="33"/>
      <c r="IK19" s="26">
        <v>0</v>
      </c>
      <c r="IL19" s="30"/>
      <c r="IM19" s="31"/>
      <c r="IO19" s="26">
        <v>0</v>
      </c>
      <c r="IP19" s="33"/>
      <c r="IS19" s="26">
        <v>0</v>
      </c>
      <c r="IT19" s="33"/>
      <c r="IW19" s="26">
        <v>0</v>
      </c>
      <c r="IX19" s="33"/>
      <c r="JA19" s="26">
        <v>0</v>
      </c>
      <c r="JB19" s="30"/>
      <c r="JC19" s="27"/>
      <c r="JE19" s="27"/>
      <c r="JG19" s="26">
        <v>0</v>
      </c>
      <c r="JH19" s="33"/>
      <c r="JI19" s="28">
        <v>0</v>
      </c>
      <c r="JJ19" s="28">
        <v>0</v>
      </c>
      <c r="JK19" s="26">
        <v>0</v>
      </c>
      <c r="JL19" s="33"/>
      <c r="JM19" s="28">
        <v>0</v>
      </c>
      <c r="JN19" s="28">
        <v>0</v>
      </c>
      <c r="JO19" s="26">
        <v>0</v>
      </c>
      <c r="JP19" s="33"/>
      <c r="JQ19" s="31">
        <v>0</v>
      </c>
      <c r="JR19" s="28">
        <v>0</v>
      </c>
      <c r="JS19" s="26">
        <v>0</v>
      </c>
      <c r="JT19" s="33"/>
    </row>
    <row r="20" spans="1:280" x14ac:dyDescent="0.25">
      <c r="A20" s="26" t="s">
        <v>171</v>
      </c>
      <c r="B20" s="27">
        <v>1</v>
      </c>
      <c r="I20" s="29"/>
      <c r="J20" s="35"/>
      <c r="K20" s="40"/>
      <c r="L20" s="35"/>
      <c r="M20" s="35">
        <f t="shared" si="6"/>
        <v>0</v>
      </c>
      <c r="N20" s="30"/>
      <c r="O20" s="29"/>
      <c r="P20" s="35"/>
      <c r="Q20" s="35"/>
      <c r="R20" s="35"/>
      <c r="S20" s="35">
        <f t="shared" si="7"/>
        <v>0</v>
      </c>
      <c r="T20" s="30"/>
      <c r="U20" s="29"/>
      <c r="V20" s="40"/>
      <c r="W20" s="35"/>
      <c r="X20" s="35"/>
      <c r="Y20" s="35"/>
      <c r="Z20" s="35"/>
      <c r="AA20" s="35">
        <f t="shared" si="8"/>
        <v>0</v>
      </c>
      <c r="AB20" s="30"/>
      <c r="AC20" s="29"/>
      <c r="AD20" s="35"/>
      <c r="AE20" s="35"/>
      <c r="AF20" s="35"/>
      <c r="AG20" s="35">
        <v>0</v>
      </c>
      <c r="AH20" s="30"/>
      <c r="AI20" s="35"/>
      <c r="AM20" s="26">
        <v>0</v>
      </c>
      <c r="AN20" s="30"/>
      <c r="AO20" s="31"/>
      <c r="AS20" s="26">
        <v>0</v>
      </c>
      <c r="AT20" s="30"/>
      <c r="AY20" s="26">
        <v>0</v>
      </c>
      <c r="AZ20" s="30"/>
      <c r="BD20" s="26">
        <v>0</v>
      </c>
      <c r="BE20" s="30"/>
      <c r="BF20" s="29"/>
      <c r="BH20" s="26">
        <v>0</v>
      </c>
      <c r="BI20" s="30"/>
      <c r="BJ20" s="29"/>
      <c r="BL20" s="26">
        <v>0</v>
      </c>
      <c r="BM20" s="30"/>
      <c r="BP20" s="26">
        <v>0</v>
      </c>
      <c r="BQ20" s="30"/>
      <c r="BR20" s="29"/>
      <c r="BT20" s="26">
        <v>0</v>
      </c>
      <c r="BU20" s="30"/>
      <c r="BX20" s="26">
        <v>0</v>
      </c>
      <c r="BY20" s="30"/>
      <c r="BZ20" s="29"/>
      <c r="CB20" s="26">
        <v>0</v>
      </c>
      <c r="CC20" s="30"/>
      <c r="CD20" s="29"/>
      <c r="CF20" s="26">
        <v>0</v>
      </c>
      <c r="CG20" s="30"/>
      <c r="CJ20" s="26">
        <v>0</v>
      </c>
      <c r="CK20" s="30"/>
      <c r="CL20" s="29"/>
      <c r="CP20" s="26">
        <v>0</v>
      </c>
      <c r="CQ20" s="30"/>
      <c r="CR20" s="29"/>
      <c r="CT20" s="26">
        <v>0</v>
      </c>
      <c r="CU20" s="30"/>
      <c r="CZ20" s="26">
        <v>0</v>
      </c>
      <c r="DA20" s="30"/>
      <c r="DD20" s="26">
        <v>0</v>
      </c>
      <c r="DE20" s="30"/>
      <c r="DF20" s="29"/>
      <c r="DH20" s="26">
        <v>0</v>
      </c>
      <c r="DI20" s="30"/>
      <c r="DJ20" s="29"/>
      <c r="DL20" s="26">
        <v>0</v>
      </c>
      <c r="DM20" s="30"/>
      <c r="DP20" s="26">
        <v>0</v>
      </c>
      <c r="DQ20" s="30"/>
      <c r="DR20" s="29"/>
      <c r="DU20" s="26">
        <v>0</v>
      </c>
      <c r="DV20" s="30"/>
      <c r="DW20" s="29"/>
      <c r="EA20" s="26">
        <v>0</v>
      </c>
      <c r="EB20" s="30"/>
      <c r="EC20" s="29"/>
      <c r="EF20" s="26">
        <v>0</v>
      </c>
      <c r="EG20" s="30"/>
      <c r="EJ20" s="26">
        <v>0</v>
      </c>
      <c r="EK20" s="30"/>
      <c r="EL20" s="31"/>
      <c r="EN20" s="26">
        <v>0</v>
      </c>
      <c r="EO20" s="30"/>
      <c r="EP20" s="29"/>
      <c r="ER20" s="26">
        <v>0</v>
      </c>
      <c r="ES20" s="30"/>
      <c r="ET20" s="29"/>
      <c r="EV20" s="26">
        <v>0</v>
      </c>
      <c r="EW20" s="30"/>
      <c r="EZ20" s="26">
        <v>0</v>
      </c>
      <c r="FA20" s="30"/>
      <c r="FD20" s="26">
        <v>0</v>
      </c>
      <c r="FE20" s="30"/>
      <c r="FF20" s="29"/>
      <c r="FI20" s="26">
        <v>0</v>
      </c>
      <c r="FJ20" s="30"/>
      <c r="FK20" s="29"/>
      <c r="FN20" s="26">
        <v>0</v>
      </c>
      <c r="FO20" s="30"/>
      <c r="FR20" s="26">
        <v>0</v>
      </c>
      <c r="FS20" s="30"/>
      <c r="FT20" s="29"/>
      <c r="FY20" s="26">
        <v>0</v>
      </c>
      <c r="FZ20" s="30"/>
      <c r="GC20" s="26">
        <v>0</v>
      </c>
      <c r="GD20" s="30"/>
      <c r="GE20" s="29"/>
      <c r="GI20" s="26">
        <v>0</v>
      </c>
      <c r="GJ20" s="30"/>
      <c r="GO20" s="26">
        <v>0</v>
      </c>
      <c r="GP20" s="30"/>
      <c r="GS20" s="26">
        <v>0</v>
      </c>
      <c r="GT20" s="30"/>
      <c r="GU20" s="29"/>
      <c r="GW20" s="26">
        <v>0</v>
      </c>
      <c r="GX20" s="30"/>
      <c r="GY20" s="29"/>
      <c r="HA20" s="26">
        <v>0</v>
      </c>
      <c r="HB20" s="30"/>
      <c r="HE20" s="26">
        <v>0</v>
      </c>
      <c r="HF20" s="30"/>
      <c r="HG20" s="29"/>
      <c r="HI20" s="26">
        <v>0</v>
      </c>
      <c r="HJ20" s="30"/>
      <c r="HK20" s="29"/>
      <c r="HM20" s="26">
        <v>0</v>
      </c>
      <c r="HN20" s="30"/>
      <c r="HQ20" s="26">
        <v>0</v>
      </c>
      <c r="HR20" s="33"/>
      <c r="HU20" s="26">
        <v>0</v>
      </c>
      <c r="HV20" s="30"/>
      <c r="HY20" s="26">
        <v>0</v>
      </c>
      <c r="HZ20" s="33"/>
      <c r="IC20" s="26">
        <v>0</v>
      </c>
      <c r="ID20" s="30"/>
      <c r="IG20" s="26">
        <v>0</v>
      </c>
      <c r="IH20" s="33"/>
      <c r="IK20" s="26">
        <v>0</v>
      </c>
      <c r="IL20" s="30"/>
      <c r="IM20" s="31"/>
      <c r="IO20" s="26">
        <v>0</v>
      </c>
      <c r="IP20" s="33"/>
      <c r="IS20" s="26">
        <v>0</v>
      </c>
      <c r="IT20" s="33"/>
      <c r="IW20" s="26">
        <v>0</v>
      </c>
      <c r="IX20" s="33"/>
      <c r="JA20" s="26">
        <v>0</v>
      </c>
      <c r="JB20" s="30"/>
      <c r="JC20" s="27"/>
      <c r="JE20" s="27"/>
      <c r="JG20" s="26">
        <v>0</v>
      </c>
      <c r="JH20" s="33"/>
      <c r="JI20" s="28">
        <v>0</v>
      </c>
      <c r="JJ20" s="28">
        <v>0</v>
      </c>
      <c r="JK20" s="26">
        <v>0</v>
      </c>
      <c r="JL20" s="33"/>
      <c r="JM20" s="28">
        <v>0</v>
      </c>
      <c r="JN20" s="28">
        <v>0</v>
      </c>
      <c r="JO20" s="26">
        <v>0</v>
      </c>
      <c r="JP20" s="33"/>
      <c r="JQ20" s="31">
        <v>0</v>
      </c>
      <c r="JR20" s="28">
        <v>0</v>
      </c>
      <c r="JS20" s="26">
        <v>0</v>
      </c>
      <c r="JT20" s="33"/>
    </row>
    <row r="21" spans="1:280" x14ac:dyDescent="0.25">
      <c r="A21" s="26" t="s">
        <v>172</v>
      </c>
      <c r="B21" s="27">
        <v>1</v>
      </c>
      <c r="I21" s="29"/>
      <c r="J21" s="35"/>
      <c r="K21" s="40"/>
      <c r="L21" s="35"/>
      <c r="M21" s="35">
        <f t="shared" si="6"/>
        <v>0</v>
      </c>
      <c r="N21" s="30"/>
      <c r="O21" s="29"/>
      <c r="P21" s="35"/>
      <c r="Q21" s="35"/>
      <c r="R21" s="35"/>
      <c r="S21" s="35">
        <f t="shared" si="7"/>
        <v>0</v>
      </c>
      <c r="T21" s="30"/>
      <c r="U21" s="29"/>
      <c r="V21" s="40"/>
      <c r="W21" s="35"/>
      <c r="X21" s="35"/>
      <c r="Y21" s="35"/>
      <c r="Z21" s="35"/>
      <c r="AA21" s="35">
        <f t="shared" si="8"/>
        <v>0</v>
      </c>
      <c r="AB21" s="30"/>
      <c r="AC21" s="29"/>
      <c r="AD21" s="35"/>
      <c r="AE21" s="35"/>
      <c r="AF21" s="35"/>
      <c r="AG21" s="35">
        <v>0</v>
      </c>
      <c r="AH21" s="30"/>
      <c r="AI21" s="35"/>
      <c r="AM21" s="26">
        <v>0</v>
      </c>
      <c r="AN21" s="30"/>
      <c r="AO21" s="31"/>
      <c r="AS21" s="26">
        <v>0</v>
      </c>
      <c r="AT21" s="30"/>
      <c r="AY21" s="26">
        <v>0</v>
      </c>
      <c r="AZ21" s="30"/>
      <c r="BD21" s="26">
        <v>0</v>
      </c>
      <c r="BE21" s="30"/>
      <c r="BF21" s="29"/>
      <c r="BH21" s="26">
        <v>0</v>
      </c>
      <c r="BI21" s="30"/>
      <c r="BJ21" s="29"/>
      <c r="BL21" s="26">
        <v>0</v>
      </c>
      <c r="BM21" s="30"/>
      <c r="BP21" s="26">
        <v>0</v>
      </c>
      <c r="BQ21" s="30"/>
      <c r="BR21" s="29"/>
      <c r="BT21" s="26">
        <v>0</v>
      </c>
      <c r="BU21" s="30"/>
      <c r="BX21" s="26">
        <v>0</v>
      </c>
      <c r="BY21" s="30"/>
      <c r="BZ21" s="29"/>
      <c r="CB21" s="26">
        <v>0</v>
      </c>
      <c r="CC21" s="30"/>
      <c r="CD21" s="29"/>
      <c r="CF21" s="26">
        <v>0</v>
      </c>
      <c r="CG21" s="30"/>
      <c r="CJ21" s="26">
        <v>0</v>
      </c>
      <c r="CK21" s="30"/>
      <c r="CL21" s="29"/>
      <c r="CP21" s="26">
        <v>0</v>
      </c>
      <c r="CQ21" s="30"/>
      <c r="CR21" s="29"/>
      <c r="CT21" s="26">
        <v>0</v>
      </c>
      <c r="CU21" s="30"/>
      <c r="CZ21" s="26">
        <v>0</v>
      </c>
      <c r="DA21" s="30"/>
      <c r="DD21" s="26">
        <v>0</v>
      </c>
      <c r="DE21" s="30"/>
      <c r="DF21" s="29"/>
      <c r="DH21" s="26">
        <v>0</v>
      </c>
      <c r="DI21" s="30"/>
      <c r="DJ21" s="29"/>
      <c r="DL21" s="26">
        <v>0</v>
      </c>
      <c r="DM21" s="30"/>
      <c r="DP21" s="26">
        <v>0</v>
      </c>
      <c r="DQ21" s="30"/>
      <c r="DR21" s="29"/>
      <c r="DU21" s="26">
        <v>0</v>
      </c>
      <c r="DV21" s="30"/>
      <c r="DW21" s="29"/>
      <c r="EA21" s="26">
        <v>0</v>
      </c>
      <c r="EB21" s="30"/>
      <c r="EC21" s="29"/>
      <c r="EF21" s="26">
        <v>0</v>
      </c>
      <c r="EG21" s="30"/>
      <c r="EJ21" s="26">
        <v>0</v>
      </c>
      <c r="EK21" s="30"/>
      <c r="EL21" s="31"/>
      <c r="EN21" s="26">
        <v>0</v>
      </c>
      <c r="EO21" s="30"/>
      <c r="EP21" s="29"/>
      <c r="ER21" s="26">
        <v>0</v>
      </c>
      <c r="ES21" s="30"/>
      <c r="ET21" s="29"/>
      <c r="EV21" s="26">
        <v>0</v>
      </c>
      <c r="EW21" s="30"/>
      <c r="EZ21" s="26">
        <v>0</v>
      </c>
      <c r="FA21" s="30"/>
      <c r="FD21" s="26">
        <v>0</v>
      </c>
      <c r="FE21" s="30"/>
      <c r="FF21" s="29"/>
      <c r="FI21" s="26">
        <v>0</v>
      </c>
      <c r="FJ21" s="30"/>
      <c r="FK21" s="29"/>
      <c r="FN21" s="26">
        <v>0</v>
      </c>
      <c r="FO21" s="30"/>
      <c r="FR21" s="26">
        <v>0</v>
      </c>
      <c r="FS21" s="30"/>
      <c r="FT21" s="29"/>
      <c r="FY21" s="26">
        <v>0</v>
      </c>
      <c r="FZ21" s="30"/>
      <c r="GC21" s="26">
        <v>0</v>
      </c>
      <c r="GD21" s="30"/>
      <c r="GE21" s="29"/>
      <c r="GI21" s="26">
        <v>0</v>
      </c>
      <c r="GJ21" s="30"/>
      <c r="GO21" s="26">
        <v>0</v>
      </c>
      <c r="GP21" s="30"/>
      <c r="GS21" s="26">
        <v>0</v>
      </c>
      <c r="GT21" s="30"/>
      <c r="GU21" s="29"/>
      <c r="GW21" s="26">
        <v>0</v>
      </c>
      <c r="GX21" s="30"/>
      <c r="GY21" s="29"/>
      <c r="HA21" s="26">
        <v>0</v>
      </c>
      <c r="HB21" s="30"/>
      <c r="HE21" s="26">
        <v>0</v>
      </c>
      <c r="HF21" s="30"/>
      <c r="HG21" s="29"/>
      <c r="HI21" s="26">
        <v>0</v>
      </c>
      <c r="HJ21" s="30"/>
      <c r="HK21" s="29"/>
      <c r="HM21" s="26">
        <v>0</v>
      </c>
      <c r="HN21" s="30"/>
      <c r="HQ21" s="26">
        <v>0</v>
      </c>
      <c r="HR21" s="33"/>
      <c r="HU21" s="26">
        <v>0</v>
      </c>
      <c r="HV21" s="30"/>
      <c r="HY21" s="26">
        <v>0</v>
      </c>
      <c r="HZ21" s="33"/>
      <c r="IC21" s="26">
        <v>0</v>
      </c>
      <c r="ID21" s="30"/>
      <c r="IG21" s="26">
        <v>0</v>
      </c>
      <c r="IH21" s="33"/>
      <c r="IK21" s="26">
        <v>0</v>
      </c>
      <c r="IL21" s="30"/>
      <c r="IM21" s="31"/>
      <c r="IO21" s="26">
        <v>0</v>
      </c>
      <c r="IP21" s="33"/>
      <c r="IS21" s="26">
        <v>0</v>
      </c>
      <c r="IT21" s="33"/>
      <c r="IW21" s="26">
        <v>0</v>
      </c>
      <c r="IX21" s="33"/>
      <c r="JA21" s="26">
        <v>0</v>
      </c>
      <c r="JB21" s="30"/>
      <c r="JC21" s="27"/>
      <c r="JE21" s="27"/>
      <c r="JG21" s="26">
        <v>0</v>
      </c>
      <c r="JH21" s="33"/>
      <c r="JI21" s="28">
        <v>0</v>
      </c>
      <c r="JJ21" s="28">
        <v>0</v>
      </c>
      <c r="JK21" s="26">
        <v>0</v>
      </c>
      <c r="JL21" s="33"/>
      <c r="JM21" s="28">
        <v>0</v>
      </c>
      <c r="JN21" s="28">
        <v>0</v>
      </c>
      <c r="JO21" s="26">
        <v>0</v>
      </c>
      <c r="JP21" s="33"/>
      <c r="JQ21" s="31">
        <v>0</v>
      </c>
      <c r="JR21" s="28">
        <v>0</v>
      </c>
      <c r="JS21" s="26">
        <v>0</v>
      </c>
      <c r="JT21" s="33"/>
    </row>
    <row r="22" spans="1:280" x14ac:dyDescent="0.25">
      <c r="A22" s="26" t="s">
        <v>173</v>
      </c>
      <c r="B22" s="27">
        <v>1</v>
      </c>
      <c r="I22" s="29"/>
      <c r="J22" s="35"/>
      <c r="K22" s="40"/>
      <c r="L22" s="35"/>
      <c r="M22" s="35">
        <f t="shared" si="6"/>
        <v>0</v>
      </c>
      <c r="N22" s="30"/>
      <c r="O22" s="29"/>
      <c r="P22" s="35"/>
      <c r="Q22" s="35"/>
      <c r="R22" s="35"/>
      <c r="S22" s="35">
        <f t="shared" si="7"/>
        <v>0</v>
      </c>
      <c r="T22" s="30"/>
      <c r="U22" s="29"/>
      <c r="V22" s="40"/>
      <c r="W22" s="35"/>
      <c r="X22" s="35"/>
      <c r="Y22" s="35"/>
      <c r="Z22" s="35"/>
      <c r="AA22" s="35">
        <f t="shared" si="8"/>
        <v>0</v>
      </c>
      <c r="AB22" s="30"/>
      <c r="AC22" s="29"/>
      <c r="AD22" s="35"/>
      <c r="AE22" s="35"/>
      <c r="AF22" s="35"/>
      <c r="AG22" s="35">
        <v>0</v>
      </c>
      <c r="AH22" s="30"/>
      <c r="AI22" s="35"/>
      <c r="AM22" s="26">
        <v>0</v>
      </c>
      <c r="AN22" s="30"/>
      <c r="AO22" s="31"/>
      <c r="AS22" s="26">
        <v>0</v>
      </c>
      <c r="AT22" s="30"/>
      <c r="AY22" s="26">
        <v>0</v>
      </c>
      <c r="AZ22" s="30"/>
      <c r="BD22" s="26">
        <v>0</v>
      </c>
      <c r="BE22" s="30"/>
      <c r="BF22" s="29"/>
      <c r="BH22" s="26">
        <v>0</v>
      </c>
      <c r="BI22" s="30"/>
      <c r="BJ22" s="29"/>
      <c r="BL22" s="26">
        <v>0</v>
      </c>
      <c r="BM22" s="30"/>
      <c r="BP22" s="26">
        <v>0</v>
      </c>
      <c r="BQ22" s="30"/>
      <c r="BR22" s="29"/>
      <c r="BT22" s="26">
        <v>0</v>
      </c>
      <c r="BU22" s="30"/>
      <c r="BX22" s="26">
        <v>0</v>
      </c>
      <c r="BY22" s="30"/>
      <c r="BZ22" s="29"/>
      <c r="CB22" s="26">
        <v>0</v>
      </c>
      <c r="CC22" s="30"/>
      <c r="CD22" s="29"/>
      <c r="CF22" s="26">
        <v>0</v>
      </c>
      <c r="CG22" s="30"/>
      <c r="CJ22" s="26">
        <v>0</v>
      </c>
      <c r="CK22" s="30"/>
      <c r="CL22" s="29"/>
      <c r="CP22" s="26">
        <v>0</v>
      </c>
      <c r="CQ22" s="30"/>
      <c r="CR22" s="29"/>
      <c r="CT22" s="26">
        <v>0</v>
      </c>
      <c r="CU22" s="30"/>
      <c r="CZ22" s="26">
        <v>0</v>
      </c>
      <c r="DA22" s="30"/>
      <c r="DD22" s="26">
        <v>0</v>
      </c>
      <c r="DE22" s="30"/>
      <c r="DF22" s="29"/>
      <c r="DH22" s="26">
        <v>0</v>
      </c>
      <c r="DI22" s="30"/>
      <c r="DJ22" s="29"/>
      <c r="DL22" s="26">
        <v>0</v>
      </c>
      <c r="DM22" s="30"/>
      <c r="DP22" s="26">
        <v>0</v>
      </c>
      <c r="DQ22" s="30"/>
      <c r="DR22" s="29"/>
      <c r="DU22" s="26">
        <v>0</v>
      </c>
      <c r="DV22" s="30"/>
      <c r="DW22" s="29"/>
      <c r="EA22" s="26">
        <v>0</v>
      </c>
      <c r="EB22" s="30"/>
      <c r="EC22" s="29"/>
      <c r="EF22" s="26">
        <v>0</v>
      </c>
      <c r="EG22" s="30"/>
      <c r="EJ22" s="26">
        <v>0</v>
      </c>
      <c r="EK22" s="30"/>
      <c r="EL22" s="31"/>
      <c r="EN22" s="26">
        <v>0</v>
      </c>
      <c r="EO22" s="30"/>
      <c r="EP22" s="29"/>
      <c r="ER22" s="26">
        <v>0</v>
      </c>
      <c r="ES22" s="30"/>
      <c r="ET22" s="29"/>
      <c r="EV22" s="26">
        <v>0</v>
      </c>
      <c r="EW22" s="30"/>
      <c r="EZ22" s="26">
        <v>0</v>
      </c>
      <c r="FA22" s="30"/>
      <c r="FD22" s="26">
        <v>0</v>
      </c>
      <c r="FE22" s="30"/>
      <c r="FF22" s="29"/>
      <c r="FI22" s="26">
        <v>0</v>
      </c>
      <c r="FJ22" s="30"/>
      <c r="FK22" s="29"/>
      <c r="FN22" s="26">
        <v>0</v>
      </c>
      <c r="FO22" s="30"/>
      <c r="FR22" s="26">
        <v>0</v>
      </c>
      <c r="FS22" s="30"/>
      <c r="FT22" s="29"/>
      <c r="FY22" s="26">
        <v>0</v>
      </c>
      <c r="FZ22" s="30"/>
      <c r="GC22" s="26">
        <v>0</v>
      </c>
      <c r="GD22" s="30"/>
      <c r="GE22" s="29"/>
      <c r="GI22" s="26">
        <v>0</v>
      </c>
      <c r="GJ22" s="30"/>
      <c r="GO22" s="26">
        <v>0</v>
      </c>
      <c r="GP22" s="30"/>
      <c r="GS22" s="26">
        <v>0</v>
      </c>
      <c r="GT22" s="30"/>
      <c r="GU22" s="29"/>
      <c r="GW22" s="26">
        <v>0</v>
      </c>
      <c r="GX22" s="30"/>
      <c r="GY22" s="29"/>
      <c r="HA22" s="26">
        <v>0</v>
      </c>
      <c r="HB22" s="30"/>
      <c r="HE22" s="26">
        <v>0</v>
      </c>
      <c r="HF22" s="30"/>
      <c r="HG22" s="32">
        <v>22</v>
      </c>
      <c r="HH22">
        <v>20</v>
      </c>
      <c r="HI22" s="26">
        <v>2</v>
      </c>
      <c r="HJ22" s="30"/>
      <c r="HK22" s="32">
        <v>112</v>
      </c>
      <c r="HL22">
        <v>113</v>
      </c>
      <c r="HM22" s="26">
        <v>-1</v>
      </c>
      <c r="HN22" s="30"/>
      <c r="HO22">
        <v>28</v>
      </c>
      <c r="HP22">
        <v>30</v>
      </c>
      <c r="HQ22" s="26">
        <v>-2</v>
      </c>
      <c r="HR22" s="33"/>
      <c r="HS22">
        <v>96</v>
      </c>
      <c r="HT22">
        <v>97</v>
      </c>
      <c r="HU22" s="26">
        <v>-1</v>
      </c>
      <c r="HV22" s="30"/>
      <c r="HY22" s="26">
        <v>0</v>
      </c>
      <c r="HZ22" s="33"/>
      <c r="IC22" s="26">
        <v>0</v>
      </c>
      <c r="ID22" s="30"/>
      <c r="IE22">
        <v>39</v>
      </c>
      <c r="IF22">
        <v>40</v>
      </c>
      <c r="IG22" s="26">
        <v>-1</v>
      </c>
      <c r="IH22" s="33"/>
      <c r="IK22" s="26">
        <v>0</v>
      </c>
      <c r="IL22" s="30"/>
      <c r="IM22" s="32">
        <v>51</v>
      </c>
      <c r="IN22" s="28">
        <v>50</v>
      </c>
      <c r="IO22" s="26">
        <v>1</v>
      </c>
      <c r="IP22" s="33"/>
      <c r="IQ22">
        <v>192</v>
      </c>
      <c r="IR22">
        <v>188</v>
      </c>
      <c r="IS22" s="26">
        <v>4</v>
      </c>
      <c r="IT22" s="33"/>
      <c r="IW22" s="26">
        <v>0</v>
      </c>
      <c r="IX22" s="33"/>
      <c r="JA22" s="26">
        <v>0</v>
      </c>
      <c r="JB22" s="30"/>
      <c r="JC22">
        <v>178</v>
      </c>
      <c r="JD22">
        <v>180</v>
      </c>
      <c r="JE22">
        <v>129</v>
      </c>
      <c r="JF22">
        <v>127</v>
      </c>
      <c r="JG22" s="26">
        <v>0</v>
      </c>
      <c r="JH22" s="33"/>
      <c r="JI22" s="28">
        <v>203.31299999999999</v>
      </c>
      <c r="JJ22" s="28">
        <v>200</v>
      </c>
      <c r="JK22" s="26">
        <v>3.3129999999999882</v>
      </c>
      <c r="JL22" s="33"/>
      <c r="JM22" s="28">
        <v>90.265000000000001</v>
      </c>
      <c r="JN22" s="28">
        <v>91.659599999999998</v>
      </c>
      <c r="JO22" s="26">
        <v>-1.394599999999997</v>
      </c>
      <c r="JP22" s="33"/>
      <c r="JQ22" s="31">
        <v>11.211</v>
      </c>
      <c r="JR22" s="28">
        <v>10</v>
      </c>
      <c r="JS22" s="26">
        <v>1.2110000000000001</v>
      </c>
      <c r="JT22" s="33"/>
    </row>
    <row r="23" spans="1:280" x14ac:dyDescent="0.25">
      <c r="A23" s="26" t="s">
        <v>174</v>
      </c>
      <c r="B23" s="27">
        <v>1</v>
      </c>
      <c r="E23">
        <v>92</v>
      </c>
      <c r="F23">
        <v>92</v>
      </c>
      <c r="I23" s="29"/>
      <c r="J23" s="35"/>
      <c r="K23" s="36">
        <v>16</v>
      </c>
      <c r="L23" s="36">
        <v>17</v>
      </c>
      <c r="M23" s="35">
        <f t="shared" si="6"/>
        <v>-1</v>
      </c>
      <c r="N23" s="30"/>
      <c r="O23" s="32">
        <v>126</v>
      </c>
      <c r="P23" s="36">
        <v>125</v>
      </c>
      <c r="Q23" s="36">
        <v>116</v>
      </c>
      <c r="R23" s="36">
        <v>116</v>
      </c>
      <c r="S23" s="35">
        <f t="shared" si="7"/>
        <v>1</v>
      </c>
      <c r="T23" s="30"/>
      <c r="U23" s="29"/>
      <c r="V23" s="40"/>
      <c r="W23" s="35"/>
      <c r="X23" s="35"/>
      <c r="Y23" s="35"/>
      <c r="Z23" s="35"/>
      <c r="AA23" s="35">
        <f t="shared" si="8"/>
        <v>0</v>
      </c>
      <c r="AB23" s="30"/>
      <c r="AC23" s="29"/>
      <c r="AD23" s="35"/>
      <c r="AE23" s="36">
        <v>235</v>
      </c>
      <c r="AF23" s="40">
        <v>237</v>
      </c>
      <c r="AG23" s="35">
        <v>-2</v>
      </c>
      <c r="AH23" s="30"/>
      <c r="AI23" s="35"/>
      <c r="AM23" s="26">
        <v>0</v>
      </c>
      <c r="AN23" s="30"/>
      <c r="AO23" s="31"/>
      <c r="AS23" s="26">
        <v>0</v>
      </c>
      <c r="AT23" s="30"/>
      <c r="AU23">
        <v>137</v>
      </c>
      <c r="AV23">
        <v>140</v>
      </c>
      <c r="AW23">
        <v>141</v>
      </c>
      <c r="AX23">
        <v>142</v>
      </c>
      <c r="AY23" s="26">
        <v>-4</v>
      </c>
      <c r="AZ23" s="30"/>
      <c r="BB23">
        <v>36</v>
      </c>
      <c r="BC23">
        <v>36</v>
      </c>
      <c r="BD23" s="26">
        <v>0</v>
      </c>
      <c r="BE23" s="30"/>
      <c r="BF23" s="32">
        <v>138</v>
      </c>
      <c r="BG23">
        <v>138</v>
      </c>
      <c r="BH23" s="26">
        <v>0</v>
      </c>
      <c r="BI23" s="30"/>
      <c r="BJ23" s="29"/>
      <c r="BL23" s="26">
        <v>0</v>
      </c>
      <c r="BM23" s="30"/>
      <c r="BN23">
        <v>231</v>
      </c>
      <c r="BO23">
        <v>231</v>
      </c>
      <c r="BP23" s="26">
        <v>0</v>
      </c>
      <c r="BQ23" s="30"/>
      <c r="BR23" s="32">
        <v>86</v>
      </c>
      <c r="BS23">
        <v>86</v>
      </c>
      <c r="BT23" s="26">
        <v>0</v>
      </c>
      <c r="BU23" s="30"/>
      <c r="BV23">
        <v>69</v>
      </c>
      <c r="BW23">
        <v>70</v>
      </c>
      <c r="BX23" s="26">
        <v>-1</v>
      </c>
      <c r="BY23" s="30"/>
      <c r="BZ23" s="32">
        <v>29</v>
      </c>
      <c r="CA23">
        <v>28</v>
      </c>
      <c r="CB23" s="26">
        <v>1</v>
      </c>
      <c r="CC23" s="30"/>
      <c r="CD23" s="32">
        <v>155</v>
      </c>
      <c r="CE23">
        <v>153</v>
      </c>
      <c r="CF23" s="26">
        <v>2</v>
      </c>
      <c r="CG23" s="30"/>
      <c r="CJ23" s="26">
        <v>0</v>
      </c>
      <c r="CK23" s="30"/>
      <c r="CL23" s="29"/>
      <c r="CM23">
        <v>80</v>
      </c>
      <c r="CN23">
        <v>91</v>
      </c>
      <c r="CO23">
        <v>89</v>
      </c>
      <c r="CP23" s="25">
        <v>-78</v>
      </c>
      <c r="CQ23" s="30">
        <v>77</v>
      </c>
      <c r="CR23" s="29"/>
      <c r="CT23" s="26">
        <v>0</v>
      </c>
      <c r="CU23" s="30"/>
      <c r="CX23">
        <v>209</v>
      </c>
      <c r="CY23">
        <v>205</v>
      </c>
      <c r="CZ23" s="26">
        <v>4</v>
      </c>
      <c r="DA23" s="30"/>
      <c r="DB23">
        <v>29</v>
      </c>
      <c r="DC23">
        <v>26</v>
      </c>
      <c r="DD23" s="26">
        <v>3</v>
      </c>
      <c r="DE23" s="30"/>
      <c r="DF23" s="32">
        <v>41</v>
      </c>
      <c r="DG23">
        <v>38</v>
      </c>
      <c r="DH23" s="26">
        <v>3</v>
      </c>
      <c r="DI23" s="30"/>
      <c r="DJ23" s="29"/>
      <c r="DL23" s="26">
        <v>0</v>
      </c>
      <c r="DM23" s="30"/>
      <c r="DN23">
        <v>156</v>
      </c>
      <c r="DO23">
        <v>153</v>
      </c>
      <c r="DP23" s="26">
        <v>3</v>
      </c>
      <c r="DQ23" s="30"/>
      <c r="DR23" s="32">
        <v>12</v>
      </c>
      <c r="DT23">
        <v>10</v>
      </c>
      <c r="DU23" s="26">
        <v>2</v>
      </c>
      <c r="DV23" s="30"/>
      <c r="DW23" s="29"/>
      <c r="DY23">
        <v>102</v>
      </c>
      <c r="DZ23">
        <v>99</v>
      </c>
      <c r="EA23" s="26">
        <v>3</v>
      </c>
      <c r="EB23" s="30"/>
      <c r="EC23" s="32">
        <v>41</v>
      </c>
      <c r="EE23">
        <v>40</v>
      </c>
      <c r="EF23" s="26">
        <v>1</v>
      </c>
      <c r="EG23" s="30"/>
      <c r="EH23">
        <v>29</v>
      </c>
      <c r="EI23" s="26">
        <v>27.27200000000002</v>
      </c>
      <c r="EJ23" s="26">
        <v>1.72799999999998</v>
      </c>
      <c r="EK23" s="30"/>
      <c r="EL23" s="32">
        <v>86</v>
      </c>
      <c r="EM23" s="26">
        <v>82.894000000000005</v>
      </c>
      <c r="EN23" s="26">
        <v>3.105999999999995</v>
      </c>
      <c r="EO23" s="30"/>
      <c r="EP23" s="32">
        <v>8</v>
      </c>
      <c r="EQ23" s="26">
        <v>7.2147999999999968</v>
      </c>
      <c r="ER23" s="26">
        <v>0.78520000000000323</v>
      </c>
      <c r="ES23" s="30"/>
      <c r="ET23" s="29"/>
      <c r="EV23" s="26">
        <v>0</v>
      </c>
      <c r="EW23" s="30"/>
      <c r="EX23">
        <v>98</v>
      </c>
      <c r="EY23" s="28">
        <v>94.708600000000004</v>
      </c>
      <c r="EZ23" s="26">
        <v>3.2913999999999959</v>
      </c>
      <c r="FA23" s="30"/>
      <c r="FD23" s="26">
        <v>0</v>
      </c>
      <c r="FE23" s="30"/>
      <c r="FF23" s="29"/>
      <c r="FI23" s="26">
        <v>0</v>
      </c>
      <c r="FJ23" s="30"/>
      <c r="FK23" s="32">
        <v>4</v>
      </c>
      <c r="FM23">
        <v>5</v>
      </c>
      <c r="FN23" s="26">
        <v>-1</v>
      </c>
      <c r="FO23" s="30"/>
      <c r="FR23" s="26">
        <v>0</v>
      </c>
      <c r="FS23" s="30"/>
      <c r="FT23" s="29"/>
      <c r="FU23">
        <v>69</v>
      </c>
      <c r="FV23">
        <v>70</v>
      </c>
      <c r="FW23">
        <v>84</v>
      </c>
      <c r="FX23">
        <v>84</v>
      </c>
      <c r="FY23" s="26">
        <v>-1</v>
      </c>
      <c r="FZ23" s="30"/>
      <c r="GA23">
        <v>29</v>
      </c>
      <c r="GB23" s="28">
        <v>26.68559999999999</v>
      </c>
      <c r="GC23" s="26">
        <v>2.3144000000000098</v>
      </c>
      <c r="GD23" s="30"/>
      <c r="GE23" s="29"/>
      <c r="GI23" s="26">
        <v>0</v>
      </c>
      <c r="GJ23" s="30"/>
      <c r="GO23" s="26">
        <v>0</v>
      </c>
      <c r="GP23" s="30"/>
      <c r="GQ23">
        <v>150</v>
      </c>
      <c r="GR23" s="28">
        <v>150</v>
      </c>
      <c r="GS23" s="26">
        <v>0</v>
      </c>
      <c r="GT23" s="30"/>
      <c r="GU23" s="29"/>
      <c r="GW23" s="26">
        <v>0</v>
      </c>
      <c r="GX23" s="30"/>
      <c r="GY23" s="32">
        <v>104</v>
      </c>
      <c r="GZ23">
        <v>100</v>
      </c>
      <c r="HA23" s="26">
        <v>4</v>
      </c>
      <c r="HB23" s="30"/>
      <c r="HC23">
        <v>12</v>
      </c>
      <c r="HD23">
        <v>10</v>
      </c>
      <c r="HE23" s="26">
        <v>2</v>
      </c>
      <c r="HF23" s="30"/>
      <c r="HG23" s="29"/>
      <c r="HI23" s="26">
        <v>0</v>
      </c>
      <c r="HJ23" s="30"/>
      <c r="HK23" s="32">
        <v>32</v>
      </c>
      <c r="HL23">
        <v>32</v>
      </c>
      <c r="HM23" s="26">
        <v>0</v>
      </c>
      <c r="HN23" s="30"/>
      <c r="HO23">
        <v>90</v>
      </c>
      <c r="HP23">
        <v>90</v>
      </c>
      <c r="HQ23" s="26">
        <v>0</v>
      </c>
      <c r="HR23" s="33"/>
      <c r="HS23">
        <v>73</v>
      </c>
      <c r="HT23">
        <v>73</v>
      </c>
      <c r="HU23" s="26">
        <v>0</v>
      </c>
      <c r="HV23" s="30"/>
      <c r="HY23" s="26">
        <v>0</v>
      </c>
      <c r="HZ23" s="33"/>
      <c r="IC23" s="26">
        <v>0</v>
      </c>
      <c r="ID23" s="30"/>
      <c r="IE23">
        <v>28</v>
      </c>
      <c r="IF23">
        <v>30</v>
      </c>
      <c r="IG23" s="26">
        <v>-2</v>
      </c>
      <c r="IH23" s="33"/>
      <c r="II23">
        <v>94</v>
      </c>
      <c r="IJ23" s="28">
        <v>90.531999999999996</v>
      </c>
      <c r="IK23" s="26">
        <v>3.468000000000004</v>
      </c>
      <c r="IL23" s="30"/>
      <c r="IM23" s="31"/>
      <c r="IO23" s="26">
        <v>0</v>
      </c>
      <c r="IP23" s="33"/>
      <c r="IQ23">
        <v>37</v>
      </c>
      <c r="IR23">
        <v>36</v>
      </c>
      <c r="IS23" s="26">
        <v>1</v>
      </c>
      <c r="IT23" s="33"/>
      <c r="IW23" s="26">
        <v>0</v>
      </c>
      <c r="IX23" s="33"/>
      <c r="JA23" s="26">
        <v>0</v>
      </c>
      <c r="JB23" s="30"/>
      <c r="JC23">
        <v>100</v>
      </c>
      <c r="JD23">
        <v>100</v>
      </c>
      <c r="JE23">
        <v>60</v>
      </c>
      <c r="JF23">
        <v>60</v>
      </c>
      <c r="JG23" s="26">
        <v>0</v>
      </c>
      <c r="JH23" s="33"/>
      <c r="JI23" s="28">
        <v>40.777000000000001</v>
      </c>
      <c r="JJ23" s="28">
        <v>40</v>
      </c>
      <c r="JK23" s="26">
        <v>0.77700000000000102</v>
      </c>
      <c r="JL23" s="33"/>
      <c r="JM23" s="28">
        <v>44.72</v>
      </c>
      <c r="JN23" s="28">
        <v>42.702800000000011</v>
      </c>
      <c r="JO23" s="26">
        <v>2.0171999999999879</v>
      </c>
      <c r="JP23" s="33"/>
      <c r="JQ23" s="31">
        <v>0</v>
      </c>
      <c r="JR23" s="28">
        <v>0</v>
      </c>
      <c r="JS23" s="26">
        <v>0</v>
      </c>
      <c r="JT23" s="33"/>
    </row>
    <row r="24" spans="1:280" x14ac:dyDescent="0.25">
      <c r="A24" s="26" t="s">
        <v>175</v>
      </c>
      <c r="B24" s="27">
        <v>0.25</v>
      </c>
      <c r="E24">
        <v>67</v>
      </c>
      <c r="F24">
        <v>68</v>
      </c>
      <c r="I24" s="29"/>
      <c r="J24" s="35"/>
      <c r="K24" s="40"/>
      <c r="L24" s="35"/>
      <c r="M24" s="35">
        <f t="shared" si="6"/>
        <v>0</v>
      </c>
      <c r="N24" s="30"/>
      <c r="O24" s="32">
        <v>56</v>
      </c>
      <c r="P24" s="36">
        <v>58</v>
      </c>
      <c r="Q24" s="36">
        <v>48</v>
      </c>
      <c r="R24" s="36">
        <v>54</v>
      </c>
      <c r="S24" s="35">
        <f t="shared" si="7"/>
        <v>-8</v>
      </c>
      <c r="T24" s="30"/>
      <c r="U24" s="29"/>
      <c r="V24" s="40"/>
      <c r="W24" s="35"/>
      <c r="X24" s="36">
        <v>88</v>
      </c>
      <c r="Y24" s="35"/>
      <c r="Z24" s="36">
        <v>98</v>
      </c>
      <c r="AA24" s="41">
        <f t="shared" si="8"/>
        <v>-10</v>
      </c>
      <c r="AB24" s="30">
        <f>-1*AA24*B24</f>
        <v>2.5</v>
      </c>
      <c r="AC24" s="29"/>
      <c r="AD24" s="35"/>
      <c r="AE24" s="35"/>
      <c r="AF24" s="35"/>
      <c r="AG24" s="35">
        <v>0</v>
      </c>
      <c r="AH24" s="30"/>
      <c r="AI24" s="36">
        <v>64</v>
      </c>
      <c r="AJ24">
        <v>64</v>
      </c>
      <c r="AK24">
        <v>48</v>
      </c>
      <c r="AL24">
        <v>51</v>
      </c>
      <c r="AM24" s="26">
        <v>-3</v>
      </c>
      <c r="AN24" s="30"/>
      <c r="AO24" s="31"/>
      <c r="AQ24">
        <v>56</v>
      </c>
      <c r="AR24">
        <v>59</v>
      </c>
      <c r="AS24" s="26">
        <v>-3</v>
      </c>
      <c r="AT24" s="30"/>
      <c r="AY24" s="26">
        <v>0</v>
      </c>
      <c r="AZ24" s="30"/>
      <c r="BB24">
        <v>112</v>
      </c>
      <c r="BC24">
        <v>112</v>
      </c>
      <c r="BD24" s="26">
        <v>0</v>
      </c>
      <c r="BE24" s="30"/>
      <c r="BF24" s="29"/>
      <c r="BH24" s="26">
        <v>0</v>
      </c>
      <c r="BI24" s="30"/>
      <c r="BJ24" s="32">
        <v>80</v>
      </c>
      <c r="BK24">
        <v>80</v>
      </c>
      <c r="BL24" s="26">
        <v>0</v>
      </c>
      <c r="BM24" s="30"/>
      <c r="BN24">
        <v>16</v>
      </c>
      <c r="BO24">
        <v>16</v>
      </c>
      <c r="BP24" s="26">
        <v>0</v>
      </c>
      <c r="BQ24" s="30"/>
      <c r="BR24" s="32">
        <v>40</v>
      </c>
      <c r="BS24">
        <v>50</v>
      </c>
      <c r="BT24" s="25">
        <v>-10</v>
      </c>
      <c r="BU24" s="30">
        <v>2.5</v>
      </c>
      <c r="BV24">
        <v>8</v>
      </c>
      <c r="BW24">
        <v>8</v>
      </c>
      <c r="BX24" s="26">
        <v>0</v>
      </c>
      <c r="BY24" s="30"/>
      <c r="BZ24" s="32">
        <v>24</v>
      </c>
      <c r="CA24">
        <v>29</v>
      </c>
      <c r="CB24" s="26">
        <v>-5</v>
      </c>
      <c r="CC24" s="30"/>
      <c r="CD24" s="32">
        <v>8</v>
      </c>
      <c r="CE24">
        <v>8</v>
      </c>
      <c r="CF24" s="26">
        <v>0</v>
      </c>
      <c r="CG24" s="30"/>
      <c r="CJ24" s="26">
        <v>0</v>
      </c>
      <c r="CK24" s="30"/>
      <c r="CL24" s="29"/>
      <c r="CN24">
        <v>24</v>
      </c>
      <c r="CO24">
        <v>31</v>
      </c>
      <c r="CP24" s="26">
        <v>-7</v>
      </c>
      <c r="CQ24" s="30"/>
      <c r="CR24" s="29"/>
      <c r="CT24" s="26">
        <v>0</v>
      </c>
      <c r="CU24" s="30"/>
      <c r="CX24">
        <v>16</v>
      </c>
      <c r="CY24">
        <v>17</v>
      </c>
      <c r="CZ24" s="26">
        <v>-1</v>
      </c>
      <c r="DA24" s="30"/>
      <c r="DB24">
        <v>8</v>
      </c>
      <c r="DC24">
        <v>9</v>
      </c>
      <c r="DD24" s="26">
        <v>-1</v>
      </c>
      <c r="DE24" s="30"/>
      <c r="DF24" s="32">
        <v>8</v>
      </c>
      <c r="DG24">
        <v>13</v>
      </c>
      <c r="DH24" s="26">
        <v>-5</v>
      </c>
      <c r="DI24" s="30"/>
      <c r="DJ24" s="32">
        <v>16</v>
      </c>
      <c r="DK24">
        <v>21</v>
      </c>
      <c r="DL24" s="26">
        <v>-5</v>
      </c>
      <c r="DM24" s="30"/>
      <c r="DP24" s="26">
        <v>0</v>
      </c>
      <c r="DQ24" s="30"/>
      <c r="DR24" s="32">
        <v>8</v>
      </c>
      <c r="DT24">
        <v>8</v>
      </c>
      <c r="DU24" s="26">
        <v>0</v>
      </c>
      <c r="DV24" s="30"/>
      <c r="DW24" s="29"/>
      <c r="DY24">
        <v>8</v>
      </c>
      <c r="DZ24">
        <v>6</v>
      </c>
      <c r="EA24" s="26">
        <v>2</v>
      </c>
      <c r="EB24" s="30"/>
      <c r="EC24" s="32">
        <v>16</v>
      </c>
      <c r="EE24">
        <v>18</v>
      </c>
      <c r="EF24" s="26">
        <v>-2</v>
      </c>
      <c r="EG24" s="30"/>
      <c r="EJ24" s="26">
        <v>0</v>
      </c>
      <c r="EK24" s="30"/>
      <c r="EL24" s="31"/>
      <c r="EN24" s="26">
        <v>0</v>
      </c>
      <c r="EO24" s="30"/>
      <c r="EP24" s="32">
        <v>32</v>
      </c>
      <c r="EQ24" s="26">
        <v>30.6</v>
      </c>
      <c r="ER24" s="26">
        <v>1.399999999999999</v>
      </c>
      <c r="ES24" s="30"/>
      <c r="ET24" s="29"/>
      <c r="EV24" s="26">
        <v>0</v>
      </c>
      <c r="EW24" s="30"/>
      <c r="EX24">
        <v>16</v>
      </c>
      <c r="EY24" s="28">
        <v>14</v>
      </c>
      <c r="EZ24" s="26">
        <v>2</v>
      </c>
      <c r="FA24" s="30"/>
      <c r="FC24">
        <v>7</v>
      </c>
      <c r="FD24" s="25">
        <v>-7</v>
      </c>
      <c r="FE24" s="30">
        <v>1.75</v>
      </c>
      <c r="FF24" s="32">
        <v>8</v>
      </c>
      <c r="FH24">
        <v>8</v>
      </c>
      <c r="FI24" s="26">
        <v>0</v>
      </c>
      <c r="FJ24" s="30"/>
      <c r="FK24" s="32">
        <v>8</v>
      </c>
      <c r="FM24">
        <v>6</v>
      </c>
      <c r="FN24" s="26">
        <v>2</v>
      </c>
      <c r="FO24" s="30"/>
      <c r="FR24" s="26">
        <v>0</v>
      </c>
      <c r="FS24" s="30"/>
      <c r="FT24" s="29"/>
      <c r="FW24">
        <v>8</v>
      </c>
      <c r="FX24">
        <v>7</v>
      </c>
      <c r="FY24" s="26">
        <v>1</v>
      </c>
      <c r="FZ24" s="30"/>
      <c r="GA24">
        <v>16</v>
      </c>
      <c r="GB24" s="28">
        <v>17</v>
      </c>
      <c r="GC24" s="26">
        <v>-1</v>
      </c>
      <c r="GD24" s="30"/>
      <c r="GE24" s="29"/>
      <c r="GI24" s="26">
        <v>0</v>
      </c>
      <c r="GJ24" s="30"/>
      <c r="GO24" s="26">
        <v>0</v>
      </c>
      <c r="GP24" s="30"/>
      <c r="GS24" s="26">
        <v>0</v>
      </c>
      <c r="GT24" s="30"/>
      <c r="GU24" s="32">
        <v>8</v>
      </c>
      <c r="GV24">
        <v>8</v>
      </c>
      <c r="GW24" s="26">
        <v>0</v>
      </c>
      <c r="GX24" s="30"/>
      <c r="GY24" s="29"/>
      <c r="HA24" s="26">
        <v>0</v>
      </c>
      <c r="HB24" s="30"/>
      <c r="HC24">
        <v>24</v>
      </c>
      <c r="HD24">
        <v>24</v>
      </c>
      <c r="HE24" s="26">
        <v>0</v>
      </c>
      <c r="HF24" s="30"/>
      <c r="HG24" s="32">
        <v>16</v>
      </c>
      <c r="HH24">
        <v>16</v>
      </c>
      <c r="HI24" s="26">
        <v>0</v>
      </c>
      <c r="HJ24" s="30"/>
      <c r="HK24" s="32">
        <v>8</v>
      </c>
      <c r="HL24">
        <v>8</v>
      </c>
      <c r="HM24" s="26">
        <v>0</v>
      </c>
      <c r="HN24" s="30"/>
      <c r="HQ24" s="26">
        <v>0</v>
      </c>
      <c r="HR24" s="33"/>
      <c r="HS24">
        <v>16</v>
      </c>
      <c r="HT24">
        <v>14</v>
      </c>
      <c r="HU24" s="26">
        <v>2</v>
      </c>
      <c r="HV24" s="30"/>
      <c r="HY24" s="26">
        <v>0</v>
      </c>
      <c r="HZ24" s="33"/>
      <c r="IC24" s="26">
        <v>0</v>
      </c>
      <c r="ID24" s="30"/>
      <c r="IE24">
        <v>8</v>
      </c>
      <c r="IF24">
        <v>8</v>
      </c>
      <c r="IG24" s="26">
        <v>0</v>
      </c>
      <c r="IH24" s="33"/>
      <c r="IK24" s="26">
        <v>0</v>
      </c>
      <c r="IL24" s="30"/>
      <c r="IM24" s="32">
        <v>8</v>
      </c>
      <c r="IN24" s="28">
        <v>6</v>
      </c>
      <c r="IO24" s="26">
        <v>2</v>
      </c>
      <c r="IP24" s="33"/>
      <c r="IS24" s="26">
        <v>0</v>
      </c>
      <c r="IT24" s="33"/>
      <c r="IU24">
        <v>16</v>
      </c>
      <c r="IV24">
        <v>16</v>
      </c>
      <c r="IW24" s="26">
        <v>0</v>
      </c>
      <c r="IX24" s="33"/>
      <c r="JA24" s="26">
        <v>0</v>
      </c>
      <c r="JB24" s="30"/>
      <c r="JC24" s="27"/>
      <c r="JE24">
        <v>48</v>
      </c>
      <c r="JF24">
        <v>50</v>
      </c>
      <c r="JG24" s="26">
        <v>-2</v>
      </c>
      <c r="JH24" s="33"/>
      <c r="JI24" s="28">
        <v>0</v>
      </c>
      <c r="JJ24" s="28">
        <v>0</v>
      </c>
      <c r="JK24" s="26">
        <v>0</v>
      </c>
      <c r="JL24" s="33"/>
      <c r="JM24" s="28">
        <v>0</v>
      </c>
      <c r="JN24" s="28">
        <v>0</v>
      </c>
      <c r="JO24" s="26">
        <v>0</v>
      </c>
      <c r="JP24" s="33"/>
      <c r="JQ24" s="31">
        <v>0</v>
      </c>
      <c r="JR24" s="28">
        <v>0</v>
      </c>
      <c r="JS24" s="26">
        <v>0</v>
      </c>
      <c r="JT24" s="33"/>
    </row>
    <row r="25" spans="1:280" x14ac:dyDescent="0.25">
      <c r="A25" s="26" t="s">
        <v>176</v>
      </c>
      <c r="B25" s="27">
        <v>0.4</v>
      </c>
      <c r="E25">
        <v>139</v>
      </c>
      <c r="F25">
        <v>139</v>
      </c>
      <c r="I25" s="29"/>
      <c r="J25" s="35"/>
      <c r="K25" s="40"/>
      <c r="L25" s="35"/>
      <c r="M25" s="35">
        <f t="shared" si="6"/>
        <v>0</v>
      </c>
      <c r="N25" s="30"/>
      <c r="O25" s="29"/>
      <c r="P25" s="35"/>
      <c r="Q25" s="35"/>
      <c r="R25" s="35"/>
      <c r="S25" s="35">
        <f t="shared" si="7"/>
        <v>0</v>
      </c>
      <c r="T25" s="30"/>
      <c r="U25" s="32">
        <v>108</v>
      </c>
      <c r="V25" s="40"/>
      <c r="W25" s="36">
        <v>109</v>
      </c>
      <c r="X25" s="36">
        <v>84</v>
      </c>
      <c r="Y25" s="35"/>
      <c r="Z25" s="36">
        <v>88</v>
      </c>
      <c r="AA25" s="35">
        <f t="shared" si="8"/>
        <v>-5</v>
      </c>
      <c r="AB25" s="30"/>
      <c r="AC25" s="29"/>
      <c r="AD25" s="35"/>
      <c r="AE25" s="35"/>
      <c r="AF25" s="35"/>
      <c r="AG25" s="35">
        <v>0</v>
      </c>
      <c r="AH25" s="30"/>
      <c r="AI25" s="36">
        <v>54</v>
      </c>
      <c r="AJ25">
        <v>59</v>
      </c>
      <c r="AK25">
        <v>48</v>
      </c>
      <c r="AL25">
        <v>48</v>
      </c>
      <c r="AM25" s="26">
        <v>-5</v>
      </c>
      <c r="AN25" s="30"/>
      <c r="AO25" s="31"/>
      <c r="AQ25">
        <v>78</v>
      </c>
      <c r="AR25">
        <v>83</v>
      </c>
      <c r="AS25" s="26">
        <v>-5</v>
      </c>
      <c r="AT25" s="30"/>
      <c r="AY25" s="26">
        <v>0</v>
      </c>
      <c r="AZ25" s="30"/>
      <c r="BB25">
        <v>132</v>
      </c>
      <c r="BC25">
        <v>133</v>
      </c>
      <c r="BD25" s="26">
        <v>-1</v>
      </c>
      <c r="BE25" s="30"/>
      <c r="BF25" s="29"/>
      <c r="BH25" s="26">
        <v>0</v>
      </c>
      <c r="BI25" s="30"/>
      <c r="BJ25" s="32">
        <v>120</v>
      </c>
      <c r="BK25">
        <v>120</v>
      </c>
      <c r="BL25" s="26">
        <v>0</v>
      </c>
      <c r="BM25" s="30"/>
      <c r="BN25">
        <v>12</v>
      </c>
      <c r="BO25">
        <v>12</v>
      </c>
      <c r="BP25" s="26">
        <v>0</v>
      </c>
      <c r="BQ25" s="30"/>
      <c r="BR25" s="32">
        <v>72</v>
      </c>
      <c r="BS25">
        <v>75</v>
      </c>
      <c r="BT25" s="26">
        <v>-3</v>
      </c>
      <c r="BU25" s="30"/>
      <c r="BV25">
        <v>36</v>
      </c>
      <c r="BW25">
        <v>36</v>
      </c>
      <c r="BX25" s="26">
        <v>0</v>
      </c>
      <c r="BY25" s="30"/>
      <c r="BZ25" s="32">
        <v>36</v>
      </c>
      <c r="CA25">
        <v>36</v>
      </c>
      <c r="CB25" s="26">
        <v>0</v>
      </c>
      <c r="CC25" s="30"/>
      <c r="CD25" s="29"/>
      <c r="CE25">
        <v>46</v>
      </c>
      <c r="CF25" s="25">
        <v>-46</v>
      </c>
      <c r="CG25" s="30">
        <v>18.399999999999999</v>
      </c>
      <c r="CJ25" s="26">
        <v>0</v>
      </c>
      <c r="CK25" s="30"/>
      <c r="CL25" s="29"/>
      <c r="CM25">
        <v>24</v>
      </c>
      <c r="CN25">
        <v>24</v>
      </c>
      <c r="CO25">
        <v>25</v>
      </c>
      <c r="CP25" s="25">
        <v>-25</v>
      </c>
      <c r="CQ25" s="30">
        <v>24.6</v>
      </c>
      <c r="CR25" s="32">
        <v>42</v>
      </c>
      <c r="CS25">
        <v>41</v>
      </c>
      <c r="CT25" s="26">
        <v>1</v>
      </c>
      <c r="CU25" s="30"/>
      <c r="CX25">
        <v>48</v>
      </c>
      <c r="CY25">
        <v>46</v>
      </c>
      <c r="CZ25" s="26">
        <v>2</v>
      </c>
      <c r="DA25" s="30"/>
      <c r="DB25">
        <v>36</v>
      </c>
      <c r="DC25">
        <v>36</v>
      </c>
      <c r="DD25" s="26">
        <v>0</v>
      </c>
      <c r="DE25" s="30"/>
      <c r="DF25" s="29"/>
      <c r="DH25" s="26">
        <v>0</v>
      </c>
      <c r="DI25" s="30"/>
      <c r="DJ25" s="32">
        <v>72</v>
      </c>
      <c r="DK25">
        <v>71</v>
      </c>
      <c r="DL25" s="26">
        <v>1</v>
      </c>
      <c r="DM25" s="30"/>
      <c r="DP25" s="26">
        <v>0</v>
      </c>
      <c r="DQ25" s="30"/>
      <c r="DR25" s="29"/>
      <c r="DU25" s="26">
        <v>0</v>
      </c>
      <c r="DV25" s="30"/>
      <c r="DW25" s="29"/>
      <c r="DY25">
        <v>78</v>
      </c>
      <c r="DZ25">
        <v>76</v>
      </c>
      <c r="EA25" s="26">
        <v>2</v>
      </c>
      <c r="EB25" s="30"/>
      <c r="EC25" s="32">
        <v>6</v>
      </c>
      <c r="EE25">
        <v>6</v>
      </c>
      <c r="EF25" s="26">
        <v>0</v>
      </c>
      <c r="EG25" s="30"/>
      <c r="EH25">
        <v>42</v>
      </c>
      <c r="EI25" s="26">
        <v>40.400000000000013</v>
      </c>
      <c r="EJ25" s="26">
        <v>1.599999999999987</v>
      </c>
      <c r="EK25" s="30"/>
      <c r="EL25" s="32">
        <v>12</v>
      </c>
      <c r="EM25" s="26">
        <v>14</v>
      </c>
      <c r="EN25" s="26">
        <v>-2</v>
      </c>
      <c r="EO25" s="30"/>
      <c r="EP25" s="29"/>
      <c r="ER25" s="26">
        <v>0</v>
      </c>
      <c r="ES25" s="30"/>
      <c r="ET25" s="32">
        <v>30</v>
      </c>
      <c r="EU25">
        <v>28</v>
      </c>
      <c r="EV25" s="26">
        <v>2</v>
      </c>
      <c r="EW25" s="30"/>
      <c r="EZ25" s="26">
        <v>0</v>
      </c>
      <c r="FA25" s="30"/>
      <c r="FD25" s="26">
        <v>0</v>
      </c>
      <c r="FE25" s="30"/>
      <c r="FF25" s="29"/>
      <c r="FI25" s="26">
        <v>0</v>
      </c>
      <c r="FJ25" s="30"/>
      <c r="FK25" s="29"/>
      <c r="FN25" s="26">
        <v>0</v>
      </c>
      <c r="FO25" s="30"/>
      <c r="FP25">
        <v>18</v>
      </c>
      <c r="FQ25" s="28">
        <v>15.60000000000001</v>
      </c>
      <c r="FR25" s="26">
        <v>2.3999999999999901</v>
      </c>
      <c r="FS25" s="30"/>
      <c r="FT25" s="29"/>
      <c r="FW25">
        <v>42</v>
      </c>
      <c r="FX25">
        <v>41</v>
      </c>
      <c r="FY25" s="26">
        <v>1</v>
      </c>
      <c r="FZ25" s="30"/>
      <c r="GA25">
        <v>42</v>
      </c>
      <c r="GB25" s="28">
        <v>40</v>
      </c>
      <c r="GC25" s="26">
        <v>2</v>
      </c>
      <c r="GD25" s="30"/>
      <c r="GE25" s="29"/>
      <c r="GG25">
        <v>30</v>
      </c>
      <c r="GH25">
        <v>32</v>
      </c>
      <c r="GI25" s="26">
        <v>-2</v>
      </c>
      <c r="GJ25" s="30"/>
      <c r="GO25" s="26">
        <v>0</v>
      </c>
      <c r="GP25" s="30"/>
      <c r="GQ25">
        <v>12</v>
      </c>
      <c r="GR25" s="28">
        <v>10</v>
      </c>
      <c r="GS25" s="26">
        <v>2</v>
      </c>
      <c r="GT25" s="30"/>
      <c r="GU25" s="32">
        <v>42</v>
      </c>
      <c r="GV25">
        <v>40</v>
      </c>
      <c r="GW25" s="26">
        <v>2</v>
      </c>
      <c r="GX25" s="30"/>
      <c r="GY25" s="32">
        <v>12</v>
      </c>
      <c r="GZ25">
        <v>12</v>
      </c>
      <c r="HA25" s="26">
        <v>0</v>
      </c>
      <c r="HB25" s="30"/>
      <c r="HC25">
        <v>18</v>
      </c>
      <c r="HD25">
        <v>18</v>
      </c>
      <c r="HE25" s="26">
        <v>0</v>
      </c>
      <c r="HF25" s="30"/>
      <c r="HG25" s="32">
        <v>18</v>
      </c>
      <c r="HH25">
        <v>19</v>
      </c>
      <c r="HI25" s="26">
        <v>-1</v>
      </c>
      <c r="HJ25" s="30"/>
      <c r="HK25" s="29"/>
      <c r="HM25" s="26">
        <v>0</v>
      </c>
      <c r="HN25" s="30"/>
      <c r="HQ25" s="26">
        <v>0</v>
      </c>
      <c r="HR25" s="33"/>
      <c r="HS25">
        <v>12</v>
      </c>
      <c r="HT25">
        <v>13</v>
      </c>
      <c r="HU25" s="26">
        <v>-1</v>
      </c>
      <c r="HV25" s="30"/>
      <c r="HY25" s="26">
        <v>0</v>
      </c>
      <c r="HZ25" s="33"/>
      <c r="IC25" s="26">
        <v>0</v>
      </c>
      <c r="ID25" s="30"/>
      <c r="IE25">
        <v>18</v>
      </c>
      <c r="IF25">
        <v>20</v>
      </c>
      <c r="IG25" s="26">
        <v>-2</v>
      </c>
      <c r="IH25" s="33"/>
      <c r="II25">
        <v>48</v>
      </c>
      <c r="IJ25" s="28">
        <v>46</v>
      </c>
      <c r="IK25" s="26">
        <v>2</v>
      </c>
      <c r="IL25" s="30"/>
      <c r="IM25" s="31"/>
      <c r="IO25" s="26">
        <v>0</v>
      </c>
      <c r="IP25" s="33"/>
      <c r="IS25" s="26">
        <v>0</v>
      </c>
      <c r="IT25" s="33"/>
      <c r="IW25" s="26">
        <v>0</v>
      </c>
      <c r="IX25" s="33"/>
      <c r="JA25" s="26">
        <v>0</v>
      </c>
      <c r="JB25" s="30"/>
      <c r="JC25">
        <v>78</v>
      </c>
      <c r="JD25">
        <v>80</v>
      </c>
      <c r="JE25">
        <v>72</v>
      </c>
      <c r="JF25">
        <v>70</v>
      </c>
      <c r="JG25" s="26">
        <v>0</v>
      </c>
      <c r="JH25" s="33"/>
      <c r="JI25" s="28">
        <v>78</v>
      </c>
      <c r="JJ25" s="28">
        <v>80</v>
      </c>
      <c r="JK25" s="26">
        <v>-2</v>
      </c>
      <c r="JL25" s="33"/>
      <c r="JM25" s="28">
        <v>0</v>
      </c>
      <c r="JN25" s="28">
        <v>0</v>
      </c>
      <c r="JO25" s="26">
        <v>0</v>
      </c>
      <c r="JP25" s="33"/>
      <c r="JQ25" s="31">
        <v>0</v>
      </c>
      <c r="JR25" s="28">
        <v>0</v>
      </c>
      <c r="JS25" s="26">
        <v>0</v>
      </c>
      <c r="JT25" s="33"/>
    </row>
    <row r="26" spans="1:280" x14ac:dyDescent="0.25">
      <c r="A26" s="26" t="s">
        <v>177</v>
      </c>
      <c r="B26" s="27">
        <v>1</v>
      </c>
      <c r="E26">
        <v>195</v>
      </c>
      <c r="F26">
        <v>84</v>
      </c>
      <c r="I26" s="32">
        <v>126</v>
      </c>
      <c r="J26" s="36">
        <v>124</v>
      </c>
      <c r="K26" s="36">
        <v>127</v>
      </c>
      <c r="L26" s="36">
        <v>125</v>
      </c>
      <c r="M26" s="35">
        <f t="shared" si="6"/>
        <v>4</v>
      </c>
      <c r="N26" s="30"/>
      <c r="O26" s="32">
        <v>120</v>
      </c>
      <c r="P26" s="36">
        <v>116</v>
      </c>
      <c r="Q26" s="36">
        <v>109</v>
      </c>
      <c r="R26" s="36">
        <v>108</v>
      </c>
      <c r="S26" s="35">
        <f t="shared" si="7"/>
        <v>5</v>
      </c>
      <c r="T26" s="30"/>
      <c r="U26" s="29"/>
      <c r="V26" s="40"/>
      <c r="W26" s="35"/>
      <c r="X26" s="35"/>
      <c r="Y26" s="35"/>
      <c r="Z26" s="35"/>
      <c r="AA26" s="35">
        <f t="shared" si="8"/>
        <v>0</v>
      </c>
      <c r="AB26" s="30"/>
      <c r="AC26" s="32">
        <v>238</v>
      </c>
      <c r="AD26" s="40">
        <v>231.1764705882353</v>
      </c>
      <c r="AE26" s="36">
        <v>168</v>
      </c>
      <c r="AF26" s="40">
        <v>161.8235294117647</v>
      </c>
      <c r="AG26" s="35">
        <v>13</v>
      </c>
      <c r="AH26" s="30"/>
      <c r="AI26" s="36">
        <v>126</v>
      </c>
      <c r="AJ26">
        <v>122</v>
      </c>
      <c r="AK26">
        <v>102</v>
      </c>
      <c r="AL26">
        <v>97</v>
      </c>
      <c r="AM26" s="26">
        <v>9</v>
      </c>
      <c r="AN26" s="30"/>
      <c r="AO26" s="31"/>
      <c r="AQ26">
        <v>10</v>
      </c>
      <c r="AR26">
        <v>12</v>
      </c>
      <c r="AS26" s="26">
        <v>-2</v>
      </c>
      <c r="AT26" s="30"/>
      <c r="AU26">
        <v>101</v>
      </c>
      <c r="AV26">
        <v>100</v>
      </c>
      <c r="AW26">
        <v>71</v>
      </c>
      <c r="AX26">
        <v>72</v>
      </c>
      <c r="AY26" s="26">
        <v>0</v>
      </c>
      <c r="AZ26" s="30"/>
      <c r="BB26">
        <v>71</v>
      </c>
      <c r="BC26">
        <v>66</v>
      </c>
      <c r="BD26" s="26">
        <v>5</v>
      </c>
      <c r="BE26" s="30"/>
      <c r="BF26" s="32">
        <v>409</v>
      </c>
      <c r="BG26">
        <v>396</v>
      </c>
      <c r="BH26" s="26">
        <v>13</v>
      </c>
      <c r="BI26" s="30"/>
      <c r="BJ26" s="32">
        <v>106</v>
      </c>
      <c r="BK26">
        <v>102</v>
      </c>
      <c r="BL26" s="26">
        <v>4</v>
      </c>
      <c r="BM26" s="30"/>
      <c r="BN26">
        <v>224</v>
      </c>
      <c r="BO26">
        <v>215</v>
      </c>
      <c r="BP26" s="26">
        <v>9</v>
      </c>
      <c r="BQ26" s="30"/>
      <c r="BR26" s="32">
        <v>228</v>
      </c>
      <c r="BS26">
        <v>219</v>
      </c>
      <c r="BT26" s="26">
        <v>9</v>
      </c>
      <c r="BU26" s="30"/>
      <c r="BV26">
        <v>186</v>
      </c>
      <c r="BW26">
        <v>178</v>
      </c>
      <c r="BX26" s="26">
        <v>8</v>
      </c>
      <c r="BY26" s="30"/>
      <c r="BZ26" s="32">
        <v>166</v>
      </c>
      <c r="CA26">
        <v>160</v>
      </c>
      <c r="CB26" s="26">
        <v>6</v>
      </c>
      <c r="CC26" s="30"/>
      <c r="CD26" s="32">
        <v>205</v>
      </c>
      <c r="CE26">
        <v>200</v>
      </c>
      <c r="CF26" s="26">
        <v>5</v>
      </c>
      <c r="CG26" s="30"/>
      <c r="CJ26" s="26">
        <v>0</v>
      </c>
      <c r="CK26" s="30"/>
      <c r="CL26" s="32">
        <v>130</v>
      </c>
      <c r="CM26">
        <v>130</v>
      </c>
      <c r="CN26">
        <v>136</v>
      </c>
      <c r="CO26">
        <v>131</v>
      </c>
      <c r="CP26" s="26">
        <v>5</v>
      </c>
      <c r="CQ26" s="30"/>
      <c r="CR26" s="29"/>
      <c r="CT26" s="26">
        <v>0</v>
      </c>
      <c r="CU26" s="30"/>
      <c r="CV26">
        <v>106</v>
      </c>
      <c r="CW26">
        <v>100</v>
      </c>
      <c r="CX26">
        <v>185</v>
      </c>
      <c r="CY26">
        <v>180</v>
      </c>
      <c r="CZ26" s="26">
        <v>11</v>
      </c>
      <c r="DA26" s="30"/>
      <c r="DB26">
        <v>60</v>
      </c>
      <c r="DC26">
        <v>59</v>
      </c>
      <c r="DD26" s="26">
        <v>1</v>
      </c>
      <c r="DE26" s="30"/>
      <c r="DF26" s="29"/>
      <c r="DH26" s="26">
        <v>0</v>
      </c>
      <c r="DI26" s="30"/>
      <c r="DJ26" s="32">
        <v>36</v>
      </c>
      <c r="DK26">
        <v>34</v>
      </c>
      <c r="DL26" s="26">
        <v>2</v>
      </c>
      <c r="DM26" s="30"/>
      <c r="DN26">
        <v>241</v>
      </c>
      <c r="DO26">
        <v>227</v>
      </c>
      <c r="DP26" s="26">
        <v>14</v>
      </c>
      <c r="DQ26" s="30"/>
      <c r="DR26" s="32">
        <v>25</v>
      </c>
      <c r="DT26">
        <v>22</v>
      </c>
      <c r="DU26" s="26">
        <v>3</v>
      </c>
      <c r="DV26" s="30"/>
      <c r="DW26" s="29"/>
      <c r="DY26">
        <v>153</v>
      </c>
      <c r="DZ26">
        <v>146</v>
      </c>
      <c r="EA26" s="26">
        <v>7</v>
      </c>
      <c r="EB26" s="30"/>
      <c r="EC26" s="32">
        <v>123</v>
      </c>
      <c r="EE26">
        <v>116</v>
      </c>
      <c r="EF26" s="26">
        <v>7</v>
      </c>
      <c r="EG26" s="30"/>
      <c r="EH26">
        <v>66</v>
      </c>
      <c r="EI26" s="26">
        <v>61.462600000000009</v>
      </c>
      <c r="EJ26" s="26">
        <v>4.537399999999991</v>
      </c>
      <c r="EK26" s="30"/>
      <c r="EL26" s="32">
        <v>35</v>
      </c>
      <c r="EM26" s="26">
        <v>35.497</v>
      </c>
      <c r="EN26" s="26">
        <v>-0.49699999999999989</v>
      </c>
      <c r="EO26" s="30"/>
      <c r="EP26" s="32">
        <v>30</v>
      </c>
      <c r="EQ26" s="26">
        <v>28.81379999999999</v>
      </c>
      <c r="ER26" s="26">
        <v>1.1862000000000099</v>
      </c>
      <c r="ES26" s="30"/>
      <c r="ET26" s="32">
        <v>55</v>
      </c>
      <c r="EU26">
        <v>51</v>
      </c>
      <c r="EV26" s="26">
        <v>4</v>
      </c>
      <c r="EW26" s="30"/>
      <c r="EX26">
        <v>85</v>
      </c>
      <c r="EY26" s="28">
        <v>82.756999999999977</v>
      </c>
      <c r="EZ26" s="26">
        <v>2.243000000000023</v>
      </c>
      <c r="FA26" s="30"/>
      <c r="FB26">
        <v>55</v>
      </c>
      <c r="FC26">
        <v>51</v>
      </c>
      <c r="FD26" s="26">
        <v>4</v>
      </c>
      <c r="FE26" s="30"/>
      <c r="FF26" s="32">
        <v>25</v>
      </c>
      <c r="FH26">
        <v>23</v>
      </c>
      <c r="FI26" s="26">
        <v>2</v>
      </c>
      <c r="FJ26" s="30"/>
      <c r="FK26" s="32">
        <v>175</v>
      </c>
      <c r="FM26">
        <v>171</v>
      </c>
      <c r="FN26" s="26">
        <v>4</v>
      </c>
      <c r="FO26" s="30"/>
      <c r="FR26" s="26">
        <v>0</v>
      </c>
      <c r="FS26" s="30"/>
      <c r="FT26" s="29"/>
      <c r="FU26">
        <v>20</v>
      </c>
      <c r="FV26">
        <v>20</v>
      </c>
      <c r="FW26">
        <v>36</v>
      </c>
      <c r="FX26">
        <v>33</v>
      </c>
      <c r="FY26" s="26">
        <v>3</v>
      </c>
      <c r="FZ26" s="30"/>
      <c r="GA26">
        <v>106</v>
      </c>
      <c r="GB26" s="28">
        <v>100.9842</v>
      </c>
      <c r="GC26" s="26">
        <v>5.0157999999999987</v>
      </c>
      <c r="GD26" s="30"/>
      <c r="GE26" s="32">
        <v>107</v>
      </c>
      <c r="GF26">
        <v>100</v>
      </c>
      <c r="GG26">
        <v>122</v>
      </c>
      <c r="GH26">
        <v>118</v>
      </c>
      <c r="GI26" s="26">
        <v>11</v>
      </c>
      <c r="GJ26" s="30"/>
      <c r="GO26" s="26">
        <v>0</v>
      </c>
      <c r="GP26" s="30"/>
      <c r="GQ26">
        <v>112</v>
      </c>
      <c r="GR26" s="28">
        <v>108.3522</v>
      </c>
      <c r="GS26" s="26">
        <v>3.6478000000000042</v>
      </c>
      <c r="GT26" s="30"/>
      <c r="GU26" s="32">
        <v>167</v>
      </c>
      <c r="GV26">
        <v>160</v>
      </c>
      <c r="GW26" s="26">
        <v>7</v>
      </c>
      <c r="GX26" s="30"/>
      <c r="GY26" s="29"/>
      <c r="HA26" s="26">
        <v>0</v>
      </c>
      <c r="HB26" s="30"/>
      <c r="HC26">
        <v>196</v>
      </c>
      <c r="HD26">
        <v>190</v>
      </c>
      <c r="HE26" s="26">
        <v>6</v>
      </c>
      <c r="HF26" s="30"/>
      <c r="HG26" s="29"/>
      <c r="HI26" s="26">
        <v>0</v>
      </c>
      <c r="HJ26" s="30"/>
      <c r="HK26" s="32">
        <v>84</v>
      </c>
      <c r="HL26">
        <v>81</v>
      </c>
      <c r="HM26" s="26">
        <v>3</v>
      </c>
      <c r="HN26" s="30"/>
      <c r="HO26">
        <v>30</v>
      </c>
      <c r="HP26">
        <v>30</v>
      </c>
      <c r="HQ26" s="26">
        <v>0</v>
      </c>
      <c r="HR26" s="33"/>
      <c r="HS26">
        <v>72</v>
      </c>
      <c r="HT26">
        <v>69</v>
      </c>
      <c r="HU26" s="26">
        <v>3</v>
      </c>
      <c r="HV26" s="30"/>
      <c r="HY26" s="26">
        <v>0</v>
      </c>
      <c r="HZ26" s="33"/>
      <c r="IA26">
        <v>15</v>
      </c>
      <c r="IB26">
        <v>16</v>
      </c>
      <c r="IC26" s="26">
        <v>-1</v>
      </c>
      <c r="ID26" s="30"/>
      <c r="IG26" s="26">
        <v>0</v>
      </c>
      <c r="IH26" s="33"/>
      <c r="IK26" s="26">
        <v>0</v>
      </c>
      <c r="IL26" s="30"/>
      <c r="IM26" s="32">
        <v>106</v>
      </c>
      <c r="IN26" s="28">
        <v>100</v>
      </c>
      <c r="IO26" s="26">
        <v>6</v>
      </c>
      <c r="IP26" s="33"/>
      <c r="IQ26">
        <v>123</v>
      </c>
      <c r="IR26">
        <v>115</v>
      </c>
      <c r="IS26" s="26">
        <v>8</v>
      </c>
      <c r="IT26" s="33"/>
      <c r="IW26" s="26">
        <v>0</v>
      </c>
      <c r="IX26" s="33"/>
      <c r="IY26">
        <v>50</v>
      </c>
      <c r="IZ26">
        <v>50</v>
      </c>
      <c r="JA26" s="26">
        <v>0</v>
      </c>
      <c r="JB26" s="30"/>
      <c r="JC26">
        <v>86</v>
      </c>
      <c r="JD26">
        <v>80</v>
      </c>
      <c r="JE26">
        <v>69</v>
      </c>
      <c r="JF26">
        <v>67</v>
      </c>
      <c r="JG26" s="26">
        <v>8</v>
      </c>
      <c r="JH26" s="33"/>
      <c r="JI26" s="28">
        <v>206.607</v>
      </c>
      <c r="JJ26" s="28">
        <v>200</v>
      </c>
      <c r="JK26" s="26">
        <v>6.6069999999999993</v>
      </c>
      <c r="JL26" s="33"/>
      <c r="JM26" s="28">
        <v>96.805999999999997</v>
      </c>
      <c r="JN26" s="28">
        <v>90.151200000000003</v>
      </c>
      <c r="JO26" s="26">
        <v>6.6547999999999936</v>
      </c>
      <c r="JP26" s="33"/>
      <c r="JQ26" s="31">
        <v>0</v>
      </c>
      <c r="JR26" s="28">
        <v>0</v>
      </c>
      <c r="JS26" s="26">
        <v>0</v>
      </c>
      <c r="JT26" s="33"/>
    </row>
    <row r="27" spans="1:280" x14ac:dyDescent="0.25">
      <c r="A27" s="26" t="s">
        <v>178</v>
      </c>
      <c r="B27" s="27">
        <v>0.12</v>
      </c>
      <c r="I27" s="29"/>
      <c r="J27" s="35"/>
      <c r="K27" s="40"/>
      <c r="L27" s="35"/>
      <c r="M27" s="35">
        <f t="shared" si="6"/>
        <v>0</v>
      </c>
      <c r="N27" s="30"/>
      <c r="O27" s="29"/>
      <c r="P27" s="35"/>
      <c r="Q27" s="35"/>
      <c r="R27" s="35"/>
      <c r="S27" s="35">
        <f t="shared" si="7"/>
        <v>0</v>
      </c>
      <c r="T27" s="30"/>
      <c r="U27" s="29"/>
      <c r="V27" s="40"/>
      <c r="W27" s="35"/>
      <c r="X27" s="35"/>
      <c r="Y27" s="35"/>
      <c r="Z27" s="35"/>
      <c r="AA27" s="35">
        <f t="shared" si="8"/>
        <v>0</v>
      </c>
      <c r="AB27" s="30"/>
      <c r="AC27" s="29"/>
      <c r="AD27" s="35"/>
      <c r="AE27" s="35"/>
      <c r="AF27" s="40">
        <v>66</v>
      </c>
      <c r="AG27" s="35">
        <v>-2</v>
      </c>
      <c r="AH27" s="30"/>
      <c r="AI27" s="35"/>
      <c r="AJ27">
        <v>87</v>
      </c>
      <c r="AL27">
        <v>70</v>
      </c>
      <c r="AM27" s="25">
        <v>-157</v>
      </c>
      <c r="AN27" s="30">
        <v>18.84</v>
      </c>
      <c r="AO27" s="31"/>
      <c r="AQ27">
        <v>80</v>
      </c>
      <c r="AR27">
        <v>80</v>
      </c>
      <c r="AS27" s="26">
        <v>0</v>
      </c>
      <c r="AT27" s="30"/>
      <c r="AW27">
        <v>40</v>
      </c>
      <c r="AX27">
        <v>43</v>
      </c>
      <c r="AY27" s="26">
        <v>-3</v>
      </c>
      <c r="AZ27" s="30"/>
      <c r="BB27">
        <v>16</v>
      </c>
      <c r="BC27">
        <v>20</v>
      </c>
      <c r="BD27" s="26">
        <v>-4</v>
      </c>
      <c r="BE27" s="30"/>
      <c r="BF27" s="32">
        <v>160</v>
      </c>
      <c r="BG27">
        <v>158</v>
      </c>
      <c r="BH27" s="26">
        <v>2</v>
      </c>
      <c r="BI27" s="30"/>
      <c r="BJ27" s="29"/>
      <c r="BK27">
        <v>114</v>
      </c>
      <c r="BL27" s="25">
        <v>-114</v>
      </c>
      <c r="BM27" s="30">
        <v>13.68</v>
      </c>
      <c r="BN27">
        <v>104</v>
      </c>
      <c r="BO27">
        <v>108</v>
      </c>
      <c r="BP27" s="26">
        <v>-4</v>
      </c>
      <c r="BQ27" s="30"/>
      <c r="BR27" s="32">
        <v>32</v>
      </c>
      <c r="BS27">
        <v>33</v>
      </c>
      <c r="BT27" s="26">
        <v>-1</v>
      </c>
      <c r="BU27" s="30"/>
      <c r="BV27">
        <v>112</v>
      </c>
      <c r="BW27">
        <v>114</v>
      </c>
      <c r="BX27" s="26">
        <v>-2</v>
      </c>
      <c r="BY27" s="30"/>
      <c r="BZ27" s="29"/>
      <c r="CB27" s="26">
        <v>0</v>
      </c>
      <c r="CC27" s="30"/>
      <c r="CD27" s="32">
        <v>104</v>
      </c>
      <c r="CE27">
        <v>103</v>
      </c>
      <c r="CF27" s="26">
        <v>1</v>
      </c>
      <c r="CG27" s="30"/>
      <c r="CJ27" s="26">
        <v>0</v>
      </c>
      <c r="CK27" s="30"/>
      <c r="CL27" s="32">
        <v>16</v>
      </c>
      <c r="CM27">
        <v>17</v>
      </c>
      <c r="CP27" s="26">
        <v>-1</v>
      </c>
      <c r="CQ27" s="30"/>
      <c r="CR27" s="32">
        <v>48</v>
      </c>
      <c r="CS27">
        <v>46</v>
      </c>
      <c r="CT27" s="26">
        <v>2</v>
      </c>
      <c r="CU27" s="30"/>
      <c r="CZ27" s="26">
        <v>0</v>
      </c>
      <c r="DA27" s="30"/>
      <c r="DB27">
        <v>8</v>
      </c>
      <c r="DC27">
        <v>6</v>
      </c>
      <c r="DD27" s="26">
        <v>2</v>
      </c>
      <c r="DE27" s="30"/>
      <c r="DF27" s="32">
        <v>56</v>
      </c>
      <c r="DG27">
        <v>58</v>
      </c>
      <c r="DH27" s="26">
        <v>-2</v>
      </c>
      <c r="DI27" s="30"/>
      <c r="DJ27" s="29"/>
      <c r="DL27" s="26">
        <v>0</v>
      </c>
      <c r="DM27" s="30"/>
      <c r="DN27">
        <v>16</v>
      </c>
      <c r="DO27">
        <v>15</v>
      </c>
      <c r="DP27" s="26">
        <v>1</v>
      </c>
      <c r="DQ27" s="30"/>
      <c r="DR27" s="29"/>
      <c r="DU27" s="26">
        <v>0</v>
      </c>
      <c r="DV27" s="30"/>
      <c r="DW27" s="29"/>
      <c r="EA27" s="26">
        <v>0</v>
      </c>
      <c r="EB27" s="30"/>
      <c r="EC27" s="32">
        <v>72</v>
      </c>
      <c r="EE27">
        <v>73</v>
      </c>
      <c r="EF27" s="26">
        <v>-1</v>
      </c>
      <c r="EG27" s="30"/>
      <c r="EH27">
        <v>8</v>
      </c>
      <c r="EI27" s="26">
        <v>10</v>
      </c>
      <c r="EJ27" s="26">
        <v>-2</v>
      </c>
      <c r="EK27" s="30"/>
      <c r="EL27" s="32">
        <v>48</v>
      </c>
      <c r="EM27" s="26">
        <v>49</v>
      </c>
      <c r="EN27" s="26">
        <v>-1</v>
      </c>
      <c r="EO27" s="30"/>
      <c r="EP27" s="29"/>
      <c r="ER27" s="26">
        <v>0</v>
      </c>
      <c r="ES27" s="30"/>
      <c r="ET27" s="29"/>
      <c r="EV27" s="26">
        <v>0</v>
      </c>
      <c r="EW27" s="30"/>
      <c r="EZ27" s="26">
        <v>0</v>
      </c>
      <c r="FA27" s="30"/>
      <c r="FB27">
        <v>32</v>
      </c>
      <c r="FC27">
        <v>30</v>
      </c>
      <c r="FD27" s="26">
        <v>2</v>
      </c>
      <c r="FE27" s="30"/>
      <c r="FF27" s="32">
        <v>48</v>
      </c>
      <c r="FH27">
        <v>52</v>
      </c>
      <c r="FI27" s="26">
        <v>-4</v>
      </c>
      <c r="FJ27" s="30"/>
      <c r="FK27" s="29"/>
      <c r="FN27" s="26">
        <v>0</v>
      </c>
      <c r="FO27" s="30"/>
      <c r="FP27">
        <v>32</v>
      </c>
      <c r="FQ27" s="28">
        <v>36</v>
      </c>
      <c r="FR27" s="26">
        <v>-4</v>
      </c>
      <c r="FS27" s="30"/>
      <c r="FT27" s="29"/>
      <c r="FW27">
        <v>48</v>
      </c>
      <c r="FX27">
        <v>51</v>
      </c>
      <c r="FY27" s="26">
        <v>-3</v>
      </c>
      <c r="FZ27" s="30"/>
      <c r="GC27" s="26">
        <v>0</v>
      </c>
      <c r="GD27" s="30"/>
      <c r="GE27" s="29"/>
      <c r="GI27" s="26">
        <v>0</v>
      </c>
      <c r="GJ27" s="30"/>
      <c r="GO27" s="26">
        <v>0</v>
      </c>
      <c r="GP27" s="30"/>
      <c r="GQ27">
        <v>80</v>
      </c>
      <c r="GR27" s="28">
        <v>80</v>
      </c>
      <c r="GS27" s="26">
        <v>0</v>
      </c>
      <c r="GT27" s="30"/>
      <c r="GU27" s="29"/>
      <c r="GW27" s="26">
        <v>0</v>
      </c>
      <c r="GX27" s="30"/>
      <c r="GY27" s="32">
        <v>24</v>
      </c>
      <c r="GZ27">
        <v>29</v>
      </c>
      <c r="HA27" s="26">
        <v>-5</v>
      </c>
      <c r="HB27" s="30"/>
      <c r="HE27" s="26">
        <v>0</v>
      </c>
      <c r="HF27" s="30"/>
      <c r="HG27" s="29"/>
      <c r="HI27" s="26">
        <v>0</v>
      </c>
      <c r="HJ27" s="30"/>
      <c r="HK27" s="32">
        <v>56</v>
      </c>
      <c r="HL27">
        <v>55</v>
      </c>
      <c r="HM27" s="26">
        <v>1</v>
      </c>
      <c r="HN27" s="30"/>
      <c r="HO27">
        <v>32</v>
      </c>
      <c r="HP27">
        <v>30</v>
      </c>
      <c r="HQ27" s="26">
        <v>2</v>
      </c>
      <c r="HR27" s="33"/>
      <c r="HS27">
        <v>32</v>
      </c>
      <c r="HT27">
        <v>32</v>
      </c>
      <c r="HU27" s="26">
        <v>0</v>
      </c>
      <c r="HV27" s="30"/>
      <c r="HY27" s="26">
        <v>0</v>
      </c>
      <c r="HZ27" s="33"/>
      <c r="IA27">
        <v>40</v>
      </c>
      <c r="IB27">
        <v>40</v>
      </c>
      <c r="IC27" s="26">
        <v>0</v>
      </c>
      <c r="ID27" s="30"/>
      <c r="IG27" s="26">
        <v>0</v>
      </c>
      <c r="IH27" s="33"/>
      <c r="II27">
        <v>8</v>
      </c>
      <c r="IJ27" s="28">
        <v>12.6</v>
      </c>
      <c r="IK27" s="26">
        <v>-4.5999999999999996</v>
      </c>
      <c r="IL27" s="30"/>
      <c r="IM27" s="31"/>
      <c r="IO27" s="26">
        <v>0</v>
      </c>
      <c r="IP27" s="33"/>
      <c r="IS27" s="26">
        <v>0</v>
      </c>
      <c r="IT27" s="33"/>
      <c r="IW27" s="26">
        <v>0</v>
      </c>
      <c r="IX27" s="33"/>
      <c r="JA27" s="26">
        <v>0</v>
      </c>
      <c r="JB27" s="30"/>
      <c r="JC27">
        <v>48</v>
      </c>
      <c r="JD27">
        <v>50</v>
      </c>
      <c r="JE27">
        <v>40</v>
      </c>
      <c r="JF27">
        <v>40</v>
      </c>
      <c r="JG27" s="26">
        <v>-2</v>
      </c>
      <c r="JH27" s="33"/>
      <c r="JI27" s="28">
        <v>0</v>
      </c>
      <c r="JJ27" s="28">
        <v>0</v>
      </c>
      <c r="JK27" s="26">
        <v>0</v>
      </c>
      <c r="JL27" s="33"/>
      <c r="JM27" s="28">
        <v>0</v>
      </c>
      <c r="JN27" s="28">
        <v>0</v>
      </c>
      <c r="JO27" s="26">
        <v>0</v>
      </c>
      <c r="JP27" s="33"/>
      <c r="JQ27" s="31">
        <v>0</v>
      </c>
      <c r="JR27" s="28">
        <v>0</v>
      </c>
      <c r="JS27" s="26">
        <v>0</v>
      </c>
      <c r="JT27" s="33"/>
    </row>
    <row r="28" spans="1:280" x14ac:dyDescent="0.25">
      <c r="A28" s="26" t="s">
        <v>179</v>
      </c>
      <c r="B28" s="27">
        <v>1</v>
      </c>
      <c r="I28" s="29"/>
      <c r="J28" s="35"/>
      <c r="K28" s="40"/>
      <c r="L28" s="35"/>
      <c r="M28" s="35">
        <f t="shared" si="6"/>
        <v>0</v>
      </c>
      <c r="N28" s="30"/>
      <c r="O28" s="29"/>
      <c r="P28" s="35"/>
      <c r="Q28" s="35"/>
      <c r="R28" s="35"/>
      <c r="S28" s="35">
        <f t="shared" si="7"/>
        <v>0</v>
      </c>
      <c r="T28" s="30"/>
      <c r="U28" s="29"/>
      <c r="V28" s="40"/>
      <c r="W28" s="35"/>
      <c r="X28" s="35"/>
      <c r="Y28" s="35"/>
      <c r="Z28" s="35"/>
      <c r="AA28" s="35">
        <f t="shared" si="8"/>
        <v>0</v>
      </c>
      <c r="AB28" s="30"/>
      <c r="AC28" s="29"/>
      <c r="AD28" s="35"/>
      <c r="AE28" s="35"/>
      <c r="AF28" s="35"/>
      <c r="AG28" s="35">
        <v>0</v>
      </c>
      <c r="AH28" s="30"/>
      <c r="AI28" s="35"/>
      <c r="AM28" s="26">
        <v>0</v>
      </c>
      <c r="AN28" s="30"/>
      <c r="AO28" s="31"/>
      <c r="AS28" s="26">
        <v>0</v>
      </c>
      <c r="AT28" s="30"/>
      <c r="AY28" s="26">
        <v>0</v>
      </c>
      <c r="AZ28" s="30"/>
      <c r="BD28" s="26">
        <v>0</v>
      </c>
      <c r="BE28" s="30"/>
      <c r="BF28" s="29"/>
      <c r="BH28" s="26">
        <v>0</v>
      </c>
      <c r="BI28" s="30"/>
      <c r="BJ28" s="29"/>
      <c r="BL28" s="26">
        <v>0</v>
      </c>
      <c r="BM28" s="30"/>
      <c r="BP28" s="26">
        <v>0</v>
      </c>
      <c r="BQ28" s="30"/>
      <c r="BR28" s="29"/>
      <c r="BT28" s="26">
        <v>0</v>
      </c>
      <c r="BU28" s="30"/>
      <c r="BX28" s="26">
        <v>0</v>
      </c>
      <c r="BY28" s="30"/>
      <c r="BZ28" s="29"/>
      <c r="CB28" s="26">
        <v>0</v>
      </c>
      <c r="CC28" s="30"/>
      <c r="CD28" s="29"/>
      <c r="CF28" s="26">
        <v>0</v>
      </c>
      <c r="CG28" s="30"/>
      <c r="CJ28" s="26">
        <v>0</v>
      </c>
      <c r="CK28" s="30"/>
      <c r="CL28" s="29"/>
      <c r="CP28" s="26">
        <v>0</v>
      </c>
      <c r="CQ28" s="30"/>
      <c r="CR28" s="29"/>
      <c r="CT28" s="26">
        <v>0</v>
      </c>
      <c r="CU28" s="30"/>
      <c r="CZ28" s="26">
        <v>0</v>
      </c>
      <c r="DA28" s="30"/>
      <c r="DD28" s="26">
        <v>0</v>
      </c>
      <c r="DE28" s="30"/>
      <c r="DF28" s="29"/>
      <c r="DH28" s="26">
        <v>0</v>
      </c>
      <c r="DI28" s="30"/>
      <c r="DJ28" s="29"/>
      <c r="DL28" s="26">
        <v>0</v>
      </c>
      <c r="DM28" s="30"/>
      <c r="DP28" s="26">
        <v>0</v>
      </c>
      <c r="DQ28" s="30"/>
      <c r="DR28" s="29"/>
      <c r="DU28" s="26">
        <v>0</v>
      </c>
      <c r="DV28" s="30"/>
      <c r="DW28" s="29"/>
      <c r="EA28" s="26">
        <v>0</v>
      </c>
      <c r="EB28" s="30"/>
      <c r="EC28" s="29"/>
      <c r="EF28" s="26">
        <v>0</v>
      </c>
      <c r="EG28" s="30"/>
      <c r="EJ28" s="26">
        <v>0</v>
      </c>
      <c r="EK28" s="30"/>
      <c r="EL28" s="31"/>
      <c r="EN28" s="26">
        <v>0</v>
      </c>
      <c r="EO28" s="30"/>
      <c r="EP28" s="29"/>
      <c r="ER28" s="26">
        <v>0</v>
      </c>
      <c r="ES28" s="30"/>
      <c r="ET28" s="29"/>
      <c r="EV28" s="26">
        <v>0</v>
      </c>
      <c r="EW28" s="30"/>
      <c r="EZ28" s="26">
        <v>0</v>
      </c>
      <c r="FA28" s="30"/>
      <c r="FD28" s="26">
        <v>0</v>
      </c>
      <c r="FE28" s="30"/>
      <c r="FF28" s="29"/>
      <c r="FI28" s="26">
        <v>0</v>
      </c>
      <c r="FJ28" s="30"/>
      <c r="FK28" s="29"/>
      <c r="FN28" s="26">
        <v>0</v>
      </c>
      <c r="FO28" s="30"/>
      <c r="FR28" s="26">
        <v>0</v>
      </c>
      <c r="FS28" s="30"/>
      <c r="FT28" s="29"/>
      <c r="FY28" s="26">
        <v>0</v>
      </c>
      <c r="FZ28" s="30"/>
      <c r="GC28" s="26">
        <v>0</v>
      </c>
      <c r="GD28" s="30"/>
      <c r="GE28" s="29"/>
      <c r="GI28" s="26">
        <v>0</v>
      </c>
      <c r="GJ28" s="30"/>
      <c r="GO28" s="26">
        <v>0</v>
      </c>
      <c r="GP28" s="30"/>
      <c r="GS28" s="26">
        <v>0</v>
      </c>
      <c r="GT28" s="30"/>
      <c r="GU28" s="29"/>
      <c r="GW28" s="26">
        <v>0</v>
      </c>
      <c r="GX28" s="30"/>
      <c r="GY28" s="29"/>
      <c r="HA28" s="26">
        <v>0</v>
      </c>
      <c r="HB28" s="30"/>
      <c r="HE28" s="26">
        <v>0</v>
      </c>
      <c r="HF28" s="30"/>
      <c r="HG28" s="29"/>
      <c r="HI28" s="26">
        <v>0</v>
      </c>
      <c r="HJ28" s="30"/>
      <c r="HK28" s="29"/>
      <c r="HM28" s="26">
        <v>0</v>
      </c>
      <c r="HN28" s="30"/>
      <c r="HQ28" s="26">
        <v>0</v>
      </c>
      <c r="HR28" s="33"/>
      <c r="HU28" s="26">
        <v>0</v>
      </c>
      <c r="HV28" s="30"/>
      <c r="HX28">
        <v>75</v>
      </c>
      <c r="HY28" s="25">
        <v>-75</v>
      </c>
      <c r="HZ28" s="33">
        <v>75</v>
      </c>
      <c r="IA28">
        <v>41</v>
      </c>
      <c r="IB28">
        <v>40</v>
      </c>
      <c r="IC28" s="26">
        <v>1</v>
      </c>
      <c r="ID28" s="30"/>
      <c r="IG28" s="26">
        <v>0</v>
      </c>
      <c r="IH28" s="33"/>
      <c r="IK28" s="26">
        <v>0</v>
      </c>
      <c r="IL28" s="30"/>
      <c r="IM28" s="32">
        <v>30</v>
      </c>
      <c r="IN28" s="28">
        <v>30</v>
      </c>
      <c r="IO28" s="26">
        <v>0</v>
      </c>
      <c r="IP28" s="33"/>
      <c r="IQ28">
        <v>54</v>
      </c>
      <c r="IR28">
        <v>52</v>
      </c>
      <c r="IS28" s="26">
        <v>2</v>
      </c>
      <c r="IT28" s="33"/>
      <c r="IW28" s="26">
        <v>0</v>
      </c>
      <c r="IX28" s="33"/>
      <c r="JA28" s="26">
        <v>0</v>
      </c>
      <c r="JB28" s="30"/>
      <c r="JC28">
        <v>73</v>
      </c>
      <c r="JD28">
        <v>70</v>
      </c>
      <c r="JE28">
        <v>60</v>
      </c>
      <c r="JF28">
        <v>58</v>
      </c>
      <c r="JG28" s="26">
        <v>5</v>
      </c>
      <c r="JH28" s="33"/>
      <c r="JI28" s="28">
        <v>51.337000000000003</v>
      </c>
      <c r="JJ28" s="28">
        <v>50</v>
      </c>
      <c r="JK28" s="26">
        <v>1.3370000000000031</v>
      </c>
      <c r="JL28" s="33"/>
      <c r="JM28" s="28">
        <v>0</v>
      </c>
      <c r="JN28" s="28">
        <v>0</v>
      </c>
      <c r="JO28" s="26">
        <v>0</v>
      </c>
      <c r="JP28" s="33"/>
      <c r="JQ28" s="6">
        <v>65.436999999999998</v>
      </c>
      <c r="JR28" s="28">
        <v>0</v>
      </c>
      <c r="JS28" s="26">
        <v>0</v>
      </c>
      <c r="JT28" s="33"/>
    </row>
    <row r="29" spans="1:280" x14ac:dyDescent="0.25">
      <c r="A29" s="26" t="s">
        <v>180</v>
      </c>
      <c r="B29" s="27">
        <v>0.25</v>
      </c>
      <c r="I29" s="29"/>
      <c r="J29" s="35"/>
      <c r="K29" s="40"/>
      <c r="L29" s="35"/>
      <c r="M29" s="35">
        <f t="shared" si="6"/>
        <v>0</v>
      </c>
      <c r="N29" s="30"/>
      <c r="O29" s="29"/>
      <c r="P29" s="35"/>
      <c r="Q29" s="35"/>
      <c r="R29" s="35"/>
      <c r="S29" s="35">
        <f t="shared" si="7"/>
        <v>0</v>
      </c>
      <c r="T29" s="30"/>
      <c r="U29" s="29"/>
      <c r="V29" s="40"/>
      <c r="W29" s="35"/>
      <c r="X29" s="35"/>
      <c r="Y29" s="35"/>
      <c r="Z29" s="35"/>
      <c r="AA29" s="35">
        <f t="shared" si="8"/>
        <v>0</v>
      </c>
      <c r="AB29" s="30"/>
      <c r="AC29" s="29"/>
      <c r="AD29" s="35"/>
      <c r="AE29" s="35"/>
      <c r="AF29" s="35"/>
      <c r="AG29" s="35">
        <v>0</v>
      </c>
      <c r="AH29" s="30"/>
      <c r="AI29" s="35"/>
      <c r="AM29" s="26">
        <v>0</v>
      </c>
      <c r="AN29" s="30"/>
      <c r="AO29" s="31"/>
      <c r="AS29" s="26">
        <v>0</v>
      </c>
      <c r="AT29" s="30"/>
      <c r="AX29">
        <v>16</v>
      </c>
      <c r="AY29" s="26">
        <v>0</v>
      </c>
      <c r="AZ29" s="30"/>
      <c r="BC29">
        <v>16</v>
      </c>
      <c r="BD29" s="25">
        <v>-16</v>
      </c>
      <c r="BE29" s="30">
        <v>4</v>
      </c>
      <c r="BF29" s="29"/>
      <c r="BG29">
        <v>32</v>
      </c>
      <c r="BH29" s="25">
        <v>-32</v>
      </c>
      <c r="BI29" s="30">
        <v>8</v>
      </c>
      <c r="BJ29" s="29"/>
      <c r="BK29">
        <v>8</v>
      </c>
      <c r="BL29" s="25">
        <v>-8</v>
      </c>
      <c r="BM29" s="30">
        <v>2</v>
      </c>
      <c r="BO29">
        <v>33</v>
      </c>
      <c r="BP29" s="25">
        <v>-33</v>
      </c>
      <c r="BQ29" s="30">
        <v>8.25</v>
      </c>
      <c r="BR29" s="29"/>
      <c r="BS29">
        <v>16</v>
      </c>
      <c r="BT29" s="25">
        <v>-16</v>
      </c>
      <c r="BU29" s="30">
        <v>4</v>
      </c>
      <c r="BV29">
        <v>16</v>
      </c>
      <c r="BW29">
        <v>16</v>
      </c>
      <c r="BX29" s="26">
        <v>0</v>
      </c>
      <c r="BY29" s="30"/>
      <c r="BZ29" s="29"/>
      <c r="CA29">
        <v>66</v>
      </c>
      <c r="CB29" s="25">
        <v>-66</v>
      </c>
      <c r="CC29" s="30">
        <v>16.5</v>
      </c>
      <c r="CD29" s="29"/>
      <c r="CF29" s="26">
        <v>0</v>
      </c>
      <c r="CG29" s="30"/>
      <c r="CH29">
        <v>40</v>
      </c>
      <c r="CI29">
        <v>41</v>
      </c>
      <c r="CJ29" s="26">
        <v>-1</v>
      </c>
      <c r="CK29" s="30"/>
      <c r="CL29" s="29"/>
      <c r="CM29">
        <v>16</v>
      </c>
      <c r="CO29">
        <v>16</v>
      </c>
      <c r="CP29" s="25">
        <v>-32</v>
      </c>
      <c r="CQ29" s="30">
        <v>31.75</v>
      </c>
      <c r="CR29" s="29"/>
      <c r="CT29" s="26">
        <v>0</v>
      </c>
      <c r="CU29" s="30"/>
      <c r="CX29">
        <v>40</v>
      </c>
      <c r="CY29">
        <v>38</v>
      </c>
      <c r="CZ29" s="26">
        <v>2</v>
      </c>
      <c r="DA29" s="30"/>
      <c r="DB29">
        <v>24</v>
      </c>
      <c r="DC29">
        <v>22</v>
      </c>
      <c r="DD29" s="26">
        <v>2</v>
      </c>
      <c r="DE29" s="30"/>
      <c r="DF29" s="29"/>
      <c r="DH29" s="26">
        <v>0</v>
      </c>
      <c r="DI29" s="30"/>
      <c r="DJ29" s="32">
        <v>40</v>
      </c>
      <c r="DK29">
        <v>41</v>
      </c>
      <c r="DL29" s="26">
        <v>-1</v>
      </c>
      <c r="DM29" s="30"/>
      <c r="DP29" s="26">
        <v>0</v>
      </c>
      <c r="DQ29" s="30"/>
      <c r="DR29" s="29"/>
      <c r="DU29" s="26">
        <v>0</v>
      </c>
      <c r="DV29" s="30"/>
      <c r="DW29" s="29"/>
      <c r="DZ29">
        <v>8</v>
      </c>
      <c r="EA29" s="25">
        <v>-8</v>
      </c>
      <c r="EB29" s="30">
        <v>2</v>
      </c>
      <c r="EC29" s="32">
        <v>40</v>
      </c>
      <c r="EE29">
        <v>43</v>
      </c>
      <c r="EF29" s="26">
        <v>-3</v>
      </c>
      <c r="EG29" s="30"/>
      <c r="EJ29" s="26">
        <v>0</v>
      </c>
      <c r="EK29" s="30"/>
      <c r="EL29" s="32">
        <v>8</v>
      </c>
      <c r="EM29" s="26">
        <v>8</v>
      </c>
      <c r="EN29" s="26">
        <v>0</v>
      </c>
      <c r="EO29" s="30"/>
      <c r="EP29" s="32">
        <v>32</v>
      </c>
      <c r="EQ29" s="26">
        <v>32.200000000000003</v>
      </c>
      <c r="ER29" s="26">
        <v>-0.20000000000000279</v>
      </c>
      <c r="ES29" s="30"/>
      <c r="ET29" s="29"/>
      <c r="EV29" s="26">
        <v>0</v>
      </c>
      <c r="EW29" s="30"/>
      <c r="EX29">
        <v>8</v>
      </c>
      <c r="EY29" s="28">
        <v>8.6000000000000014</v>
      </c>
      <c r="EZ29" s="26">
        <v>-0.60000000000000142</v>
      </c>
      <c r="FA29" s="30"/>
      <c r="FD29" s="26">
        <v>0</v>
      </c>
      <c r="FE29" s="30"/>
      <c r="FF29" s="29"/>
      <c r="FI29" s="26">
        <v>0</v>
      </c>
      <c r="FJ29" s="30"/>
      <c r="FK29" s="29"/>
      <c r="FN29" s="26">
        <v>0</v>
      </c>
      <c r="FO29" s="30"/>
      <c r="FR29" s="26">
        <v>0</v>
      </c>
      <c r="FS29" s="30"/>
      <c r="FT29" s="29"/>
      <c r="FW29">
        <v>56</v>
      </c>
      <c r="FX29">
        <v>59</v>
      </c>
      <c r="FY29" s="26">
        <v>-3</v>
      </c>
      <c r="FZ29" s="30"/>
      <c r="GC29" s="26">
        <v>0</v>
      </c>
      <c r="GD29" s="30"/>
      <c r="GE29" s="29"/>
      <c r="GI29" s="26">
        <v>0</v>
      </c>
      <c r="GJ29" s="30"/>
      <c r="GO29" s="26">
        <v>0</v>
      </c>
      <c r="GP29" s="30"/>
      <c r="GS29" s="26">
        <v>0</v>
      </c>
      <c r="GT29" s="30"/>
      <c r="GU29" s="32">
        <v>40</v>
      </c>
      <c r="GV29">
        <v>40</v>
      </c>
      <c r="GW29" s="26">
        <v>0</v>
      </c>
      <c r="GX29" s="30"/>
      <c r="GY29" s="29"/>
      <c r="HA29" s="26">
        <v>0</v>
      </c>
      <c r="HB29" s="30"/>
      <c r="HC29">
        <v>8</v>
      </c>
      <c r="HD29">
        <v>8</v>
      </c>
      <c r="HE29" s="26">
        <v>0</v>
      </c>
      <c r="HF29" s="30"/>
      <c r="HG29" s="32">
        <v>8</v>
      </c>
      <c r="HH29">
        <v>12</v>
      </c>
      <c r="HI29" s="26">
        <v>-4</v>
      </c>
      <c r="HJ29" s="30"/>
      <c r="HK29" s="29"/>
      <c r="HM29" s="26">
        <v>0</v>
      </c>
      <c r="HN29" s="30"/>
      <c r="HQ29" s="26">
        <v>0</v>
      </c>
      <c r="HR29" s="33"/>
      <c r="HU29" s="26">
        <v>0</v>
      </c>
      <c r="HV29" s="30"/>
      <c r="HY29" s="26">
        <v>0</v>
      </c>
      <c r="HZ29" s="33"/>
      <c r="IC29" s="26">
        <v>0</v>
      </c>
      <c r="ID29" s="30"/>
      <c r="IG29" s="26">
        <v>0</v>
      </c>
      <c r="IH29" s="33"/>
      <c r="IK29" s="26">
        <v>0</v>
      </c>
      <c r="IL29" s="30"/>
      <c r="IM29" s="31"/>
      <c r="IO29" s="26">
        <v>0</v>
      </c>
      <c r="IP29" s="33"/>
      <c r="IS29" s="26">
        <v>0</v>
      </c>
      <c r="IT29" s="33"/>
      <c r="IW29" s="26">
        <v>0</v>
      </c>
      <c r="IX29" s="33"/>
      <c r="JA29" s="26">
        <v>0</v>
      </c>
      <c r="JB29" s="30"/>
      <c r="JC29">
        <v>32</v>
      </c>
      <c r="JD29">
        <v>30</v>
      </c>
      <c r="JE29">
        <v>32</v>
      </c>
      <c r="JF29">
        <v>30</v>
      </c>
      <c r="JG29" s="26">
        <v>4</v>
      </c>
      <c r="JH29" s="33"/>
      <c r="JI29" s="28">
        <v>48</v>
      </c>
      <c r="JJ29" s="28">
        <v>50</v>
      </c>
      <c r="JK29" s="26">
        <v>-2</v>
      </c>
      <c r="JL29" s="33"/>
      <c r="JM29" s="28">
        <v>32</v>
      </c>
      <c r="JN29" s="28">
        <v>31.2</v>
      </c>
      <c r="JO29" s="26">
        <v>0.79999999999999716</v>
      </c>
      <c r="JP29" s="33"/>
      <c r="JQ29" s="31">
        <v>0</v>
      </c>
      <c r="JR29" s="28">
        <v>0</v>
      </c>
      <c r="JS29" s="26">
        <v>0</v>
      </c>
      <c r="JT29" s="33"/>
    </row>
    <row r="30" spans="1:280" x14ac:dyDescent="0.25">
      <c r="A30" s="26" t="s">
        <v>181</v>
      </c>
      <c r="B30" s="27">
        <v>0.25</v>
      </c>
      <c r="I30" s="29"/>
      <c r="J30" s="35"/>
      <c r="K30" s="40"/>
      <c r="L30" s="35"/>
      <c r="M30" s="35">
        <f t="shared" si="6"/>
        <v>0</v>
      </c>
      <c r="N30" s="30"/>
      <c r="O30" s="29"/>
      <c r="P30" s="35"/>
      <c r="Q30" s="35"/>
      <c r="R30" s="35"/>
      <c r="S30" s="35">
        <f t="shared" si="7"/>
        <v>0</v>
      </c>
      <c r="T30" s="30"/>
      <c r="U30" s="29"/>
      <c r="V30" s="40"/>
      <c r="W30" s="35"/>
      <c r="X30" s="35"/>
      <c r="Y30" s="35"/>
      <c r="Z30" s="35"/>
      <c r="AA30" s="35">
        <f t="shared" si="8"/>
        <v>0</v>
      </c>
      <c r="AB30" s="30"/>
      <c r="AC30" s="29"/>
      <c r="AD30" s="35"/>
      <c r="AE30" s="35"/>
      <c r="AF30" s="35"/>
      <c r="AG30" s="35">
        <v>0</v>
      </c>
      <c r="AH30" s="30"/>
      <c r="AI30" s="35"/>
      <c r="AM30" s="26">
        <v>0</v>
      </c>
      <c r="AN30" s="30"/>
      <c r="AO30" s="31"/>
      <c r="AS30" s="26">
        <v>0</v>
      </c>
      <c r="AT30" s="30"/>
      <c r="AY30" s="26">
        <v>0</v>
      </c>
      <c r="AZ30" s="30"/>
      <c r="BC30">
        <v>16</v>
      </c>
      <c r="BD30" s="25">
        <v>-16</v>
      </c>
      <c r="BE30" s="30">
        <v>4</v>
      </c>
      <c r="BF30" s="29"/>
      <c r="BG30">
        <v>24</v>
      </c>
      <c r="BH30" s="25">
        <v>-24</v>
      </c>
      <c r="BI30" s="30">
        <v>6</v>
      </c>
      <c r="BJ30" s="29"/>
      <c r="BK30">
        <v>27</v>
      </c>
      <c r="BL30" s="25">
        <v>-27</v>
      </c>
      <c r="BM30" s="30">
        <v>6.75</v>
      </c>
      <c r="BO30">
        <v>8</v>
      </c>
      <c r="BP30" s="25">
        <v>-8</v>
      </c>
      <c r="BQ30" s="30">
        <v>2</v>
      </c>
      <c r="BR30" s="29"/>
      <c r="BS30">
        <v>8</v>
      </c>
      <c r="BT30" s="25">
        <v>-8</v>
      </c>
      <c r="BU30" s="30">
        <v>2</v>
      </c>
      <c r="BV30">
        <v>24</v>
      </c>
      <c r="BW30">
        <v>22</v>
      </c>
      <c r="BX30" s="26">
        <v>2</v>
      </c>
      <c r="BY30" s="30"/>
      <c r="BZ30" s="29"/>
      <c r="CB30" s="26">
        <v>0</v>
      </c>
      <c r="CC30" s="30"/>
      <c r="CD30" s="29"/>
      <c r="CE30" s="26">
        <v>10</v>
      </c>
      <c r="CF30" s="25">
        <v>-10</v>
      </c>
      <c r="CG30" s="30">
        <v>2.5</v>
      </c>
      <c r="CJ30" s="26">
        <v>0</v>
      </c>
      <c r="CK30" s="30"/>
      <c r="CL30" s="29"/>
      <c r="CP30" s="26">
        <v>0</v>
      </c>
      <c r="CQ30" s="30"/>
      <c r="CR30" s="32">
        <v>24</v>
      </c>
      <c r="CS30">
        <v>24</v>
      </c>
      <c r="CT30" s="26">
        <v>0</v>
      </c>
      <c r="CU30" s="30"/>
      <c r="CZ30" s="26">
        <v>0</v>
      </c>
      <c r="DA30" s="30"/>
      <c r="DC30">
        <v>32</v>
      </c>
      <c r="DD30" s="25">
        <v>-32</v>
      </c>
      <c r="DE30" s="30">
        <v>8</v>
      </c>
      <c r="DF30" s="29"/>
      <c r="DH30" s="26">
        <v>0</v>
      </c>
      <c r="DI30" s="30"/>
      <c r="DJ30" s="29"/>
      <c r="DK30">
        <v>32</v>
      </c>
      <c r="DL30" s="25">
        <v>-32</v>
      </c>
      <c r="DM30" s="30">
        <v>8</v>
      </c>
      <c r="DP30" s="26">
        <v>0</v>
      </c>
      <c r="DQ30" s="30"/>
      <c r="DR30" s="29"/>
      <c r="DU30" s="26">
        <v>0</v>
      </c>
      <c r="DV30" s="30"/>
      <c r="DW30" s="29"/>
      <c r="EA30" s="26">
        <v>0</v>
      </c>
      <c r="EB30" s="30"/>
      <c r="EC30" s="29"/>
      <c r="EG30" s="33"/>
      <c r="EK30" s="30"/>
      <c r="EL30" s="32"/>
      <c r="EO30" s="30"/>
      <c r="EP30" s="32"/>
      <c r="ES30" s="30"/>
      <c r="ET30" s="29"/>
      <c r="EW30" s="30"/>
      <c r="FA30" s="30"/>
      <c r="FE30" s="30"/>
      <c r="FF30" s="29"/>
      <c r="FJ30" s="30"/>
      <c r="FK30" s="29"/>
      <c r="FO30" s="30"/>
      <c r="FS30" s="30"/>
      <c r="FT30" s="29"/>
      <c r="FZ30" s="30"/>
      <c r="GD30" s="30"/>
      <c r="GE30" s="29"/>
      <c r="GH30" s="27"/>
      <c r="GJ30" s="30"/>
      <c r="GP30" s="30"/>
      <c r="GQ30" s="28"/>
      <c r="GT30" s="30"/>
      <c r="GU30" s="32"/>
      <c r="GX30" s="30"/>
      <c r="GY30" s="29"/>
      <c r="HB30" s="30"/>
      <c r="HF30" s="30"/>
      <c r="HG30" s="32"/>
      <c r="HJ30" s="30"/>
      <c r="HK30" s="29"/>
      <c r="HN30" s="30"/>
      <c r="HR30" s="33"/>
      <c r="HV30" s="30"/>
      <c r="HZ30" s="33"/>
      <c r="ID30" s="30"/>
      <c r="IH30" s="33"/>
      <c r="IL30" s="30"/>
      <c r="IM30" s="31"/>
      <c r="IP30" s="33"/>
      <c r="IT30" s="33"/>
      <c r="IX30" s="33"/>
      <c r="JB30" s="30"/>
      <c r="JH30" s="33"/>
      <c r="JI30" s="28"/>
      <c r="JJ30" s="28"/>
      <c r="JL30" s="33"/>
      <c r="JM30" s="28"/>
      <c r="JN30" s="28"/>
      <c r="JP30" s="33"/>
      <c r="JQ30" s="31"/>
      <c r="JR30" s="28"/>
      <c r="JT30" s="33"/>
    </row>
    <row r="31" spans="1:280" x14ac:dyDescent="0.25">
      <c r="A31" s="26" t="s">
        <v>182</v>
      </c>
      <c r="B31" s="27">
        <v>1</v>
      </c>
      <c r="I31" s="29"/>
      <c r="J31" s="35"/>
      <c r="K31" s="40"/>
      <c r="L31" s="35"/>
      <c r="M31" s="35">
        <f t="shared" si="6"/>
        <v>0</v>
      </c>
      <c r="N31" s="30"/>
      <c r="O31" s="29"/>
      <c r="P31" s="35"/>
      <c r="Q31" s="35"/>
      <c r="R31" s="35"/>
      <c r="S31" s="35">
        <f t="shared" si="7"/>
        <v>0</v>
      </c>
      <c r="T31" s="30"/>
      <c r="U31" s="29"/>
      <c r="V31" s="40"/>
      <c r="W31" s="35"/>
      <c r="X31" s="35"/>
      <c r="Y31" s="35"/>
      <c r="Z31" s="35"/>
      <c r="AA31" s="35">
        <f t="shared" si="8"/>
        <v>0</v>
      </c>
      <c r="AB31" s="30"/>
      <c r="AC31" s="29"/>
      <c r="AD31" s="35"/>
      <c r="AE31" s="35"/>
      <c r="AF31" s="35"/>
      <c r="AG31" s="35">
        <v>0</v>
      </c>
      <c r="AH31" s="30"/>
      <c r="AI31" s="35"/>
      <c r="AM31" s="26">
        <v>0</v>
      </c>
      <c r="AN31" s="30"/>
      <c r="AO31" s="31"/>
      <c r="AS31" s="26">
        <v>0</v>
      </c>
      <c r="AT31" s="30"/>
      <c r="AY31" s="26">
        <v>0</v>
      </c>
      <c r="AZ31" s="30"/>
      <c r="BD31" s="26">
        <v>0</v>
      </c>
      <c r="BE31" s="30"/>
      <c r="BF31" s="29"/>
      <c r="BH31" s="26">
        <v>0</v>
      </c>
      <c r="BI31" s="30"/>
      <c r="BJ31" s="29"/>
      <c r="BL31" s="26">
        <v>0</v>
      </c>
      <c r="BM31" s="30"/>
      <c r="BP31" s="26">
        <v>0</v>
      </c>
      <c r="BQ31" s="30"/>
      <c r="BR31" s="29"/>
      <c r="BT31" s="26">
        <v>0</v>
      </c>
      <c r="BU31" s="30"/>
      <c r="BX31" s="26">
        <v>0</v>
      </c>
      <c r="BY31" s="30"/>
      <c r="BZ31" s="29"/>
      <c r="CB31" s="26">
        <v>0</v>
      </c>
      <c r="CC31" s="30"/>
      <c r="CD31" s="29"/>
      <c r="CF31" s="26">
        <v>0</v>
      </c>
      <c r="CG31" s="30"/>
      <c r="CJ31" s="26">
        <v>0</v>
      </c>
      <c r="CK31" s="30"/>
      <c r="CL31" s="29"/>
      <c r="CP31" s="26">
        <v>0</v>
      </c>
      <c r="CQ31" s="30"/>
      <c r="CR31" s="29"/>
      <c r="CT31" s="26">
        <v>0</v>
      </c>
      <c r="CU31" s="30"/>
      <c r="CZ31" s="26">
        <v>0</v>
      </c>
      <c r="DA31" s="30"/>
      <c r="DD31" s="26">
        <v>0</v>
      </c>
      <c r="DE31" s="30"/>
      <c r="DF31" s="29"/>
      <c r="DH31" s="26">
        <v>0</v>
      </c>
      <c r="DI31" s="30"/>
      <c r="DJ31" s="29"/>
      <c r="DL31" s="26">
        <v>0</v>
      </c>
      <c r="DM31" s="30"/>
      <c r="DP31" s="26">
        <v>0</v>
      </c>
      <c r="DQ31" s="30"/>
      <c r="DR31" s="29"/>
      <c r="DU31" s="26">
        <v>0</v>
      </c>
      <c r="DV31" s="30"/>
      <c r="DW31" s="29"/>
      <c r="EA31" s="26">
        <v>0</v>
      </c>
      <c r="EB31" s="30"/>
      <c r="EC31" s="29"/>
      <c r="EF31" s="26">
        <v>0</v>
      </c>
      <c r="EG31" s="30"/>
      <c r="EJ31" s="26">
        <v>0</v>
      </c>
      <c r="EK31" s="30"/>
      <c r="EL31" s="31"/>
      <c r="EN31" s="26">
        <v>0</v>
      </c>
      <c r="EO31" s="30"/>
      <c r="EP31" s="29"/>
      <c r="ER31" s="26">
        <v>0</v>
      </c>
      <c r="ES31" s="30"/>
      <c r="ET31" s="29"/>
      <c r="EV31" s="26">
        <v>0</v>
      </c>
      <c r="EW31" s="30"/>
      <c r="EZ31" s="26">
        <v>0</v>
      </c>
      <c r="FA31" s="30"/>
      <c r="FD31" s="26">
        <v>0</v>
      </c>
      <c r="FE31" s="30"/>
      <c r="FF31" s="29"/>
      <c r="FI31" s="26">
        <v>0</v>
      </c>
      <c r="FJ31" s="30"/>
      <c r="FK31" s="29"/>
      <c r="FN31" s="26">
        <v>0</v>
      </c>
      <c r="FO31" s="30"/>
      <c r="FR31" s="26">
        <v>0</v>
      </c>
      <c r="FS31" s="30"/>
      <c r="FT31" s="29"/>
      <c r="FY31" s="26">
        <v>0</v>
      </c>
      <c r="FZ31" s="30"/>
      <c r="GC31" s="26">
        <v>0</v>
      </c>
      <c r="GD31" s="30"/>
      <c r="GE31" s="29"/>
      <c r="GI31" s="26">
        <v>0</v>
      </c>
      <c r="GJ31" s="30"/>
      <c r="GM31">
        <v>41</v>
      </c>
      <c r="GN31">
        <v>40</v>
      </c>
      <c r="GO31" s="26">
        <v>1</v>
      </c>
      <c r="GP31" s="30"/>
      <c r="GS31" s="26">
        <v>0</v>
      </c>
      <c r="GT31" s="30"/>
      <c r="GU31" s="29"/>
      <c r="GW31" s="26">
        <v>0</v>
      </c>
      <c r="GX31" s="30"/>
      <c r="GY31" s="29"/>
      <c r="HA31" s="26">
        <v>0</v>
      </c>
      <c r="HB31" s="30"/>
      <c r="HC31">
        <v>4</v>
      </c>
      <c r="HD31">
        <v>5</v>
      </c>
      <c r="HE31" s="26">
        <v>-1</v>
      </c>
      <c r="HF31" s="30"/>
      <c r="HG31" s="32">
        <v>36</v>
      </c>
      <c r="HH31">
        <v>36</v>
      </c>
      <c r="HI31" s="26">
        <v>0</v>
      </c>
      <c r="HJ31" s="30"/>
      <c r="HK31" s="29"/>
      <c r="HM31" s="26">
        <v>0</v>
      </c>
      <c r="HN31" s="30"/>
      <c r="HQ31" s="26">
        <v>0</v>
      </c>
      <c r="HR31" s="33"/>
      <c r="HS31">
        <v>20</v>
      </c>
      <c r="HT31">
        <v>18</v>
      </c>
      <c r="HU31" s="26">
        <v>2</v>
      </c>
      <c r="HV31" s="30"/>
      <c r="HY31" s="26">
        <v>0</v>
      </c>
      <c r="HZ31" s="33"/>
      <c r="IC31" s="26">
        <v>0</v>
      </c>
      <c r="ID31" s="30"/>
      <c r="IG31" s="26">
        <v>0</v>
      </c>
      <c r="IH31" s="33"/>
      <c r="II31">
        <v>16</v>
      </c>
      <c r="IJ31" s="28">
        <v>14.9476</v>
      </c>
      <c r="IK31" s="26">
        <v>1.0524</v>
      </c>
      <c r="IL31" s="30"/>
      <c r="IM31" s="31"/>
      <c r="IO31" s="26">
        <v>0</v>
      </c>
      <c r="IP31" s="33"/>
      <c r="IS31" s="26">
        <v>0</v>
      </c>
      <c r="IT31" s="33"/>
      <c r="IU31">
        <v>12</v>
      </c>
      <c r="IV31">
        <v>10</v>
      </c>
      <c r="IW31" s="26">
        <v>-2</v>
      </c>
      <c r="IX31" s="33"/>
      <c r="JA31" s="26">
        <v>0</v>
      </c>
      <c r="JB31" s="30"/>
      <c r="JC31" s="27"/>
      <c r="JE31">
        <v>63</v>
      </c>
      <c r="JF31">
        <v>63</v>
      </c>
      <c r="JG31" s="26">
        <v>0</v>
      </c>
      <c r="JH31" s="33"/>
      <c r="JI31" s="28">
        <v>52.051000000000002</v>
      </c>
      <c r="JJ31" s="28">
        <v>50</v>
      </c>
      <c r="JK31" s="26">
        <v>2.0510000000000019</v>
      </c>
      <c r="JL31" s="33"/>
      <c r="JM31" s="28">
        <v>0</v>
      </c>
      <c r="JN31" s="28">
        <v>0</v>
      </c>
      <c r="JO31" s="26">
        <v>0</v>
      </c>
      <c r="JP31" s="33"/>
      <c r="JQ31" s="31">
        <v>0</v>
      </c>
      <c r="JR31" s="28">
        <v>0</v>
      </c>
      <c r="JS31" s="26">
        <v>0</v>
      </c>
      <c r="JT31" s="33"/>
    </row>
    <row r="32" spans="1:280" x14ac:dyDescent="0.25">
      <c r="A32" s="26" t="s">
        <v>183</v>
      </c>
      <c r="B32" s="27">
        <v>0.4</v>
      </c>
      <c r="E32">
        <v>18</v>
      </c>
      <c r="I32" s="29"/>
      <c r="J32" s="35"/>
      <c r="K32" s="40"/>
      <c r="L32" s="35"/>
      <c r="M32" s="35">
        <f t="shared" si="6"/>
        <v>0</v>
      </c>
      <c r="N32" s="30"/>
      <c r="O32" s="29"/>
      <c r="P32" s="35"/>
      <c r="Q32" s="35"/>
      <c r="R32" s="36">
        <v>33</v>
      </c>
      <c r="S32" s="41">
        <f t="shared" si="7"/>
        <v>-33</v>
      </c>
      <c r="T32" s="30">
        <f>-1*S32*B32</f>
        <v>13.200000000000001</v>
      </c>
      <c r="U32" s="29"/>
      <c r="V32" s="40"/>
      <c r="W32" s="35"/>
      <c r="X32" s="36">
        <v>80</v>
      </c>
      <c r="Y32" s="35"/>
      <c r="Z32" s="36">
        <v>87</v>
      </c>
      <c r="AA32" s="35">
        <f t="shared" si="8"/>
        <v>-7</v>
      </c>
      <c r="AB32" s="30"/>
      <c r="AC32" s="29"/>
      <c r="AD32" s="35"/>
      <c r="AE32" s="36">
        <v>16</v>
      </c>
      <c r="AF32" s="40">
        <v>16</v>
      </c>
      <c r="AG32" s="35">
        <v>0</v>
      </c>
      <c r="AH32" s="30"/>
      <c r="AI32" s="35"/>
      <c r="AK32">
        <v>72</v>
      </c>
      <c r="AL32">
        <v>75</v>
      </c>
      <c r="AM32" s="26">
        <v>-3</v>
      </c>
      <c r="AN32" s="30"/>
      <c r="AO32" s="31"/>
      <c r="AS32" s="26">
        <v>0</v>
      </c>
      <c r="AT32" s="30"/>
      <c r="AU32">
        <v>24</v>
      </c>
      <c r="AV32">
        <v>30</v>
      </c>
      <c r="AW32">
        <v>48</v>
      </c>
      <c r="AX32">
        <v>49</v>
      </c>
      <c r="AY32" s="26">
        <v>-7</v>
      </c>
      <c r="AZ32" s="30"/>
      <c r="BD32" s="26">
        <v>0</v>
      </c>
      <c r="BE32" s="30"/>
      <c r="BF32" s="32">
        <v>72</v>
      </c>
      <c r="BG32">
        <v>71</v>
      </c>
      <c r="BH32" s="26">
        <v>1</v>
      </c>
      <c r="BI32" s="30"/>
      <c r="BJ32" s="29"/>
      <c r="BL32" s="26">
        <v>0</v>
      </c>
      <c r="BM32" s="30"/>
      <c r="BN32">
        <v>40</v>
      </c>
      <c r="BO32">
        <v>40</v>
      </c>
      <c r="BP32" s="26">
        <v>0</v>
      </c>
      <c r="BQ32" s="30"/>
      <c r="BR32" s="32">
        <v>8</v>
      </c>
      <c r="BS32">
        <v>10</v>
      </c>
      <c r="BT32" s="26">
        <v>-2</v>
      </c>
      <c r="BU32" s="30"/>
      <c r="BW32">
        <v>87</v>
      </c>
      <c r="BX32" s="25">
        <v>-87</v>
      </c>
      <c r="BY32" s="30">
        <v>34.799999999999997</v>
      </c>
      <c r="BZ32" s="29"/>
      <c r="CB32" s="26">
        <v>0</v>
      </c>
      <c r="CC32" s="30"/>
      <c r="CD32" s="32">
        <v>48</v>
      </c>
      <c r="CE32">
        <v>49</v>
      </c>
      <c r="CF32" s="26">
        <v>-1</v>
      </c>
      <c r="CG32" s="30"/>
      <c r="CJ32" s="26">
        <v>0</v>
      </c>
      <c r="CK32" s="30"/>
      <c r="CL32" s="29"/>
      <c r="CN32">
        <v>40</v>
      </c>
      <c r="CO32">
        <v>39</v>
      </c>
      <c r="CP32" s="26">
        <v>1</v>
      </c>
      <c r="CQ32" s="30"/>
      <c r="CR32" s="32">
        <v>32</v>
      </c>
      <c r="CS32">
        <v>35</v>
      </c>
      <c r="CT32" s="26">
        <v>-3</v>
      </c>
      <c r="CU32" s="30"/>
      <c r="CX32">
        <v>40</v>
      </c>
      <c r="CY32">
        <v>42</v>
      </c>
      <c r="CZ32" s="26">
        <v>-2</v>
      </c>
      <c r="DA32" s="30"/>
      <c r="DD32" s="26">
        <v>0</v>
      </c>
      <c r="DE32" s="30"/>
      <c r="DF32" s="32">
        <v>16</v>
      </c>
      <c r="DG32">
        <v>14</v>
      </c>
      <c r="DH32" s="26">
        <v>2</v>
      </c>
      <c r="DI32" s="30"/>
      <c r="DJ32" s="32">
        <v>56</v>
      </c>
      <c r="DK32">
        <v>56</v>
      </c>
      <c r="DL32" s="26">
        <v>0</v>
      </c>
      <c r="DM32" s="30"/>
      <c r="DP32" s="26">
        <v>0</v>
      </c>
      <c r="DQ32" s="30"/>
      <c r="DR32" s="29"/>
      <c r="DU32" s="26">
        <v>0</v>
      </c>
      <c r="DV32" s="30"/>
      <c r="DW32" s="29"/>
      <c r="DY32">
        <v>40</v>
      </c>
      <c r="DZ32">
        <v>41</v>
      </c>
      <c r="EA32" s="26">
        <v>-1</v>
      </c>
      <c r="EB32" s="30"/>
      <c r="EC32" s="32">
        <v>32</v>
      </c>
      <c r="EE32">
        <v>31</v>
      </c>
      <c r="EF32" s="26">
        <v>1</v>
      </c>
      <c r="EG32" s="30"/>
      <c r="EH32">
        <v>32</v>
      </c>
      <c r="EI32" s="26">
        <v>32.599999999999987</v>
      </c>
      <c r="EJ32" s="26">
        <v>-0.59999999999998721</v>
      </c>
      <c r="EK32" s="30"/>
      <c r="EL32" s="31"/>
      <c r="EN32" s="26">
        <v>0</v>
      </c>
      <c r="EO32" s="30"/>
      <c r="EP32" s="29"/>
      <c r="ER32" s="26">
        <v>0</v>
      </c>
      <c r="ES32" s="30"/>
      <c r="ET32" s="32">
        <v>48</v>
      </c>
      <c r="EU32">
        <v>48</v>
      </c>
      <c r="EV32" s="26">
        <v>0</v>
      </c>
      <c r="EW32" s="30"/>
      <c r="EZ32" s="26">
        <v>0</v>
      </c>
      <c r="FA32" s="30"/>
      <c r="FB32">
        <v>32</v>
      </c>
      <c r="FC32">
        <v>30</v>
      </c>
      <c r="FD32" s="26">
        <v>2</v>
      </c>
      <c r="FE32" s="30"/>
      <c r="FF32" s="32">
        <v>8</v>
      </c>
      <c r="FH32">
        <v>9</v>
      </c>
      <c r="FI32" s="26">
        <v>-1</v>
      </c>
      <c r="FJ32" s="30"/>
      <c r="FK32" s="29"/>
      <c r="FN32" s="26">
        <v>0</v>
      </c>
      <c r="FO32" s="30"/>
      <c r="FP32">
        <v>48</v>
      </c>
      <c r="FQ32" s="28">
        <v>50</v>
      </c>
      <c r="FR32" s="26">
        <v>-2</v>
      </c>
      <c r="FS32" s="30"/>
      <c r="FT32" s="29"/>
      <c r="FY32" s="26">
        <v>0</v>
      </c>
      <c r="FZ32" s="30"/>
      <c r="GA32">
        <v>32</v>
      </c>
      <c r="GB32" s="28">
        <v>36.600000000000009</v>
      </c>
      <c r="GC32" s="26">
        <v>-4.6000000000000094</v>
      </c>
      <c r="GD32" s="30"/>
      <c r="GE32" s="29"/>
      <c r="GI32" s="26">
        <v>0</v>
      </c>
      <c r="GJ32" s="30"/>
      <c r="GK32">
        <v>16</v>
      </c>
      <c r="GL32">
        <v>20</v>
      </c>
      <c r="GM32">
        <v>56</v>
      </c>
      <c r="GN32">
        <v>60</v>
      </c>
      <c r="GO32" s="26">
        <v>-8</v>
      </c>
      <c r="GP32" s="30"/>
      <c r="GS32" s="26">
        <v>0</v>
      </c>
      <c r="GT32" s="30"/>
      <c r="GU32" s="32">
        <v>40</v>
      </c>
      <c r="GV32">
        <v>42</v>
      </c>
      <c r="GW32" s="26">
        <v>-2</v>
      </c>
      <c r="GX32" s="30"/>
      <c r="GY32" s="32">
        <v>24</v>
      </c>
      <c r="GZ32">
        <v>24</v>
      </c>
      <c r="HA32" s="26">
        <v>0</v>
      </c>
      <c r="HB32" s="30"/>
      <c r="HC32">
        <v>16</v>
      </c>
      <c r="HD32">
        <v>15</v>
      </c>
      <c r="HE32" s="26">
        <v>1</v>
      </c>
      <c r="HF32" s="30"/>
      <c r="HG32" s="32">
        <v>24</v>
      </c>
      <c r="HH32">
        <v>27</v>
      </c>
      <c r="HI32" s="26">
        <v>-3</v>
      </c>
      <c r="HJ32" s="30"/>
      <c r="HK32" s="29"/>
      <c r="HM32" s="26">
        <v>0</v>
      </c>
      <c r="HN32" s="30"/>
      <c r="HQ32" s="26">
        <v>0</v>
      </c>
      <c r="HR32" s="33"/>
      <c r="HS32">
        <v>32</v>
      </c>
      <c r="HT32">
        <v>34</v>
      </c>
      <c r="HU32" s="26">
        <v>-2</v>
      </c>
      <c r="HV32" s="30"/>
      <c r="HW32">
        <v>16</v>
      </c>
      <c r="HX32">
        <v>16</v>
      </c>
      <c r="HY32" s="26">
        <v>0</v>
      </c>
      <c r="HZ32" s="33"/>
      <c r="IA32">
        <v>16</v>
      </c>
      <c r="IB32">
        <v>16</v>
      </c>
      <c r="IC32" s="26">
        <v>0</v>
      </c>
      <c r="ID32" s="30"/>
      <c r="IG32" s="26">
        <v>0</v>
      </c>
      <c r="IH32" s="33"/>
      <c r="IK32" s="26">
        <v>0</v>
      </c>
      <c r="IL32" s="30"/>
      <c r="IM32" s="31"/>
      <c r="IO32" s="26">
        <v>0</v>
      </c>
      <c r="IP32" s="33"/>
      <c r="IQ32">
        <v>40</v>
      </c>
      <c r="IR32">
        <v>40</v>
      </c>
      <c r="IS32" s="26">
        <v>0</v>
      </c>
      <c r="IT32" s="33"/>
      <c r="IW32" s="26">
        <v>0</v>
      </c>
      <c r="IX32" s="33"/>
      <c r="JA32" s="26">
        <v>0</v>
      </c>
      <c r="JB32" s="30"/>
      <c r="JC32" s="27"/>
      <c r="JE32" s="27"/>
      <c r="JG32" s="26">
        <v>0</v>
      </c>
      <c r="JH32" s="33"/>
      <c r="JI32" s="28">
        <v>0</v>
      </c>
      <c r="JJ32" s="28">
        <v>0</v>
      </c>
      <c r="JK32" s="26">
        <v>0</v>
      </c>
      <c r="JL32" s="33"/>
      <c r="JM32" s="28">
        <v>0</v>
      </c>
      <c r="JN32" s="28">
        <v>0</v>
      </c>
      <c r="JO32" s="26">
        <v>0</v>
      </c>
      <c r="JP32" s="33"/>
      <c r="JQ32" s="31">
        <v>0</v>
      </c>
      <c r="JR32" s="28">
        <v>0</v>
      </c>
      <c r="JS32" s="26">
        <v>0</v>
      </c>
      <c r="JT32" s="33"/>
    </row>
    <row r="33" spans="1:280" x14ac:dyDescent="0.25">
      <c r="A33" s="26" t="s">
        <v>184</v>
      </c>
      <c r="B33" s="27">
        <v>1</v>
      </c>
      <c r="I33" s="29"/>
      <c r="J33" s="35"/>
      <c r="K33" s="40"/>
      <c r="L33" s="35"/>
      <c r="M33" s="35">
        <f t="shared" si="6"/>
        <v>0</v>
      </c>
      <c r="N33" s="30"/>
      <c r="O33" s="29"/>
      <c r="P33" s="35"/>
      <c r="Q33" s="35"/>
      <c r="R33" s="35"/>
      <c r="S33" s="35">
        <f t="shared" si="7"/>
        <v>0</v>
      </c>
      <c r="T33" s="30"/>
      <c r="U33" s="29"/>
      <c r="V33" s="40"/>
      <c r="W33" s="35"/>
      <c r="X33" s="35"/>
      <c r="Y33" s="35"/>
      <c r="Z33" s="35"/>
      <c r="AA33" s="35">
        <f t="shared" si="8"/>
        <v>0</v>
      </c>
      <c r="AB33" s="30"/>
      <c r="AC33" s="29"/>
      <c r="AD33" s="35"/>
      <c r="AE33" s="35"/>
      <c r="AF33" s="35"/>
      <c r="AG33" s="35">
        <v>0</v>
      </c>
      <c r="AH33" s="30"/>
      <c r="AI33" s="35"/>
      <c r="AM33" s="26">
        <v>0</v>
      </c>
      <c r="AN33" s="30"/>
      <c r="AO33" s="31"/>
      <c r="AS33" s="26">
        <v>0</v>
      </c>
      <c r="AT33" s="30"/>
      <c r="AY33" s="26">
        <v>0</v>
      </c>
      <c r="AZ33" s="30"/>
      <c r="BD33" s="26">
        <v>0</v>
      </c>
      <c r="BE33" s="30"/>
      <c r="BF33" s="29"/>
      <c r="BH33" s="26">
        <v>0</v>
      </c>
      <c r="BI33" s="30"/>
      <c r="BJ33" s="29"/>
      <c r="BL33" s="26">
        <v>0</v>
      </c>
      <c r="BM33" s="30"/>
      <c r="BP33" s="26">
        <v>0</v>
      </c>
      <c r="BQ33" s="30"/>
      <c r="BR33" s="29"/>
      <c r="BT33" s="26">
        <v>0</v>
      </c>
      <c r="BU33" s="30"/>
      <c r="BX33" s="26">
        <v>0</v>
      </c>
      <c r="BY33" s="30"/>
      <c r="BZ33" s="29"/>
      <c r="CB33" s="26">
        <v>0</v>
      </c>
      <c r="CC33" s="30"/>
      <c r="CD33" s="29"/>
      <c r="CF33" s="26">
        <v>0</v>
      </c>
      <c r="CG33" s="30"/>
      <c r="CJ33" s="26">
        <v>0</v>
      </c>
      <c r="CK33" s="30"/>
      <c r="CL33" s="29"/>
      <c r="CP33" s="26">
        <v>0</v>
      </c>
      <c r="CQ33" s="30"/>
      <c r="CR33" s="29"/>
      <c r="CT33" s="26">
        <v>0</v>
      </c>
      <c r="CU33" s="30"/>
      <c r="CZ33" s="26">
        <v>0</v>
      </c>
      <c r="DA33" s="30"/>
      <c r="DD33" s="26">
        <v>0</v>
      </c>
      <c r="DE33" s="30"/>
      <c r="DF33" s="29"/>
      <c r="DH33" s="26">
        <v>0</v>
      </c>
      <c r="DI33" s="30"/>
      <c r="DJ33" s="29"/>
      <c r="DL33" s="26">
        <v>0</v>
      </c>
      <c r="DM33" s="30"/>
      <c r="DP33" s="26">
        <v>0</v>
      </c>
      <c r="DQ33" s="30"/>
      <c r="DR33" s="29"/>
      <c r="DU33" s="26">
        <v>0</v>
      </c>
      <c r="DV33" s="30"/>
      <c r="DW33" s="29"/>
      <c r="EA33" s="26">
        <v>0</v>
      </c>
      <c r="EB33" s="30"/>
      <c r="EC33" s="29"/>
      <c r="EF33" s="26">
        <v>0</v>
      </c>
      <c r="EG33" s="30"/>
      <c r="EJ33" s="26">
        <v>0</v>
      </c>
      <c r="EK33" s="30"/>
      <c r="EL33" s="31"/>
      <c r="EN33" s="26">
        <v>0</v>
      </c>
      <c r="EO33" s="30"/>
      <c r="EP33" s="29"/>
      <c r="ER33" s="26">
        <v>0</v>
      </c>
      <c r="ES33" s="30"/>
      <c r="ET33" s="29"/>
      <c r="EV33" s="26">
        <v>0</v>
      </c>
      <c r="EW33" s="30"/>
      <c r="EZ33" s="26">
        <v>0</v>
      </c>
      <c r="FA33" s="30"/>
      <c r="FD33" s="26">
        <v>0</v>
      </c>
      <c r="FE33" s="30"/>
      <c r="FF33" s="29"/>
      <c r="FI33" s="26">
        <v>0</v>
      </c>
      <c r="FJ33" s="30"/>
      <c r="FK33" s="29"/>
      <c r="FN33" s="26">
        <v>0</v>
      </c>
      <c r="FO33" s="30"/>
      <c r="FR33" s="26">
        <v>0</v>
      </c>
      <c r="FS33" s="30"/>
      <c r="FT33" s="29"/>
      <c r="FY33" s="26">
        <v>0</v>
      </c>
      <c r="FZ33" s="30"/>
      <c r="GC33" s="26">
        <v>0</v>
      </c>
      <c r="GD33" s="30"/>
      <c r="GE33" s="29"/>
      <c r="GI33" s="26">
        <v>0</v>
      </c>
      <c r="GJ33" s="30"/>
      <c r="GO33" s="26">
        <v>0</v>
      </c>
      <c r="GP33" s="30"/>
      <c r="GS33" s="26">
        <v>0</v>
      </c>
      <c r="GT33" s="30"/>
      <c r="GU33" s="29"/>
      <c r="GW33" s="26">
        <v>0</v>
      </c>
      <c r="GX33" s="30"/>
      <c r="GY33" s="29"/>
      <c r="HA33" s="26">
        <v>0</v>
      </c>
      <c r="HB33" s="30"/>
      <c r="HE33" s="26">
        <v>0</v>
      </c>
      <c r="HF33" s="30"/>
      <c r="HG33" s="29"/>
      <c r="HI33" s="26">
        <v>0</v>
      </c>
      <c r="HJ33" s="30"/>
      <c r="HK33" s="29"/>
      <c r="HM33" s="26">
        <v>0</v>
      </c>
      <c r="HN33" s="30"/>
      <c r="HQ33" s="26">
        <v>0</v>
      </c>
      <c r="HR33" s="33"/>
      <c r="HU33" s="26">
        <v>0</v>
      </c>
      <c r="HV33" s="30"/>
      <c r="HY33" s="26">
        <v>0</v>
      </c>
      <c r="HZ33" s="33"/>
      <c r="IC33" s="26">
        <v>0</v>
      </c>
      <c r="ID33" s="30"/>
      <c r="IG33" s="26">
        <v>0</v>
      </c>
      <c r="IH33" s="33"/>
      <c r="IK33" s="26">
        <v>0</v>
      </c>
      <c r="IL33" s="30"/>
      <c r="IM33" s="31"/>
      <c r="IO33" s="26">
        <v>0</v>
      </c>
      <c r="IP33" s="33"/>
      <c r="IS33" s="26">
        <v>0</v>
      </c>
      <c r="IT33" s="33"/>
      <c r="IW33" s="26">
        <v>0</v>
      </c>
      <c r="IX33" s="33"/>
      <c r="JA33" s="26">
        <v>0</v>
      </c>
      <c r="JB33" s="30"/>
      <c r="JC33" s="27"/>
      <c r="JE33" s="27"/>
      <c r="JG33" s="26">
        <v>0</v>
      </c>
      <c r="JH33" s="33"/>
      <c r="JI33" s="28">
        <v>41.133000000000003</v>
      </c>
      <c r="JJ33" s="28">
        <v>40</v>
      </c>
      <c r="JK33" s="26">
        <v>1.1330000000000029</v>
      </c>
      <c r="JL33" s="33"/>
      <c r="JM33" s="28">
        <v>16.57</v>
      </c>
      <c r="JN33" s="28">
        <v>16.695399999999999</v>
      </c>
      <c r="JO33" s="26">
        <v>-0.12540000000000259</v>
      </c>
      <c r="JP33" s="33"/>
      <c r="JQ33" s="31">
        <v>0</v>
      </c>
      <c r="JR33" s="28">
        <v>0</v>
      </c>
      <c r="JS33" s="26">
        <v>0</v>
      </c>
      <c r="JT33" s="33"/>
    </row>
    <row r="34" spans="1:280" x14ac:dyDescent="0.25">
      <c r="A34" s="26" t="s">
        <v>185</v>
      </c>
      <c r="B34" s="27">
        <v>1</v>
      </c>
      <c r="E34">
        <v>124</v>
      </c>
      <c r="F34">
        <v>53</v>
      </c>
      <c r="I34" s="32">
        <v>81</v>
      </c>
      <c r="J34" s="36">
        <v>81</v>
      </c>
      <c r="K34" s="36">
        <v>82</v>
      </c>
      <c r="L34" s="36">
        <v>82</v>
      </c>
      <c r="M34" s="35">
        <f t="shared" si="6"/>
        <v>0</v>
      </c>
      <c r="N34" s="30"/>
      <c r="O34" s="32">
        <v>268</v>
      </c>
      <c r="P34" s="36">
        <v>268</v>
      </c>
      <c r="Q34" s="36">
        <v>249</v>
      </c>
      <c r="R34" s="36">
        <v>250</v>
      </c>
      <c r="S34" s="35">
        <f t="shared" si="7"/>
        <v>-1</v>
      </c>
      <c r="T34" s="30"/>
      <c r="U34" s="29"/>
      <c r="V34" s="40"/>
      <c r="W34" s="35"/>
      <c r="X34" s="35"/>
      <c r="Y34" s="35"/>
      <c r="Z34" s="35"/>
      <c r="AA34" s="35">
        <f t="shared" si="8"/>
        <v>0</v>
      </c>
      <c r="AB34" s="30"/>
      <c r="AC34" s="32">
        <v>243</v>
      </c>
      <c r="AD34" s="40">
        <v>245.29411764705881</v>
      </c>
      <c r="AE34" s="36">
        <v>170</v>
      </c>
      <c r="AF34" s="40">
        <v>171.70588235294119</v>
      </c>
      <c r="AG34" s="35">
        <v>-4</v>
      </c>
      <c r="AH34" s="30"/>
      <c r="AI34" s="36">
        <v>81</v>
      </c>
      <c r="AJ34">
        <v>81</v>
      </c>
      <c r="AK34">
        <v>61</v>
      </c>
      <c r="AL34">
        <v>64</v>
      </c>
      <c r="AM34" s="26">
        <v>-3</v>
      </c>
      <c r="AN34" s="30"/>
      <c r="AO34" s="32">
        <v>148</v>
      </c>
      <c r="AP34">
        <v>150</v>
      </c>
      <c r="AQ34">
        <v>198</v>
      </c>
      <c r="AR34">
        <v>200</v>
      </c>
      <c r="AS34" s="26">
        <v>-4</v>
      </c>
      <c r="AT34" s="30"/>
      <c r="AY34" s="26">
        <v>0</v>
      </c>
      <c r="AZ34" s="30"/>
      <c r="BB34">
        <v>183</v>
      </c>
      <c r="BC34">
        <v>183</v>
      </c>
      <c r="BD34" s="26">
        <v>0</v>
      </c>
      <c r="BE34" s="30"/>
      <c r="BF34" s="32">
        <v>400</v>
      </c>
      <c r="BG34">
        <v>400</v>
      </c>
      <c r="BH34" s="26">
        <v>0</v>
      </c>
      <c r="BI34" s="30"/>
      <c r="BJ34" s="29"/>
      <c r="BL34" s="26">
        <v>0</v>
      </c>
      <c r="BM34" s="30"/>
      <c r="BP34" s="26">
        <v>0</v>
      </c>
      <c r="BQ34" s="30"/>
      <c r="BR34" s="32">
        <v>89</v>
      </c>
      <c r="BS34">
        <v>87</v>
      </c>
      <c r="BT34" s="26">
        <v>2</v>
      </c>
      <c r="BU34" s="30"/>
      <c r="BV34">
        <v>656</v>
      </c>
      <c r="BW34">
        <v>661</v>
      </c>
      <c r="BX34" s="25">
        <v>-5</v>
      </c>
      <c r="BY34" s="30">
        <v>5</v>
      </c>
      <c r="BZ34" s="32">
        <v>202</v>
      </c>
      <c r="CA34">
        <v>200</v>
      </c>
      <c r="CB34" s="26">
        <v>2</v>
      </c>
      <c r="CC34" s="30"/>
      <c r="CD34" s="32">
        <v>175</v>
      </c>
      <c r="CE34">
        <v>172</v>
      </c>
      <c r="CF34" s="26">
        <v>3</v>
      </c>
      <c r="CG34" s="30"/>
      <c r="CJ34" s="26">
        <v>0</v>
      </c>
      <c r="CK34" s="30"/>
      <c r="CL34" s="32">
        <v>202</v>
      </c>
      <c r="CM34">
        <v>200</v>
      </c>
      <c r="CN34">
        <v>212</v>
      </c>
      <c r="CO34">
        <v>209</v>
      </c>
      <c r="CP34" s="26">
        <v>5</v>
      </c>
      <c r="CQ34" s="30"/>
      <c r="CR34" s="29"/>
      <c r="CT34" s="26">
        <v>0</v>
      </c>
      <c r="CU34" s="30"/>
      <c r="CV34">
        <v>102</v>
      </c>
      <c r="CW34">
        <v>100</v>
      </c>
      <c r="CX34">
        <v>216</v>
      </c>
      <c r="CY34">
        <v>213</v>
      </c>
      <c r="CZ34" s="26">
        <v>5</v>
      </c>
      <c r="DA34" s="30"/>
      <c r="DD34" s="26">
        <v>0</v>
      </c>
      <c r="DE34" s="30"/>
      <c r="DF34" s="32">
        <v>351</v>
      </c>
      <c r="DG34">
        <v>348</v>
      </c>
      <c r="DH34" s="26">
        <v>3</v>
      </c>
      <c r="DI34" s="30"/>
      <c r="DJ34" s="32">
        <v>32</v>
      </c>
      <c r="DK34">
        <v>30</v>
      </c>
      <c r="DL34" s="26">
        <v>2</v>
      </c>
      <c r="DM34" s="30"/>
      <c r="DN34">
        <v>44</v>
      </c>
      <c r="DO34">
        <v>45</v>
      </c>
      <c r="DP34" s="26">
        <v>-1</v>
      </c>
      <c r="DQ34" s="30"/>
      <c r="DR34" s="32">
        <v>182</v>
      </c>
      <c r="DT34">
        <v>188</v>
      </c>
      <c r="DU34" s="26">
        <v>-6</v>
      </c>
      <c r="DV34" s="30"/>
      <c r="DW34" s="32">
        <v>101</v>
      </c>
      <c r="DX34">
        <v>100</v>
      </c>
      <c r="DY34">
        <v>213</v>
      </c>
      <c r="DZ34">
        <v>214</v>
      </c>
      <c r="EA34" s="26">
        <v>0</v>
      </c>
      <c r="EB34" s="30"/>
      <c r="EC34" s="32">
        <v>85</v>
      </c>
      <c r="EE34">
        <v>85</v>
      </c>
      <c r="EF34" s="26">
        <v>0</v>
      </c>
      <c r="EG34" s="30"/>
      <c r="EH34">
        <v>285</v>
      </c>
      <c r="EI34" s="26">
        <v>280.87920000000003</v>
      </c>
      <c r="EJ34" s="26">
        <v>4.1207999999999743</v>
      </c>
      <c r="EK34" s="30"/>
      <c r="EL34" s="32">
        <v>20</v>
      </c>
      <c r="EM34" s="26">
        <v>18.277999999999992</v>
      </c>
      <c r="EN34" s="26">
        <v>1.722000000000008</v>
      </c>
      <c r="EO34" s="30"/>
      <c r="EP34" s="32">
        <v>190</v>
      </c>
      <c r="EQ34" s="26">
        <v>189.19659999999999</v>
      </c>
      <c r="ER34" s="26">
        <v>0.80340000000001055</v>
      </c>
      <c r="ES34" s="30"/>
      <c r="ET34" s="32">
        <v>73</v>
      </c>
      <c r="EU34">
        <v>74</v>
      </c>
      <c r="EV34" s="26">
        <v>-1</v>
      </c>
      <c r="EW34" s="30"/>
      <c r="EX34">
        <v>151</v>
      </c>
      <c r="EY34" s="28">
        <v>149.68299999999999</v>
      </c>
      <c r="EZ34" s="26">
        <v>1.3170000000000071</v>
      </c>
      <c r="FA34" s="30"/>
      <c r="FB34">
        <v>139</v>
      </c>
      <c r="FC34">
        <v>139</v>
      </c>
      <c r="FD34" s="26">
        <v>0</v>
      </c>
      <c r="FE34" s="30"/>
      <c r="FF34" s="32">
        <v>66</v>
      </c>
      <c r="FH34">
        <v>66</v>
      </c>
      <c r="FI34" s="26">
        <v>0</v>
      </c>
      <c r="FJ34" s="30"/>
      <c r="FK34" s="29"/>
      <c r="FN34" s="26">
        <v>0</v>
      </c>
      <c r="FO34" s="30"/>
      <c r="FP34">
        <v>94</v>
      </c>
      <c r="FQ34" s="28">
        <v>91.46899999999998</v>
      </c>
      <c r="FR34" s="26">
        <v>2.5310000000000201</v>
      </c>
      <c r="FS34" s="30"/>
      <c r="FT34" s="29"/>
      <c r="FU34">
        <v>122</v>
      </c>
      <c r="FV34">
        <v>120</v>
      </c>
      <c r="FW34">
        <v>114</v>
      </c>
      <c r="FX34">
        <v>111</v>
      </c>
      <c r="FY34" s="26">
        <v>5</v>
      </c>
      <c r="FZ34" s="30"/>
      <c r="GC34" s="26">
        <v>0</v>
      </c>
      <c r="GD34" s="30"/>
      <c r="GE34" s="32">
        <v>81</v>
      </c>
      <c r="GF34">
        <v>80</v>
      </c>
      <c r="GG34">
        <v>89</v>
      </c>
      <c r="GH34">
        <v>93</v>
      </c>
      <c r="GI34" s="26">
        <v>-3</v>
      </c>
      <c r="GJ34" s="30"/>
      <c r="GK34">
        <v>41</v>
      </c>
      <c r="GL34">
        <v>40</v>
      </c>
      <c r="GM34">
        <v>41</v>
      </c>
      <c r="GN34">
        <v>40</v>
      </c>
      <c r="GO34" s="26">
        <v>2</v>
      </c>
      <c r="GP34" s="30"/>
      <c r="GQ34">
        <v>57</v>
      </c>
      <c r="GR34" s="28">
        <v>57.975200000000001</v>
      </c>
      <c r="GS34" s="26">
        <v>-0.97520000000000095</v>
      </c>
      <c r="GT34" s="30"/>
      <c r="GU34" s="32">
        <v>218</v>
      </c>
      <c r="GV34">
        <v>220</v>
      </c>
      <c r="GW34" s="26">
        <v>-2</v>
      </c>
      <c r="GX34" s="30"/>
      <c r="GY34" s="29"/>
      <c r="HA34" s="26">
        <v>0</v>
      </c>
      <c r="HB34" s="30"/>
      <c r="HC34">
        <v>33</v>
      </c>
      <c r="HD34">
        <v>30</v>
      </c>
      <c r="HE34" s="26">
        <v>3</v>
      </c>
      <c r="HF34" s="30"/>
      <c r="HG34" s="32">
        <v>213</v>
      </c>
      <c r="HH34">
        <v>210</v>
      </c>
      <c r="HI34" s="26">
        <v>3</v>
      </c>
      <c r="HJ34" s="30"/>
      <c r="HK34" s="32">
        <v>90</v>
      </c>
      <c r="HL34">
        <v>90</v>
      </c>
      <c r="HM34" s="26">
        <v>0</v>
      </c>
      <c r="HN34" s="30"/>
      <c r="HO34">
        <v>109</v>
      </c>
      <c r="HP34">
        <v>108</v>
      </c>
      <c r="HQ34" s="26">
        <v>1</v>
      </c>
      <c r="HR34" s="33"/>
      <c r="HS34">
        <v>49</v>
      </c>
      <c r="HT34">
        <v>49</v>
      </c>
      <c r="HU34" s="26">
        <v>0</v>
      </c>
      <c r="HV34" s="30"/>
      <c r="HW34">
        <v>41</v>
      </c>
      <c r="HX34">
        <v>40</v>
      </c>
      <c r="HY34" s="26">
        <v>1</v>
      </c>
      <c r="HZ34" s="33"/>
      <c r="IA34">
        <v>69</v>
      </c>
      <c r="IB34">
        <v>70</v>
      </c>
      <c r="IC34" s="26">
        <v>-1</v>
      </c>
      <c r="ID34" s="30"/>
      <c r="IE34">
        <v>37</v>
      </c>
      <c r="IF34">
        <v>38</v>
      </c>
      <c r="IG34" s="26">
        <v>-1</v>
      </c>
      <c r="IH34" s="33"/>
      <c r="IK34" s="26">
        <v>0</v>
      </c>
      <c r="IL34" s="30"/>
      <c r="IM34" s="32">
        <v>81</v>
      </c>
      <c r="IN34" s="28">
        <v>80</v>
      </c>
      <c r="IO34" s="26">
        <v>1</v>
      </c>
      <c r="IP34" s="33"/>
      <c r="IQ34">
        <v>194</v>
      </c>
      <c r="IR34">
        <v>194</v>
      </c>
      <c r="IS34" s="26">
        <v>0</v>
      </c>
      <c r="IT34" s="33"/>
      <c r="IU34">
        <v>61</v>
      </c>
      <c r="IV34">
        <v>59</v>
      </c>
      <c r="IW34" s="26">
        <v>-2</v>
      </c>
      <c r="IX34" s="33"/>
      <c r="IY34">
        <v>69</v>
      </c>
      <c r="IZ34">
        <v>70</v>
      </c>
      <c r="JA34" s="26">
        <v>-1</v>
      </c>
      <c r="JB34" s="30"/>
      <c r="JC34">
        <v>130</v>
      </c>
      <c r="JD34">
        <v>130</v>
      </c>
      <c r="JE34">
        <v>102</v>
      </c>
      <c r="JF34">
        <v>100</v>
      </c>
      <c r="JG34" s="26">
        <v>2</v>
      </c>
      <c r="JH34" s="33"/>
      <c r="JI34" s="28">
        <v>122.01</v>
      </c>
      <c r="JJ34" s="28">
        <v>120</v>
      </c>
      <c r="JK34" s="26">
        <v>2.0100000000000051</v>
      </c>
      <c r="JL34" s="33"/>
      <c r="JM34" s="28">
        <v>73.069000000000003</v>
      </c>
      <c r="JN34" s="28">
        <v>73.456199999999995</v>
      </c>
      <c r="JO34" s="26">
        <v>-0.38719999999999288</v>
      </c>
      <c r="JP34" s="33"/>
      <c r="JQ34" s="31">
        <v>0</v>
      </c>
      <c r="JR34" s="28">
        <v>0</v>
      </c>
      <c r="JS34" s="26">
        <v>0</v>
      </c>
      <c r="JT34" s="33"/>
    </row>
    <row r="35" spans="1:280" x14ac:dyDescent="0.25">
      <c r="A35" s="26" t="s">
        <v>186</v>
      </c>
      <c r="B35" s="27">
        <v>0.22</v>
      </c>
      <c r="E35">
        <v>121</v>
      </c>
      <c r="F35">
        <v>122</v>
      </c>
      <c r="I35" s="29"/>
      <c r="J35" s="35"/>
      <c r="K35" s="40"/>
      <c r="L35" s="35"/>
      <c r="M35" s="35">
        <f t="shared" si="6"/>
        <v>0</v>
      </c>
      <c r="N35" s="30"/>
      <c r="O35" s="32">
        <v>104</v>
      </c>
      <c r="P35" s="36">
        <v>106</v>
      </c>
      <c r="Q35" s="36">
        <v>96</v>
      </c>
      <c r="R35" s="36">
        <v>99</v>
      </c>
      <c r="S35" s="35">
        <f t="shared" si="7"/>
        <v>-5</v>
      </c>
      <c r="T35" s="30"/>
      <c r="U35" s="29"/>
      <c r="V35" s="40"/>
      <c r="W35" s="35"/>
      <c r="X35" s="35"/>
      <c r="Y35" s="35"/>
      <c r="Z35" s="35"/>
      <c r="AA35" s="35">
        <f t="shared" si="8"/>
        <v>0</v>
      </c>
      <c r="AB35" s="30"/>
      <c r="AC35" s="29"/>
      <c r="AD35" s="35"/>
      <c r="AE35" s="36">
        <v>128</v>
      </c>
      <c r="AF35" s="40">
        <v>128</v>
      </c>
      <c r="AG35" s="35">
        <v>0</v>
      </c>
      <c r="AH35" s="30"/>
      <c r="AI35" s="36">
        <v>16</v>
      </c>
      <c r="AJ35">
        <v>16</v>
      </c>
      <c r="AM35" s="26">
        <v>0</v>
      </c>
      <c r="AN35" s="30"/>
      <c r="AO35" s="31"/>
      <c r="AQ35">
        <v>72</v>
      </c>
      <c r="AR35">
        <v>75</v>
      </c>
      <c r="AS35" s="26">
        <v>-3</v>
      </c>
      <c r="AT35" s="30"/>
      <c r="AW35">
        <v>8</v>
      </c>
      <c r="AX35">
        <v>8</v>
      </c>
      <c r="AY35" s="26">
        <v>0</v>
      </c>
      <c r="AZ35" s="30"/>
      <c r="BB35">
        <v>40</v>
      </c>
      <c r="BC35">
        <v>41</v>
      </c>
      <c r="BD35" s="26">
        <v>-1</v>
      </c>
      <c r="BE35" s="30"/>
      <c r="BF35" s="32">
        <v>16</v>
      </c>
      <c r="BG35">
        <v>21</v>
      </c>
      <c r="BH35" s="26">
        <v>-5</v>
      </c>
      <c r="BI35" s="30"/>
      <c r="BJ35" s="32">
        <v>24</v>
      </c>
      <c r="BK35">
        <v>29</v>
      </c>
      <c r="BL35" s="26">
        <v>-5</v>
      </c>
      <c r="BM35" s="30"/>
      <c r="BN35">
        <v>16</v>
      </c>
      <c r="BO35">
        <v>16</v>
      </c>
      <c r="BP35" s="26">
        <v>0</v>
      </c>
      <c r="BQ35" s="30"/>
      <c r="BR35" s="32">
        <v>16</v>
      </c>
      <c r="BS35">
        <v>16</v>
      </c>
      <c r="BT35" s="26">
        <v>0</v>
      </c>
      <c r="BU35" s="30"/>
      <c r="BX35" s="26">
        <v>0</v>
      </c>
      <c r="BY35" s="30"/>
      <c r="BZ35" s="29"/>
      <c r="CA35">
        <v>50</v>
      </c>
      <c r="CB35" s="25">
        <v>-50</v>
      </c>
      <c r="CC35" s="30">
        <v>11</v>
      </c>
      <c r="CD35" s="29"/>
      <c r="CF35" s="26">
        <v>0</v>
      </c>
      <c r="CG35" s="30"/>
      <c r="CH35">
        <v>8</v>
      </c>
      <c r="CI35">
        <v>8</v>
      </c>
      <c r="CJ35" s="26">
        <v>0</v>
      </c>
      <c r="CK35" s="30"/>
      <c r="CL35" s="29"/>
      <c r="CN35">
        <v>24</v>
      </c>
      <c r="CO35">
        <v>29</v>
      </c>
      <c r="CP35" s="26">
        <v>-5</v>
      </c>
      <c r="CQ35" s="30"/>
      <c r="CR35" s="29"/>
      <c r="CT35" s="26">
        <v>0</v>
      </c>
      <c r="CU35" s="30"/>
      <c r="CX35">
        <v>16</v>
      </c>
      <c r="CY35">
        <v>16</v>
      </c>
      <c r="CZ35" s="26">
        <v>0</v>
      </c>
      <c r="DA35" s="30"/>
      <c r="DD35" s="26">
        <v>0</v>
      </c>
      <c r="DE35" s="30"/>
      <c r="DF35" s="29"/>
      <c r="DG35">
        <v>39</v>
      </c>
      <c r="DH35" s="25">
        <v>-39</v>
      </c>
      <c r="DI35" s="30">
        <v>8.58</v>
      </c>
      <c r="DJ35" s="29"/>
      <c r="DL35" s="26">
        <v>0</v>
      </c>
      <c r="DM35" s="30"/>
      <c r="DN35">
        <v>8</v>
      </c>
      <c r="DO35">
        <v>8</v>
      </c>
      <c r="DP35" s="26">
        <v>0</v>
      </c>
      <c r="DQ35" s="30"/>
      <c r="DR35" s="32">
        <v>40</v>
      </c>
      <c r="DT35">
        <v>41</v>
      </c>
      <c r="DU35" s="26">
        <v>-1</v>
      </c>
      <c r="DV35" s="30"/>
      <c r="DW35" s="29"/>
      <c r="EA35" s="26">
        <v>0</v>
      </c>
      <c r="EB35" s="30"/>
      <c r="EC35" s="29"/>
      <c r="EF35" s="26">
        <v>0</v>
      </c>
      <c r="EG35" s="30"/>
      <c r="EJ35" s="26">
        <v>0</v>
      </c>
      <c r="EK35" s="30"/>
      <c r="EL35" s="31"/>
      <c r="EN35" s="26">
        <v>0</v>
      </c>
      <c r="EO35" s="30"/>
      <c r="EP35" s="32">
        <v>56</v>
      </c>
      <c r="EQ35" s="26">
        <v>58.8</v>
      </c>
      <c r="ER35" s="26">
        <v>-2.7999999999999972</v>
      </c>
      <c r="ES35" s="30"/>
      <c r="ET35" s="29"/>
      <c r="EV35" s="26">
        <v>0</v>
      </c>
      <c r="EW35" s="30"/>
      <c r="EZ35" s="26">
        <v>0</v>
      </c>
      <c r="FA35" s="30"/>
      <c r="FD35" s="26">
        <v>0</v>
      </c>
      <c r="FE35" s="30"/>
      <c r="FF35" s="29"/>
      <c r="FI35" s="26">
        <v>0</v>
      </c>
      <c r="FJ35" s="30"/>
      <c r="FK35" s="32">
        <v>72</v>
      </c>
      <c r="FM35">
        <v>73</v>
      </c>
      <c r="FN35" s="26">
        <v>-1</v>
      </c>
      <c r="FO35" s="30"/>
      <c r="FP35">
        <v>64</v>
      </c>
      <c r="FQ35" s="28">
        <v>68</v>
      </c>
      <c r="FR35" s="26">
        <v>-4</v>
      </c>
      <c r="FS35" s="30"/>
      <c r="FT35" s="29"/>
      <c r="FY35" s="26">
        <v>0</v>
      </c>
      <c r="FZ35" s="30"/>
      <c r="GA35">
        <v>64</v>
      </c>
      <c r="GB35" s="28">
        <v>65</v>
      </c>
      <c r="GC35" s="26">
        <v>-1</v>
      </c>
      <c r="GD35" s="30"/>
      <c r="GE35" s="29"/>
      <c r="GI35" s="26">
        <v>0</v>
      </c>
      <c r="GJ35" s="30"/>
      <c r="GM35">
        <v>40</v>
      </c>
      <c r="GN35">
        <v>40</v>
      </c>
      <c r="GO35" s="26">
        <v>0</v>
      </c>
      <c r="GP35" s="30"/>
      <c r="GQ35">
        <v>32</v>
      </c>
      <c r="GR35" s="28">
        <v>35</v>
      </c>
      <c r="GS35" s="26">
        <v>-3</v>
      </c>
      <c r="GT35" s="30"/>
      <c r="GU35" s="32">
        <v>24</v>
      </c>
      <c r="GV35">
        <v>24</v>
      </c>
      <c r="GW35" s="26">
        <v>0</v>
      </c>
      <c r="GX35" s="30"/>
      <c r="GY35" s="32">
        <v>8</v>
      </c>
      <c r="GZ35">
        <v>8</v>
      </c>
      <c r="HA35" s="26">
        <v>0</v>
      </c>
      <c r="HB35" s="30"/>
      <c r="HC35">
        <v>8</v>
      </c>
      <c r="HD35">
        <v>8</v>
      </c>
      <c r="HE35" s="26">
        <v>0</v>
      </c>
      <c r="HF35" s="30"/>
      <c r="HG35" s="32">
        <v>16</v>
      </c>
      <c r="HH35">
        <v>20</v>
      </c>
      <c r="HI35" s="26">
        <v>-4</v>
      </c>
      <c r="HJ35" s="30"/>
      <c r="HK35" s="29"/>
      <c r="HM35" s="26">
        <v>0</v>
      </c>
      <c r="HN35" s="30"/>
      <c r="HQ35" s="26">
        <v>0</v>
      </c>
      <c r="HR35" s="33"/>
      <c r="HU35" s="26">
        <v>0</v>
      </c>
      <c r="HV35" s="30"/>
      <c r="HY35" s="26">
        <v>0</v>
      </c>
      <c r="HZ35" s="33"/>
      <c r="IC35" s="26">
        <v>0</v>
      </c>
      <c r="ID35" s="30"/>
      <c r="IG35" s="26">
        <v>0</v>
      </c>
      <c r="IH35" s="33"/>
      <c r="IK35" s="26">
        <v>0</v>
      </c>
      <c r="IL35" s="30"/>
      <c r="IM35" s="31"/>
      <c r="IO35" s="26">
        <v>0</v>
      </c>
      <c r="IP35" s="33"/>
      <c r="IS35" s="26">
        <v>0</v>
      </c>
      <c r="IT35" s="33"/>
      <c r="IW35" s="26">
        <v>0</v>
      </c>
      <c r="IX35" s="33"/>
      <c r="JA35" s="26">
        <v>0</v>
      </c>
      <c r="JB35" s="30"/>
      <c r="JC35">
        <v>32</v>
      </c>
      <c r="JD35">
        <v>32</v>
      </c>
      <c r="JE35">
        <v>16</v>
      </c>
      <c r="JF35">
        <v>18</v>
      </c>
      <c r="JG35" s="26">
        <v>-2</v>
      </c>
      <c r="JH35" s="33"/>
      <c r="JI35" s="28">
        <v>48</v>
      </c>
      <c r="JJ35" s="28">
        <v>50</v>
      </c>
      <c r="JK35" s="26">
        <v>-2</v>
      </c>
      <c r="JL35" s="33"/>
      <c r="JM35" s="28">
        <v>64</v>
      </c>
      <c r="JN35" s="28">
        <v>68</v>
      </c>
      <c r="JO35" s="26">
        <v>-4</v>
      </c>
      <c r="JP35" s="33"/>
      <c r="JQ35" s="31">
        <v>0</v>
      </c>
      <c r="JR35" s="28">
        <v>0</v>
      </c>
      <c r="JS35" s="26">
        <v>0</v>
      </c>
      <c r="JT35" s="33"/>
    </row>
    <row r="36" spans="1:280" x14ac:dyDescent="0.25">
      <c r="A36" s="26" t="s">
        <v>187</v>
      </c>
      <c r="B36" s="27">
        <v>1</v>
      </c>
      <c r="I36" s="29"/>
      <c r="J36" s="35"/>
      <c r="K36" s="40"/>
      <c r="L36" s="35"/>
      <c r="M36" s="35">
        <f t="shared" si="6"/>
        <v>0</v>
      </c>
      <c r="N36" s="30"/>
      <c r="O36" s="29"/>
      <c r="P36" s="35"/>
      <c r="Q36" s="35"/>
      <c r="R36" s="35"/>
      <c r="S36" s="35">
        <f t="shared" si="7"/>
        <v>0</v>
      </c>
      <c r="T36" s="30"/>
      <c r="U36" s="29"/>
      <c r="V36" s="40"/>
      <c r="W36" s="35"/>
      <c r="X36" s="35"/>
      <c r="Y36" s="35"/>
      <c r="Z36" s="35"/>
      <c r="AA36" s="35">
        <f t="shared" si="8"/>
        <v>0</v>
      </c>
      <c r="AB36" s="30"/>
      <c r="AC36" s="29"/>
      <c r="AD36" s="35"/>
      <c r="AE36" s="35"/>
      <c r="AF36" s="35"/>
      <c r="AG36" s="35">
        <v>0</v>
      </c>
      <c r="AH36" s="30"/>
      <c r="AI36" s="35"/>
      <c r="AM36" s="26">
        <v>0</v>
      </c>
      <c r="AN36" s="30"/>
      <c r="AO36" s="31"/>
      <c r="AS36" s="26">
        <v>0</v>
      </c>
      <c r="AT36" s="30"/>
      <c r="AY36" s="26">
        <v>0</v>
      </c>
      <c r="AZ36" s="30"/>
      <c r="BD36" s="26">
        <v>0</v>
      </c>
      <c r="BE36" s="30"/>
      <c r="BF36" s="29"/>
      <c r="BH36" s="26">
        <v>0</v>
      </c>
      <c r="BI36" s="30"/>
      <c r="BJ36" s="29"/>
      <c r="BL36" s="26">
        <v>0</v>
      </c>
      <c r="BM36" s="30"/>
      <c r="BP36" s="26">
        <v>0</v>
      </c>
      <c r="BQ36" s="30"/>
      <c r="BR36" s="29"/>
      <c r="BT36" s="26">
        <v>0</v>
      </c>
      <c r="BU36" s="30"/>
      <c r="BX36" s="26">
        <v>0</v>
      </c>
      <c r="BY36" s="30"/>
      <c r="BZ36" s="29"/>
      <c r="CB36" s="26">
        <v>0</v>
      </c>
      <c r="CC36" s="30"/>
      <c r="CD36" s="29"/>
      <c r="CF36" s="26">
        <v>0</v>
      </c>
      <c r="CG36" s="30"/>
      <c r="CJ36" s="26">
        <v>0</v>
      </c>
      <c r="CK36" s="30"/>
      <c r="CL36" s="29"/>
      <c r="CP36" s="26">
        <v>0</v>
      </c>
      <c r="CQ36" s="30"/>
      <c r="CR36" s="29"/>
      <c r="CT36" s="26">
        <v>0</v>
      </c>
      <c r="CU36" s="30"/>
      <c r="CZ36" s="26">
        <v>0</v>
      </c>
      <c r="DA36" s="30"/>
      <c r="DD36" s="26">
        <v>0</v>
      </c>
      <c r="DE36" s="30"/>
      <c r="DF36" s="29"/>
      <c r="DH36" s="26">
        <v>0</v>
      </c>
      <c r="DI36" s="30"/>
      <c r="DJ36" s="29"/>
      <c r="DL36" s="26">
        <v>0</v>
      </c>
      <c r="DM36" s="30"/>
      <c r="DP36" s="26">
        <v>0</v>
      </c>
      <c r="DQ36" s="30"/>
      <c r="DR36" s="29"/>
      <c r="DU36" s="26">
        <v>0</v>
      </c>
      <c r="DV36" s="30"/>
      <c r="DW36" s="29"/>
      <c r="EA36" s="26">
        <v>0</v>
      </c>
      <c r="EB36" s="30"/>
      <c r="EC36" s="29"/>
      <c r="EF36" s="26">
        <v>0</v>
      </c>
      <c r="EG36" s="30"/>
      <c r="EJ36" s="26">
        <v>0</v>
      </c>
      <c r="EK36" s="30"/>
      <c r="EL36" s="31"/>
      <c r="EN36" s="26">
        <v>0</v>
      </c>
      <c r="EO36" s="30"/>
      <c r="EP36" s="29"/>
      <c r="ER36" s="26">
        <v>0</v>
      </c>
      <c r="ES36" s="30"/>
      <c r="ET36" s="29"/>
      <c r="EV36" s="26">
        <v>0</v>
      </c>
      <c r="EW36" s="30"/>
      <c r="EZ36" s="26">
        <v>0</v>
      </c>
      <c r="FA36" s="30"/>
      <c r="FD36" s="26">
        <v>0</v>
      </c>
      <c r="FE36" s="30"/>
      <c r="FF36" s="29"/>
      <c r="FI36" s="26">
        <v>0</v>
      </c>
      <c r="FJ36" s="30"/>
      <c r="FK36" s="29"/>
      <c r="FN36" s="26">
        <v>0</v>
      </c>
      <c r="FO36" s="30"/>
      <c r="FR36" s="26">
        <v>0</v>
      </c>
      <c r="FS36" s="30"/>
      <c r="FT36" s="29"/>
      <c r="FY36" s="26">
        <v>0</v>
      </c>
      <c r="FZ36" s="30"/>
      <c r="GC36" s="26">
        <v>0</v>
      </c>
      <c r="GD36" s="30"/>
      <c r="GE36" s="29"/>
      <c r="GI36" s="26">
        <v>0</v>
      </c>
      <c r="GJ36" s="30"/>
      <c r="GO36" s="26">
        <v>0</v>
      </c>
      <c r="GP36" s="30"/>
      <c r="GS36" s="26">
        <v>0</v>
      </c>
      <c r="GT36" s="30"/>
      <c r="GU36" s="29"/>
      <c r="GW36" s="26">
        <v>0</v>
      </c>
      <c r="GX36" s="30"/>
      <c r="GY36" s="29"/>
      <c r="HA36" s="26">
        <v>0</v>
      </c>
      <c r="HB36" s="30"/>
      <c r="HE36" s="26">
        <v>0</v>
      </c>
      <c r="HF36" s="30"/>
      <c r="HG36" s="29"/>
      <c r="HI36" s="26">
        <v>0</v>
      </c>
      <c r="HJ36" s="30"/>
      <c r="HK36" s="29"/>
      <c r="HM36" s="26">
        <v>0</v>
      </c>
      <c r="HN36" s="30"/>
      <c r="HQ36" s="26">
        <v>0</v>
      </c>
      <c r="HR36" s="33"/>
      <c r="HU36" s="26">
        <v>0</v>
      </c>
      <c r="HV36" s="30"/>
      <c r="HY36" s="26">
        <v>0</v>
      </c>
      <c r="HZ36" s="33"/>
      <c r="IC36" s="26">
        <v>0</v>
      </c>
      <c r="ID36" s="30"/>
      <c r="IG36" s="26">
        <v>0</v>
      </c>
      <c r="IH36" s="33"/>
      <c r="IK36" s="26">
        <v>0</v>
      </c>
      <c r="IL36" s="30"/>
      <c r="IM36" s="31"/>
      <c r="IO36" s="26">
        <v>0</v>
      </c>
      <c r="IP36" s="33"/>
      <c r="IS36" s="26">
        <v>0</v>
      </c>
      <c r="IT36" s="33"/>
      <c r="IW36" s="26">
        <v>0</v>
      </c>
      <c r="IX36" s="33"/>
      <c r="JA36" s="26">
        <v>0</v>
      </c>
      <c r="JB36" s="30"/>
      <c r="JC36" s="27"/>
      <c r="JE36" s="27"/>
      <c r="JG36" s="26">
        <v>0</v>
      </c>
      <c r="JH36" s="33"/>
      <c r="JI36" s="28">
        <v>0</v>
      </c>
      <c r="JJ36" s="28">
        <v>0</v>
      </c>
      <c r="JK36" s="26">
        <v>0</v>
      </c>
      <c r="JL36" s="33"/>
      <c r="JM36" s="28">
        <v>0</v>
      </c>
      <c r="JN36" s="28">
        <v>0</v>
      </c>
      <c r="JO36" s="26">
        <v>0</v>
      </c>
      <c r="JP36" s="33"/>
      <c r="JQ36" s="31">
        <v>0</v>
      </c>
      <c r="JR36" s="28">
        <v>0</v>
      </c>
      <c r="JS36" s="26">
        <v>0</v>
      </c>
      <c r="JT36" s="33"/>
    </row>
    <row r="37" spans="1:280" x14ac:dyDescent="0.25">
      <c r="A37" s="26" t="s">
        <v>188</v>
      </c>
      <c r="B37" s="27">
        <v>0.4</v>
      </c>
      <c r="I37" s="29"/>
      <c r="J37" s="35"/>
      <c r="K37" s="40"/>
      <c r="L37" s="35"/>
      <c r="M37" s="35">
        <f t="shared" si="6"/>
        <v>0</v>
      </c>
      <c r="N37" s="30"/>
      <c r="O37" s="29"/>
      <c r="P37" s="35"/>
      <c r="Q37" s="35"/>
      <c r="R37" s="35"/>
      <c r="S37" s="35">
        <f t="shared" si="7"/>
        <v>0</v>
      </c>
      <c r="T37" s="30"/>
      <c r="U37" s="29"/>
      <c r="V37" s="40"/>
      <c r="W37" s="35"/>
      <c r="X37" s="35"/>
      <c r="Y37" s="35"/>
      <c r="Z37" s="35"/>
      <c r="AA37" s="35">
        <f t="shared" si="8"/>
        <v>0</v>
      </c>
      <c r="AB37" s="30"/>
      <c r="AC37" s="29"/>
      <c r="AD37" s="35"/>
      <c r="AE37" s="35"/>
      <c r="AF37" s="35"/>
      <c r="AG37" s="35">
        <v>0</v>
      </c>
      <c r="AH37" s="30"/>
      <c r="AI37" s="35"/>
      <c r="AM37" s="26">
        <v>0</v>
      </c>
      <c r="AN37" s="30"/>
      <c r="AO37" s="31"/>
      <c r="AS37" s="26">
        <v>0</v>
      </c>
      <c r="AT37" s="30"/>
      <c r="AY37" s="26">
        <v>0</v>
      </c>
      <c r="AZ37" s="30"/>
      <c r="BC37">
        <v>16</v>
      </c>
      <c r="BD37" s="25">
        <v>-16</v>
      </c>
      <c r="BE37" s="30">
        <v>6.4</v>
      </c>
      <c r="BF37" s="29"/>
      <c r="BG37">
        <v>50</v>
      </c>
      <c r="BH37" s="26">
        <v>-2</v>
      </c>
      <c r="BI37" s="30"/>
      <c r="BJ37" s="29"/>
      <c r="BK37">
        <v>8</v>
      </c>
      <c r="BL37" s="26">
        <v>0</v>
      </c>
      <c r="BM37" s="30"/>
      <c r="BO37">
        <v>55</v>
      </c>
      <c r="BP37" s="25">
        <v>-55</v>
      </c>
      <c r="BQ37" s="30">
        <v>22</v>
      </c>
      <c r="BR37" s="29"/>
      <c r="BS37">
        <v>21</v>
      </c>
      <c r="BT37" s="25">
        <v>-21</v>
      </c>
      <c r="BU37" s="30">
        <v>8.4</v>
      </c>
      <c r="BV37">
        <v>24</v>
      </c>
      <c r="BW37">
        <v>24</v>
      </c>
      <c r="BX37" s="26">
        <v>0</v>
      </c>
      <c r="BY37" s="30"/>
      <c r="BZ37" s="32">
        <v>16</v>
      </c>
      <c r="CA37">
        <v>21</v>
      </c>
      <c r="CB37" s="26">
        <v>-5</v>
      </c>
      <c r="CC37" s="30"/>
      <c r="CD37" s="29"/>
      <c r="CF37" s="26">
        <v>0</v>
      </c>
      <c r="CG37" s="30"/>
      <c r="CJ37" s="26">
        <v>0</v>
      </c>
      <c r="CK37" s="30"/>
      <c r="CL37" s="29"/>
      <c r="CM37">
        <v>30</v>
      </c>
      <c r="CN37">
        <v>32</v>
      </c>
      <c r="CO37">
        <v>32</v>
      </c>
      <c r="CP37" s="25">
        <v>-30</v>
      </c>
      <c r="CQ37" s="30">
        <v>29.6</v>
      </c>
      <c r="CR37" s="29"/>
      <c r="CT37" s="26">
        <v>0</v>
      </c>
      <c r="CU37" s="30"/>
      <c r="CZ37" s="26">
        <v>0</v>
      </c>
      <c r="DA37" s="30"/>
      <c r="DB37">
        <v>56</v>
      </c>
      <c r="DC37">
        <v>54</v>
      </c>
      <c r="DD37" s="26">
        <v>2</v>
      </c>
      <c r="DE37" s="30"/>
      <c r="DF37" s="29"/>
      <c r="DH37" s="26">
        <v>0</v>
      </c>
      <c r="DI37" s="30"/>
      <c r="DJ37" s="32">
        <v>32</v>
      </c>
      <c r="DK37" s="26">
        <v>32</v>
      </c>
      <c r="DL37" s="26">
        <v>0</v>
      </c>
      <c r="DM37" s="30"/>
      <c r="DP37" s="26">
        <v>0</v>
      </c>
      <c r="DQ37" s="30"/>
      <c r="DR37" s="29"/>
      <c r="DU37" s="26">
        <v>0</v>
      </c>
      <c r="DV37" s="30"/>
      <c r="DW37" s="29"/>
      <c r="EA37" s="26">
        <v>0</v>
      </c>
      <c r="EB37" s="30"/>
      <c r="EC37" s="29"/>
      <c r="EF37" s="26">
        <v>0</v>
      </c>
      <c r="EG37" s="30"/>
      <c r="EJ37" s="26">
        <v>0</v>
      </c>
      <c r="EK37" s="30"/>
      <c r="EL37" s="31"/>
      <c r="EN37" s="26">
        <v>0</v>
      </c>
      <c r="EO37" s="30"/>
      <c r="EP37" s="29"/>
      <c r="ER37" s="26">
        <v>0</v>
      </c>
      <c r="ES37" s="30"/>
      <c r="ET37" s="29"/>
      <c r="EV37" s="26">
        <v>0</v>
      </c>
      <c r="EW37" s="30"/>
      <c r="EZ37" s="26">
        <v>0</v>
      </c>
      <c r="FA37" s="30"/>
      <c r="FD37" s="26">
        <v>0</v>
      </c>
      <c r="FE37" s="30"/>
      <c r="FF37" s="29"/>
      <c r="FI37" s="26">
        <v>0</v>
      </c>
      <c r="FJ37" s="30"/>
      <c r="FK37" s="29"/>
      <c r="FN37" s="26">
        <v>0</v>
      </c>
      <c r="FO37" s="30"/>
      <c r="FR37" s="26">
        <v>0</v>
      </c>
      <c r="FS37" s="30"/>
      <c r="FT37" s="29"/>
      <c r="FY37" s="26">
        <v>0</v>
      </c>
      <c r="FZ37" s="30"/>
      <c r="GC37" s="26">
        <v>0</v>
      </c>
      <c r="GD37" s="30"/>
      <c r="GE37" s="29"/>
      <c r="GI37" s="26">
        <v>0</v>
      </c>
      <c r="GJ37" s="30"/>
      <c r="GO37" s="26">
        <v>0</v>
      </c>
      <c r="GP37" s="30"/>
      <c r="GS37" s="26">
        <v>0</v>
      </c>
      <c r="GT37" s="30"/>
      <c r="GU37" s="29"/>
      <c r="GW37" s="26">
        <v>0</v>
      </c>
      <c r="GX37" s="30"/>
      <c r="GY37" s="29"/>
      <c r="HA37" s="26">
        <v>0</v>
      </c>
      <c r="HB37" s="30"/>
      <c r="HE37" s="26">
        <v>0</v>
      </c>
      <c r="HF37" s="30"/>
      <c r="HG37" s="29"/>
      <c r="HI37" s="26">
        <v>0</v>
      </c>
      <c r="HJ37" s="30"/>
      <c r="HK37" s="29"/>
      <c r="HM37" s="26">
        <v>0</v>
      </c>
      <c r="HN37" s="30"/>
      <c r="HQ37" s="26">
        <v>0</v>
      </c>
      <c r="HR37" s="33"/>
      <c r="HU37" s="26">
        <v>0</v>
      </c>
      <c r="HV37" s="30"/>
      <c r="HY37" s="26">
        <v>0</v>
      </c>
      <c r="HZ37" s="33"/>
      <c r="IC37" s="26">
        <v>0</v>
      </c>
      <c r="ID37" s="30"/>
      <c r="IG37" s="26">
        <v>0</v>
      </c>
      <c r="IH37" s="33"/>
      <c r="IK37" s="26">
        <v>0</v>
      </c>
      <c r="IL37" s="30"/>
      <c r="IM37" s="31"/>
      <c r="IO37" s="26">
        <v>0</v>
      </c>
      <c r="IP37" s="33"/>
      <c r="IS37" s="26">
        <v>0</v>
      </c>
      <c r="IT37" s="33"/>
      <c r="IW37" s="26">
        <v>0</v>
      </c>
      <c r="IX37" s="33"/>
      <c r="JA37" s="26">
        <v>0</v>
      </c>
      <c r="JB37" s="30"/>
      <c r="JC37" s="27"/>
      <c r="JE37" s="27"/>
      <c r="JG37" s="26">
        <v>0</v>
      </c>
      <c r="JH37" s="33"/>
      <c r="JI37" s="28">
        <v>0</v>
      </c>
      <c r="JJ37" s="28">
        <v>0</v>
      </c>
      <c r="JK37" s="26">
        <v>0</v>
      </c>
      <c r="JL37" s="33"/>
      <c r="JM37" s="28">
        <v>0</v>
      </c>
      <c r="JN37" s="28">
        <v>0</v>
      </c>
      <c r="JO37" s="26">
        <v>0</v>
      </c>
      <c r="JP37" s="33"/>
      <c r="JQ37" s="31">
        <v>0</v>
      </c>
      <c r="JR37" s="28">
        <v>0</v>
      </c>
      <c r="JS37" s="26">
        <v>0</v>
      </c>
      <c r="JT37" s="33"/>
    </row>
    <row r="38" spans="1:280" x14ac:dyDescent="0.25">
      <c r="A38" s="26" t="s">
        <v>189</v>
      </c>
      <c r="B38" s="27">
        <v>1</v>
      </c>
      <c r="I38" s="29"/>
      <c r="J38" s="35"/>
      <c r="K38" s="40"/>
      <c r="L38" s="35"/>
      <c r="M38" s="35">
        <f t="shared" si="6"/>
        <v>0</v>
      </c>
      <c r="N38" s="30"/>
      <c r="O38" s="29"/>
      <c r="P38" s="35"/>
      <c r="Q38" s="35"/>
      <c r="R38" s="35"/>
      <c r="S38" s="35">
        <f t="shared" si="7"/>
        <v>0</v>
      </c>
      <c r="T38" s="30"/>
      <c r="U38" s="29"/>
      <c r="V38" s="40"/>
      <c r="W38" s="35"/>
      <c r="X38" s="35"/>
      <c r="Y38" s="35"/>
      <c r="Z38" s="35"/>
      <c r="AA38" s="35">
        <f t="shared" si="8"/>
        <v>0</v>
      </c>
      <c r="AB38" s="30"/>
      <c r="AC38" s="29"/>
      <c r="AD38" s="35"/>
      <c r="AE38" s="35"/>
      <c r="AF38" s="35"/>
      <c r="AG38" s="35">
        <v>0</v>
      </c>
      <c r="AH38" s="30"/>
      <c r="AI38" s="35"/>
      <c r="AM38" s="26">
        <v>0</v>
      </c>
      <c r="AN38" s="30"/>
      <c r="AO38" s="31"/>
      <c r="AS38" s="26">
        <v>0</v>
      </c>
      <c r="AT38" s="30"/>
      <c r="AY38" s="26">
        <v>0</v>
      </c>
      <c r="AZ38" s="30"/>
      <c r="BD38" s="26">
        <v>0</v>
      </c>
      <c r="BE38" s="30"/>
      <c r="BF38" s="29"/>
      <c r="BH38" s="26">
        <v>0</v>
      </c>
      <c r="BI38" s="30"/>
      <c r="BJ38" s="29"/>
      <c r="BL38" s="26">
        <v>0</v>
      </c>
      <c r="BM38" s="30"/>
      <c r="BP38" s="26">
        <v>0</v>
      </c>
      <c r="BQ38" s="30"/>
      <c r="BR38" s="29"/>
      <c r="BT38" s="26">
        <v>0</v>
      </c>
      <c r="BU38" s="30"/>
      <c r="BX38" s="26">
        <v>0</v>
      </c>
      <c r="BY38" s="30"/>
      <c r="BZ38" s="29"/>
      <c r="CB38" s="26">
        <v>0</v>
      </c>
      <c r="CC38" s="30"/>
      <c r="CD38" s="29"/>
      <c r="CF38" s="26">
        <v>0</v>
      </c>
      <c r="CG38" s="30"/>
      <c r="CJ38" s="26">
        <v>0</v>
      </c>
      <c r="CK38" s="30"/>
      <c r="CL38" s="29"/>
      <c r="CP38" s="26">
        <v>0</v>
      </c>
      <c r="CQ38" s="30"/>
      <c r="CR38" s="29"/>
      <c r="CT38" s="26">
        <v>0</v>
      </c>
      <c r="CU38" s="30"/>
      <c r="CZ38" s="26">
        <v>0</v>
      </c>
      <c r="DA38" s="30"/>
      <c r="DD38" s="26">
        <v>0</v>
      </c>
      <c r="DE38" s="30"/>
      <c r="DF38" s="29"/>
      <c r="DH38" s="26">
        <v>0</v>
      </c>
      <c r="DI38" s="30"/>
      <c r="DJ38" s="29"/>
      <c r="DL38" s="26">
        <v>0</v>
      </c>
      <c r="DM38" s="30"/>
      <c r="DP38" s="26">
        <v>0</v>
      </c>
      <c r="DQ38" s="30"/>
      <c r="DR38" s="29"/>
      <c r="DU38" s="26">
        <v>0</v>
      </c>
      <c r="DV38" s="30"/>
      <c r="DW38" s="29"/>
      <c r="EA38" s="26">
        <v>0</v>
      </c>
      <c r="EB38" s="30"/>
      <c r="EC38" s="29"/>
      <c r="EF38" s="26">
        <v>0</v>
      </c>
      <c r="EG38" s="30"/>
      <c r="EJ38" s="26">
        <v>0</v>
      </c>
      <c r="EK38" s="30"/>
      <c r="EL38" s="31"/>
      <c r="EN38" s="26">
        <v>0</v>
      </c>
      <c r="EO38" s="30"/>
      <c r="EP38" s="29"/>
      <c r="ER38" s="26">
        <v>0</v>
      </c>
      <c r="ES38" s="30"/>
      <c r="ET38" s="29"/>
      <c r="EV38" s="26">
        <v>0</v>
      </c>
      <c r="EW38" s="30"/>
      <c r="EZ38" s="26">
        <v>0</v>
      </c>
      <c r="FA38" s="30"/>
      <c r="FD38" s="26">
        <v>0</v>
      </c>
      <c r="FE38" s="30"/>
      <c r="FF38" s="29"/>
      <c r="FI38" s="26">
        <v>0</v>
      </c>
      <c r="FJ38" s="30"/>
      <c r="FK38" s="29"/>
      <c r="FN38" s="26">
        <v>0</v>
      </c>
      <c r="FO38" s="30"/>
      <c r="FR38" s="26">
        <v>0</v>
      </c>
      <c r="FS38" s="30"/>
      <c r="FT38" s="29"/>
      <c r="FY38" s="26">
        <v>0</v>
      </c>
      <c r="FZ38" s="30"/>
      <c r="GC38" s="26">
        <v>0</v>
      </c>
      <c r="GD38" s="30"/>
      <c r="GE38" s="29"/>
      <c r="GI38" s="26">
        <v>0</v>
      </c>
      <c r="GJ38" s="30"/>
      <c r="GO38" s="26">
        <v>0</v>
      </c>
      <c r="GP38" s="30"/>
      <c r="GS38" s="26">
        <v>0</v>
      </c>
      <c r="GT38" s="30"/>
      <c r="GU38" s="29"/>
      <c r="GW38" s="26">
        <v>0</v>
      </c>
      <c r="GX38" s="30"/>
      <c r="GY38" s="29"/>
      <c r="HA38" s="26">
        <v>0</v>
      </c>
      <c r="HB38" s="30"/>
      <c r="HE38" s="26">
        <v>0</v>
      </c>
      <c r="HF38" s="30"/>
      <c r="HG38" s="29"/>
      <c r="HI38" s="26">
        <v>0</v>
      </c>
      <c r="HJ38" s="30"/>
      <c r="HK38" s="29"/>
      <c r="HM38" s="26">
        <v>0</v>
      </c>
      <c r="HN38" s="30"/>
      <c r="HQ38" s="26">
        <v>0</v>
      </c>
      <c r="HR38" s="33"/>
      <c r="HU38" s="26">
        <v>0</v>
      </c>
      <c r="HV38" s="30"/>
      <c r="HY38" s="26">
        <v>0</v>
      </c>
      <c r="HZ38" s="33"/>
      <c r="IC38" s="26">
        <v>0</v>
      </c>
      <c r="ID38" s="30"/>
      <c r="IG38" s="26">
        <v>0</v>
      </c>
      <c r="IH38" s="33"/>
      <c r="IK38" s="26">
        <v>0</v>
      </c>
      <c r="IL38" s="30"/>
      <c r="IM38" s="31"/>
      <c r="IO38" s="26">
        <v>0</v>
      </c>
      <c r="IP38" s="33"/>
      <c r="IS38" s="26">
        <v>0</v>
      </c>
      <c r="IT38" s="33"/>
      <c r="IW38" s="26">
        <v>0</v>
      </c>
      <c r="IX38" s="33"/>
      <c r="JA38" s="26">
        <v>0</v>
      </c>
      <c r="JB38" s="30"/>
      <c r="JC38" s="27"/>
      <c r="JE38" s="27"/>
      <c r="JG38" s="26">
        <v>0</v>
      </c>
      <c r="JH38" s="33"/>
      <c r="JI38" s="28">
        <v>0</v>
      </c>
      <c r="JJ38" s="28">
        <v>0</v>
      </c>
      <c r="JK38" s="26">
        <v>0</v>
      </c>
      <c r="JL38" s="33"/>
      <c r="JM38" s="28">
        <v>0</v>
      </c>
      <c r="JN38" s="28">
        <v>0</v>
      </c>
      <c r="JO38" s="26">
        <v>0</v>
      </c>
      <c r="JP38" s="33"/>
      <c r="JQ38" s="31">
        <v>0</v>
      </c>
      <c r="JR38" s="28">
        <v>0</v>
      </c>
      <c r="JS38" s="26">
        <v>0</v>
      </c>
      <c r="JT38" s="33"/>
    </row>
    <row r="39" spans="1:280" x14ac:dyDescent="0.25">
      <c r="A39" s="26" t="s">
        <v>190</v>
      </c>
      <c r="B39" s="27">
        <v>1</v>
      </c>
      <c r="I39" s="29"/>
      <c r="J39" s="35"/>
      <c r="K39" s="40"/>
      <c r="L39" s="35"/>
      <c r="M39" s="35">
        <f t="shared" si="6"/>
        <v>0</v>
      </c>
      <c r="N39" s="30"/>
      <c r="O39" s="29"/>
      <c r="P39" s="35"/>
      <c r="Q39" s="35"/>
      <c r="R39" s="35"/>
      <c r="S39" s="35">
        <f t="shared" si="7"/>
        <v>0</v>
      </c>
      <c r="T39" s="30"/>
      <c r="U39" s="29"/>
      <c r="V39" s="40"/>
      <c r="W39" s="35"/>
      <c r="X39" s="35"/>
      <c r="Y39" s="35"/>
      <c r="Z39" s="35"/>
      <c r="AA39" s="35">
        <f t="shared" si="8"/>
        <v>0</v>
      </c>
      <c r="AB39" s="30"/>
      <c r="AC39" s="29"/>
      <c r="AD39" s="35"/>
      <c r="AE39" s="35"/>
      <c r="AF39" s="35"/>
      <c r="AG39" s="35">
        <v>0</v>
      </c>
      <c r="AH39" s="30"/>
      <c r="AI39" s="35"/>
      <c r="AM39" s="26">
        <v>0</v>
      </c>
      <c r="AN39" s="30"/>
      <c r="AO39" s="31"/>
      <c r="AS39" s="26">
        <v>0</v>
      </c>
      <c r="AT39" s="30"/>
      <c r="AY39" s="26">
        <v>0</v>
      </c>
      <c r="AZ39" s="30"/>
      <c r="BD39" s="26">
        <v>0</v>
      </c>
      <c r="BE39" s="30"/>
      <c r="BF39" s="29"/>
      <c r="BH39" s="26">
        <v>0</v>
      </c>
      <c r="BI39" s="30"/>
      <c r="BJ39" s="29"/>
      <c r="BL39" s="26">
        <v>0</v>
      </c>
      <c r="BM39" s="30"/>
      <c r="BP39" s="26">
        <v>0</v>
      </c>
      <c r="BQ39" s="30"/>
      <c r="BR39" s="29"/>
      <c r="BT39" s="26">
        <v>0</v>
      </c>
      <c r="BU39" s="30"/>
      <c r="BX39" s="26">
        <v>0</v>
      </c>
      <c r="BY39" s="30"/>
      <c r="BZ39" s="29"/>
      <c r="CB39" s="26">
        <v>0</v>
      </c>
      <c r="CC39" s="30"/>
      <c r="CD39" s="29"/>
      <c r="CF39" s="26">
        <v>0</v>
      </c>
      <c r="CG39" s="30"/>
      <c r="CJ39" s="26">
        <v>0</v>
      </c>
      <c r="CK39" s="30"/>
      <c r="CL39" s="29"/>
      <c r="CP39" s="26">
        <v>0</v>
      </c>
      <c r="CQ39" s="30"/>
      <c r="CR39" s="29"/>
      <c r="CT39" s="26">
        <v>0</v>
      </c>
      <c r="CU39" s="30"/>
      <c r="CZ39" s="26">
        <v>0</v>
      </c>
      <c r="DA39" s="30"/>
      <c r="DD39" s="26">
        <v>0</v>
      </c>
      <c r="DE39" s="30"/>
      <c r="DF39" s="29"/>
      <c r="DH39" s="26">
        <v>0</v>
      </c>
      <c r="DI39" s="30"/>
      <c r="DJ39" s="29"/>
      <c r="DL39" s="26">
        <v>0</v>
      </c>
      <c r="DM39" s="30"/>
      <c r="DP39" s="26">
        <v>0</v>
      </c>
      <c r="DQ39" s="30"/>
      <c r="DR39" s="29"/>
      <c r="DU39" s="26">
        <v>0</v>
      </c>
      <c r="DV39" s="30"/>
      <c r="DW39" s="29"/>
      <c r="EA39" s="26">
        <v>0</v>
      </c>
      <c r="EB39" s="30"/>
      <c r="EC39" s="29"/>
      <c r="EF39" s="26">
        <v>0</v>
      </c>
      <c r="EG39" s="30"/>
      <c r="EJ39" s="26">
        <v>0</v>
      </c>
      <c r="EK39" s="30"/>
      <c r="EL39" s="31"/>
      <c r="EN39" s="26">
        <v>0</v>
      </c>
      <c r="EO39" s="30"/>
      <c r="EP39" s="29"/>
      <c r="ER39" s="26">
        <v>0</v>
      </c>
      <c r="ES39" s="30"/>
      <c r="ET39" s="29"/>
      <c r="EV39" s="26">
        <v>0</v>
      </c>
      <c r="EW39" s="30"/>
      <c r="EZ39" s="26">
        <v>0</v>
      </c>
      <c r="FA39" s="30"/>
      <c r="FD39" s="26">
        <v>0</v>
      </c>
      <c r="FE39" s="30"/>
      <c r="FF39" s="29"/>
      <c r="FI39" s="26">
        <v>0</v>
      </c>
      <c r="FJ39" s="30"/>
      <c r="FK39" s="29"/>
      <c r="FN39" s="26">
        <v>0</v>
      </c>
      <c r="FO39" s="30"/>
      <c r="FR39" s="26">
        <v>0</v>
      </c>
      <c r="FS39" s="30"/>
      <c r="FT39" s="29"/>
      <c r="FY39" s="26">
        <v>0</v>
      </c>
      <c r="FZ39" s="30"/>
      <c r="GC39" s="26">
        <v>0</v>
      </c>
      <c r="GD39" s="30"/>
      <c r="GE39" s="29"/>
      <c r="GI39" s="26">
        <v>0</v>
      </c>
      <c r="GJ39" s="30"/>
      <c r="GO39" s="26">
        <v>0</v>
      </c>
      <c r="GP39" s="30"/>
      <c r="GS39" s="26">
        <v>0</v>
      </c>
      <c r="GT39" s="30"/>
      <c r="GU39" s="29"/>
      <c r="GW39" s="26">
        <v>0</v>
      </c>
      <c r="GX39" s="30"/>
      <c r="GY39" s="29"/>
      <c r="HA39" s="26">
        <v>0</v>
      </c>
      <c r="HB39" s="30"/>
      <c r="HE39" s="26">
        <v>0</v>
      </c>
      <c r="HF39" s="30"/>
      <c r="HG39" s="29"/>
      <c r="HI39" s="26">
        <v>0</v>
      </c>
      <c r="HJ39" s="30"/>
      <c r="HK39" s="29"/>
      <c r="HM39" s="26">
        <v>0</v>
      </c>
      <c r="HN39" s="30"/>
      <c r="HQ39" s="26">
        <v>0</v>
      </c>
      <c r="HR39" s="33"/>
      <c r="HU39" s="26">
        <v>0</v>
      </c>
      <c r="HV39" s="30"/>
      <c r="HY39" s="26">
        <v>0</v>
      </c>
      <c r="HZ39" s="33"/>
      <c r="IC39" s="26">
        <v>0</v>
      </c>
      <c r="ID39" s="30"/>
      <c r="IG39" s="26">
        <v>0</v>
      </c>
      <c r="IH39" s="33"/>
      <c r="IK39" s="26">
        <v>0</v>
      </c>
      <c r="IL39" s="30"/>
      <c r="IM39" s="31"/>
      <c r="IO39" s="26">
        <v>0</v>
      </c>
      <c r="IP39" s="33"/>
      <c r="IS39" s="26">
        <v>0</v>
      </c>
      <c r="IT39" s="33"/>
      <c r="IW39" s="26">
        <v>0</v>
      </c>
      <c r="IX39" s="33"/>
      <c r="JA39" s="26">
        <v>0</v>
      </c>
      <c r="JB39" s="30"/>
      <c r="JC39" s="27"/>
      <c r="JE39" s="27"/>
      <c r="JG39" s="26">
        <v>0</v>
      </c>
      <c r="JH39" s="33"/>
      <c r="JI39" s="28">
        <v>0</v>
      </c>
      <c r="JJ39" s="28">
        <v>0</v>
      </c>
      <c r="JK39" s="26">
        <v>0</v>
      </c>
      <c r="JL39" s="33"/>
      <c r="JM39" s="28">
        <v>0</v>
      </c>
      <c r="JN39" s="28">
        <v>0</v>
      </c>
      <c r="JO39" s="26">
        <v>0</v>
      </c>
      <c r="JP39" s="33"/>
      <c r="JQ39" s="31">
        <v>0</v>
      </c>
      <c r="JR39" s="28">
        <v>0</v>
      </c>
      <c r="JS39" s="26">
        <v>0</v>
      </c>
      <c r="JT39" s="33"/>
    </row>
    <row r="40" spans="1:280" x14ac:dyDescent="0.25">
      <c r="A40" s="26" t="s">
        <v>191</v>
      </c>
      <c r="B40" s="27">
        <v>0.4</v>
      </c>
      <c r="I40" s="29"/>
      <c r="J40" s="35"/>
      <c r="K40" s="40"/>
      <c r="L40" s="35"/>
      <c r="M40" s="35">
        <f t="shared" si="6"/>
        <v>0</v>
      </c>
      <c r="N40" s="30"/>
      <c r="O40" s="29"/>
      <c r="P40" s="35"/>
      <c r="Q40" s="35"/>
      <c r="R40" s="35"/>
      <c r="S40" s="35">
        <f t="shared" si="7"/>
        <v>0</v>
      </c>
      <c r="T40" s="30"/>
      <c r="U40" s="29"/>
      <c r="V40" s="40"/>
      <c r="W40" s="35"/>
      <c r="X40" s="35"/>
      <c r="Y40" s="35"/>
      <c r="Z40" s="35"/>
      <c r="AA40" s="35">
        <f t="shared" si="8"/>
        <v>0</v>
      </c>
      <c r="AB40" s="30"/>
      <c r="AC40" s="29"/>
      <c r="AD40" s="35"/>
      <c r="AE40" s="35"/>
      <c r="AF40" s="35"/>
      <c r="AG40" s="35">
        <v>0</v>
      </c>
      <c r="AH40" s="30"/>
      <c r="AI40" s="35"/>
      <c r="AM40" s="26">
        <v>0</v>
      </c>
      <c r="AN40" s="30"/>
      <c r="AO40" s="31"/>
      <c r="AS40" s="26">
        <v>0</v>
      </c>
      <c r="AT40" s="30"/>
      <c r="AY40" s="26">
        <v>0</v>
      </c>
      <c r="AZ40" s="30"/>
      <c r="BD40" s="26">
        <v>0</v>
      </c>
      <c r="BE40" s="30"/>
      <c r="BF40" s="29"/>
      <c r="BH40" s="26">
        <v>0</v>
      </c>
      <c r="BI40" s="30"/>
      <c r="BJ40" s="29"/>
      <c r="BL40" s="26">
        <v>0</v>
      </c>
      <c r="BM40" s="30"/>
      <c r="BP40" s="26">
        <v>0</v>
      </c>
      <c r="BQ40" s="30"/>
      <c r="BR40" s="29"/>
      <c r="BT40" s="26">
        <v>0</v>
      </c>
      <c r="BU40" s="30"/>
      <c r="BX40" s="26">
        <v>0</v>
      </c>
      <c r="BY40" s="30"/>
      <c r="BZ40" s="29"/>
      <c r="CB40" s="26">
        <v>0</v>
      </c>
      <c r="CC40" s="30"/>
      <c r="CD40" s="29"/>
      <c r="CF40" s="26">
        <v>0</v>
      </c>
      <c r="CG40" s="30"/>
      <c r="CJ40" s="26">
        <v>0</v>
      </c>
      <c r="CK40" s="30"/>
      <c r="CL40" s="29"/>
      <c r="CP40" s="26">
        <v>0</v>
      </c>
      <c r="CQ40" s="30"/>
      <c r="CR40" s="29"/>
      <c r="CT40" s="26">
        <v>0</v>
      </c>
      <c r="CU40" s="30"/>
      <c r="CZ40" s="26">
        <v>0</v>
      </c>
      <c r="DA40" s="30"/>
      <c r="DD40" s="26">
        <v>0</v>
      </c>
      <c r="DE40" s="30"/>
      <c r="DF40" s="29"/>
      <c r="DH40" s="26">
        <v>0</v>
      </c>
      <c r="DI40" s="30"/>
      <c r="DJ40" s="29"/>
      <c r="DL40" s="26">
        <v>0</v>
      </c>
      <c r="DM40" s="30"/>
      <c r="DP40" s="26">
        <v>0</v>
      </c>
      <c r="DQ40" s="30"/>
      <c r="DR40" s="29"/>
      <c r="DU40" s="26">
        <v>0</v>
      </c>
      <c r="DV40" s="30"/>
      <c r="DW40" s="29"/>
      <c r="EA40" s="26">
        <v>0</v>
      </c>
      <c r="EB40" s="30"/>
      <c r="EC40" s="29"/>
      <c r="EF40" s="26">
        <v>0</v>
      </c>
      <c r="EG40" s="30"/>
      <c r="EJ40" s="26">
        <v>0</v>
      </c>
      <c r="EK40" s="30"/>
      <c r="EL40" s="31"/>
      <c r="EN40" s="26">
        <v>0</v>
      </c>
      <c r="EO40" s="30"/>
      <c r="EP40" s="29"/>
      <c r="ER40" s="26">
        <v>0</v>
      </c>
      <c r="ES40" s="30"/>
      <c r="ET40" s="29"/>
      <c r="EV40" s="26">
        <v>0</v>
      </c>
      <c r="EW40" s="30"/>
      <c r="EZ40" s="26">
        <v>0</v>
      </c>
      <c r="FA40" s="30"/>
      <c r="FD40" s="26">
        <v>0</v>
      </c>
      <c r="FE40" s="30"/>
      <c r="FF40" s="29"/>
      <c r="FI40" s="26">
        <v>0</v>
      </c>
      <c r="FJ40" s="30"/>
      <c r="FK40" s="29"/>
      <c r="FN40" s="26">
        <v>0</v>
      </c>
      <c r="FO40" s="30"/>
      <c r="FR40" s="26">
        <v>0</v>
      </c>
      <c r="FS40" s="30"/>
      <c r="FT40" s="29"/>
      <c r="FY40" s="26">
        <v>0</v>
      </c>
      <c r="FZ40" s="30"/>
      <c r="GC40" s="26">
        <v>0</v>
      </c>
      <c r="GD40" s="30"/>
      <c r="GE40" s="29"/>
      <c r="GI40" s="26">
        <v>0</v>
      </c>
      <c r="GJ40" s="30"/>
      <c r="GO40" s="26">
        <v>0</v>
      </c>
      <c r="GP40" s="30"/>
      <c r="GS40" s="26">
        <v>0</v>
      </c>
      <c r="GT40" s="30"/>
      <c r="GU40" s="29"/>
      <c r="GW40" s="26">
        <v>0</v>
      </c>
      <c r="GX40" s="30"/>
      <c r="GY40" s="29"/>
      <c r="HA40" s="26">
        <v>0</v>
      </c>
      <c r="HB40" s="30"/>
      <c r="HE40" s="26">
        <v>0</v>
      </c>
      <c r="HF40" s="30"/>
      <c r="HG40" s="29"/>
      <c r="HI40" s="26">
        <v>0</v>
      </c>
      <c r="HJ40" s="30"/>
      <c r="HK40" s="29"/>
      <c r="HM40" s="26">
        <v>0</v>
      </c>
      <c r="HN40" s="30"/>
      <c r="HQ40" s="26">
        <v>0</v>
      </c>
      <c r="HR40" s="33"/>
      <c r="HU40" s="26">
        <v>0</v>
      </c>
      <c r="HV40" s="30"/>
      <c r="HY40" s="26">
        <v>0</v>
      </c>
      <c r="HZ40" s="33"/>
      <c r="IC40" s="26">
        <v>0</v>
      </c>
      <c r="ID40" s="30"/>
      <c r="IG40" s="26">
        <v>0</v>
      </c>
      <c r="IH40" s="33"/>
      <c r="IK40" s="26">
        <v>0</v>
      </c>
      <c r="IL40" s="30"/>
      <c r="IM40" s="31"/>
      <c r="IO40" s="26">
        <v>0</v>
      </c>
      <c r="IP40" s="33"/>
      <c r="IS40" s="26">
        <v>0</v>
      </c>
      <c r="IT40" s="33"/>
      <c r="IW40" s="26">
        <v>0</v>
      </c>
      <c r="IX40" s="33"/>
      <c r="JA40" s="26">
        <v>0</v>
      </c>
      <c r="JB40" s="30"/>
      <c r="JC40" s="27"/>
      <c r="JE40" s="27"/>
      <c r="JG40" s="26">
        <v>0</v>
      </c>
      <c r="JH40" s="33"/>
      <c r="JI40" s="28">
        <v>0</v>
      </c>
      <c r="JJ40" s="28">
        <v>0</v>
      </c>
      <c r="JK40" s="26">
        <v>0</v>
      </c>
      <c r="JL40" s="33"/>
      <c r="JM40" s="28">
        <v>0</v>
      </c>
      <c r="JN40" s="28">
        <v>0</v>
      </c>
      <c r="JO40" s="26">
        <v>0</v>
      </c>
      <c r="JP40" s="33"/>
      <c r="JQ40" s="31">
        <v>0</v>
      </c>
      <c r="JR40" s="28">
        <v>0</v>
      </c>
      <c r="JS40" s="26">
        <v>0</v>
      </c>
      <c r="JT40" s="33"/>
    </row>
    <row r="41" spans="1:280" x14ac:dyDescent="0.25">
      <c r="A41" s="26" t="s">
        <v>192</v>
      </c>
      <c r="B41" s="27">
        <v>0.33</v>
      </c>
      <c r="I41" s="29"/>
      <c r="J41" s="35"/>
      <c r="K41" s="40"/>
      <c r="L41" s="35"/>
      <c r="M41" s="35">
        <f t="shared" si="6"/>
        <v>0</v>
      </c>
      <c r="N41" s="30"/>
      <c r="O41" s="29"/>
      <c r="P41" s="35"/>
      <c r="Q41" s="35"/>
      <c r="R41" s="35"/>
      <c r="S41" s="35">
        <f t="shared" si="7"/>
        <v>0</v>
      </c>
      <c r="T41" s="30"/>
      <c r="U41" s="29"/>
      <c r="V41" s="40"/>
      <c r="W41" s="35"/>
      <c r="X41" s="35"/>
      <c r="Y41" s="35"/>
      <c r="Z41" s="35"/>
      <c r="AA41" s="35">
        <f t="shared" si="8"/>
        <v>0</v>
      </c>
      <c r="AB41" s="30"/>
      <c r="AC41" s="29"/>
      <c r="AD41" s="35"/>
      <c r="AE41" s="35"/>
      <c r="AF41" s="35"/>
      <c r="AG41" s="35">
        <v>0</v>
      </c>
      <c r="AH41" s="30"/>
      <c r="AI41" s="35"/>
      <c r="AM41" s="26">
        <v>0</v>
      </c>
      <c r="AN41" s="30"/>
      <c r="AO41" s="31"/>
      <c r="AS41" s="26">
        <v>0</v>
      </c>
      <c r="AT41" s="30"/>
      <c r="AY41" s="26">
        <v>0</v>
      </c>
      <c r="AZ41" s="30"/>
      <c r="BD41" s="26">
        <v>0</v>
      </c>
      <c r="BE41" s="30"/>
      <c r="BF41" s="29"/>
      <c r="BH41" s="26">
        <v>0</v>
      </c>
      <c r="BI41" s="30"/>
      <c r="BJ41" s="29"/>
      <c r="BL41" s="26">
        <v>0</v>
      </c>
      <c r="BM41" s="30"/>
      <c r="BP41" s="26">
        <v>0</v>
      </c>
      <c r="BQ41" s="30"/>
      <c r="BR41" s="29"/>
      <c r="BT41" s="26">
        <v>0</v>
      </c>
      <c r="BU41" s="30"/>
      <c r="BX41" s="26">
        <v>0</v>
      </c>
      <c r="BY41" s="30"/>
      <c r="BZ41" s="29"/>
      <c r="CB41" s="26">
        <v>0</v>
      </c>
      <c r="CC41" s="30"/>
      <c r="CD41" s="29"/>
      <c r="CF41" s="26">
        <v>0</v>
      </c>
      <c r="CG41" s="30"/>
      <c r="CJ41" s="26">
        <v>0</v>
      </c>
      <c r="CK41" s="30"/>
      <c r="CL41" s="29"/>
      <c r="CP41" s="26">
        <v>0</v>
      </c>
      <c r="CQ41" s="30"/>
      <c r="CR41" s="29"/>
      <c r="CT41" s="26">
        <v>0</v>
      </c>
      <c r="CU41" s="30"/>
      <c r="CZ41" s="26">
        <v>0</v>
      </c>
      <c r="DA41" s="30"/>
      <c r="DD41" s="26">
        <v>0</v>
      </c>
      <c r="DE41" s="30"/>
      <c r="DF41" s="29"/>
      <c r="DH41" s="26">
        <v>0</v>
      </c>
      <c r="DI41" s="30"/>
      <c r="DJ41" s="29"/>
      <c r="DL41" s="26">
        <v>0</v>
      </c>
      <c r="DM41" s="30"/>
      <c r="DP41" s="26">
        <v>0</v>
      </c>
      <c r="DQ41" s="30"/>
      <c r="DR41" s="29"/>
      <c r="DU41" s="26">
        <v>0</v>
      </c>
      <c r="DV41" s="30"/>
      <c r="DW41" s="29"/>
      <c r="EA41" s="26">
        <v>0</v>
      </c>
      <c r="EB41" s="30"/>
      <c r="EC41" s="29"/>
      <c r="EF41" s="26">
        <v>0</v>
      </c>
      <c r="EG41" s="30"/>
      <c r="EJ41" s="26">
        <v>0</v>
      </c>
      <c r="EK41" s="30"/>
      <c r="EL41" s="31"/>
      <c r="EN41" s="26">
        <v>0</v>
      </c>
      <c r="EO41" s="30"/>
      <c r="EP41" s="29"/>
      <c r="ER41" s="26">
        <v>0</v>
      </c>
      <c r="ES41" s="30"/>
      <c r="ET41" s="29"/>
      <c r="EV41" s="26">
        <v>0</v>
      </c>
      <c r="EW41" s="30"/>
      <c r="EZ41" s="26">
        <v>0</v>
      </c>
      <c r="FA41" s="30"/>
      <c r="FD41" s="26">
        <v>0</v>
      </c>
      <c r="FE41" s="30"/>
      <c r="FF41" s="29"/>
      <c r="FI41" s="26">
        <v>0</v>
      </c>
      <c r="FJ41" s="30"/>
      <c r="FK41" s="29"/>
      <c r="FN41" s="26">
        <v>0</v>
      </c>
      <c r="FO41" s="30"/>
      <c r="FR41" s="26">
        <v>0</v>
      </c>
      <c r="FS41" s="30"/>
      <c r="FT41" s="29"/>
      <c r="FW41">
        <v>16</v>
      </c>
      <c r="FX41">
        <v>14</v>
      </c>
      <c r="FY41" s="26">
        <v>2</v>
      </c>
      <c r="FZ41" s="30"/>
      <c r="GA41">
        <v>16</v>
      </c>
      <c r="GB41" s="28">
        <v>19.600000000000001</v>
      </c>
      <c r="GC41" s="26">
        <v>-3.600000000000001</v>
      </c>
      <c r="GD41" s="30"/>
      <c r="GE41" s="29"/>
      <c r="GG41">
        <v>8</v>
      </c>
      <c r="GH41">
        <v>12</v>
      </c>
      <c r="GI41" s="26">
        <v>-4</v>
      </c>
      <c r="GJ41" s="30"/>
      <c r="GM41">
        <v>16</v>
      </c>
      <c r="GN41">
        <v>16</v>
      </c>
      <c r="GO41" s="26">
        <v>0</v>
      </c>
      <c r="GP41" s="30"/>
      <c r="GS41" s="26">
        <v>0</v>
      </c>
      <c r="GT41" s="30"/>
      <c r="GU41" s="32">
        <v>16</v>
      </c>
      <c r="GV41">
        <v>16</v>
      </c>
      <c r="GW41" s="26">
        <v>0</v>
      </c>
      <c r="GX41" s="30"/>
      <c r="GY41" s="29"/>
      <c r="HA41" s="26">
        <v>0</v>
      </c>
      <c r="HB41" s="30"/>
      <c r="HE41" s="26">
        <v>0</v>
      </c>
      <c r="HF41" s="30"/>
      <c r="HG41" s="32">
        <v>24</v>
      </c>
      <c r="HH41">
        <v>23</v>
      </c>
      <c r="HI41" s="26">
        <v>1</v>
      </c>
      <c r="HJ41" s="30"/>
      <c r="HK41" s="29"/>
      <c r="HM41" s="26">
        <v>0</v>
      </c>
      <c r="HN41" s="30"/>
      <c r="HQ41" s="26">
        <v>0</v>
      </c>
      <c r="HR41" s="33"/>
      <c r="HS41">
        <v>8</v>
      </c>
      <c r="HT41">
        <v>5</v>
      </c>
      <c r="HU41" s="26">
        <v>3</v>
      </c>
      <c r="HV41" s="30"/>
      <c r="HW41">
        <v>16</v>
      </c>
      <c r="HX41">
        <v>16</v>
      </c>
      <c r="HY41" s="26">
        <v>0</v>
      </c>
      <c r="HZ41" s="33"/>
      <c r="IA41">
        <v>8</v>
      </c>
      <c r="IB41">
        <v>5</v>
      </c>
      <c r="IC41" s="26">
        <v>3</v>
      </c>
      <c r="ID41" s="30"/>
      <c r="IG41" s="26">
        <v>0</v>
      </c>
      <c r="IH41" s="33"/>
      <c r="IK41" s="26">
        <v>0</v>
      </c>
      <c r="IL41" s="30"/>
      <c r="IM41" s="31"/>
      <c r="IO41" s="26">
        <v>0</v>
      </c>
      <c r="IP41" s="33"/>
      <c r="IQ41">
        <v>16</v>
      </c>
      <c r="IR41">
        <v>20</v>
      </c>
      <c r="IS41" s="26">
        <v>-4</v>
      </c>
      <c r="IT41" s="33"/>
      <c r="IW41" s="26">
        <v>0</v>
      </c>
      <c r="IX41" s="33"/>
      <c r="JB41" s="30"/>
      <c r="JC41" s="27"/>
      <c r="JE41" s="27"/>
      <c r="JH41" s="33"/>
      <c r="JL41" s="33"/>
      <c r="JM41" s="28"/>
      <c r="JN41" s="28"/>
      <c r="JP41" s="33"/>
      <c r="JQ41" s="31"/>
      <c r="JR41" s="28"/>
      <c r="JT41" s="33"/>
    </row>
    <row r="42" spans="1:280" x14ac:dyDescent="0.25">
      <c r="A42" s="26" t="s">
        <v>193</v>
      </c>
      <c r="B42" s="27">
        <v>1</v>
      </c>
      <c r="I42" s="29"/>
      <c r="J42" s="35"/>
      <c r="K42" s="40"/>
      <c r="L42" s="35"/>
      <c r="M42" s="35">
        <f t="shared" si="6"/>
        <v>0</v>
      </c>
      <c r="N42" s="30"/>
      <c r="O42" s="29"/>
      <c r="P42" s="35"/>
      <c r="Q42" s="35"/>
      <c r="R42" s="35"/>
      <c r="S42" s="35">
        <f t="shared" si="7"/>
        <v>0</v>
      </c>
      <c r="T42" s="30"/>
      <c r="U42" s="29"/>
      <c r="V42" s="40"/>
      <c r="W42" s="35"/>
      <c r="X42" s="35"/>
      <c r="Y42" s="35"/>
      <c r="Z42" s="35"/>
      <c r="AA42" s="35">
        <f t="shared" si="8"/>
        <v>0</v>
      </c>
      <c r="AB42" s="30"/>
      <c r="AC42" s="29"/>
      <c r="AD42" s="35"/>
      <c r="AE42" s="35"/>
      <c r="AF42" s="35"/>
      <c r="AG42" s="35">
        <v>0</v>
      </c>
      <c r="AH42" s="30"/>
      <c r="AI42" s="35"/>
      <c r="AM42" s="26">
        <v>0</v>
      </c>
      <c r="AN42" s="30"/>
      <c r="AO42" s="31"/>
      <c r="AS42" s="26">
        <v>0</v>
      </c>
      <c r="AT42" s="30"/>
      <c r="AY42" s="26">
        <v>0</v>
      </c>
      <c r="AZ42" s="30"/>
      <c r="BD42" s="26">
        <v>0</v>
      </c>
      <c r="BE42" s="30"/>
      <c r="BF42" s="29"/>
      <c r="BH42" s="26">
        <v>0</v>
      </c>
      <c r="BI42" s="30"/>
      <c r="BJ42" s="29"/>
      <c r="BL42" s="26">
        <v>0</v>
      </c>
      <c r="BM42" s="30"/>
      <c r="BP42" s="26">
        <v>0</v>
      </c>
      <c r="BQ42" s="30"/>
      <c r="BR42" s="29"/>
      <c r="BT42" s="26">
        <v>0</v>
      </c>
      <c r="BU42" s="30"/>
      <c r="BX42" s="26">
        <v>0</v>
      </c>
      <c r="BY42" s="30"/>
      <c r="BZ42" s="29"/>
      <c r="CB42" s="26">
        <v>0</v>
      </c>
      <c r="CC42" s="30"/>
      <c r="CD42" s="29"/>
      <c r="CF42" s="26">
        <v>0</v>
      </c>
      <c r="CG42" s="30"/>
      <c r="CJ42" s="26">
        <v>0</v>
      </c>
      <c r="CK42" s="30"/>
      <c r="CL42" s="29"/>
      <c r="CP42" s="26">
        <v>0</v>
      </c>
      <c r="CQ42" s="30"/>
      <c r="CR42" s="29"/>
      <c r="CT42" s="26">
        <v>0</v>
      </c>
      <c r="CU42" s="30"/>
      <c r="CZ42" s="26">
        <v>0</v>
      </c>
      <c r="DA42" s="30"/>
      <c r="DD42" s="26">
        <v>0</v>
      </c>
      <c r="DE42" s="30"/>
      <c r="DF42" s="29"/>
      <c r="DH42" s="26">
        <v>0</v>
      </c>
      <c r="DI42" s="30"/>
      <c r="DJ42" s="29"/>
      <c r="DL42" s="26">
        <v>0</v>
      </c>
      <c r="DM42" s="30"/>
      <c r="DP42" s="26">
        <v>0</v>
      </c>
      <c r="DQ42" s="30"/>
      <c r="DR42" s="29"/>
      <c r="DU42" s="26">
        <v>0</v>
      </c>
      <c r="DV42" s="30"/>
      <c r="DW42" s="29"/>
      <c r="EA42" s="26">
        <v>0</v>
      </c>
      <c r="EB42" s="30"/>
      <c r="EC42" s="29"/>
      <c r="EF42" s="26">
        <v>0</v>
      </c>
      <c r="EG42" s="30"/>
      <c r="EJ42" s="26">
        <v>0</v>
      </c>
      <c r="EK42" s="30"/>
      <c r="EL42" s="31"/>
      <c r="EN42" s="26">
        <v>0</v>
      </c>
      <c r="EO42" s="30"/>
      <c r="EP42" s="29"/>
      <c r="ER42" s="26">
        <v>0</v>
      </c>
      <c r="ES42" s="30"/>
      <c r="ET42" s="29"/>
      <c r="EV42" s="26">
        <v>0</v>
      </c>
      <c r="EW42" s="30"/>
      <c r="EZ42" s="26">
        <v>0</v>
      </c>
      <c r="FA42" s="30"/>
      <c r="FD42" s="26">
        <v>0</v>
      </c>
      <c r="FE42" s="30"/>
      <c r="FF42" s="29"/>
      <c r="FI42" s="26">
        <v>0</v>
      </c>
      <c r="FJ42" s="30"/>
      <c r="FK42" s="29"/>
      <c r="FN42" s="26">
        <v>0</v>
      </c>
      <c r="FO42" s="30"/>
      <c r="FR42" s="26">
        <v>0</v>
      </c>
      <c r="FS42" s="30"/>
      <c r="FT42" s="29"/>
      <c r="FY42" s="26">
        <v>0</v>
      </c>
      <c r="FZ42" s="30"/>
      <c r="GC42" s="26">
        <v>0</v>
      </c>
      <c r="GD42" s="30"/>
      <c r="GE42" s="29"/>
      <c r="GI42" s="26">
        <v>0</v>
      </c>
      <c r="GJ42" s="30"/>
      <c r="GO42" s="26">
        <v>0</v>
      </c>
      <c r="GP42" s="30"/>
      <c r="GS42" s="26">
        <v>0</v>
      </c>
      <c r="GT42" s="30"/>
      <c r="GU42" s="29"/>
      <c r="GW42" s="26">
        <v>0</v>
      </c>
      <c r="GX42" s="30"/>
      <c r="GY42" s="29"/>
      <c r="HA42" s="26">
        <v>0</v>
      </c>
      <c r="HB42" s="30"/>
      <c r="HE42" s="26">
        <v>0</v>
      </c>
      <c r="HF42" s="30"/>
      <c r="HG42" s="29"/>
      <c r="HI42" s="26">
        <v>0</v>
      </c>
      <c r="HJ42" s="30"/>
      <c r="HK42" s="29"/>
      <c r="HM42" s="26">
        <v>0</v>
      </c>
      <c r="HN42" s="30"/>
      <c r="HQ42" s="26">
        <v>0</v>
      </c>
      <c r="HR42" s="33"/>
      <c r="HU42" s="26">
        <v>0</v>
      </c>
      <c r="HV42" s="30"/>
      <c r="HY42" s="26">
        <v>0</v>
      </c>
      <c r="HZ42" s="33"/>
      <c r="IC42" s="26">
        <v>0</v>
      </c>
      <c r="ID42" s="30"/>
      <c r="IG42" s="26">
        <v>0</v>
      </c>
      <c r="IH42" s="33"/>
      <c r="IK42" s="26">
        <v>0</v>
      </c>
      <c r="IL42" s="30"/>
      <c r="IM42" s="31"/>
      <c r="IO42" s="26">
        <v>0</v>
      </c>
      <c r="IP42" s="33"/>
      <c r="IS42" s="26">
        <v>0</v>
      </c>
      <c r="IT42" s="33"/>
      <c r="IW42" s="26">
        <v>0</v>
      </c>
      <c r="IX42" s="33"/>
      <c r="JA42" s="26">
        <v>0</v>
      </c>
      <c r="JB42" s="30"/>
      <c r="JC42" s="27"/>
      <c r="JD42">
        <v>70</v>
      </c>
      <c r="JE42" s="27"/>
      <c r="JF42" s="12">
        <v>49</v>
      </c>
      <c r="JG42" s="25">
        <v>-70</v>
      </c>
      <c r="JH42" s="33">
        <v>70</v>
      </c>
      <c r="JI42" s="28">
        <v>76.488</v>
      </c>
      <c r="JJ42" s="28">
        <v>70</v>
      </c>
      <c r="JK42" s="26">
        <v>6.4880000000000004</v>
      </c>
      <c r="JL42" s="33"/>
      <c r="JM42" s="28">
        <v>58.465000000000003</v>
      </c>
      <c r="JN42" s="28">
        <v>55.213999999999999</v>
      </c>
      <c r="JO42" s="26">
        <v>3.2510000000000052</v>
      </c>
      <c r="JP42" s="33"/>
      <c r="JQ42" s="31">
        <v>0</v>
      </c>
      <c r="JR42" s="28">
        <v>0</v>
      </c>
      <c r="JS42" s="26">
        <v>0</v>
      </c>
      <c r="JT42" s="33"/>
    </row>
    <row r="43" spans="1:280" x14ac:dyDescent="0.25">
      <c r="A43" s="26" t="s">
        <v>194</v>
      </c>
      <c r="B43" s="27">
        <v>1</v>
      </c>
      <c r="I43" s="29"/>
      <c r="J43" s="35"/>
      <c r="K43" s="40"/>
      <c r="L43" s="35"/>
      <c r="M43" s="35">
        <f t="shared" si="6"/>
        <v>0</v>
      </c>
      <c r="N43" s="30"/>
      <c r="O43" s="29"/>
      <c r="P43" s="35"/>
      <c r="Q43" s="35"/>
      <c r="R43" s="35"/>
      <c r="S43" s="35">
        <f t="shared" si="7"/>
        <v>0</v>
      </c>
      <c r="T43" s="30"/>
      <c r="U43" s="29"/>
      <c r="V43" s="40"/>
      <c r="W43" s="35"/>
      <c r="X43" s="35"/>
      <c r="Y43" s="35"/>
      <c r="Z43" s="35"/>
      <c r="AA43" s="35">
        <f t="shared" si="8"/>
        <v>0</v>
      </c>
      <c r="AB43" s="30"/>
      <c r="AC43" s="29"/>
      <c r="AD43" s="35"/>
      <c r="AE43" s="35"/>
      <c r="AF43" s="35"/>
      <c r="AG43" s="35">
        <v>0</v>
      </c>
      <c r="AH43" s="30"/>
      <c r="AI43" s="35"/>
      <c r="AM43" s="26">
        <v>0</v>
      </c>
      <c r="AN43" s="30"/>
      <c r="AO43" s="31"/>
      <c r="AS43" s="26">
        <v>0</v>
      </c>
      <c r="AT43" s="30"/>
      <c r="AY43" s="26">
        <v>0</v>
      </c>
      <c r="AZ43" s="30"/>
      <c r="BD43" s="26">
        <v>0</v>
      </c>
      <c r="BE43" s="30"/>
      <c r="BF43" s="29"/>
      <c r="BH43" s="26">
        <v>0</v>
      </c>
      <c r="BI43" s="30"/>
      <c r="BJ43" s="29"/>
      <c r="BL43" s="26">
        <v>0</v>
      </c>
      <c r="BM43" s="30"/>
      <c r="BP43" s="26">
        <v>0</v>
      </c>
      <c r="BQ43" s="30"/>
      <c r="BR43" s="29"/>
      <c r="BT43" s="26">
        <v>0</v>
      </c>
      <c r="BU43" s="30"/>
      <c r="BX43" s="26">
        <v>0</v>
      </c>
      <c r="BY43" s="30"/>
      <c r="BZ43" s="29"/>
      <c r="CB43" s="26">
        <v>0</v>
      </c>
      <c r="CC43" s="30"/>
      <c r="CD43" s="29"/>
      <c r="CF43" s="26">
        <v>0</v>
      </c>
      <c r="CG43" s="30"/>
      <c r="CJ43" s="26">
        <v>0</v>
      </c>
      <c r="CK43" s="30"/>
      <c r="CL43" s="29"/>
      <c r="CP43" s="26">
        <v>0</v>
      </c>
      <c r="CQ43" s="30"/>
      <c r="CR43" s="29"/>
      <c r="CT43" s="26">
        <v>0</v>
      </c>
      <c r="CU43" s="30"/>
      <c r="CZ43" s="26">
        <v>0</v>
      </c>
      <c r="DA43" s="30"/>
      <c r="DD43" s="26">
        <v>0</v>
      </c>
      <c r="DE43" s="30"/>
      <c r="DF43" s="29"/>
      <c r="DH43" s="26">
        <v>0</v>
      </c>
      <c r="DI43" s="30"/>
      <c r="DJ43" s="29"/>
      <c r="DL43" s="26">
        <v>0</v>
      </c>
      <c r="DM43" s="30"/>
      <c r="DP43" s="26">
        <v>0</v>
      </c>
      <c r="DQ43" s="30"/>
      <c r="DR43" s="29"/>
      <c r="DU43" s="26">
        <v>0</v>
      </c>
      <c r="DV43" s="30"/>
      <c r="DW43" s="29"/>
      <c r="EA43" s="26">
        <v>0</v>
      </c>
      <c r="EB43" s="30"/>
      <c r="EC43" s="29"/>
      <c r="EF43" s="26">
        <v>0</v>
      </c>
      <c r="EG43" s="30"/>
      <c r="EJ43" s="26">
        <v>0</v>
      </c>
      <c r="EK43" s="30"/>
      <c r="EL43" s="31"/>
      <c r="EN43" s="26">
        <v>0</v>
      </c>
      <c r="EO43" s="30"/>
      <c r="EP43" s="29"/>
      <c r="ER43" s="26">
        <v>0</v>
      </c>
      <c r="ES43" s="30"/>
      <c r="ET43" s="29"/>
      <c r="EV43" s="26">
        <v>0</v>
      </c>
      <c r="EW43" s="30"/>
      <c r="EZ43" s="26">
        <v>0</v>
      </c>
      <c r="FA43" s="30"/>
      <c r="FD43" s="26">
        <v>0</v>
      </c>
      <c r="FE43" s="30"/>
      <c r="FF43" s="29"/>
      <c r="FI43" s="26">
        <v>0</v>
      </c>
      <c r="FJ43" s="30"/>
      <c r="FK43" s="29"/>
      <c r="FN43" s="26">
        <v>0</v>
      </c>
      <c r="FO43" s="30"/>
      <c r="FR43" s="26">
        <v>0</v>
      </c>
      <c r="FS43" s="30"/>
      <c r="FT43" s="29"/>
      <c r="FY43" s="26">
        <v>0</v>
      </c>
      <c r="FZ43" s="30"/>
      <c r="GC43" s="26">
        <v>0</v>
      </c>
      <c r="GD43" s="30"/>
      <c r="GE43" s="29"/>
      <c r="GI43" s="26">
        <v>0</v>
      </c>
      <c r="GJ43" s="30"/>
      <c r="GO43" s="26">
        <v>0</v>
      </c>
      <c r="GP43" s="30"/>
      <c r="GS43" s="26">
        <v>0</v>
      </c>
      <c r="GT43" s="30"/>
      <c r="GU43" s="29"/>
      <c r="GW43" s="26">
        <v>0</v>
      </c>
      <c r="GX43" s="30"/>
      <c r="GY43" s="29"/>
      <c r="HA43" s="26">
        <v>0</v>
      </c>
      <c r="HB43" s="30"/>
      <c r="HE43" s="26">
        <v>0</v>
      </c>
      <c r="HF43" s="30"/>
      <c r="HG43" s="29"/>
      <c r="HI43" s="26">
        <v>0</v>
      </c>
      <c r="HJ43" s="30"/>
      <c r="HK43" s="29"/>
      <c r="HM43" s="26">
        <v>0</v>
      </c>
      <c r="HN43" s="30"/>
      <c r="HQ43" s="26">
        <v>0</v>
      </c>
      <c r="HR43" s="33"/>
      <c r="HU43" s="26">
        <v>0</v>
      </c>
      <c r="HV43" s="30"/>
      <c r="HY43" s="26">
        <v>0</v>
      </c>
      <c r="HZ43" s="33"/>
      <c r="IC43" s="26">
        <v>0</v>
      </c>
      <c r="ID43" s="30"/>
      <c r="IG43" s="26">
        <v>0</v>
      </c>
      <c r="IH43" s="33"/>
      <c r="IK43" s="26">
        <v>0</v>
      </c>
      <c r="IL43" s="30"/>
      <c r="IM43" s="31"/>
      <c r="IO43" s="26">
        <v>0</v>
      </c>
      <c r="IP43" s="33"/>
      <c r="IS43" s="26">
        <v>0</v>
      </c>
      <c r="IT43" s="33"/>
      <c r="IW43" s="26">
        <v>0</v>
      </c>
      <c r="IX43" s="33"/>
      <c r="JA43" s="26">
        <v>0</v>
      </c>
      <c r="JB43" s="30"/>
      <c r="JC43" s="27"/>
      <c r="JE43" s="27"/>
      <c r="JG43" s="26">
        <v>0</v>
      </c>
      <c r="JH43" s="33"/>
      <c r="JI43" s="28">
        <v>0</v>
      </c>
      <c r="JJ43" s="28">
        <v>0</v>
      </c>
      <c r="JK43" s="26">
        <v>0</v>
      </c>
      <c r="JL43" s="33"/>
      <c r="JM43" s="28">
        <v>0</v>
      </c>
      <c r="JN43" s="28">
        <v>0</v>
      </c>
      <c r="JO43" s="26">
        <v>0</v>
      </c>
      <c r="JP43" s="33"/>
      <c r="JQ43" s="31">
        <v>0</v>
      </c>
      <c r="JR43" s="28">
        <v>0</v>
      </c>
      <c r="JS43" s="26">
        <v>0</v>
      </c>
      <c r="JT43" s="33"/>
    </row>
    <row r="44" spans="1:280" x14ac:dyDescent="0.25">
      <c r="A44" s="26" t="s">
        <v>195</v>
      </c>
      <c r="B44" s="27">
        <v>0.36</v>
      </c>
      <c r="I44" s="29"/>
      <c r="J44" s="35"/>
      <c r="K44" s="40"/>
      <c r="L44" s="35"/>
      <c r="M44" s="35">
        <f t="shared" si="6"/>
        <v>0</v>
      </c>
      <c r="N44" s="30"/>
      <c r="O44" s="29"/>
      <c r="P44" s="35"/>
      <c r="Q44" s="35"/>
      <c r="R44" s="35"/>
      <c r="S44" s="35">
        <f t="shared" si="7"/>
        <v>0</v>
      </c>
      <c r="T44" s="30"/>
      <c r="U44" s="29"/>
      <c r="V44" s="40"/>
      <c r="W44" s="35"/>
      <c r="X44" s="35"/>
      <c r="Y44" s="35"/>
      <c r="Z44" s="35"/>
      <c r="AA44" s="35">
        <f t="shared" si="8"/>
        <v>0</v>
      </c>
      <c r="AB44" s="30"/>
      <c r="AC44" s="29"/>
      <c r="AD44" s="35"/>
      <c r="AE44" s="35"/>
      <c r="AF44" s="35"/>
      <c r="AG44" s="35">
        <v>0</v>
      </c>
      <c r="AH44" s="30"/>
      <c r="AI44" s="35"/>
      <c r="AM44" s="26">
        <v>0</v>
      </c>
      <c r="AN44" s="30"/>
      <c r="AO44" s="31"/>
      <c r="AS44" s="26">
        <v>0</v>
      </c>
      <c r="AT44" s="30"/>
      <c r="AY44" s="26">
        <v>0</v>
      </c>
      <c r="AZ44" s="30"/>
      <c r="BD44" s="26">
        <v>0</v>
      </c>
      <c r="BE44" s="30"/>
      <c r="BF44" s="29"/>
      <c r="BH44" s="26">
        <v>0</v>
      </c>
      <c r="BI44" s="30"/>
      <c r="BJ44" s="29"/>
      <c r="BL44" s="26">
        <v>0</v>
      </c>
      <c r="BM44" s="30"/>
      <c r="BP44" s="26">
        <v>0</v>
      </c>
      <c r="BQ44" s="30"/>
      <c r="BR44" s="29"/>
      <c r="BT44" s="26">
        <v>0</v>
      </c>
      <c r="BU44" s="30"/>
      <c r="BX44" s="26">
        <v>0</v>
      </c>
      <c r="BY44" s="30"/>
      <c r="BZ44" s="29"/>
      <c r="CB44" s="26">
        <v>0</v>
      </c>
      <c r="CC44" s="30"/>
      <c r="CD44" s="29"/>
      <c r="CF44" s="26">
        <v>0</v>
      </c>
      <c r="CG44" s="30"/>
      <c r="CJ44" s="26">
        <v>0</v>
      </c>
      <c r="CK44" s="30"/>
      <c r="CL44" s="29"/>
      <c r="CP44" s="26">
        <v>0</v>
      </c>
      <c r="CQ44" s="30"/>
      <c r="CR44" s="29"/>
      <c r="CT44" s="26">
        <v>0</v>
      </c>
      <c r="CU44" s="30"/>
      <c r="CZ44" s="26">
        <v>0</v>
      </c>
      <c r="DA44" s="30"/>
      <c r="DD44" s="26">
        <v>0</v>
      </c>
      <c r="DE44" s="30"/>
      <c r="DF44" s="29"/>
      <c r="DH44" s="26">
        <v>0</v>
      </c>
      <c r="DI44" s="30"/>
      <c r="DJ44" s="29"/>
      <c r="DL44" s="26">
        <v>0</v>
      </c>
      <c r="DM44" s="30"/>
      <c r="DP44" s="26">
        <v>0</v>
      </c>
      <c r="DQ44" s="30"/>
      <c r="DR44" s="29"/>
      <c r="DU44" s="26">
        <v>0</v>
      </c>
      <c r="DV44" s="30"/>
      <c r="DW44" s="29"/>
      <c r="EA44" s="26">
        <v>0</v>
      </c>
      <c r="EB44" s="30"/>
      <c r="EC44" s="29"/>
      <c r="EF44" s="26">
        <v>0</v>
      </c>
      <c r="EG44" s="30"/>
      <c r="EJ44" s="26">
        <v>0</v>
      </c>
      <c r="EK44" s="30"/>
      <c r="EL44" s="31"/>
      <c r="EN44" s="26">
        <v>0</v>
      </c>
      <c r="EO44" s="30"/>
      <c r="EP44" s="29"/>
      <c r="ER44" s="26">
        <v>0</v>
      </c>
      <c r="ES44" s="30"/>
      <c r="ET44" s="29"/>
      <c r="EV44" s="26">
        <v>0</v>
      </c>
      <c r="EW44" s="30"/>
      <c r="EZ44" s="26">
        <v>0</v>
      </c>
      <c r="FA44" s="30"/>
      <c r="FD44" s="26">
        <v>0</v>
      </c>
      <c r="FE44" s="30"/>
      <c r="FF44" s="29"/>
      <c r="FI44" s="26">
        <v>0</v>
      </c>
      <c r="FJ44" s="30"/>
      <c r="FK44" s="29"/>
      <c r="FN44" s="26">
        <v>0</v>
      </c>
      <c r="FO44" s="30"/>
      <c r="FR44" s="26">
        <v>0</v>
      </c>
      <c r="FS44" s="30"/>
      <c r="FT44" s="29"/>
      <c r="FY44" s="26">
        <v>0</v>
      </c>
      <c r="FZ44" s="30"/>
      <c r="GC44" s="26">
        <v>0</v>
      </c>
      <c r="GD44" s="30"/>
      <c r="GE44" s="29"/>
      <c r="GI44" s="26">
        <v>0</v>
      </c>
      <c r="GJ44" s="30"/>
      <c r="GO44" s="26">
        <v>0</v>
      </c>
      <c r="GP44" s="30"/>
      <c r="GS44" s="26">
        <v>0</v>
      </c>
      <c r="GT44" s="30"/>
      <c r="GU44" s="29"/>
      <c r="GW44" s="26">
        <v>0</v>
      </c>
      <c r="GX44" s="30"/>
      <c r="GY44" s="29"/>
      <c r="HA44" s="26">
        <v>0</v>
      </c>
      <c r="HB44" s="30"/>
      <c r="HE44" s="26">
        <v>0</v>
      </c>
      <c r="HF44" s="30"/>
      <c r="HG44" s="29"/>
      <c r="HI44" s="26">
        <v>0</v>
      </c>
      <c r="HJ44" s="30"/>
      <c r="HK44" s="29"/>
      <c r="HM44" s="26">
        <v>0</v>
      </c>
      <c r="HN44" s="30"/>
      <c r="HQ44" s="26">
        <v>0</v>
      </c>
      <c r="HR44" s="33"/>
      <c r="HU44" s="26">
        <v>0</v>
      </c>
      <c r="HV44" s="30"/>
      <c r="HY44" s="26">
        <v>0</v>
      </c>
      <c r="HZ44" s="33"/>
      <c r="IC44" s="26">
        <v>0</v>
      </c>
      <c r="ID44" s="30"/>
      <c r="IG44" s="26">
        <v>0</v>
      </c>
      <c r="IH44" s="33"/>
      <c r="IK44" s="26">
        <v>0</v>
      </c>
      <c r="IL44" s="30"/>
      <c r="IM44" s="31"/>
      <c r="IO44" s="26">
        <v>0</v>
      </c>
      <c r="IP44" s="33"/>
      <c r="IS44" s="26">
        <v>0</v>
      </c>
      <c r="IT44" s="33"/>
      <c r="IW44" s="26">
        <v>0</v>
      </c>
      <c r="IX44" s="33"/>
      <c r="JA44" s="26">
        <v>0</v>
      </c>
      <c r="JB44" s="30"/>
      <c r="JC44" s="27"/>
      <c r="JE44" s="27"/>
      <c r="JG44" s="26">
        <v>0</v>
      </c>
      <c r="JH44" s="33"/>
      <c r="JI44" s="28">
        <v>0</v>
      </c>
      <c r="JJ44" s="28">
        <v>0</v>
      </c>
      <c r="JK44" s="26">
        <v>0</v>
      </c>
      <c r="JL44" s="33"/>
      <c r="JM44" s="28">
        <v>0</v>
      </c>
      <c r="JN44" s="28">
        <v>0</v>
      </c>
      <c r="JO44" s="26">
        <v>0</v>
      </c>
      <c r="JP44" s="33"/>
      <c r="JQ44" s="31">
        <v>0</v>
      </c>
      <c r="JR44" s="28">
        <v>0</v>
      </c>
      <c r="JS44" s="26">
        <v>0</v>
      </c>
      <c r="JT44" s="33"/>
    </row>
    <row r="45" spans="1:280" x14ac:dyDescent="0.25">
      <c r="A45" s="26" t="s">
        <v>196</v>
      </c>
      <c r="B45" s="27">
        <v>0.3</v>
      </c>
      <c r="I45" s="29"/>
      <c r="J45" s="35"/>
      <c r="K45" s="40"/>
      <c r="L45" s="35"/>
      <c r="M45" s="35">
        <f t="shared" si="6"/>
        <v>0</v>
      </c>
      <c r="N45" s="30"/>
      <c r="O45" s="29"/>
      <c r="P45" s="35"/>
      <c r="Q45" s="35"/>
      <c r="R45" s="35"/>
      <c r="S45" s="35">
        <f t="shared" si="7"/>
        <v>0</v>
      </c>
      <c r="T45" s="30"/>
      <c r="U45" s="29"/>
      <c r="V45" s="40"/>
      <c r="W45" s="35"/>
      <c r="X45" s="35"/>
      <c r="Y45" s="35"/>
      <c r="Z45" s="35"/>
      <c r="AA45" s="35">
        <f t="shared" si="8"/>
        <v>0</v>
      </c>
      <c r="AB45" s="30"/>
      <c r="AC45" s="29"/>
      <c r="AD45" s="35"/>
      <c r="AE45" s="35"/>
      <c r="AF45" s="35"/>
      <c r="AG45" s="35">
        <v>0</v>
      </c>
      <c r="AH45" s="30"/>
      <c r="AI45" s="35"/>
      <c r="AM45" s="26">
        <v>0</v>
      </c>
      <c r="AN45" s="30"/>
      <c r="AO45" s="31"/>
      <c r="AS45" s="26">
        <v>0</v>
      </c>
      <c r="AT45" s="30"/>
      <c r="AY45" s="26">
        <v>0</v>
      </c>
      <c r="AZ45" s="30"/>
      <c r="BD45" s="26">
        <v>0</v>
      </c>
      <c r="BE45" s="30"/>
      <c r="BF45" s="29"/>
      <c r="BH45" s="26">
        <v>0</v>
      </c>
      <c r="BI45" s="30"/>
      <c r="BJ45" s="29"/>
      <c r="BL45" s="26">
        <v>0</v>
      </c>
      <c r="BM45" s="30"/>
      <c r="BP45" s="26">
        <v>0</v>
      </c>
      <c r="BQ45" s="30"/>
      <c r="BR45" s="29"/>
      <c r="BT45" s="26">
        <v>0</v>
      </c>
      <c r="BU45" s="30"/>
      <c r="BX45" s="26">
        <v>0</v>
      </c>
      <c r="BY45" s="30"/>
      <c r="BZ45" s="29"/>
      <c r="CB45" s="26">
        <v>0</v>
      </c>
      <c r="CC45" s="30"/>
      <c r="CD45" s="29"/>
      <c r="CF45" s="26">
        <v>0</v>
      </c>
      <c r="CG45" s="30"/>
      <c r="CJ45" s="26">
        <v>0</v>
      </c>
      <c r="CK45" s="30"/>
      <c r="CL45" s="29"/>
      <c r="CP45" s="26">
        <v>0</v>
      </c>
      <c r="CQ45" s="30"/>
      <c r="CR45" s="29"/>
      <c r="CT45" s="26">
        <v>0</v>
      </c>
      <c r="CU45" s="30"/>
      <c r="CZ45" s="26">
        <v>0</v>
      </c>
      <c r="DA45" s="30"/>
      <c r="DD45" s="26">
        <v>0</v>
      </c>
      <c r="DE45" s="30"/>
      <c r="DF45" s="29"/>
      <c r="DH45" s="26">
        <v>0</v>
      </c>
      <c r="DI45" s="30"/>
      <c r="DJ45" s="29"/>
      <c r="DL45" s="26">
        <v>0</v>
      </c>
      <c r="DM45" s="30"/>
      <c r="DP45" s="26">
        <v>0</v>
      </c>
      <c r="DQ45" s="30"/>
      <c r="DR45" s="29"/>
      <c r="DU45" s="26">
        <v>0</v>
      </c>
      <c r="DV45" s="30"/>
      <c r="DW45" s="29"/>
      <c r="EA45" s="26">
        <v>0</v>
      </c>
      <c r="EB45" s="30"/>
      <c r="EC45" s="29"/>
      <c r="EF45" s="26">
        <v>0</v>
      </c>
      <c r="EG45" s="30"/>
      <c r="EJ45" s="26">
        <v>0</v>
      </c>
      <c r="EK45" s="30"/>
      <c r="EL45" s="31"/>
      <c r="EN45" s="26">
        <v>0</v>
      </c>
      <c r="EO45" s="30"/>
      <c r="EP45" s="29"/>
      <c r="ER45" s="26">
        <v>0</v>
      </c>
      <c r="ES45" s="30"/>
      <c r="ET45" s="29"/>
      <c r="EV45" s="26">
        <v>0</v>
      </c>
      <c r="EW45" s="30"/>
      <c r="EZ45" s="26">
        <v>0</v>
      </c>
      <c r="FA45" s="30"/>
      <c r="FD45" s="26">
        <v>0</v>
      </c>
      <c r="FE45" s="30"/>
      <c r="FF45" s="29"/>
      <c r="FI45" s="26">
        <v>0</v>
      </c>
      <c r="FJ45" s="30"/>
      <c r="FK45" s="29"/>
      <c r="FN45" s="26">
        <v>0</v>
      </c>
      <c r="FO45" s="30"/>
      <c r="FR45" s="26">
        <v>0</v>
      </c>
      <c r="FS45" s="30"/>
      <c r="FT45" s="29"/>
      <c r="FY45" s="26">
        <v>0</v>
      </c>
      <c r="FZ45" s="30"/>
      <c r="GC45" s="26">
        <v>0</v>
      </c>
      <c r="GD45" s="30"/>
      <c r="GE45" s="29"/>
      <c r="GI45" s="26">
        <v>0</v>
      </c>
      <c r="GJ45" s="30"/>
      <c r="GO45" s="26">
        <v>0</v>
      </c>
      <c r="GP45" s="30"/>
      <c r="GS45" s="26">
        <v>0</v>
      </c>
      <c r="GT45" s="30"/>
      <c r="GU45" s="29"/>
      <c r="GW45" s="26">
        <v>0</v>
      </c>
      <c r="GX45" s="30"/>
      <c r="GY45" s="29"/>
      <c r="HA45" s="26">
        <v>0</v>
      </c>
      <c r="HB45" s="30"/>
      <c r="HE45" s="26">
        <v>0</v>
      </c>
      <c r="HF45" s="30"/>
      <c r="HG45" s="29"/>
      <c r="HI45" s="26">
        <v>0</v>
      </c>
      <c r="HJ45" s="30"/>
      <c r="HK45" s="29"/>
      <c r="HM45" s="26">
        <v>0</v>
      </c>
      <c r="HN45" s="30"/>
      <c r="HQ45" s="26">
        <v>0</v>
      </c>
      <c r="HR45" s="33"/>
      <c r="HU45" s="26">
        <v>0</v>
      </c>
      <c r="HV45" s="30"/>
      <c r="HW45">
        <v>12</v>
      </c>
      <c r="HX45">
        <v>10</v>
      </c>
      <c r="HY45" s="26">
        <v>2</v>
      </c>
      <c r="HZ45" s="33"/>
      <c r="IA45">
        <v>42</v>
      </c>
      <c r="IB45">
        <v>40</v>
      </c>
      <c r="IC45" s="26">
        <v>2</v>
      </c>
      <c r="ID45" s="30"/>
      <c r="IE45">
        <v>6</v>
      </c>
      <c r="IF45">
        <v>10</v>
      </c>
      <c r="IG45" s="26">
        <v>-4</v>
      </c>
      <c r="IH45" s="33"/>
      <c r="IK45" s="26">
        <v>0</v>
      </c>
      <c r="IL45" s="30"/>
      <c r="IM45" s="32">
        <v>24</v>
      </c>
      <c r="IN45" s="28">
        <v>25</v>
      </c>
      <c r="IO45" s="26">
        <v>-1</v>
      </c>
      <c r="IP45" s="33"/>
      <c r="IS45" s="26">
        <v>0</v>
      </c>
      <c r="IT45" s="33"/>
      <c r="IU45">
        <v>18</v>
      </c>
      <c r="IV45">
        <v>20</v>
      </c>
      <c r="IW45" s="26">
        <v>2</v>
      </c>
      <c r="IX45" s="33"/>
      <c r="JA45" s="26">
        <v>0</v>
      </c>
      <c r="JB45" s="30"/>
      <c r="JC45" s="27"/>
      <c r="JE45" s="27"/>
      <c r="JG45" s="26">
        <v>0</v>
      </c>
      <c r="JH45" s="33"/>
      <c r="JI45" s="28">
        <v>42</v>
      </c>
      <c r="JJ45" s="28">
        <v>40</v>
      </c>
      <c r="JK45" s="26">
        <v>2</v>
      </c>
      <c r="JL45" s="33"/>
      <c r="JM45" s="28">
        <v>0</v>
      </c>
      <c r="JN45" s="28">
        <v>0</v>
      </c>
      <c r="JO45" s="26">
        <v>0</v>
      </c>
      <c r="JP45" s="33"/>
      <c r="JQ45" s="31">
        <v>0</v>
      </c>
      <c r="JR45" s="28">
        <v>0</v>
      </c>
      <c r="JS45" s="26">
        <v>0</v>
      </c>
      <c r="JT45" s="33"/>
    </row>
    <row r="46" spans="1:280" x14ac:dyDescent="0.25">
      <c r="A46" s="26" t="s">
        <v>197</v>
      </c>
      <c r="B46" s="27">
        <v>0.35</v>
      </c>
      <c r="I46" s="29"/>
      <c r="J46" s="35"/>
      <c r="K46" s="40"/>
      <c r="L46" s="35"/>
      <c r="M46" s="35">
        <f t="shared" si="6"/>
        <v>0</v>
      </c>
      <c r="N46" s="30"/>
      <c r="O46" s="29"/>
      <c r="P46" s="35"/>
      <c r="Q46" s="35"/>
      <c r="R46" s="35"/>
      <c r="S46" s="35">
        <f t="shared" si="7"/>
        <v>0</v>
      </c>
      <c r="T46" s="30"/>
      <c r="U46" s="29"/>
      <c r="V46" s="40"/>
      <c r="W46" s="35"/>
      <c r="X46" s="35"/>
      <c r="Y46" s="35"/>
      <c r="Z46" s="35"/>
      <c r="AA46" s="35">
        <f t="shared" si="8"/>
        <v>0</v>
      </c>
      <c r="AB46" s="30"/>
      <c r="AC46" s="29"/>
      <c r="AD46" s="35"/>
      <c r="AE46" s="35"/>
      <c r="AF46" s="35"/>
      <c r="AG46" s="35">
        <v>0</v>
      </c>
      <c r="AH46" s="30"/>
      <c r="AI46" s="35"/>
      <c r="AM46" s="26">
        <v>0</v>
      </c>
      <c r="AN46" s="30"/>
      <c r="AO46" s="31"/>
      <c r="AS46" s="26">
        <v>0</v>
      </c>
      <c r="AT46" s="30"/>
      <c r="AY46" s="26">
        <v>0</v>
      </c>
      <c r="AZ46" s="30"/>
      <c r="BD46" s="26">
        <v>0</v>
      </c>
      <c r="BE46" s="30"/>
      <c r="BF46" s="29"/>
      <c r="BH46" s="26">
        <v>0</v>
      </c>
      <c r="BI46" s="30"/>
      <c r="BJ46" s="29"/>
      <c r="BL46" s="26">
        <v>0</v>
      </c>
      <c r="BM46" s="30"/>
      <c r="BP46" s="26">
        <v>0</v>
      </c>
      <c r="BQ46" s="30"/>
      <c r="BR46" s="29"/>
      <c r="BT46" s="26">
        <v>0</v>
      </c>
      <c r="BU46" s="30"/>
      <c r="BX46" s="26">
        <v>0</v>
      </c>
      <c r="BY46" s="30"/>
      <c r="BZ46" s="29"/>
      <c r="CB46" s="26">
        <v>0</v>
      </c>
      <c r="CC46" s="30"/>
      <c r="CD46" s="29"/>
      <c r="CF46" s="26">
        <v>0</v>
      </c>
      <c r="CG46" s="30"/>
      <c r="CJ46" s="26">
        <v>0</v>
      </c>
      <c r="CK46" s="30"/>
      <c r="CL46" s="29"/>
      <c r="CP46" s="26">
        <v>0</v>
      </c>
      <c r="CQ46" s="30"/>
      <c r="CR46" s="29"/>
      <c r="CT46" s="26">
        <v>0</v>
      </c>
      <c r="CU46" s="30"/>
      <c r="CZ46" s="26">
        <v>0</v>
      </c>
      <c r="DA46" s="30"/>
      <c r="DD46" s="26">
        <v>0</v>
      </c>
      <c r="DE46" s="30"/>
      <c r="DF46" s="29"/>
      <c r="DH46" s="26">
        <v>0</v>
      </c>
      <c r="DI46" s="30"/>
      <c r="DJ46" s="29"/>
      <c r="DL46" s="26">
        <v>0</v>
      </c>
      <c r="DM46" s="30"/>
      <c r="DP46" s="26">
        <v>0</v>
      </c>
      <c r="DQ46" s="30"/>
      <c r="DR46" s="29"/>
      <c r="DU46" s="26">
        <v>0</v>
      </c>
      <c r="DV46" s="30"/>
      <c r="DW46" s="29"/>
      <c r="EA46" s="26">
        <v>0</v>
      </c>
      <c r="EB46" s="30"/>
      <c r="EC46" s="29"/>
      <c r="EF46" s="26">
        <v>0</v>
      </c>
      <c r="EG46" s="30"/>
      <c r="EJ46" s="26">
        <v>0</v>
      </c>
      <c r="EK46" s="30"/>
      <c r="EL46" s="31"/>
      <c r="EN46" s="26">
        <v>0</v>
      </c>
      <c r="EO46" s="30"/>
      <c r="EP46" s="29"/>
      <c r="ER46" s="26">
        <v>0</v>
      </c>
      <c r="ES46" s="30"/>
      <c r="ET46" s="29"/>
      <c r="EV46" s="26">
        <v>0</v>
      </c>
      <c r="EW46" s="30"/>
      <c r="EZ46" s="26">
        <v>0</v>
      </c>
      <c r="FA46" s="30"/>
      <c r="FD46" s="26">
        <v>0</v>
      </c>
      <c r="FE46" s="30"/>
      <c r="FF46" s="29"/>
      <c r="FI46" s="26">
        <v>0</v>
      </c>
      <c r="FJ46" s="30"/>
      <c r="FK46" s="29"/>
      <c r="FN46" s="26">
        <v>0</v>
      </c>
      <c r="FO46" s="30"/>
      <c r="FR46" s="26">
        <v>0</v>
      </c>
      <c r="FS46" s="30"/>
      <c r="FT46" s="29"/>
      <c r="FY46" s="26">
        <v>0</v>
      </c>
      <c r="FZ46" s="30"/>
      <c r="GC46" s="26">
        <v>0</v>
      </c>
      <c r="GD46" s="30"/>
      <c r="GE46" s="29"/>
      <c r="GI46" s="26">
        <v>0</v>
      </c>
      <c r="GJ46" s="30"/>
      <c r="GO46" s="26">
        <v>0</v>
      </c>
      <c r="GP46" s="30"/>
      <c r="GS46" s="26">
        <v>0</v>
      </c>
      <c r="GT46" s="30"/>
      <c r="GU46" s="29"/>
      <c r="GW46" s="26">
        <v>0</v>
      </c>
      <c r="GX46" s="30"/>
      <c r="GY46" s="29"/>
      <c r="HA46" s="26">
        <v>0</v>
      </c>
      <c r="HB46" s="30"/>
      <c r="HE46" s="26">
        <v>0</v>
      </c>
      <c r="HF46" s="30"/>
      <c r="HG46" s="29"/>
      <c r="HI46" s="26">
        <v>0</v>
      </c>
      <c r="HJ46" s="30"/>
      <c r="HK46" s="29"/>
      <c r="HM46" s="26">
        <v>0</v>
      </c>
      <c r="HN46" s="30"/>
      <c r="HQ46" s="26">
        <v>0</v>
      </c>
      <c r="HR46" s="33"/>
      <c r="HU46" s="26">
        <v>0</v>
      </c>
      <c r="HV46" s="30"/>
      <c r="HY46" s="26">
        <v>0</v>
      </c>
      <c r="HZ46" s="33"/>
      <c r="IC46" s="26">
        <v>0</v>
      </c>
      <c r="ID46" s="30"/>
      <c r="IG46" s="26">
        <v>0</v>
      </c>
      <c r="IH46" s="33"/>
      <c r="IK46" s="26">
        <v>0</v>
      </c>
      <c r="IL46" s="30"/>
      <c r="IM46" s="31"/>
      <c r="IO46" s="26">
        <v>0</v>
      </c>
      <c r="IP46" s="33"/>
      <c r="IS46" s="26">
        <v>0</v>
      </c>
      <c r="IT46" s="33"/>
      <c r="IW46" s="26">
        <v>0</v>
      </c>
      <c r="IX46" s="33"/>
      <c r="JA46" s="26">
        <v>0</v>
      </c>
      <c r="JB46" s="30"/>
      <c r="JC46" s="27"/>
      <c r="JE46" s="27"/>
      <c r="JG46" s="26">
        <v>0</v>
      </c>
      <c r="JH46" s="33"/>
      <c r="JI46" s="28">
        <v>0</v>
      </c>
      <c r="JJ46" s="28">
        <v>0</v>
      </c>
      <c r="JK46" s="26">
        <v>0</v>
      </c>
      <c r="JL46" s="33"/>
      <c r="JM46" s="28">
        <v>0</v>
      </c>
      <c r="JN46" s="28">
        <v>0</v>
      </c>
      <c r="JO46" s="26">
        <v>0</v>
      </c>
      <c r="JP46" s="33"/>
      <c r="JQ46" s="31">
        <v>0</v>
      </c>
      <c r="JR46" s="28">
        <v>0</v>
      </c>
      <c r="JS46" s="26">
        <v>0</v>
      </c>
      <c r="JT46" s="33"/>
    </row>
    <row r="47" spans="1:280" x14ac:dyDescent="0.25">
      <c r="A47" s="26" t="s">
        <v>198</v>
      </c>
      <c r="B47" s="27">
        <v>1</v>
      </c>
      <c r="I47" s="29"/>
      <c r="J47" s="35"/>
      <c r="K47" s="40"/>
      <c r="L47" s="35"/>
      <c r="M47" s="35">
        <f t="shared" si="6"/>
        <v>0</v>
      </c>
      <c r="N47" s="30"/>
      <c r="O47" s="29"/>
      <c r="P47" s="35"/>
      <c r="Q47" s="35"/>
      <c r="R47" s="35"/>
      <c r="S47" s="35">
        <f t="shared" si="7"/>
        <v>0</v>
      </c>
      <c r="T47" s="30"/>
      <c r="U47" s="29"/>
      <c r="V47" s="40"/>
      <c r="W47" s="35"/>
      <c r="X47" s="35"/>
      <c r="Y47" s="35"/>
      <c r="Z47" s="35"/>
      <c r="AA47" s="35">
        <f t="shared" si="8"/>
        <v>0</v>
      </c>
      <c r="AB47" s="30"/>
      <c r="AC47" s="29"/>
      <c r="AD47" s="35"/>
      <c r="AE47" s="35"/>
      <c r="AF47" s="35"/>
      <c r="AG47" s="35">
        <v>0</v>
      </c>
      <c r="AH47" s="30"/>
      <c r="AI47" s="35"/>
      <c r="AM47" s="26">
        <v>0</v>
      </c>
      <c r="AN47" s="30"/>
      <c r="AO47" s="31"/>
      <c r="AS47" s="26">
        <v>0</v>
      </c>
      <c r="AT47" s="30"/>
      <c r="AY47" s="26">
        <v>0</v>
      </c>
      <c r="AZ47" s="30"/>
      <c r="BD47" s="26">
        <v>0</v>
      </c>
      <c r="BE47" s="30"/>
      <c r="BF47" s="29"/>
      <c r="BH47" s="26">
        <v>0</v>
      </c>
      <c r="BI47" s="30"/>
      <c r="BJ47" s="29"/>
      <c r="BL47" s="26">
        <v>0</v>
      </c>
      <c r="BM47" s="30"/>
      <c r="BP47" s="26">
        <v>0</v>
      </c>
      <c r="BQ47" s="30"/>
      <c r="BR47" s="29"/>
      <c r="BT47" s="26">
        <v>0</v>
      </c>
      <c r="BU47" s="30"/>
      <c r="BX47" s="26">
        <v>0</v>
      </c>
      <c r="BY47" s="30"/>
      <c r="BZ47" s="29"/>
      <c r="CB47" s="26">
        <v>0</v>
      </c>
      <c r="CC47" s="30"/>
      <c r="CD47" s="29"/>
      <c r="CF47" s="26">
        <v>0</v>
      </c>
      <c r="CG47" s="30"/>
      <c r="CJ47" s="26">
        <v>0</v>
      </c>
      <c r="CK47" s="30"/>
      <c r="CL47" s="29"/>
      <c r="CP47" s="26">
        <v>0</v>
      </c>
      <c r="CQ47" s="30"/>
      <c r="CR47" s="29"/>
      <c r="CT47" s="26">
        <v>0</v>
      </c>
      <c r="CU47" s="30"/>
      <c r="CZ47" s="26">
        <v>0</v>
      </c>
      <c r="DA47" s="30"/>
      <c r="DD47" s="26">
        <v>0</v>
      </c>
      <c r="DE47" s="30"/>
      <c r="DF47" s="29"/>
      <c r="DH47" s="26">
        <v>0</v>
      </c>
      <c r="DI47" s="30"/>
      <c r="DJ47" s="29"/>
      <c r="DL47" s="26">
        <v>0</v>
      </c>
      <c r="DM47" s="30"/>
      <c r="DP47" s="26">
        <v>0</v>
      </c>
      <c r="DQ47" s="30"/>
      <c r="DR47" s="29"/>
      <c r="DU47" s="26">
        <v>0</v>
      </c>
      <c r="DV47" s="30"/>
      <c r="DW47" s="29"/>
      <c r="EA47" s="26">
        <v>0</v>
      </c>
      <c r="EB47" s="30"/>
      <c r="EC47" s="29"/>
      <c r="EF47" s="26">
        <v>0</v>
      </c>
      <c r="EG47" s="30"/>
      <c r="EJ47" s="26">
        <v>0</v>
      </c>
      <c r="EK47" s="30"/>
      <c r="EL47" s="31"/>
      <c r="EN47" s="26">
        <v>0</v>
      </c>
      <c r="EO47" s="30"/>
      <c r="EP47" s="29"/>
      <c r="ER47" s="26">
        <v>0</v>
      </c>
      <c r="ES47" s="30"/>
      <c r="ET47" s="29"/>
      <c r="EV47" s="26">
        <v>0</v>
      </c>
      <c r="EW47" s="30"/>
      <c r="EZ47" s="26">
        <v>0</v>
      </c>
      <c r="FA47" s="30"/>
      <c r="FD47" s="26">
        <v>0</v>
      </c>
      <c r="FE47" s="30"/>
      <c r="FF47" s="29"/>
      <c r="FI47" s="26">
        <v>0</v>
      </c>
      <c r="FJ47" s="30"/>
      <c r="FK47" s="29"/>
      <c r="FN47" s="26">
        <v>0</v>
      </c>
      <c r="FO47" s="30"/>
      <c r="FR47" s="26">
        <v>0</v>
      </c>
      <c r="FS47" s="30"/>
      <c r="FT47" s="29"/>
      <c r="FY47" s="26">
        <v>0</v>
      </c>
      <c r="FZ47" s="30"/>
      <c r="GC47" s="26">
        <v>0</v>
      </c>
      <c r="GD47" s="30"/>
      <c r="GE47" s="29"/>
      <c r="GI47" s="26">
        <v>0</v>
      </c>
      <c r="GJ47" s="30"/>
      <c r="GO47" s="26">
        <v>0</v>
      </c>
      <c r="GP47" s="30"/>
      <c r="GS47" s="26">
        <v>0</v>
      </c>
      <c r="GT47" s="30"/>
      <c r="GU47" s="29"/>
      <c r="GW47" s="26">
        <v>0</v>
      </c>
      <c r="GX47" s="30"/>
      <c r="GY47" s="29"/>
      <c r="HA47" s="26">
        <v>0</v>
      </c>
      <c r="HB47" s="30"/>
      <c r="HE47" s="26">
        <v>0</v>
      </c>
      <c r="HF47" s="30"/>
      <c r="HG47" s="29"/>
      <c r="HI47" s="26">
        <v>0</v>
      </c>
      <c r="HJ47" s="30"/>
      <c r="HK47" s="29"/>
      <c r="HM47" s="26">
        <v>0</v>
      </c>
      <c r="HN47" s="30"/>
      <c r="HQ47" s="26">
        <v>0</v>
      </c>
      <c r="HR47" s="33"/>
      <c r="HU47" s="26">
        <v>0</v>
      </c>
      <c r="HV47" s="30"/>
      <c r="HY47" s="26">
        <v>0</v>
      </c>
      <c r="HZ47" s="33"/>
      <c r="IC47" s="26">
        <v>0</v>
      </c>
      <c r="ID47" s="30"/>
      <c r="IG47" s="26">
        <v>0</v>
      </c>
      <c r="IH47" s="33"/>
      <c r="IK47" s="26">
        <v>0</v>
      </c>
      <c r="IL47" s="30"/>
      <c r="IM47" s="31"/>
      <c r="IO47" s="26">
        <v>0</v>
      </c>
      <c r="IP47" s="33"/>
      <c r="IS47" s="26">
        <v>0</v>
      </c>
      <c r="IT47" s="33"/>
      <c r="IW47" s="26">
        <v>0</v>
      </c>
      <c r="IX47" s="33"/>
      <c r="JA47" s="26">
        <v>0</v>
      </c>
      <c r="JB47" s="30"/>
      <c r="JC47" s="27"/>
      <c r="JE47" s="27"/>
      <c r="JG47" s="26">
        <v>0</v>
      </c>
      <c r="JH47" s="33"/>
      <c r="JI47" s="28">
        <v>0</v>
      </c>
      <c r="JJ47" s="28">
        <v>0</v>
      </c>
      <c r="JK47" s="26">
        <v>0</v>
      </c>
      <c r="JL47" s="33"/>
      <c r="JM47" s="28">
        <v>0</v>
      </c>
      <c r="JN47" s="28">
        <v>0</v>
      </c>
      <c r="JO47" s="26">
        <v>0</v>
      </c>
      <c r="JP47" s="33"/>
      <c r="JQ47" s="31">
        <v>0</v>
      </c>
      <c r="JR47" s="28">
        <v>0</v>
      </c>
      <c r="JS47" s="26">
        <v>0</v>
      </c>
      <c r="JT47" s="33"/>
    </row>
    <row r="48" spans="1:280" x14ac:dyDescent="0.25">
      <c r="A48" s="26" t="s">
        <v>199</v>
      </c>
      <c r="B48" s="27">
        <v>0.09</v>
      </c>
      <c r="I48" s="32">
        <v>150</v>
      </c>
      <c r="J48" s="36">
        <v>150</v>
      </c>
      <c r="K48" s="36">
        <v>150</v>
      </c>
      <c r="L48" s="36">
        <v>151</v>
      </c>
      <c r="M48" s="35">
        <f t="shared" si="6"/>
        <v>-1</v>
      </c>
      <c r="N48" s="30"/>
      <c r="O48" s="32">
        <v>90</v>
      </c>
      <c r="P48" s="36">
        <v>98</v>
      </c>
      <c r="Q48" s="36">
        <v>90</v>
      </c>
      <c r="R48" s="36">
        <v>91</v>
      </c>
      <c r="S48" s="35">
        <f t="shared" si="7"/>
        <v>-9</v>
      </c>
      <c r="T48" s="30"/>
      <c r="U48" s="29"/>
      <c r="V48" s="36">
        <v>40</v>
      </c>
      <c r="W48" s="36">
        <v>43</v>
      </c>
      <c r="X48" s="35"/>
      <c r="Y48" s="35"/>
      <c r="Z48" s="35"/>
      <c r="AA48" s="35">
        <f t="shared" si="8"/>
        <v>-3</v>
      </c>
      <c r="AB48" s="30"/>
      <c r="AC48" s="29"/>
      <c r="AD48" s="35"/>
      <c r="AE48" s="36">
        <v>190</v>
      </c>
      <c r="AF48" s="40">
        <v>199</v>
      </c>
      <c r="AG48" s="35">
        <v>-9</v>
      </c>
      <c r="AH48" s="30"/>
      <c r="AI48" s="36">
        <v>50</v>
      </c>
      <c r="AJ48">
        <v>65</v>
      </c>
      <c r="AK48">
        <v>50</v>
      </c>
      <c r="AL48">
        <v>52</v>
      </c>
      <c r="AM48" s="25">
        <v>-17</v>
      </c>
      <c r="AN48" s="30">
        <v>1.53</v>
      </c>
      <c r="AO48" s="31"/>
      <c r="AS48" s="26">
        <v>0</v>
      </c>
      <c r="AT48" s="30"/>
      <c r="AU48">
        <v>90</v>
      </c>
      <c r="AV48">
        <v>90</v>
      </c>
      <c r="AW48">
        <v>100</v>
      </c>
      <c r="AX48">
        <v>109</v>
      </c>
      <c r="AY48" s="26">
        <v>-9</v>
      </c>
      <c r="AZ48" s="30"/>
      <c r="BB48">
        <v>10</v>
      </c>
      <c r="BC48">
        <v>10</v>
      </c>
      <c r="BD48" s="26">
        <v>0</v>
      </c>
      <c r="BE48" s="30"/>
      <c r="BF48" s="32">
        <v>110</v>
      </c>
      <c r="BG48">
        <v>116</v>
      </c>
      <c r="BH48" s="26">
        <v>-6</v>
      </c>
      <c r="BI48" s="30"/>
      <c r="BJ48" s="29"/>
      <c r="BL48" s="26">
        <v>0</v>
      </c>
      <c r="BM48" s="30"/>
      <c r="BN48">
        <v>110</v>
      </c>
      <c r="BO48">
        <v>113</v>
      </c>
      <c r="BP48" s="26">
        <v>-3</v>
      </c>
      <c r="BQ48" s="30"/>
      <c r="BR48" s="29"/>
      <c r="BT48" s="26">
        <v>0</v>
      </c>
      <c r="BU48" s="30"/>
      <c r="BV48">
        <v>90</v>
      </c>
      <c r="BW48">
        <v>98</v>
      </c>
      <c r="BX48" s="26">
        <v>-8</v>
      </c>
      <c r="BY48" s="30"/>
      <c r="BZ48" s="32">
        <v>10</v>
      </c>
      <c r="CA48">
        <v>10</v>
      </c>
      <c r="CB48" s="26">
        <v>0</v>
      </c>
      <c r="CC48" s="30"/>
      <c r="CD48" s="32">
        <v>50</v>
      </c>
      <c r="CE48">
        <v>53</v>
      </c>
      <c r="CF48" s="26">
        <v>-3</v>
      </c>
      <c r="CG48" s="30"/>
      <c r="CH48">
        <v>20</v>
      </c>
      <c r="CI48">
        <v>19</v>
      </c>
      <c r="CJ48" s="26">
        <v>1</v>
      </c>
      <c r="CK48" s="30"/>
      <c r="CL48" s="29"/>
      <c r="CM48">
        <v>14</v>
      </c>
      <c r="CN48">
        <v>30</v>
      </c>
      <c r="CO48">
        <v>20</v>
      </c>
      <c r="CP48" s="26">
        <v>-4</v>
      </c>
      <c r="CQ48" s="30"/>
      <c r="CR48" s="29"/>
      <c r="CT48" s="26">
        <v>0</v>
      </c>
      <c r="CU48" s="30"/>
      <c r="CZ48" s="26">
        <v>0</v>
      </c>
      <c r="DA48" s="30"/>
      <c r="DB48">
        <v>40</v>
      </c>
      <c r="DC48">
        <v>45</v>
      </c>
      <c r="DD48" s="26">
        <v>-5</v>
      </c>
      <c r="DE48" s="30"/>
      <c r="DF48" s="29"/>
      <c r="DH48" s="26">
        <v>0</v>
      </c>
      <c r="DI48" s="30"/>
      <c r="DJ48" s="29">
        <v>30</v>
      </c>
      <c r="DK48" s="26">
        <v>30</v>
      </c>
      <c r="DL48" s="26">
        <v>0</v>
      </c>
      <c r="DM48" s="30"/>
      <c r="DP48" s="26">
        <v>0</v>
      </c>
      <c r="DQ48" s="30"/>
      <c r="DR48" s="29"/>
      <c r="DU48" s="26">
        <v>0</v>
      </c>
      <c r="DV48" s="30"/>
      <c r="DW48" s="29"/>
      <c r="EA48" s="26">
        <v>0</v>
      </c>
      <c r="EB48" s="30"/>
      <c r="EC48" s="29"/>
      <c r="EG48" s="30"/>
      <c r="EK48" s="30"/>
      <c r="EL48" s="31"/>
      <c r="EO48" s="30"/>
      <c r="EP48" s="29"/>
      <c r="ES48" s="30"/>
      <c r="ET48" s="29"/>
      <c r="EW48" s="30"/>
      <c r="FA48" s="30"/>
      <c r="FE48" s="30"/>
      <c r="FF48" s="29"/>
      <c r="FJ48" s="30"/>
      <c r="FK48" s="29"/>
      <c r="FO48" s="30"/>
      <c r="FS48" s="30"/>
      <c r="FT48" s="29"/>
      <c r="FZ48" s="30"/>
      <c r="GD48" s="30"/>
      <c r="GE48" s="29"/>
      <c r="GJ48" s="30"/>
      <c r="GP48" s="30"/>
      <c r="GT48" s="30"/>
      <c r="GU48" s="29"/>
      <c r="GX48" s="30"/>
      <c r="GY48" s="29"/>
      <c r="HB48" s="30"/>
      <c r="HF48" s="30"/>
      <c r="HG48" s="29"/>
      <c r="HJ48" s="30"/>
      <c r="HK48" s="29"/>
      <c r="HN48" s="30"/>
      <c r="HR48" s="33"/>
      <c r="HV48" s="30"/>
      <c r="HZ48" s="33"/>
      <c r="ID48" s="30"/>
      <c r="IH48" s="33"/>
      <c r="IL48" s="30"/>
      <c r="IM48" s="31"/>
      <c r="IP48" s="33"/>
      <c r="IT48" s="33"/>
      <c r="IX48" s="33"/>
      <c r="JB48" s="30"/>
      <c r="JC48" s="27"/>
      <c r="JE48" s="27"/>
      <c r="JH48" s="33"/>
      <c r="JI48" s="28"/>
      <c r="JJ48" s="28"/>
      <c r="JL48" s="33"/>
      <c r="JM48" s="28"/>
      <c r="JN48" s="28"/>
      <c r="JP48" s="33"/>
      <c r="JQ48" s="31"/>
      <c r="JR48" s="28"/>
      <c r="JT48" s="33"/>
    </row>
    <row r="49" spans="1:280" x14ac:dyDescent="0.25">
      <c r="A49" s="26" t="s">
        <v>200</v>
      </c>
      <c r="B49" s="27">
        <v>0.15</v>
      </c>
      <c r="E49">
        <v>33</v>
      </c>
      <c r="F49">
        <v>14</v>
      </c>
      <c r="I49" s="32">
        <v>72</v>
      </c>
      <c r="J49" s="36">
        <v>79</v>
      </c>
      <c r="K49" s="36">
        <v>72</v>
      </c>
      <c r="L49" s="36">
        <v>79</v>
      </c>
      <c r="M49" s="35">
        <f t="shared" si="6"/>
        <v>-14</v>
      </c>
      <c r="N49" s="30"/>
      <c r="O49" s="32">
        <v>56</v>
      </c>
      <c r="P49" s="36">
        <v>60</v>
      </c>
      <c r="Q49" s="36">
        <v>56</v>
      </c>
      <c r="R49" s="36">
        <v>56</v>
      </c>
      <c r="S49" s="35">
        <f t="shared" si="7"/>
        <v>-4</v>
      </c>
      <c r="T49" s="30"/>
      <c r="U49" s="29"/>
      <c r="V49" s="36">
        <v>72</v>
      </c>
      <c r="W49" s="36">
        <v>79</v>
      </c>
      <c r="X49" s="35"/>
      <c r="Y49" s="36">
        <v>56</v>
      </c>
      <c r="Z49" s="36">
        <v>63</v>
      </c>
      <c r="AA49" s="35">
        <f t="shared" si="8"/>
        <v>-14</v>
      </c>
      <c r="AB49" s="30"/>
      <c r="AC49" s="29"/>
      <c r="AD49" s="35"/>
      <c r="AE49" s="35"/>
      <c r="AF49" s="35"/>
      <c r="AG49" s="35">
        <v>0</v>
      </c>
      <c r="AH49" s="30"/>
      <c r="AI49" s="36">
        <v>96</v>
      </c>
      <c r="AJ49">
        <v>98</v>
      </c>
      <c r="AK49">
        <v>72</v>
      </c>
      <c r="AL49">
        <v>79</v>
      </c>
      <c r="AM49" s="26">
        <v>-9</v>
      </c>
      <c r="AN49" s="30"/>
      <c r="AO49" s="31"/>
      <c r="AQ49">
        <v>112</v>
      </c>
      <c r="AR49">
        <v>116</v>
      </c>
      <c r="AS49" s="26">
        <v>-4</v>
      </c>
      <c r="AT49" s="30"/>
      <c r="AY49" s="26">
        <v>0</v>
      </c>
      <c r="AZ49" s="30"/>
      <c r="BB49">
        <v>208</v>
      </c>
      <c r="BC49">
        <v>206</v>
      </c>
      <c r="BD49" s="26">
        <v>2</v>
      </c>
      <c r="BE49" s="30"/>
      <c r="BF49" s="29"/>
      <c r="BH49" s="26">
        <v>0</v>
      </c>
      <c r="BI49" s="30"/>
      <c r="BJ49" s="32">
        <v>144</v>
      </c>
      <c r="BK49">
        <v>144</v>
      </c>
      <c r="BL49" s="26">
        <v>0</v>
      </c>
      <c r="BM49" s="30"/>
      <c r="BP49" s="26">
        <v>0</v>
      </c>
      <c r="BQ49" s="30"/>
      <c r="BR49" s="32">
        <v>72</v>
      </c>
      <c r="BS49">
        <v>70</v>
      </c>
      <c r="BT49" s="26">
        <v>2</v>
      </c>
      <c r="BU49" s="30"/>
      <c r="BV49">
        <v>8</v>
      </c>
      <c r="BW49">
        <v>10</v>
      </c>
      <c r="BX49" s="26">
        <v>-2</v>
      </c>
      <c r="BY49" s="30"/>
      <c r="BZ49" s="32">
        <v>40</v>
      </c>
      <c r="CA49">
        <v>45</v>
      </c>
      <c r="CB49" s="26">
        <v>-5</v>
      </c>
      <c r="CC49" s="30"/>
      <c r="CD49" s="32">
        <v>24</v>
      </c>
      <c r="CE49">
        <v>22</v>
      </c>
      <c r="CF49" s="26">
        <v>2</v>
      </c>
      <c r="CG49" s="30"/>
      <c r="CH49">
        <v>24</v>
      </c>
      <c r="CI49">
        <v>23</v>
      </c>
      <c r="CJ49" s="26">
        <v>1</v>
      </c>
      <c r="CK49" s="30"/>
      <c r="CL49" s="29"/>
      <c r="CP49" s="26">
        <v>0</v>
      </c>
      <c r="CQ49" s="30"/>
      <c r="CR49" s="32">
        <v>16</v>
      </c>
      <c r="CS49">
        <v>15</v>
      </c>
      <c r="CT49" s="26">
        <v>1</v>
      </c>
      <c r="CU49" s="30"/>
      <c r="CX49">
        <v>24</v>
      </c>
      <c r="CY49" s="26">
        <v>24</v>
      </c>
      <c r="CZ49" s="26">
        <v>0</v>
      </c>
      <c r="DA49" s="30"/>
      <c r="DD49" s="26">
        <v>0</v>
      </c>
      <c r="DE49" s="30"/>
      <c r="DF49" s="29"/>
      <c r="DH49" s="26">
        <v>0</v>
      </c>
      <c r="DI49" s="30"/>
      <c r="DJ49" s="29">
        <v>32</v>
      </c>
      <c r="DK49" s="26">
        <v>30</v>
      </c>
      <c r="DL49" s="26">
        <v>2</v>
      </c>
      <c r="DM49" s="30"/>
      <c r="DP49" s="26">
        <v>0</v>
      </c>
      <c r="DQ49" s="30"/>
      <c r="DR49" s="29"/>
      <c r="DU49" s="26">
        <v>0</v>
      </c>
      <c r="DV49" s="30"/>
      <c r="DW49" s="29"/>
      <c r="EA49" s="26">
        <v>0</v>
      </c>
      <c r="EB49" s="30"/>
      <c r="EC49" s="29"/>
      <c r="EG49" s="33"/>
      <c r="EK49" s="30"/>
      <c r="EL49" s="31"/>
      <c r="EO49" s="30"/>
      <c r="EP49" s="29"/>
      <c r="ES49" s="30"/>
      <c r="ET49" s="29"/>
      <c r="EW49" s="30"/>
      <c r="FA49" s="30"/>
      <c r="FE49" s="30"/>
      <c r="FF49" s="29"/>
      <c r="FJ49" s="30"/>
      <c r="FK49" s="29"/>
      <c r="FO49" s="30"/>
      <c r="FS49" s="30"/>
      <c r="FT49" s="29"/>
      <c r="FZ49" s="30"/>
      <c r="GD49" s="30"/>
      <c r="GE49" s="29"/>
      <c r="GH49" s="27"/>
      <c r="GJ49" s="30"/>
      <c r="GP49" s="30"/>
      <c r="GQ49" s="28"/>
      <c r="GT49" s="30"/>
      <c r="GU49" s="29"/>
      <c r="GX49" s="30"/>
      <c r="GY49" s="29"/>
      <c r="HB49" s="30"/>
      <c r="HF49" s="30"/>
      <c r="HG49" s="29"/>
      <c r="HJ49" s="30"/>
      <c r="HK49" s="29"/>
      <c r="HN49" s="30"/>
      <c r="HR49" s="33"/>
      <c r="HV49" s="30"/>
      <c r="HZ49" s="33"/>
      <c r="ID49" s="30"/>
      <c r="IH49" s="33"/>
      <c r="IL49" s="30"/>
      <c r="IM49" s="31"/>
      <c r="IP49" s="33"/>
      <c r="IT49" s="33"/>
      <c r="IX49" s="33"/>
      <c r="JB49" s="30"/>
      <c r="JC49" s="27"/>
      <c r="JE49" s="27"/>
      <c r="JH49" s="33"/>
      <c r="JI49" s="28"/>
      <c r="JJ49" s="28"/>
      <c r="JL49" s="33"/>
      <c r="JM49" s="28"/>
      <c r="JN49" s="28"/>
      <c r="JP49" s="33"/>
      <c r="JQ49" s="31"/>
      <c r="JR49" s="28"/>
      <c r="JT49" s="33"/>
    </row>
    <row r="50" spans="1:280" x14ac:dyDescent="0.25">
      <c r="A50" s="26" t="s">
        <v>201</v>
      </c>
      <c r="B50" s="27">
        <v>0.09</v>
      </c>
      <c r="E50">
        <v>134</v>
      </c>
      <c r="F50">
        <v>134</v>
      </c>
      <c r="I50" s="29"/>
      <c r="J50" s="35"/>
      <c r="K50" s="40"/>
      <c r="L50" s="35"/>
      <c r="M50" s="35">
        <f t="shared" si="6"/>
        <v>0</v>
      </c>
      <c r="N50" s="30"/>
      <c r="O50" s="32">
        <v>50</v>
      </c>
      <c r="P50" s="36">
        <v>57</v>
      </c>
      <c r="Q50" s="36">
        <v>50</v>
      </c>
      <c r="R50" s="36">
        <v>53</v>
      </c>
      <c r="S50" s="35">
        <f t="shared" si="7"/>
        <v>-10</v>
      </c>
      <c r="T50" s="30"/>
      <c r="U50" s="29"/>
      <c r="V50" s="36">
        <v>130</v>
      </c>
      <c r="W50" s="36">
        <v>132</v>
      </c>
      <c r="X50" s="35"/>
      <c r="Y50" s="36">
        <v>100</v>
      </c>
      <c r="Z50" s="36">
        <v>105</v>
      </c>
      <c r="AA50" s="35">
        <f t="shared" si="8"/>
        <v>-7</v>
      </c>
      <c r="AB50" s="30"/>
      <c r="AC50" s="29"/>
      <c r="AD50" s="35"/>
      <c r="AE50" s="35"/>
      <c r="AF50" s="35"/>
      <c r="AG50" s="35">
        <v>0</v>
      </c>
      <c r="AH50" s="30"/>
      <c r="AI50" s="36">
        <v>110</v>
      </c>
      <c r="AJ50">
        <v>118</v>
      </c>
      <c r="AK50">
        <v>90</v>
      </c>
      <c r="AL50">
        <v>94</v>
      </c>
      <c r="AM50" s="26">
        <v>-12</v>
      </c>
      <c r="AN50" s="30"/>
      <c r="AO50" s="32">
        <v>60</v>
      </c>
      <c r="AP50">
        <v>60</v>
      </c>
      <c r="AQ50">
        <v>90</v>
      </c>
      <c r="AR50">
        <v>90</v>
      </c>
      <c r="AS50" s="26">
        <v>0</v>
      </c>
      <c r="AT50" s="30"/>
      <c r="AU50">
        <v>50</v>
      </c>
      <c r="AV50">
        <v>50</v>
      </c>
      <c r="AW50">
        <v>60</v>
      </c>
      <c r="AX50">
        <v>69</v>
      </c>
      <c r="AY50" s="26">
        <v>-9</v>
      </c>
      <c r="AZ50" s="30"/>
      <c r="BB50">
        <v>50</v>
      </c>
      <c r="BC50">
        <v>53</v>
      </c>
      <c r="BD50" s="26">
        <v>-3</v>
      </c>
      <c r="BE50" s="30"/>
      <c r="BF50" s="32">
        <v>190</v>
      </c>
      <c r="BG50">
        <v>193</v>
      </c>
      <c r="BH50" s="26">
        <v>-3</v>
      </c>
      <c r="BI50" s="30"/>
      <c r="BJ50" s="29"/>
      <c r="BL50" s="26">
        <v>0</v>
      </c>
      <c r="BM50" s="30"/>
      <c r="BN50">
        <v>200</v>
      </c>
      <c r="BO50">
        <v>203</v>
      </c>
      <c r="BP50" s="26">
        <v>-3</v>
      </c>
      <c r="BQ50" s="30"/>
      <c r="BR50" s="29"/>
      <c r="BT50" s="26">
        <v>0</v>
      </c>
      <c r="BU50" s="30"/>
      <c r="BV50">
        <v>140</v>
      </c>
      <c r="BW50">
        <v>142</v>
      </c>
      <c r="BX50" s="26">
        <v>-2</v>
      </c>
      <c r="BY50" s="30"/>
      <c r="BZ50" s="29"/>
      <c r="CB50" s="26">
        <v>0</v>
      </c>
      <c r="CC50" s="30"/>
      <c r="CD50" s="32">
        <v>80</v>
      </c>
      <c r="CE50">
        <v>87</v>
      </c>
      <c r="CF50" s="26">
        <v>-7</v>
      </c>
      <c r="CG50" s="30"/>
      <c r="CJ50" s="26">
        <v>0</v>
      </c>
      <c r="CK50" s="30"/>
      <c r="CL50" s="32">
        <v>20</v>
      </c>
      <c r="CM50">
        <v>20</v>
      </c>
      <c r="CN50">
        <v>30</v>
      </c>
      <c r="CO50">
        <v>35</v>
      </c>
      <c r="CP50" s="26">
        <v>-5</v>
      </c>
      <c r="CQ50" s="30"/>
      <c r="CR50" s="32">
        <v>20</v>
      </c>
      <c r="CS50">
        <v>22</v>
      </c>
      <c r="CT50" s="26">
        <v>-2</v>
      </c>
      <c r="CU50" s="30"/>
      <c r="CX50">
        <v>10</v>
      </c>
      <c r="CY50">
        <v>10</v>
      </c>
      <c r="CZ50" s="26">
        <v>0</v>
      </c>
      <c r="DA50" s="30"/>
      <c r="DB50">
        <v>40</v>
      </c>
      <c r="DC50">
        <v>43</v>
      </c>
      <c r="DD50" s="26">
        <v>-3</v>
      </c>
      <c r="DE50" s="30"/>
      <c r="DF50" s="32">
        <v>10</v>
      </c>
      <c r="DG50">
        <v>12</v>
      </c>
      <c r="DH50" s="26">
        <v>-2</v>
      </c>
      <c r="DI50" s="30"/>
      <c r="DJ50" s="29"/>
      <c r="DL50" s="26">
        <v>0</v>
      </c>
      <c r="DM50" s="30"/>
      <c r="DN50">
        <v>40</v>
      </c>
      <c r="DO50">
        <v>47</v>
      </c>
      <c r="DP50" s="26">
        <v>-7</v>
      </c>
      <c r="DQ50" s="30"/>
      <c r="DR50" s="29"/>
      <c r="DU50" s="26">
        <v>0</v>
      </c>
      <c r="DV50" s="30"/>
      <c r="DW50" s="29"/>
      <c r="DY50">
        <v>50</v>
      </c>
      <c r="DZ50">
        <v>53</v>
      </c>
      <c r="EA50" s="26">
        <v>-3</v>
      </c>
      <c r="EB50" s="30"/>
      <c r="EC50" s="32">
        <v>10</v>
      </c>
      <c r="EE50">
        <v>9</v>
      </c>
      <c r="EF50" s="26">
        <v>1</v>
      </c>
      <c r="EG50" s="30"/>
      <c r="EH50">
        <v>30</v>
      </c>
      <c r="EI50" s="26">
        <v>32.799999999999997</v>
      </c>
      <c r="EJ50" s="26">
        <v>-2.7999999999999972</v>
      </c>
      <c r="EK50" s="30"/>
      <c r="EL50" s="32">
        <v>10</v>
      </c>
      <c r="EM50" s="26">
        <v>8</v>
      </c>
      <c r="EN50" s="26">
        <v>2</v>
      </c>
      <c r="EO50" s="30"/>
      <c r="EP50" s="29"/>
      <c r="ER50" s="26">
        <v>0</v>
      </c>
      <c r="ES50" s="30"/>
      <c r="ET50" s="32">
        <v>30</v>
      </c>
      <c r="EU50">
        <v>33</v>
      </c>
      <c r="EV50" s="26">
        <v>-3</v>
      </c>
      <c r="EW50" s="30"/>
      <c r="EZ50" s="26">
        <v>0</v>
      </c>
      <c r="FA50" s="30"/>
      <c r="FD50" s="26">
        <v>0</v>
      </c>
      <c r="FE50" s="30"/>
      <c r="FF50" s="29"/>
      <c r="FI50" s="26">
        <v>0</v>
      </c>
      <c r="FJ50" s="30"/>
      <c r="FK50" s="32">
        <v>30</v>
      </c>
      <c r="FM50">
        <v>29</v>
      </c>
      <c r="FN50" s="26">
        <v>1</v>
      </c>
      <c r="FO50" s="30"/>
      <c r="FP50">
        <v>30</v>
      </c>
      <c r="FQ50" s="28">
        <v>28.2</v>
      </c>
      <c r="FR50" s="26">
        <v>1.8000000000000009</v>
      </c>
      <c r="FS50" s="30"/>
      <c r="FT50" s="29"/>
      <c r="FY50" s="26">
        <v>0</v>
      </c>
      <c r="FZ50" s="30"/>
      <c r="GA50">
        <v>30</v>
      </c>
      <c r="GB50" s="28">
        <v>34.400000000000013</v>
      </c>
      <c r="GC50" s="26">
        <v>-4.4000000000000128</v>
      </c>
      <c r="GD50" s="30"/>
      <c r="GE50" s="29"/>
      <c r="GI50" s="26">
        <v>0</v>
      </c>
      <c r="GJ50" s="30"/>
      <c r="GO50" s="26">
        <v>0</v>
      </c>
      <c r="GP50" s="30"/>
      <c r="GQ50">
        <v>30</v>
      </c>
      <c r="GR50" s="28">
        <v>35</v>
      </c>
      <c r="GS50" s="26">
        <v>-5</v>
      </c>
      <c r="GT50" s="30"/>
      <c r="GU50" s="32">
        <v>20</v>
      </c>
      <c r="GV50">
        <v>20</v>
      </c>
      <c r="GW50" s="26">
        <v>0</v>
      </c>
      <c r="GX50" s="30"/>
      <c r="GY50" s="32">
        <v>10</v>
      </c>
      <c r="GZ50">
        <v>10</v>
      </c>
      <c r="HA50" s="26">
        <v>0</v>
      </c>
      <c r="HB50" s="30"/>
      <c r="HE50" s="26">
        <v>0</v>
      </c>
      <c r="HF50" s="30"/>
      <c r="HG50" s="32">
        <v>20</v>
      </c>
      <c r="HH50">
        <v>20</v>
      </c>
      <c r="HI50" s="26">
        <v>0</v>
      </c>
      <c r="HJ50" s="30"/>
      <c r="HK50" s="32">
        <v>10</v>
      </c>
      <c r="HL50">
        <v>12</v>
      </c>
      <c r="HM50" s="26">
        <v>-2</v>
      </c>
      <c r="HN50" s="30"/>
      <c r="HO50">
        <v>30</v>
      </c>
      <c r="HP50">
        <v>30</v>
      </c>
      <c r="HQ50" s="26">
        <v>0</v>
      </c>
      <c r="HR50" s="33"/>
      <c r="HU50" s="26">
        <v>0</v>
      </c>
      <c r="HV50" s="30"/>
      <c r="HW50">
        <v>30</v>
      </c>
      <c r="HX50">
        <v>30</v>
      </c>
      <c r="HY50" s="26">
        <v>0</v>
      </c>
      <c r="HZ50" s="33"/>
      <c r="IA50">
        <v>10</v>
      </c>
      <c r="IB50">
        <v>10</v>
      </c>
      <c r="IC50" s="26">
        <v>0</v>
      </c>
      <c r="ID50" s="30"/>
      <c r="IF50">
        <v>20</v>
      </c>
      <c r="IG50" s="25">
        <v>-20</v>
      </c>
      <c r="IH50" s="30">
        <v>1.8</v>
      </c>
      <c r="IK50" s="26">
        <v>0</v>
      </c>
      <c r="IL50" s="30"/>
      <c r="IM50" s="32">
        <v>30</v>
      </c>
      <c r="IN50" s="28">
        <v>30</v>
      </c>
      <c r="IO50" s="26">
        <v>0</v>
      </c>
      <c r="IP50" s="33"/>
      <c r="IS50" s="26">
        <v>0</v>
      </c>
      <c r="IT50" s="33"/>
      <c r="IU50">
        <v>20</v>
      </c>
      <c r="IV50">
        <v>20</v>
      </c>
      <c r="IW50" s="26">
        <v>0</v>
      </c>
      <c r="IX50" s="33"/>
      <c r="JA50" s="26">
        <v>0</v>
      </c>
      <c r="JB50" s="30"/>
      <c r="JC50" s="27"/>
      <c r="JE50">
        <v>10</v>
      </c>
      <c r="JF50">
        <v>16</v>
      </c>
      <c r="JG50" s="26">
        <v>-6</v>
      </c>
      <c r="JH50" s="33"/>
      <c r="JI50" s="28">
        <v>0</v>
      </c>
      <c r="JJ50" s="28">
        <v>0</v>
      </c>
      <c r="JK50" s="26">
        <v>0</v>
      </c>
      <c r="JL50" s="33"/>
      <c r="JM50" s="28">
        <v>10</v>
      </c>
      <c r="JN50" s="28">
        <v>10</v>
      </c>
      <c r="JO50" s="26">
        <v>0</v>
      </c>
      <c r="JP50" s="33"/>
      <c r="JQ50" s="31">
        <v>0</v>
      </c>
      <c r="JR50" s="28">
        <v>0</v>
      </c>
      <c r="JS50" s="26">
        <v>0</v>
      </c>
      <c r="JT50" s="33"/>
    </row>
    <row r="51" spans="1:280" x14ac:dyDescent="0.25">
      <c r="A51" s="26" t="s">
        <v>202</v>
      </c>
      <c r="B51" s="27">
        <v>0.3</v>
      </c>
      <c r="I51" s="29"/>
      <c r="J51" s="35"/>
      <c r="K51" s="40"/>
      <c r="L51" s="35"/>
      <c r="M51" s="35">
        <f t="shared" si="6"/>
        <v>0</v>
      </c>
      <c r="N51" s="30"/>
      <c r="O51" s="29"/>
      <c r="P51" s="35"/>
      <c r="Q51" s="35"/>
      <c r="R51" s="35"/>
      <c r="S51" s="35">
        <f t="shared" si="7"/>
        <v>0</v>
      </c>
      <c r="T51" s="30"/>
      <c r="U51" s="29"/>
      <c r="V51" s="40"/>
      <c r="W51" s="35"/>
      <c r="X51" s="35"/>
      <c r="Y51" s="35"/>
      <c r="Z51" s="35"/>
      <c r="AA51" s="35">
        <f t="shared" si="8"/>
        <v>0</v>
      </c>
      <c r="AB51" s="30"/>
      <c r="AC51" s="29"/>
      <c r="AD51" s="35"/>
      <c r="AE51" s="35"/>
      <c r="AF51" s="35"/>
      <c r="AG51" s="35">
        <v>0</v>
      </c>
      <c r="AH51" s="30"/>
      <c r="AI51" s="35"/>
      <c r="AM51" s="26">
        <v>0</v>
      </c>
      <c r="AN51" s="30"/>
      <c r="AO51" s="31"/>
      <c r="AS51" s="26">
        <v>0</v>
      </c>
      <c r="AT51" s="30"/>
      <c r="AY51" s="26">
        <v>0</v>
      </c>
      <c r="AZ51" s="30"/>
      <c r="BD51" s="26">
        <v>0</v>
      </c>
      <c r="BE51" s="30"/>
      <c r="BF51" s="29"/>
      <c r="BH51" s="26">
        <v>0</v>
      </c>
      <c r="BI51" s="30"/>
      <c r="BJ51" s="29"/>
      <c r="BL51" s="26">
        <v>0</v>
      </c>
      <c r="BM51" s="30"/>
      <c r="BP51" s="26">
        <v>0</v>
      </c>
      <c r="BQ51" s="30"/>
      <c r="BR51" s="29"/>
      <c r="BT51" s="26">
        <v>0</v>
      </c>
      <c r="BU51" s="30"/>
      <c r="BX51" s="26">
        <v>0</v>
      </c>
      <c r="BY51" s="30"/>
      <c r="BZ51" s="29"/>
      <c r="CB51" s="26">
        <v>0</v>
      </c>
      <c r="CC51" s="30"/>
      <c r="CD51" s="29"/>
      <c r="CF51" s="26">
        <v>0</v>
      </c>
      <c r="CG51" s="30"/>
      <c r="CJ51" s="26">
        <v>0</v>
      </c>
      <c r="CK51" s="30"/>
      <c r="CL51" s="29"/>
      <c r="CP51" s="26">
        <v>0</v>
      </c>
      <c r="CQ51" s="30"/>
      <c r="CR51" s="29"/>
      <c r="CT51" s="26">
        <v>0</v>
      </c>
      <c r="CU51" s="30"/>
      <c r="CZ51" s="26">
        <v>0</v>
      </c>
      <c r="DA51" s="30"/>
      <c r="DD51" s="26">
        <v>0</v>
      </c>
      <c r="DE51" s="30"/>
      <c r="DF51" s="29"/>
      <c r="DH51" s="26">
        <v>0</v>
      </c>
      <c r="DI51" s="30"/>
      <c r="DJ51" s="29"/>
      <c r="DL51" s="26">
        <v>0</v>
      </c>
      <c r="DM51" s="30"/>
      <c r="DP51" s="26">
        <v>0</v>
      </c>
      <c r="DQ51" s="30"/>
      <c r="DR51" s="29"/>
      <c r="DU51" s="26">
        <v>0</v>
      </c>
      <c r="DV51" s="30"/>
      <c r="DW51" s="29"/>
      <c r="EA51" s="26">
        <v>0</v>
      </c>
      <c r="EB51" s="30"/>
      <c r="EC51" s="29"/>
      <c r="EF51" s="26">
        <v>0</v>
      </c>
      <c r="EG51" s="30"/>
      <c r="EJ51" s="26">
        <v>0</v>
      </c>
      <c r="EK51" s="30"/>
      <c r="EL51" s="31"/>
      <c r="EN51" s="26">
        <v>0</v>
      </c>
      <c r="EO51" s="30"/>
      <c r="EP51" s="29"/>
      <c r="ER51" s="26">
        <v>0</v>
      </c>
      <c r="ES51" s="30"/>
      <c r="ET51" s="29"/>
      <c r="EV51" s="26">
        <v>0</v>
      </c>
      <c r="EW51" s="30"/>
      <c r="EZ51" s="26">
        <v>0</v>
      </c>
      <c r="FA51" s="30"/>
      <c r="FD51" s="26">
        <v>0</v>
      </c>
      <c r="FE51" s="30"/>
      <c r="FF51" s="29"/>
      <c r="FI51" s="26">
        <v>0</v>
      </c>
      <c r="FJ51" s="30"/>
      <c r="FK51" s="29"/>
      <c r="FN51" s="26">
        <v>0</v>
      </c>
      <c r="FO51" s="30"/>
      <c r="FR51" s="26">
        <v>0</v>
      </c>
      <c r="FS51" s="30"/>
      <c r="FT51" s="29"/>
      <c r="FY51" s="26">
        <v>0</v>
      </c>
      <c r="FZ51" s="30"/>
      <c r="GC51" s="26">
        <v>0</v>
      </c>
      <c r="GD51" s="30"/>
      <c r="GE51" s="29"/>
      <c r="GI51" s="26">
        <v>0</v>
      </c>
      <c r="GJ51" s="30"/>
      <c r="GO51" s="26">
        <v>0</v>
      </c>
      <c r="GP51" s="30"/>
      <c r="GS51" s="26">
        <v>0</v>
      </c>
      <c r="GT51" s="30"/>
      <c r="GU51" s="29"/>
      <c r="GW51" s="26">
        <v>0</v>
      </c>
      <c r="GX51" s="30"/>
      <c r="GY51" s="29"/>
      <c r="HA51" s="26">
        <v>0</v>
      </c>
      <c r="HB51" s="30"/>
      <c r="HE51" s="26">
        <v>0</v>
      </c>
      <c r="HF51" s="30"/>
      <c r="HG51" s="29"/>
      <c r="HI51" s="26">
        <v>0</v>
      </c>
      <c r="HJ51" s="30"/>
      <c r="HK51" s="29"/>
      <c r="HM51" s="26">
        <v>0</v>
      </c>
      <c r="HN51" s="30"/>
      <c r="HQ51" s="26">
        <v>0</v>
      </c>
      <c r="HR51" s="33"/>
      <c r="HU51" s="26">
        <v>0</v>
      </c>
      <c r="HV51" s="30"/>
      <c r="HY51" s="26">
        <v>0</v>
      </c>
      <c r="HZ51" s="33"/>
      <c r="IC51" s="26">
        <v>0</v>
      </c>
      <c r="ID51" s="30"/>
      <c r="IG51" s="26">
        <v>0</v>
      </c>
      <c r="IH51" s="33"/>
      <c r="IK51" s="26">
        <v>0</v>
      </c>
      <c r="IL51" s="30"/>
      <c r="IM51" s="31"/>
      <c r="IO51" s="26">
        <v>0</v>
      </c>
      <c r="IP51" s="33"/>
      <c r="IS51" s="26">
        <v>0</v>
      </c>
      <c r="IT51" s="33"/>
      <c r="IW51" s="26">
        <v>0</v>
      </c>
      <c r="IX51" s="33"/>
      <c r="JA51" s="26">
        <v>0</v>
      </c>
      <c r="JB51" s="30"/>
      <c r="JC51" s="27"/>
      <c r="JE51" s="27"/>
      <c r="JG51" s="26">
        <v>0</v>
      </c>
      <c r="JH51" s="33"/>
      <c r="JI51" s="28">
        <v>0</v>
      </c>
      <c r="JJ51" s="28">
        <v>0</v>
      </c>
      <c r="JK51" s="26">
        <v>0</v>
      </c>
      <c r="JL51" s="33"/>
      <c r="JM51" s="28">
        <v>0</v>
      </c>
      <c r="JN51" s="28">
        <v>0</v>
      </c>
      <c r="JO51" s="26">
        <v>0</v>
      </c>
      <c r="JP51" s="33"/>
      <c r="JQ51" s="31">
        <v>0</v>
      </c>
      <c r="JR51" s="28">
        <v>0</v>
      </c>
      <c r="JS51" s="26">
        <v>0</v>
      </c>
      <c r="JT51" s="33"/>
    </row>
    <row r="52" spans="1:280" x14ac:dyDescent="0.25">
      <c r="A52" s="26" t="s">
        <v>203</v>
      </c>
      <c r="B52" s="27">
        <v>0.27</v>
      </c>
      <c r="I52" s="29"/>
      <c r="J52" s="35"/>
      <c r="K52" s="40"/>
      <c r="L52" s="35"/>
      <c r="M52" s="35">
        <f t="shared" si="6"/>
        <v>0</v>
      </c>
      <c r="N52" s="30"/>
      <c r="O52" s="29"/>
      <c r="P52" s="35"/>
      <c r="Q52" s="35"/>
      <c r="R52" s="35"/>
      <c r="S52" s="35">
        <f t="shared" si="7"/>
        <v>0</v>
      </c>
      <c r="T52" s="30"/>
      <c r="U52" s="29"/>
      <c r="V52" s="40"/>
      <c r="W52" s="35"/>
      <c r="X52" s="35"/>
      <c r="Y52" s="35"/>
      <c r="Z52" s="35"/>
      <c r="AA52" s="35">
        <f t="shared" si="8"/>
        <v>0</v>
      </c>
      <c r="AB52" s="30"/>
      <c r="AC52" s="29"/>
      <c r="AD52" s="35"/>
      <c r="AE52" s="35"/>
      <c r="AF52" s="35"/>
      <c r="AG52" s="35">
        <v>0</v>
      </c>
      <c r="AH52" s="30"/>
      <c r="AI52" s="35"/>
      <c r="AM52" s="26">
        <v>0</v>
      </c>
      <c r="AN52" s="30"/>
      <c r="AO52" s="31"/>
      <c r="AS52" s="26">
        <v>0</v>
      </c>
      <c r="AT52" s="30"/>
      <c r="AY52" s="26">
        <v>0</v>
      </c>
      <c r="AZ52" s="30"/>
      <c r="BD52" s="26">
        <v>0</v>
      </c>
      <c r="BE52" s="30"/>
      <c r="BF52" s="29"/>
      <c r="BH52" s="26">
        <v>0</v>
      </c>
      <c r="BI52" s="30"/>
      <c r="BJ52" s="29"/>
      <c r="BL52" s="26">
        <v>0</v>
      </c>
      <c r="BM52" s="30"/>
      <c r="BP52" s="26">
        <v>0</v>
      </c>
      <c r="BQ52" s="30"/>
      <c r="BR52" s="29"/>
      <c r="BT52" s="26">
        <v>0</v>
      </c>
      <c r="BU52" s="30"/>
      <c r="BX52" s="26">
        <v>0</v>
      </c>
      <c r="BY52" s="30"/>
      <c r="BZ52" s="29"/>
      <c r="CB52" s="26">
        <v>0</v>
      </c>
      <c r="CC52" s="30"/>
      <c r="CD52" s="29"/>
      <c r="CF52" s="26">
        <v>0</v>
      </c>
      <c r="CG52" s="30"/>
      <c r="CJ52" s="26">
        <v>0</v>
      </c>
      <c r="CK52" s="30"/>
      <c r="CL52" s="29"/>
      <c r="CP52" s="26">
        <v>0</v>
      </c>
      <c r="CQ52" s="30"/>
      <c r="CR52" s="29"/>
      <c r="CT52" s="26">
        <v>0</v>
      </c>
      <c r="CU52" s="30"/>
      <c r="CZ52" s="26">
        <v>0</v>
      </c>
      <c r="DA52" s="30"/>
      <c r="DD52" s="26">
        <v>0</v>
      </c>
      <c r="DE52" s="30"/>
      <c r="DF52" s="29"/>
      <c r="DH52" s="26">
        <v>0</v>
      </c>
      <c r="DI52" s="30"/>
      <c r="DJ52" s="29"/>
      <c r="DL52" s="26">
        <v>0</v>
      </c>
      <c r="DM52" s="30"/>
      <c r="DP52" s="26">
        <v>0</v>
      </c>
      <c r="DQ52" s="30"/>
      <c r="DR52" s="29"/>
      <c r="DU52" s="26">
        <v>0</v>
      </c>
      <c r="DV52" s="30"/>
      <c r="DW52" s="29"/>
      <c r="EA52" s="26">
        <v>0</v>
      </c>
      <c r="EB52" s="30"/>
      <c r="EC52" s="29"/>
      <c r="EF52" s="26">
        <v>0</v>
      </c>
      <c r="EG52" s="30"/>
      <c r="EJ52" s="26">
        <v>0</v>
      </c>
      <c r="EK52" s="30"/>
      <c r="EL52" s="31"/>
      <c r="EN52" s="26">
        <v>0</v>
      </c>
      <c r="EO52" s="30"/>
      <c r="EP52" s="29"/>
      <c r="ER52" s="26">
        <v>0</v>
      </c>
      <c r="ES52" s="30"/>
      <c r="ET52" s="29"/>
      <c r="EV52" s="26">
        <v>0</v>
      </c>
      <c r="EW52" s="30"/>
      <c r="EZ52" s="26">
        <v>0</v>
      </c>
      <c r="FA52" s="30"/>
      <c r="FD52" s="26">
        <v>0</v>
      </c>
      <c r="FE52" s="30"/>
      <c r="FF52" s="29"/>
      <c r="FI52" s="26">
        <v>0</v>
      </c>
      <c r="FJ52" s="30"/>
      <c r="FK52" s="29"/>
      <c r="FN52" s="26">
        <v>0</v>
      </c>
      <c r="FO52" s="30"/>
      <c r="FR52" s="26">
        <v>0</v>
      </c>
      <c r="FS52" s="30"/>
      <c r="FT52" s="29"/>
      <c r="FY52" s="26">
        <v>0</v>
      </c>
      <c r="FZ52" s="30"/>
      <c r="GC52" s="26">
        <v>0</v>
      </c>
      <c r="GD52" s="30"/>
      <c r="GE52" s="29"/>
      <c r="GI52" s="26">
        <v>0</v>
      </c>
      <c r="GJ52" s="30"/>
      <c r="GO52" s="26">
        <v>0</v>
      </c>
      <c r="GP52" s="30"/>
      <c r="GS52" s="26">
        <v>0</v>
      </c>
      <c r="GT52" s="30"/>
      <c r="GU52" s="29"/>
      <c r="GW52" s="26">
        <v>0</v>
      </c>
      <c r="GX52" s="30"/>
      <c r="GY52" s="29"/>
      <c r="HA52" s="26">
        <v>0</v>
      </c>
      <c r="HB52" s="30"/>
      <c r="HE52" s="26">
        <v>0</v>
      </c>
      <c r="HF52" s="30"/>
      <c r="HG52" s="29"/>
      <c r="HI52" s="26">
        <v>0</v>
      </c>
      <c r="HJ52" s="30"/>
      <c r="HK52" s="29"/>
      <c r="HM52" s="26">
        <v>0</v>
      </c>
      <c r="HN52" s="30"/>
      <c r="HQ52" s="26">
        <v>0</v>
      </c>
      <c r="HR52" s="33"/>
      <c r="HU52" s="26">
        <v>0</v>
      </c>
      <c r="HV52" s="30"/>
      <c r="HY52" s="26">
        <v>0</v>
      </c>
      <c r="HZ52" s="33"/>
      <c r="IC52" s="26">
        <v>0</v>
      </c>
      <c r="ID52" s="30"/>
      <c r="IG52" s="26">
        <v>0</v>
      </c>
      <c r="IH52" s="33"/>
      <c r="IK52" s="26">
        <v>0</v>
      </c>
      <c r="IL52" s="30"/>
      <c r="IM52" s="31"/>
      <c r="IO52" s="26">
        <v>0</v>
      </c>
      <c r="IP52" s="33"/>
      <c r="IS52" s="26">
        <v>0</v>
      </c>
      <c r="IT52" s="33"/>
      <c r="IW52" s="26">
        <v>0</v>
      </c>
      <c r="IX52" s="33"/>
      <c r="JA52" s="26">
        <v>0</v>
      </c>
      <c r="JB52" s="30"/>
      <c r="JC52" s="27"/>
      <c r="JE52" s="27"/>
      <c r="JG52" s="26">
        <v>0</v>
      </c>
      <c r="JH52" s="33"/>
      <c r="JI52" s="28">
        <v>0</v>
      </c>
      <c r="JJ52" s="28">
        <v>0</v>
      </c>
      <c r="JK52" s="26">
        <v>0</v>
      </c>
      <c r="JL52" s="33"/>
      <c r="JM52" s="28">
        <v>0</v>
      </c>
      <c r="JN52" s="28">
        <v>0</v>
      </c>
      <c r="JO52" s="26">
        <v>0</v>
      </c>
      <c r="JP52" s="33"/>
      <c r="JQ52" s="31">
        <v>0</v>
      </c>
      <c r="JR52" s="28">
        <v>0</v>
      </c>
      <c r="JS52" s="26">
        <v>0</v>
      </c>
      <c r="JT52" s="33"/>
    </row>
    <row r="53" spans="1:280" x14ac:dyDescent="0.25">
      <c r="A53" s="26" t="s">
        <v>204</v>
      </c>
      <c r="B53" s="27">
        <v>1</v>
      </c>
      <c r="E53">
        <v>50</v>
      </c>
      <c r="F53">
        <v>21</v>
      </c>
      <c r="I53" s="32">
        <v>29</v>
      </c>
      <c r="J53" s="36">
        <v>29</v>
      </c>
      <c r="K53" s="36">
        <v>28</v>
      </c>
      <c r="L53" s="36">
        <v>30</v>
      </c>
      <c r="M53" s="35">
        <f t="shared" si="6"/>
        <v>-2</v>
      </c>
      <c r="N53" s="30"/>
      <c r="O53" s="32">
        <v>251</v>
      </c>
      <c r="P53" s="36">
        <v>235</v>
      </c>
      <c r="Q53" s="36">
        <v>237</v>
      </c>
      <c r="R53" s="36">
        <v>220</v>
      </c>
      <c r="S53" s="35">
        <f t="shared" si="7"/>
        <v>33</v>
      </c>
      <c r="T53" s="30"/>
      <c r="U53" s="29"/>
      <c r="V53" s="36">
        <v>98</v>
      </c>
      <c r="W53" s="36">
        <v>98</v>
      </c>
      <c r="X53" s="35"/>
      <c r="Y53" s="35"/>
      <c r="Z53" s="35"/>
      <c r="AA53" s="35">
        <f t="shared" si="8"/>
        <v>0</v>
      </c>
      <c r="AB53" s="30"/>
      <c r="AC53" s="32">
        <v>199</v>
      </c>
      <c r="AD53" s="40">
        <v>190.58823529411771</v>
      </c>
      <c r="AE53" s="36">
        <v>141</v>
      </c>
      <c r="AF53" s="40">
        <v>133.41176470588229</v>
      </c>
      <c r="AG53" s="35">
        <v>16</v>
      </c>
      <c r="AH53" s="30"/>
      <c r="AI53" s="36">
        <v>69</v>
      </c>
      <c r="AJ53">
        <v>68</v>
      </c>
      <c r="AK53">
        <v>57</v>
      </c>
      <c r="AL53">
        <v>54</v>
      </c>
      <c r="AM53" s="26">
        <v>4</v>
      </c>
      <c r="AN53" s="30"/>
      <c r="AO53" s="31"/>
      <c r="AQ53">
        <v>19</v>
      </c>
      <c r="AR53">
        <v>18</v>
      </c>
      <c r="AS53" s="26">
        <v>1</v>
      </c>
      <c r="AT53" s="30"/>
      <c r="AU53">
        <v>123</v>
      </c>
      <c r="AV53">
        <v>120</v>
      </c>
      <c r="AW53">
        <v>61</v>
      </c>
      <c r="AX53">
        <v>61</v>
      </c>
      <c r="AY53" s="26">
        <v>3</v>
      </c>
      <c r="AZ53" s="30"/>
      <c r="BA53">
        <v>10</v>
      </c>
      <c r="BB53">
        <v>121</v>
      </c>
      <c r="BC53">
        <v>117</v>
      </c>
      <c r="BD53" s="26">
        <v>14</v>
      </c>
      <c r="BE53" s="30"/>
      <c r="BF53" s="32">
        <v>385</v>
      </c>
      <c r="BG53">
        <v>371</v>
      </c>
      <c r="BH53" s="26">
        <v>14</v>
      </c>
      <c r="BI53" s="30"/>
      <c r="BJ53" s="32">
        <v>126</v>
      </c>
      <c r="BK53">
        <v>118</v>
      </c>
      <c r="BL53" s="26">
        <v>8</v>
      </c>
      <c r="BM53" s="30"/>
      <c r="BN53">
        <v>257</v>
      </c>
      <c r="BO53">
        <v>237</v>
      </c>
      <c r="BP53" s="26">
        <v>20</v>
      </c>
      <c r="BQ53" s="30"/>
      <c r="BR53" s="32">
        <v>125</v>
      </c>
      <c r="BS53">
        <v>122</v>
      </c>
      <c r="BT53" s="26">
        <v>3</v>
      </c>
      <c r="BU53" s="30"/>
      <c r="BV53">
        <v>38</v>
      </c>
      <c r="BW53">
        <v>36</v>
      </c>
      <c r="BX53" s="26">
        <v>2</v>
      </c>
      <c r="BY53" s="30"/>
      <c r="BZ53" s="32">
        <v>314</v>
      </c>
      <c r="CA53">
        <v>311</v>
      </c>
      <c r="CB53" s="26">
        <v>3</v>
      </c>
      <c r="CC53" s="30"/>
      <c r="CD53" s="32">
        <v>95</v>
      </c>
      <c r="CE53">
        <v>90</v>
      </c>
      <c r="CF53" s="26">
        <v>5</v>
      </c>
      <c r="CG53" s="30"/>
      <c r="CJ53" s="26">
        <v>0</v>
      </c>
      <c r="CK53" s="30"/>
      <c r="CL53" s="32">
        <v>115</v>
      </c>
      <c r="CM53">
        <v>110</v>
      </c>
      <c r="CN53">
        <v>124</v>
      </c>
      <c r="CO53">
        <v>119</v>
      </c>
      <c r="CP53" s="26">
        <v>10</v>
      </c>
      <c r="CQ53" s="30"/>
      <c r="CR53" s="29"/>
      <c r="CT53" s="26">
        <v>0</v>
      </c>
      <c r="CU53" s="30"/>
      <c r="CX53">
        <v>208</v>
      </c>
      <c r="CY53">
        <v>198</v>
      </c>
      <c r="CZ53" s="26">
        <v>10</v>
      </c>
      <c r="DA53" s="30"/>
      <c r="DD53" s="26">
        <v>0</v>
      </c>
      <c r="DE53" s="30"/>
      <c r="DF53" s="32">
        <v>196</v>
      </c>
      <c r="DG53">
        <v>187</v>
      </c>
      <c r="DH53" s="26">
        <v>9</v>
      </c>
      <c r="DI53" s="30"/>
      <c r="DJ53" s="29"/>
      <c r="DL53" s="26">
        <v>0</v>
      </c>
      <c r="DM53" s="30"/>
      <c r="DN53">
        <v>163</v>
      </c>
      <c r="DO53">
        <v>157</v>
      </c>
      <c r="DP53" s="26">
        <v>6</v>
      </c>
      <c r="DQ53" s="30"/>
      <c r="DR53" s="32">
        <v>48</v>
      </c>
      <c r="DT53">
        <v>46</v>
      </c>
      <c r="DU53" s="26">
        <v>2</v>
      </c>
      <c r="DV53" s="30"/>
      <c r="DW53" s="29"/>
      <c r="DY53">
        <v>18</v>
      </c>
      <c r="DZ53">
        <v>17</v>
      </c>
      <c r="EA53" s="26">
        <v>1</v>
      </c>
      <c r="EB53" s="30"/>
      <c r="EC53" s="32">
        <v>66</v>
      </c>
      <c r="EE53">
        <v>63</v>
      </c>
      <c r="EF53" s="26">
        <v>3</v>
      </c>
      <c r="EG53" s="30"/>
      <c r="EH53">
        <v>138</v>
      </c>
      <c r="EI53" s="26">
        <v>129.14519999999999</v>
      </c>
      <c r="EJ53" s="26">
        <v>8.8548000000000116</v>
      </c>
      <c r="EK53" s="30"/>
      <c r="EL53" s="32">
        <v>29</v>
      </c>
      <c r="EM53" s="26">
        <v>25.150999999999978</v>
      </c>
      <c r="EN53" s="26">
        <v>3.849000000000022</v>
      </c>
      <c r="EO53" s="30"/>
      <c r="EP53" s="29"/>
      <c r="ER53" s="26">
        <v>0</v>
      </c>
      <c r="ES53" s="30"/>
      <c r="ET53" s="32">
        <v>70</v>
      </c>
      <c r="EU53">
        <v>67</v>
      </c>
      <c r="EV53" s="26">
        <v>3</v>
      </c>
      <c r="EW53" s="30"/>
      <c r="EX53">
        <v>135</v>
      </c>
      <c r="EY53" s="28">
        <v>131.45339999999999</v>
      </c>
      <c r="EZ53" s="26">
        <v>3.5466000000000122</v>
      </c>
      <c r="FA53" s="30"/>
      <c r="FB53">
        <v>100</v>
      </c>
      <c r="FC53">
        <v>96</v>
      </c>
      <c r="FD53" s="26">
        <v>4</v>
      </c>
      <c r="FE53" s="30"/>
      <c r="FF53" s="29"/>
      <c r="FI53" s="26">
        <v>0</v>
      </c>
      <c r="FJ53" s="30"/>
      <c r="FK53" s="29"/>
      <c r="FN53" s="26">
        <v>0</v>
      </c>
      <c r="FO53" s="30"/>
      <c r="FR53" s="26">
        <v>0</v>
      </c>
      <c r="FS53" s="30"/>
      <c r="FT53" s="29"/>
      <c r="FU53">
        <v>60</v>
      </c>
      <c r="FV53">
        <v>60</v>
      </c>
      <c r="FW53">
        <v>51</v>
      </c>
      <c r="FX53">
        <v>50</v>
      </c>
      <c r="FY53" s="26">
        <v>1</v>
      </c>
      <c r="FZ53" s="30"/>
      <c r="GA53">
        <v>136</v>
      </c>
      <c r="GB53" s="28">
        <v>127.8438</v>
      </c>
      <c r="GC53" s="26">
        <v>8.1561999999999983</v>
      </c>
      <c r="GD53" s="30"/>
      <c r="GE53" s="29"/>
      <c r="GG53">
        <v>69</v>
      </c>
      <c r="GH53">
        <v>67</v>
      </c>
      <c r="GI53" s="26">
        <v>2</v>
      </c>
      <c r="GJ53" s="30"/>
      <c r="GM53">
        <v>97</v>
      </c>
      <c r="GN53">
        <v>90</v>
      </c>
      <c r="GO53" s="26">
        <v>7</v>
      </c>
      <c r="GP53" s="30"/>
      <c r="GS53" s="26">
        <v>0</v>
      </c>
      <c r="GT53" s="30"/>
      <c r="GU53" s="32">
        <v>83</v>
      </c>
      <c r="GV53">
        <v>80</v>
      </c>
      <c r="GW53" s="26">
        <v>3</v>
      </c>
      <c r="GX53" s="30"/>
      <c r="GY53" s="29"/>
      <c r="HA53" s="26">
        <v>0</v>
      </c>
      <c r="HB53" s="30"/>
      <c r="HE53" s="26">
        <v>0</v>
      </c>
      <c r="HF53" s="30"/>
      <c r="HG53" s="32">
        <v>126</v>
      </c>
      <c r="HH53">
        <v>130</v>
      </c>
      <c r="HI53" s="26">
        <v>-4</v>
      </c>
      <c r="HJ53" s="30"/>
      <c r="HK53" s="32">
        <v>5</v>
      </c>
      <c r="HL53">
        <v>3</v>
      </c>
      <c r="HM53" s="26">
        <v>2</v>
      </c>
      <c r="HN53" s="30"/>
      <c r="HO53">
        <v>72</v>
      </c>
      <c r="HP53">
        <v>70</v>
      </c>
      <c r="HQ53" s="26">
        <v>2</v>
      </c>
      <c r="HR53" s="33"/>
      <c r="HS53">
        <v>38</v>
      </c>
      <c r="HT53">
        <v>37</v>
      </c>
      <c r="HU53" s="26">
        <v>1</v>
      </c>
      <c r="HV53" s="30"/>
      <c r="HW53">
        <v>14</v>
      </c>
      <c r="HX53">
        <v>15</v>
      </c>
      <c r="HY53" s="26">
        <v>-1</v>
      </c>
      <c r="HZ53" s="33"/>
      <c r="IA53">
        <v>52</v>
      </c>
      <c r="IB53">
        <v>51</v>
      </c>
      <c r="IC53" s="26">
        <v>1</v>
      </c>
      <c r="ID53" s="30"/>
      <c r="IE53">
        <v>9</v>
      </c>
      <c r="IF53">
        <v>10</v>
      </c>
      <c r="IG53" s="26">
        <v>-1</v>
      </c>
      <c r="IH53" s="33"/>
      <c r="II53">
        <v>34</v>
      </c>
      <c r="IJ53" s="28">
        <v>35.027999999999999</v>
      </c>
      <c r="IK53" s="26">
        <v>-1.0279999999999989</v>
      </c>
      <c r="IL53" s="30"/>
      <c r="IM53" s="31"/>
      <c r="IO53" s="26">
        <v>0</v>
      </c>
      <c r="IP53" s="33"/>
      <c r="IS53" s="26">
        <v>0</v>
      </c>
      <c r="IT53" s="33"/>
      <c r="IW53" s="26">
        <v>0</v>
      </c>
      <c r="IX53" s="33"/>
      <c r="JA53" s="26">
        <v>0</v>
      </c>
      <c r="JB53" s="30"/>
      <c r="JC53">
        <v>81</v>
      </c>
      <c r="JD53">
        <v>80</v>
      </c>
      <c r="JE53">
        <v>67</v>
      </c>
      <c r="JF53">
        <v>67</v>
      </c>
      <c r="JG53" s="26">
        <v>1</v>
      </c>
      <c r="JH53" s="33"/>
      <c r="JI53" s="28">
        <v>71.789000000000001</v>
      </c>
      <c r="JJ53" s="28">
        <v>70</v>
      </c>
      <c r="JK53" s="26">
        <v>1.789000000000001</v>
      </c>
      <c r="JL53" s="33"/>
      <c r="JM53" s="28">
        <v>66.991</v>
      </c>
      <c r="JN53" s="28">
        <v>65.108000000000004</v>
      </c>
      <c r="JO53" s="26">
        <v>1.882999999999996</v>
      </c>
      <c r="JP53" s="33"/>
      <c r="JQ53" s="31">
        <v>77.289000000000001</v>
      </c>
      <c r="JR53" s="28">
        <v>75</v>
      </c>
      <c r="JS53" s="26">
        <v>2.289000000000001</v>
      </c>
      <c r="JT53" s="33"/>
    </row>
    <row r="54" spans="1:280" x14ac:dyDescent="0.25">
      <c r="A54" s="26" t="s">
        <v>205</v>
      </c>
      <c r="B54" s="27">
        <v>1</v>
      </c>
      <c r="I54" s="29"/>
      <c r="J54" s="35"/>
      <c r="K54" s="40"/>
      <c r="L54" s="35"/>
      <c r="M54" s="35">
        <f t="shared" si="6"/>
        <v>0</v>
      </c>
      <c r="N54" s="30"/>
      <c r="O54" s="29"/>
      <c r="P54" s="35"/>
      <c r="Q54" s="35"/>
      <c r="R54" s="35"/>
      <c r="S54" s="35">
        <f t="shared" si="7"/>
        <v>0</v>
      </c>
      <c r="T54" s="30"/>
      <c r="U54" s="29"/>
      <c r="V54" s="40"/>
      <c r="W54" s="35"/>
      <c r="X54" s="35"/>
      <c r="Y54" s="35"/>
      <c r="Z54" s="35"/>
      <c r="AA54" s="35">
        <f t="shared" si="8"/>
        <v>0</v>
      </c>
      <c r="AB54" s="30"/>
      <c r="AC54" s="29"/>
      <c r="AD54" s="35"/>
      <c r="AE54" s="35"/>
      <c r="AF54" s="35"/>
      <c r="AG54" s="35">
        <v>0</v>
      </c>
      <c r="AH54" s="30"/>
      <c r="AI54" s="35"/>
      <c r="AM54" s="26">
        <v>0</v>
      </c>
      <c r="AN54" s="30"/>
      <c r="AO54" s="31"/>
      <c r="AS54" s="26">
        <v>0</v>
      </c>
      <c r="AT54" s="30"/>
      <c r="AY54" s="26">
        <v>0</v>
      </c>
      <c r="AZ54" s="30"/>
      <c r="BD54" s="26">
        <v>0</v>
      </c>
      <c r="BE54" s="30"/>
      <c r="BF54" s="29"/>
      <c r="BH54" s="26">
        <v>0</v>
      </c>
      <c r="BI54" s="30"/>
      <c r="BJ54" s="29"/>
      <c r="BL54" s="26">
        <v>0</v>
      </c>
      <c r="BM54" s="30"/>
      <c r="BP54" s="26">
        <v>0</v>
      </c>
      <c r="BQ54" s="30"/>
      <c r="BR54" s="29"/>
      <c r="BT54" s="26">
        <v>0</v>
      </c>
      <c r="BU54" s="30"/>
      <c r="BX54" s="26">
        <v>0</v>
      </c>
      <c r="BY54" s="30"/>
      <c r="BZ54" s="29"/>
      <c r="CB54" s="26">
        <v>0</v>
      </c>
      <c r="CC54" s="30"/>
      <c r="CD54" s="29"/>
      <c r="CF54" s="26">
        <v>0</v>
      </c>
      <c r="CG54" s="30"/>
      <c r="CJ54" s="26">
        <v>0</v>
      </c>
      <c r="CK54" s="30"/>
      <c r="CL54" s="29"/>
      <c r="CP54" s="26">
        <v>0</v>
      </c>
      <c r="CQ54" s="30"/>
      <c r="CR54" s="29"/>
      <c r="CT54" s="26">
        <v>0</v>
      </c>
      <c r="CU54" s="30"/>
      <c r="CZ54" s="26">
        <v>0</v>
      </c>
      <c r="DA54" s="30"/>
      <c r="DD54" s="26">
        <v>0</v>
      </c>
      <c r="DE54" s="30"/>
      <c r="DF54" s="29"/>
      <c r="DH54" s="26">
        <v>0</v>
      </c>
      <c r="DI54" s="30"/>
      <c r="DJ54" s="29"/>
      <c r="DL54" s="26">
        <v>0</v>
      </c>
      <c r="DM54" s="30"/>
      <c r="DP54" s="26">
        <v>0</v>
      </c>
      <c r="DQ54" s="30"/>
      <c r="DR54" s="29"/>
      <c r="DU54" s="26">
        <v>0</v>
      </c>
      <c r="DV54" s="30"/>
      <c r="DW54" s="29"/>
      <c r="EA54" s="26">
        <v>0</v>
      </c>
      <c r="EB54" s="30"/>
      <c r="EC54" s="29"/>
      <c r="EF54" s="26">
        <v>0</v>
      </c>
      <c r="EG54" s="30"/>
      <c r="EJ54" s="26">
        <v>0</v>
      </c>
      <c r="EK54" s="30"/>
      <c r="EL54" s="31"/>
      <c r="EN54" s="26">
        <v>0</v>
      </c>
      <c r="EO54" s="30"/>
      <c r="EP54" s="29"/>
      <c r="ER54" s="26">
        <v>0</v>
      </c>
      <c r="ES54" s="30"/>
      <c r="ET54" s="29"/>
      <c r="EV54" s="26">
        <v>0</v>
      </c>
      <c r="EW54" s="30"/>
      <c r="EZ54" s="26">
        <v>0</v>
      </c>
      <c r="FA54" s="30"/>
      <c r="FD54" s="26">
        <v>0</v>
      </c>
      <c r="FE54" s="30"/>
      <c r="FF54" s="29"/>
      <c r="FI54" s="26">
        <v>0</v>
      </c>
      <c r="FJ54" s="30"/>
      <c r="FK54" s="29"/>
      <c r="FN54" s="26">
        <v>0</v>
      </c>
      <c r="FO54" s="30"/>
      <c r="FR54" s="26">
        <v>0</v>
      </c>
      <c r="FS54" s="30"/>
      <c r="FT54" s="29"/>
      <c r="FY54" s="26">
        <v>0</v>
      </c>
      <c r="FZ54" s="30"/>
      <c r="GC54" s="26">
        <v>0</v>
      </c>
      <c r="GD54" s="30"/>
      <c r="GE54" s="29"/>
      <c r="GI54" s="26">
        <v>0</v>
      </c>
      <c r="GJ54" s="30"/>
      <c r="GO54" s="26">
        <v>0</v>
      </c>
      <c r="GP54" s="30"/>
      <c r="GS54" s="26">
        <v>0</v>
      </c>
      <c r="GT54" s="30"/>
      <c r="GU54" s="29"/>
      <c r="GW54" s="26">
        <v>0</v>
      </c>
      <c r="GX54" s="30"/>
      <c r="GY54" s="29"/>
      <c r="HA54" s="26">
        <v>0</v>
      </c>
      <c r="HB54" s="30"/>
      <c r="HE54" s="26">
        <v>0</v>
      </c>
      <c r="HF54" s="30"/>
      <c r="HG54" s="29"/>
      <c r="HI54" s="26">
        <v>0</v>
      </c>
      <c r="HJ54" s="30"/>
      <c r="HK54" s="29"/>
      <c r="HM54" s="26">
        <v>0</v>
      </c>
      <c r="HN54" s="30"/>
      <c r="HQ54" s="26">
        <v>0</v>
      </c>
      <c r="HR54" s="33"/>
      <c r="HU54" s="26">
        <v>0</v>
      </c>
      <c r="HV54" s="30"/>
      <c r="HY54" s="26">
        <v>0</v>
      </c>
      <c r="HZ54" s="33"/>
      <c r="IC54" s="26">
        <v>0</v>
      </c>
      <c r="ID54" s="30"/>
      <c r="IG54" s="26">
        <v>0</v>
      </c>
      <c r="IH54" s="33"/>
      <c r="IK54" s="26">
        <v>0</v>
      </c>
      <c r="IL54" s="30"/>
      <c r="IM54" s="31"/>
      <c r="IO54" s="26">
        <v>0</v>
      </c>
      <c r="IP54" s="33"/>
      <c r="IS54" s="26">
        <v>0</v>
      </c>
      <c r="IT54" s="33"/>
      <c r="IW54" s="26">
        <v>0</v>
      </c>
      <c r="IX54" s="33"/>
      <c r="JA54" s="26">
        <v>0</v>
      </c>
      <c r="JB54" s="30"/>
      <c r="JC54" s="27"/>
      <c r="JE54" s="27"/>
      <c r="JG54" s="26">
        <v>0</v>
      </c>
      <c r="JH54" s="33"/>
      <c r="JI54" s="28">
        <v>0</v>
      </c>
      <c r="JJ54" s="28">
        <v>0</v>
      </c>
      <c r="JK54" s="26">
        <v>0</v>
      </c>
      <c r="JL54" s="33"/>
      <c r="JM54" s="28">
        <v>0</v>
      </c>
      <c r="JN54" s="28">
        <v>0</v>
      </c>
      <c r="JO54" s="26">
        <v>0</v>
      </c>
      <c r="JP54" s="33"/>
      <c r="JQ54" s="31">
        <v>0</v>
      </c>
      <c r="JR54" s="28">
        <v>0</v>
      </c>
      <c r="JS54" s="26">
        <v>0</v>
      </c>
      <c r="JT54" s="33"/>
    </row>
    <row r="55" spans="1:280" x14ac:dyDescent="0.25">
      <c r="A55" s="26" t="s">
        <v>206</v>
      </c>
      <c r="B55" s="27">
        <v>0.4</v>
      </c>
      <c r="E55">
        <v>51</v>
      </c>
      <c r="F55">
        <v>52</v>
      </c>
      <c r="I55" s="29"/>
      <c r="J55" s="35"/>
      <c r="K55" s="40"/>
      <c r="L55" s="35"/>
      <c r="M55" s="35">
        <f t="shared" si="6"/>
        <v>0</v>
      </c>
      <c r="N55" s="30"/>
      <c r="O55" s="32">
        <v>56</v>
      </c>
      <c r="P55" s="36">
        <v>58</v>
      </c>
      <c r="Q55" s="36">
        <v>48</v>
      </c>
      <c r="R55" s="36">
        <v>54</v>
      </c>
      <c r="S55" s="35">
        <f t="shared" si="7"/>
        <v>-8</v>
      </c>
      <c r="T55" s="30"/>
      <c r="U55" s="29"/>
      <c r="V55" s="40"/>
      <c r="W55" s="35"/>
      <c r="X55" s="35"/>
      <c r="Y55" s="36">
        <v>64</v>
      </c>
      <c r="Z55" s="36">
        <v>66</v>
      </c>
      <c r="AA55" s="35">
        <f t="shared" si="8"/>
        <v>-2</v>
      </c>
      <c r="AB55" s="30"/>
      <c r="AC55" s="29"/>
      <c r="AD55" s="35"/>
      <c r="AE55" s="36">
        <v>40</v>
      </c>
      <c r="AF55" s="40">
        <v>41</v>
      </c>
      <c r="AG55" s="35">
        <v>-1</v>
      </c>
      <c r="AH55" s="30"/>
      <c r="AI55" s="36">
        <v>8</v>
      </c>
      <c r="AJ55">
        <v>10</v>
      </c>
      <c r="AM55" s="26">
        <v>-2</v>
      </c>
      <c r="AN55" s="30"/>
      <c r="AO55" s="32">
        <v>40</v>
      </c>
      <c r="AP55">
        <v>40</v>
      </c>
      <c r="AQ55">
        <v>56</v>
      </c>
      <c r="AR55">
        <v>60</v>
      </c>
      <c r="AS55" s="26">
        <v>-4</v>
      </c>
      <c r="AT55" s="30"/>
      <c r="AY55" s="26">
        <v>0</v>
      </c>
      <c r="AZ55" s="30"/>
      <c r="BD55" s="26">
        <v>0</v>
      </c>
      <c r="BE55" s="30"/>
      <c r="BF55" s="32">
        <v>128</v>
      </c>
      <c r="BG55">
        <v>126</v>
      </c>
      <c r="BH55" s="26">
        <v>2</v>
      </c>
      <c r="BI55" s="30"/>
      <c r="BJ55" s="32">
        <v>40</v>
      </c>
      <c r="BK55">
        <v>51</v>
      </c>
      <c r="BL55" s="25">
        <v>-11</v>
      </c>
      <c r="BM55" s="30">
        <v>4.4000000000000004</v>
      </c>
      <c r="BN55">
        <v>72</v>
      </c>
      <c r="BO55">
        <v>72</v>
      </c>
      <c r="BP55" s="26">
        <v>0</v>
      </c>
      <c r="BQ55" s="30"/>
      <c r="BR55" s="32">
        <v>48</v>
      </c>
      <c r="BS55">
        <v>48</v>
      </c>
      <c r="BT55" s="26">
        <v>0</v>
      </c>
      <c r="BU55" s="30"/>
      <c r="BV55">
        <v>8</v>
      </c>
      <c r="BW55">
        <v>8</v>
      </c>
      <c r="BX55" s="26">
        <v>0</v>
      </c>
      <c r="BY55" s="30"/>
      <c r="BZ55" s="32">
        <v>72</v>
      </c>
      <c r="CA55">
        <v>71</v>
      </c>
      <c r="CB55" s="26">
        <v>1</v>
      </c>
      <c r="CC55" s="30"/>
      <c r="CD55" s="29"/>
      <c r="CF55" s="26">
        <v>0</v>
      </c>
      <c r="CG55" s="30"/>
      <c r="CH55">
        <v>32</v>
      </c>
      <c r="CI55">
        <v>30</v>
      </c>
      <c r="CJ55" s="26">
        <v>2</v>
      </c>
      <c r="CK55" s="30"/>
      <c r="CL55" s="29"/>
      <c r="CN55">
        <v>16</v>
      </c>
      <c r="CO55">
        <v>20</v>
      </c>
      <c r="CP55" s="26">
        <v>-4</v>
      </c>
      <c r="CQ55" s="30"/>
      <c r="CR55" s="29"/>
      <c r="CT55" s="26">
        <v>0</v>
      </c>
      <c r="CU55" s="30"/>
      <c r="CX55">
        <v>32</v>
      </c>
      <c r="CY55">
        <v>36</v>
      </c>
      <c r="CZ55" s="26">
        <v>-4</v>
      </c>
      <c r="DA55" s="30"/>
      <c r="DD55" s="26">
        <v>0</v>
      </c>
      <c r="DE55" s="30"/>
      <c r="DF55" s="32">
        <v>8</v>
      </c>
      <c r="DG55">
        <v>11</v>
      </c>
      <c r="DH55" s="26">
        <v>-3</v>
      </c>
      <c r="DI55" s="30"/>
      <c r="DJ55" s="29"/>
      <c r="DL55" s="26">
        <v>0</v>
      </c>
      <c r="DM55" s="30"/>
      <c r="DN55">
        <v>32</v>
      </c>
      <c r="DO55">
        <v>30</v>
      </c>
      <c r="DP55" s="26">
        <v>2</v>
      </c>
      <c r="DQ55" s="30"/>
      <c r="DR55" s="29"/>
      <c r="DU55" s="26">
        <v>0</v>
      </c>
      <c r="DV55" s="30"/>
      <c r="DW55" s="29"/>
      <c r="DY55">
        <v>40</v>
      </c>
      <c r="DZ55">
        <v>38</v>
      </c>
      <c r="EA55" s="26">
        <v>2</v>
      </c>
      <c r="EB55" s="30"/>
      <c r="EC55" s="29"/>
      <c r="EF55" s="26">
        <v>0</v>
      </c>
      <c r="EG55" s="30"/>
      <c r="EH55">
        <v>24</v>
      </c>
      <c r="EI55" s="26">
        <v>21.6</v>
      </c>
      <c r="EJ55" s="26">
        <v>2.399999999999999</v>
      </c>
      <c r="EK55" s="30"/>
      <c r="EL55" s="31"/>
      <c r="EN55" s="26">
        <v>0</v>
      </c>
      <c r="EO55" s="30"/>
      <c r="EP55" s="29"/>
      <c r="ER55" s="26">
        <v>0</v>
      </c>
      <c r="ES55" s="30"/>
      <c r="ET55" s="29"/>
      <c r="EV55" s="26">
        <v>0</v>
      </c>
      <c r="EW55" s="30"/>
      <c r="EZ55" s="26">
        <v>0</v>
      </c>
      <c r="FA55" s="30"/>
      <c r="FB55">
        <v>32</v>
      </c>
      <c r="FC55">
        <v>32</v>
      </c>
      <c r="FD55" s="26">
        <v>0</v>
      </c>
      <c r="FE55" s="30"/>
      <c r="FF55" s="29"/>
      <c r="FI55" s="26">
        <v>0</v>
      </c>
      <c r="FJ55" s="30"/>
      <c r="FK55" s="32">
        <v>16</v>
      </c>
      <c r="FM55">
        <v>20</v>
      </c>
      <c r="FN55" s="26">
        <v>-4</v>
      </c>
      <c r="FO55" s="30"/>
      <c r="FR55" s="26">
        <v>0</v>
      </c>
      <c r="FS55" s="30"/>
      <c r="FT55" s="29"/>
      <c r="FW55">
        <v>24</v>
      </c>
      <c r="FX55">
        <v>24</v>
      </c>
      <c r="FY55" s="26">
        <v>0</v>
      </c>
      <c r="FZ55" s="30"/>
      <c r="GC55" s="26">
        <v>0</v>
      </c>
      <c r="GD55" s="30"/>
      <c r="GE55" s="29"/>
      <c r="GI55" s="26">
        <v>0</v>
      </c>
      <c r="GJ55" s="30"/>
      <c r="GM55">
        <v>8</v>
      </c>
      <c r="GN55">
        <v>13</v>
      </c>
      <c r="GO55" s="26">
        <v>-5</v>
      </c>
      <c r="GP55" s="30"/>
      <c r="GS55" s="26">
        <v>0</v>
      </c>
      <c r="GT55" s="30"/>
      <c r="GU55" s="29"/>
      <c r="GW55" s="26">
        <v>0</v>
      </c>
      <c r="GX55" s="30"/>
      <c r="GY55" s="32">
        <v>32</v>
      </c>
      <c r="GZ55" s="26">
        <v>32</v>
      </c>
      <c r="HA55" s="26">
        <v>0</v>
      </c>
      <c r="HB55" s="30"/>
      <c r="HE55" s="26">
        <v>0</v>
      </c>
      <c r="HF55" s="30"/>
      <c r="HG55" s="32">
        <v>16</v>
      </c>
      <c r="HH55" s="26">
        <v>16</v>
      </c>
      <c r="HI55" s="26">
        <v>0</v>
      </c>
      <c r="HJ55" s="30"/>
      <c r="HK55" s="29"/>
      <c r="HN55" s="30"/>
      <c r="HR55" s="33"/>
      <c r="HV55" s="30"/>
      <c r="HZ55" s="33"/>
      <c r="ID55" s="30"/>
      <c r="IH55" s="33"/>
      <c r="IJ55" s="27"/>
      <c r="IL55" s="30"/>
      <c r="IM55" s="31"/>
      <c r="IP55" s="33"/>
      <c r="IT55" s="33"/>
      <c r="IX55" s="33"/>
      <c r="JB55" s="30"/>
      <c r="JC55" s="27"/>
      <c r="JE55" s="27"/>
      <c r="JH55" s="33"/>
      <c r="JI55" s="28"/>
      <c r="JJ55" s="28"/>
      <c r="JL55" s="33"/>
      <c r="JM55" s="28"/>
      <c r="JN55" s="28"/>
      <c r="JP55" s="33"/>
      <c r="JQ55" s="31"/>
      <c r="JR55" s="28"/>
      <c r="JT55" s="33"/>
    </row>
    <row r="56" spans="1:280" x14ac:dyDescent="0.25">
      <c r="A56" s="26" t="s">
        <v>207</v>
      </c>
      <c r="B56" s="27">
        <v>0.4</v>
      </c>
      <c r="E56">
        <v>94</v>
      </c>
      <c r="F56">
        <v>95</v>
      </c>
      <c r="I56" s="29"/>
      <c r="J56" s="35"/>
      <c r="K56" s="40"/>
      <c r="L56" s="35"/>
      <c r="M56" s="35">
        <f t="shared" si="6"/>
        <v>0</v>
      </c>
      <c r="N56" s="30"/>
      <c r="O56" s="29"/>
      <c r="P56" s="35"/>
      <c r="Q56" s="36">
        <v>16</v>
      </c>
      <c r="R56" s="36">
        <v>17</v>
      </c>
      <c r="S56" s="35">
        <f t="shared" si="7"/>
        <v>-1</v>
      </c>
      <c r="T56" s="30"/>
      <c r="U56" s="29"/>
      <c r="V56" s="40"/>
      <c r="W56" s="35"/>
      <c r="X56" s="35"/>
      <c r="Y56" s="36">
        <v>136</v>
      </c>
      <c r="Z56" s="36">
        <v>143</v>
      </c>
      <c r="AA56" s="35">
        <f t="shared" si="8"/>
        <v>-7</v>
      </c>
      <c r="AB56" s="30"/>
      <c r="AC56" s="29"/>
      <c r="AD56" s="35"/>
      <c r="AE56" s="36">
        <v>8</v>
      </c>
      <c r="AF56" s="40">
        <v>12</v>
      </c>
      <c r="AG56" s="35">
        <v>-4</v>
      </c>
      <c r="AH56" s="30"/>
      <c r="AI56" s="35"/>
      <c r="AK56">
        <v>96</v>
      </c>
      <c r="AL56">
        <v>100</v>
      </c>
      <c r="AM56" s="26">
        <v>-4</v>
      </c>
      <c r="AN56" s="30"/>
      <c r="AO56" s="32">
        <v>24</v>
      </c>
      <c r="AP56">
        <v>24</v>
      </c>
      <c r="AQ56">
        <v>24</v>
      </c>
      <c r="AR56">
        <v>26</v>
      </c>
      <c r="AS56" s="26">
        <v>-2</v>
      </c>
      <c r="AT56" s="30"/>
      <c r="AY56" s="26">
        <v>0</v>
      </c>
      <c r="AZ56" s="30"/>
      <c r="BB56">
        <v>128</v>
      </c>
      <c r="BC56">
        <v>130</v>
      </c>
      <c r="BD56" s="26">
        <v>-2</v>
      </c>
      <c r="BE56" s="30"/>
      <c r="BF56" s="29"/>
      <c r="BH56" s="26">
        <v>0</v>
      </c>
      <c r="BI56" s="30"/>
      <c r="BJ56" s="32">
        <v>72</v>
      </c>
      <c r="BK56">
        <v>71</v>
      </c>
      <c r="BL56" s="26">
        <v>1</v>
      </c>
      <c r="BM56" s="30"/>
      <c r="BN56">
        <v>8</v>
      </c>
      <c r="BO56">
        <v>8</v>
      </c>
      <c r="BP56" s="26">
        <v>0</v>
      </c>
      <c r="BQ56" s="30"/>
      <c r="BR56" s="32">
        <v>48</v>
      </c>
      <c r="BS56">
        <v>48</v>
      </c>
      <c r="BT56" s="26">
        <v>0</v>
      </c>
      <c r="BU56" s="30"/>
      <c r="BV56">
        <v>16</v>
      </c>
      <c r="BW56">
        <v>16</v>
      </c>
      <c r="BX56" s="26">
        <v>0</v>
      </c>
      <c r="BY56" s="30"/>
      <c r="BZ56" s="32">
        <v>24</v>
      </c>
      <c r="CA56">
        <v>23</v>
      </c>
      <c r="CB56" s="26">
        <v>1</v>
      </c>
      <c r="CC56" s="30"/>
      <c r="CD56" s="29"/>
      <c r="CE56">
        <v>16</v>
      </c>
      <c r="CF56" s="26">
        <v>-16</v>
      </c>
      <c r="CG56" s="30"/>
      <c r="CJ56" s="26">
        <v>0</v>
      </c>
      <c r="CK56" s="30"/>
      <c r="CL56" s="32">
        <v>24</v>
      </c>
      <c r="CM56">
        <v>24</v>
      </c>
      <c r="CO56">
        <v>26</v>
      </c>
      <c r="CP56" s="25">
        <v>-26</v>
      </c>
      <c r="CQ56" s="30">
        <v>25.6</v>
      </c>
      <c r="CR56" s="29"/>
      <c r="CT56" s="26">
        <v>0</v>
      </c>
      <c r="CU56" s="30"/>
      <c r="CZ56" s="26">
        <v>0</v>
      </c>
      <c r="DA56" s="30"/>
      <c r="DB56">
        <v>32</v>
      </c>
      <c r="DC56">
        <v>33</v>
      </c>
      <c r="DD56" s="26">
        <v>-1</v>
      </c>
      <c r="DE56" s="30"/>
      <c r="DF56" s="29"/>
      <c r="DH56" s="26">
        <v>0</v>
      </c>
      <c r="DI56" s="30"/>
      <c r="DJ56" s="29">
        <v>32</v>
      </c>
      <c r="DK56" s="26">
        <v>32</v>
      </c>
      <c r="DL56" s="26">
        <v>0</v>
      </c>
      <c r="DM56" s="30"/>
      <c r="DP56" s="26">
        <v>0</v>
      </c>
      <c r="DQ56" s="30"/>
      <c r="DR56" s="29"/>
      <c r="DU56" s="26">
        <v>0</v>
      </c>
      <c r="DV56" s="30"/>
      <c r="DW56" s="29"/>
      <c r="EA56" s="26">
        <v>0</v>
      </c>
      <c r="EB56" s="30"/>
      <c r="EC56" s="29"/>
      <c r="EG56" s="33"/>
      <c r="EK56" s="30"/>
      <c r="EL56" s="31"/>
      <c r="EO56" s="30"/>
      <c r="EP56" s="29"/>
      <c r="ES56" s="30"/>
      <c r="ET56" s="29"/>
      <c r="EW56" s="30"/>
      <c r="FA56" s="30"/>
      <c r="FE56" s="30"/>
      <c r="FF56" s="29"/>
      <c r="FJ56" s="30"/>
      <c r="FK56" s="32"/>
      <c r="FO56" s="30"/>
      <c r="FS56" s="30"/>
      <c r="FT56" s="29"/>
      <c r="FZ56" s="30"/>
      <c r="GD56" s="30"/>
      <c r="GE56" s="29"/>
      <c r="GH56" s="27"/>
      <c r="GJ56" s="30"/>
      <c r="GP56" s="30"/>
      <c r="GQ56" s="28"/>
      <c r="GT56" s="30"/>
      <c r="GU56" s="29"/>
      <c r="GX56" s="30"/>
      <c r="GY56" s="32"/>
      <c r="HB56" s="30"/>
      <c r="HF56" s="30"/>
      <c r="HG56" s="32"/>
      <c r="HJ56" s="30"/>
      <c r="HK56" s="29"/>
      <c r="HN56" s="30"/>
      <c r="HR56" s="33"/>
      <c r="HV56" s="30"/>
      <c r="HZ56" s="33"/>
      <c r="ID56" s="30"/>
      <c r="IH56" s="33"/>
      <c r="IJ56" s="27"/>
      <c r="IL56" s="30"/>
      <c r="IM56" s="31"/>
      <c r="IP56" s="33"/>
      <c r="IT56" s="33"/>
      <c r="IX56" s="33"/>
      <c r="JB56" s="30"/>
      <c r="JC56" s="27"/>
      <c r="JE56" s="27"/>
      <c r="JH56" s="33"/>
      <c r="JI56" s="28"/>
      <c r="JJ56" s="28"/>
      <c r="JL56" s="33"/>
      <c r="JM56" s="28"/>
      <c r="JN56" s="28"/>
      <c r="JP56" s="33"/>
      <c r="JQ56" s="31"/>
      <c r="JR56" s="28"/>
      <c r="JT56" s="33"/>
    </row>
    <row r="57" spans="1:280" x14ac:dyDescent="0.25">
      <c r="A57" s="26" t="s">
        <v>208</v>
      </c>
      <c r="B57" s="27">
        <v>0.5</v>
      </c>
      <c r="I57" s="29"/>
      <c r="J57" s="35"/>
      <c r="K57" s="40"/>
      <c r="L57" s="35"/>
      <c r="M57" s="35">
        <f t="shared" si="6"/>
        <v>0</v>
      </c>
      <c r="N57" s="30"/>
      <c r="O57" s="29"/>
      <c r="P57" s="35"/>
      <c r="Q57" s="35"/>
      <c r="R57" s="35"/>
      <c r="S57" s="35">
        <f t="shared" si="7"/>
        <v>0</v>
      </c>
      <c r="T57" s="30"/>
      <c r="U57" s="29"/>
      <c r="V57" s="40"/>
      <c r="W57" s="35"/>
      <c r="X57" s="35"/>
      <c r="Y57" s="35"/>
      <c r="Z57" s="35"/>
      <c r="AA57" s="35">
        <f t="shared" si="8"/>
        <v>0</v>
      </c>
      <c r="AB57" s="30"/>
      <c r="AC57" s="29"/>
      <c r="AD57" s="35"/>
      <c r="AE57" s="35"/>
      <c r="AF57" s="35"/>
      <c r="AG57" s="35">
        <v>0</v>
      </c>
      <c r="AH57" s="30"/>
      <c r="AI57" s="35"/>
      <c r="AM57" s="26">
        <v>0</v>
      </c>
      <c r="AN57" s="30"/>
      <c r="AO57" s="31"/>
      <c r="AS57" s="26">
        <v>0</v>
      </c>
      <c r="AT57" s="30"/>
      <c r="AY57" s="26">
        <v>0</v>
      </c>
      <c r="AZ57" s="30"/>
      <c r="BD57" s="26">
        <v>0</v>
      </c>
      <c r="BE57" s="30"/>
      <c r="BF57" s="29"/>
      <c r="BH57" s="26">
        <v>0</v>
      </c>
      <c r="BI57" s="30"/>
      <c r="BJ57" s="29"/>
      <c r="BL57" s="26">
        <v>0</v>
      </c>
      <c r="BM57" s="30"/>
      <c r="BP57" s="26">
        <v>0</v>
      </c>
      <c r="BQ57" s="30"/>
      <c r="BR57" s="29"/>
      <c r="BT57" s="26">
        <v>0</v>
      </c>
      <c r="BU57" s="30"/>
      <c r="BX57" s="26">
        <v>0</v>
      </c>
      <c r="BY57" s="30"/>
      <c r="BZ57" s="29"/>
      <c r="CB57" s="26">
        <v>0</v>
      </c>
      <c r="CC57" s="30"/>
      <c r="CD57" s="29"/>
      <c r="CF57" s="26">
        <v>0</v>
      </c>
      <c r="CG57" s="30"/>
      <c r="CJ57" s="26">
        <v>0</v>
      </c>
      <c r="CK57" s="30"/>
      <c r="CL57" s="29"/>
      <c r="CP57" s="26">
        <v>0</v>
      </c>
      <c r="CQ57" s="30"/>
      <c r="CR57" s="29"/>
      <c r="CT57" s="26">
        <v>0</v>
      </c>
      <c r="CU57" s="30"/>
      <c r="CZ57" s="26">
        <v>0</v>
      </c>
      <c r="DA57" s="30"/>
      <c r="DD57" s="26">
        <v>0</v>
      </c>
      <c r="DE57" s="30"/>
      <c r="DF57" s="29"/>
      <c r="DH57" s="26">
        <v>0</v>
      </c>
      <c r="DI57" s="30"/>
      <c r="DJ57" s="29"/>
      <c r="DL57" s="26">
        <v>0</v>
      </c>
      <c r="DM57" s="30"/>
      <c r="DP57" s="26">
        <v>0</v>
      </c>
      <c r="DQ57" s="30"/>
      <c r="DR57" s="29"/>
      <c r="DU57" s="26">
        <v>0</v>
      </c>
      <c r="DV57" s="30"/>
      <c r="DW57" s="29"/>
      <c r="EA57" s="26">
        <v>0</v>
      </c>
      <c r="EB57" s="30"/>
      <c r="EC57" s="29"/>
      <c r="EF57" s="26">
        <v>0</v>
      </c>
      <c r="EG57" s="30"/>
      <c r="EJ57" s="26">
        <v>0</v>
      </c>
      <c r="EK57" s="30"/>
      <c r="EL57" s="31"/>
      <c r="EN57" s="26">
        <v>0</v>
      </c>
      <c r="EO57" s="30"/>
      <c r="EP57" s="29"/>
      <c r="ER57" s="26">
        <v>0</v>
      </c>
      <c r="ES57" s="30"/>
      <c r="ET57" s="29"/>
      <c r="EV57" s="26">
        <v>0</v>
      </c>
      <c r="EW57" s="30"/>
      <c r="EZ57" s="26">
        <v>0</v>
      </c>
      <c r="FA57" s="30"/>
      <c r="FD57" s="26">
        <v>0</v>
      </c>
      <c r="FE57" s="30"/>
      <c r="FF57" s="29"/>
      <c r="FI57" s="26">
        <v>0</v>
      </c>
      <c r="FJ57" s="30"/>
      <c r="FK57" s="29"/>
      <c r="FN57" s="26">
        <v>0</v>
      </c>
      <c r="FO57" s="30"/>
      <c r="FR57" s="26">
        <v>0</v>
      </c>
      <c r="FS57" s="30"/>
      <c r="FT57" s="29"/>
      <c r="FY57" s="26">
        <v>0</v>
      </c>
      <c r="FZ57" s="30"/>
      <c r="GC57" s="26">
        <v>0</v>
      </c>
      <c r="GD57" s="30"/>
      <c r="GE57" s="29"/>
      <c r="GI57" s="26">
        <v>0</v>
      </c>
      <c r="GJ57" s="30"/>
      <c r="GO57" s="26">
        <v>0</v>
      </c>
      <c r="GP57" s="30"/>
      <c r="GS57" s="26">
        <v>0</v>
      </c>
      <c r="GT57" s="30"/>
      <c r="GU57" s="29"/>
      <c r="GW57" s="26">
        <v>0</v>
      </c>
      <c r="GX57" s="30"/>
      <c r="GY57" s="29"/>
      <c r="HA57" s="26">
        <v>0</v>
      </c>
      <c r="HB57" s="30"/>
      <c r="HE57" s="26">
        <v>0</v>
      </c>
      <c r="HF57" s="30"/>
      <c r="HG57" s="29"/>
      <c r="HI57" s="26">
        <v>0</v>
      </c>
      <c r="HJ57" s="30"/>
      <c r="HK57" s="29"/>
      <c r="HM57" s="26">
        <v>0</v>
      </c>
      <c r="HN57" s="30"/>
      <c r="HQ57" s="26">
        <v>0</v>
      </c>
      <c r="HR57" s="33"/>
      <c r="HU57" s="26">
        <v>0</v>
      </c>
      <c r="HV57" s="30"/>
      <c r="HY57" s="26">
        <v>0</v>
      </c>
      <c r="HZ57" s="33"/>
      <c r="IC57" s="26">
        <v>0</v>
      </c>
      <c r="ID57" s="30"/>
      <c r="IG57" s="26">
        <v>0</v>
      </c>
      <c r="IH57" s="33"/>
      <c r="IK57" s="26">
        <v>0</v>
      </c>
      <c r="IL57" s="30"/>
      <c r="IM57" s="31"/>
      <c r="IO57" s="26">
        <v>0</v>
      </c>
      <c r="IP57" s="33"/>
      <c r="IS57" s="26">
        <v>0</v>
      </c>
      <c r="IT57" s="33"/>
      <c r="IW57" s="26">
        <v>0</v>
      </c>
      <c r="IX57" s="33"/>
      <c r="JA57" s="26">
        <v>0</v>
      </c>
      <c r="JB57" s="30"/>
      <c r="JC57" s="27"/>
      <c r="JE57" s="27"/>
      <c r="JG57" s="26">
        <v>0</v>
      </c>
      <c r="JH57" s="33"/>
      <c r="JI57" s="28">
        <v>0</v>
      </c>
      <c r="JJ57" s="28">
        <v>0</v>
      </c>
      <c r="JK57" s="26">
        <v>0</v>
      </c>
      <c r="JL57" s="33"/>
      <c r="JM57" s="28">
        <v>0</v>
      </c>
      <c r="JN57" s="28">
        <v>0</v>
      </c>
      <c r="JO57" s="26">
        <v>0</v>
      </c>
      <c r="JP57" s="33"/>
      <c r="JQ57" s="31">
        <v>0</v>
      </c>
      <c r="JR57" s="28">
        <v>0</v>
      </c>
      <c r="JS57" s="26">
        <v>0</v>
      </c>
      <c r="JT57" s="33"/>
    </row>
    <row r="58" spans="1:280" x14ac:dyDescent="0.25">
      <c r="A58" s="26" t="s">
        <v>209</v>
      </c>
      <c r="B58" s="27">
        <v>0.4</v>
      </c>
      <c r="E58">
        <v>213</v>
      </c>
      <c r="F58">
        <v>213</v>
      </c>
      <c r="I58" s="29"/>
      <c r="J58" s="35"/>
      <c r="K58" s="40"/>
      <c r="L58" s="35"/>
      <c r="M58" s="35">
        <f t="shared" si="6"/>
        <v>0</v>
      </c>
      <c r="N58" s="30"/>
      <c r="O58" s="32">
        <v>200</v>
      </c>
      <c r="P58" s="36">
        <v>203</v>
      </c>
      <c r="Q58" s="36">
        <v>184</v>
      </c>
      <c r="R58" s="36">
        <v>189</v>
      </c>
      <c r="S58" s="35">
        <f t="shared" si="7"/>
        <v>-8</v>
      </c>
      <c r="T58" s="30"/>
      <c r="U58" s="32">
        <v>144</v>
      </c>
      <c r="V58" s="40"/>
      <c r="W58" s="36">
        <v>150</v>
      </c>
      <c r="X58" s="36">
        <v>120</v>
      </c>
      <c r="Y58" s="35"/>
      <c r="Z58" s="36">
        <v>120</v>
      </c>
      <c r="AA58" s="35">
        <f t="shared" si="8"/>
        <v>-6</v>
      </c>
      <c r="AB58" s="30"/>
      <c r="AC58" s="32">
        <v>96</v>
      </c>
      <c r="AD58" s="40">
        <v>108</v>
      </c>
      <c r="AE58" s="35"/>
      <c r="AF58" s="35"/>
      <c r="AG58" s="41">
        <v>-12</v>
      </c>
      <c r="AH58" s="30">
        <v>4.8000000000000007</v>
      </c>
      <c r="AI58" s="36">
        <v>152</v>
      </c>
      <c r="AJ58">
        <v>155</v>
      </c>
      <c r="AK58">
        <v>120</v>
      </c>
      <c r="AL58">
        <v>124</v>
      </c>
      <c r="AM58" s="26">
        <v>-7</v>
      </c>
      <c r="AN58" s="30"/>
      <c r="AO58" s="32">
        <v>48</v>
      </c>
      <c r="AP58">
        <v>48</v>
      </c>
      <c r="AQ58">
        <v>72</v>
      </c>
      <c r="AR58">
        <v>72</v>
      </c>
      <c r="AS58" s="26">
        <v>0</v>
      </c>
      <c r="AT58" s="30"/>
      <c r="AU58">
        <v>80</v>
      </c>
      <c r="AV58">
        <v>80</v>
      </c>
      <c r="AW58">
        <v>80</v>
      </c>
      <c r="AX58">
        <v>82</v>
      </c>
      <c r="AY58" s="26">
        <v>-2</v>
      </c>
      <c r="AZ58" s="30"/>
      <c r="BD58" s="26">
        <v>0</v>
      </c>
      <c r="BE58" s="30"/>
      <c r="BF58" s="29"/>
      <c r="BH58" s="26">
        <v>0</v>
      </c>
      <c r="BI58" s="30"/>
      <c r="BJ58" s="32">
        <v>616</v>
      </c>
      <c r="BK58">
        <v>620</v>
      </c>
      <c r="BL58" s="26">
        <v>-4</v>
      </c>
      <c r="BM58" s="30"/>
      <c r="BN58">
        <v>208</v>
      </c>
      <c r="BO58">
        <v>208</v>
      </c>
      <c r="BP58" s="26">
        <v>0</v>
      </c>
      <c r="BQ58" s="30"/>
      <c r="BR58" s="32">
        <v>88</v>
      </c>
      <c r="BS58">
        <v>86</v>
      </c>
      <c r="BT58" s="26">
        <v>2</v>
      </c>
      <c r="BU58" s="30"/>
      <c r="BV58">
        <v>344</v>
      </c>
      <c r="BW58">
        <v>342</v>
      </c>
      <c r="BX58" s="26">
        <v>2</v>
      </c>
      <c r="BY58" s="30"/>
      <c r="BZ58" s="32">
        <v>160</v>
      </c>
      <c r="CA58">
        <v>162</v>
      </c>
      <c r="CB58" s="26">
        <v>-2</v>
      </c>
      <c r="CC58" s="30"/>
      <c r="CD58" s="32">
        <v>176</v>
      </c>
      <c r="CE58">
        <v>174</v>
      </c>
      <c r="CF58" s="26">
        <v>2</v>
      </c>
      <c r="CG58" s="30"/>
      <c r="CJ58" s="26">
        <v>0</v>
      </c>
      <c r="CK58" s="30"/>
      <c r="CL58" s="29"/>
      <c r="CP58" s="26">
        <v>0</v>
      </c>
      <c r="CQ58" s="30"/>
      <c r="CR58" s="32">
        <v>232</v>
      </c>
      <c r="CS58">
        <v>232</v>
      </c>
      <c r="CT58" s="26">
        <v>0</v>
      </c>
      <c r="CU58" s="30"/>
      <c r="CX58">
        <v>32</v>
      </c>
      <c r="CY58">
        <v>31</v>
      </c>
      <c r="CZ58" s="26">
        <v>1</v>
      </c>
      <c r="DA58" s="30"/>
      <c r="DD58" s="26">
        <v>0</v>
      </c>
      <c r="DE58" s="30"/>
      <c r="DF58" s="32">
        <v>152</v>
      </c>
      <c r="DG58">
        <v>150</v>
      </c>
      <c r="DH58" s="26">
        <v>2</v>
      </c>
      <c r="DI58" s="30"/>
      <c r="DJ58" s="32">
        <v>112</v>
      </c>
      <c r="DK58">
        <v>113</v>
      </c>
      <c r="DL58" s="26">
        <v>-1</v>
      </c>
      <c r="DM58" s="30"/>
      <c r="DN58">
        <v>16</v>
      </c>
      <c r="DO58">
        <v>14</v>
      </c>
      <c r="DP58" s="26">
        <v>2</v>
      </c>
      <c r="DQ58" s="30"/>
      <c r="DR58" s="32">
        <v>40</v>
      </c>
      <c r="DT58">
        <v>40</v>
      </c>
      <c r="DU58" s="26">
        <v>0</v>
      </c>
      <c r="DV58" s="30"/>
      <c r="DW58" s="29"/>
      <c r="DY58">
        <v>120</v>
      </c>
      <c r="DZ58">
        <v>121</v>
      </c>
      <c r="EA58" s="26">
        <v>-1</v>
      </c>
      <c r="EB58" s="30"/>
      <c r="EC58" s="29"/>
      <c r="EF58" s="26">
        <v>0</v>
      </c>
      <c r="EG58" s="30"/>
      <c r="EH58">
        <v>184</v>
      </c>
      <c r="EI58" s="26">
        <v>183.6</v>
      </c>
      <c r="EJ58" s="26">
        <v>0.40000000000000568</v>
      </c>
      <c r="EK58" s="30"/>
      <c r="EL58" s="31"/>
      <c r="EN58" s="26">
        <v>0</v>
      </c>
      <c r="EO58" s="30"/>
      <c r="EP58" s="32">
        <v>64</v>
      </c>
      <c r="EQ58" s="26">
        <v>67.400000000000006</v>
      </c>
      <c r="ER58" s="26">
        <v>-3.4000000000000061</v>
      </c>
      <c r="ES58" s="30"/>
      <c r="ET58" s="29"/>
      <c r="EV58" s="26">
        <v>0</v>
      </c>
      <c r="EW58" s="30"/>
      <c r="EX58">
        <v>120</v>
      </c>
      <c r="EY58" s="28">
        <v>122</v>
      </c>
      <c r="EZ58" s="26">
        <v>-2</v>
      </c>
      <c r="FA58" s="30"/>
      <c r="FD58" s="26">
        <v>0</v>
      </c>
      <c r="FE58" s="30"/>
      <c r="FF58" s="29"/>
      <c r="FI58" s="26">
        <v>0</v>
      </c>
      <c r="FJ58" s="30"/>
      <c r="FK58" s="32">
        <v>96</v>
      </c>
      <c r="FM58">
        <v>98</v>
      </c>
      <c r="FN58" s="26">
        <v>-2</v>
      </c>
      <c r="FO58" s="30"/>
      <c r="FP58">
        <v>112</v>
      </c>
      <c r="FQ58" s="28">
        <v>113.6</v>
      </c>
      <c r="FR58" s="26">
        <v>-1.5999999999999941</v>
      </c>
      <c r="FS58" s="30"/>
      <c r="FT58" s="29"/>
      <c r="FW58">
        <v>56</v>
      </c>
      <c r="FX58">
        <v>54</v>
      </c>
      <c r="FY58" s="26">
        <v>2</v>
      </c>
      <c r="FZ58" s="30"/>
      <c r="GA58">
        <v>104</v>
      </c>
      <c r="GB58" s="28">
        <v>101.6</v>
      </c>
      <c r="GC58" s="26">
        <v>2.4000000000000061</v>
      </c>
      <c r="GD58" s="30"/>
      <c r="GE58" s="29"/>
      <c r="GG58">
        <v>40</v>
      </c>
      <c r="GH58">
        <v>40</v>
      </c>
      <c r="GI58" s="26">
        <v>0</v>
      </c>
      <c r="GJ58" s="30"/>
      <c r="GM58">
        <v>40</v>
      </c>
      <c r="GN58">
        <v>40</v>
      </c>
      <c r="GO58" s="26">
        <v>0</v>
      </c>
      <c r="GP58" s="30"/>
      <c r="GQ58">
        <v>80</v>
      </c>
      <c r="GR58" s="28">
        <v>80</v>
      </c>
      <c r="GS58" s="26">
        <v>0</v>
      </c>
      <c r="GT58" s="30"/>
      <c r="GU58" s="32">
        <v>40</v>
      </c>
      <c r="GV58">
        <v>41</v>
      </c>
      <c r="GW58" s="26">
        <v>-1</v>
      </c>
      <c r="GX58" s="30"/>
      <c r="GY58" s="29"/>
      <c r="HA58" s="26">
        <v>0</v>
      </c>
      <c r="HB58" s="30"/>
      <c r="HC58">
        <v>40</v>
      </c>
      <c r="HD58">
        <v>40</v>
      </c>
      <c r="HE58" s="26">
        <v>0</v>
      </c>
      <c r="HF58" s="30"/>
      <c r="HG58" s="32">
        <v>64</v>
      </c>
      <c r="HH58">
        <v>65</v>
      </c>
      <c r="HI58" s="26">
        <v>-1</v>
      </c>
      <c r="HJ58" s="30"/>
      <c r="HK58" s="29"/>
      <c r="HM58" s="26">
        <v>0</v>
      </c>
      <c r="HN58" s="30"/>
      <c r="HQ58" s="26">
        <v>0</v>
      </c>
      <c r="HR58" s="33"/>
      <c r="HS58">
        <v>56</v>
      </c>
      <c r="HT58">
        <v>56</v>
      </c>
      <c r="HU58" s="26">
        <v>0</v>
      </c>
      <c r="HV58" s="30"/>
      <c r="HW58">
        <v>56</v>
      </c>
      <c r="HX58">
        <v>57.2</v>
      </c>
      <c r="HY58" s="26">
        <v>-1.2000000000000031</v>
      </c>
      <c r="HZ58" s="33"/>
      <c r="IA58">
        <v>64</v>
      </c>
      <c r="IB58">
        <v>64</v>
      </c>
      <c r="IC58" s="26">
        <v>0</v>
      </c>
      <c r="ID58" s="30"/>
      <c r="IE58">
        <v>48</v>
      </c>
      <c r="IF58">
        <v>50</v>
      </c>
      <c r="IG58" s="26">
        <v>-2</v>
      </c>
      <c r="IH58" s="33"/>
      <c r="IK58" s="26">
        <v>0</v>
      </c>
      <c r="IL58" s="30"/>
      <c r="IM58" s="31"/>
      <c r="IO58" s="26">
        <v>0</v>
      </c>
      <c r="IP58" s="33"/>
      <c r="IQ58">
        <v>40</v>
      </c>
      <c r="IR58">
        <v>40</v>
      </c>
      <c r="IS58" s="26">
        <v>0</v>
      </c>
      <c r="IT58" s="33"/>
      <c r="IW58" s="26">
        <v>0</v>
      </c>
      <c r="IX58" s="33"/>
      <c r="JA58" s="26">
        <v>0</v>
      </c>
      <c r="JB58" s="30"/>
      <c r="JC58">
        <v>56</v>
      </c>
      <c r="JD58">
        <v>60</v>
      </c>
      <c r="JE58">
        <v>48</v>
      </c>
      <c r="JF58">
        <v>50</v>
      </c>
      <c r="JG58" s="26">
        <v>-6</v>
      </c>
      <c r="JH58" s="33"/>
      <c r="JI58" s="28">
        <v>0</v>
      </c>
      <c r="JJ58" s="28">
        <v>0</v>
      </c>
      <c r="JK58" s="26">
        <v>0</v>
      </c>
      <c r="JL58" s="33"/>
      <c r="JM58" s="28">
        <v>88</v>
      </c>
      <c r="JN58" s="28">
        <v>86.399999999999991</v>
      </c>
      <c r="JO58" s="26">
        <v>1.600000000000009</v>
      </c>
      <c r="JP58" s="33"/>
      <c r="JQ58" s="31">
        <v>8</v>
      </c>
      <c r="JR58" s="28">
        <v>10</v>
      </c>
      <c r="JS58" s="26">
        <v>-2</v>
      </c>
      <c r="JT58" s="33"/>
    </row>
    <row r="59" spans="1:280" x14ac:dyDescent="0.25">
      <c r="A59" s="26" t="s">
        <v>210</v>
      </c>
      <c r="B59" s="27">
        <v>0.5</v>
      </c>
      <c r="I59" s="29"/>
      <c r="J59" s="35"/>
      <c r="K59" s="40"/>
      <c r="L59" s="35"/>
      <c r="M59" s="35">
        <f t="shared" si="6"/>
        <v>0</v>
      </c>
      <c r="N59" s="30"/>
      <c r="O59" s="29"/>
      <c r="P59" s="35"/>
      <c r="Q59" s="35"/>
      <c r="R59" s="35"/>
      <c r="S59" s="35">
        <f t="shared" si="7"/>
        <v>0</v>
      </c>
      <c r="T59" s="30"/>
      <c r="U59" s="29"/>
      <c r="V59" s="40"/>
      <c r="W59" s="35"/>
      <c r="X59" s="35"/>
      <c r="Y59" s="35"/>
      <c r="Z59" s="35"/>
      <c r="AA59" s="35">
        <f t="shared" si="8"/>
        <v>0</v>
      </c>
      <c r="AB59" s="30"/>
      <c r="AC59" s="29"/>
      <c r="AD59" s="35"/>
      <c r="AE59" s="35"/>
      <c r="AF59" s="35"/>
      <c r="AG59" s="35">
        <v>0</v>
      </c>
      <c r="AH59" s="30"/>
      <c r="AI59" s="35"/>
      <c r="AM59" s="26">
        <v>0</v>
      </c>
      <c r="AN59" s="30"/>
      <c r="AO59" s="31"/>
      <c r="AS59" s="26">
        <v>0</v>
      </c>
      <c r="AT59" s="30"/>
      <c r="AY59" s="26">
        <v>0</v>
      </c>
      <c r="AZ59" s="30"/>
      <c r="BD59" s="26">
        <v>0</v>
      </c>
      <c r="BE59" s="30"/>
      <c r="BF59" s="29"/>
      <c r="BH59" s="26">
        <v>0</v>
      </c>
      <c r="BI59" s="30"/>
      <c r="BJ59" s="29"/>
      <c r="BL59" s="26">
        <v>0</v>
      </c>
      <c r="BM59" s="30"/>
      <c r="BP59" s="26">
        <v>0</v>
      </c>
      <c r="BQ59" s="30"/>
      <c r="BR59" s="29"/>
      <c r="BT59" s="26">
        <v>0</v>
      </c>
      <c r="BU59" s="30"/>
      <c r="BX59" s="26">
        <v>0</v>
      </c>
      <c r="BY59" s="30"/>
      <c r="BZ59" s="29"/>
      <c r="CB59" s="26">
        <v>0</v>
      </c>
      <c r="CC59" s="30"/>
      <c r="CD59" s="29"/>
      <c r="CF59" s="26">
        <v>0</v>
      </c>
      <c r="CG59" s="30"/>
      <c r="CJ59" s="26">
        <v>0</v>
      </c>
      <c r="CK59" s="30"/>
      <c r="CL59" s="29"/>
      <c r="CP59" s="26">
        <v>0</v>
      </c>
      <c r="CQ59" s="30"/>
      <c r="CR59" s="29"/>
      <c r="CT59" s="26">
        <v>0</v>
      </c>
      <c r="CU59" s="30"/>
      <c r="CZ59" s="26">
        <v>0</v>
      </c>
      <c r="DA59" s="30"/>
      <c r="DD59" s="26">
        <v>0</v>
      </c>
      <c r="DE59" s="30"/>
      <c r="DF59" s="29"/>
      <c r="DH59" s="26">
        <v>0</v>
      </c>
      <c r="DI59" s="30"/>
      <c r="DJ59" s="29"/>
      <c r="DL59" s="26">
        <v>0</v>
      </c>
      <c r="DM59" s="30"/>
      <c r="DP59" s="26">
        <v>0</v>
      </c>
      <c r="DQ59" s="30"/>
      <c r="DR59" s="29"/>
      <c r="DU59" s="26">
        <v>0</v>
      </c>
      <c r="DV59" s="30"/>
      <c r="DW59" s="29"/>
      <c r="EA59" s="26">
        <v>0</v>
      </c>
      <c r="EB59" s="30"/>
      <c r="EC59" s="29"/>
      <c r="EF59" s="26">
        <v>0</v>
      </c>
      <c r="EG59" s="30"/>
      <c r="EJ59" s="26">
        <v>0</v>
      </c>
      <c r="EK59" s="30"/>
      <c r="EL59" s="31"/>
      <c r="EN59" s="26">
        <v>0</v>
      </c>
      <c r="EO59" s="30"/>
      <c r="EP59" s="29"/>
      <c r="ER59" s="26">
        <v>0</v>
      </c>
      <c r="ES59" s="30"/>
      <c r="ET59" s="29"/>
      <c r="EV59" s="26">
        <v>0</v>
      </c>
      <c r="EW59" s="30"/>
      <c r="EZ59" s="26">
        <v>0</v>
      </c>
      <c r="FA59" s="30"/>
      <c r="FD59" s="26">
        <v>0</v>
      </c>
      <c r="FE59" s="30"/>
      <c r="FF59" s="29"/>
      <c r="FI59" s="26">
        <v>0</v>
      </c>
      <c r="FJ59" s="30"/>
      <c r="FK59" s="29"/>
      <c r="FN59" s="26">
        <v>0</v>
      </c>
      <c r="FO59" s="30"/>
      <c r="FR59" s="26">
        <v>0</v>
      </c>
      <c r="FS59" s="30"/>
      <c r="FT59" s="29"/>
      <c r="FY59" s="26">
        <v>0</v>
      </c>
      <c r="FZ59" s="30"/>
      <c r="GC59" s="26">
        <v>0</v>
      </c>
      <c r="GD59" s="30"/>
      <c r="GE59" s="29"/>
      <c r="GI59" s="26">
        <v>0</v>
      </c>
      <c r="GJ59" s="30"/>
      <c r="GO59" s="26">
        <v>0</v>
      </c>
      <c r="GP59" s="30"/>
      <c r="GQ59">
        <v>16</v>
      </c>
      <c r="GR59" s="28">
        <v>16</v>
      </c>
      <c r="GS59" s="26">
        <v>0</v>
      </c>
      <c r="GT59" s="30"/>
      <c r="GU59" s="29"/>
      <c r="GW59" s="26">
        <v>0</v>
      </c>
      <c r="GX59" s="30"/>
      <c r="GY59" s="29"/>
      <c r="HA59" s="26">
        <v>0</v>
      </c>
      <c r="HB59" s="30"/>
      <c r="HC59">
        <v>8</v>
      </c>
      <c r="HD59">
        <v>9</v>
      </c>
      <c r="HE59" s="26">
        <v>-1</v>
      </c>
      <c r="HF59" s="30"/>
      <c r="HG59" s="29"/>
      <c r="HI59" s="26">
        <v>0</v>
      </c>
      <c r="HJ59" s="30"/>
      <c r="HK59" s="32">
        <v>8</v>
      </c>
      <c r="HL59">
        <v>10</v>
      </c>
      <c r="HM59" s="26">
        <v>-2</v>
      </c>
      <c r="HN59" s="30"/>
      <c r="HQ59" s="26">
        <v>0</v>
      </c>
      <c r="HR59" s="33"/>
      <c r="HS59">
        <v>8</v>
      </c>
      <c r="HT59">
        <v>8</v>
      </c>
      <c r="HU59" s="26">
        <v>0</v>
      </c>
      <c r="HV59" s="30"/>
      <c r="HY59" s="26">
        <v>0</v>
      </c>
      <c r="HZ59" s="33"/>
      <c r="IC59" s="26">
        <v>0</v>
      </c>
      <c r="ID59" s="30"/>
      <c r="IG59" s="26">
        <v>0</v>
      </c>
      <c r="IH59" s="33"/>
      <c r="IK59" s="26">
        <v>0</v>
      </c>
      <c r="IL59" s="30"/>
      <c r="IM59" s="31"/>
      <c r="IO59" s="26">
        <v>0</v>
      </c>
      <c r="IP59" s="33"/>
      <c r="IS59" s="26">
        <v>0</v>
      </c>
      <c r="IT59" s="33"/>
      <c r="IU59">
        <v>8</v>
      </c>
      <c r="IV59">
        <v>8</v>
      </c>
      <c r="IW59" s="26">
        <v>0</v>
      </c>
      <c r="IX59" s="33"/>
      <c r="JA59" s="26">
        <v>0</v>
      </c>
      <c r="JB59" s="30"/>
      <c r="JC59">
        <v>8</v>
      </c>
      <c r="JD59">
        <v>8</v>
      </c>
      <c r="JE59" s="27"/>
      <c r="JG59" s="26">
        <v>0</v>
      </c>
      <c r="JH59" s="33"/>
      <c r="JL59" s="33"/>
      <c r="JP59" s="33"/>
      <c r="JQ59" s="31"/>
      <c r="JT59" s="33"/>
    </row>
    <row r="60" spans="1:280" x14ac:dyDescent="0.25">
      <c r="A60" s="26" t="s">
        <v>211</v>
      </c>
      <c r="B60" s="27">
        <v>0.5</v>
      </c>
      <c r="I60" s="29"/>
      <c r="J60" s="35"/>
      <c r="K60" s="40"/>
      <c r="L60" s="35"/>
      <c r="M60" s="35">
        <f t="shared" si="6"/>
        <v>0</v>
      </c>
      <c r="N60" s="30"/>
      <c r="O60" s="29"/>
      <c r="P60" s="35"/>
      <c r="Q60" s="35"/>
      <c r="R60" s="35"/>
      <c r="S60" s="35">
        <f t="shared" si="7"/>
        <v>0</v>
      </c>
      <c r="T60" s="30"/>
      <c r="U60" s="29"/>
      <c r="V60" s="40"/>
      <c r="W60" s="35"/>
      <c r="X60" s="35"/>
      <c r="Y60" s="35"/>
      <c r="Z60" s="35"/>
      <c r="AA60" s="35">
        <f t="shared" si="8"/>
        <v>0</v>
      </c>
      <c r="AB60" s="30"/>
      <c r="AC60" s="29"/>
      <c r="AD60" s="35"/>
      <c r="AE60" s="35"/>
      <c r="AF60" s="35"/>
      <c r="AG60" s="35">
        <v>0</v>
      </c>
      <c r="AH60" s="30"/>
      <c r="AI60" s="35"/>
      <c r="AM60" s="26">
        <v>0</v>
      </c>
      <c r="AN60" s="30"/>
      <c r="AO60" s="31"/>
      <c r="AS60" s="26">
        <v>0</v>
      </c>
      <c r="AT60" s="30"/>
      <c r="AY60" s="26">
        <v>0</v>
      </c>
      <c r="AZ60" s="30"/>
      <c r="BD60" s="26">
        <v>0</v>
      </c>
      <c r="BE60" s="30"/>
      <c r="BF60" s="29"/>
      <c r="BH60" s="26">
        <v>0</v>
      </c>
      <c r="BI60" s="30"/>
      <c r="BJ60" s="29"/>
      <c r="BL60" s="26">
        <v>0</v>
      </c>
      <c r="BM60" s="30"/>
      <c r="BP60" s="26">
        <v>0</v>
      </c>
      <c r="BQ60" s="30"/>
      <c r="BR60" s="29"/>
      <c r="BT60" s="26">
        <v>0</v>
      </c>
      <c r="BU60" s="30"/>
      <c r="BX60" s="26">
        <v>0</v>
      </c>
      <c r="BY60" s="30"/>
      <c r="BZ60" s="29"/>
      <c r="CB60" s="26">
        <v>0</v>
      </c>
      <c r="CC60" s="30"/>
      <c r="CD60" s="29"/>
      <c r="CF60" s="26">
        <v>0</v>
      </c>
      <c r="CG60" s="30"/>
      <c r="CJ60" s="26">
        <v>0</v>
      </c>
      <c r="CK60" s="30"/>
      <c r="CL60" s="29"/>
      <c r="CP60" s="26">
        <v>0</v>
      </c>
      <c r="CQ60" s="30"/>
      <c r="CR60" s="29"/>
      <c r="CT60" s="26">
        <v>0</v>
      </c>
      <c r="CU60" s="30"/>
      <c r="CZ60" s="26">
        <v>0</v>
      </c>
      <c r="DA60" s="30"/>
      <c r="DD60" s="26">
        <v>0</v>
      </c>
      <c r="DE60" s="30"/>
      <c r="DF60" s="29"/>
      <c r="DH60" s="26">
        <v>0</v>
      </c>
      <c r="DI60" s="30"/>
      <c r="DJ60" s="29"/>
      <c r="DL60" s="26">
        <v>0</v>
      </c>
      <c r="DM60" s="30"/>
      <c r="DP60" s="26">
        <v>0</v>
      </c>
      <c r="DQ60" s="30"/>
      <c r="DR60" s="29"/>
      <c r="DU60" s="26">
        <v>0</v>
      </c>
      <c r="DV60" s="30"/>
      <c r="DW60" s="29"/>
      <c r="EA60" s="26">
        <v>0</v>
      </c>
      <c r="EB60" s="30"/>
      <c r="EC60" s="29"/>
      <c r="EF60" s="26">
        <v>0</v>
      </c>
      <c r="EG60" s="30"/>
      <c r="EJ60" s="26">
        <v>0</v>
      </c>
      <c r="EK60" s="30"/>
      <c r="EL60" s="31"/>
      <c r="EN60" s="26">
        <v>0</v>
      </c>
      <c r="EO60" s="30"/>
      <c r="EP60" s="29"/>
      <c r="ER60" s="26">
        <v>0</v>
      </c>
      <c r="ES60" s="30"/>
      <c r="ET60" s="29"/>
      <c r="EV60" s="26">
        <v>0</v>
      </c>
      <c r="EW60" s="30"/>
      <c r="EZ60" s="26">
        <v>0</v>
      </c>
      <c r="FA60" s="30"/>
      <c r="FD60" s="26">
        <v>0</v>
      </c>
      <c r="FE60" s="30"/>
      <c r="FF60" s="29"/>
      <c r="FI60" s="26">
        <v>0</v>
      </c>
      <c r="FJ60" s="30"/>
      <c r="FK60" s="29"/>
      <c r="FN60" s="26">
        <v>0</v>
      </c>
      <c r="FO60" s="30"/>
      <c r="FR60" s="26">
        <v>0</v>
      </c>
      <c r="FS60" s="30"/>
      <c r="FT60" s="29"/>
      <c r="FY60" s="26">
        <v>0</v>
      </c>
      <c r="FZ60" s="30"/>
      <c r="GC60" s="26">
        <v>0</v>
      </c>
      <c r="GD60" s="30"/>
      <c r="GE60" s="29"/>
      <c r="GI60" s="26">
        <v>0</v>
      </c>
      <c r="GJ60" s="30"/>
      <c r="GO60" s="26">
        <v>0</v>
      </c>
      <c r="GP60" s="30"/>
      <c r="GS60" s="26">
        <v>0</v>
      </c>
      <c r="GT60" s="30"/>
      <c r="GU60" s="29"/>
      <c r="GW60" s="26">
        <v>0</v>
      </c>
      <c r="GX60" s="30"/>
      <c r="GY60" s="29"/>
      <c r="HA60" s="26">
        <v>0</v>
      </c>
      <c r="HB60" s="30"/>
      <c r="HE60" s="26">
        <v>0</v>
      </c>
      <c r="HF60" s="30"/>
      <c r="HG60" s="29"/>
      <c r="HI60" s="26">
        <v>0</v>
      </c>
      <c r="HJ60" s="30"/>
      <c r="HK60" s="29"/>
      <c r="HM60" s="26">
        <v>0</v>
      </c>
      <c r="HN60" s="30"/>
      <c r="HQ60" s="26">
        <v>0</v>
      </c>
      <c r="HR60" s="33"/>
      <c r="HU60" s="26">
        <v>0</v>
      </c>
      <c r="HV60" s="30"/>
      <c r="HY60" s="26">
        <v>0</v>
      </c>
      <c r="HZ60" s="33"/>
      <c r="IC60" s="26">
        <v>0</v>
      </c>
      <c r="ID60" s="30"/>
      <c r="IG60" s="26">
        <v>0</v>
      </c>
      <c r="IH60" s="33"/>
      <c r="IK60" s="26">
        <v>0</v>
      </c>
      <c r="IL60" s="30"/>
      <c r="IM60" s="31"/>
      <c r="IO60" s="26">
        <v>0</v>
      </c>
      <c r="IP60" s="33"/>
      <c r="IS60" s="26">
        <v>0</v>
      </c>
      <c r="IT60" s="33"/>
      <c r="IW60" s="26">
        <v>0</v>
      </c>
      <c r="IX60" s="33"/>
      <c r="JA60" s="26">
        <v>0</v>
      </c>
      <c r="JB60" s="30"/>
      <c r="JC60" s="27"/>
      <c r="JE60" s="27"/>
      <c r="JG60" s="26">
        <v>0</v>
      </c>
      <c r="JH60" s="33"/>
      <c r="JI60" s="28">
        <v>0</v>
      </c>
      <c r="JJ60" s="28">
        <v>0</v>
      </c>
      <c r="JK60" s="26">
        <v>0</v>
      </c>
      <c r="JL60" s="33"/>
      <c r="JM60" s="28">
        <v>0</v>
      </c>
      <c r="JN60" s="28">
        <v>0</v>
      </c>
      <c r="JO60" s="26">
        <v>0</v>
      </c>
      <c r="JP60" s="33"/>
      <c r="JQ60" s="31">
        <v>0</v>
      </c>
      <c r="JR60" s="28">
        <v>0</v>
      </c>
      <c r="JS60" s="26">
        <v>0</v>
      </c>
      <c r="JT60" s="33"/>
    </row>
    <row r="61" spans="1:280" x14ac:dyDescent="0.25">
      <c r="A61" s="26" t="s">
        <v>212</v>
      </c>
      <c r="B61" s="27">
        <v>0.4</v>
      </c>
      <c r="E61">
        <v>110</v>
      </c>
      <c r="F61">
        <v>111</v>
      </c>
      <c r="I61" s="29"/>
      <c r="J61" s="35"/>
      <c r="K61" s="40"/>
      <c r="L61" s="35"/>
      <c r="M61" s="35">
        <f t="shared" si="6"/>
        <v>0</v>
      </c>
      <c r="N61" s="30"/>
      <c r="O61" s="29"/>
      <c r="P61" s="35"/>
      <c r="Q61" s="35"/>
      <c r="R61" s="35"/>
      <c r="S61" s="35">
        <f t="shared" si="7"/>
        <v>0</v>
      </c>
      <c r="T61" s="30"/>
      <c r="U61" s="29"/>
      <c r="V61" s="40"/>
      <c r="W61" s="35"/>
      <c r="X61" s="36">
        <v>152</v>
      </c>
      <c r="Y61" s="35"/>
      <c r="Z61" s="36">
        <v>154</v>
      </c>
      <c r="AA61" s="35">
        <f t="shared" si="8"/>
        <v>-2</v>
      </c>
      <c r="AB61" s="30"/>
      <c r="AC61" s="29"/>
      <c r="AD61" s="35"/>
      <c r="AE61" s="35"/>
      <c r="AF61" s="40">
        <v>101</v>
      </c>
      <c r="AG61" s="41">
        <v>-101</v>
      </c>
      <c r="AH61" s="30">
        <v>40.400000000000013</v>
      </c>
      <c r="AI61" s="35"/>
      <c r="AK61">
        <v>88</v>
      </c>
      <c r="AL61">
        <v>94</v>
      </c>
      <c r="AM61" s="26">
        <v>-6</v>
      </c>
      <c r="AN61" s="30"/>
      <c r="AO61" s="31"/>
      <c r="AS61" s="26">
        <v>0</v>
      </c>
      <c r="AT61" s="30"/>
      <c r="AU61">
        <v>72</v>
      </c>
      <c r="AV61">
        <v>72</v>
      </c>
      <c r="AW61">
        <v>72</v>
      </c>
      <c r="AX61">
        <v>79</v>
      </c>
      <c r="AY61" s="26">
        <v>-7</v>
      </c>
      <c r="AZ61" s="30"/>
      <c r="BD61" s="26">
        <v>0</v>
      </c>
      <c r="BE61" s="30"/>
      <c r="BF61" s="32">
        <v>112</v>
      </c>
      <c r="BG61">
        <v>130</v>
      </c>
      <c r="BH61" s="25">
        <v>-18</v>
      </c>
      <c r="BI61" s="30">
        <v>7.2</v>
      </c>
      <c r="BJ61" s="29"/>
      <c r="BL61" s="26">
        <v>0</v>
      </c>
      <c r="BM61" s="30"/>
      <c r="BN61">
        <v>120</v>
      </c>
      <c r="BO61">
        <v>125</v>
      </c>
      <c r="BP61" s="26">
        <v>-5</v>
      </c>
      <c r="BQ61" s="30"/>
      <c r="BR61" s="32">
        <v>16</v>
      </c>
      <c r="BS61">
        <v>16</v>
      </c>
      <c r="BT61" s="26">
        <v>0</v>
      </c>
      <c r="BU61" s="30"/>
      <c r="BV61">
        <v>64</v>
      </c>
      <c r="BW61">
        <v>65</v>
      </c>
      <c r="BX61" s="26">
        <v>-1</v>
      </c>
      <c r="BY61" s="30"/>
      <c r="BZ61" s="29"/>
      <c r="CA61">
        <v>27</v>
      </c>
      <c r="CB61" s="25">
        <v>-27</v>
      </c>
      <c r="CC61" s="30">
        <v>10.8</v>
      </c>
      <c r="CD61" s="32">
        <v>40</v>
      </c>
      <c r="CE61">
        <v>40</v>
      </c>
      <c r="CF61" s="26">
        <v>0</v>
      </c>
      <c r="CG61" s="30"/>
      <c r="CJ61" s="26">
        <v>0</v>
      </c>
      <c r="CK61" s="30"/>
      <c r="CL61" s="32">
        <v>40</v>
      </c>
      <c r="CM61">
        <v>40</v>
      </c>
      <c r="CO61">
        <v>50</v>
      </c>
      <c r="CP61" s="25">
        <v>-50</v>
      </c>
      <c r="CQ61" s="30">
        <v>49.6</v>
      </c>
      <c r="CR61" s="32">
        <v>16</v>
      </c>
      <c r="CS61">
        <v>14</v>
      </c>
      <c r="CT61" s="26">
        <v>2</v>
      </c>
      <c r="CU61" s="30"/>
      <c r="CZ61" s="26">
        <v>0</v>
      </c>
      <c r="DA61" s="30"/>
      <c r="DB61">
        <v>40</v>
      </c>
      <c r="DC61">
        <v>43</v>
      </c>
      <c r="DD61" s="26">
        <v>-3</v>
      </c>
      <c r="DE61" s="30"/>
      <c r="DF61" s="29"/>
      <c r="DH61" s="26">
        <v>0</v>
      </c>
      <c r="DI61" s="30"/>
      <c r="DJ61" s="32">
        <v>88</v>
      </c>
      <c r="DK61">
        <v>87</v>
      </c>
      <c r="DL61" s="26">
        <v>1</v>
      </c>
      <c r="DM61" s="30"/>
      <c r="DN61">
        <v>8</v>
      </c>
      <c r="DO61">
        <v>8</v>
      </c>
      <c r="DP61" s="26">
        <v>0</v>
      </c>
      <c r="DQ61" s="30"/>
      <c r="DR61" s="29"/>
      <c r="DU61" s="26">
        <v>0</v>
      </c>
      <c r="DV61" s="30"/>
      <c r="DW61" s="29"/>
      <c r="DY61">
        <v>104</v>
      </c>
      <c r="DZ61">
        <v>106</v>
      </c>
      <c r="EA61" s="26">
        <v>-2</v>
      </c>
      <c r="EB61" s="30"/>
      <c r="EC61" s="29"/>
      <c r="EE61">
        <v>84</v>
      </c>
      <c r="EF61" s="25">
        <v>-84</v>
      </c>
      <c r="EG61" s="30">
        <v>33.6</v>
      </c>
      <c r="EH61">
        <v>80</v>
      </c>
      <c r="EI61" s="26">
        <v>82</v>
      </c>
      <c r="EJ61" s="26">
        <v>-2</v>
      </c>
      <c r="EK61" s="30"/>
      <c r="EL61" s="32">
        <v>56</v>
      </c>
      <c r="EM61" s="26">
        <v>58</v>
      </c>
      <c r="EN61" s="26">
        <v>-2</v>
      </c>
      <c r="EO61" s="30"/>
      <c r="EP61" s="29"/>
      <c r="ER61" s="26">
        <v>0</v>
      </c>
      <c r="ES61" s="30"/>
      <c r="ET61" s="29"/>
      <c r="EV61" s="26">
        <v>0</v>
      </c>
      <c r="EW61" s="30"/>
      <c r="EX61">
        <v>104</v>
      </c>
      <c r="EY61" s="28">
        <v>106.6</v>
      </c>
      <c r="EZ61" s="26">
        <v>-2.5999999999999939</v>
      </c>
      <c r="FA61" s="30"/>
      <c r="FD61" s="26">
        <v>0</v>
      </c>
      <c r="FE61" s="30"/>
      <c r="FF61" s="29"/>
      <c r="FI61" s="26">
        <v>0</v>
      </c>
      <c r="FJ61" s="30"/>
      <c r="FK61" s="32">
        <v>80</v>
      </c>
      <c r="FM61">
        <v>78</v>
      </c>
      <c r="FN61" s="26">
        <v>2</v>
      </c>
      <c r="FO61" s="30"/>
      <c r="FR61" s="26">
        <v>0</v>
      </c>
      <c r="FS61" s="30"/>
      <c r="FT61" s="29"/>
      <c r="FU61">
        <v>48</v>
      </c>
      <c r="FV61">
        <v>60</v>
      </c>
      <c r="FW61">
        <v>64</v>
      </c>
      <c r="FX61">
        <v>62</v>
      </c>
      <c r="FY61" s="25">
        <v>-10</v>
      </c>
      <c r="FZ61" s="30">
        <v>4</v>
      </c>
      <c r="GA61">
        <v>8</v>
      </c>
      <c r="GB61" s="28">
        <v>9.6000000000000085</v>
      </c>
      <c r="GC61" s="26">
        <v>-1.600000000000009</v>
      </c>
      <c r="GD61" s="30"/>
      <c r="GE61" s="29"/>
      <c r="GG61">
        <v>80</v>
      </c>
      <c r="GH61">
        <v>83</v>
      </c>
      <c r="GI61" s="26">
        <v>-3</v>
      </c>
      <c r="GJ61" s="30"/>
      <c r="GM61">
        <v>8</v>
      </c>
      <c r="GN61">
        <v>8</v>
      </c>
      <c r="GO61" s="26">
        <v>0</v>
      </c>
      <c r="GP61" s="30"/>
      <c r="GQ61">
        <v>64</v>
      </c>
      <c r="GR61" s="28">
        <v>64</v>
      </c>
      <c r="GS61" s="26">
        <v>0</v>
      </c>
      <c r="GT61" s="30"/>
      <c r="GU61" s="32">
        <v>8</v>
      </c>
      <c r="GV61">
        <v>7</v>
      </c>
      <c r="GW61" s="26">
        <v>1</v>
      </c>
      <c r="GX61" s="30"/>
      <c r="GY61" s="29"/>
      <c r="HA61" s="26">
        <v>0</v>
      </c>
      <c r="HB61" s="30"/>
      <c r="HC61">
        <v>72</v>
      </c>
      <c r="HD61">
        <v>72</v>
      </c>
      <c r="HE61" s="26">
        <v>0</v>
      </c>
      <c r="HF61" s="30"/>
      <c r="HG61" s="32">
        <v>24</v>
      </c>
      <c r="HH61">
        <v>24</v>
      </c>
      <c r="HI61" s="26">
        <v>0</v>
      </c>
      <c r="HJ61" s="30"/>
      <c r="HK61" s="29"/>
      <c r="HM61" s="26">
        <v>0</v>
      </c>
      <c r="HN61" s="30"/>
      <c r="HO61">
        <v>40</v>
      </c>
      <c r="HP61">
        <v>40</v>
      </c>
      <c r="HQ61" s="26">
        <v>0</v>
      </c>
      <c r="HR61" s="33"/>
      <c r="HS61">
        <v>16</v>
      </c>
      <c r="HT61">
        <v>17</v>
      </c>
      <c r="HU61" s="26">
        <v>-1</v>
      </c>
      <c r="HV61" s="30"/>
      <c r="HY61" s="26">
        <v>0</v>
      </c>
      <c r="HZ61" s="33"/>
      <c r="IA61">
        <v>56</v>
      </c>
      <c r="IB61">
        <v>56</v>
      </c>
      <c r="IC61" s="26">
        <v>0</v>
      </c>
      <c r="ID61" s="30"/>
      <c r="IE61">
        <v>8</v>
      </c>
      <c r="IF61">
        <v>8</v>
      </c>
      <c r="IG61" s="26">
        <v>0</v>
      </c>
      <c r="IH61" s="33"/>
      <c r="IK61" s="26">
        <v>0</v>
      </c>
      <c r="IL61" s="30"/>
      <c r="IM61" s="32">
        <v>40</v>
      </c>
      <c r="IN61" s="28">
        <v>40</v>
      </c>
      <c r="IO61" s="26">
        <v>0</v>
      </c>
      <c r="IP61" s="33"/>
      <c r="IQ61">
        <v>8</v>
      </c>
      <c r="IR61">
        <v>6</v>
      </c>
      <c r="IS61" s="26">
        <v>2</v>
      </c>
      <c r="IT61" s="33"/>
      <c r="IW61" s="26">
        <v>0</v>
      </c>
      <c r="IX61" s="33"/>
      <c r="JA61" s="26">
        <v>0</v>
      </c>
      <c r="JB61" s="30"/>
      <c r="JC61">
        <v>32</v>
      </c>
      <c r="JD61">
        <v>32</v>
      </c>
      <c r="JE61">
        <v>24</v>
      </c>
      <c r="JF61">
        <v>28</v>
      </c>
      <c r="JG61" s="26">
        <v>-4</v>
      </c>
      <c r="JH61" s="33"/>
      <c r="JI61" s="28">
        <v>0</v>
      </c>
      <c r="JJ61" s="28">
        <v>0</v>
      </c>
      <c r="JK61" s="26">
        <v>0</v>
      </c>
      <c r="JL61" s="33"/>
      <c r="JM61" s="28">
        <v>24</v>
      </c>
      <c r="JN61" s="28">
        <v>24</v>
      </c>
      <c r="JO61" s="26">
        <v>0</v>
      </c>
      <c r="JP61" s="33"/>
      <c r="JQ61" s="31">
        <v>0</v>
      </c>
      <c r="JR61" s="28">
        <v>0</v>
      </c>
      <c r="JS61" s="26">
        <v>0</v>
      </c>
      <c r="JT61" s="33"/>
    </row>
    <row r="62" spans="1:280" x14ac:dyDescent="0.25">
      <c r="A62" s="26" t="s">
        <v>213</v>
      </c>
      <c r="B62" s="27">
        <v>0.4</v>
      </c>
      <c r="E62">
        <v>163</v>
      </c>
      <c r="F62">
        <v>162</v>
      </c>
      <c r="I62" s="29"/>
      <c r="J62" s="35"/>
      <c r="K62" s="40"/>
      <c r="L62" s="35"/>
      <c r="M62" s="35">
        <f t="shared" si="6"/>
        <v>0</v>
      </c>
      <c r="N62" s="30"/>
      <c r="O62" s="32">
        <v>80</v>
      </c>
      <c r="P62" s="36">
        <v>84</v>
      </c>
      <c r="Q62" s="36">
        <v>72</v>
      </c>
      <c r="R62" s="36">
        <v>79</v>
      </c>
      <c r="S62" s="35">
        <f t="shared" si="7"/>
        <v>-11</v>
      </c>
      <c r="T62" s="30"/>
      <c r="U62" s="32">
        <v>176</v>
      </c>
      <c r="V62" s="40"/>
      <c r="W62" s="36">
        <v>176</v>
      </c>
      <c r="X62" s="36">
        <v>136</v>
      </c>
      <c r="Y62" s="35"/>
      <c r="Z62" s="36">
        <v>141</v>
      </c>
      <c r="AA62" s="35">
        <f t="shared" si="8"/>
        <v>-5</v>
      </c>
      <c r="AB62" s="30"/>
      <c r="AC62" s="29"/>
      <c r="AD62" s="35"/>
      <c r="AE62" s="36">
        <v>64</v>
      </c>
      <c r="AF62" s="40">
        <v>70</v>
      </c>
      <c r="AG62" s="35">
        <v>-6</v>
      </c>
      <c r="AH62" s="30"/>
      <c r="AI62" s="36">
        <v>88</v>
      </c>
      <c r="AJ62">
        <v>88</v>
      </c>
      <c r="AK62">
        <v>64</v>
      </c>
      <c r="AL62">
        <v>70</v>
      </c>
      <c r="AM62" s="26">
        <v>-6</v>
      </c>
      <c r="AN62" s="30"/>
      <c r="AO62" s="32">
        <v>40</v>
      </c>
      <c r="AP62">
        <v>40</v>
      </c>
      <c r="AQ62">
        <v>40</v>
      </c>
      <c r="AR62">
        <v>40</v>
      </c>
      <c r="AS62" s="26">
        <v>0</v>
      </c>
      <c r="AT62" s="30"/>
      <c r="AU62">
        <v>64</v>
      </c>
      <c r="AV62">
        <v>64</v>
      </c>
      <c r="AW62">
        <v>16</v>
      </c>
      <c r="AX62">
        <v>16</v>
      </c>
      <c r="AY62" s="26">
        <v>0</v>
      </c>
      <c r="AZ62" s="30"/>
      <c r="BB62">
        <v>72</v>
      </c>
      <c r="BC62">
        <v>72</v>
      </c>
      <c r="BD62" s="26">
        <v>0</v>
      </c>
      <c r="BE62" s="30"/>
      <c r="BF62" s="29"/>
      <c r="BH62" s="26">
        <v>0</v>
      </c>
      <c r="BI62" s="30"/>
      <c r="BJ62" s="32">
        <v>480</v>
      </c>
      <c r="BK62">
        <v>480</v>
      </c>
      <c r="BL62" s="26">
        <v>0</v>
      </c>
      <c r="BM62" s="30"/>
      <c r="BN62">
        <v>216</v>
      </c>
      <c r="BO62">
        <v>215</v>
      </c>
      <c r="BP62" s="26">
        <v>1</v>
      </c>
      <c r="BQ62" s="30"/>
      <c r="BR62" s="32">
        <v>104</v>
      </c>
      <c r="BS62">
        <v>107</v>
      </c>
      <c r="BT62" s="26">
        <v>-3</v>
      </c>
      <c r="BU62" s="30"/>
      <c r="BV62">
        <v>176</v>
      </c>
      <c r="BW62">
        <v>178</v>
      </c>
      <c r="BX62" s="26">
        <v>-2</v>
      </c>
      <c r="BY62" s="30"/>
      <c r="BZ62" s="32">
        <v>112</v>
      </c>
      <c r="CA62">
        <v>116</v>
      </c>
      <c r="CB62" s="26">
        <v>-4</v>
      </c>
      <c r="CC62" s="30"/>
      <c r="CD62" s="32">
        <v>104</v>
      </c>
      <c r="CE62">
        <v>102</v>
      </c>
      <c r="CF62" s="26">
        <v>2</v>
      </c>
      <c r="CG62" s="30"/>
      <c r="CJ62" s="26">
        <v>0</v>
      </c>
      <c r="CK62" s="30"/>
      <c r="CL62" s="32">
        <v>64</v>
      </c>
      <c r="CM62">
        <v>60</v>
      </c>
      <c r="CN62">
        <v>56</v>
      </c>
      <c r="CO62">
        <v>63</v>
      </c>
      <c r="CP62" s="26">
        <v>-3</v>
      </c>
      <c r="CQ62" s="30"/>
      <c r="CR62" s="32">
        <v>24</v>
      </c>
      <c r="CS62">
        <v>27</v>
      </c>
      <c r="CT62" s="26">
        <v>-3</v>
      </c>
      <c r="CU62" s="30"/>
      <c r="CX62">
        <v>24</v>
      </c>
      <c r="CY62">
        <v>29</v>
      </c>
      <c r="CZ62" s="26">
        <v>-5</v>
      </c>
      <c r="DA62" s="30"/>
      <c r="DB62">
        <v>104</v>
      </c>
      <c r="DC62">
        <v>106</v>
      </c>
      <c r="DD62" s="26">
        <v>-2</v>
      </c>
      <c r="DE62" s="30"/>
      <c r="DF62" s="29"/>
      <c r="DH62" s="26">
        <v>0</v>
      </c>
      <c r="DI62" s="30"/>
      <c r="DJ62" s="32">
        <v>88</v>
      </c>
      <c r="DK62">
        <v>90</v>
      </c>
      <c r="DL62" s="26">
        <v>-2</v>
      </c>
      <c r="DM62" s="30"/>
      <c r="DN62">
        <v>48</v>
      </c>
      <c r="DO62">
        <v>53</v>
      </c>
      <c r="DP62" s="26">
        <v>-5</v>
      </c>
      <c r="DQ62" s="30"/>
      <c r="DR62" s="32">
        <v>16</v>
      </c>
      <c r="DT62">
        <v>18</v>
      </c>
      <c r="DU62" s="26">
        <v>-2</v>
      </c>
      <c r="DV62" s="30"/>
      <c r="DW62" s="29"/>
      <c r="DY62">
        <v>16</v>
      </c>
      <c r="DZ62">
        <v>18</v>
      </c>
      <c r="EA62" s="26">
        <v>-2</v>
      </c>
      <c r="EB62" s="30"/>
      <c r="EC62" s="32">
        <v>96</v>
      </c>
      <c r="EE62">
        <v>100</v>
      </c>
      <c r="EF62" s="26">
        <v>-4</v>
      </c>
      <c r="EG62" s="30"/>
      <c r="EH62">
        <v>32</v>
      </c>
      <c r="EI62" s="26">
        <v>30</v>
      </c>
      <c r="EJ62" s="26">
        <v>2</v>
      </c>
      <c r="EK62" s="30"/>
      <c r="EL62" s="32">
        <v>64</v>
      </c>
      <c r="EM62" s="26">
        <v>63</v>
      </c>
      <c r="EN62" s="26">
        <v>1</v>
      </c>
      <c r="EO62" s="30"/>
      <c r="EP62" s="29"/>
      <c r="ER62" s="26">
        <v>0</v>
      </c>
      <c r="ES62" s="30"/>
      <c r="ET62" s="29"/>
      <c r="EV62" s="26">
        <v>0</v>
      </c>
      <c r="EW62" s="30"/>
      <c r="EX62">
        <v>80</v>
      </c>
      <c r="EY62" s="28">
        <v>79</v>
      </c>
      <c r="EZ62" s="26">
        <v>1</v>
      </c>
      <c r="FA62" s="30"/>
      <c r="FB62">
        <v>48</v>
      </c>
      <c r="FC62">
        <v>52</v>
      </c>
      <c r="FD62" s="26">
        <v>-4</v>
      </c>
      <c r="FE62" s="30"/>
      <c r="FF62" s="32">
        <v>24</v>
      </c>
      <c r="FH62">
        <v>22</v>
      </c>
      <c r="FI62" s="26">
        <v>2</v>
      </c>
      <c r="FJ62" s="30"/>
      <c r="FK62" s="29"/>
      <c r="FN62" s="26">
        <v>0</v>
      </c>
      <c r="FO62" s="30"/>
      <c r="FP62">
        <v>8</v>
      </c>
      <c r="FQ62" s="28">
        <v>12.8</v>
      </c>
      <c r="FR62" s="26">
        <v>-4.8000000000000007</v>
      </c>
      <c r="FS62" s="30"/>
      <c r="FT62" s="29"/>
      <c r="FU62">
        <v>40</v>
      </c>
      <c r="FV62">
        <v>40</v>
      </c>
      <c r="FW62">
        <v>48</v>
      </c>
      <c r="FX62">
        <v>49</v>
      </c>
      <c r="FY62" s="26">
        <v>-1</v>
      </c>
      <c r="FZ62" s="30"/>
      <c r="GA62">
        <v>24</v>
      </c>
      <c r="GB62" s="28">
        <v>22.600000000000009</v>
      </c>
      <c r="GC62" s="26">
        <v>1.399999999999991</v>
      </c>
      <c r="GD62" s="30"/>
      <c r="GE62" s="29"/>
      <c r="GG62">
        <v>72</v>
      </c>
      <c r="GH62">
        <v>71</v>
      </c>
      <c r="GI62" s="26">
        <v>1</v>
      </c>
      <c r="GJ62" s="30"/>
      <c r="GM62">
        <v>8</v>
      </c>
      <c r="GN62">
        <v>11</v>
      </c>
      <c r="GO62" s="26">
        <v>-3</v>
      </c>
      <c r="GP62" s="30"/>
      <c r="GQ62">
        <v>40</v>
      </c>
      <c r="GR62" s="28">
        <v>45</v>
      </c>
      <c r="GS62" s="26">
        <v>-5</v>
      </c>
      <c r="GT62" s="30"/>
      <c r="GU62" s="29"/>
      <c r="GW62" s="26">
        <v>0</v>
      </c>
      <c r="GX62" s="30"/>
      <c r="GY62" s="32">
        <v>8</v>
      </c>
      <c r="GZ62">
        <v>10</v>
      </c>
      <c r="HA62" s="26">
        <v>-2</v>
      </c>
      <c r="HB62" s="30"/>
      <c r="HC62">
        <v>48</v>
      </c>
      <c r="HD62">
        <v>50</v>
      </c>
      <c r="HE62" s="26">
        <v>-2</v>
      </c>
      <c r="HF62" s="30"/>
      <c r="HG62" s="32">
        <v>32</v>
      </c>
      <c r="HH62">
        <v>35</v>
      </c>
      <c r="HI62" s="26">
        <v>-3</v>
      </c>
      <c r="HJ62" s="30"/>
      <c r="HK62" s="29"/>
      <c r="HM62" s="26">
        <v>0</v>
      </c>
      <c r="HN62" s="30"/>
      <c r="HO62">
        <v>72</v>
      </c>
      <c r="HP62">
        <v>70</v>
      </c>
      <c r="HQ62" s="26">
        <v>2</v>
      </c>
      <c r="HR62" s="33"/>
      <c r="HU62" s="26">
        <v>0</v>
      </c>
      <c r="HV62" s="30"/>
      <c r="HW62">
        <v>40</v>
      </c>
      <c r="HX62">
        <v>45</v>
      </c>
      <c r="HY62" s="26">
        <v>-5</v>
      </c>
      <c r="HZ62" s="33"/>
      <c r="IC62" s="26">
        <v>0</v>
      </c>
      <c r="ID62" s="30"/>
      <c r="IG62" s="26">
        <v>0</v>
      </c>
      <c r="IH62" s="33"/>
      <c r="IK62" s="26">
        <v>0</v>
      </c>
      <c r="IL62" s="30"/>
      <c r="IM62" s="31"/>
      <c r="IO62" s="26">
        <v>0</v>
      </c>
      <c r="IP62" s="33"/>
      <c r="IS62" s="26">
        <v>0</v>
      </c>
      <c r="IT62" s="33"/>
      <c r="IW62" s="26">
        <v>0</v>
      </c>
      <c r="IX62" s="33"/>
      <c r="JA62" s="26">
        <v>0</v>
      </c>
      <c r="JB62" s="30"/>
      <c r="JC62" s="27"/>
      <c r="JE62">
        <v>56</v>
      </c>
      <c r="JF62">
        <v>57</v>
      </c>
      <c r="JG62" s="26">
        <v>-1</v>
      </c>
      <c r="JH62" s="33"/>
      <c r="JI62" s="28">
        <v>0</v>
      </c>
      <c r="JJ62" s="28">
        <v>0</v>
      </c>
      <c r="JK62" s="26">
        <v>0</v>
      </c>
      <c r="JL62" s="33"/>
      <c r="JM62" s="28">
        <v>72</v>
      </c>
      <c r="JN62" s="28">
        <v>73.8</v>
      </c>
      <c r="JO62" s="26">
        <v>-1.7999999999999969</v>
      </c>
      <c r="JP62" s="33"/>
      <c r="JQ62" s="31">
        <v>0</v>
      </c>
      <c r="JR62" s="28">
        <v>0</v>
      </c>
      <c r="JS62" s="26">
        <v>0</v>
      </c>
      <c r="JT62" s="33"/>
    </row>
    <row r="63" spans="1:280" x14ac:dyDescent="0.25">
      <c r="A63" s="28" t="s">
        <v>214</v>
      </c>
      <c r="B63" s="16">
        <v>0.84</v>
      </c>
      <c r="I63" s="29"/>
      <c r="J63" s="35"/>
      <c r="K63" s="40"/>
      <c r="L63" s="35"/>
      <c r="M63" s="35">
        <f t="shared" si="6"/>
        <v>0</v>
      </c>
      <c r="N63" s="30"/>
      <c r="O63" s="29"/>
      <c r="P63" s="35"/>
      <c r="Q63" s="35"/>
      <c r="R63" s="35"/>
      <c r="S63" s="35">
        <f t="shared" si="7"/>
        <v>0</v>
      </c>
      <c r="T63" s="30"/>
      <c r="U63" s="29"/>
      <c r="V63" s="40"/>
      <c r="W63" s="35"/>
      <c r="X63" s="35"/>
      <c r="Y63" s="35"/>
      <c r="Z63" s="35"/>
      <c r="AA63" s="35">
        <f t="shared" si="8"/>
        <v>0</v>
      </c>
      <c r="AB63" s="30"/>
      <c r="AC63" s="29"/>
      <c r="AD63" s="35"/>
      <c r="AE63" s="35"/>
      <c r="AF63" s="35"/>
      <c r="AG63" s="35">
        <v>0</v>
      </c>
      <c r="AH63" s="30"/>
      <c r="AI63" s="35"/>
      <c r="AM63" s="26">
        <v>0</v>
      </c>
      <c r="AN63" s="30"/>
      <c r="AO63" s="31"/>
      <c r="AS63" s="26">
        <v>0</v>
      </c>
      <c r="AT63" s="30"/>
      <c r="AY63" s="26">
        <v>0</v>
      </c>
      <c r="AZ63" s="30"/>
      <c r="BD63" s="26">
        <v>0</v>
      </c>
      <c r="BE63" s="30"/>
      <c r="BF63" s="29"/>
      <c r="BH63" s="26">
        <v>0</v>
      </c>
      <c r="BI63" s="30"/>
      <c r="BJ63" s="29"/>
      <c r="BL63" s="26">
        <v>0</v>
      </c>
      <c r="BM63" s="30"/>
      <c r="BP63" s="26">
        <v>0</v>
      </c>
      <c r="BQ63" s="30"/>
      <c r="BR63" s="29"/>
      <c r="BT63" s="26">
        <v>0</v>
      </c>
      <c r="BU63" s="30"/>
      <c r="BX63" s="26">
        <v>0</v>
      </c>
      <c r="BY63" s="30"/>
      <c r="BZ63" s="29"/>
      <c r="CB63" s="26">
        <v>0</v>
      </c>
      <c r="CC63" s="30"/>
      <c r="CD63" s="29"/>
      <c r="CF63" s="26">
        <v>0</v>
      </c>
      <c r="CG63" s="30"/>
      <c r="CJ63" s="26">
        <v>0</v>
      </c>
      <c r="CK63" s="30"/>
      <c r="CL63" s="29"/>
      <c r="CP63" s="26">
        <v>0</v>
      </c>
      <c r="CQ63" s="30"/>
      <c r="CR63" s="29"/>
      <c r="CT63" s="26">
        <v>0</v>
      </c>
      <c r="CU63" s="30"/>
      <c r="CZ63" s="26">
        <v>0</v>
      </c>
      <c r="DA63" s="30"/>
      <c r="DD63" s="26">
        <v>0</v>
      </c>
      <c r="DE63" s="30"/>
      <c r="DF63" s="29"/>
      <c r="DH63" s="26">
        <v>0</v>
      </c>
      <c r="DI63" s="30"/>
      <c r="DJ63" s="29"/>
      <c r="DL63" s="26">
        <v>0</v>
      </c>
      <c r="DM63" s="30"/>
      <c r="DP63" s="26">
        <v>0</v>
      </c>
      <c r="DQ63" s="30"/>
      <c r="DR63" s="29"/>
      <c r="DU63" s="26">
        <v>0</v>
      </c>
      <c r="DV63" s="30"/>
      <c r="DW63" s="29"/>
      <c r="EA63" s="26">
        <v>0</v>
      </c>
      <c r="EB63" s="30"/>
      <c r="EC63" s="29"/>
      <c r="EF63" s="26">
        <v>0</v>
      </c>
      <c r="EG63" s="30"/>
      <c r="EJ63" s="26">
        <v>0</v>
      </c>
      <c r="EK63" s="30"/>
      <c r="EL63" s="31"/>
      <c r="EN63" s="26">
        <v>0</v>
      </c>
      <c r="EO63" s="30"/>
      <c r="EP63" s="29"/>
      <c r="ER63" s="26">
        <v>0</v>
      </c>
      <c r="ES63" s="30"/>
      <c r="ET63" s="29"/>
      <c r="EV63" s="26">
        <v>0</v>
      </c>
      <c r="EW63" s="30"/>
      <c r="EZ63" s="26">
        <v>0</v>
      </c>
      <c r="FA63" s="30"/>
      <c r="FD63" s="26">
        <v>0</v>
      </c>
      <c r="FE63" s="30"/>
      <c r="FF63" s="29"/>
      <c r="FI63" s="26">
        <v>0</v>
      </c>
      <c r="FJ63" s="30"/>
      <c r="FK63" s="29"/>
      <c r="FN63" s="26">
        <v>0</v>
      </c>
      <c r="FO63" s="30"/>
      <c r="FR63" s="26">
        <v>0</v>
      </c>
      <c r="FS63" s="30"/>
      <c r="FT63" s="29"/>
      <c r="FY63" s="26">
        <v>0</v>
      </c>
      <c r="FZ63" s="30"/>
      <c r="GC63" s="26">
        <v>0</v>
      </c>
      <c r="GD63" s="30"/>
      <c r="GE63" s="29"/>
      <c r="GI63" s="26">
        <v>0</v>
      </c>
      <c r="GJ63" s="30"/>
      <c r="GO63" s="26">
        <v>0</v>
      </c>
      <c r="GP63" s="30"/>
      <c r="GS63" s="26">
        <v>0</v>
      </c>
      <c r="GT63" s="30"/>
      <c r="GU63" s="29"/>
      <c r="GW63" s="26">
        <v>0</v>
      </c>
      <c r="GX63" s="30"/>
      <c r="GY63" s="29"/>
      <c r="HA63" s="26">
        <v>0</v>
      </c>
      <c r="HB63" s="30"/>
      <c r="HE63" s="26">
        <v>0</v>
      </c>
      <c r="HF63" s="30"/>
      <c r="HG63" s="29"/>
      <c r="HI63" s="26">
        <v>0</v>
      </c>
      <c r="HJ63" s="30"/>
      <c r="HK63" s="29"/>
      <c r="HM63" s="26">
        <v>0</v>
      </c>
      <c r="HN63" s="30"/>
      <c r="HQ63" s="26">
        <v>0</v>
      </c>
      <c r="HR63" s="33"/>
      <c r="HU63" s="26">
        <v>0</v>
      </c>
      <c r="HV63" s="30"/>
      <c r="HY63" s="26">
        <v>0</v>
      </c>
      <c r="HZ63" s="33"/>
      <c r="IC63" s="26">
        <v>0</v>
      </c>
      <c r="ID63" s="30"/>
      <c r="IG63" s="26">
        <v>0</v>
      </c>
      <c r="IH63" s="33"/>
      <c r="IK63" s="26">
        <v>0</v>
      </c>
      <c r="IL63" s="30"/>
      <c r="IM63" s="31"/>
      <c r="IP63" s="33"/>
      <c r="IT63" s="33"/>
      <c r="IX63" s="33"/>
      <c r="IY63" s="27"/>
      <c r="JB63" s="30"/>
      <c r="JC63" s="27"/>
      <c r="JH63" s="33"/>
      <c r="JI63" s="28"/>
      <c r="JJ63" s="28"/>
      <c r="JL63" s="33"/>
      <c r="JM63" s="28"/>
      <c r="JN63" s="28"/>
      <c r="JP63" s="33"/>
      <c r="JQ63" s="31"/>
      <c r="JR63" s="28"/>
      <c r="JT63" s="33"/>
    </row>
    <row r="64" spans="1:280" x14ac:dyDescent="0.25">
      <c r="A64" s="26" t="s">
        <v>215</v>
      </c>
      <c r="B64" s="27">
        <v>0.1</v>
      </c>
      <c r="I64" s="32">
        <v>80</v>
      </c>
      <c r="J64" s="36">
        <v>81</v>
      </c>
      <c r="K64" s="36">
        <v>80</v>
      </c>
      <c r="L64" s="36">
        <v>81</v>
      </c>
      <c r="M64" s="35">
        <f t="shared" si="6"/>
        <v>-2</v>
      </c>
      <c r="N64" s="30"/>
      <c r="O64" s="29"/>
      <c r="P64" s="35"/>
      <c r="Q64" s="35"/>
      <c r="R64" s="35"/>
      <c r="S64" s="35">
        <f t="shared" si="7"/>
        <v>0</v>
      </c>
      <c r="T64" s="30"/>
      <c r="U64" s="29"/>
      <c r="V64" s="40"/>
      <c r="W64" s="35"/>
      <c r="X64" s="35"/>
      <c r="Y64" s="35"/>
      <c r="Z64" s="35"/>
      <c r="AA64" s="35">
        <f t="shared" si="8"/>
        <v>0</v>
      </c>
      <c r="AB64" s="30"/>
      <c r="AC64" s="29"/>
      <c r="AD64" s="35"/>
      <c r="AE64" s="35"/>
      <c r="AF64" s="35"/>
      <c r="AG64" s="35">
        <v>0</v>
      </c>
      <c r="AH64" s="30"/>
      <c r="AI64" s="35"/>
      <c r="AM64" s="26">
        <v>0</v>
      </c>
      <c r="AN64" s="30"/>
      <c r="AO64" s="32">
        <v>100</v>
      </c>
      <c r="AP64">
        <v>100</v>
      </c>
      <c r="AQ64">
        <v>100</v>
      </c>
      <c r="AR64">
        <v>100</v>
      </c>
      <c r="AS64" s="26">
        <v>0</v>
      </c>
      <c r="AT64" s="30"/>
      <c r="AY64" s="26">
        <v>0</v>
      </c>
      <c r="AZ64" s="30"/>
      <c r="BB64">
        <v>120</v>
      </c>
      <c r="BC64">
        <v>123</v>
      </c>
      <c r="BD64" s="26">
        <v>-3</v>
      </c>
      <c r="BE64" s="30"/>
      <c r="BF64" s="32">
        <v>40</v>
      </c>
      <c r="BG64">
        <v>42</v>
      </c>
      <c r="BH64" s="26">
        <v>-2</v>
      </c>
      <c r="BI64" s="30"/>
      <c r="BJ64" s="32">
        <v>70</v>
      </c>
      <c r="BK64">
        <v>71</v>
      </c>
      <c r="BL64" s="26">
        <v>-1</v>
      </c>
      <c r="BM64" s="30"/>
      <c r="BN64">
        <v>10</v>
      </c>
      <c r="BO64">
        <v>10</v>
      </c>
      <c r="BP64" s="26">
        <v>0</v>
      </c>
      <c r="BQ64" s="30"/>
      <c r="BR64" s="32">
        <v>70</v>
      </c>
      <c r="BS64">
        <v>74</v>
      </c>
      <c r="BT64" s="26">
        <v>-4</v>
      </c>
      <c r="BU64" s="30"/>
      <c r="BV64">
        <v>20</v>
      </c>
      <c r="BW64">
        <v>20</v>
      </c>
      <c r="BX64" s="26">
        <v>0</v>
      </c>
      <c r="BY64" s="30"/>
      <c r="BZ64" s="32">
        <v>40</v>
      </c>
      <c r="CA64">
        <v>41</v>
      </c>
      <c r="CB64" s="26">
        <v>-1</v>
      </c>
      <c r="CC64" s="30"/>
      <c r="CD64" s="32">
        <v>10</v>
      </c>
      <c r="CE64">
        <v>12</v>
      </c>
      <c r="CF64" s="26">
        <v>-2</v>
      </c>
      <c r="CG64" s="30"/>
      <c r="CJ64" s="26">
        <v>0</v>
      </c>
      <c r="CK64" s="30"/>
      <c r="CL64" s="32">
        <v>30</v>
      </c>
      <c r="CM64">
        <v>30</v>
      </c>
      <c r="CO64">
        <v>47</v>
      </c>
      <c r="CP64" s="25">
        <v>-47</v>
      </c>
      <c r="CQ64" s="30">
        <v>46.9</v>
      </c>
      <c r="CR64" s="32">
        <v>10</v>
      </c>
      <c r="CS64">
        <v>7</v>
      </c>
      <c r="CT64" s="26">
        <v>3</v>
      </c>
      <c r="CU64" s="30"/>
      <c r="CX64">
        <v>60</v>
      </c>
      <c r="CY64">
        <v>59</v>
      </c>
      <c r="CZ64" s="26">
        <v>1</v>
      </c>
      <c r="DA64" s="30"/>
      <c r="DD64" s="26">
        <v>0</v>
      </c>
      <c r="DE64" s="30"/>
      <c r="DF64" s="32">
        <v>30</v>
      </c>
      <c r="DG64">
        <v>35</v>
      </c>
      <c r="DH64" s="26">
        <v>-5</v>
      </c>
      <c r="DI64" s="30"/>
      <c r="DJ64" s="32">
        <v>20</v>
      </c>
      <c r="DK64">
        <v>29</v>
      </c>
      <c r="DL64" s="26">
        <v>-9</v>
      </c>
      <c r="DM64" s="30"/>
      <c r="DN64">
        <v>20</v>
      </c>
      <c r="DO64">
        <v>20</v>
      </c>
      <c r="DP64" s="26">
        <v>0</v>
      </c>
      <c r="DQ64" s="30"/>
      <c r="DR64" s="29"/>
      <c r="DU64" s="26">
        <v>0</v>
      </c>
      <c r="DV64" s="30"/>
      <c r="DW64" s="29"/>
      <c r="DY64">
        <v>80</v>
      </c>
      <c r="DZ64">
        <v>81</v>
      </c>
      <c r="EA64" s="26">
        <v>-1</v>
      </c>
      <c r="EB64" s="30"/>
      <c r="EC64" s="32">
        <v>20</v>
      </c>
      <c r="EE64">
        <v>27</v>
      </c>
      <c r="EF64" s="26">
        <v>-7</v>
      </c>
      <c r="EG64" s="30"/>
      <c r="EH64">
        <v>50</v>
      </c>
      <c r="EI64" s="26">
        <v>51.199999999999989</v>
      </c>
      <c r="EJ64" s="26">
        <v>-1.1999999999999891</v>
      </c>
      <c r="EK64" s="30"/>
      <c r="EL64" s="32">
        <v>20</v>
      </c>
      <c r="EM64" s="26">
        <v>18</v>
      </c>
      <c r="EN64" s="26">
        <v>2</v>
      </c>
      <c r="EO64" s="30"/>
      <c r="EP64" s="29"/>
      <c r="ER64" s="26">
        <v>0</v>
      </c>
      <c r="ES64" s="30"/>
      <c r="ET64" s="29"/>
      <c r="EV64" s="26">
        <v>0</v>
      </c>
      <c r="EW64" s="30"/>
      <c r="EZ64" s="26">
        <v>0</v>
      </c>
      <c r="FA64" s="30"/>
      <c r="FB64">
        <v>80</v>
      </c>
      <c r="FC64">
        <v>85</v>
      </c>
      <c r="FD64" s="26">
        <v>-5</v>
      </c>
      <c r="FE64" s="30"/>
      <c r="FF64" s="29"/>
      <c r="FI64" s="26">
        <v>0</v>
      </c>
      <c r="FJ64" s="30"/>
      <c r="FK64" s="32">
        <v>70</v>
      </c>
      <c r="FM64">
        <v>68</v>
      </c>
      <c r="FN64" s="26">
        <v>2</v>
      </c>
      <c r="FO64" s="30"/>
      <c r="FP64">
        <v>10</v>
      </c>
      <c r="FQ64" s="28">
        <v>14</v>
      </c>
      <c r="FR64" s="26">
        <v>-4</v>
      </c>
      <c r="FS64" s="30"/>
      <c r="FT64" s="29"/>
      <c r="FU64">
        <v>10</v>
      </c>
      <c r="FV64">
        <v>10</v>
      </c>
      <c r="FW64">
        <v>10</v>
      </c>
      <c r="FX64">
        <v>10</v>
      </c>
      <c r="FY64" s="26">
        <v>0</v>
      </c>
      <c r="FZ64" s="30"/>
      <c r="GA64">
        <v>60</v>
      </c>
      <c r="GB64" s="28">
        <v>62.4</v>
      </c>
      <c r="GC64" s="26">
        <v>-2.399999999999999</v>
      </c>
      <c r="GD64" s="30"/>
      <c r="GE64" s="29"/>
      <c r="GH64">
        <v>13</v>
      </c>
      <c r="GI64" s="25">
        <v>-13</v>
      </c>
      <c r="GJ64" s="30"/>
      <c r="GO64" s="26">
        <v>0</v>
      </c>
      <c r="GP64" s="30"/>
      <c r="GS64" s="26">
        <v>0</v>
      </c>
      <c r="GT64" s="30"/>
      <c r="GU64" s="32">
        <v>60</v>
      </c>
      <c r="GV64">
        <v>58</v>
      </c>
      <c r="GW64" s="26">
        <v>2</v>
      </c>
      <c r="GX64" s="30"/>
      <c r="GY64" s="32">
        <v>10</v>
      </c>
      <c r="GZ64">
        <v>10</v>
      </c>
      <c r="HA64" s="26">
        <v>0</v>
      </c>
      <c r="HB64" s="30"/>
      <c r="HC64">
        <v>60</v>
      </c>
      <c r="HD64">
        <v>60</v>
      </c>
      <c r="HE64" s="26">
        <v>0</v>
      </c>
      <c r="HF64" s="30"/>
      <c r="HG64" s="32">
        <v>10</v>
      </c>
      <c r="HH64">
        <v>10</v>
      </c>
      <c r="HI64" s="26">
        <v>0</v>
      </c>
      <c r="HJ64" s="30"/>
      <c r="HK64" s="32">
        <v>50</v>
      </c>
      <c r="HL64">
        <v>54</v>
      </c>
      <c r="HM64" s="26">
        <v>-4</v>
      </c>
      <c r="HN64" s="30"/>
      <c r="HO64">
        <v>20</v>
      </c>
      <c r="HP64">
        <v>20</v>
      </c>
      <c r="HQ64" s="26">
        <v>0</v>
      </c>
      <c r="HR64" s="33"/>
      <c r="HU64" s="26">
        <v>0</v>
      </c>
      <c r="HV64" s="30"/>
      <c r="HW64">
        <v>60</v>
      </c>
      <c r="HX64">
        <v>60</v>
      </c>
      <c r="HY64" s="26">
        <v>0</v>
      </c>
      <c r="HZ64" s="33"/>
      <c r="IC64" s="26">
        <v>0</v>
      </c>
      <c r="ID64" s="30"/>
      <c r="IG64" s="26">
        <v>0</v>
      </c>
      <c r="IH64" s="33"/>
      <c r="II64">
        <v>40</v>
      </c>
      <c r="IJ64" s="28">
        <v>45.8</v>
      </c>
      <c r="IK64" s="26">
        <v>-5.7999999999999972</v>
      </c>
      <c r="IL64" s="30"/>
      <c r="IM64" s="32">
        <v>30</v>
      </c>
      <c r="IN64" s="28">
        <v>30</v>
      </c>
      <c r="IO64" s="26">
        <v>0</v>
      </c>
      <c r="IP64" s="33"/>
      <c r="IS64" s="26">
        <v>0</v>
      </c>
      <c r="IT64" s="33"/>
      <c r="IW64" s="26">
        <v>0</v>
      </c>
      <c r="IX64" s="33"/>
      <c r="JA64" s="26">
        <v>0</v>
      </c>
      <c r="JB64" s="30"/>
      <c r="JC64">
        <v>180</v>
      </c>
      <c r="JD64">
        <v>180</v>
      </c>
      <c r="JE64">
        <v>130</v>
      </c>
      <c r="JF64">
        <v>128</v>
      </c>
      <c r="JG64" s="26">
        <v>2</v>
      </c>
      <c r="JH64" s="33"/>
      <c r="JI64" s="28">
        <v>120</v>
      </c>
      <c r="JJ64" s="28">
        <v>120</v>
      </c>
      <c r="JK64" s="26">
        <v>0</v>
      </c>
      <c r="JL64" s="33"/>
      <c r="JM64" s="28">
        <v>100</v>
      </c>
      <c r="JN64" s="28">
        <v>99.2</v>
      </c>
      <c r="JO64" s="26">
        <v>0.79999999999999716</v>
      </c>
      <c r="JP64" s="33"/>
      <c r="JQ64" s="31">
        <v>0</v>
      </c>
      <c r="JR64" s="28">
        <v>0</v>
      </c>
      <c r="JS64" s="26">
        <v>0</v>
      </c>
      <c r="JT64" s="33"/>
    </row>
    <row r="65" spans="1:280" x14ac:dyDescent="0.25">
      <c r="A65" s="26" t="s">
        <v>216</v>
      </c>
      <c r="B65" s="27">
        <v>0.1</v>
      </c>
      <c r="E65">
        <v>303</v>
      </c>
      <c r="F65">
        <v>303</v>
      </c>
      <c r="I65" s="29"/>
      <c r="J65" s="35"/>
      <c r="K65" s="40"/>
      <c r="L65" s="35"/>
      <c r="M65" s="35">
        <f t="shared" si="6"/>
        <v>0</v>
      </c>
      <c r="N65" s="30"/>
      <c r="O65" s="32">
        <v>140</v>
      </c>
      <c r="P65" s="36">
        <v>152</v>
      </c>
      <c r="Q65" s="36">
        <v>140</v>
      </c>
      <c r="R65" s="36">
        <v>142</v>
      </c>
      <c r="S65" s="35">
        <f t="shared" si="7"/>
        <v>-14</v>
      </c>
      <c r="T65" s="30"/>
      <c r="U65" s="32">
        <v>98</v>
      </c>
      <c r="V65" s="40"/>
      <c r="W65" s="36">
        <v>104</v>
      </c>
      <c r="X65" s="35"/>
      <c r="Y65" s="36">
        <v>84</v>
      </c>
      <c r="Z65" s="36">
        <v>84</v>
      </c>
      <c r="AA65" s="35">
        <f t="shared" si="8"/>
        <v>-6</v>
      </c>
      <c r="AB65" s="30"/>
      <c r="AC65" s="29"/>
      <c r="AD65" s="35"/>
      <c r="AE65" s="36">
        <v>14</v>
      </c>
      <c r="AF65" s="40">
        <v>27</v>
      </c>
      <c r="AG65" s="35">
        <v>-13</v>
      </c>
      <c r="AH65" s="30"/>
      <c r="AI65" s="36">
        <v>84</v>
      </c>
      <c r="AJ65">
        <v>92</v>
      </c>
      <c r="AM65" s="26">
        <v>-8</v>
      </c>
      <c r="AN65" s="30"/>
      <c r="AO65" s="32">
        <v>98</v>
      </c>
      <c r="AP65">
        <v>100</v>
      </c>
      <c r="AQ65">
        <v>98</v>
      </c>
      <c r="AR65">
        <v>100</v>
      </c>
      <c r="AS65" s="26">
        <v>-4</v>
      </c>
      <c r="AT65" s="30"/>
      <c r="AY65" s="26">
        <v>0</v>
      </c>
      <c r="AZ65" s="30"/>
      <c r="BB65">
        <v>224</v>
      </c>
      <c r="BC65">
        <v>231</v>
      </c>
      <c r="BD65" s="26">
        <v>-7</v>
      </c>
      <c r="BE65" s="30"/>
      <c r="BF65" s="32">
        <v>280</v>
      </c>
      <c r="BG65">
        <v>279</v>
      </c>
      <c r="BH65" s="26">
        <v>1</v>
      </c>
      <c r="BI65" s="30"/>
      <c r="BJ65" s="32">
        <v>140</v>
      </c>
      <c r="BK65">
        <v>139</v>
      </c>
      <c r="BL65" s="26">
        <v>1</v>
      </c>
      <c r="BM65" s="30"/>
      <c r="BN65">
        <v>140</v>
      </c>
      <c r="BO65">
        <v>162</v>
      </c>
      <c r="BP65" s="25">
        <v>-22</v>
      </c>
      <c r="BQ65" s="30">
        <v>2.2000000000000002</v>
      </c>
      <c r="BR65" s="32">
        <v>154</v>
      </c>
      <c r="BS65">
        <v>154</v>
      </c>
      <c r="BT65" s="26">
        <v>0</v>
      </c>
      <c r="BU65" s="30"/>
      <c r="BX65" s="26">
        <v>0</v>
      </c>
      <c r="BY65" s="30"/>
      <c r="BZ65" s="32">
        <v>196</v>
      </c>
      <c r="CA65">
        <v>198</v>
      </c>
      <c r="CB65" s="26">
        <v>-2</v>
      </c>
      <c r="CC65" s="30"/>
      <c r="CD65" s="29"/>
      <c r="CF65" s="26">
        <v>0</v>
      </c>
      <c r="CG65" s="30"/>
      <c r="CJ65" s="26">
        <v>0</v>
      </c>
      <c r="CK65" s="30"/>
      <c r="CL65" s="32">
        <v>56</v>
      </c>
      <c r="CM65">
        <v>60</v>
      </c>
      <c r="CN65">
        <v>70</v>
      </c>
      <c r="CO65">
        <v>79</v>
      </c>
      <c r="CP65" s="26">
        <v>-13</v>
      </c>
      <c r="CQ65" s="30"/>
      <c r="CR65" s="29"/>
      <c r="CT65" s="26">
        <v>0</v>
      </c>
      <c r="CU65" s="30"/>
      <c r="CX65">
        <v>28</v>
      </c>
      <c r="CY65">
        <v>26</v>
      </c>
      <c r="CZ65" s="26">
        <v>2</v>
      </c>
      <c r="DA65" s="30"/>
      <c r="DB65">
        <v>70</v>
      </c>
      <c r="DC65">
        <v>71</v>
      </c>
      <c r="DD65" s="26">
        <v>-1</v>
      </c>
      <c r="DE65" s="30"/>
      <c r="DF65" s="32">
        <v>42</v>
      </c>
      <c r="DG65">
        <v>41</v>
      </c>
      <c r="DH65" s="26">
        <v>1</v>
      </c>
      <c r="DI65" s="30"/>
      <c r="DJ65" s="29"/>
      <c r="DL65" s="26">
        <v>0</v>
      </c>
      <c r="DM65" s="30"/>
      <c r="DN65">
        <v>70</v>
      </c>
      <c r="DO65">
        <v>77</v>
      </c>
      <c r="DP65" s="26">
        <v>-7</v>
      </c>
      <c r="DQ65" s="30"/>
      <c r="DR65" s="29"/>
      <c r="DU65" s="26">
        <v>0</v>
      </c>
      <c r="DV65" s="30"/>
      <c r="DW65" s="29"/>
      <c r="EA65" s="26">
        <v>0</v>
      </c>
      <c r="EB65" s="30"/>
      <c r="EC65" s="32">
        <v>112</v>
      </c>
      <c r="EE65">
        <v>114</v>
      </c>
      <c r="EF65" s="26">
        <v>-2</v>
      </c>
      <c r="EG65" s="30"/>
      <c r="EJ65" s="26">
        <v>0</v>
      </c>
      <c r="EK65" s="30"/>
      <c r="EL65" s="23">
        <v>84</v>
      </c>
      <c r="EM65" s="26">
        <v>11</v>
      </c>
      <c r="EN65" s="26">
        <v>73</v>
      </c>
      <c r="EO65" s="30"/>
      <c r="EP65" s="29"/>
      <c r="ER65" s="26">
        <v>0</v>
      </c>
      <c r="ES65" s="30"/>
      <c r="ET65" s="32">
        <v>14</v>
      </c>
      <c r="EU65">
        <v>18</v>
      </c>
      <c r="EV65" s="26">
        <v>-4</v>
      </c>
      <c r="EW65" s="30"/>
      <c r="EZ65" s="26">
        <v>0</v>
      </c>
      <c r="FA65" s="30"/>
      <c r="FB65">
        <v>84</v>
      </c>
      <c r="FC65">
        <v>88</v>
      </c>
      <c r="FD65" s="26">
        <v>-4</v>
      </c>
      <c r="FE65" s="30"/>
      <c r="FF65" s="32">
        <v>42</v>
      </c>
      <c r="FH65">
        <v>48</v>
      </c>
      <c r="FI65" s="26">
        <v>-6</v>
      </c>
      <c r="FJ65" s="30"/>
      <c r="FK65" s="32">
        <v>56</v>
      </c>
      <c r="FM65">
        <v>61</v>
      </c>
      <c r="FN65" s="26">
        <v>-5</v>
      </c>
      <c r="FO65" s="30"/>
      <c r="FR65" s="26">
        <v>0</v>
      </c>
      <c r="FS65" s="30"/>
      <c r="FT65" s="29"/>
      <c r="FW65">
        <v>14</v>
      </c>
      <c r="FX65">
        <v>7</v>
      </c>
      <c r="FY65" s="26">
        <v>7</v>
      </c>
      <c r="FZ65" s="30"/>
      <c r="GA65">
        <v>70</v>
      </c>
      <c r="GB65" s="28">
        <v>69</v>
      </c>
      <c r="GC65" s="26">
        <v>1</v>
      </c>
      <c r="GD65" s="30"/>
      <c r="GE65" s="29"/>
      <c r="GI65" s="26">
        <v>0</v>
      </c>
      <c r="GJ65" s="30"/>
      <c r="GO65" s="26">
        <v>0</v>
      </c>
      <c r="GP65" s="30"/>
      <c r="GQ65">
        <v>70</v>
      </c>
      <c r="GR65" s="28">
        <v>69</v>
      </c>
      <c r="GS65" s="26">
        <v>1</v>
      </c>
      <c r="GT65" s="30"/>
      <c r="GU65" s="32">
        <v>42</v>
      </c>
      <c r="GV65">
        <v>47</v>
      </c>
      <c r="GW65" s="26">
        <v>-5</v>
      </c>
      <c r="GX65" s="30"/>
      <c r="GY65" s="32">
        <v>28</v>
      </c>
      <c r="GZ65">
        <v>28</v>
      </c>
      <c r="HA65" s="26">
        <v>0</v>
      </c>
      <c r="HB65" s="30"/>
      <c r="HC65">
        <v>14</v>
      </c>
      <c r="HD65">
        <v>20</v>
      </c>
      <c r="HE65" s="26">
        <v>-6</v>
      </c>
      <c r="HF65" s="30"/>
      <c r="HG65" s="29"/>
      <c r="HI65" s="26">
        <v>0</v>
      </c>
      <c r="HJ65" s="30"/>
      <c r="HK65" s="32">
        <v>56</v>
      </c>
      <c r="HL65">
        <v>56</v>
      </c>
      <c r="HM65" s="26">
        <v>0</v>
      </c>
      <c r="HN65" s="30"/>
      <c r="HO65">
        <v>28</v>
      </c>
      <c r="HP65">
        <v>30</v>
      </c>
      <c r="HQ65" s="26">
        <v>-2</v>
      </c>
      <c r="HR65" s="33"/>
      <c r="HS65">
        <v>42</v>
      </c>
      <c r="HT65">
        <v>51</v>
      </c>
      <c r="HU65" s="26">
        <v>-9</v>
      </c>
      <c r="HV65" s="30"/>
      <c r="HY65" s="26">
        <v>0</v>
      </c>
      <c r="HZ65" s="33"/>
      <c r="IA65">
        <v>42</v>
      </c>
      <c r="IB65">
        <v>40</v>
      </c>
      <c r="IC65" s="26">
        <v>2</v>
      </c>
      <c r="ID65" s="30"/>
      <c r="IG65" s="26">
        <v>0</v>
      </c>
      <c r="IH65" s="33"/>
      <c r="II65">
        <v>14</v>
      </c>
      <c r="IJ65" s="28">
        <v>20.600000000000009</v>
      </c>
      <c r="IK65" s="26">
        <v>-6.6000000000000094</v>
      </c>
      <c r="IL65" s="30"/>
      <c r="IM65" s="31"/>
      <c r="IO65" s="26">
        <v>0</v>
      </c>
      <c r="IP65" s="33"/>
      <c r="IS65" s="26">
        <v>0</v>
      </c>
      <c r="IT65" s="33"/>
      <c r="IW65" s="26">
        <v>0</v>
      </c>
      <c r="IX65" s="33"/>
      <c r="JA65" s="26">
        <v>0</v>
      </c>
      <c r="JB65" s="30"/>
      <c r="JC65">
        <v>42</v>
      </c>
      <c r="JD65">
        <v>50</v>
      </c>
      <c r="JE65">
        <v>42</v>
      </c>
      <c r="JF65">
        <v>40</v>
      </c>
      <c r="JG65" s="26">
        <v>-6</v>
      </c>
      <c r="JH65" s="33"/>
      <c r="JI65" s="28">
        <v>70</v>
      </c>
      <c r="JJ65" s="28">
        <v>70</v>
      </c>
      <c r="JK65" s="26">
        <v>0</v>
      </c>
      <c r="JL65" s="33"/>
      <c r="JM65" s="28">
        <v>0</v>
      </c>
      <c r="JN65" s="28">
        <v>0</v>
      </c>
      <c r="JO65" s="26">
        <v>0</v>
      </c>
      <c r="JP65" s="33"/>
      <c r="JQ65" s="31">
        <v>0</v>
      </c>
      <c r="JR65" s="28">
        <v>0</v>
      </c>
      <c r="JS65" s="26">
        <v>0</v>
      </c>
      <c r="JT65" s="33"/>
    </row>
    <row r="66" spans="1:280" x14ac:dyDescent="0.25">
      <c r="A66" s="26" t="s">
        <v>217</v>
      </c>
      <c r="B66" s="27">
        <v>0.1</v>
      </c>
      <c r="E66">
        <v>422</v>
      </c>
      <c r="F66">
        <v>423</v>
      </c>
      <c r="I66" s="29"/>
      <c r="J66" s="35"/>
      <c r="K66" s="40"/>
      <c r="L66" s="35"/>
      <c r="M66" s="35">
        <f t="shared" si="6"/>
        <v>0</v>
      </c>
      <c r="N66" s="30"/>
      <c r="O66" s="32">
        <v>290</v>
      </c>
      <c r="P66" s="36">
        <v>294</v>
      </c>
      <c r="Q66" s="36">
        <v>270</v>
      </c>
      <c r="R66" s="36">
        <v>275</v>
      </c>
      <c r="S66" s="35">
        <f t="shared" si="7"/>
        <v>-9</v>
      </c>
      <c r="T66" s="30"/>
      <c r="U66" s="32">
        <v>190</v>
      </c>
      <c r="V66" s="40"/>
      <c r="W66" s="36">
        <v>198</v>
      </c>
      <c r="X66" s="36">
        <v>80</v>
      </c>
      <c r="Y66" s="35"/>
      <c r="Z66" s="36">
        <v>159</v>
      </c>
      <c r="AA66" s="41">
        <f t="shared" si="8"/>
        <v>-87</v>
      </c>
      <c r="AB66" s="30">
        <f>-1*AA66*B66</f>
        <v>8.7000000000000011</v>
      </c>
      <c r="AC66" s="32">
        <v>160</v>
      </c>
      <c r="AD66" s="40">
        <v>167.0588235294118</v>
      </c>
      <c r="AE66" s="36">
        <v>110</v>
      </c>
      <c r="AF66" s="40">
        <v>116.9411764705882</v>
      </c>
      <c r="AG66" s="35">
        <v>-14</v>
      </c>
      <c r="AH66" s="30"/>
      <c r="AI66" s="36">
        <v>210</v>
      </c>
      <c r="AJ66">
        <v>210</v>
      </c>
      <c r="AK66">
        <v>160</v>
      </c>
      <c r="AL66">
        <v>168</v>
      </c>
      <c r="AM66" s="26">
        <v>-8</v>
      </c>
      <c r="AN66" s="30"/>
      <c r="AO66" s="32">
        <v>60</v>
      </c>
      <c r="AP66">
        <v>60</v>
      </c>
      <c r="AR66">
        <v>60</v>
      </c>
      <c r="AS66" s="25">
        <v>-60</v>
      </c>
      <c r="AT66" s="30">
        <v>6</v>
      </c>
      <c r="AU66">
        <v>120</v>
      </c>
      <c r="AV66">
        <v>120</v>
      </c>
      <c r="AW66">
        <v>90</v>
      </c>
      <c r="AX66">
        <v>93</v>
      </c>
      <c r="AY66" s="26">
        <v>-3</v>
      </c>
      <c r="AZ66" s="30"/>
      <c r="BB66">
        <v>400</v>
      </c>
      <c r="BC66">
        <v>399</v>
      </c>
      <c r="BD66" s="26">
        <v>1</v>
      </c>
      <c r="BE66" s="30"/>
      <c r="BF66" s="32">
        <v>210</v>
      </c>
      <c r="BG66">
        <v>217</v>
      </c>
      <c r="BH66" s="26">
        <v>-7</v>
      </c>
      <c r="BI66" s="30"/>
      <c r="BJ66" s="32">
        <v>260</v>
      </c>
      <c r="BK66">
        <v>265</v>
      </c>
      <c r="BL66" s="26">
        <v>-5</v>
      </c>
      <c r="BM66" s="30"/>
      <c r="BN66">
        <v>290</v>
      </c>
      <c r="BO66">
        <v>289</v>
      </c>
      <c r="BP66" s="26">
        <v>1</v>
      </c>
      <c r="BQ66" s="30"/>
      <c r="BR66" s="29"/>
      <c r="BT66" s="26">
        <v>0</v>
      </c>
      <c r="BU66" s="30"/>
      <c r="BV66">
        <v>330</v>
      </c>
      <c r="BW66">
        <v>328</v>
      </c>
      <c r="BX66" s="26">
        <v>2</v>
      </c>
      <c r="BY66" s="30"/>
      <c r="BZ66" s="29"/>
      <c r="CB66" s="26">
        <v>0</v>
      </c>
      <c r="CC66" s="30"/>
      <c r="CD66" s="32">
        <v>240</v>
      </c>
      <c r="CE66">
        <v>245</v>
      </c>
      <c r="CF66" s="26">
        <v>-5</v>
      </c>
      <c r="CG66" s="30"/>
      <c r="CJ66" s="26">
        <v>0</v>
      </c>
      <c r="CK66" s="30"/>
      <c r="CL66" s="32">
        <v>40</v>
      </c>
      <c r="CM66">
        <v>40</v>
      </c>
      <c r="CN66">
        <v>20</v>
      </c>
      <c r="CO66">
        <v>45</v>
      </c>
      <c r="CP66" s="25">
        <v>-25</v>
      </c>
      <c r="CQ66" s="30">
        <v>24.9</v>
      </c>
      <c r="CR66" s="32">
        <v>90</v>
      </c>
      <c r="CS66">
        <v>94</v>
      </c>
      <c r="CT66" s="26">
        <v>-4</v>
      </c>
      <c r="CU66" s="30"/>
      <c r="CX66">
        <v>40</v>
      </c>
      <c r="CY66">
        <v>45</v>
      </c>
      <c r="CZ66" s="26">
        <v>-5</v>
      </c>
      <c r="DA66" s="30"/>
      <c r="DB66">
        <v>40</v>
      </c>
      <c r="DC66">
        <v>44</v>
      </c>
      <c r="DD66" s="26">
        <v>-4</v>
      </c>
      <c r="DE66" s="30"/>
      <c r="DF66" s="32">
        <v>80</v>
      </c>
      <c r="DG66">
        <v>82</v>
      </c>
      <c r="DH66" s="26">
        <v>-2</v>
      </c>
      <c r="DI66" s="30"/>
      <c r="DJ66" s="29"/>
      <c r="DL66" s="26">
        <v>0</v>
      </c>
      <c r="DM66" s="30"/>
      <c r="DN66">
        <v>70</v>
      </c>
      <c r="DO66">
        <v>75</v>
      </c>
      <c r="DP66" s="26">
        <v>-5</v>
      </c>
      <c r="DQ66" s="30"/>
      <c r="DR66" s="29"/>
      <c r="DU66" s="26">
        <v>0</v>
      </c>
      <c r="DV66" s="30"/>
      <c r="DW66" s="29"/>
      <c r="DY66">
        <v>40</v>
      </c>
      <c r="DZ66">
        <v>45</v>
      </c>
      <c r="EA66" s="26">
        <v>-5</v>
      </c>
      <c r="EB66" s="30"/>
      <c r="EC66" s="32">
        <v>60</v>
      </c>
      <c r="EE66">
        <v>67</v>
      </c>
      <c r="EF66" s="26">
        <v>-7</v>
      </c>
      <c r="EG66" s="30"/>
      <c r="EH66">
        <v>40</v>
      </c>
      <c r="EI66" s="26">
        <v>45.600000000000009</v>
      </c>
      <c r="EJ66" s="26">
        <v>-5.6000000000000094</v>
      </c>
      <c r="EK66" s="30"/>
      <c r="EL66" s="32">
        <v>20</v>
      </c>
      <c r="EM66" s="26">
        <v>26</v>
      </c>
      <c r="EN66" s="26">
        <v>-6</v>
      </c>
      <c r="EO66" s="30"/>
      <c r="EP66" s="29"/>
      <c r="ER66" s="26">
        <v>0</v>
      </c>
      <c r="ES66" s="30"/>
      <c r="ET66" s="32">
        <v>30</v>
      </c>
      <c r="EU66">
        <v>32</v>
      </c>
      <c r="EV66" s="26">
        <v>-2</v>
      </c>
      <c r="EW66" s="30"/>
      <c r="EZ66" s="26">
        <v>0</v>
      </c>
      <c r="FA66" s="30"/>
      <c r="FB66">
        <v>90</v>
      </c>
      <c r="FC66">
        <v>90</v>
      </c>
      <c r="FD66" s="26">
        <v>0</v>
      </c>
      <c r="FE66" s="30"/>
      <c r="FF66" s="32">
        <v>20</v>
      </c>
      <c r="FH66">
        <v>20</v>
      </c>
      <c r="FI66" s="26">
        <v>0</v>
      </c>
      <c r="FJ66" s="30"/>
      <c r="FK66" s="29"/>
      <c r="FN66" s="26">
        <v>0</v>
      </c>
      <c r="FO66" s="30"/>
      <c r="FP66">
        <v>60</v>
      </c>
      <c r="FQ66" s="28">
        <v>58.8</v>
      </c>
      <c r="FR66" s="26">
        <v>1.2000000000000031</v>
      </c>
      <c r="FS66" s="30"/>
      <c r="FT66" s="29"/>
      <c r="FW66">
        <v>40</v>
      </c>
      <c r="FX66">
        <v>41</v>
      </c>
      <c r="FY66" s="26">
        <v>-1</v>
      </c>
      <c r="FZ66" s="30"/>
      <c r="GA66">
        <v>20</v>
      </c>
      <c r="GB66" s="28">
        <v>21.8</v>
      </c>
      <c r="GC66" s="26">
        <v>-1.8000000000000009</v>
      </c>
      <c r="GD66" s="30"/>
      <c r="GE66" s="29"/>
      <c r="GI66" s="26">
        <v>0</v>
      </c>
      <c r="GJ66" s="30"/>
      <c r="GO66" s="26">
        <v>0</v>
      </c>
      <c r="GP66" s="30"/>
      <c r="GQ66">
        <v>80</v>
      </c>
      <c r="GR66" s="28">
        <v>80</v>
      </c>
      <c r="GS66" s="26">
        <v>0</v>
      </c>
      <c r="GT66" s="30"/>
      <c r="GU66" s="29"/>
      <c r="GW66" s="26">
        <v>0</v>
      </c>
      <c r="GX66" s="30"/>
      <c r="GY66" s="32">
        <v>70</v>
      </c>
      <c r="GZ66">
        <v>70</v>
      </c>
      <c r="HA66" s="26">
        <v>0</v>
      </c>
      <c r="HB66" s="30"/>
      <c r="HC66">
        <v>10</v>
      </c>
      <c r="HD66">
        <v>10</v>
      </c>
      <c r="HE66" s="26">
        <v>0</v>
      </c>
      <c r="HF66" s="30"/>
      <c r="HG66" s="29"/>
      <c r="HI66" s="26">
        <v>0</v>
      </c>
      <c r="HJ66" s="30"/>
      <c r="HK66" s="32">
        <v>60</v>
      </c>
      <c r="HL66">
        <v>60</v>
      </c>
      <c r="HM66" s="26">
        <v>0</v>
      </c>
      <c r="HN66" s="30"/>
      <c r="HO66">
        <v>30</v>
      </c>
      <c r="HP66">
        <v>30</v>
      </c>
      <c r="HQ66" s="26">
        <v>0</v>
      </c>
      <c r="HR66" s="33"/>
      <c r="HS66">
        <v>40</v>
      </c>
      <c r="HT66">
        <v>47</v>
      </c>
      <c r="HU66" s="26">
        <v>-7</v>
      </c>
      <c r="HV66" s="30"/>
      <c r="HY66" s="26">
        <v>0</v>
      </c>
      <c r="HZ66" s="33"/>
      <c r="IA66">
        <v>50</v>
      </c>
      <c r="IB66">
        <v>50</v>
      </c>
      <c r="IC66" s="26">
        <v>0</v>
      </c>
      <c r="ID66" s="30"/>
      <c r="IG66" s="26">
        <v>0</v>
      </c>
      <c r="IH66" s="33"/>
      <c r="IK66" s="26">
        <v>0</v>
      </c>
      <c r="IL66" s="30"/>
      <c r="IM66" s="31"/>
      <c r="IO66" s="26">
        <v>0</v>
      </c>
      <c r="IP66" s="33"/>
      <c r="IS66" s="26">
        <v>0</v>
      </c>
      <c r="IT66" s="33"/>
      <c r="IW66" s="26">
        <v>0</v>
      </c>
      <c r="IX66" s="33"/>
      <c r="JA66" s="26">
        <v>0</v>
      </c>
      <c r="JB66" s="30"/>
      <c r="JC66">
        <v>140</v>
      </c>
      <c r="JD66">
        <v>140</v>
      </c>
      <c r="JE66">
        <v>100</v>
      </c>
      <c r="JF66">
        <v>100</v>
      </c>
      <c r="JG66" s="26">
        <v>0</v>
      </c>
      <c r="JH66" s="33"/>
      <c r="JI66" s="28">
        <v>70</v>
      </c>
      <c r="JJ66" s="28">
        <v>70</v>
      </c>
      <c r="JK66" s="26">
        <v>0</v>
      </c>
      <c r="JL66" s="33"/>
      <c r="JM66" s="28">
        <v>0</v>
      </c>
      <c r="JN66" s="28">
        <v>0</v>
      </c>
      <c r="JO66" s="26">
        <v>0</v>
      </c>
      <c r="JP66" s="33"/>
      <c r="JQ66" s="31">
        <v>0</v>
      </c>
      <c r="JR66" s="28">
        <v>0</v>
      </c>
      <c r="JS66" s="26">
        <v>0</v>
      </c>
      <c r="JT66" s="33"/>
    </row>
    <row r="67" spans="1:280" x14ac:dyDescent="0.25">
      <c r="A67" s="26" t="s">
        <v>218</v>
      </c>
      <c r="B67" s="27">
        <v>0.1</v>
      </c>
      <c r="E67">
        <v>80</v>
      </c>
      <c r="F67">
        <v>80</v>
      </c>
      <c r="I67" s="29"/>
      <c r="J67" s="35"/>
      <c r="K67" s="40"/>
      <c r="L67" s="35"/>
      <c r="M67" s="35">
        <f t="shared" si="6"/>
        <v>0</v>
      </c>
      <c r="N67" s="30"/>
      <c r="O67" s="29"/>
      <c r="P67" s="35"/>
      <c r="Q67" s="35"/>
      <c r="R67" s="35"/>
      <c r="S67" s="35">
        <f t="shared" si="7"/>
        <v>0</v>
      </c>
      <c r="T67" s="30"/>
      <c r="U67" s="29"/>
      <c r="V67" s="40"/>
      <c r="W67" s="35"/>
      <c r="X67" s="35"/>
      <c r="Y67" s="36">
        <v>100</v>
      </c>
      <c r="Z67" s="36">
        <v>104</v>
      </c>
      <c r="AA67" s="35">
        <f t="shared" si="8"/>
        <v>-4</v>
      </c>
      <c r="AB67" s="30"/>
      <c r="AC67" s="29"/>
      <c r="AD67" s="35"/>
      <c r="AE67" s="36">
        <v>10</v>
      </c>
      <c r="AF67" s="40">
        <v>6</v>
      </c>
      <c r="AG67" s="35">
        <v>4</v>
      </c>
      <c r="AH67" s="30"/>
      <c r="AI67" s="35"/>
      <c r="AM67" s="26">
        <v>0</v>
      </c>
      <c r="AN67" s="30"/>
      <c r="AO67" s="32">
        <v>40</v>
      </c>
      <c r="AP67">
        <v>40</v>
      </c>
      <c r="AQ67">
        <v>60</v>
      </c>
      <c r="AR67">
        <v>60</v>
      </c>
      <c r="AS67" s="26">
        <v>0</v>
      </c>
      <c r="AT67" s="30"/>
      <c r="AY67" s="26">
        <v>0</v>
      </c>
      <c r="AZ67" s="30"/>
      <c r="BD67" s="26">
        <v>0</v>
      </c>
      <c r="BE67" s="30"/>
      <c r="BF67" s="32">
        <v>110</v>
      </c>
      <c r="BG67">
        <v>113</v>
      </c>
      <c r="BH67" s="26">
        <v>-3</v>
      </c>
      <c r="BI67" s="30"/>
      <c r="BJ67" s="29"/>
      <c r="BL67" s="26">
        <v>0</v>
      </c>
      <c r="BM67" s="30"/>
      <c r="BP67" s="26">
        <v>0</v>
      </c>
      <c r="BQ67" s="30"/>
      <c r="BR67" s="32">
        <v>100</v>
      </c>
      <c r="BS67">
        <v>106</v>
      </c>
      <c r="BT67" s="26">
        <v>-6</v>
      </c>
      <c r="BU67" s="30"/>
      <c r="BX67" s="26">
        <v>0</v>
      </c>
      <c r="BY67" s="30"/>
      <c r="BZ67" s="29"/>
      <c r="CB67" s="26">
        <v>0</v>
      </c>
      <c r="CC67" s="30"/>
      <c r="CD67" s="32">
        <v>60</v>
      </c>
      <c r="CE67">
        <v>61</v>
      </c>
      <c r="CF67" s="26">
        <v>-1</v>
      </c>
      <c r="CG67" s="30"/>
      <c r="CJ67" s="26">
        <v>0</v>
      </c>
      <c r="CK67" s="30"/>
      <c r="CL67" s="29"/>
      <c r="CP67" s="26">
        <v>0</v>
      </c>
      <c r="CQ67" s="30"/>
      <c r="CR67" s="32">
        <v>60</v>
      </c>
      <c r="CS67">
        <v>60</v>
      </c>
      <c r="CT67" s="26">
        <v>0</v>
      </c>
      <c r="CU67" s="30"/>
      <c r="CZ67" s="26">
        <v>0</v>
      </c>
      <c r="DA67" s="30"/>
      <c r="DC67">
        <v>54</v>
      </c>
      <c r="DD67" s="25">
        <v>-54</v>
      </c>
      <c r="DE67" s="30">
        <v>5.4</v>
      </c>
      <c r="DF67" s="29"/>
      <c r="DH67" s="26">
        <v>0</v>
      </c>
      <c r="DI67" s="30"/>
      <c r="DJ67" s="29">
        <v>30</v>
      </c>
      <c r="DK67" s="26">
        <v>30</v>
      </c>
      <c r="DL67" s="26">
        <v>0</v>
      </c>
      <c r="DM67" s="30"/>
      <c r="DP67" s="26">
        <v>0</v>
      </c>
      <c r="DQ67" s="30"/>
      <c r="DR67" s="29"/>
      <c r="DU67" s="26">
        <v>0</v>
      </c>
      <c r="DV67" s="30"/>
      <c r="DW67" s="29"/>
      <c r="EA67" s="26">
        <v>0</v>
      </c>
      <c r="EB67" s="30"/>
      <c r="EC67" s="29"/>
      <c r="EG67" s="33"/>
      <c r="EK67" s="30"/>
      <c r="EL67" s="32"/>
      <c r="EO67" s="30"/>
      <c r="EP67" s="29"/>
      <c r="ES67" s="30"/>
      <c r="ET67" s="32"/>
      <c r="EW67" s="30"/>
      <c r="FA67" s="30"/>
      <c r="FE67" s="30"/>
      <c r="FF67" s="32"/>
      <c r="FJ67" s="30"/>
      <c r="FK67" s="29"/>
      <c r="FO67" s="30"/>
      <c r="FS67" s="30"/>
      <c r="FT67" s="29"/>
      <c r="FZ67" s="30"/>
      <c r="GD67" s="30"/>
      <c r="GE67" s="29"/>
      <c r="GH67" s="27"/>
      <c r="GJ67" s="30"/>
      <c r="GP67" s="30"/>
      <c r="GR67" s="28"/>
      <c r="GT67" s="30"/>
      <c r="GU67" s="29"/>
      <c r="GX67" s="30"/>
      <c r="GY67" s="32"/>
      <c r="HB67" s="30"/>
      <c r="HF67" s="30"/>
      <c r="HG67" s="29"/>
      <c r="HJ67" s="30"/>
      <c r="HK67" s="32"/>
      <c r="HN67" s="30"/>
      <c r="HR67" s="33"/>
      <c r="HV67" s="30"/>
      <c r="HZ67" s="33"/>
      <c r="ID67" s="30"/>
      <c r="IH67" s="33"/>
      <c r="IL67" s="30"/>
      <c r="IM67" s="31"/>
      <c r="IP67" s="33"/>
      <c r="IT67" s="33"/>
      <c r="IX67" s="33"/>
      <c r="JB67" s="30"/>
      <c r="JH67" s="33"/>
      <c r="JI67" s="28"/>
      <c r="JJ67" s="28"/>
      <c r="JL67" s="33"/>
      <c r="JM67" s="28"/>
      <c r="JN67" s="28"/>
      <c r="JP67" s="33"/>
      <c r="JQ67" s="31"/>
      <c r="JR67" s="28"/>
      <c r="JT67" s="33"/>
    </row>
    <row r="68" spans="1:280" x14ac:dyDescent="0.25">
      <c r="A68" s="26" t="s">
        <v>219</v>
      </c>
      <c r="B68" s="27">
        <v>0.4</v>
      </c>
      <c r="E68">
        <v>132</v>
      </c>
      <c r="F68">
        <v>132</v>
      </c>
      <c r="I68" s="29"/>
      <c r="J68" s="35"/>
      <c r="K68" s="40"/>
      <c r="L68" s="35"/>
      <c r="M68" s="35">
        <f t="shared" ref="M68:M131" si="9">I68+K68-J68-L68</f>
        <v>0</v>
      </c>
      <c r="N68" s="30"/>
      <c r="O68" s="29"/>
      <c r="P68" s="35"/>
      <c r="Q68" s="35"/>
      <c r="R68" s="35"/>
      <c r="S68" s="35">
        <f t="shared" ref="S68:S131" si="10">O68+Q68-P68-R68</f>
        <v>0</v>
      </c>
      <c r="T68" s="30"/>
      <c r="U68" s="29"/>
      <c r="V68" s="36">
        <v>174</v>
      </c>
      <c r="W68" s="36">
        <v>175</v>
      </c>
      <c r="X68" s="36">
        <v>138</v>
      </c>
      <c r="Y68" s="35"/>
      <c r="Z68" s="36">
        <v>140</v>
      </c>
      <c r="AA68" s="35">
        <f t="shared" ref="AA68:AA131" si="11">U68+V68+X68+Y68-W68-Z68</f>
        <v>-3</v>
      </c>
      <c r="AB68" s="30"/>
      <c r="AC68" s="29"/>
      <c r="AD68" s="35"/>
      <c r="AE68" s="36">
        <v>42</v>
      </c>
      <c r="AF68" s="40">
        <v>42</v>
      </c>
      <c r="AG68" s="35">
        <v>0</v>
      </c>
      <c r="AH68" s="30"/>
      <c r="AI68" s="35"/>
      <c r="AK68">
        <v>84</v>
      </c>
      <c r="AL68">
        <v>85</v>
      </c>
      <c r="AM68" s="26">
        <v>-1</v>
      </c>
      <c r="AN68" s="30"/>
      <c r="AO68" s="32">
        <v>78</v>
      </c>
      <c r="AP68">
        <v>80</v>
      </c>
      <c r="AQ68">
        <v>120</v>
      </c>
      <c r="AR68">
        <v>123</v>
      </c>
      <c r="AS68" s="26">
        <v>-5</v>
      </c>
      <c r="AT68" s="30"/>
      <c r="AY68" s="26">
        <v>0</v>
      </c>
      <c r="AZ68" s="30"/>
      <c r="BB68">
        <v>228</v>
      </c>
      <c r="BC68">
        <v>226</v>
      </c>
      <c r="BD68" s="26">
        <v>2</v>
      </c>
      <c r="BE68" s="30"/>
      <c r="BF68" s="29"/>
      <c r="BH68" s="26">
        <v>0</v>
      </c>
      <c r="BI68" s="30"/>
      <c r="BJ68" s="32">
        <v>198</v>
      </c>
      <c r="BK68">
        <v>196</v>
      </c>
      <c r="BL68" s="26">
        <v>2</v>
      </c>
      <c r="BM68" s="30"/>
      <c r="BP68" s="26">
        <v>0</v>
      </c>
      <c r="BQ68" s="30"/>
      <c r="BR68" s="32">
        <v>120</v>
      </c>
      <c r="BS68">
        <v>121</v>
      </c>
      <c r="BT68" s="26">
        <v>-1</v>
      </c>
      <c r="BU68" s="30"/>
      <c r="BX68" s="26">
        <v>0</v>
      </c>
      <c r="BY68" s="30"/>
      <c r="BZ68" s="32">
        <v>72</v>
      </c>
      <c r="CA68">
        <v>70</v>
      </c>
      <c r="CB68" s="26">
        <v>2</v>
      </c>
      <c r="CC68" s="30"/>
      <c r="CD68" s="32">
        <v>24</v>
      </c>
      <c r="CE68">
        <v>25</v>
      </c>
      <c r="CF68" s="26">
        <v>-1</v>
      </c>
      <c r="CG68" s="30"/>
      <c r="CH68">
        <v>30</v>
      </c>
      <c r="CI68">
        <v>31</v>
      </c>
      <c r="CJ68" s="26">
        <v>-1</v>
      </c>
      <c r="CK68" s="30"/>
      <c r="CL68" s="29"/>
      <c r="CM68">
        <v>20</v>
      </c>
      <c r="CN68">
        <v>24</v>
      </c>
      <c r="CO68">
        <v>22</v>
      </c>
      <c r="CP68" s="25">
        <v>-18</v>
      </c>
      <c r="CQ68" s="30">
        <v>17.600000000000001</v>
      </c>
      <c r="CR68" s="29"/>
      <c r="CT68" s="26">
        <v>0</v>
      </c>
      <c r="CU68" s="30"/>
      <c r="CX68">
        <v>42</v>
      </c>
      <c r="CY68">
        <v>41</v>
      </c>
      <c r="CZ68" s="26">
        <v>1</v>
      </c>
      <c r="DA68" s="30"/>
      <c r="DD68" s="26">
        <v>0</v>
      </c>
      <c r="DE68" s="30"/>
      <c r="DF68" s="32">
        <v>54</v>
      </c>
      <c r="DG68">
        <v>52</v>
      </c>
      <c r="DH68" s="26">
        <v>2</v>
      </c>
      <c r="DI68" s="30"/>
      <c r="DJ68" s="32">
        <v>18</v>
      </c>
      <c r="DK68">
        <v>19</v>
      </c>
      <c r="DL68" s="26">
        <v>-1</v>
      </c>
      <c r="DM68" s="30"/>
      <c r="DN68">
        <v>18</v>
      </c>
      <c r="DO68">
        <v>20</v>
      </c>
      <c r="DP68" s="26">
        <v>-2</v>
      </c>
      <c r="DQ68" s="30"/>
      <c r="DR68" s="32">
        <v>6</v>
      </c>
      <c r="DT68">
        <v>5</v>
      </c>
      <c r="DU68" s="26">
        <v>1</v>
      </c>
      <c r="DV68" s="30"/>
      <c r="DW68" s="29"/>
      <c r="EA68" s="26">
        <v>0</v>
      </c>
      <c r="EB68" s="30"/>
      <c r="EC68" s="32">
        <v>54</v>
      </c>
      <c r="EE68">
        <v>52</v>
      </c>
      <c r="EF68" s="26">
        <v>2</v>
      </c>
      <c r="EG68" s="30"/>
      <c r="EH68">
        <v>6</v>
      </c>
      <c r="EI68" s="26">
        <v>8.8000000000000043</v>
      </c>
      <c r="EJ68" s="26">
        <v>-2.8000000000000038</v>
      </c>
      <c r="EK68" s="30"/>
      <c r="EL68" s="32">
        <v>30</v>
      </c>
      <c r="EM68" s="26">
        <v>31.6</v>
      </c>
      <c r="EN68" s="26">
        <v>-1.600000000000001</v>
      </c>
      <c r="EO68" s="30"/>
      <c r="EP68" s="29"/>
      <c r="ER68" s="26">
        <v>0</v>
      </c>
      <c r="ES68" s="30"/>
      <c r="ET68" s="32">
        <v>6</v>
      </c>
      <c r="EU68">
        <v>5</v>
      </c>
      <c r="EV68" s="26">
        <v>1</v>
      </c>
      <c r="EW68" s="30"/>
      <c r="EX68">
        <v>18</v>
      </c>
      <c r="EY68" s="28">
        <v>15.8</v>
      </c>
      <c r="EZ68" s="26">
        <v>2.1999999999999988</v>
      </c>
      <c r="FA68" s="30"/>
      <c r="FD68" s="26">
        <v>0</v>
      </c>
      <c r="FE68" s="30"/>
      <c r="FF68" s="32">
        <v>36</v>
      </c>
      <c r="FH68">
        <v>34</v>
      </c>
      <c r="FI68" s="26">
        <v>2</v>
      </c>
      <c r="FJ68" s="30"/>
      <c r="FK68" s="29"/>
      <c r="FN68" s="26">
        <v>0</v>
      </c>
      <c r="FO68" s="30"/>
      <c r="FP68">
        <v>12</v>
      </c>
      <c r="FQ68" s="28">
        <v>14.2</v>
      </c>
      <c r="FR68" s="26">
        <v>-2.1999999999999988</v>
      </c>
      <c r="FS68" s="30"/>
      <c r="FT68" s="29"/>
      <c r="FW68">
        <v>18</v>
      </c>
      <c r="FX68">
        <v>18</v>
      </c>
      <c r="FY68" s="26">
        <v>0</v>
      </c>
      <c r="FZ68" s="30"/>
      <c r="GA68">
        <v>18</v>
      </c>
      <c r="GB68" s="28">
        <v>20.600000000000009</v>
      </c>
      <c r="GC68" s="26">
        <v>-2.600000000000009</v>
      </c>
      <c r="GD68" s="30"/>
      <c r="GE68" s="29"/>
      <c r="GI68" s="26">
        <v>0</v>
      </c>
      <c r="GJ68" s="30"/>
      <c r="GK68">
        <v>30</v>
      </c>
      <c r="GL68">
        <v>30</v>
      </c>
      <c r="GM68">
        <v>30</v>
      </c>
      <c r="GN68">
        <v>30</v>
      </c>
      <c r="GO68" s="26">
        <v>0</v>
      </c>
      <c r="GP68" s="30"/>
      <c r="GS68" s="26">
        <v>0</v>
      </c>
      <c r="GT68" s="30"/>
      <c r="GU68" s="32">
        <v>12</v>
      </c>
      <c r="GV68">
        <v>10</v>
      </c>
      <c r="GW68" s="26">
        <v>2</v>
      </c>
      <c r="GX68" s="30"/>
      <c r="GY68" s="32">
        <v>36</v>
      </c>
      <c r="GZ68">
        <v>34</v>
      </c>
      <c r="HA68" s="26">
        <v>2</v>
      </c>
      <c r="HB68" s="30"/>
      <c r="HC68">
        <v>6</v>
      </c>
      <c r="HD68">
        <v>8</v>
      </c>
      <c r="HE68" s="26">
        <v>-2</v>
      </c>
      <c r="HF68" s="30"/>
      <c r="HG68" s="32">
        <v>24</v>
      </c>
      <c r="HH68">
        <v>24</v>
      </c>
      <c r="HI68" s="26">
        <v>0</v>
      </c>
      <c r="HJ68" s="30"/>
      <c r="HK68" s="32">
        <v>6</v>
      </c>
      <c r="HL68">
        <v>6</v>
      </c>
      <c r="HM68" s="26">
        <v>0</v>
      </c>
      <c r="HN68" s="30"/>
      <c r="HQ68" s="26">
        <v>0</v>
      </c>
      <c r="HR68" s="33"/>
      <c r="HS68">
        <v>6</v>
      </c>
      <c r="HT68">
        <v>4</v>
      </c>
      <c r="HU68" s="26">
        <v>2</v>
      </c>
      <c r="HV68" s="30"/>
      <c r="HW68">
        <v>12</v>
      </c>
      <c r="HX68">
        <v>9.6</v>
      </c>
      <c r="HY68" s="26">
        <v>2.4</v>
      </c>
      <c r="HZ68" s="33"/>
      <c r="IA68">
        <v>6</v>
      </c>
      <c r="IB68">
        <v>7</v>
      </c>
      <c r="IC68" s="26">
        <v>-1</v>
      </c>
      <c r="ID68" s="30"/>
      <c r="IE68">
        <v>6</v>
      </c>
      <c r="IF68">
        <v>8</v>
      </c>
      <c r="IG68" s="26">
        <v>-2</v>
      </c>
      <c r="IH68" s="33"/>
      <c r="IK68" s="26">
        <v>0</v>
      </c>
      <c r="IL68" s="30"/>
      <c r="IM68" s="32">
        <v>12</v>
      </c>
      <c r="IN68" s="28">
        <v>11.6</v>
      </c>
      <c r="IO68" s="26">
        <v>0.40000000000000041</v>
      </c>
      <c r="IP68" s="33"/>
      <c r="IS68" s="26">
        <v>0</v>
      </c>
      <c r="IT68" s="33"/>
      <c r="IW68" s="26">
        <v>0</v>
      </c>
      <c r="IX68" s="33"/>
      <c r="JA68" s="26">
        <v>0</v>
      </c>
      <c r="JB68" s="30"/>
      <c r="JC68" s="27"/>
      <c r="JE68">
        <v>60</v>
      </c>
      <c r="JF68">
        <v>59</v>
      </c>
      <c r="JG68" s="26">
        <v>1</v>
      </c>
      <c r="JH68" s="33"/>
      <c r="JI68" s="28">
        <v>0</v>
      </c>
      <c r="JJ68" s="28">
        <v>0</v>
      </c>
      <c r="JK68" s="26">
        <v>0</v>
      </c>
      <c r="JL68" s="33"/>
      <c r="JM68" s="28">
        <v>42</v>
      </c>
      <c r="JN68" s="28">
        <v>40.799999999999997</v>
      </c>
      <c r="JO68" s="26">
        <v>1.199999999999996</v>
      </c>
      <c r="JP68" s="33"/>
      <c r="JQ68" s="31">
        <v>0</v>
      </c>
      <c r="JR68" s="28">
        <v>0</v>
      </c>
      <c r="JS68" s="26">
        <v>0</v>
      </c>
      <c r="JT68" s="33"/>
    </row>
    <row r="69" spans="1:280" x14ac:dyDescent="0.25">
      <c r="A69" s="26" t="s">
        <v>220</v>
      </c>
      <c r="B69" s="27">
        <v>1</v>
      </c>
      <c r="E69">
        <v>119</v>
      </c>
      <c r="F69">
        <v>120</v>
      </c>
      <c r="I69" s="29"/>
      <c r="J69" s="35"/>
      <c r="K69" s="40"/>
      <c r="L69" s="35"/>
      <c r="M69" s="35">
        <f t="shared" si="9"/>
        <v>0</v>
      </c>
      <c r="N69" s="30"/>
      <c r="O69" s="32">
        <v>44</v>
      </c>
      <c r="P69" s="36">
        <v>47</v>
      </c>
      <c r="Q69" s="36">
        <v>40</v>
      </c>
      <c r="R69" s="36">
        <v>43</v>
      </c>
      <c r="S69" s="35">
        <f t="shared" si="10"/>
        <v>-6</v>
      </c>
      <c r="T69" s="30"/>
      <c r="U69" s="29"/>
      <c r="V69" s="40"/>
      <c r="W69" s="35"/>
      <c r="X69" s="36">
        <v>132</v>
      </c>
      <c r="Y69" s="35"/>
      <c r="Z69" s="36">
        <v>134</v>
      </c>
      <c r="AA69" s="35">
        <f t="shared" si="11"/>
        <v>-2</v>
      </c>
      <c r="AB69" s="30"/>
      <c r="AC69" s="29"/>
      <c r="AD69" s="35"/>
      <c r="AE69" s="36">
        <v>28</v>
      </c>
      <c r="AF69" s="40">
        <v>29</v>
      </c>
      <c r="AG69" s="35">
        <v>-1</v>
      </c>
      <c r="AH69" s="30"/>
      <c r="AI69" s="36">
        <v>72</v>
      </c>
      <c r="AJ69">
        <v>73</v>
      </c>
      <c r="AK69">
        <v>56</v>
      </c>
      <c r="AL69">
        <v>59</v>
      </c>
      <c r="AM69" s="26">
        <v>-4</v>
      </c>
      <c r="AN69" s="30"/>
      <c r="AO69" s="31"/>
      <c r="AS69" s="26">
        <v>0</v>
      </c>
      <c r="AT69" s="30"/>
      <c r="AU69">
        <v>44</v>
      </c>
      <c r="AV69">
        <v>50</v>
      </c>
      <c r="AW69">
        <v>65</v>
      </c>
      <c r="AX69">
        <v>64</v>
      </c>
      <c r="AY69" s="26">
        <v>-5</v>
      </c>
      <c r="AZ69" s="30"/>
      <c r="BB69">
        <v>60</v>
      </c>
      <c r="BC69">
        <v>58</v>
      </c>
      <c r="BD69" s="26">
        <v>2</v>
      </c>
      <c r="BE69" s="30"/>
      <c r="BF69" s="29"/>
      <c r="BH69" s="26">
        <v>0</v>
      </c>
      <c r="BI69" s="30"/>
      <c r="BJ69" s="32">
        <v>101</v>
      </c>
      <c r="BK69">
        <v>101</v>
      </c>
      <c r="BL69" s="26">
        <v>0</v>
      </c>
      <c r="BM69" s="30"/>
      <c r="BN69">
        <v>20</v>
      </c>
      <c r="BO69">
        <v>19</v>
      </c>
      <c r="BP69" s="26">
        <v>1</v>
      </c>
      <c r="BQ69" s="30"/>
      <c r="BR69" s="29"/>
      <c r="BT69" s="26">
        <v>0</v>
      </c>
      <c r="BU69" s="30"/>
      <c r="BV69">
        <v>72</v>
      </c>
      <c r="BW69">
        <v>70</v>
      </c>
      <c r="BX69" s="26">
        <v>2</v>
      </c>
      <c r="BY69" s="30"/>
      <c r="BZ69" s="29"/>
      <c r="CB69" s="26">
        <v>0</v>
      </c>
      <c r="CC69" s="30"/>
      <c r="CD69" s="29"/>
      <c r="CE69">
        <v>67</v>
      </c>
      <c r="CF69" s="25">
        <v>-67</v>
      </c>
      <c r="CG69" s="30">
        <v>67</v>
      </c>
      <c r="CJ69" s="26">
        <v>0</v>
      </c>
      <c r="CK69" s="30"/>
      <c r="CL69" s="29"/>
      <c r="CM69">
        <v>24</v>
      </c>
      <c r="CN69">
        <v>25</v>
      </c>
      <c r="CO69">
        <v>24</v>
      </c>
      <c r="CP69" s="25">
        <v>-23</v>
      </c>
      <c r="CQ69" s="30">
        <v>22</v>
      </c>
      <c r="CR69" s="32">
        <v>28</v>
      </c>
      <c r="CS69">
        <v>27</v>
      </c>
      <c r="CT69" s="26">
        <v>1</v>
      </c>
      <c r="CU69" s="30"/>
      <c r="CX69">
        <v>28</v>
      </c>
      <c r="CY69">
        <v>29</v>
      </c>
      <c r="CZ69" s="26">
        <v>-1</v>
      </c>
      <c r="DA69" s="30"/>
      <c r="DD69" s="26">
        <v>0</v>
      </c>
      <c r="DE69" s="30"/>
      <c r="DF69" s="29"/>
      <c r="DH69" s="26">
        <v>0</v>
      </c>
      <c r="DI69" s="30"/>
      <c r="DJ69" s="32">
        <v>56</v>
      </c>
      <c r="DK69">
        <v>56</v>
      </c>
      <c r="DL69" s="26">
        <v>0</v>
      </c>
      <c r="DM69" s="30"/>
      <c r="DP69" s="26">
        <v>0</v>
      </c>
      <c r="DQ69" s="30"/>
      <c r="DR69" s="32">
        <v>4</v>
      </c>
      <c r="DT69">
        <v>4</v>
      </c>
      <c r="DU69" s="26">
        <v>0</v>
      </c>
      <c r="DV69" s="30"/>
      <c r="DW69" s="29"/>
      <c r="DY69">
        <v>4</v>
      </c>
      <c r="DZ69">
        <v>5</v>
      </c>
      <c r="EA69" s="26">
        <v>-1</v>
      </c>
      <c r="EB69" s="30"/>
      <c r="EC69" s="32">
        <v>28</v>
      </c>
      <c r="EE69">
        <v>28</v>
      </c>
      <c r="EF69" s="26">
        <v>0</v>
      </c>
      <c r="EG69" s="30"/>
      <c r="EH69">
        <v>48</v>
      </c>
      <c r="EI69" s="26">
        <v>48.152000000000001</v>
      </c>
      <c r="EJ69" s="26">
        <v>-0.152000000000001</v>
      </c>
      <c r="EK69" s="30"/>
      <c r="EL69" s="31"/>
      <c r="EN69" s="26">
        <v>0</v>
      </c>
      <c r="EO69" s="30"/>
      <c r="EP69" s="29"/>
      <c r="ER69" s="26">
        <v>0</v>
      </c>
      <c r="ES69" s="30"/>
      <c r="ET69" s="32">
        <v>24</v>
      </c>
      <c r="EU69">
        <v>24</v>
      </c>
      <c r="EV69" s="26">
        <v>0</v>
      </c>
      <c r="EW69" s="30"/>
      <c r="EZ69" s="26">
        <v>0</v>
      </c>
      <c r="FA69" s="30"/>
      <c r="FB69">
        <v>65</v>
      </c>
      <c r="FC69">
        <v>62</v>
      </c>
      <c r="FD69" s="26">
        <v>3</v>
      </c>
      <c r="FE69" s="30"/>
      <c r="FF69" s="29"/>
      <c r="FI69" s="26">
        <v>0</v>
      </c>
      <c r="FJ69" s="30"/>
      <c r="FK69" s="32">
        <v>12</v>
      </c>
      <c r="FM69">
        <v>10</v>
      </c>
      <c r="FN69" s="26">
        <v>2</v>
      </c>
      <c r="FO69" s="30"/>
      <c r="FR69" s="26">
        <v>0</v>
      </c>
      <c r="FS69" s="30"/>
      <c r="FT69" s="29"/>
      <c r="FW69">
        <v>16</v>
      </c>
      <c r="FX69">
        <v>15</v>
      </c>
      <c r="FY69" s="26">
        <v>1</v>
      </c>
      <c r="FZ69" s="30"/>
      <c r="GC69" s="26">
        <v>0</v>
      </c>
      <c r="GD69" s="30"/>
      <c r="GE69" s="29"/>
      <c r="GI69" s="26">
        <v>0</v>
      </c>
      <c r="GJ69" s="30"/>
      <c r="GK69">
        <v>80</v>
      </c>
      <c r="GL69">
        <v>80</v>
      </c>
      <c r="GM69">
        <v>101</v>
      </c>
      <c r="GN69">
        <v>100</v>
      </c>
      <c r="GO69" s="26">
        <v>1</v>
      </c>
      <c r="GP69" s="30"/>
      <c r="GS69" s="26">
        <v>0</v>
      </c>
      <c r="GT69" s="30"/>
      <c r="GU69" s="29"/>
      <c r="GW69" s="26">
        <v>0</v>
      </c>
      <c r="GX69" s="30"/>
      <c r="GY69" s="32">
        <v>121</v>
      </c>
      <c r="GZ69">
        <v>120</v>
      </c>
      <c r="HA69" s="26">
        <v>1</v>
      </c>
      <c r="HB69" s="30"/>
      <c r="HE69" s="26">
        <v>0</v>
      </c>
      <c r="HF69" s="30"/>
      <c r="HG69" s="32">
        <v>80</v>
      </c>
      <c r="HH69">
        <v>80</v>
      </c>
      <c r="HI69" s="26">
        <v>0</v>
      </c>
      <c r="HJ69" s="30"/>
      <c r="HK69" s="29"/>
      <c r="HM69" s="26">
        <v>0</v>
      </c>
      <c r="HN69" s="30"/>
      <c r="HO69">
        <v>40</v>
      </c>
      <c r="HP69">
        <v>40</v>
      </c>
      <c r="HQ69" s="26">
        <v>0</v>
      </c>
      <c r="HR69" s="33"/>
      <c r="HU69" s="26">
        <v>0</v>
      </c>
      <c r="HV69" s="30"/>
      <c r="HY69" s="26">
        <v>0</v>
      </c>
      <c r="HZ69" s="33"/>
      <c r="IC69" s="26">
        <v>0</v>
      </c>
      <c r="ID69" s="30"/>
      <c r="IG69" s="26">
        <v>0</v>
      </c>
      <c r="IH69" s="33"/>
      <c r="IK69" s="26">
        <v>0</v>
      </c>
      <c r="IL69" s="30"/>
      <c r="IM69" s="31"/>
      <c r="IO69" s="26">
        <v>0</v>
      </c>
      <c r="IP69" s="33"/>
      <c r="IS69" s="26">
        <v>0</v>
      </c>
      <c r="IT69" s="33"/>
      <c r="IW69" s="26">
        <v>0</v>
      </c>
      <c r="IX69" s="33"/>
      <c r="JA69" s="26">
        <v>0</v>
      </c>
      <c r="JB69" s="30"/>
      <c r="JC69" s="27"/>
      <c r="JE69" s="27"/>
      <c r="JG69" s="26">
        <v>0</v>
      </c>
      <c r="JH69" s="33"/>
      <c r="JI69" s="28">
        <v>0</v>
      </c>
      <c r="JJ69" s="28">
        <v>0</v>
      </c>
      <c r="JK69" s="26">
        <v>0</v>
      </c>
      <c r="JL69" s="33"/>
      <c r="JM69" s="28">
        <v>0</v>
      </c>
      <c r="JN69" s="28">
        <v>0</v>
      </c>
      <c r="JO69" s="26">
        <v>0</v>
      </c>
      <c r="JP69" s="33"/>
      <c r="JQ69" s="31">
        <v>0</v>
      </c>
      <c r="JR69" s="28">
        <v>0</v>
      </c>
      <c r="JS69" s="26">
        <v>0</v>
      </c>
      <c r="JT69" s="33"/>
    </row>
    <row r="70" spans="1:280" x14ac:dyDescent="0.25">
      <c r="A70" s="26" t="s">
        <v>221</v>
      </c>
      <c r="B70" s="27">
        <v>1</v>
      </c>
      <c r="E70">
        <v>78</v>
      </c>
      <c r="F70">
        <v>33</v>
      </c>
      <c r="I70" s="29"/>
      <c r="J70" s="35"/>
      <c r="K70" s="40"/>
      <c r="L70" s="35"/>
      <c r="M70" s="35">
        <f t="shared" si="9"/>
        <v>0</v>
      </c>
      <c r="N70" s="30"/>
      <c r="O70" s="32">
        <v>106</v>
      </c>
      <c r="P70" s="36">
        <v>103</v>
      </c>
      <c r="Q70" s="36">
        <v>99</v>
      </c>
      <c r="R70" s="36">
        <v>97</v>
      </c>
      <c r="S70" s="35">
        <f t="shared" si="10"/>
        <v>5</v>
      </c>
      <c r="T70" s="30"/>
      <c r="U70" s="29"/>
      <c r="V70" s="40"/>
      <c r="W70" s="35"/>
      <c r="X70" s="36">
        <v>47</v>
      </c>
      <c r="Y70" s="35"/>
      <c r="Z70" s="36">
        <v>47</v>
      </c>
      <c r="AA70" s="35">
        <f t="shared" si="11"/>
        <v>0</v>
      </c>
      <c r="AB70" s="30"/>
      <c r="AC70" s="29"/>
      <c r="AD70" s="35"/>
      <c r="AE70" s="36">
        <v>78</v>
      </c>
      <c r="AF70" s="40">
        <v>76</v>
      </c>
      <c r="AG70" s="35">
        <v>2</v>
      </c>
      <c r="AH70" s="30"/>
      <c r="AI70" s="35"/>
      <c r="AK70">
        <v>78</v>
      </c>
      <c r="AL70">
        <v>77</v>
      </c>
      <c r="AM70" s="26">
        <v>1</v>
      </c>
      <c r="AN70" s="30"/>
      <c r="AO70" s="32">
        <v>25</v>
      </c>
      <c r="AP70">
        <v>25</v>
      </c>
      <c r="AS70" s="26">
        <v>0</v>
      </c>
      <c r="AT70" s="30"/>
      <c r="AU70">
        <v>41</v>
      </c>
      <c r="AV70">
        <v>40</v>
      </c>
      <c r="AW70">
        <v>25</v>
      </c>
      <c r="AX70">
        <v>26</v>
      </c>
      <c r="AY70" s="26">
        <v>0</v>
      </c>
      <c r="AZ70" s="30"/>
      <c r="BB70">
        <v>9</v>
      </c>
      <c r="BC70">
        <v>9</v>
      </c>
      <c r="BD70" s="26">
        <v>0</v>
      </c>
      <c r="BE70" s="30"/>
      <c r="BF70" s="32">
        <v>189</v>
      </c>
      <c r="BG70">
        <v>183</v>
      </c>
      <c r="BH70" s="26">
        <v>6</v>
      </c>
      <c r="BI70" s="30"/>
      <c r="BJ70" s="29"/>
      <c r="BL70" s="26">
        <v>0</v>
      </c>
      <c r="BM70" s="30"/>
      <c r="BN70">
        <v>144</v>
      </c>
      <c r="BO70">
        <v>138</v>
      </c>
      <c r="BP70" s="26">
        <v>6</v>
      </c>
      <c r="BQ70" s="30"/>
      <c r="BR70" s="32">
        <v>69</v>
      </c>
      <c r="BS70">
        <v>64</v>
      </c>
      <c r="BT70" s="26">
        <v>5</v>
      </c>
      <c r="BU70" s="30"/>
      <c r="BV70">
        <v>116</v>
      </c>
      <c r="BW70">
        <v>109</v>
      </c>
      <c r="BX70" s="26">
        <v>7</v>
      </c>
      <c r="BY70" s="30"/>
      <c r="BZ70" s="32">
        <v>103</v>
      </c>
      <c r="CA70">
        <v>99</v>
      </c>
      <c r="CB70" s="26">
        <v>4</v>
      </c>
      <c r="CC70" s="30"/>
      <c r="CD70" s="29"/>
      <c r="CF70" s="26">
        <v>0</v>
      </c>
      <c r="CG70" s="30"/>
      <c r="CH70">
        <v>53</v>
      </c>
      <c r="CI70">
        <v>50</v>
      </c>
      <c r="CJ70" s="26">
        <v>3</v>
      </c>
      <c r="CK70" s="30"/>
      <c r="CL70" s="32">
        <v>62</v>
      </c>
      <c r="CM70">
        <v>60</v>
      </c>
      <c r="CN70">
        <v>74</v>
      </c>
      <c r="CO70">
        <v>72</v>
      </c>
      <c r="CP70" s="26">
        <v>4</v>
      </c>
      <c r="CQ70" s="30"/>
      <c r="CR70" s="32">
        <v>25</v>
      </c>
      <c r="CS70">
        <v>24</v>
      </c>
      <c r="CT70" s="26">
        <v>1</v>
      </c>
      <c r="CU70" s="30"/>
      <c r="CX70">
        <v>128</v>
      </c>
      <c r="CY70">
        <v>121</v>
      </c>
      <c r="CZ70" s="26">
        <v>7</v>
      </c>
      <c r="DA70" s="30"/>
      <c r="DB70">
        <v>28</v>
      </c>
      <c r="DC70">
        <v>25</v>
      </c>
      <c r="DD70" s="26">
        <v>3</v>
      </c>
      <c r="DE70" s="30"/>
      <c r="DF70" s="32">
        <v>34</v>
      </c>
      <c r="DG70">
        <v>33</v>
      </c>
      <c r="DH70" s="26">
        <v>1</v>
      </c>
      <c r="DI70" s="30"/>
      <c r="DJ70" s="32">
        <v>119</v>
      </c>
      <c r="DK70">
        <v>113</v>
      </c>
      <c r="DL70" s="26">
        <v>6</v>
      </c>
      <c r="DM70" s="30"/>
      <c r="DP70" s="26">
        <v>0</v>
      </c>
      <c r="DQ70" s="30"/>
      <c r="DR70" s="32">
        <v>37</v>
      </c>
      <c r="DT70">
        <v>36</v>
      </c>
      <c r="DU70" s="26">
        <v>1</v>
      </c>
      <c r="DV70" s="30"/>
      <c r="DW70" s="29"/>
      <c r="DY70">
        <v>16</v>
      </c>
      <c r="DZ70">
        <v>15</v>
      </c>
      <c r="EA70" s="26">
        <v>1</v>
      </c>
      <c r="EB70" s="30"/>
      <c r="EC70" s="32">
        <v>144</v>
      </c>
      <c r="EE70">
        <v>136</v>
      </c>
      <c r="EF70" s="26">
        <v>8</v>
      </c>
      <c r="EG70" s="30"/>
      <c r="EH70">
        <v>31</v>
      </c>
      <c r="EI70" s="26">
        <v>27.90679999999999</v>
      </c>
      <c r="EJ70" s="26">
        <v>3.0932000000000102</v>
      </c>
      <c r="EK70" s="30"/>
      <c r="EL70" s="32">
        <v>80</v>
      </c>
      <c r="EM70" s="26">
        <v>76.89500000000001</v>
      </c>
      <c r="EN70" s="26">
        <v>3.1049999999999902</v>
      </c>
      <c r="EO70" s="30"/>
      <c r="EP70" s="32">
        <v>12</v>
      </c>
      <c r="EQ70" s="26">
        <v>10.701200000000011</v>
      </c>
      <c r="ER70" s="26">
        <v>1.2987999999999891</v>
      </c>
      <c r="ES70" s="30"/>
      <c r="ET70" s="32">
        <v>71</v>
      </c>
      <c r="EU70">
        <v>68</v>
      </c>
      <c r="EV70" s="26">
        <v>3</v>
      </c>
      <c r="EW70" s="30"/>
      <c r="EZ70" s="26">
        <v>0</v>
      </c>
      <c r="FA70" s="30"/>
      <c r="FB70">
        <v>158</v>
      </c>
      <c r="FC70">
        <v>151</v>
      </c>
      <c r="FD70" s="26">
        <v>7</v>
      </c>
      <c r="FE70" s="30"/>
      <c r="FF70" s="32">
        <v>56</v>
      </c>
      <c r="FH70">
        <v>54</v>
      </c>
      <c r="FI70" s="26">
        <v>2</v>
      </c>
      <c r="FJ70" s="30"/>
      <c r="FK70" s="32">
        <v>66</v>
      </c>
      <c r="FM70">
        <v>61</v>
      </c>
      <c r="FN70" s="26">
        <v>5</v>
      </c>
      <c r="FO70" s="30"/>
      <c r="FR70" s="26">
        <v>0</v>
      </c>
      <c r="FS70" s="30"/>
      <c r="FT70" s="29"/>
      <c r="FU70">
        <v>43</v>
      </c>
      <c r="FV70">
        <v>40</v>
      </c>
      <c r="FW70">
        <v>34</v>
      </c>
      <c r="FX70">
        <v>32</v>
      </c>
      <c r="FY70" s="26">
        <v>5</v>
      </c>
      <c r="FZ70" s="30"/>
      <c r="GC70" s="26">
        <v>0</v>
      </c>
      <c r="GD70" s="30"/>
      <c r="GE70" s="29"/>
      <c r="GI70" s="26">
        <v>0</v>
      </c>
      <c r="GJ70" s="30"/>
      <c r="GK70">
        <v>31</v>
      </c>
      <c r="GL70">
        <v>30</v>
      </c>
      <c r="GM70">
        <v>43</v>
      </c>
      <c r="GN70">
        <v>40</v>
      </c>
      <c r="GO70" s="26">
        <v>4</v>
      </c>
      <c r="GP70" s="30"/>
      <c r="GQ70">
        <v>18</v>
      </c>
      <c r="GR70" s="28">
        <v>16.493200000000002</v>
      </c>
      <c r="GS70" s="26">
        <v>1.5067999999999979</v>
      </c>
      <c r="GT70" s="30"/>
      <c r="GU70" s="32">
        <v>90</v>
      </c>
      <c r="GV70">
        <v>86</v>
      </c>
      <c r="GW70" s="26">
        <v>4</v>
      </c>
      <c r="GX70" s="30"/>
      <c r="GY70" s="32">
        <v>22</v>
      </c>
      <c r="GZ70">
        <v>21</v>
      </c>
      <c r="HA70" s="26">
        <v>1</v>
      </c>
      <c r="HB70" s="30"/>
      <c r="HC70">
        <v>44</v>
      </c>
      <c r="HD70">
        <v>40</v>
      </c>
      <c r="HE70" s="26">
        <v>4</v>
      </c>
      <c r="HF70" s="30"/>
      <c r="HG70" s="32">
        <v>59</v>
      </c>
      <c r="HH70">
        <v>52</v>
      </c>
      <c r="HI70" s="26">
        <v>7</v>
      </c>
      <c r="HJ70" s="30"/>
      <c r="HK70" s="32">
        <v>44</v>
      </c>
      <c r="HL70">
        <v>58</v>
      </c>
      <c r="HM70" s="25">
        <v>-14</v>
      </c>
      <c r="HN70" s="30">
        <v>14</v>
      </c>
      <c r="HO70">
        <v>70</v>
      </c>
      <c r="HP70">
        <v>70</v>
      </c>
      <c r="HQ70" s="26">
        <v>0</v>
      </c>
      <c r="HR70" s="33"/>
      <c r="HU70" s="26">
        <v>0</v>
      </c>
      <c r="HV70" s="30"/>
      <c r="HW70">
        <v>65</v>
      </c>
      <c r="HX70">
        <v>65</v>
      </c>
      <c r="HY70" s="26">
        <v>0</v>
      </c>
      <c r="HZ70" s="33"/>
      <c r="IA70">
        <v>21</v>
      </c>
      <c r="IB70">
        <v>21</v>
      </c>
      <c r="IC70" s="26">
        <v>0</v>
      </c>
      <c r="ID70" s="30"/>
      <c r="IG70" s="26">
        <v>0</v>
      </c>
      <c r="IH70" s="33"/>
      <c r="II70">
        <v>36</v>
      </c>
      <c r="IJ70" s="28">
        <v>35.468800000000009</v>
      </c>
      <c r="IK70" s="26">
        <v>0.53119999999999123</v>
      </c>
      <c r="IL70" s="30"/>
      <c r="IM70" s="31"/>
      <c r="IO70" s="26">
        <v>0</v>
      </c>
      <c r="IP70" s="33"/>
      <c r="IS70" s="26">
        <v>0</v>
      </c>
      <c r="IT70" s="33"/>
      <c r="IU70">
        <v>60</v>
      </c>
      <c r="IV70">
        <v>58</v>
      </c>
      <c r="IW70" s="26">
        <v>-2</v>
      </c>
      <c r="IX70" s="33"/>
      <c r="JA70" s="26">
        <v>0</v>
      </c>
      <c r="JB70" s="30"/>
      <c r="JC70">
        <v>51</v>
      </c>
      <c r="JD70">
        <v>50</v>
      </c>
      <c r="JE70">
        <v>42</v>
      </c>
      <c r="JF70">
        <v>42</v>
      </c>
      <c r="JG70" s="26">
        <v>1</v>
      </c>
      <c r="JH70" s="33"/>
      <c r="JI70" s="28">
        <v>29.984999999999999</v>
      </c>
      <c r="JJ70" s="28">
        <v>30</v>
      </c>
      <c r="JK70" s="26">
        <v>-1.500000000000057E-2</v>
      </c>
      <c r="JL70" s="33"/>
      <c r="JM70" s="28">
        <v>56.606999999999999</v>
      </c>
      <c r="JN70" s="28">
        <v>57.395000000000003</v>
      </c>
      <c r="JO70" s="26">
        <v>-0.78800000000000381</v>
      </c>
      <c r="JP70" s="33"/>
      <c r="JQ70" s="31">
        <v>0</v>
      </c>
      <c r="JR70" s="28">
        <v>0</v>
      </c>
      <c r="JS70" s="26">
        <v>0</v>
      </c>
      <c r="JT70" s="33"/>
    </row>
    <row r="71" spans="1:280" x14ac:dyDescent="0.25">
      <c r="A71" s="26" t="s">
        <v>222</v>
      </c>
      <c r="B71" s="27">
        <v>1</v>
      </c>
      <c r="E71">
        <v>19</v>
      </c>
      <c r="F71">
        <v>8</v>
      </c>
      <c r="I71" s="29"/>
      <c r="J71" s="35"/>
      <c r="K71" s="40"/>
      <c r="L71" s="35"/>
      <c r="M71" s="35">
        <f t="shared" si="9"/>
        <v>0</v>
      </c>
      <c r="N71" s="30"/>
      <c r="O71" s="32">
        <v>81</v>
      </c>
      <c r="P71" s="36">
        <v>80</v>
      </c>
      <c r="Q71" s="36">
        <v>75</v>
      </c>
      <c r="R71" s="36">
        <v>74</v>
      </c>
      <c r="S71" s="35">
        <f t="shared" si="10"/>
        <v>2</v>
      </c>
      <c r="T71" s="30"/>
      <c r="U71" s="29"/>
      <c r="V71" s="40"/>
      <c r="W71" s="35"/>
      <c r="X71" s="36">
        <v>123</v>
      </c>
      <c r="Y71" s="35"/>
      <c r="Z71" s="36">
        <v>119</v>
      </c>
      <c r="AA71" s="35">
        <f t="shared" si="11"/>
        <v>4</v>
      </c>
      <c r="AB71" s="30"/>
      <c r="AC71" s="29"/>
      <c r="AD71" s="35"/>
      <c r="AE71" s="36">
        <v>74</v>
      </c>
      <c r="AF71" s="40">
        <v>73</v>
      </c>
      <c r="AG71" s="35">
        <v>1</v>
      </c>
      <c r="AH71" s="30"/>
      <c r="AI71" s="36">
        <v>31</v>
      </c>
      <c r="AJ71">
        <v>30</v>
      </c>
      <c r="AK71">
        <v>31</v>
      </c>
      <c r="AL71">
        <v>30</v>
      </c>
      <c r="AM71" s="26">
        <v>2</v>
      </c>
      <c r="AN71" s="30"/>
      <c r="AO71" s="32">
        <v>40</v>
      </c>
      <c r="AP71">
        <v>40</v>
      </c>
      <c r="AQ71">
        <v>78</v>
      </c>
      <c r="AR71">
        <v>77</v>
      </c>
      <c r="AS71" s="26">
        <v>1</v>
      </c>
      <c r="AT71" s="30"/>
      <c r="AU71">
        <v>40</v>
      </c>
      <c r="AV71">
        <v>40</v>
      </c>
      <c r="AW71">
        <v>28</v>
      </c>
      <c r="AX71">
        <v>27</v>
      </c>
      <c r="AY71" s="26">
        <v>1</v>
      </c>
      <c r="AZ71" s="30"/>
      <c r="BB71">
        <v>47</v>
      </c>
      <c r="BC71">
        <v>44</v>
      </c>
      <c r="BD71" s="26">
        <v>3</v>
      </c>
      <c r="BE71" s="30"/>
      <c r="BF71" s="32">
        <v>123</v>
      </c>
      <c r="BG71">
        <v>117</v>
      </c>
      <c r="BH71" s="26">
        <v>6</v>
      </c>
      <c r="BI71" s="30"/>
      <c r="BJ71" s="32">
        <v>68</v>
      </c>
      <c r="BK71">
        <v>66</v>
      </c>
      <c r="BL71" s="26">
        <v>2</v>
      </c>
      <c r="BM71" s="30"/>
      <c r="BN71">
        <v>69</v>
      </c>
      <c r="BO71">
        <v>58</v>
      </c>
      <c r="BP71" s="26">
        <v>11</v>
      </c>
      <c r="BQ71" s="30"/>
      <c r="BR71" s="32">
        <v>73</v>
      </c>
      <c r="BS71">
        <v>70</v>
      </c>
      <c r="BT71" s="26">
        <v>3</v>
      </c>
      <c r="BU71" s="30"/>
      <c r="BV71">
        <v>93</v>
      </c>
      <c r="BW71">
        <v>88</v>
      </c>
      <c r="BX71" s="26">
        <v>5</v>
      </c>
      <c r="BY71" s="30"/>
      <c r="BZ71" s="32">
        <v>103</v>
      </c>
      <c r="CA71">
        <v>97</v>
      </c>
      <c r="CB71" s="26">
        <v>6</v>
      </c>
      <c r="CC71" s="30"/>
      <c r="CD71" s="32">
        <v>122</v>
      </c>
      <c r="CE71">
        <v>120</v>
      </c>
      <c r="CF71" s="26">
        <v>2</v>
      </c>
      <c r="CG71" s="30"/>
      <c r="CJ71" s="26">
        <v>0</v>
      </c>
      <c r="CK71" s="30"/>
      <c r="CL71" s="32">
        <v>62</v>
      </c>
      <c r="CM71">
        <v>60</v>
      </c>
      <c r="CN71">
        <v>72</v>
      </c>
      <c r="CO71">
        <v>67</v>
      </c>
      <c r="CP71" s="26">
        <v>7</v>
      </c>
      <c r="CQ71" s="30"/>
      <c r="CR71" s="32">
        <v>56</v>
      </c>
      <c r="CS71">
        <v>54</v>
      </c>
      <c r="CT71" s="26">
        <v>2</v>
      </c>
      <c r="CU71" s="30"/>
      <c r="CX71">
        <v>89</v>
      </c>
      <c r="CY71">
        <v>87</v>
      </c>
      <c r="CZ71" s="26">
        <v>2</v>
      </c>
      <c r="DA71" s="30"/>
      <c r="DB71">
        <v>19</v>
      </c>
      <c r="DC71">
        <v>16</v>
      </c>
      <c r="DD71" s="26">
        <v>3</v>
      </c>
      <c r="DE71" s="30"/>
      <c r="DF71" s="32">
        <v>198</v>
      </c>
      <c r="DG71">
        <v>191</v>
      </c>
      <c r="DH71" s="26">
        <v>7</v>
      </c>
      <c r="DI71" s="30"/>
      <c r="DJ71" s="32">
        <v>102</v>
      </c>
      <c r="DK71">
        <v>97</v>
      </c>
      <c r="DL71" s="26">
        <v>5</v>
      </c>
      <c r="DM71" s="30"/>
      <c r="DP71" s="26">
        <v>0</v>
      </c>
      <c r="DQ71" s="30"/>
      <c r="DR71" s="32">
        <v>143</v>
      </c>
      <c r="DT71">
        <v>135</v>
      </c>
      <c r="DU71" s="26">
        <v>8</v>
      </c>
      <c r="DV71" s="30"/>
      <c r="DW71" s="29"/>
      <c r="EA71" s="26">
        <v>0</v>
      </c>
      <c r="EB71" s="30"/>
      <c r="EC71" s="32">
        <v>218</v>
      </c>
      <c r="EE71">
        <v>209</v>
      </c>
      <c r="EF71" s="26">
        <v>9</v>
      </c>
      <c r="EG71" s="30"/>
      <c r="EH71">
        <v>138</v>
      </c>
      <c r="EI71" s="26">
        <v>130.97040000000001</v>
      </c>
      <c r="EJ71" s="26">
        <v>7.0295999999999879</v>
      </c>
      <c r="EK71" s="30"/>
      <c r="EL71" s="31"/>
      <c r="EN71" s="26">
        <v>0</v>
      </c>
      <c r="EO71" s="30"/>
      <c r="EP71" s="32">
        <v>31</v>
      </c>
      <c r="EQ71" s="26">
        <v>30.439399999999988</v>
      </c>
      <c r="ER71" s="26">
        <v>0.56060000000001153</v>
      </c>
      <c r="ES71" s="30"/>
      <c r="ET71" s="32">
        <v>118</v>
      </c>
      <c r="EU71">
        <v>113</v>
      </c>
      <c r="EV71" s="26">
        <v>5</v>
      </c>
      <c r="EW71" s="30"/>
      <c r="EX71">
        <v>44</v>
      </c>
      <c r="EY71" s="28">
        <v>40</v>
      </c>
      <c r="EZ71" s="26">
        <v>4</v>
      </c>
      <c r="FA71" s="30"/>
      <c r="FB71">
        <v>184</v>
      </c>
      <c r="FC71">
        <v>175</v>
      </c>
      <c r="FD71" s="26">
        <v>9</v>
      </c>
      <c r="FE71" s="30"/>
      <c r="FF71" s="29"/>
      <c r="FI71" s="26">
        <v>0</v>
      </c>
      <c r="FJ71" s="30"/>
      <c r="FK71" s="29"/>
      <c r="FN71" s="26">
        <v>0</v>
      </c>
      <c r="FO71" s="30"/>
      <c r="FR71" s="26">
        <v>0</v>
      </c>
      <c r="FS71" s="30"/>
      <c r="FT71" s="29"/>
      <c r="FU71">
        <v>76</v>
      </c>
      <c r="FV71">
        <v>70</v>
      </c>
      <c r="FW71">
        <v>69</v>
      </c>
      <c r="FX71">
        <v>65</v>
      </c>
      <c r="FY71" s="26">
        <v>10</v>
      </c>
      <c r="FZ71" s="30"/>
      <c r="GC71" s="26">
        <v>0</v>
      </c>
      <c r="GD71" s="30"/>
      <c r="GE71" s="32">
        <v>105</v>
      </c>
      <c r="GF71">
        <v>100</v>
      </c>
      <c r="GG71">
        <v>110</v>
      </c>
      <c r="GH71">
        <v>102</v>
      </c>
      <c r="GI71" s="26">
        <v>13</v>
      </c>
      <c r="GJ71" s="30"/>
      <c r="GK71">
        <v>53</v>
      </c>
      <c r="GL71">
        <v>50</v>
      </c>
      <c r="GM71">
        <v>61</v>
      </c>
      <c r="GN71">
        <v>60</v>
      </c>
      <c r="GO71" s="26">
        <v>4</v>
      </c>
      <c r="GP71" s="30"/>
      <c r="GS71" s="26">
        <v>0</v>
      </c>
      <c r="GT71" s="30"/>
      <c r="GU71" s="32">
        <v>136</v>
      </c>
      <c r="GV71">
        <v>130</v>
      </c>
      <c r="GW71" s="26">
        <v>6</v>
      </c>
      <c r="GX71" s="30"/>
      <c r="GY71" s="32">
        <v>77</v>
      </c>
      <c r="GZ71">
        <v>75</v>
      </c>
      <c r="HA71" s="26">
        <v>2</v>
      </c>
      <c r="HB71" s="30"/>
      <c r="HC71">
        <v>31</v>
      </c>
      <c r="HD71">
        <v>30</v>
      </c>
      <c r="HE71" s="26">
        <v>1</v>
      </c>
      <c r="HF71" s="30"/>
      <c r="HG71" s="32">
        <v>52</v>
      </c>
      <c r="HH71">
        <v>50</v>
      </c>
      <c r="HI71" s="26">
        <v>2</v>
      </c>
      <c r="HJ71" s="30"/>
      <c r="HK71" s="32">
        <v>86</v>
      </c>
      <c r="HL71">
        <v>87</v>
      </c>
      <c r="HM71" s="26">
        <v>-1</v>
      </c>
      <c r="HN71" s="30"/>
      <c r="HQ71" s="26">
        <v>0</v>
      </c>
      <c r="HR71" s="33"/>
      <c r="HS71">
        <v>68</v>
      </c>
      <c r="HT71">
        <v>69</v>
      </c>
      <c r="HU71" s="26">
        <v>-1</v>
      </c>
      <c r="HV71" s="30"/>
      <c r="HW71">
        <v>21</v>
      </c>
      <c r="HX71">
        <v>20</v>
      </c>
      <c r="HY71" s="26">
        <v>1</v>
      </c>
      <c r="HZ71" s="33"/>
      <c r="IA71">
        <v>91</v>
      </c>
      <c r="IB71">
        <v>90</v>
      </c>
      <c r="IC71" s="26">
        <v>1</v>
      </c>
      <c r="ID71" s="30"/>
      <c r="IE71">
        <v>9</v>
      </c>
      <c r="IF71">
        <v>9</v>
      </c>
      <c r="IG71" s="26">
        <v>0</v>
      </c>
      <c r="IH71" s="33"/>
      <c r="II71">
        <v>15</v>
      </c>
      <c r="IJ71" s="28">
        <v>14.779</v>
      </c>
      <c r="IK71" s="26">
        <v>0.22100000000000011</v>
      </c>
      <c r="IL71" s="30"/>
      <c r="IM71" s="32">
        <v>50</v>
      </c>
      <c r="IN71" s="28">
        <v>50</v>
      </c>
      <c r="IO71" s="26">
        <v>0</v>
      </c>
      <c r="IP71" s="33"/>
      <c r="IQ71">
        <v>21</v>
      </c>
      <c r="IR71">
        <v>19</v>
      </c>
      <c r="IS71" s="26">
        <v>2</v>
      </c>
      <c r="IT71" s="33"/>
      <c r="IW71" s="26">
        <v>0</v>
      </c>
      <c r="IX71" s="33"/>
      <c r="JA71" s="26">
        <v>0</v>
      </c>
      <c r="JB71" s="30"/>
      <c r="JC71">
        <v>52</v>
      </c>
      <c r="JD71">
        <v>50</v>
      </c>
      <c r="JE71">
        <v>48</v>
      </c>
      <c r="JF71">
        <v>46</v>
      </c>
      <c r="JG71" s="26">
        <v>4</v>
      </c>
      <c r="JH71" s="33"/>
      <c r="JI71" s="28">
        <v>0</v>
      </c>
      <c r="JJ71" s="28">
        <v>0</v>
      </c>
      <c r="JK71" s="26">
        <v>0</v>
      </c>
      <c r="JL71" s="33"/>
      <c r="JM71" s="28">
        <v>93.634</v>
      </c>
      <c r="JN71" s="28">
        <v>91.266199999999998</v>
      </c>
      <c r="JO71" s="26">
        <v>2.367800000000003</v>
      </c>
      <c r="JP71" s="33"/>
      <c r="JQ71" s="31">
        <v>0</v>
      </c>
      <c r="JR71" s="28">
        <v>0</v>
      </c>
      <c r="JS71" s="26">
        <v>0</v>
      </c>
      <c r="JT71" s="33"/>
    </row>
    <row r="72" spans="1:280" x14ac:dyDescent="0.25">
      <c r="A72" s="26" t="s">
        <v>223</v>
      </c>
      <c r="B72" s="27">
        <v>0.1</v>
      </c>
      <c r="I72" s="29"/>
      <c r="J72" s="35"/>
      <c r="K72" s="40"/>
      <c r="L72" s="35"/>
      <c r="M72" s="35">
        <f t="shared" si="9"/>
        <v>0</v>
      </c>
      <c r="N72" s="30"/>
      <c r="O72" s="29"/>
      <c r="P72" s="35"/>
      <c r="Q72" s="35"/>
      <c r="R72" s="35"/>
      <c r="S72" s="35">
        <f t="shared" si="10"/>
        <v>0</v>
      </c>
      <c r="T72" s="30"/>
      <c r="U72" s="29"/>
      <c r="V72" s="40"/>
      <c r="W72" s="35"/>
      <c r="X72" s="35"/>
      <c r="Y72" s="35"/>
      <c r="Z72" s="35"/>
      <c r="AA72" s="35">
        <f t="shared" si="11"/>
        <v>0</v>
      </c>
      <c r="AB72" s="30"/>
      <c r="AC72" s="29"/>
      <c r="AD72" s="35"/>
      <c r="AE72" s="35"/>
      <c r="AF72" s="35"/>
      <c r="AG72" s="35">
        <v>0</v>
      </c>
      <c r="AH72" s="30"/>
      <c r="AI72" s="35"/>
      <c r="AM72" s="26">
        <v>0</v>
      </c>
      <c r="AN72" s="30"/>
      <c r="AO72" s="31"/>
      <c r="AS72" s="26">
        <v>0</v>
      </c>
      <c r="AT72" s="30"/>
      <c r="AY72" s="26">
        <v>0</v>
      </c>
      <c r="AZ72" s="30"/>
      <c r="BD72" s="26">
        <v>0</v>
      </c>
      <c r="BE72" s="30"/>
      <c r="BF72" s="29"/>
      <c r="BH72" s="26">
        <v>0</v>
      </c>
      <c r="BI72" s="30"/>
      <c r="BJ72" s="29"/>
      <c r="BL72" s="26">
        <v>0</v>
      </c>
      <c r="BM72" s="30"/>
      <c r="BP72" s="26">
        <v>0</v>
      </c>
      <c r="BQ72" s="30"/>
      <c r="BR72" s="29"/>
      <c r="BT72" s="26">
        <v>0</v>
      </c>
      <c r="BU72" s="30"/>
      <c r="BX72" s="26">
        <v>0</v>
      </c>
      <c r="BY72" s="30"/>
      <c r="BZ72" s="29"/>
      <c r="CB72" s="26">
        <v>0</v>
      </c>
      <c r="CC72" s="30"/>
      <c r="CD72" s="29"/>
      <c r="CF72" s="26">
        <v>0</v>
      </c>
      <c r="CG72" s="30"/>
      <c r="CJ72" s="26">
        <v>0</v>
      </c>
      <c r="CK72" s="30"/>
      <c r="CL72" s="29"/>
      <c r="CP72" s="26">
        <v>0</v>
      </c>
      <c r="CQ72" s="30"/>
      <c r="CR72" s="29"/>
      <c r="CT72" s="26">
        <v>0</v>
      </c>
      <c r="CU72" s="30"/>
      <c r="CZ72" s="26">
        <v>0</v>
      </c>
      <c r="DA72" s="30"/>
      <c r="DD72" s="26">
        <v>0</v>
      </c>
      <c r="DE72" s="30"/>
      <c r="DF72" s="29"/>
      <c r="DH72" s="26">
        <v>0</v>
      </c>
      <c r="DI72" s="30"/>
      <c r="DJ72" s="29"/>
      <c r="DL72" s="26">
        <v>0</v>
      </c>
      <c r="DM72" s="30"/>
      <c r="DP72" s="26">
        <v>0</v>
      </c>
      <c r="DQ72" s="30"/>
      <c r="DR72" s="29"/>
      <c r="DU72" s="26">
        <v>0</v>
      </c>
      <c r="DV72" s="30"/>
      <c r="DW72" s="29"/>
      <c r="EA72" s="26">
        <v>0</v>
      </c>
      <c r="EB72" s="30"/>
      <c r="EC72" s="29"/>
      <c r="EF72" s="26">
        <v>0</v>
      </c>
      <c r="EG72" s="30"/>
      <c r="EJ72" s="26">
        <v>0</v>
      </c>
      <c r="EK72" s="30"/>
      <c r="EL72" s="31"/>
      <c r="EN72" s="26">
        <v>0</v>
      </c>
      <c r="EO72" s="30"/>
      <c r="EP72" s="29"/>
      <c r="ER72" s="26">
        <v>0</v>
      </c>
      <c r="ES72" s="30"/>
      <c r="ET72" s="29"/>
      <c r="EV72" s="26">
        <v>0</v>
      </c>
      <c r="EW72" s="30"/>
      <c r="EZ72" s="26">
        <v>0</v>
      </c>
      <c r="FA72" s="30"/>
      <c r="FD72" s="26">
        <v>0</v>
      </c>
      <c r="FE72" s="30"/>
      <c r="FF72" s="29"/>
      <c r="FI72" s="26">
        <v>0</v>
      </c>
      <c r="FJ72" s="30"/>
      <c r="FK72" s="29"/>
      <c r="FN72" s="26">
        <v>0</v>
      </c>
      <c r="FO72" s="30"/>
      <c r="FR72" s="26">
        <v>0</v>
      </c>
      <c r="FS72" s="30"/>
      <c r="FT72" s="29"/>
      <c r="FY72" s="26">
        <v>0</v>
      </c>
      <c r="FZ72" s="30"/>
      <c r="GC72" s="26">
        <v>0</v>
      </c>
      <c r="GD72" s="30"/>
      <c r="GE72" s="29"/>
      <c r="GI72" s="26">
        <v>0</v>
      </c>
      <c r="GJ72" s="30"/>
      <c r="GO72" s="26">
        <v>0</v>
      </c>
      <c r="GP72" s="30"/>
      <c r="GS72" s="26">
        <v>0</v>
      </c>
      <c r="GT72" s="30"/>
      <c r="GU72" s="29"/>
      <c r="GW72" s="26">
        <v>0</v>
      </c>
      <c r="GX72" s="30"/>
      <c r="GY72" s="29"/>
      <c r="HA72" s="26">
        <v>0</v>
      </c>
      <c r="HB72" s="30"/>
      <c r="HE72" s="26">
        <v>0</v>
      </c>
      <c r="HF72" s="30"/>
      <c r="HG72" s="29"/>
      <c r="HI72" s="26">
        <v>0</v>
      </c>
      <c r="HJ72" s="30"/>
      <c r="HK72" s="29"/>
      <c r="HM72" s="26">
        <v>0</v>
      </c>
      <c r="HN72" s="30"/>
      <c r="HQ72" s="26">
        <v>0</v>
      </c>
      <c r="HR72" s="33"/>
      <c r="HU72" s="26">
        <v>0</v>
      </c>
      <c r="HV72" s="30"/>
      <c r="HY72" s="26">
        <v>0</v>
      </c>
      <c r="HZ72" s="33"/>
      <c r="IC72" s="26">
        <v>0</v>
      </c>
      <c r="ID72" s="30"/>
      <c r="IG72" s="26">
        <v>0</v>
      </c>
      <c r="IH72" s="33"/>
      <c r="IK72" s="26">
        <v>0</v>
      </c>
      <c r="IL72" s="30"/>
      <c r="IM72" s="31"/>
      <c r="IO72" s="26">
        <v>0</v>
      </c>
      <c r="IP72" s="33"/>
      <c r="IS72" s="26">
        <v>0</v>
      </c>
      <c r="IT72" s="33"/>
      <c r="IW72" s="26">
        <v>0</v>
      </c>
      <c r="IX72" s="33"/>
      <c r="JA72" s="26">
        <v>0</v>
      </c>
      <c r="JB72" s="30"/>
      <c r="JC72" s="27"/>
      <c r="JE72" s="27"/>
      <c r="JG72" s="26">
        <v>0</v>
      </c>
      <c r="JH72" s="33"/>
      <c r="JI72" s="28">
        <v>0</v>
      </c>
      <c r="JJ72" s="28">
        <v>0</v>
      </c>
      <c r="JK72" s="26">
        <v>0</v>
      </c>
      <c r="JL72" s="33"/>
      <c r="JM72" s="28">
        <v>0</v>
      </c>
      <c r="JN72" s="28">
        <v>0</v>
      </c>
      <c r="JO72" s="26">
        <v>0</v>
      </c>
      <c r="JP72" s="33"/>
      <c r="JQ72" s="31">
        <v>0</v>
      </c>
      <c r="JR72" s="28">
        <v>0</v>
      </c>
      <c r="JS72" s="26">
        <v>0</v>
      </c>
      <c r="JT72" s="33"/>
    </row>
    <row r="73" spans="1:280" x14ac:dyDescent="0.25">
      <c r="A73" s="26" t="s">
        <v>224</v>
      </c>
      <c r="B73" s="27">
        <v>1</v>
      </c>
      <c r="I73" s="29"/>
      <c r="J73" s="35"/>
      <c r="K73" s="40"/>
      <c r="L73" s="35"/>
      <c r="M73" s="35">
        <f t="shared" si="9"/>
        <v>0</v>
      </c>
      <c r="N73" s="30"/>
      <c r="O73" s="29"/>
      <c r="P73" s="35"/>
      <c r="Q73" s="35"/>
      <c r="R73" s="35"/>
      <c r="S73" s="35">
        <f t="shared" si="10"/>
        <v>0</v>
      </c>
      <c r="T73" s="30"/>
      <c r="U73" s="29"/>
      <c r="V73" s="40"/>
      <c r="W73" s="35"/>
      <c r="X73" s="35"/>
      <c r="Y73" s="35"/>
      <c r="Z73" s="35"/>
      <c r="AA73" s="35">
        <f t="shared" si="11"/>
        <v>0</v>
      </c>
      <c r="AB73" s="30"/>
      <c r="AC73" s="29"/>
      <c r="AD73" s="35"/>
      <c r="AE73" s="35"/>
      <c r="AF73" s="35"/>
      <c r="AG73" s="35">
        <v>0</v>
      </c>
      <c r="AH73" s="30"/>
      <c r="AI73" s="35"/>
      <c r="AM73" s="26">
        <v>0</v>
      </c>
      <c r="AN73" s="30"/>
      <c r="AO73" s="31"/>
      <c r="AS73" s="26">
        <v>0</v>
      </c>
      <c r="AT73" s="30"/>
      <c r="AY73" s="26">
        <v>0</v>
      </c>
      <c r="AZ73" s="30"/>
      <c r="BD73" s="26">
        <v>0</v>
      </c>
      <c r="BE73" s="30"/>
      <c r="BF73" s="29"/>
      <c r="BH73" s="26">
        <v>0</v>
      </c>
      <c r="BI73" s="30"/>
      <c r="BJ73" s="29"/>
      <c r="BL73" s="26">
        <v>0</v>
      </c>
      <c r="BM73" s="30"/>
      <c r="BP73" s="26">
        <v>0</v>
      </c>
      <c r="BQ73" s="30"/>
      <c r="BR73" s="29"/>
      <c r="BT73" s="26">
        <v>0</v>
      </c>
      <c r="BU73" s="30"/>
      <c r="BX73" s="26">
        <v>0</v>
      </c>
      <c r="BY73" s="30"/>
      <c r="BZ73" s="29"/>
      <c r="CB73" s="26">
        <v>0</v>
      </c>
      <c r="CC73" s="30"/>
      <c r="CD73" s="29"/>
      <c r="CF73" s="26">
        <v>0</v>
      </c>
      <c r="CG73" s="30"/>
      <c r="CJ73" s="26">
        <v>0</v>
      </c>
      <c r="CK73" s="30"/>
      <c r="CL73" s="29"/>
      <c r="CP73" s="26">
        <v>0</v>
      </c>
      <c r="CQ73" s="30"/>
      <c r="CR73" s="29"/>
      <c r="CT73" s="26">
        <v>0</v>
      </c>
      <c r="CU73" s="30"/>
      <c r="CZ73" s="26">
        <v>0</v>
      </c>
      <c r="DA73" s="30"/>
      <c r="DD73" s="26">
        <v>0</v>
      </c>
      <c r="DE73" s="30"/>
      <c r="DF73" s="29"/>
      <c r="DH73" s="26">
        <v>0</v>
      </c>
      <c r="DI73" s="30"/>
      <c r="DJ73" s="29"/>
      <c r="DL73" s="26">
        <v>0</v>
      </c>
      <c r="DM73" s="30"/>
      <c r="DP73" s="26">
        <v>0</v>
      </c>
      <c r="DQ73" s="30"/>
      <c r="DR73" s="29"/>
      <c r="DU73" s="26">
        <v>0</v>
      </c>
      <c r="DV73" s="30"/>
      <c r="DW73" s="29"/>
      <c r="EA73" s="26">
        <v>0</v>
      </c>
      <c r="EB73" s="30"/>
      <c r="EC73" s="29"/>
      <c r="EF73" s="26">
        <v>0</v>
      </c>
      <c r="EG73" s="30"/>
      <c r="EJ73" s="26">
        <v>0</v>
      </c>
      <c r="EK73" s="30"/>
      <c r="EL73" s="31"/>
      <c r="EN73" s="26">
        <v>0</v>
      </c>
      <c r="EO73" s="30"/>
      <c r="EP73" s="29"/>
      <c r="ER73" s="26">
        <v>0</v>
      </c>
      <c r="ES73" s="30"/>
      <c r="ET73" s="29"/>
      <c r="EV73" s="26">
        <v>0</v>
      </c>
      <c r="EW73" s="30"/>
      <c r="EZ73" s="26">
        <v>0</v>
      </c>
      <c r="FA73" s="30"/>
      <c r="FD73" s="26">
        <v>0</v>
      </c>
      <c r="FE73" s="30"/>
      <c r="FF73" s="29"/>
      <c r="FI73" s="26">
        <v>0</v>
      </c>
      <c r="FJ73" s="30"/>
      <c r="FK73" s="29"/>
      <c r="FN73" s="26">
        <v>0</v>
      </c>
      <c r="FO73" s="30"/>
      <c r="FR73" s="26">
        <v>0</v>
      </c>
      <c r="FS73" s="30"/>
      <c r="FT73" s="29"/>
      <c r="FY73" s="26">
        <v>0</v>
      </c>
      <c r="FZ73" s="30"/>
      <c r="GC73" s="26">
        <v>0</v>
      </c>
      <c r="GD73" s="30"/>
      <c r="GE73" s="29"/>
      <c r="GI73" s="26">
        <v>0</v>
      </c>
      <c r="GJ73" s="30"/>
      <c r="GO73" s="26">
        <v>0</v>
      </c>
      <c r="GP73" s="30"/>
      <c r="GS73" s="26">
        <v>0</v>
      </c>
      <c r="GT73" s="30"/>
      <c r="GU73" s="29"/>
      <c r="GW73" s="26">
        <v>0</v>
      </c>
      <c r="GX73" s="30"/>
      <c r="GY73" s="29"/>
      <c r="HA73" s="26">
        <v>0</v>
      </c>
      <c r="HB73" s="30"/>
      <c r="HE73" s="26">
        <v>0</v>
      </c>
      <c r="HF73" s="30"/>
      <c r="HG73" s="29"/>
      <c r="HI73" s="26">
        <v>0</v>
      </c>
      <c r="HJ73" s="30"/>
      <c r="HK73" s="29"/>
      <c r="HM73" s="26">
        <v>0</v>
      </c>
      <c r="HN73" s="30"/>
      <c r="HQ73" s="26">
        <v>0</v>
      </c>
      <c r="HR73" s="33"/>
      <c r="HU73" s="26">
        <v>0</v>
      </c>
      <c r="HV73" s="30"/>
      <c r="HY73" s="26">
        <v>0</v>
      </c>
      <c r="HZ73" s="33"/>
      <c r="IC73" s="26">
        <v>0</v>
      </c>
      <c r="ID73" s="30"/>
      <c r="IG73" s="26">
        <v>0</v>
      </c>
      <c r="IH73" s="33"/>
      <c r="IK73" s="26">
        <v>0</v>
      </c>
      <c r="IL73" s="30"/>
      <c r="IM73" s="31"/>
      <c r="IO73" s="26">
        <v>0</v>
      </c>
      <c r="IP73" s="33"/>
      <c r="IS73" s="26">
        <v>0</v>
      </c>
      <c r="IT73" s="33"/>
      <c r="IW73" s="26">
        <v>0</v>
      </c>
      <c r="IX73" s="33"/>
      <c r="JA73" s="26">
        <v>0</v>
      </c>
      <c r="JB73" s="30"/>
      <c r="JC73" s="27"/>
      <c r="JE73" s="27"/>
      <c r="JG73" s="26">
        <v>0</v>
      </c>
      <c r="JH73" s="33"/>
      <c r="JI73" s="28">
        <v>0</v>
      </c>
      <c r="JJ73" s="28">
        <v>0</v>
      </c>
      <c r="JK73" s="26">
        <v>0</v>
      </c>
      <c r="JL73" s="33"/>
      <c r="JM73" s="28">
        <v>0</v>
      </c>
      <c r="JN73" s="28">
        <v>0</v>
      </c>
      <c r="JO73" s="26">
        <v>0</v>
      </c>
      <c r="JP73" s="33"/>
      <c r="JQ73" s="31">
        <v>0</v>
      </c>
      <c r="JR73" s="28">
        <v>0</v>
      </c>
      <c r="JS73" s="26">
        <v>0</v>
      </c>
      <c r="JT73" s="33"/>
    </row>
    <row r="74" spans="1:280" x14ac:dyDescent="0.25">
      <c r="A74" s="26" t="s">
        <v>225</v>
      </c>
      <c r="B74" s="27">
        <v>0.09</v>
      </c>
      <c r="I74" s="29"/>
      <c r="J74" s="35"/>
      <c r="K74" s="40"/>
      <c r="L74" s="35"/>
      <c r="M74" s="35">
        <f t="shared" si="9"/>
        <v>0</v>
      </c>
      <c r="N74" s="30"/>
      <c r="O74" s="29"/>
      <c r="P74" s="35"/>
      <c r="Q74" s="35"/>
      <c r="R74" s="35"/>
      <c r="S74" s="35">
        <f t="shared" si="10"/>
        <v>0</v>
      </c>
      <c r="T74" s="30"/>
      <c r="U74" s="29"/>
      <c r="V74" s="40"/>
      <c r="W74" s="35"/>
      <c r="X74" s="35"/>
      <c r="Y74" s="35"/>
      <c r="Z74" s="35"/>
      <c r="AA74" s="35">
        <f t="shared" si="11"/>
        <v>0</v>
      </c>
      <c r="AB74" s="30"/>
      <c r="AC74" s="29"/>
      <c r="AD74" s="35"/>
      <c r="AE74" s="35"/>
      <c r="AF74" s="35"/>
      <c r="AG74" s="35">
        <v>0</v>
      </c>
      <c r="AH74" s="30"/>
      <c r="AI74" s="35"/>
      <c r="AM74" s="26">
        <v>0</v>
      </c>
      <c r="AN74" s="30"/>
      <c r="AO74" s="31"/>
      <c r="AS74" s="26">
        <v>0</v>
      </c>
      <c r="AT74" s="30"/>
      <c r="AY74" s="26">
        <v>0</v>
      </c>
      <c r="AZ74" s="30"/>
      <c r="BD74" s="26">
        <v>0</v>
      </c>
      <c r="BE74" s="30"/>
      <c r="BF74" s="29"/>
      <c r="BH74" s="26">
        <v>0</v>
      </c>
      <c r="BI74" s="30"/>
      <c r="BJ74" s="29"/>
      <c r="BL74" s="26">
        <v>0</v>
      </c>
      <c r="BM74" s="30"/>
      <c r="BP74" s="26">
        <v>0</v>
      </c>
      <c r="BQ74" s="30"/>
      <c r="BR74" s="29"/>
      <c r="BT74" s="26">
        <v>0</v>
      </c>
      <c r="BU74" s="30"/>
      <c r="BW74">
        <v>10</v>
      </c>
      <c r="BX74" s="25">
        <v>-10</v>
      </c>
      <c r="BY74" s="30">
        <v>0.89999999999999991</v>
      </c>
      <c r="BZ74" s="29"/>
      <c r="CA74">
        <v>10</v>
      </c>
      <c r="CB74" s="25">
        <v>-10</v>
      </c>
      <c r="CC74" s="30">
        <v>0.89999999999999991</v>
      </c>
      <c r="CD74" s="29"/>
      <c r="CE74">
        <v>10</v>
      </c>
      <c r="CF74" s="25">
        <v>-10</v>
      </c>
      <c r="CG74" s="30">
        <v>0.89999999999999991</v>
      </c>
      <c r="CI74">
        <v>20</v>
      </c>
      <c r="CJ74" s="25">
        <v>-20</v>
      </c>
      <c r="CK74" s="30">
        <v>1.8</v>
      </c>
      <c r="CL74" s="29"/>
      <c r="CP74" s="26">
        <v>0</v>
      </c>
      <c r="CQ74" s="30"/>
      <c r="CR74" s="29"/>
      <c r="CS74">
        <v>20</v>
      </c>
      <c r="CT74" s="25">
        <v>-20</v>
      </c>
      <c r="CU74" s="30">
        <v>1.8</v>
      </c>
      <c r="CY74">
        <v>20</v>
      </c>
      <c r="CZ74" s="25">
        <v>-20</v>
      </c>
      <c r="DA74" s="30">
        <v>1.8</v>
      </c>
      <c r="DD74" s="26">
        <v>0</v>
      </c>
      <c r="DE74" s="30"/>
      <c r="DF74" s="29"/>
      <c r="DG74">
        <v>21</v>
      </c>
      <c r="DH74" s="25">
        <v>-21</v>
      </c>
      <c r="DI74" s="30">
        <v>1.89</v>
      </c>
      <c r="DJ74" s="29"/>
      <c r="DL74" s="26">
        <v>0</v>
      </c>
      <c r="DM74" s="30"/>
      <c r="DN74">
        <v>10</v>
      </c>
      <c r="DO74">
        <v>18</v>
      </c>
      <c r="DP74" s="26">
        <v>-8</v>
      </c>
      <c r="DQ74" s="30"/>
      <c r="DR74" s="32">
        <v>10</v>
      </c>
      <c r="DT74">
        <v>10</v>
      </c>
      <c r="DU74" s="26">
        <v>0</v>
      </c>
      <c r="DV74" s="30"/>
      <c r="DW74" s="29"/>
      <c r="DY74">
        <v>10</v>
      </c>
      <c r="DZ74">
        <v>10</v>
      </c>
      <c r="EA74" s="26">
        <v>0</v>
      </c>
      <c r="EB74" s="30"/>
      <c r="EC74" s="29"/>
      <c r="EE74">
        <v>20</v>
      </c>
      <c r="EF74" s="25">
        <v>-20</v>
      </c>
      <c r="EG74" s="30">
        <v>1.8</v>
      </c>
      <c r="EJ74" s="26">
        <v>0</v>
      </c>
      <c r="EK74" s="30"/>
      <c r="EL74" s="32">
        <v>10</v>
      </c>
      <c r="EM74" s="26">
        <v>12</v>
      </c>
      <c r="EN74" s="26">
        <v>-2</v>
      </c>
      <c r="EO74" s="30"/>
      <c r="EP74" s="29"/>
      <c r="ER74" s="26">
        <v>0</v>
      </c>
      <c r="ES74" s="30"/>
      <c r="ET74" s="29"/>
      <c r="EU74">
        <v>14</v>
      </c>
      <c r="EV74" s="25">
        <v>-14</v>
      </c>
      <c r="EW74" s="33">
        <v>1.26</v>
      </c>
      <c r="EZ74" s="26">
        <v>0</v>
      </c>
      <c r="FA74" s="30"/>
      <c r="FB74">
        <v>20</v>
      </c>
      <c r="FC74">
        <v>20</v>
      </c>
      <c r="FD74" s="26">
        <v>0</v>
      </c>
      <c r="FE74" s="30"/>
      <c r="FF74" s="29"/>
      <c r="FI74" s="26">
        <v>0</v>
      </c>
      <c r="FJ74" s="30"/>
      <c r="FK74" s="29"/>
      <c r="FN74" s="26">
        <v>0</v>
      </c>
      <c r="FO74" s="30"/>
      <c r="FP74">
        <v>20</v>
      </c>
      <c r="FQ74" s="28">
        <v>20</v>
      </c>
      <c r="FR74" s="26">
        <v>0</v>
      </c>
      <c r="FS74" s="30"/>
      <c r="FT74" s="29"/>
      <c r="FY74" s="26">
        <v>0</v>
      </c>
      <c r="FZ74" s="30"/>
      <c r="GA74">
        <v>10</v>
      </c>
      <c r="GB74" s="28">
        <v>16.8</v>
      </c>
      <c r="GC74" s="26">
        <v>-6.8000000000000007</v>
      </c>
      <c r="GD74" s="30"/>
      <c r="GE74" s="29"/>
      <c r="GI74" s="26">
        <v>0</v>
      </c>
      <c r="GJ74" s="30"/>
      <c r="GO74" s="26">
        <v>0</v>
      </c>
      <c r="GP74" s="30"/>
      <c r="GQ74">
        <v>30</v>
      </c>
      <c r="GR74" s="28">
        <v>30</v>
      </c>
      <c r="GS74" s="26">
        <v>0</v>
      </c>
      <c r="GT74" s="30"/>
      <c r="GU74" s="29"/>
      <c r="GW74" s="26">
        <v>0</v>
      </c>
      <c r="GX74" s="30"/>
      <c r="GY74" s="32">
        <v>10</v>
      </c>
      <c r="GZ74">
        <v>10</v>
      </c>
      <c r="HA74" s="26">
        <v>0</v>
      </c>
      <c r="HB74" s="30"/>
      <c r="HC74">
        <v>10</v>
      </c>
      <c r="HD74">
        <v>14</v>
      </c>
      <c r="HE74" s="26">
        <v>-4</v>
      </c>
      <c r="HF74" s="30"/>
      <c r="HG74" s="29"/>
      <c r="HI74" s="26">
        <v>0</v>
      </c>
      <c r="HJ74" s="30"/>
      <c r="HK74" s="29"/>
      <c r="HM74" s="26">
        <v>0</v>
      </c>
      <c r="HN74" s="30"/>
      <c r="HO74">
        <v>20</v>
      </c>
      <c r="HP74">
        <v>20</v>
      </c>
      <c r="HQ74" s="26">
        <v>0</v>
      </c>
      <c r="HR74" s="33"/>
      <c r="HU74" s="26">
        <v>0</v>
      </c>
      <c r="HV74" s="30"/>
      <c r="HY74" s="26">
        <v>0</v>
      </c>
      <c r="HZ74" s="33"/>
      <c r="IC74" s="26">
        <v>0</v>
      </c>
      <c r="ID74" s="30"/>
      <c r="IG74" s="26">
        <v>0</v>
      </c>
      <c r="IH74" s="33"/>
      <c r="IK74" s="26">
        <v>0</v>
      </c>
      <c r="IL74" s="30"/>
      <c r="IM74" s="31"/>
      <c r="IO74" s="26">
        <v>0</v>
      </c>
      <c r="IP74" s="33"/>
      <c r="IS74" s="26">
        <v>0</v>
      </c>
      <c r="IT74" s="33"/>
      <c r="IW74" s="26">
        <v>0</v>
      </c>
      <c r="IX74" s="33"/>
      <c r="JA74" s="26">
        <v>0</v>
      </c>
      <c r="JB74" s="30"/>
      <c r="JC74" s="27"/>
      <c r="JE74" s="27"/>
      <c r="JG74" s="26">
        <v>0</v>
      </c>
      <c r="JH74" s="33"/>
      <c r="JI74" s="28">
        <v>0</v>
      </c>
      <c r="JJ74" s="28">
        <v>0</v>
      </c>
      <c r="JK74" s="26">
        <v>0</v>
      </c>
      <c r="JL74" s="33"/>
      <c r="JM74" s="28">
        <v>0</v>
      </c>
      <c r="JN74" s="28">
        <v>0</v>
      </c>
      <c r="JO74" s="26">
        <v>0</v>
      </c>
      <c r="JP74" s="33"/>
      <c r="JQ74" s="31">
        <v>0</v>
      </c>
      <c r="JR74" s="28">
        <v>0</v>
      </c>
      <c r="JS74" s="26">
        <v>0</v>
      </c>
      <c r="JT74" s="33"/>
    </row>
    <row r="75" spans="1:280" x14ac:dyDescent="0.25">
      <c r="A75" s="26" t="s">
        <v>226</v>
      </c>
      <c r="B75" s="27">
        <v>1</v>
      </c>
      <c r="I75" s="29"/>
      <c r="J75" s="35"/>
      <c r="K75" s="40"/>
      <c r="L75" s="35"/>
      <c r="M75" s="35">
        <f t="shared" si="9"/>
        <v>0</v>
      </c>
      <c r="N75" s="30"/>
      <c r="O75" s="29"/>
      <c r="P75" s="35"/>
      <c r="Q75" s="35"/>
      <c r="R75" s="35"/>
      <c r="S75" s="35">
        <f t="shared" si="10"/>
        <v>0</v>
      </c>
      <c r="T75" s="30"/>
      <c r="U75" s="29"/>
      <c r="V75" s="40"/>
      <c r="W75" s="35"/>
      <c r="X75" s="35"/>
      <c r="Y75" s="35"/>
      <c r="Z75" s="35"/>
      <c r="AA75" s="35">
        <f t="shared" si="11"/>
        <v>0</v>
      </c>
      <c r="AB75" s="30"/>
      <c r="AC75" s="29"/>
      <c r="AD75" s="35"/>
      <c r="AE75" s="35"/>
      <c r="AF75" s="35"/>
      <c r="AG75" s="35">
        <v>0</v>
      </c>
      <c r="AH75" s="30"/>
      <c r="AI75" s="35"/>
      <c r="AM75" s="26">
        <v>0</v>
      </c>
      <c r="AN75" s="30"/>
      <c r="AO75" s="31"/>
      <c r="AS75" s="26">
        <v>0</v>
      </c>
      <c r="AT75" s="30"/>
      <c r="AY75" s="26">
        <v>0</v>
      </c>
      <c r="AZ75" s="30"/>
      <c r="BD75" s="26">
        <v>0</v>
      </c>
      <c r="BE75" s="30"/>
      <c r="BF75" s="29"/>
      <c r="BH75" s="26">
        <v>0</v>
      </c>
      <c r="BI75" s="30"/>
      <c r="BJ75" s="29"/>
      <c r="BL75" s="26">
        <v>0</v>
      </c>
      <c r="BM75" s="30"/>
      <c r="BP75" s="26">
        <v>0</v>
      </c>
      <c r="BQ75" s="30"/>
      <c r="BR75" s="29"/>
      <c r="BT75" s="26">
        <v>0</v>
      </c>
      <c r="BU75" s="30"/>
      <c r="BX75" s="26">
        <v>0</v>
      </c>
      <c r="BY75" s="30"/>
      <c r="BZ75" s="29"/>
      <c r="CB75" s="26">
        <v>0</v>
      </c>
      <c r="CC75" s="30"/>
      <c r="CD75" s="29"/>
      <c r="CF75" s="26">
        <v>0</v>
      </c>
      <c r="CG75" s="30"/>
      <c r="CJ75" s="26">
        <v>0</v>
      </c>
      <c r="CK75" s="30"/>
      <c r="CL75" s="29"/>
      <c r="CP75" s="26">
        <v>0</v>
      </c>
      <c r="CQ75" s="30"/>
      <c r="CR75" s="29"/>
      <c r="CT75" s="26">
        <v>0</v>
      </c>
      <c r="CU75" s="30"/>
      <c r="CZ75" s="26">
        <v>0</v>
      </c>
      <c r="DA75" s="30"/>
      <c r="DD75" s="26">
        <v>0</v>
      </c>
      <c r="DE75" s="30"/>
      <c r="DF75" s="29"/>
      <c r="DH75" s="26">
        <v>0</v>
      </c>
      <c r="DI75" s="30"/>
      <c r="DJ75" s="29"/>
      <c r="DL75" s="26">
        <v>0</v>
      </c>
      <c r="DM75" s="30"/>
      <c r="DP75" s="26">
        <v>0</v>
      </c>
      <c r="DQ75" s="30"/>
      <c r="DR75" s="29"/>
      <c r="DU75" s="26">
        <v>0</v>
      </c>
      <c r="DV75" s="30"/>
      <c r="DW75" s="29"/>
      <c r="EA75" s="26">
        <v>0</v>
      </c>
      <c r="EB75" s="30"/>
      <c r="EC75" s="29"/>
      <c r="EF75" s="26">
        <v>0</v>
      </c>
      <c r="EG75" s="30"/>
      <c r="EJ75" s="26">
        <v>0</v>
      </c>
      <c r="EK75" s="30"/>
      <c r="EL75" s="31"/>
      <c r="EN75" s="26">
        <v>0</v>
      </c>
      <c r="EO75" s="30"/>
      <c r="EP75" s="29"/>
      <c r="ER75" s="26">
        <v>0</v>
      </c>
      <c r="ES75" s="30"/>
      <c r="ET75" s="29"/>
      <c r="EV75" s="26">
        <v>0</v>
      </c>
      <c r="EW75" s="30"/>
      <c r="EZ75" s="26">
        <v>0</v>
      </c>
      <c r="FA75" s="30"/>
      <c r="FD75" s="26">
        <v>0</v>
      </c>
      <c r="FE75" s="30"/>
      <c r="FF75" s="29"/>
      <c r="FI75" s="26">
        <v>0</v>
      </c>
      <c r="FJ75" s="30"/>
      <c r="FK75" s="29"/>
      <c r="FN75" s="26">
        <v>0</v>
      </c>
      <c r="FO75" s="30"/>
      <c r="FR75" s="26">
        <v>0</v>
      </c>
      <c r="FS75" s="30"/>
      <c r="FT75" s="29"/>
      <c r="FY75" s="26">
        <v>0</v>
      </c>
      <c r="FZ75" s="30"/>
      <c r="GC75" s="26">
        <v>0</v>
      </c>
      <c r="GD75" s="30"/>
      <c r="GE75" s="29"/>
      <c r="GI75" s="26">
        <v>0</v>
      </c>
      <c r="GJ75" s="30"/>
      <c r="GO75" s="26">
        <v>0</v>
      </c>
      <c r="GP75" s="30"/>
      <c r="GS75" s="26">
        <v>0</v>
      </c>
      <c r="GT75" s="30"/>
      <c r="GU75" s="29"/>
      <c r="GW75" s="26">
        <v>0</v>
      </c>
      <c r="GX75" s="30"/>
      <c r="GY75" s="29"/>
      <c r="HA75" s="26">
        <v>0</v>
      </c>
      <c r="HB75" s="30"/>
      <c r="HE75" s="26">
        <v>0</v>
      </c>
      <c r="HF75" s="30"/>
      <c r="HG75" s="29"/>
      <c r="HI75" s="26">
        <v>0</v>
      </c>
      <c r="HJ75" s="30"/>
      <c r="HK75" s="29"/>
      <c r="HM75" s="26">
        <v>0</v>
      </c>
      <c r="HN75" s="30"/>
      <c r="HQ75" s="26">
        <v>0</v>
      </c>
      <c r="HR75" s="33"/>
      <c r="HU75" s="26">
        <v>0</v>
      </c>
      <c r="HV75" s="30"/>
      <c r="HY75" s="26">
        <v>0</v>
      </c>
      <c r="HZ75" s="33"/>
      <c r="IC75" s="26">
        <v>0</v>
      </c>
      <c r="ID75" s="30"/>
      <c r="IG75" s="26">
        <v>0</v>
      </c>
      <c r="IH75" s="33"/>
      <c r="IK75" s="26">
        <v>0</v>
      </c>
      <c r="IL75" s="30"/>
      <c r="IM75" s="31"/>
      <c r="IO75" s="26">
        <v>0</v>
      </c>
      <c r="IP75" s="33"/>
      <c r="IS75" s="26">
        <v>0</v>
      </c>
      <c r="IT75" s="33"/>
      <c r="IW75" s="26">
        <v>0</v>
      </c>
      <c r="IX75" s="33"/>
      <c r="JA75" s="26">
        <v>0</v>
      </c>
      <c r="JB75" s="30"/>
      <c r="JC75" s="27"/>
      <c r="JE75" s="27"/>
      <c r="JG75" s="26">
        <v>0</v>
      </c>
      <c r="JH75" s="33"/>
      <c r="JI75" s="28">
        <v>0</v>
      </c>
      <c r="JJ75" s="28">
        <v>0</v>
      </c>
      <c r="JK75" s="26">
        <v>0</v>
      </c>
      <c r="JL75" s="33"/>
      <c r="JM75" s="28">
        <v>0</v>
      </c>
      <c r="JN75" s="28">
        <v>0</v>
      </c>
      <c r="JO75" s="26">
        <v>0</v>
      </c>
      <c r="JP75" s="33"/>
      <c r="JQ75" s="31">
        <v>0</v>
      </c>
      <c r="JR75" s="28">
        <v>0</v>
      </c>
      <c r="JS75" s="26">
        <v>0</v>
      </c>
      <c r="JT75" s="33"/>
    </row>
    <row r="76" spans="1:280" x14ac:dyDescent="0.25">
      <c r="A76" s="26" t="s">
        <v>227</v>
      </c>
      <c r="B76" s="27">
        <v>1</v>
      </c>
      <c r="I76" s="29"/>
      <c r="J76" s="35"/>
      <c r="K76" s="40"/>
      <c r="L76" s="35"/>
      <c r="M76" s="35">
        <f t="shared" si="9"/>
        <v>0</v>
      </c>
      <c r="N76" s="30"/>
      <c r="O76" s="29"/>
      <c r="P76" s="35"/>
      <c r="Q76" s="35"/>
      <c r="R76" s="35"/>
      <c r="S76" s="35">
        <f t="shared" si="10"/>
        <v>0</v>
      </c>
      <c r="T76" s="30"/>
      <c r="U76" s="29"/>
      <c r="V76" s="40"/>
      <c r="W76" s="35"/>
      <c r="X76" s="35"/>
      <c r="Y76" s="35"/>
      <c r="Z76" s="35"/>
      <c r="AA76" s="35">
        <f t="shared" si="11"/>
        <v>0</v>
      </c>
      <c r="AB76" s="30"/>
      <c r="AC76" s="29"/>
      <c r="AD76" s="35"/>
      <c r="AE76" s="35"/>
      <c r="AF76" s="35"/>
      <c r="AG76" s="35">
        <v>0</v>
      </c>
      <c r="AH76" s="30"/>
      <c r="AI76" s="35"/>
      <c r="AM76" s="26">
        <v>0</v>
      </c>
      <c r="AN76" s="30"/>
      <c r="AO76" s="31"/>
      <c r="AS76" s="26">
        <v>0</v>
      </c>
      <c r="AT76" s="30"/>
      <c r="AY76" s="26">
        <v>0</v>
      </c>
      <c r="AZ76" s="30"/>
      <c r="BD76" s="26">
        <v>0</v>
      </c>
      <c r="BE76" s="30"/>
      <c r="BF76" s="29"/>
      <c r="BH76" s="26">
        <v>0</v>
      </c>
      <c r="BI76" s="30"/>
      <c r="BJ76" s="29"/>
      <c r="BL76" s="26">
        <v>0</v>
      </c>
      <c r="BM76" s="30"/>
      <c r="BP76" s="26">
        <v>0</v>
      </c>
      <c r="BQ76" s="30"/>
      <c r="BR76" s="29"/>
      <c r="BT76" s="26">
        <v>0</v>
      </c>
      <c r="BU76" s="30"/>
      <c r="BX76" s="26">
        <v>0</v>
      </c>
      <c r="BY76" s="30"/>
      <c r="BZ76" s="29"/>
      <c r="CB76" s="26">
        <v>0</v>
      </c>
      <c r="CC76" s="30"/>
      <c r="CD76" s="29"/>
      <c r="CF76" s="26">
        <v>0</v>
      </c>
      <c r="CG76" s="30"/>
      <c r="CJ76" s="26">
        <v>0</v>
      </c>
      <c r="CK76" s="30"/>
      <c r="CL76" s="29"/>
      <c r="CP76" s="26">
        <v>0</v>
      </c>
      <c r="CQ76" s="30"/>
      <c r="CR76" s="29"/>
      <c r="CT76" s="26">
        <v>0</v>
      </c>
      <c r="CU76" s="30"/>
      <c r="CZ76" s="26">
        <v>0</v>
      </c>
      <c r="DA76" s="30"/>
      <c r="DD76" s="26">
        <v>0</v>
      </c>
      <c r="DE76" s="30"/>
      <c r="DF76" s="29"/>
      <c r="DH76" s="26">
        <v>0</v>
      </c>
      <c r="DI76" s="30"/>
      <c r="DJ76" s="29"/>
      <c r="DL76" s="26">
        <v>0</v>
      </c>
      <c r="DM76" s="30"/>
      <c r="DP76" s="26">
        <v>0</v>
      </c>
      <c r="DQ76" s="30"/>
      <c r="DR76" s="29"/>
      <c r="DU76" s="26">
        <v>0</v>
      </c>
      <c r="DV76" s="30"/>
      <c r="DW76" s="29"/>
      <c r="EA76" s="26">
        <v>0</v>
      </c>
      <c r="EB76" s="30"/>
      <c r="EC76" s="29"/>
      <c r="EF76" s="26">
        <v>0</v>
      </c>
      <c r="EG76" s="30"/>
      <c r="EJ76" s="26">
        <v>0</v>
      </c>
      <c r="EK76" s="30"/>
      <c r="EL76" s="31"/>
      <c r="EN76" s="26">
        <v>0</v>
      </c>
      <c r="EO76" s="30"/>
      <c r="EP76" s="29"/>
      <c r="ER76" s="26">
        <v>0</v>
      </c>
      <c r="ES76" s="30"/>
      <c r="ET76" s="29"/>
      <c r="EV76" s="26">
        <v>0</v>
      </c>
      <c r="EW76" s="30"/>
      <c r="EZ76" s="26">
        <v>0</v>
      </c>
      <c r="FA76" s="30"/>
      <c r="FD76" s="26">
        <v>0</v>
      </c>
      <c r="FE76" s="30"/>
      <c r="FF76" s="29"/>
      <c r="FI76" s="26">
        <v>0</v>
      </c>
      <c r="FJ76" s="30"/>
      <c r="FK76" s="29"/>
      <c r="FN76" s="26">
        <v>0</v>
      </c>
      <c r="FO76" s="30"/>
      <c r="FR76" s="26">
        <v>0</v>
      </c>
      <c r="FS76" s="30"/>
      <c r="FT76" s="29"/>
      <c r="FY76" s="26">
        <v>0</v>
      </c>
      <c r="FZ76" s="30"/>
      <c r="GC76" s="26">
        <v>0</v>
      </c>
      <c r="GD76" s="30"/>
      <c r="GE76" s="29"/>
      <c r="GI76" s="26">
        <v>0</v>
      </c>
      <c r="GJ76" s="30"/>
      <c r="GO76" s="26">
        <v>0</v>
      </c>
      <c r="GP76" s="30"/>
      <c r="GS76" s="26">
        <v>0</v>
      </c>
      <c r="GT76" s="30"/>
      <c r="GU76" s="29"/>
      <c r="GW76" s="26">
        <v>0</v>
      </c>
      <c r="GX76" s="30"/>
      <c r="GY76" s="29"/>
      <c r="HA76" s="26">
        <v>0</v>
      </c>
      <c r="HB76" s="30"/>
      <c r="HE76" s="26">
        <v>0</v>
      </c>
      <c r="HF76" s="30"/>
      <c r="HG76" s="29"/>
      <c r="HI76" s="26">
        <v>0</v>
      </c>
      <c r="HJ76" s="30"/>
      <c r="HK76" s="29"/>
      <c r="HM76" s="26">
        <v>0</v>
      </c>
      <c r="HN76" s="30"/>
      <c r="HQ76" s="26">
        <v>0</v>
      </c>
      <c r="HR76" s="33"/>
      <c r="HU76" s="26">
        <v>0</v>
      </c>
      <c r="HV76" s="30"/>
      <c r="HY76" s="26">
        <v>0</v>
      </c>
      <c r="HZ76" s="33"/>
      <c r="IC76" s="26">
        <v>0</v>
      </c>
      <c r="ID76" s="30"/>
      <c r="IG76" s="26">
        <v>0</v>
      </c>
      <c r="IH76" s="33"/>
      <c r="IK76" s="26">
        <v>0</v>
      </c>
      <c r="IL76" s="30"/>
      <c r="IM76" s="31"/>
      <c r="IO76" s="26">
        <v>0</v>
      </c>
      <c r="IP76" s="33"/>
      <c r="IS76" s="26">
        <v>0</v>
      </c>
      <c r="IT76" s="33"/>
      <c r="IW76" s="26">
        <v>0</v>
      </c>
      <c r="IX76" s="33"/>
      <c r="JA76" s="26">
        <v>0</v>
      </c>
      <c r="JB76" s="30"/>
      <c r="JC76" s="27"/>
      <c r="JE76" s="27"/>
      <c r="JG76" s="26">
        <v>0</v>
      </c>
      <c r="JH76" s="33"/>
      <c r="JI76" s="28">
        <v>0</v>
      </c>
      <c r="JJ76" s="28">
        <v>0</v>
      </c>
      <c r="JK76" s="26">
        <v>0</v>
      </c>
      <c r="JL76" s="33"/>
      <c r="JM76" s="28">
        <v>0</v>
      </c>
      <c r="JN76" s="28">
        <v>0</v>
      </c>
      <c r="JO76" s="26">
        <v>0</v>
      </c>
      <c r="JP76" s="33"/>
      <c r="JQ76" s="31">
        <v>0</v>
      </c>
      <c r="JR76" s="28">
        <v>0</v>
      </c>
      <c r="JS76" s="26">
        <v>0</v>
      </c>
      <c r="JT76" s="33"/>
    </row>
    <row r="77" spans="1:280" x14ac:dyDescent="0.25">
      <c r="A77" s="26" t="s">
        <v>228</v>
      </c>
      <c r="B77" s="27">
        <v>0.35</v>
      </c>
      <c r="E77">
        <v>16</v>
      </c>
      <c r="F77">
        <v>16</v>
      </c>
      <c r="I77" s="29"/>
      <c r="J77" s="35"/>
      <c r="K77" s="40"/>
      <c r="L77" s="35"/>
      <c r="M77" s="35">
        <f t="shared" si="9"/>
        <v>0</v>
      </c>
      <c r="N77" s="30"/>
      <c r="O77" s="29"/>
      <c r="P77" s="35"/>
      <c r="Q77" s="35"/>
      <c r="R77" s="35"/>
      <c r="S77" s="35">
        <f t="shared" si="10"/>
        <v>0</v>
      </c>
      <c r="T77" s="30"/>
      <c r="U77" s="29"/>
      <c r="V77" s="40"/>
      <c r="W77" s="35"/>
      <c r="X77" s="35"/>
      <c r="Y77" s="36">
        <v>48</v>
      </c>
      <c r="Z77" s="36">
        <v>48</v>
      </c>
      <c r="AA77" s="35">
        <f t="shared" si="11"/>
        <v>0</v>
      </c>
      <c r="AB77" s="30"/>
      <c r="AC77" s="29"/>
      <c r="AD77" s="35"/>
      <c r="AE77" s="36">
        <v>16</v>
      </c>
      <c r="AF77" s="40">
        <v>18</v>
      </c>
      <c r="AG77" s="35">
        <v>-2</v>
      </c>
      <c r="AH77" s="30"/>
      <c r="AI77" s="35"/>
      <c r="AM77" s="26">
        <v>0</v>
      </c>
      <c r="AN77" s="30"/>
      <c r="AO77" s="31"/>
      <c r="AQ77">
        <v>48</v>
      </c>
      <c r="AR77">
        <v>50</v>
      </c>
      <c r="AS77" s="26">
        <v>-2</v>
      </c>
      <c r="AT77" s="30"/>
      <c r="AY77" s="26">
        <v>0</v>
      </c>
      <c r="AZ77" s="30"/>
      <c r="BB77">
        <v>40</v>
      </c>
      <c r="BC77">
        <v>44</v>
      </c>
      <c r="BD77" s="26">
        <v>-4</v>
      </c>
      <c r="BE77" s="30"/>
      <c r="BF77" s="32">
        <v>8</v>
      </c>
      <c r="BG77">
        <v>10</v>
      </c>
      <c r="BH77" s="26">
        <v>-2</v>
      </c>
      <c r="BI77" s="30"/>
      <c r="BJ77" s="32">
        <v>32</v>
      </c>
      <c r="BK77">
        <v>30</v>
      </c>
      <c r="BL77" s="26">
        <v>2</v>
      </c>
      <c r="BM77" s="30"/>
      <c r="BP77" s="26">
        <v>0</v>
      </c>
      <c r="BQ77" s="30"/>
      <c r="BR77" s="32">
        <v>32</v>
      </c>
      <c r="BS77">
        <v>32</v>
      </c>
      <c r="BT77" s="26">
        <v>0</v>
      </c>
      <c r="BU77" s="30"/>
      <c r="BV77">
        <v>8</v>
      </c>
      <c r="BW77">
        <v>8</v>
      </c>
      <c r="BX77" s="26">
        <v>0</v>
      </c>
      <c r="BY77" s="30"/>
      <c r="BZ77" s="32">
        <v>8</v>
      </c>
      <c r="CA77">
        <v>8</v>
      </c>
      <c r="CB77" s="26">
        <v>0</v>
      </c>
      <c r="CC77" s="30"/>
      <c r="CD77" s="32">
        <v>16</v>
      </c>
      <c r="CE77">
        <v>14</v>
      </c>
      <c r="CF77" s="26">
        <v>2</v>
      </c>
      <c r="CG77" s="30"/>
      <c r="CH77">
        <v>8</v>
      </c>
      <c r="CI77">
        <v>8</v>
      </c>
      <c r="CJ77" s="26">
        <v>0</v>
      </c>
      <c r="CK77" s="30"/>
      <c r="CL77" s="29"/>
      <c r="CM77">
        <v>8</v>
      </c>
      <c r="CP77" s="25">
        <v>-8</v>
      </c>
      <c r="CQ77" s="30">
        <v>7.65</v>
      </c>
      <c r="CR77" s="32">
        <v>8</v>
      </c>
      <c r="CS77">
        <v>10</v>
      </c>
      <c r="CT77" s="26">
        <v>-2</v>
      </c>
      <c r="CU77" s="30"/>
      <c r="CX77">
        <v>8</v>
      </c>
      <c r="CY77">
        <v>11</v>
      </c>
      <c r="CZ77" s="26">
        <v>-3</v>
      </c>
      <c r="DA77" s="30"/>
      <c r="DB77">
        <v>16</v>
      </c>
      <c r="DC77">
        <v>19</v>
      </c>
      <c r="DD77" s="26">
        <v>-3</v>
      </c>
      <c r="DE77" s="30"/>
      <c r="DF77" s="32">
        <v>8</v>
      </c>
      <c r="DG77">
        <v>8</v>
      </c>
      <c r="DH77" s="26">
        <v>0</v>
      </c>
      <c r="DI77" s="30"/>
      <c r="DJ77" s="32">
        <v>8</v>
      </c>
      <c r="DK77">
        <v>12</v>
      </c>
      <c r="DL77" s="26">
        <v>-4</v>
      </c>
      <c r="DM77" s="30"/>
      <c r="DP77" s="26">
        <v>0</v>
      </c>
      <c r="DQ77" s="30"/>
      <c r="DR77" s="32">
        <v>16</v>
      </c>
      <c r="DT77">
        <v>18</v>
      </c>
      <c r="DU77" s="26">
        <v>-2</v>
      </c>
      <c r="DV77" s="30"/>
      <c r="DW77" s="29"/>
      <c r="DY77">
        <v>8</v>
      </c>
      <c r="DZ77">
        <v>8</v>
      </c>
      <c r="EA77" s="26">
        <v>0</v>
      </c>
      <c r="EB77" s="30"/>
      <c r="EC77" s="32">
        <v>8</v>
      </c>
      <c r="EE77">
        <v>8</v>
      </c>
      <c r="EF77" s="26">
        <v>0</v>
      </c>
      <c r="EG77" s="30"/>
      <c r="EJ77" s="26">
        <v>0</v>
      </c>
      <c r="EK77" s="30"/>
      <c r="EL77" s="32">
        <v>8</v>
      </c>
      <c r="EM77" s="26">
        <v>6</v>
      </c>
      <c r="EN77" s="26">
        <v>2</v>
      </c>
      <c r="EO77" s="30"/>
      <c r="EP77" s="29"/>
      <c r="ER77" s="26">
        <v>0</v>
      </c>
      <c r="ES77" s="30"/>
      <c r="ET77" s="29"/>
      <c r="EV77" s="26">
        <v>0</v>
      </c>
      <c r="EW77" s="30"/>
      <c r="EZ77" s="26">
        <v>0</v>
      </c>
      <c r="FA77" s="30"/>
      <c r="FD77" s="26">
        <v>0</v>
      </c>
      <c r="FE77" s="30"/>
      <c r="FF77" s="29"/>
      <c r="FI77" s="26">
        <v>0</v>
      </c>
      <c r="FJ77" s="30"/>
      <c r="FK77" s="29"/>
      <c r="FN77" s="26">
        <v>0</v>
      </c>
      <c r="FO77" s="30"/>
      <c r="FR77" s="26">
        <v>0</v>
      </c>
      <c r="FS77" s="30"/>
      <c r="FT77" s="29"/>
      <c r="FW77">
        <v>48</v>
      </c>
      <c r="FX77">
        <v>52</v>
      </c>
      <c r="FY77" s="26">
        <v>-4</v>
      </c>
      <c r="FZ77" s="30"/>
      <c r="GA77">
        <v>32</v>
      </c>
      <c r="GB77" s="28">
        <v>31.399999999999991</v>
      </c>
      <c r="GC77" s="26">
        <v>0.60000000000000853</v>
      </c>
      <c r="GD77" s="30"/>
      <c r="GE77" s="29"/>
      <c r="GI77" s="26">
        <v>0</v>
      </c>
      <c r="GJ77" s="30"/>
      <c r="GM77">
        <v>48</v>
      </c>
      <c r="GN77">
        <v>50</v>
      </c>
      <c r="GO77" s="26">
        <v>-2</v>
      </c>
      <c r="GP77" s="30"/>
      <c r="GQ77">
        <v>24</v>
      </c>
      <c r="GR77" s="28">
        <v>24</v>
      </c>
      <c r="GS77" s="26">
        <v>0</v>
      </c>
      <c r="GT77" s="30"/>
      <c r="GU77" s="32">
        <v>16</v>
      </c>
      <c r="GV77">
        <v>20</v>
      </c>
      <c r="GW77" s="26">
        <v>-4</v>
      </c>
      <c r="GX77" s="30"/>
      <c r="GY77" s="32">
        <v>8</v>
      </c>
      <c r="GZ77">
        <v>8</v>
      </c>
      <c r="HA77" s="26">
        <v>0</v>
      </c>
      <c r="HB77" s="30"/>
      <c r="HC77">
        <v>32</v>
      </c>
      <c r="HD77">
        <v>32</v>
      </c>
      <c r="HE77" s="26">
        <v>0</v>
      </c>
      <c r="HF77" s="30"/>
      <c r="HG77" s="29"/>
      <c r="HI77" s="26">
        <v>0</v>
      </c>
      <c r="HJ77" s="30"/>
      <c r="HK77" s="32">
        <v>16</v>
      </c>
      <c r="HL77">
        <v>21</v>
      </c>
      <c r="HM77" s="26">
        <v>-5</v>
      </c>
      <c r="HN77" s="30"/>
      <c r="HQ77" s="26">
        <v>0</v>
      </c>
      <c r="HR77" s="33"/>
      <c r="HU77" s="26">
        <v>0</v>
      </c>
      <c r="HV77" s="30"/>
      <c r="HW77">
        <v>32</v>
      </c>
      <c r="HX77">
        <v>30</v>
      </c>
      <c r="HY77" s="26">
        <v>2</v>
      </c>
      <c r="HZ77" s="33"/>
      <c r="IB77">
        <v>16</v>
      </c>
      <c r="IC77" s="25">
        <v>-16</v>
      </c>
      <c r="ID77" s="30">
        <v>5.6</v>
      </c>
      <c r="IG77" s="26">
        <v>0</v>
      </c>
      <c r="IH77" s="33"/>
      <c r="II77">
        <v>8</v>
      </c>
      <c r="IJ77" s="28">
        <v>4.8000000000000007</v>
      </c>
      <c r="IK77" s="26">
        <v>3.1999999999999988</v>
      </c>
      <c r="IL77" s="30"/>
      <c r="IM77" s="31"/>
      <c r="IO77" s="26">
        <v>0</v>
      </c>
      <c r="IP77" s="33"/>
      <c r="IQ77">
        <v>16</v>
      </c>
      <c r="IR77">
        <v>16</v>
      </c>
      <c r="IS77" s="26">
        <v>0</v>
      </c>
      <c r="IT77" s="33"/>
      <c r="IW77" s="26">
        <v>0</v>
      </c>
      <c r="IX77" s="33"/>
      <c r="JA77" s="26">
        <v>0</v>
      </c>
      <c r="JB77" s="30"/>
      <c r="JC77" s="27"/>
      <c r="JE77" s="27"/>
      <c r="JG77" s="26">
        <v>0</v>
      </c>
      <c r="JH77" s="33"/>
      <c r="JI77" s="28">
        <v>0</v>
      </c>
      <c r="JJ77" s="28">
        <v>0</v>
      </c>
      <c r="JK77" s="26">
        <v>0</v>
      </c>
      <c r="JL77" s="33"/>
      <c r="JM77" s="28">
        <v>0</v>
      </c>
      <c r="JN77" s="28">
        <v>0</v>
      </c>
      <c r="JO77" s="26">
        <v>0</v>
      </c>
      <c r="JP77" s="33"/>
      <c r="JQ77" s="31">
        <v>0</v>
      </c>
      <c r="JR77" s="28">
        <v>0</v>
      </c>
      <c r="JS77" s="26">
        <v>0</v>
      </c>
      <c r="JT77" s="33"/>
    </row>
    <row r="78" spans="1:280" x14ac:dyDescent="0.25">
      <c r="A78" s="26" t="s">
        <v>229</v>
      </c>
      <c r="B78" s="27">
        <v>1</v>
      </c>
      <c r="I78" s="29"/>
      <c r="J78" s="35"/>
      <c r="K78" s="40"/>
      <c r="L78" s="35"/>
      <c r="M78" s="35">
        <f t="shared" si="9"/>
        <v>0</v>
      </c>
      <c r="N78" s="30"/>
      <c r="O78" s="29"/>
      <c r="P78" s="35"/>
      <c r="Q78" s="35"/>
      <c r="R78" s="35"/>
      <c r="S78" s="35">
        <f t="shared" si="10"/>
        <v>0</v>
      </c>
      <c r="T78" s="30"/>
      <c r="U78" s="29"/>
      <c r="V78" s="40"/>
      <c r="W78" s="35"/>
      <c r="X78" s="35"/>
      <c r="Y78" s="35"/>
      <c r="Z78" s="35"/>
      <c r="AA78" s="35">
        <f t="shared" si="11"/>
        <v>0</v>
      </c>
      <c r="AB78" s="30"/>
      <c r="AC78" s="29"/>
      <c r="AD78" s="35"/>
      <c r="AE78" s="35"/>
      <c r="AF78" s="35"/>
      <c r="AG78" s="35">
        <v>0</v>
      </c>
      <c r="AH78" s="30"/>
      <c r="AI78" s="35"/>
      <c r="AM78" s="26">
        <v>0</v>
      </c>
      <c r="AN78" s="30"/>
      <c r="AO78" s="31"/>
      <c r="AS78" s="26">
        <v>0</v>
      </c>
      <c r="AT78" s="30"/>
      <c r="AY78" s="26">
        <v>0</v>
      </c>
      <c r="AZ78" s="30"/>
      <c r="BD78" s="26">
        <v>0</v>
      </c>
      <c r="BE78" s="30"/>
      <c r="BF78" s="29"/>
      <c r="BH78" s="26">
        <v>0</v>
      </c>
      <c r="BI78" s="30"/>
      <c r="BJ78" s="29"/>
      <c r="BL78" s="26">
        <v>0</v>
      </c>
      <c r="BM78" s="30"/>
      <c r="BP78" s="26">
        <v>0</v>
      </c>
      <c r="BQ78" s="30"/>
      <c r="BR78" s="29"/>
      <c r="BT78" s="26">
        <v>0</v>
      </c>
      <c r="BU78" s="30"/>
      <c r="BX78" s="26">
        <v>0</v>
      </c>
      <c r="BY78" s="30"/>
      <c r="BZ78" s="29"/>
      <c r="CB78" s="26">
        <v>0</v>
      </c>
      <c r="CC78" s="30"/>
      <c r="CD78" s="29"/>
      <c r="CF78" s="26">
        <v>0</v>
      </c>
      <c r="CG78" s="30"/>
      <c r="CJ78" s="26">
        <v>0</v>
      </c>
      <c r="CK78" s="30"/>
      <c r="CL78" s="29"/>
      <c r="CP78" s="26">
        <v>0</v>
      </c>
      <c r="CQ78" s="30"/>
      <c r="CR78" s="29"/>
      <c r="CT78" s="26">
        <v>0</v>
      </c>
      <c r="CU78" s="30"/>
      <c r="CZ78" s="26">
        <v>0</v>
      </c>
      <c r="DA78" s="30"/>
      <c r="DD78" s="26">
        <v>0</v>
      </c>
      <c r="DE78" s="30"/>
      <c r="DF78" s="29"/>
      <c r="DH78" s="26">
        <v>0</v>
      </c>
      <c r="DI78" s="30"/>
      <c r="DJ78" s="29"/>
      <c r="DL78" s="26">
        <v>0</v>
      </c>
      <c r="DM78" s="30"/>
      <c r="DP78" s="26">
        <v>0</v>
      </c>
      <c r="DQ78" s="30"/>
      <c r="DR78" s="29"/>
      <c r="DU78" s="26">
        <v>0</v>
      </c>
      <c r="DV78" s="30"/>
      <c r="DW78" s="29"/>
      <c r="EA78" s="26">
        <v>0</v>
      </c>
      <c r="EB78" s="30"/>
      <c r="EC78" s="29"/>
      <c r="EF78" s="26">
        <v>0</v>
      </c>
      <c r="EG78" s="30"/>
      <c r="EJ78" s="26">
        <v>0</v>
      </c>
      <c r="EK78" s="30"/>
      <c r="EL78" s="31"/>
      <c r="EN78" s="26">
        <v>0</v>
      </c>
      <c r="EO78" s="30"/>
      <c r="EP78" s="29"/>
      <c r="ER78" s="26">
        <v>0</v>
      </c>
      <c r="ES78" s="30"/>
      <c r="ET78" s="29"/>
      <c r="EV78" s="26">
        <v>0</v>
      </c>
      <c r="EW78" s="30"/>
      <c r="EZ78" s="26">
        <v>0</v>
      </c>
      <c r="FA78" s="30"/>
      <c r="FD78" s="26">
        <v>0</v>
      </c>
      <c r="FE78" s="30"/>
      <c r="FF78" s="29"/>
      <c r="FI78" s="26">
        <v>0</v>
      </c>
      <c r="FJ78" s="30"/>
      <c r="FK78" s="29"/>
      <c r="FN78" s="26">
        <v>0</v>
      </c>
      <c r="FO78" s="30"/>
      <c r="FR78" s="26">
        <v>0</v>
      </c>
      <c r="FS78" s="30"/>
      <c r="FT78" s="29"/>
      <c r="FY78" s="26">
        <v>0</v>
      </c>
      <c r="FZ78" s="30"/>
      <c r="GC78" s="26">
        <v>0</v>
      </c>
      <c r="GD78" s="30"/>
      <c r="GE78" s="29"/>
      <c r="GI78" s="26">
        <v>0</v>
      </c>
      <c r="GJ78" s="30"/>
      <c r="GO78" s="26">
        <v>0</v>
      </c>
      <c r="GP78" s="30"/>
      <c r="GS78" s="26">
        <v>0</v>
      </c>
      <c r="GT78" s="30"/>
      <c r="GU78" s="29"/>
      <c r="GW78" s="26">
        <v>0</v>
      </c>
      <c r="GX78" s="30"/>
      <c r="GY78" s="29"/>
      <c r="HA78" s="26">
        <v>0</v>
      </c>
      <c r="HB78" s="30"/>
      <c r="HE78" s="26">
        <v>0</v>
      </c>
      <c r="HF78" s="30"/>
      <c r="HG78" s="29"/>
      <c r="HI78" s="26">
        <v>0</v>
      </c>
      <c r="HJ78" s="30"/>
      <c r="HK78" s="29"/>
      <c r="HM78" s="26">
        <v>0</v>
      </c>
      <c r="HN78" s="30"/>
      <c r="HQ78" s="26">
        <v>0</v>
      </c>
      <c r="HR78" s="33"/>
      <c r="HU78" s="26">
        <v>0</v>
      </c>
      <c r="HV78" s="30"/>
      <c r="HY78" s="26">
        <v>0</v>
      </c>
      <c r="HZ78" s="33"/>
      <c r="IC78" s="26">
        <v>0</v>
      </c>
      <c r="ID78" s="30"/>
      <c r="IG78" s="26">
        <v>0</v>
      </c>
      <c r="IH78" s="33"/>
      <c r="IK78" s="26">
        <v>0</v>
      </c>
      <c r="IL78" s="30"/>
      <c r="IM78" s="31"/>
      <c r="IO78" s="26">
        <v>0</v>
      </c>
      <c r="IP78" s="33"/>
      <c r="IS78" s="26">
        <v>0</v>
      </c>
      <c r="IT78" s="33"/>
      <c r="IW78" s="26">
        <v>0</v>
      </c>
      <c r="IX78" s="33"/>
      <c r="JA78" s="26">
        <v>0</v>
      </c>
      <c r="JB78" s="30"/>
      <c r="JC78" s="27"/>
      <c r="JE78" s="27"/>
      <c r="JG78" s="26">
        <v>0</v>
      </c>
      <c r="JH78" s="33"/>
      <c r="JI78" s="28">
        <v>60.265000000000001</v>
      </c>
      <c r="JJ78" s="28">
        <v>60</v>
      </c>
      <c r="JK78" s="26">
        <v>0.26500000000000062</v>
      </c>
      <c r="JL78" s="33"/>
      <c r="JM78" s="28">
        <v>53.494</v>
      </c>
      <c r="JN78" s="28">
        <v>51.692399999999992</v>
      </c>
      <c r="JO78" s="26">
        <v>1.8016000000000081</v>
      </c>
      <c r="JP78" s="33"/>
      <c r="JQ78" s="31">
        <v>0</v>
      </c>
      <c r="JR78" s="28">
        <v>0</v>
      </c>
      <c r="JS78" s="26">
        <v>0</v>
      </c>
      <c r="JT78" s="33"/>
    </row>
    <row r="79" spans="1:280" x14ac:dyDescent="0.25">
      <c r="A79" s="26" t="s">
        <v>230</v>
      </c>
      <c r="B79" s="27">
        <v>1</v>
      </c>
      <c r="E79">
        <v>121</v>
      </c>
      <c r="F79">
        <v>121</v>
      </c>
      <c r="I79" s="32">
        <v>47</v>
      </c>
      <c r="J79" s="36">
        <v>47</v>
      </c>
      <c r="K79" s="36">
        <v>46</v>
      </c>
      <c r="L79" s="36">
        <v>47</v>
      </c>
      <c r="M79" s="35">
        <f t="shared" si="9"/>
        <v>-1</v>
      </c>
      <c r="N79" s="30"/>
      <c r="O79" s="32">
        <v>87</v>
      </c>
      <c r="P79" s="36">
        <v>85</v>
      </c>
      <c r="Q79" s="36">
        <v>78</v>
      </c>
      <c r="R79" s="36">
        <v>80</v>
      </c>
      <c r="S79" s="35">
        <f t="shared" si="10"/>
        <v>0</v>
      </c>
      <c r="T79" s="30"/>
      <c r="U79" s="29"/>
      <c r="V79" s="40"/>
      <c r="W79" s="35"/>
      <c r="X79" s="35"/>
      <c r="Y79" s="36">
        <v>68</v>
      </c>
      <c r="Z79" s="36">
        <v>66</v>
      </c>
      <c r="AA79" s="35">
        <f t="shared" si="11"/>
        <v>2</v>
      </c>
      <c r="AB79" s="30"/>
      <c r="AC79" s="29"/>
      <c r="AD79" s="35"/>
      <c r="AE79" s="35"/>
      <c r="AF79" s="35"/>
      <c r="AG79" s="35">
        <v>0</v>
      </c>
      <c r="AH79" s="30"/>
      <c r="AI79" s="36">
        <v>104</v>
      </c>
      <c r="AJ79">
        <v>100</v>
      </c>
      <c r="AK79">
        <v>81</v>
      </c>
      <c r="AL79">
        <v>80</v>
      </c>
      <c r="AM79" s="26">
        <v>5</v>
      </c>
      <c r="AN79" s="30"/>
      <c r="AO79" s="31"/>
      <c r="AQ79">
        <v>81</v>
      </c>
      <c r="AR79">
        <v>80</v>
      </c>
      <c r="AS79" s="26">
        <v>1</v>
      </c>
      <c r="AT79" s="30"/>
      <c r="AY79" s="26">
        <v>0</v>
      </c>
      <c r="AZ79" s="30"/>
      <c r="BB79">
        <v>66</v>
      </c>
      <c r="BC79">
        <v>63</v>
      </c>
      <c r="BD79" s="26">
        <v>3</v>
      </c>
      <c r="BE79" s="30"/>
      <c r="BF79" s="32">
        <v>157</v>
      </c>
      <c r="BG79">
        <v>149</v>
      </c>
      <c r="BH79" s="26">
        <v>8</v>
      </c>
      <c r="BI79" s="30"/>
      <c r="BJ79" s="29"/>
      <c r="BL79" s="26">
        <v>0</v>
      </c>
      <c r="BM79" s="30"/>
      <c r="BN79">
        <v>210</v>
      </c>
      <c r="BO79">
        <v>199</v>
      </c>
      <c r="BP79" s="26">
        <v>11</v>
      </c>
      <c r="BQ79" s="30"/>
      <c r="BR79" s="32">
        <v>176</v>
      </c>
      <c r="BS79">
        <v>170</v>
      </c>
      <c r="BT79" s="26">
        <v>6</v>
      </c>
      <c r="BU79" s="30"/>
      <c r="BV79">
        <v>44</v>
      </c>
      <c r="BW79">
        <v>42</v>
      </c>
      <c r="BX79" s="26">
        <v>2</v>
      </c>
      <c r="BY79" s="30"/>
      <c r="BZ79" s="32">
        <v>154</v>
      </c>
      <c r="CA79">
        <v>145</v>
      </c>
      <c r="CB79" s="26">
        <v>9</v>
      </c>
      <c r="CC79" s="30"/>
      <c r="CD79" s="32">
        <v>110</v>
      </c>
      <c r="CE79">
        <v>107</v>
      </c>
      <c r="CF79" s="26">
        <v>3</v>
      </c>
      <c r="CG79" s="30"/>
      <c r="CH79">
        <v>12</v>
      </c>
      <c r="CI79">
        <v>11</v>
      </c>
      <c r="CJ79" s="26">
        <v>1</v>
      </c>
      <c r="CK79" s="30"/>
      <c r="CL79" s="32">
        <v>74</v>
      </c>
      <c r="CM79">
        <v>70</v>
      </c>
      <c r="CN79">
        <v>69</v>
      </c>
      <c r="CO79">
        <v>65</v>
      </c>
      <c r="CP79" s="26">
        <v>8</v>
      </c>
      <c r="CQ79" s="30"/>
      <c r="CR79" s="29"/>
      <c r="CT79" s="26">
        <v>0</v>
      </c>
      <c r="CU79" s="30"/>
      <c r="CX79">
        <v>109</v>
      </c>
      <c r="CY79">
        <v>103</v>
      </c>
      <c r="CZ79" s="26">
        <v>6</v>
      </c>
      <c r="DA79" s="30"/>
      <c r="DB79">
        <v>46</v>
      </c>
      <c r="DC79">
        <v>43</v>
      </c>
      <c r="DD79" s="26">
        <v>3</v>
      </c>
      <c r="DE79" s="30"/>
      <c r="DF79" s="32">
        <v>71</v>
      </c>
      <c r="DG79">
        <v>69</v>
      </c>
      <c r="DH79" s="26">
        <v>2</v>
      </c>
      <c r="DI79" s="30"/>
      <c r="DJ79" s="32">
        <v>106</v>
      </c>
      <c r="DK79">
        <v>100</v>
      </c>
      <c r="DL79" s="26">
        <v>6</v>
      </c>
      <c r="DM79" s="30"/>
      <c r="DN79">
        <v>50</v>
      </c>
      <c r="DO79">
        <v>47</v>
      </c>
      <c r="DP79" s="26">
        <v>3</v>
      </c>
      <c r="DQ79" s="30"/>
      <c r="DR79" s="32">
        <v>50</v>
      </c>
      <c r="DT79">
        <v>46</v>
      </c>
      <c r="DU79" s="26">
        <v>4</v>
      </c>
      <c r="DV79" s="30"/>
      <c r="DW79" s="29"/>
      <c r="DY79">
        <v>78</v>
      </c>
      <c r="DZ79">
        <v>73</v>
      </c>
      <c r="EA79" s="26">
        <v>5</v>
      </c>
      <c r="EB79" s="30"/>
      <c r="EC79" s="32">
        <v>103</v>
      </c>
      <c r="EE79">
        <v>99</v>
      </c>
      <c r="EF79" s="26">
        <v>4</v>
      </c>
      <c r="EG79" s="30"/>
      <c r="EH79">
        <v>124</v>
      </c>
      <c r="EI79" s="26">
        <v>117.9884</v>
      </c>
      <c r="EJ79" s="26">
        <v>6.0116000000000014</v>
      </c>
      <c r="EK79" s="30"/>
      <c r="EL79" s="32">
        <v>9</v>
      </c>
      <c r="EM79" s="26">
        <v>6.8859999999999957</v>
      </c>
      <c r="EN79" s="26">
        <v>2.1140000000000039</v>
      </c>
      <c r="EO79" s="30"/>
      <c r="EP79" s="32">
        <v>43</v>
      </c>
      <c r="EQ79" s="26">
        <v>40.9816</v>
      </c>
      <c r="ER79" s="26">
        <v>2.0184000000000002</v>
      </c>
      <c r="ES79" s="30"/>
      <c r="ET79" s="32">
        <v>50</v>
      </c>
      <c r="EU79">
        <v>48</v>
      </c>
      <c r="EV79" s="26">
        <v>2</v>
      </c>
      <c r="EW79" s="30"/>
      <c r="EX79">
        <v>87</v>
      </c>
      <c r="EY79" s="28">
        <v>81.807799999999972</v>
      </c>
      <c r="EZ79" s="26">
        <v>5.1922000000000281</v>
      </c>
      <c r="FA79" s="30"/>
      <c r="FB79">
        <v>126</v>
      </c>
      <c r="FC79">
        <v>123</v>
      </c>
      <c r="FD79" s="26">
        <v>3</v>
      </c>
      <c r="FE79" s="30"/>
      <c r="FF79" s="29"/>
      <c r="FI79" s="26">
        <v>0</v>
      </c>
      <c r="FJ79" s="30"/>
      <c r="FK79" s="29"/>
      <c r="FN79" s="26">
        <v>0</v>
      </c>
      <c r="FO79" s="30"/>
      <c r="FR79" s="26">
        <v>0</v>
      </c>
      <c r="FS79" s="30"/>
      <c r="FT79" s="29"/>
      <c r="FU79">
        <v>85</v>
      </c>
      <c r="FV79">
        <v>80</v>
      </c>
      <c r="FW79">
        <v>74</v>
      </c>
      <c r="FX79">
        <v>71</v>
      </c>
      <c r="FY79" s="26">
        <v>8</v>
      </c>
      <c r="FZ79" s="30"/>
      <c r="GC79" s="26">
        <v>0</v>
      </c>
      <c r="GD79" s="30"/>
      <c r="GE79" s="29"/>
      <c r="GI79" s="26">
        <v>0</v>
      </c>
      <c r="GJ79" s="30"/>
      <c r="GK79">
        <v>83</v>
      </c>
      <c r="GL79">
        <v>80</v>
      </c>
      <c r="GM79">
        <v>92</v>
      </c>
      <c r="GN79">
        <v>90</v>
      </c>
      <c r="GO79" s="26">
        <v>5</v>
      </c>
      <c r="GP79" s="30"/>
      <c r="GS79" s="26">
        <v>0</v>
      </c>
      <c r="GT79" s="30"/>
      <c r="GU79" s="32">
        <v>106</v>
      </c>
      <c r="GV79">
        <v>100</v>
      </c>
      <c r="GW79" s="26">
        <v>6</v>
      </c>
      <c r="GX79" s="30"/>
      <c r="GY79" s="32">
        <v>44</v>
      </c>
      <c r="GZ79">
        <v>40</v>
      </c>
      <c r="HA79" s="26">
        <v>4</v>
      </c>
      <c r="HB79" s="30"/>
      <c r="HE79" s="26">
        <v>0</v>
      </c>
      <c r="HF79" s="30"/>
      <c r="HG79" s="32">
        <v>88</v>
      </c>
      <c r="HH79">
        <v>80</v>
      </c>
      <c r="HI79" s="26">
        <v>8</v>
      </c>
      <c r="HJ79" s="30"/>
      <c r="HK79" s="32">
        <v>56</v>
      </c>
      <c r="HL79">
        <v>55</v>
      </c>
      <c r="HM79" s="26">
        <v>1</v>
      </c>
      <c r="HN79" s="30"/>
      <c r="HO79">
        <v>6</v>
      </c>
      <c r="HP79">
        <v>6</v>
      </c>
      <c r="HQ79" s="26">
        <v>0</v>
      </c>
      <c r="HR79" s="33"/>
      <c r="HS79">
        <v>59</v>
      </c>
      <c r="HT79">
        <v>60</v>
      </c>
      <c r="HU79" s="26">
        <v>-1</v>
      </c>
      <c r="HV79" s="30"/>
      <c r="HW79">
        <v>21</v>
      </c>
      <c r="HX79">
        <v>20</v>
      </c>
      <c r="HY79" s="26">
        <v>1</v>
      </c>
      <c r="HZ79" s="33"/>
      <c r="IA79">
        <v>51</v>
      </c>
      <c r="IB79">
        <v>51</v>
      </c>
      <c r="IC79" s="26">
        <v>0</v>
      </c>
      <c r="ID79" s="30"/>
      <c r="IE79">
        <v>18</v>
      </c>
      <c r="IF79">
        <v>20</v>
      </c>
      <c r="IG79" s="26">
        <v>-2</v>
      </c>
      <c r="IH79" s="33"/>
      <c r="IK79" s="26">
        <v>0</v>
      </c>
      <c r="IL79" s="30"/>
      <c r="IM79" s="31"/>
      <c r="IO79" s="26">
        <v>0</v>
      </c>
      <c r="IP79" s="33"/>
      <c r="IQ79">
        <v>45</v>
      </c>
      <c r="IR79">
        <v>45</v>
      </c>
      <c r="IS79" s="26">
        <v>0</v>
      </c>
      <c r="IT79" s="33"/>
      <c r="IW79" s="26">
        <v>0</v>
      </c>
      <c r="IX79" s="33"/>
      <c r="IY79">
        <v>30</v>
      </c>
      <c r="IZ79">
        <v>29</v>
      </c>
      <c r="JA79" s="26">
        <v>1</v>
      </c>
      <c r="JB79" s="30"/>
      <c r="JC79">
        <v>12</v>
      </c>
      <c r="JD79">
        <v>10</v>
      </c>
      <c r="JE79" s="27"/>
      <c r="JG79" s="26">
        <v>2</v>
      </c>
      <c r="JH79" s="33"/>
      <c r="JL79" s="33"/>
      <c r="JP79" s="33"/>
      <c r="JQ79" s="31"/>
      <c r="JT79" s="33"/>
    </row>
    <row r="80" spans="1:280" x14ac:dyDescent="0.25">
      <c r="A80" s="26" t="s">
        <v>231</v>
      </c>
      <c r="B80" s="27">
        <v>0.4</v>
      </c>
      <c r="I80" s="29"/>
      <c r="J80" s="35"/>
      <c r="K80" s="40"/>
      <c r="L80" s="35"/>
      <c r="M80" s="35">
        <f t="shared" si="9"/>
        <v>0</v>
      </c>
      <c r="N80" s="30"/>
      <c r="O80" s="29"/>
      <c r="P80" s="35"/>
      <c r="Q80" s="35"/>
      <c r="R80" s="35"/>
      <c r="S80" s="35">
        <f t="shared" si="10"/>
        <v>0</v>
      </c>
      <c r="T80" s="30"/>
      <c r="U80" s="29"/>
      <c r="V80" s="40"/>
      <c r="W80" s="35"/>
      <c r="X80" s="35"/>
      <c r="Y80" s="35"/>
      <c r="Z80" s="35"/>
      <c r="AA80" s="35">
        <f t="shared" si="11"/>
        <v>0</v>
      </c>
      <c r="AB80" s="30"/>
      <c r="AC80" s="29"/>
      <c r="AD80" s="35"/>
      <c r="AE80" s="35"/>
      <c r="AF80" s="35"/>
      <c r="AG80" s="35">
        <v>0</v>
      </c>
      <c r="AH80" s="30"/>
      <c r="AI80" s="35"/>
      <c r="AM80" s="26">
        <v>0</v>
      </c>
      <c r="AN80" s="30"/>
      <c r="AO80" s="31"/>
      <c r="AS80" s="26">
        <v>0</v>
      </c>
      <c r="AT80" s="30"/>
      <c r="AY80" s="26">
        <v>0</v>
      </c>
      <c r="AZ80" s="30"/>
      <c r="BC80">
        <v>35</v>
      </c>
      <c r="BD80" s="25">
        <v>-35</v>
      </c>
      <c r="BE80" s="30">
        <v>14</v>
      </c>
      <c r="BF80" s="32">
        <v>24</v>
      </c>
      <c r="BG80">
        <v>24</v>
      </c>
      <c r="BH80" s="26">
        <v>0</v>
      </c>
      <c r="BI80" s="30"/>
      <c r="BJ80" s="29"/>
      <c r="BK80">
        <v>8</v>
      </c>
      <c r="BL80" s="25">
        <v>-8</v>
      </c>
      <c r="BM80" s="30">
        <v>3.2</v>
      </c>
      <c r="BN80">
        <v>36</v>
      </c>
      <c r="BO80">
        <v>37</v>
      </c>
      <c r="BP80" s="26">
        <v>-1</v>
      </c>
      <c r="BQ80" s="30"/>
      <c r="BR80" s="29"/>
      <c r="BT80" s="26">
        <v>0</v>
      </c>
      <c r="BU80" s="30"/>
      <c r="BV80">
        <v>6</v>
      </c>
      <c r="BW80">
        <v>5</v>
      </c>
      <c r="BX80" s="26">
        <v>1</v>
      </c>
      <c r="BY80" s="30"/>
      <c r="BZ80" s="32">
        <v>6</v>
      </c>
      <c r="CA80">
        <v>9</v>
      </c>
      <c r="CB80" s="26">
        <v>-3</v>
      </c>
      <c r="CC80" s="30"/>
      <c r="CD80" s="29"/>
      <c r="CF80" s="26">
        <v>0</v>
      </c>
      <c r="CG80" s="30"/>
      <c r="CJ80" s="26">
        <v>0</v>
      </c>
      <c r="CK80" s="30"/>
      <c r="CL80" s="29"/>
      <c r="CM80">
        <v>16</v>
      </c>
      <c r="CN80">
        <v>30</v>
      </c>
      <c r="CO80">
        <v>28</v>
      </c>
      <c r="CP80" s="25">
        <v>-14</v>
      </c>
      <c r="CQ80" s="30">
        <v>13.6</v>
      </c>
      <c r="CR80" s="32">
        <v>6</v>
      </c>
      <c r="CS80">
        <v>6</v>
      </c>
      <c r="CT80" s="26">
        <v>0</v>
      </c>
      <c r="CU80" s="30"/>
      <c r="CZ80" s="26">
        <v>0</v>
      </c>
      <c r="DA80" s="30"/>
      <c r="DB80">
        <v>36</v>
      </c>
      <c r="DC80">
        <v>38</v>
      </c>
      <c r="DD80" s="26">
        <v>-2</v>
      </c>
      <c r="DE80" s="30"/>
      <c r="DF80" s="29"/>
      <c r="DH80" s="26">
        <v>0</v>
      </c>
      <c r="DI80" s="30"/>
      <c r="DJ80" s="32">
        <v>30</v>
      </c>
      <c r="DK80" s="26">
        <v>30</v>
      </c>
      <c r="DL80" s="26">
        <v>0</v>
      </c>
      <c r="DM80" s="30"/>
      <c r="DP80" s="26">
        <v>0</v>
      </c>
      <c r="DQ80" s="30"/>
      <c r="DR80" s="29"/>
      <c r="DU80" s="26">
        <v>0</v>
      </c>
      <c r="DV80" s="30"/>
      <c r="DW80" s="29"/>
      <c r="EA80" s="26">
        <v>0</v>
      </c>
      <c r="EB80" s="30"/>
      <c r="EC80" s="29"/>
      <c r="EF80" s="26">
        <v>0</v>
      </c>
      <c r="EG80" s="30"/>
      <c r="EJ80" s="26">
        <v>0</v>
      </c>
      <c r="EK80" s="30"/>
      <c r="EL80" s="31"/>
      <c r="EN80" s="26">
        <v>0</v>
      </c>
      <c r="EO80" s="30"/>
      <c r="EP80" s="29"/>
      <c r="ER80" s="26">
        <v>0</v>
      </c>
      <c r="ES80" s="30"/>
      <c r="ET80" s="29"/>
      <c r="EV80" s="26">
        <v>0</v>
      </c>
      <c r="EW80" s="30"/>
      <c r="EZ80" s="26">
        <v>0</v>
      </c>
      <c r="FA80" s="30"/>
      <c r="FD80" s="26">
        <v>0</v>
      </c>
      <c r="FE80" s="30"/>
      <c r="FF80" s="29"/>
      <c r="FI80" s="26">
        <v>0</v>
      </c>
      <c r="FJ80" s="30"/>
      <c r="FK80" s="29"/>
      <c r="FN80" s="26">
        <v>0</v>
      </c>
      <c r="FO80" s="30"/>
      <c r="FR80" s="26">
        <v>0</v>
      </c>
      <c r="FS80" s="30"/>
      <c r="FT80" s="29"/>
      <c r="FY80" s="26">
        <v>0</v>
      </c>
      <c r="FZ80" s="30"/>
      <c r="GC80" s="26">
        <v>0</v>
      </c>
      <c r="GD80" s="30"/>
      <c r="GE80" s="29"/>
      <c r="GI80" s="26">
        <v>0</v>
      </c>
      <c r="GJ80" s="30"/>
      <c r="GO80" s="26">
        <v>0</v>
      </c>
      <c r="GP80" s="30"/>
      <c r="GS80" s="26">
        <v>0</v>
      </c>
      <c r="GT80" s="30"/>
      <c r="GU80" s="29"/>
      <c r="GW80" s="26">
        <v>0</v>
      </c>
      <c r="GX80" s="30"/>
      <c r="GY80" s="29"/>
      <c r="HA80" s="26">
        <v>0</v>
      </c>
      <c r="HB80" s="30"/>
      <c r="HE80" s="26">
        <v>0</v>
      </c>
      <c r="HF80" s="30"/>
      <c r="HG80" s="29"/>
      <c r="HI80" s="26">
        <v>0</v>
      </c>
      <c r="HJ80" s="30"/>
      <c r="HK80" s="29"/>
      <c r="HM80" s="26">
        <v>0</v>
      </c>
      <c r="HN80" s="30"/>
      <c r="HQ80" s="26">
        <v>0</v>
      </c>
      <c r="HR80" s="33"/>
      <c r="HU80" s="26">
        <v>0</v>
      </c>
      <c r="HV80" s="30"/>
      <c r="HY80" s="26">
        <v>0</v>
      </c>
      <c r="HZ80" s="33"/>
      <c r="IC80" s="26">
        <v>0</v>
      </c>
      <c r="ID80" s="30"/>
      <c r="IG80" s="26">
        <v>0</v>
      </c>
      <c r="IH80" s="33"/>
      <c r="IK80" s="26">
        <v>0</v>
      </c>
      <c r="IL80" s="30"/>
      <c r="IM80" s="31"/>
      <c r="IO80" s="26">
        <v>0</v>
      </c>
      <c r="IP80" s="33"/>
      <c r="IS80" s="26">
        <v>0</v>
      </c>
      <c r="IT80" s="33"/>
      <c r="IW80" s="26">
        <v>0</v>
      </c>
      <c r="IX80" s="33"/>
      <c r="JA80" s="26">
        <v>0</v>
      </c>
      <c r="JB80" s="30"/>
      <c r="JC80" s="27"/>
      <c r="JE80" s="27"/>
      <c r="JG80" s="26">
        <v>0</v>
      </c>
      <c r="JH80" s="33"/>
      <c r="JI80" s="28">
        <v>0</v>
      </c>
      <c r="JJ80" s="28">
        <v>0</v>
      </c>
      <c r="JK80" s="26">
        <v>0</v>
      </c>
      <c r="JL80" s="33"/>
      <c r="JM80" s="28">
        <v>0</v>
      </c>
      <c r="JN80" s="28">
        <v>0</v>
      </c>
      <c r="JO80" s="26">
        <v>0</v>
      </c>
      <c r="JP80" s="33"/>
      <c r="JQ80" s="31">
        <v>0</v>
      </c>
      <c r="JR80" s="28">
        <v>0</v>
      </c>
      <c r="JS80" s="26">
        <v>0</v>
      </c>
      <c r="JT80" s="33"/>
    </row>
    <row r="81" spans="1:280" x14ac:dyDescent="0.25">
      <c r="A81" s="26" t="s">
        <v>232</v>
      </c>
      <c r="B81" s="27">
        <v>0.3</v>
      </c>
      <c r="E81">
        <v>50</v>
      </c>
      <c r="F81">
        <v>22</v>
      </c>
      <c r="I81" s="32">
        <v>144</v>
      </c>
      <c r="J81" s="36">
        <v>146</v>
      </c>
      <c r="K81" s="36">
        <v>144</v>
      </c>
      <c r="L81" s="36">
        <v>147</v>
      </c>
      <c r="M81" s="35">
        <f t="shared" si="9"/>
        <v>-5</v>
      </c>
      <c r="N81" s="30"/>
      <c r="O81" s="29"/>
      <c r="P81" s="35"/>
      <c r="Q81" s="35"/>
      <c r="R81" s="35"/>
      <c r="S81" s="35">
        <f t="shared" si="10"/>
        <v>0</v>
      </c>
      <c r="T81" s="30"/>
      <c r="U81" s="29"/>
      <c r="V81" s="36">
        <v>88</v>
      </c>
      <c r="W81" s="36">
        <v>93</v>
      </c>
      <c r="X81" s="35"/>
      <c r="Y81" s="36">
        <v>72</v>
      </c>
      <c r="Z81" s="36">
        <v>74</v>
      </c>
      <c r="AA81" s="35">
        <f t="shared" si="11"/>
        <v>-7</v>
      </c>
      <c r="AB81" s="30"/>
      <c r="AC81" s="29"/>
      <c r="AD81" s="35"/>
      <c r="AE81" s="36">
        <v>184</v>
      </c>
      <c r="AF81" s="40">
        <v>187</v>
      </c>
      <c r="AG81" s="35">
        <v>-3</v>
      </c>
      <c r="AH81" s="30"/>
      <c r="AI81" s="35"/>
      <c r="AK81">
        <v>88</v>
      </c>
      <c r="AL81">
        <v>95</v>
      </c>
      <c r="AM81" s="26">
        <v>-7</v>
      </c>
      <c r="AN81" s="30"/>
      <c r="AO81" s="31"/>
      <c r="AQ81">
        <v>8</v>
      </c>
      <c r="AR81">
        <v>8</v>
      </c>
      <c r="AS81" s="26">
        <v>0</v>
      </c>
      <c r="AT81" s="30"/>
      <c r="AU81">
        <v>56</v>
      </c>
      <c r="AV81">
        <v>60</v>
      </c>
      <c r="AW81">
        <v>32</v>
      </c>
      <c r="AX81">
        <v>34</v>
      </c>
      <c r="AY81" s="26">
        <v>-6</v>
      </c>
      <c r="AZ81" s="30"/>
      <c r="BB81">
        <v>104</v>
      </c>
      <c r="BC81">
        <v>103</v>
      </c>
      <c r="BD81" s="26">
        <v>1</v>
      </c>
      <c r="BE81" s="30"/>
      <c r="BF81" s="32">
        <v>168</v>
      </c>
      <c r="BG81">
        <v>168</v>
      </c>
      <c r="BH81" s="26">
        <v>0</v>
      </c>
      <c r="BI81" s="30"/>
      <c r="BJ81" s="32">
        <v>160</v>
      </c>
      <c r="BK81">
        <v>161</v>
      </c>
      <c r="BL81" s="26">
        <v>-1</v>
      </c>
      <c r="BM81" s="30"/>
      <c r="BN81">
        <v>80</v>
      </c>
      <c r="BO81">
        <v>82</v>
      </c>
      <c r="BP81" s="26">
        <v>-2</v>
      </c>
      <c r="BQ81" s="30"/>
      <c r="BR81" s="32">
        <v>104</v>
      </c>
      <c r="BS81">
        <v>107</v>
      </c>
      <c r="BT81" s="26">
        <v>-3</v>
      </c>
      <c r="BU81" s="30"/>
      <c r="BV81">
        <v>192</v>
      </c>
      <c r="BW81">
        <v>192</v>
      </c>
      <c r="BX81" s="26">
        <v>0</v>
      </c>
      <c r="BY81" s="30"/>
      <c r="BZ81" s="29"/>
      <c r="CB81" s="26">
        <v>0</v>
      </c>
      <c r="CC81" s="30"/>
      <c r="CD81" s="32">
        <v>104</v>
      </c>
      <c r="CE81">
        <v>104</v>
      </c>
      <c r="CF81" s="26">
        <v>0</v>
      </c>
      <c r="CG81" s="30"/>
      <c r="CH81">
        <v>152</v>
      </c>
      <c r="CI81">
        <v>155</v>
      </c>
      <c r="CJ81" s="26">
        <v>-3</v>
      </c>
      <c r="CK81" s="30"/>
      <c r="CL81" s="32">
        <v>24</v>
      </c>
      <c r="CM81">
        <v>24</v>
      </c>
      <c r="CN81">
        <v>24</v>
      </c>
      <c r="CO81">
        <v>35</v>
      </c>
      <c r="CP81" s="25">
        <v>-11</v>
      </c>
      <c r="CQ81" s="30">
        <v>10.7</v>
      </c>
      <c r="CR81" s="32">
        <v>88</v>
      </c>
      <c r="CS81">
        <v>92</v>
      </c>
      <c r="CT81" s="26">
        <v>-4</v>
      </c>
      <c r="CU81" s="30"/>
      <c r="CX81">
        <v>112</v>
      </c>
      <c r="CY81">
        <v>117</v>
      </c>
      <c r="CZ81" s="26">
        <v>-5</v>
      </c>
      <c r="DA81" s="30"/>
      <c r="DB81">
        <v>32</v>
      </c>
      <c r="DC81">
        <v>33</v>
      </c>
      <c r="DD81" s="26">
        <v>-1</v>
      </c>
      <c r="DE81" s="30"/>
      <c r="DF81" s="32">
        <v>128</v>
      </c>
      <c r="DG81">
        <v>131</v>
      </c>
      <c r="DH81" s="26">
        <v>-3</v>
      </c>
      <c r="DI81" s="30"/>
      <c r="DJ81" s="29"/>
      <c r="DL81" s="26">
        <v>0</v>
      </c>
      <c r="DM81" s="30"/>
      <c r="DN81">
        <v>64</v>
      </c>
      <c r="DO81">
        <v>69</v>
      </c>
      <c r="DP81" s="26">
        <v>-5</v>
      </c>
      <c r="DQ81" s="30"/>
      <c r="DR81" s="32">
        <v>144</v>
      </c>
      <c r="DT81">
        <v>144</v>
      </c>
      <c r="DU81" s="26">
        <v>0</v>
      </c>
      <c r="DV81" s="30"/>
      <c r="DW81" s="29"/>
      <c r="DY81">
        <v>64</v>
      </c>
      <c r="DZ81">
        <v>66</v>
      </c>
      <c r="EA81" s="26">
        <v>-2</v>
      </c>
      <c r="EB81" s="30"/>
      <c r="EC81" s="32">
        <v>88</v>
      </c>
      <c r="EE81">
        <v>91</v>
      </c>
      <c r="EF81" s="26">
        <v>-3</v>
      </c>
      <c r="EG81" s="30"/>
      <c r="EH81">
        <v>56</v>
      </c>
      <c r="EI81" s="26">
        <v>58</v>
      </c>
      <c r="EJ81" s="26">
        <v>-2</v>
      </c>
      <c r="EK81" s="30"/>
      <c r="EL81" s="31"/>
      <c r="EN81" s="26">
        <v>0</v>
      </c>
      <c r="EO81" s="30"/>
      <c r="EP81" s="32">
        <v>32</v>
      </c>
      <c r="EQ81" s="26">
        <v>30.2</v>
      </c>
      <c r="ER81" s="26">
        <v>1.8000000000000009</v>
      </c>
      <c r="ES81" s="30"/>
      <c r="ET81" s="32">
        <v>64</v>
      </c>
      <c r="EU81">
        <v>65</v>
      </c>
      <c r="EV81" s="26">
        <v>-1</v>
      </c>
      <c r="EW81" s="30"/>
      <c r="EZ81" s="26">
        <v>0</v>
      </c>
      <c r="FA81" s="30"/>
      <c r="FB81">
        <v>72</v>
      </c>
      <c r="FC81">
        <v>71</v>
      </c>
      <c r="FD81" s="26">
        <v>1</v>
      </c>
      <c r="FE81" s="30"/>
      <c r="FF81" s="29"/>
      <c r="FI81" s="26">
        <v>0</v>
      </c>
      <c r="FJ81" s="30"/>
      <c r="FK81" s="29"/>
      <c r="FN81" s="26">
        <v>0</v>
      </c>
      <c r="FO81" s="30"/>
      <c r="FR81" s="26">
        <v>0</v>
      </c>
      <c r="FS81" s="30"/>
      <c r="FT81" s="29"/>
      <c r="FU81">
        <v>96</v>
      </c>
      <c r="FV81" s="28">
        <v>100</v>
      </c>
      <c r="FY81" s="26">
        <v>-4</v>
      </c>
      <c r="FZ81" s="30"/>
      <c r="GC81" s="26">
        <v>0</v>
      </c>
      <c r="GD81" s="30"/>
      <c r="GE81" s="29"/>
      <c r="GJ81" s="30"/>
      <c r="GP81" s="30"/>
      <c r="GT81" s="30"/>
      <c r="GU81" s="29"/>
      <c r="GX81" s="30"/>
      <c r="GY81" s="29"/>
      <c r="HB81" s="30"/>
      <c r="HF81" s="30"/>
      <c r="HG81" s="29"/>
      <c r="HJ81" s="30"/>
      <c r="HK81" s="29"/>
      <c r="HN81" s="30"/>
      <c r="HP81" s="27"/>
      <c r="HR81" s="33"/>
      <c r="HV81" s="30"/>
      <c r="HZ81" s="33"/>
      <c r="ID81" s="30"/>
      <c r="IH81" s="33"/>
      <c r="IL81" s="30"/>
      <c r="IM81" s="31"/>
      <c r="IP81" s="33"/>
      <c r="IT81" s="33"/>
      <c r="IX81" s="33"/>
      <c r="JB81" s="30"/>
      <c r="JC81" s="27"/>
      <c r="JE81" s="27"/>
      <c r="JH81" s="33"/>
      <c r="JI81" s="28"/>
      <c r="JJ81" s="28"/>
      <c r="JL81" s="33"/>
      <c r="JM81" s="28"/>
      <c r="JN81" s="28"/>
      <c r="JP81" s="33"/>
      <c r="JQ81" s="31"/>
      <c r="JR81" s="28"/>
      <c r="JT81" s="33"/>
    </row>
    <row r="82" spans="1:280" x14ac:dyDescent="0.25">
      <c r="A82" s="26" t="s">
        <v>233</v>
      </c>
      <c r="B82" s="27">
        <v>1</v>
      </c>
      <c r="I82" s="29"/>
      <c r="J82" s="35"/>
      <c r="K82" s="40"/>
      <c r="L82" s="35"/>
      <c r="M82" s="35">
        <f t="shared" si="9"/>
        <v>0</v>
      </c>
      <c r="N82" s="30"/>
      <c r="O82" s="29"/>
      <c r="P82" s="35"/>
      <c r="Q82" s="35"/>
      <c r="R82" s="35"/>
      <c r="S82" s="35">
        <f t="shared" si="10"/>
        <v>0</v>
      </c>
      <c r="T82" s="30"/>
      <c r="U82" s="29"/>
      <c r="V82" s="40"/>
      <c r="W82" s="35"/>
      <c r="X82" s="35"/>
      <c r="Y82" s="35"/>
      <c r="Z82" s="35"/>
      <c r="AA82" s="35">
        <f t="shared" si="11"/>
        <v>0</v>
      </c>
      <c r="AB82" s="30"/>
      <c r="AC82" s="29"/>
      <c r="AD82" s="35"/>
      <c r="AE82" s="35"/>
      <c r="AF82" s="35"/>
      <c r="AG82" s="35">
        <v>0</v>
      </c>
      <c r="AH82" s="30"/>
      <c r="AI82" s="35"/>
      <c r="AM82" s="26">
        <v>0</v>
      </c>
      <c r="AN82" s="30"/>
      <c r="AO82" s="31"/>
      <c r="AS82" s="26">
        <v>0</v>
      </c>
      <c r="AT82" s="30"/>
      <c r="AY82" s="26">
        <v>0</v>
      </c>
      <c r="AZ82" s="30"/>
      <c r="BD82" s="26">
        <v>0</v>
      </c>
      <c r="BE82" s="30"/>
      <c r="BF82" s="29"/>
      <c r="BH82" s="26">
        <v>0</v>
      </c>
      <c r="BI82" s="30"/>
      <c r="BJ82" s="29"/>
      <c r="BL82" s="26">
        <v>0</v>
      </c>
      <c r="BM82" s="30"/>
      <c r="BP82" s="26">
        <v>0</v>
      </c>
      <c r="BQ82" s="30"/>
      <c r="BR82" s="29"/>
      <c r="BT82" s="26">
        <v>0</v>
      </c>
      <c r="BU82" s="30"/>
      <c r="BX82" s="26">
        <v>0</v>
      </c>
      <c r="BY82" s="30"/>
      <c r="BZ82" s="29"/>
      <c r="CB82" s="26">
        <v>0</v>
      </c>
      <c r="CC82" s="30"/>
      <c r="CD82" s="29"/>
      <c r="CF82" s="26">
        <v>0</v>
      </c>
      <c r="CG82" s="30"/>
      <c r="CJ82" s="26">
        <v>0</v>
      </c>
      <c r="CK82" s="30"/>
      <c r="CL82" s="29"/>
      <c r="CP82" s="26">
        <v>0</v>
      </c>
      <c r="CQ82" s="30"/>
      <c r="CR82" s="29"/>
      <c r="CT82" s="26">
        <v>0</v>
      </c>
      <c r="CU82" s="30"/>
      <c r="CZ82" s="26">
        <v>0</v>
      </c>
      <c r="DA82" s="30"/>
      <c r="DD82" s="26">
        <v>0</v>
      </c>
      <c r="DE82" s="30"/>
      <c r="DF82" s="29"/>
      <c r="DH82" s="26">
        <v>0</v>
      </c>
      <c r="DI82" s="30"/>
      <c r="DJ82" s="29"/>
      <c r="DL82" s="26">
        <v>0</v>
      </c>
      <c r="DM82" s="30"/>
      <c r="DP82" s="26">
        <v>0</v>
      </c>
      <c r="DQ82" s="30"/>
      <c r="DR82" s="29"/>
      <c r="DU82" s="26">
        <v>0</v>
      </c>
      <c r="DV82" s="30"/>
      <c r="DW82" s="29"/>
      <c r="EA82" s="26">
        <v>0</v>
      </c>
      <c r="EB82" s="30"/>
      <c r="EC82" s="32">
        <v>58</v>
      </c>
      <c r="EE82">
        <v>52</v>
      </c>
      <c r="EF82" s="26">
        <v>6</v>
      </c>
      <c r="EG82" s="30"/>
      <c r="EH82">
        <v>7</v>
      </c>
      <c r="EI82" s="26">
        <v>4</v>
      </c>
      <c r="EJ82" s="26">
        <v>3</v>
      </c>
      <c r="EK82" s="30"/>
      <c r="EL82" s="32">
        <v>14</v>
      </c>
      <c r="EM82" s="26">
        <v>13.298</v>
      </c>
      <c r="EN82" s="26">
        <v>0.70199999999999996</v>
      </c>
      <c r="EO82" s="30"/>
      <c r="EP82" s="29"/>
      <c r="ER82" s="26">
        <v>0</v>
      </c>
      <c r="ES82" s="30"/>
      <c r="ET82" s="29"/>
      <c r="EV82" s="26">
        <v>0</v>
      </c>
      <c r="EW82" s="30"/>
      <c r="EX82">
        <v>87</v>
      </c>
      <c r="EY82" s="28">
        <v>78.597999999999999</v>
      </c>
      <c r="EZ82" s="26">
        <v>8.402000000000001</v>
      </c>
      <c r="FA82" s="30"/>
      <c r="FD82" s="26">
        <v>0</v>
      </c>
      <c r="FE82" s="30"/>
      <c r="FF82" s="32">
        <v>65</v>
      </c>
      <c r="FH82">
        <v>60</v>
      </c>
      <c r="FI82" s="26">
        <v>5</v>
      </c>
      <c r="FJ82" s="30"/>
      <c r="FK82" s="29"/>
      <c r="FN82" s="26">
        <v>0</v>
      </c>
      <c r="FO82" s="30"/>
      <c r="FR82" s="26">
        <v>0</v>
      </c>
      <c r="FS82" s="30"/>
      <c r="FT82" s="29"/>
      <c r="FU82" s="28">
        <v>35</v>
      </c>
      <c r="FV82" s="28">
        <v>30</v>
      </c>
      <c r="FY82" s="26">
        <v>5</v>
      </c>
      <c r="FZ82" s="30"/>
      <c r="GC82" s="26">
        <v>0</v>
      </c>
      <c r="GD82" s="30"/>
      <c r="GE82" s="29"/>
      <c r="GJ82" s="30"/>
      <c r="GP82" s="30"/>
      <c r="GT82" s="30"/>
      <c r="GU82" s="29"/>
      <c r="GX82" s="30"/>
      <c r="GY82" s="29"/>
      <c r="HB82" s="30"/>
      <c r="HF82" s="30"/>
      <c r="HG82" s="29"/>
      <c r="HJ82" s="30"/>
      <c r="HK82" s="29"/>
      <c r="HN82" s="30"/>
      <c r="HP82" s="27"/>
      <c r="HR82" s="33"/>
      <c r="HV82" s="30"/>
      <c r="HZ82" s="33"/>
      <c r="ID82" s="30"/>
      <c r="IH82" s="33"/>
      <c r="IL82" s="30"/>
      <c r="IM82" s="31"/>
      <c r="IP82" s="33"/>
      <c r="IT82" s="33"/>
      <c r="IX82" s="33"/>
      <c r="JB82" s="30"/>
      <c r="JC82" s="27"/>
      <c r="JE82" s="27"/>
      <c r="JH82" s="33"/>
      <c r="JI82" s="28"/>
      <c r="JJ82" s="28"/>
      <c r="JL82" s="33"/>
      <c r="JM82" s="28"/>
      <c r="JN82" s="28"/>
      <c r="JP82" s="33"/>
      <c r="JQ82" s="31"/>
      <c r="JR82" s="28"/>
      <c r="JT82" s="33"/>
    </row>
    <row r="83" spans="1:280" x14ac:dyDescent="0.25">
      <c r="A83" s="26" t="s">
        <v>234</v>
      </c>
      <c r="B83" s="27">
        <v>1</v>
      </c>
      <c r="I83" s="29"/>
      <c r="J83" s="35"/>
      <c r="K83" s="40"/>
      <c r="L83" s="35"/>
      <c r="M83" s="35">
        <f t="shared" si="9"/>
        <v>0</v>
      </c>
      <c r="N83" s="30"/>
      <c r="O83" s="29"/>
      <c r="P83" s="35"/>
      <c r="Q83" s="35"/>
      <c r="R83" s="35"/>
      <c r="S83" s="35">
        <f t="shared" si="10"/>
        <v>0</v>
      </c>
      <c r="T83" s="30"/>
      <c r="U83" s="29"/>
      <c r="V83" s="40"/>
      <c r="W83" s="35"/>
      <c r="X83" s="35"/>
      <c r="Y83" s="35"/>
      <c r="Z83" s="35"/>
      <c r="AA83" s="35">
        <f t="shared" si="11"/>
        <v>0</v>
      </c>
      <c r="AB83" s="30"/>
      <c r="AC83" s="29"/>
      <c r="AD83" s="35"/>
      <c r="AE83" s="35"/>
      <c r="AF83" s="35"/>
      <c r="AG83" s="35">
        <v>0</v>
      </c>
      <c r="AH83" s="30"/>
      <c r="AI83" s="35"/>
      <c r="AM83" s="26">
        <v>0</v>
      </c>
      <c r="AN83" s="30"/>
      <c r="AO83" s="31"/>
      <c r="AS83" s="26">
        <v>0</v>
      </c>
      <c r="AT83" s="30"/>
      <c r="AY83" s="26">
        <v>0</v>
      </c>
      <c r="AZ83" s="30"/>
      <c r="BD83" s="26">
        <v>0</v>
      </c>
      <c r="BE83" s="30"/>
      <c r="BF83" s="29"/>
      <c r="BH83" s="26">
        <v>0</v>
      </c>
      <c r="BI83" s="30"/>
      <c r="BJ83" s="29"/>
      <c r="BL83" s="26">
        <v>0</v>
      </c>
      <c r="BM83" s="30"/>
      <c r="BP83" s="26">
        <v>0</v>
      </c>
      <c r="BQ83" s="30"/>
      <c r="BR83" s="29"/>
      <c r="BT83" s="26">
        <v>0</v>
      </c>
      <c r="BU83" s="30"/>
      <c r="BX83" s="26">
        <v>0</v>
      </c>
      <c r="BY83" s="30"/>
      <c r="BZ83" s="29"/>
      <c r="CB83" s="26">
        <v>0</v>
      </c>
      <c r="CC83" s="30"/>
      <c r="CD83" s="29"/>
      <c r="CF83" s="26">
        <v>0</v>
      </c>
      <c r="CG83" s="30"/>
      <c r="CJ83" s="26">
        <v>0</v>
      </c>
      <c r="CK83" s="30"/>
      <c r="CL83" s="29"/>
      <c r="CP83" s="26">
        <v>0</v>
      </c>
      <c r="CQ83" s="30"/>
      <c r="CR83" s="29"/>
      <c r="CT83" s="26">
        <v>0</v>
      </c>
      <c r="CU83" s="30"/>
      <c r="CZ83" s="26">
        <v>0</v>
      </c>
      <c r="DA83" s="30"/>
      <c r="DD83" s="26">
        <v>0</v>
      </c>
      <c r="DE83" s="30"/>
      <c r="DF83" s="29"/>
      <c r="DH83" s="26">
        <v>0</v>
      </c>
      <c r="DI83" s="30"/>
      <c r="DJ83" s="29"/>
      <c r="DL83" s="26">
        <v>0</v>
      </c>
      <c r="DM83" s="30"/>
      <c r="DP83" s="26">
        <v>0</v>
      </c>
      <c r="DQ83" s="30"/>
      <c r="DR83" s="29"/>
      <c r="DU83" s="26">
        <v>0</v>
      </c>
      <c r="DV83" s="30"/>
      <c r="DW83" s="29"/>
      <c r="EA83" s="26">
        <v>0</v>
      </c>
      <c r="EB83" s="30"/>
      <c r="EC83" s="29"/>
      <c r="EF83" s="26">
        <v>0</v>
      </c>
      <c r="EG83" s="30"/>
      <c r="EJ83" s="26">
        <v>0</v>
      </c>
      <c r="EK83" s="30"/>
      <c r="EL83" s="31"/>
      <c r="EN83" s="26">
        <v>0</v>
      </c>
      <c r="EO83" s="30"/>
      <c r="EP83" s="29"/>
      <c r="ER83" s="26">
        <v>0</v>
      </c>
      <c r="ES83" s="30"/>
      <c r="ET83" s="29"/>
      <c r="EV83" s="26">
        <v>0</v>
      </c>
      <c r="EW83" s="30"/>
      <c r="EZ83" s="26">
        <v>0</v>
      </c>
      <c r="FA83" s="30"/>
      <c r="FD83" s="26">
        <v>0</v>
      </c>
      <c r="FE83" s="30"/>
      <c r="FF83" s="29"/>
      <c r="FI83" s="26">
        <v>0</v>
      </c>
      <c r="FJ83" s="30"/>
      <c r="FK83" s="29"/>
      <c r="FN83" s="26">
        <v>0</v>
      </c>
      <c r="FO83" s="30"/>
      <c r="FR83" s="26">
        <v>0</v>
      </c>
      <c r="FS83" s="30"/>
      <c r="FT83" s="29"/>
      <c r="FY83" s="26">
        <v>0</v>
      </c>
      <c r="FZ83" s="30"/>
      <c r="GC83" s="26">
        <v>0</v>
      </c>
      <c r="GD83" s="30"/>
      <c r="GE83" s="29"/>
      <c r="GI83" s="26">
        <v>0</v>
      </c>
      <c r="GJ83" s="30"/>
      <c r="GO83" s="26">
        <v>0</v>
      </c>
      <c r="GP83" s="30"/>
      <c r="GS83" s="26">
        <v>0</v>
      </c>
      <c r="GT83" s="30"/>
      <c r="GU83" s="29"/>
      <c r="GW83" s="26">
        <v>0</v>
      </c>
      <c r="GX83" s="30"/>
      <c r="GY83" s="29"/>
      <c r="HA83" s="26">
        <v>0</v>
      </c>
      <c r="HB83" s="30"/>
      <c r="HE83" s="26">
        <v>0</v>
      </c>
      <c r="HF83" s="30"/>
      <c r="HG83" s="29"/>
      <c r="HI83" s="26">
        <v>0</v>
      </c>
      <c r="HJ83" s="30"/>
      <c r="HK83" s="29"/>
      <c r="HM83" s="26">
        <v>0</v>
      </c>
      <c r="HN83" s="30"/>
      <c r="HQ83" s="26">
        <v>0</v>
      </c>
      <c r="HR83" s="33"/>
      <c r="HU83" s="26">
        <v>0</v>
      </c>
      <c r="HV83" s="30"/>
      <c r="HY83" s="26">
        <v>0</v>
      </c>
      <c r="HZ83" s="33"/>
      <c r="IC83" s="26">
        <v>0</v>
      </c>
      <c r="ID83" s="30"/>
      <c r="IG83" s="26">
        <v>0</v>
      </c>
      <c r="IH83" s="33"/>
      <c r="IK83" s="26">
        <v>0</v>
      </c>
      <c r="IL83" s="30"/>
      <c r="IM83" s="31"/>
      <c r="IO83" s="26">
        <v>0</v>
      </c>
      <c r="IP83" s="33"/>
      <c r="IS83" s="26">
        <v>0</v>
      </c>
      <c r="IT83" s="33"/>
      <c r="IW83" s="26">
        <v>0</v>
      </c>
      <c r="IX83" s="33"/>
      <c r="JA83" s="26">
        <v>0</v>
      </c>
      <c r="JB83" s="30"/>
      <c r="JC83" s="27"/>
      <c r="JE83" s="27"/>
      <c r="JG83" s="26">
        <v>0</v>
      </c>
      <c r="JH83" s="33"/>
      <c r="JI83" s="28">
        <v>0</v>
      </c>
      <c r="JJ83" s="28">
        <v>0</v>
      </c>
      <c r="JK83" s="26">
        <v>0</v>
      </c>
      <c r="JL83" s="33"/>
      <c r="JM83" s="28">
        <v>0</v>
      </c>
      <c r="JN83" s="28">
        <v>0</v>
      </c>
      <c r="JO83" s="26">
        <v>0</v>
      </c>
      <c r="JP83" s="33"/>
      <c r="JQ83" s="31">
        <v>0</v>
      </c>
      <c r="JR83" s="28">
        <v>0</v>
      </c>
      <c r="JS83" s="26">
        <v>0</v>
      </c>
      <c r="JT83" s="33"/>
    </row>
    <row r="84" spans="1:280" x14ac:dyDescent="0.25">
      <c r="A84" s="26" t="s">
        <v>235</v>
      </c>
      <c r="B84" s="27">
        <v>1</v>
      </c>
      <c r="I84" s="32">
        <v>168</v>
      </c>
      <c r="J84" s="36">
        <v>167</v>
      </c>
      <c r="K84" s="36">
        <v>173</v>
      </c>
      <c r="L84" s="36">
        <v>169</v>
      </c>
      <c r="M84" s="35">
        <f t="shared" si="9"/>
        <v>5</v>
      </c>
      <c r="N84" s="30"/>
      <c r="O84" s="32">
        <v>180</v>
      </c>
      <c r="P84" s="36">
        <v>175</v>
      </c>
      <c r="Q84" s="36">
        <v>169</v>
      </c>
      <c r="R84" s="36">
        <v>164</v>
      </c>
      <c r="S84" s="35">
        <f t="shared" si="10"/>
        <v>10</v>
      </c>
      <c r="T84" s="30"/>
      <c r="U84" s="29"/>
      <c r="V84" s="40"/>
      <c r="W84" s="35"/>
      <c r="X84" s="35"/>
      <c r="Y84" s="35"/>
      <c r="Z84" s="35"/>
      <c r="AA84" s="35">
        <f t="shared" si="11"/>
        <v>0</v>
      </c>
      <c r="AB84" s="30"/>
      <c r="AC84" s="32">
        <v>100</v>
      </c>
      <c r="AD84" s="40">
        <v>99</v>
      </c>
      <c r="AE84" s="35"/>
      <c r="AF84" s="35"/>
      <c r="AG84" s="35">
        <v>1</v>
      </c>
      <c r="AH84" s="30"/>
      <c r="AI84" s="35"/>
      <c r="AK84">
        <v>80</v>
      </c>
      <c r="AL84">
        <v>80</v>
      </c>
      <c r="AM84" s="26">
        <v>0</v>
      </c>
      <c r="AN84" s="30"/>
      <c r="AO84" s="32">
        <v>157</v>
      </c>
      <c r="AP84">
        <v>150</v>
      </c>
      <c r="AQ84">
        <v>153</v>
      </c>
      <c r="AR84">
        <v>150</v>
      </c>
      <c r="AS84" s="26">
        <v>10</v>
      </c>
      <c r="AT84" s="30"/>
      <c r="AU84">
        <v>156</v>
      </c>
      <c r="AV84">
        <v>150</v>
      </c>
      <c r="AW84">
        <v>88</v>
      </c>
      <c r="AX84">
        <v>84</v>
      </c>
      <c r="AY84" s="26">
        <v>10</v>
      </c>
      <c r="AZ84" s="30"/>
      <c r="BB84">
        <v>56</v>
      </c>
      <c r="BC84">
        <v>54</v>
      </c>
      <c r="BD84" s="26">
        <v>2</v>
      </c>
      <c r="BE84" s="30"/>
      <c r="BF84" s="32">
        <v>305</v>
      </c>
      <c r="BG84">
        <v>297</v>
      </c>
      <c r="BH84" s="26">
        <v>8</v>
      </c>
      <c r="BI84" s="30"/>
      <c r="BJ84" s="32">
        <v>117</v>
      </c>
      <c r="BK84">
        <v>112</v>
      </c>
      <c r="BL84" s="26">
        <v>5</v>
      </c>
      <c r="BM84" s="30"/>
      <c r="BN84">
        <v>235</v>
      </c>
      <c r="BO84">
        <v>226</v>
      </c>
      <c r="BP84" s="26">
        <v>9</v>
      </c>
      <c r="BQ84" s="30"/>
      <c r="BR84" s="32">
        <v>153</v>
      </c>
      <c r="BS84">
        <v>149</v>
      </c>
      <c r="BT84" s="26">
        <v>4</v>
      </c>
      <c r="BU84" s="30"/>
      <c r="BV84">
        <v>198</v>
      </c>
      <c r="BW84">
        <v>190</v>
      </c>
      <c r="BX84" s="26">
        <v>8</v>
      </c>
      <c r="BY84" s="30"/>
      <c r="BZ84" s="32">
        <v>111</v>
      </c>
      <c r="CA84">
        <v>108</v>
      </c>
      <c r="CB84" s="26">
        <v>3</v>
      </c>
      <c r="CC84" s="30"/>
      <c r="CD84" s="32">
        <v>226</v>
      </c>
      <c r="CE84">
        <v>220</v>
      </c>
      <c r="CF84" s="26">
        <v>6</v>
      </c>
      <c r="CG84" s="30"/>
      <c r="CH84">
        <v>73</v>
      </c>
      <c r="CI84">
        <v>72</v>
      </c>
      <c r="CJ84" s="26">
        <v>1</v>
      </c>
      <c r="CK84" s="30"/>
      <c r="CL84" s="32">
        <v>43</v>
      </c>
      <c r="CM84">
        <v>40</v>
      </c>
      <c r="CN84">
        <v>31</v>
      </c>
      <c r="CO84">
        <v>28</v>
      </c>
      <c r="CP84" s="26">
        <v>6</v>
      </c>
      <c r="CQ84" s="30"/>
      <c r="CR84" s="32">
        <v>112</v>
      </c>
      <c r="CS84">
        <v>111</v>
      </c>
      <c r="CT84" s="26">
        <v>1</v>
      </c>
      <c r="CU84" s="30"/>
      <c r="CX84">
        <v>142</v>
      </c>
      <c r="CY84">
        <v>138</v>
      </c>
      <c r="CZ84" s="26">
        <v>4</v>
      </c>
      <c r="DA84" s="30"/>
      <c r="DB84">
        <v>6</v>
      </c>
      <c r="DC84">
        <v>7</v>
      </c>
      <c r="DD84" s="26">
        <v>-1</v>
      </c>
      <c r="DE84" s="30"/>
      <c r="DF84" s="32">
        <v>150</v>
      </c>
      <c r="DG84">
        <v>145</v>
      </c>
      <c r="DH84" s="26">
        <v>5</v>
      </c>
      <c r="DI84" s="30"/>
      <c r="DJ84" s="32">
        <v>62</v>
      </c>
      <c r="DK84">
        <v>58</v>
      </c>
      <c r="DL84" s="26">
        <v>4</v>
      </c>
      <c r="DM84" s="30"/>
      <c r="DP84" s="26">
        <v>0</v>
      </c>
      <c r="DQ84" s="30"/>
      <c r="DR84" s="32">
        <v>156</v>
      </c>
      <c r="DT84">
        <v>151</v>
      </c>
      <c r="DU84" s="26">
        <v>5</v>
      </c>
      <c r="DV84" s="30"/>
      <c r="DW84" s="29"/>
      <c r="DY84">
        <v>93</v>
      </c>
      <c r="DZ84">
        <v>89</v>
      </c>
      <c r="EA84" s="26">
        <v>4</v>
      </c>
      <c r="EB84" s="30"/>
      <c r="EC84" s="32">
        <v>95</v>
      </c>
      <c r="EE84">
        <v>88</v>
      </c>
      <c r="EF84" s="26">
        <v>7</v>
      </c>
      <c r="EG84" s="30"/>
      <c r="EH84">
        <v>189</v>
      </c>
      <c r="EI84" s="26">
        <v>185.01499999999999</v>
      </c>
      <c r="EJ84" s="26">
        <v>3.9850000000000141</v>
      </c>
      <c r="EK84" s="30"/>
      <c r="EL84" s="32">
        <v>6</v>
      </c>
      <c r="EM84" s="26">
        <v>5.8019999999999916</v>
      </c>
      <c r="EN84" s="26">
        <v>0.19800000000000839</v>
      </c>
      <c r="EO84" s="30"/>
      <c r="EP84" s="32">
        <v>156</v>
      </c>
      <c r="EQ84" s="26">
        <v>148.35759999999999</v>
      </c>
      <c r="ER84" s="26">
        <v>7.6424000000000092</v>
      </c>
      <c r="ES84" s="30"/>
      <c r="ET84" s="32">
        <v>13</v>
      </c>
      <c r="EU84">
        <v>12</v>
      </c>
      <c r="EV84" s="26">
        <v>1</v>
      </c>
      <c r="EW84" s="30"/>
      <c r="EX84">
        <v>167</v>
      </c>
      <c r="EY84" s="28">
        <v>163.75200000000001</v>
      </c>
      <c r="EZ84" s="26">
        <v>3.24799999999999</v>
      </c>
      <c r="FA84" s="30"/>
      <c r="FB84">
        <v>153</v>
      </c>
      <c r="FC84">
        <v>150</v>
      </c>
      <c r="FD84" s="26">
        <v>3</v>
      </c>
      <c r="FE84" s="30"/>
      <c r="FF84" s="29"/>
      <c r="FI84" s="26">
        <v>0</v>
      </c>
      <c r="FJ84" s="30"/>
      <c r="FK84" s="29"/>
      <c r="FM84">
        <v>186</v>
      </c>
      <c r="FN84" s="25">
        <v>-186</v>
      </c>
      <c r="FO84" s="30">
        <v>186</v>
      </c>
      <c r="FR84" s="26">
        <v>0</v>
      </c>
      <c r="FS84" s="30"/>
      <c r="FT84" s="29"/>
      <c r="FU84">
        <v>43</v>
      </c>
      <c r="FV84">
        <v>40</v>
      </c>
      <c r="FW84">
        <v>49</v>
      </c>
      <c r="FX84">
        <v>46</v>
      </c>
      <c r="FY84" s="26">
        <v>6</v>
      </c>
      <c r="FZ84" s="30"/>
      <c r="GA84">
        <v>106</v>
      </c>
      <c r="GB84" s="28">
        <v>103.605</v>
      </c>
      <c r="GC84" s="26">
        <v>2.394999999999996</v>
      </c>
      <c r="GD84" s="30"/>
      <c r="GE84" s="29"/>
      <c r="GI84" s="26">
        <v>0</v>
      </c>
      <c r="GJ84" s="30"/>
      <c r="GK84">
        <v>124</v>
      </c>
      <c r="GL84">
        <v>120</v>
      </c>
      <c r="GM84">
        <v>136</v>
      </c>
      <c r="GN84">
        <v>130</v>
      </c>
      <c r="GO84" s="26">
        <v>10</v>
      </c>
      <c r="GP84" s="30"/>
      <c r="GQ84">
        <v>68</v>
      </c>
      <c r="GR84" s="28">
        <v>63.760599999999997</v>
      </c>
      <c r="GS84" s="26">
        <v>4.2394000000000034</v>
      </c>
      <c r="GT84" s="30"/>
      <c r="GU84" s="32">
        <v>213</v>
      </c>
      <c r="GV84">
        <v>210</v>
      </c>
      <c r="GW84" s="26">
        <v>3</v>
      </c>
      <c r="GX84" s="30"/>
      <c r="GY84" s="29"/>
      <c r="HA84" s="26">
        <v>0</v>
      </c>
      <c r="HB84" s="30"/>
      <c r="HC84">
        <v>43</v>
      </c>
      <c r="HD84">
        <v>45</v>
      </c>
      <c r="HE84" s="26">
        <v>-2</v>
      </c>
      <c r="HF84" s="30"/>
      <c r="HG84" s="29"/>
      <c r="HI84" s="26">
        <v>0</v>
      </c>
      <c r="HJ84" s="30"/>
      <c r="HK84" s="32">
        <v>192</v>
      </c>
      <c r="HL84">
        <v>192</v>
      </c>
      <c r="HM84" s="26">
        <v>0</v>
      </c>
      <c r="HN84" s="30"/>
      <c r="HQ84" s="26">
        <v>0</v>
      </c>
      <c r="HR84" s="33"/>
      <c r="HS84">
        <v>13</v>
      </c>
      <c r="HT84">
        <v>15</v>
      </c>
      <c r="HU84" s="26">
        <v>-2</v>
      </c>
      <c r="HV84" s="30"/>
      <c r="HY84" s="26">
        <v>0</v>
      </c>
      <c r="HZ84" s="33"/>
      <c r="IA84">
        <v>211</v>
      </c>
      <c r="IB84">
        <v>210</v>
      </c>
      <c r="IC84" s="26">
        <v>1</v>
      </c>
      <c r="ID84" s="30"/>
      <c r="IG84" s="26">
        <v>0</v>
      </c>
      <c r="IH84" s="33"/>
      <c r="II84">
        <v>68</v>
      </c>
      <c r="IJ84" s="28">
        <v>65.959600000000023</v>
      </c>
      <c r="IK84" s="26">
        <v>2.0403999999999769</v>
      </c>
      <c r="IL84" s="30"/>
      <c r="IM84" s="32">
        <v>37</v>
      </c>
      <c r="IN84" s="28">
        <v>35</v>
      </c>
      <c r="IO84" s="26">
        <v>2</v>
      </c>
      <c r="IP84" s="33"/>
      <c r="IQ84">
        <v>93</v>
      </c>
      <c r="IR84">
        <v>93</v>
      </c>
      <c r="IS84" s="26">
        <v>0</v>
      </c>
      <c r="IT84" s="33"/>
      <c r="IU84">
        <v>56</v>
      </c>
      <c r="IV84">
        <v>58</v>
      </c>
      <c r="IW84" s="26">
        <v>2</v>
      </c>
      <c r="IX84" s="33"/>
      <c r="JA84" s="26">
        <v>0</v>
      </c>
      <c r="JB84" s="30"/>
      <c r="JC84">
        <v>69</v>
      </c>
      <c r="JD84">
        <v>70</v>
      </c>
      <c r="JE84">
        <v>55</v>
      </c>
      <c r="JF84">
        <v>56</v>
      </c>
      <c r="JG84" s="26">
        <v>-2</v>
      </c>
      <c r="JH84" s="33"/>
      <c r="JI84" s="28">
        <v>68.596000000000004</v>
      </c>
      <c r="JJ84" s="28">
        <v>70</v>
      </c>
      <c r="JK84" s="26">
        <v>-1.4039999999999959</v>
      </c>
      <c r="JL84" s="33"/>
      <c r="JM84" s="28">
        <v>49.41</v>
      </c>
      <c r="JN84" s="28">
        <v>47.3018</v>
      </c>
      <c r="JO84" s="26">
        <v>2.108199999999997</v>
      </c>
      <c r="JP84" s="33"/>
      <c r="JQ84" s="31">
        <v>0</v>
      </c>
      <c r="JR84" s="28">
        <v>0</v>
      </c>
      <c r="JS84" s="26">
        <v>0</v>
      </c>
      <c r="JT84" s="33"/>
    </row>
    <row r="85" spans="1:280" x14ac:dyDescent="0.25">
      <c r="A85" s="26" t="s">
        <v>236</v>
      </c>
      <c r="B85" s="27">
        <v>0.28000000000000003</v>
      </c>
      <c r="I85" s="29"/>
      <c r="J85" s="35"/>
      <c r="K85" s="40"/>
      <c r="L85" s="35"/>
      <c r="M85" s="35">
        <f t="shared" si="9"/>
        <v>0</v>
      </c>
      <c r="N85" s="30"/>
      <c r="O85" s="29"/>
      <c r="P85" s="35"/>
      <c r="Q85" s="35"/>
      <c r="R85" s="35"/>
      <c r="S85" s="35">
        <f t="shared" si="10"/>
        <v>0</v>
      </c>
      <c r="T85" s="30"/>
      <c r="U85" s="29"/>
      <c r="V85" s="40"/>
      <c r="W85" s="35"/>
      <c r="X85" s="35"/>
      <c r="Y85" s="35"/>
      <c r="Z85" s="35"/>
      <c r="AA85" s="35">
        <f t="shared" si="11"/>
        <v>0</v>
      </c>
      <c r="AB85" s="30"/>
      <c r="AC85" s="29"/>
      <c r="AD85" s="35"/>
      <c r="AE85" s="35"/>
      <c r="AF85" s="35"/>
      <c r="AG85" s="35">
        <v>0</v>
      </c>
      <c r="AH85" s="30"/>
      <c r="AI85" s="35"/>
      <c r="AM85" s="26">
        <v>0</v>
      </c>
      <c r="AN85" s="30"/>
      <c r="AO85" s="31"/>
      <c r="AS85" s="26">
        <v>0</v>
      </c>
      <c r="AT85" s="30"/>
      <c r="AY85" s="26">
        <v>0</v>
      </c>
      <c r="AZ85" s="30"/>
      <c r="BD85" s="26">
        <v>0</v>
      </c>
      <c r="BE85" s="30"/>
      <c r="BF85" s="29"/>
      <c r="BH85" s="26">
        <v>0</v>
      </c>
      <c r="BI85" s="30"/>
      <c r="BJ85" s="29"/>
      <c r="BL85" s="26">
        <v>0</v>
      </c>
      <c r="BM85" s="30"/>
      <c r="BP85" s="26">
        <v>0</v>
      </c>
      <c r="BQ85" s="30"/>
      <c r="BR85" s="29"/>
      <c r="BT85" s="26">
        <v>0</v>
      </c>
      <c r="BU85" s="30"/>
      <c r="BX85" s="26">
        <v>0</v>
      </c>
      <c r="BY85" s="30"/>
      <c r="BZ85" s="29"/>
      <c r="CB85" s="26">
        <v>0</v>
      </c>
      <c r="CC85" s="30"/>
      <c r="CD85" s="29"/>
      <c r="CF85" s="26">
        <v>0</v>
      </c>
      <c r="CG85" s="30"/>
      <c r="CJ85" s="26">
        <v>0</v>
      </c>
      <c r="CK85" s="30"/>
      <c r="CL85" s="29"/>
      <c r="CP85" s="26">
        <v>0</v>
      </c>
      <c r="CQ85" s="30"/>
      <c r="CR85" s="29"/>
      <c r="CT85" s="26">
        <v>0</v>
      </c>
      <c r="CU85" s="30"/>
      <c r="CZ85" s="26">
        <v>0</v>
      </c>
      <c r="DA85" s="30"/>
      <c r="DD85" s="26">
        <v>0</v>
      </c>
      <c r="DE85" s="30"/>
      <c r="DF85" s="29"/>
      <c r="DH85" s="26">
        <v>0</v>
      </c>
      <c r="DI85" s="30"/>
      <c r="DJ85" s="29"/>
      <c r="DL85" s="26">
        <v>0</v>
      </c>
      <c r="DM85" s="30"/>
      <c r="DP85" s="26">
        <v>0</v>
      </c>
      <c r="DQ85" s="30"/>
      <c r="DR85" s="29"/>
      <c r="DU85" s="26">
        <v>0</v>
      </c>
      <c r="DV85" s="30"/>
      <c r="DW85" s="29"/>
      <c r="EA85" s="26">
        <v>0</v>
      </c>
      <c r="EB85" s="30"/>
      <c r="EC85" s="29"/>
      <c r="EF85" s="26">
        <v>0</v>
      </c>
      <c r="EG85" s="30"/>
      <c r="EJ85" s="26">
        <v>0</v>
      </c>
      <c r="EK85" s="30"/>
      <c r="EL85" s="31"/>
      <c r="EN85" s="26">
        <v>0</v>
      </c>
      <c r="EO85" s="30"/>
      <c r="EP85" s="29"/>
      <c r="ER85" s="26">
        <v>0</v>
      </c>
      <c r="ES85" s="30"/>
      <c r="ET85" s="29"/>
      <c r="EV85" s="26">
        <v>0</v>
      </c>
      <c r="EW85" s="30"/>
      <c r="EZ85" s="26">
        <v>0</v>
      </c>
      <c r="FA85" s="30"/>
      <c r="FD85" s="26">
        <v>0</v>
      </c>
      <c r="FE85" s="30"/>
      <c r="FF85" s="29"/>
      <c r="FI85" s="26">
        <v>0</v>
      </c>
      <c r="FJ85" s="30"/>
      <c r="FK85" s="29"/>
      <c r="FN85" s="26">
        <v>0</v>
      </c>
      <c r="FO85" s="30"/>
      <c r="FR85" s="26">
        <v>0</v>
      </c>
      <c r="FS85" s="30"/>
      <c r="FT85" s="29"/>
      <c r="FY85" s="26">
        <v>0</v>
      </c>
      <c r="FZ85" s="30"/>
      <c r="GC85" s="26">
        <v>0</v>
      </c>
      <c r="GD85" s="30"/>
      <c r="GE85" s="29"/>
      <c r="GI85" s="26">
        <v>0</v>
      </c>
      <c r="GJ85" s="30"/>
      <c r="GO85" s="26">
        <v>0</v>
      </c>
      <c r="GP85" s="30"/>
      <c r="GS85" s="26">
        <v>0</v>
      </c>
      <c r="GT85" s="30"/>
      <c r="GU85" s="29"/>
      <c r="GW85" s="26">
        <v>0</v>
      </c>
      <c r="GX85" s="30"/>
      <c r="GY85" s="29"/>
      <c r="HA85" s="26">
        <v>0</v>
      </c>
      <c r="HB85" s="30"/>
      <c r="HE85" s="26">
        <v>0</v>
      </c>
      <c r="HF85" s="30"/>
      <c r="HG85" s="32">
        <v>16</v>
      </c>
      <c r="HH85">
        <v>16</v>
      </c>
      <c r="HI85" s="26">
        <v>0</v>
      </c>
      <c r="HJ85" s="30"/>
      <c r="HK85" s="29"/>
      <c r="HM85" s="26">
        <v>0</v>
      </c>
      <c r="HN85" s="30"/>
      <c r="HO85">
        <v>32</v>
      </c>
      <c r="HP85">
        <v>32</v>
      </c>
      <c r="HQ85" s="26">
        <v>0</v>
      </c>
      <c r="HR85" s="33"/>
      <c r="HU85" s="26">
        <v>0</v>
      </c>
      <c r="HV85" s="30"/>
      <c r="HW85">
        <v>16</v>
      </c>
      <c r="HX85">
        <v>16</v>
      </c>
      <c r="HY85" s="26">
        <v>0</v>
      </c>
      <c r="HZ85" s="33"/>
      <c r="IA85">
        <v>16</v>
      </c>
      <c r="IB85">
        <v>16</v>
      </c>
      <c r="IC85" s="26">
        <v>0</v>
      </c>
      <c r="ID85" s="30"/>
      <c r="IG85" s="26">
        <v>0</v>
      </c>
      <c r="IH85" s="33"/>
      <c r="IK85" s="26">
        <v>0</v>
      </c>
      <c r="IL85" s="30"/>
      <c r="IM85" s="31"/>
      <c r="IO85" s="26">
        <v>0</v>
      </c>
      <c r="IP85" s="33"/>
      <c r="IS85" s="26">
        <v>0</v>
      </c>
      <c r="IT85" s="33"/>
      <c r="IW85" s="26">
        <v>0</v>
      </c>
      <c r="IX85" s="33"/>
      <c r="JA85" s="26">
        <v>0</v>
      </c>
      <c r="JB85" s="30"/>
      <c r="JC85">
        <v>32</v>
      </c>
      <c r="JD85">
        <v>32</v>
      </c>
      <c r="JE85">
        <v>16</v>
      </c>
      <c r="JF85">
        <v>20</v>
      </c>
      <c r="JG85" s="26">
        <v>-4</v>
      </c>
      <c r="JH85" s="33"/>
      <c r="JI85" s="28">
        <v>112</v>
      </c>
      <c r="JJ85" s="28">
        <v>110</v>
      </c>
      <c r="JK85" s="26">
        <v>2</v>
      </c>
      <c r="JL85" s="33"/>
      <c r="JM85" s="28">
        <v>0</v>
      </c>
      <c r="JN85" s="28">
        <v>0</v>
      </c>
      <c r="JO85" s="26">
        <v>0</v>
      </c>
      <c r="JP85" s="33"/>
      <c r="JQ85" s="31">
        <v>0</v>
      </c>
      <c r="JR85" s="28">
        <v>0</v>
      </c>
      <c r="JS85" s="26">
        <v>0</v>
      </c>
      <c r="JT85" s="33"/>
    </row>
    <row r="86" spans="1:280" x14ac:dyDescent="0.25">
      <c r="A86" s="26" t="s">
        <v>237</v>
      </c>
      <c r="B86" s="27">
        <v>0.28000000000000003</v>
      </c>
      <c r="I86" s="29"/>
      <c r="J86" s="35"/>
      <c r="K86" s="40"/>
      <c r="L86" s="35"/>
      <c r="M86" s="35">
        <f t="shared" si="9"/>
        <v>0</v>
      </c>
      <c r="N86" s="30"/>
      <c r="O86" s="29"/>
      <c r="P86" s="35"/>
      <c r="Q86" s="35"/>
      <c r="R86" s="35"/>
      <c r="S86" s="35">
        <f t="shared" si="10"/>
        <v>0</v>
      </c>
      <c r="T86" s="30"/>
      <c r="U86" s="29"/>
      <c r="V86" s="40"/>
      <c r="W86" s="35"/>
      <c r="X86" s="35"/>
      <c r="Y86" s="35"/>
      <c r="Z86" s="35"/>
      <c r="AA86" s="35">
        <f t="shared" si="11"/>
        <v>0</v>
      </c>
      <c r="AB86" s="30"/>
      <c r="AC86" s="29"/>
      <c r="AD86" s="35"/>
      <c r="AE86" s="35"/>
      <c r="AF86" s="35"/>
      <c r="AG86" s="35">
        <v>0</v>
      </c>
      <c r="AH86" s="30"/>
      <c r="AI86" s="35"/>
      <c r="AM86" s="26">
        <v>0</v>
      </c>
      <c r="AN86" s="30"/>
      <c r="AO86" s="31"/>
      <c r="AS86" s="26">
        <v>0</v>
      </c>
      <c r="AT86" s="30"/>
      <c r="AY86" s="26">
        <v>0</v>
      </c>
      <c r="AZ86" s="30"/>
      <c r="BD86" s="26">
        <v>0</v>
      </c>
      <c r="BE86" s="30"/>
      <c r="BF86" s="29"/>
      <c r="BH86" s="26">
        <v>0</v>
      </c>
      <c r="BI86" s="30"/>
      <c r="BJ86" s="29"/>
      <c r="BL86" s="26">
        <v>0</v>
      </c>
      <c r="BM86" s="30"/>
      <c r="BP86" s="26">
        <v>0</v>
      </c>
      <c r="BQ86" s="30"/>
      <c r="BR86" s="29"/>
      <c r="BT86" s="26">
        <v>0</v>
      </c>
      <c r="BU86" s="30"/>
      <c r="BX86" s="26">
        <v>0</v>
      </c>
      <c r="BY86" s="30"/>
      <c r="BZ86" s="29"/>
      <c r="CB86" s="26">
        <v>0</v>
      </c>
      <c r="CC86" s="30"/>
      <c r="CD86" s="29"/>
      <c r="CF86" s="26">
        <v>0</v>
      </c>
      <c r="CG86" s="30"/>
      <c r="CJ86" s="26">
        <v>0</v>
      </c>
      <c r="CK86" s="30"/>
      <c r="CL86" s="29"/>
      <c r="CP86" s="26">
        <v>0</v>
      </c>
      <c r="CQ86" s="30"/>
      <c r="CR86" s="29"/>
      <c r="CT86" s="26">
        <v>0</v>
      </c>
      <c r="CU86" s="30"/>
      <c r="CZ86" s="26">
        <v>0</v>
      </c>
      <c r="DA86" s="30"/>
      <c r="DD86" s="26">
        <v>0</v>
      </c>
      <c r="DE86" s="30"/>
      <c r="DF86" s="29"/>
      <c r="DH86" s="26">
        <v>0</v>
      </c>
      <c r="DI86" s="30"/>
      <c r="DJ86" s="29"/>
      <c r="DL86" s="26">
        <v>0</v>
      </c>
      <c r="DM86" s="30"/>
      <c r="DP86" s="26">
        <v>0</v>
      </c>
      <c r="DQ86" s="30"/>
      <c r="DR86" s="29"/>
      <c r="DU86" s="26">
        <v>0</v>
      </c>
      <c r="DV86" s="30"/>
      <c r="DW86" s="29"/>
      <c r="EA86" s="26">
        <v>0</v>
      </c>
      <c r="EB86" s="30"/>
      <c r="EC86" s="29"/>
      <c r="EF86" s="26">
        <v>0</v>
      </c>
      <c r="EG86" s="30"/>
      <c r="EJ86" s="26">
        <v>0</v>
      </c>
      <c r="EK86" s="30"/>
      <c r="EL86" s="31"/>
      <c r="EN86" s="26">
        <v>0</v>
      </c>
      <c r="EO86" s="30"/>
      <c r="EP86" s="29"/>
      <c r="ER86" s="26">
        <v>0</v>
      </c>
      <c r="ES86" s="30"/>
      <c r="ET86" s="29"/>
      <c r="EV86" s="26">
        <v>0</v>
      </c>
      <c r="EW86" s="30"/>
      <c r="EZ86" s="26">
        <v>0</v>
      </c>
      <c r="FA86" s="30"/>
      <c r="FD86" s="26">
        <v>0</v>
      </c>
      <c r="FE86" s="30"/>
      <c r="FF86" s="29"/>
      <c r="FI86" s="26">
        <v>0</v>
      </c>
      <c r="FJ86" s="30"/>
      <c r="FK86" s="29"/>
      <c r="FN86" s="26">
        <v>0</v>
      </c>
      <c r="FO86" s="30"/>
      <c r="FR86" s="26">
        <v>0</v>
      </c>
      <c r="FS86" s="30"/>
      <c r="FT86" s="29"/>
      <c r="FY86" s="26">
        <v>0</v>
      </c>
      <c r="FZ86" s="30"/>
      <c r="GC86" s="26">
        <v>0</v>
      </c>
      <c r="GD86" s="30"/>
      <c r="GE86" s="29"/>
      <c r="GI86" s="26">
        <v>0</v>
      </c>
      <c r="GJ86" s="30"/>
      <c r="GO86" s="26">
        <v>0</v>
      </c>
      <c r="GP86" s="30"/>
      <c r="GS86" s="26">
        <v>0</v>
      </c>
      <c r="GT86" s="30"/>
      <c r="GU86" s="29"/>
      <c r="GW86" s="26">
        <v>0</v>
      </c>
      <c r="GX86" s="30"/>
      <c r="GY86" s="29"/>
      <c r="HA86" s="26">
        <v>0</v>
      </c>
      <c r="HB86" s="30"/>
      <c r="HE86" s="26">
        <v>0</v>
      </c>
      <c r="HF86" s="30"/>
      <c r="HG86" s="29"/>
      <c r="HI86" s="26">
        <v>0</v>
      </c>
      <c r="HJ86" s="30"/>
      <c r="HK86" s="29"/>
      <c r="HM86" s="26">
        <v>0</v>
      </c>
      <c r="HN86" s="30"/>
      <c r="HQ86" s="26">
        <v>0</v>
      </c>
      <c r="HR86" s="33"/>
      <c r="HU86" s="26">
        <v>0</v>
      </c>
      <c r="HV86" s="30"/>
      <c r="HY86" s="26">
        <v>0</v>
      </c>
      <c r="HZ86" s="33"/>
      <c r="IC86" s="26">
        <v>0</v>
      </c>
      <c r="ID86" s="30"/>
      <c r="IG86" s="26">
        <v>0</v>
      </c>
      <c r="IH86" s="33"/>
      <c r="IK86" s="26">
        <v>0</v>
      </c>
      <c r="IL86" s="30"/>
      <c r="IM86" s="31"/>
      <c r="IO86" s="26">
        <v>0</v>
      </c>
      <c r="IP86" s="33"/>
      <c r="IS86" s="26">
        <v>0</v>
      </c>
      <c r="IT86" s="33"/>
      <c r="IW86" s="26">
        <v>0</v>
      </c>
      <c r="IX86" s="33"/>
      <c r="JA86" s="26">
        <v>0</v>
      </c>
      <c r="JB86" s="30"/>
      <c r="JC86" s="27"/>
      <c r="JE86" s="27"/>
      <c r="JG86" s="26">
        <v>0</v>
      </c>
      <c r="JH86" s="33"/>
      <c r="JI86" s="28">
        <v>0</v>
      </c>
      <c r="JJ86" s="28">
        <v>0</v>
      </c>
      <c r="JK86" s="26">
        <v>0</v>
      </c>
      <c r="JL86" s="33"/>
      <c r="JM86" s="28">
        <v>0</v>
      </c>
      <c r="JN86" s="28">
        <v>0</v>
      </c>
      <c r="JO86" s="26">
        <v>0</v>
      </c>
      <c r="JP86" s="33"/>
      <c r="JQ86" s="31">
        <v>0</v>
      </c>
      <c r="JR86" s="28">
        <v>0</v>
      </c>
      <c r="JS86" s="26">
        <v>0</v>
      </c>
      <c r="JT86" s="33"/>
    </row>
    <row r="87" spans="1:280" x14ac:dyDescent="0.25">
      <c r="A87" s="26" t="s">
        <v>238</v>
      </c>
      <c r="B87" s="27">
        <v>0.35</v>
      </c>
      <c r="I87" s="29"/>
      <c r="J87" s="35"/>
      <c r="K87" s="40"/>
      <c r="L87" s="35"/>
      <c r="M87" s="35">
        <f t="shared" si="9"/>
        <v>0</v>
      </c>
      <c r="N87" s="30"/>
      <c r="O87" s="29"/>
      <c r="P87" s="35"/>
      <c r="Q87" s="35"/>
      <c r="R87" s="35"/>
      <c r="S87" s="35">
        <f t="shared" si="10"/>
        <v>0</v>
      </c>
      <c r="T87" s="30"/>
      <c r="U87" s="29"/>
      <c r="V87" s="40"/>
      <c r="W87" s="35"/>
      <c r="X87" s="35"/>
      <c r="Y87" s="35"/>
      <c r="Z87" s="35"/>
      <c r="AA87" s="35">
        <f t="shared" si="11"/>
        <v>0</v>
      </c>
      <c r="AB87" s="30"/>
      <c r="AC87" s="29"/>
      <c r="AD87" s="35"/>
      <c r="AE87" s="35"/>
      <c r="AF87" s="35"/>
      <c r="AG87" s="35">
        <v>0</v>
      </c>
      <c r="AH87" s="30"/>
      <c r="AI87" s="35"/>
      <c r="AM87" s="26">
        <v>0</v>
      </c>
      <c r="AN87" s="30"/>
      <c r="AO87" s="31"/>
      <c r="AS87" s="26">
        <v>0</v>
      </c>
      <c r="AT87" s="30"/>
      <c r="AY87" s="26">
        <v>0</v>
      </c>
      <c r="AZ87" s="30"/>
      <c r="BD87" s="26">
        <v>0</v>
      </c>
      <c r="BE87" s="30"/>
      <c r="BF87" s="29"/>
      <c r="BH87" s="26">
        <v>0</v>
      </c>
      <c r="BI87" s="30"/>
      <c r="BJ87" s="29"/>
      <c r="BL87" s="26">
        <v>0</v>
      </c>
      <c r="BM87" s="30"/>
      <c r="BP87" s="26">
        <v>0</v>
      </c>
      <c r="BQ87" s="30"/>
      <c r="BR87" s="29"/>
      <c r="BT87" s="26">
        <v>0</v>
      </c>
      <c r="BU87" s="30"/>
      <c r="BX87" s="26">
        <v>0</v>
      </c>
      <c r="BY87" s="30"/>
      <c r="BZ87" s="29"/>
      <c r="CB87" s="26">
        <v>0</v>
      </c>
      <c r="CC87" s="30"/>
      <c r="CD87" s="29"/>
      <c r="CF87" s="26">
        <v>0</v>
      </c>
      <c r="CG87" s="30"/>
      <c r="CJ87" s="26">
        <v>0</v>
      </c>
      <c r="CK87" s="30"/>
      <c r="CL87" s="29"/>
      <c r="CP87" s="26">
        <v>0</v>
      </c>
      <c r="CQ87" s="30"/>
      <c r="CR87" s="29"/>
      <c r="CT87" s="26">
        <v>0</v>
      </c>
      <c r="CU87" s="30"/>
      <c r="CZ87" s="26">
        <v>0</v>
      </c>
      <c r="DA87" s="30"/>
      <c r="DD87" s="26">
        <v>0</v>
      </c>
      <c r="DE87" s="30"/>
      <c r="DF87" s="29"/>
      <c r="DH87" s="26">
        <v>0</v>
      </c>
      <c r="DI87" s="30"/>
      <c r="DJ87" s="29"/>
      <c r="DL87" s="26">
        <v>0</v>
      </c>
      <c r="DM87" s="30"/>
      <c r="DP87" s="26">
        <v>0</v>
      </c>
      <c r="DQ87" s="30"/>
      <c r="DR87" s="29"/>
      <c r="DU87" s="26">
        <v>0</v>
      </c>
      <c r="DV87" s="30"/>
      <c r="DW87" s="29"/>
      <c r="EA87" s="26">
        <v>0</v>
      </c>
      <c r="EB87" s="30"/>
      <c r="EC87" s="29"/>
      <c r="EF87" s="26">
        <v>0</v>
      </c>
      <c r="EG87" s="30"/>
      <c r="EJ87" s="26">
        <v>0</v>
      </c>
      <c r="EK87" s="30"/>
      <c r="EL87" s="31"/>
      <c r="EN87" s="26">
        <v>0</v>
      </c>
      <c r="EO87" s="30"/>
      <c r="EP87" s="29"/>
      <c r="ER87" s="26">
        <v>0</v>
      </c>
      <c r="ES87" s="30"/>
      <c r="ET87" s="29"/>
      <c r="EV87" s="26">
        <v>0</v>
      </c>
      <c r="EW87" s="30"/>
      <c r="EZ87" s="26">
        <v>0</v>
      </c>
      <c r="FA87" s="30"/>
      <c r="FD87" s="26">
        <v>0</v>
      </c>
      <c r="FE87" s="30"/>
      <c r="FF87" s="29"/>
      <c r="FI87" s="26">
        <v>0</v>
      </c>
      <c r="FJ87" s="30"/>
      <c r="FK87" s="29"/>
      <c r="FN87" s="26">
        <v>0</v>
      </c>
      <c r="FO87" s="30"/>
      <c r="FR87" s="26">
        <v>0</v>
      </c>
      <c r="FS87" s="30"/>
      <c r="FT87" s="29"/>
      <c r="FY87" s="26">
        <v>0</v>
      </c>
      <c r="FZ87" s="30"/>
      <c r="GC87" s="26">
        <v>0</v>
      </c>
      <c r="GD87" s="30"/>
      <c r="GE87" s="29"/>
      <c r="GI87" s="26">
        <v>0</v>
      </c>
      <c r="GJ87" s="30"/>
      <c r="GO87" s="26">
        <v>0</v>
      </c>
      <c r="GP87" s="30"/>
      <c r="GS87" s="26">
        <v>0</v>
      </c>
      <c r="GT87" s="30"/>
      <c r="GU87" s="29"/>
      <c r="GW87" s="26">
        <v>0</v>
      </c>
      <c r="GX87" s="30"/>
      <c r="GY87" s="29"/>
      <c r="HA87" s="26">
        <v>0</v>
      </c>
      <c r="HB87" s="30"/>
      <c r="HE87" s="26">
        <v>0</v>
      </c>
      <c r="HF87" s="30"/>
      <c r="HG87" s="32">
        <v>40</v>
      </c>
      <c r="HH87">
        <v>40</v>
      </c>
      <c r="HI87" s="26">
        <v>0</v>
      </c>
      <c r="HJ87" s="30"/>
      <c r="HK87" s="32">
        <v>64</v>
      </c>
      <c r="HL87">
        <v>62</v>
      </c>
      <c r="HM87" s="26">
        <v>2</v>
      </c>
      <c r="HN87" s="30"/>
      <c r="HQ87" s="26">
        <v>0</v>
      </c>
      <c r="HR87" s="33"/>
      <c r="HS87">
        <v>48</v>
      </c>
      <c r="HT87">
        <v>46</v>
      </c>
      <c r="HU87" s="26">
        <v>2</v>
      </c>
      <c r="HV87" s="30"/>
      <c r="HW87">
        <v>16</v>
      </c>
      <c r="HX87">
        <v>16</v>
      </c>
      <c r="HY87" s="26">
        <v>0</v>
      </c>
      <c r="HZ87" s="33"/>
      <c r="IA87">
        <v>40</v>
      </c>
      <c r="IB87">
        <v>44</v>
      </c>
      <c r="IC87" s="26">
        <v>-4</v>
      </c>
      <c r="ID87" s="30"/>
      <c r="IG87" s="26">
        <v>0</v>
      </c>
      <c r="IH87" s="33"/>
      <c r="IK87" s="26">
        <v>0</v>
      </c>
      <c r="IL87" s="30"/>
      <c r="IM87" s="32">
        <v>48</v>
      </c>
      <c r="IN87" s="28">
        <v>50</v>
      </c>
      <c r="IO87" s="26">
        <v>-2</v>
      </c>
      <c r="IP87" s="33"/>
      <c r="IQ87">
        <v>8</v>
      </c>
      <c r="IR87">
        <v>10</v>
      </c>
      <c r="IS87" s="26">
        <v>-2</v>
      </c>
      <c r="IT87" s="33"/>
      <c r="IU87">
        <v>32</v>
      </c>
      <c r="IV87">
        <v>32</v>
      </c>
      <c r="IW87" s="26">
        <v>0</v>
      </c>
      <c r="IX87" s="33"/>
      <c r="JA87" s="26">
        <v>0</v>
      </c>
      <c r="JB87" s="30"/>
      <c r="JC87" s="27"/>
      <c r="JE87" s="27"/>
      <c r="JG87" s="26">
        <v>0</v>
      </c>
      <c r="JH87" s="33"/>
      <c r="JI87" s="28">
        <v>56</v>
      </c>
      <c r="JJ87" s="28">
        <v>60</v>
      </c>
      <c r="JK87" s="26">
        <v>-4</v>
      </c>
      <c r="JL87" s="33"/>
      <c r="JM87" s="28">
        <v>0</v>
      </c>
      <c r="JN87" s="28">
        <v>0</v>
      </c>
      <c r="JO87" s="26">
        <v>0</v>
      </c>
      <c r="JP87" s="33"/>
      <c r="JQ87" s="31">
        <v>56</v>
      </c>
      <c r="JR87" s="28">
        <v>60</v>
      </c>
      <c r="JS87" s="26">
        <v>-4</v>
      </c>
      <c r="JT87" s="33"/>
    </row>
    <row r="88" spans="1:280" x14ac:dyDescent="0.25">
      <c r="A88" s="26" t="s">
        <v>239</v>
      </c>
      <c r="B88" s="27">
        <v>0.28000000000000003</v>
      </c>
      <c r="I88" s="29"/>
      <c r="J88" s="35"/>
      <c r="K88" s="40"/>
      <c r="L88" s="35"/>
      <c r="M88" s="35">
        <f t="shared" si="9"/>
        <v>0</v>
      </c>
      <c r="N88" s="30"/>
      <c r="O88" s="29"/>
      <c r="P88" s="35"/>
      <c r="Q88" s="35"/>
      <c r="R88" s="35"/>
      <c r="S88" s="35">
        <f t="shared" si="10"/>
        <v>0</v>
      </c>
      <c r="T88" s="30"/>
      <c r="U88" s="29"/>
      <c r="V88" s="40"/>
      <c r="W88" s="35"/>
      <c r="X88" s="35"/>
      <c r="Y88" s="35"/>
      <c r="Z88" s="35"/>
      <c r="AA88" s="35">
        <f t="shared" si="11"/>
        <v>0</v>
      </c>
      <c r="AB88" s="30"/>
      <c r="AC88" s="29"/>
      <c r="AD88" s="35"/>
      <c r="AE88" s="35"/>
      <c r="AF88" s="35"/>
      <c r="AG88" s="35">
        <v>0</v>
      </c>
      <c r="AH88" s="30"/>
      <c r="AI88" s="35"/>
      <c r="AM88" s="26">
        <v>0</v>
      </c>
      <c r="AN88" s="30"/>
      <c r="AO88" s="31"/>
      <c r="AS88" s="26">
        <v>0</v>
      </c>
      <c r="AT88" s="30"/>
      <c r="AY88" s="26">
        <v>0</v>
      </c>
      <c r="AZ88" s="30"/>
      <c r="BD88" s="26">
        <v>0</v>
      </c>
      <c r="BE88" s="30"/>
      <c r="BF88" s="29"/>
      <c r="BH88" s="26">
        <v>0</v>
      </c>
      <c r="BI88" s="30"/>
      <c r="BJ88" s="29"/>
      <c r="BL88" s="26">
        <v>0</v>
      </c>
      <c r="BM88" s="30"/>
      <c r="BP88" s="26">
        <v>0</v>
      </c>
      <c r="BQ88" s="30"/>
      <c r="BR88" s="29"/>
      <c r="BT88" s="26">
        <v>0</v>
      </c>
      <c r="BU88" s="30"/>
      <c r="BX88" s="26">
        <v>0</v>
      </c>
      <c r="BY88" s="30"/>
      <c r="BZ88" s="29"/>
      <c r="CB88" s="26">
        <v>0</v>
      </c>
      <c r="CC88" s="30"/>
      <c r="CD88" s="29"/>
      <c r="CF88" s="26">
        <v>0</v>
      </c>
      <c r="CG88" s="30"/>
      <c r="CJ88" s="26">
        <v>0</v>
      </c>
      <c r="CK88" s="30"/>
      <c r="CL88" s="29"/>
      <c r="CP88" s="26">
        <v>0</v>
      </c>
      <c r="CQ88" s="30"/>
      <c r="CR88" s="29"/>
      <c r="CT88" s="26">
        <v>0</v>
      </c>
      <c r="CU88" s="30"/>
      <c r="CZ88" s="26">
        <v>0</v>
      </c>
      <c r="DA88" s="30"/>
      <c r="DD88" s="26">
        <v>0</v>
      </c>
      <c r="DE88" s="30"/>
      <c r="DF88" s="29"/>
      <c r="DH88" s="26">
        <v>0</v>
      </c>
      <c r="DI88" s="30"/>
      <c r="DJ88" s="29"/>
      <c r="DL88" s="26">
        <v>0</v>
      </c>
      <c r="DM88" s="30"/>
      <c r="DP88" s="26">
        <v>0</v>
      </c>
      <c r="DQ88" s="30"/>
      <c r="DR88" s="29"/>
      <c r="DU88" s="26">
        <v>0</v>
      </c>
      <c r="DV88" s="30"/>
      <c r="DW88" s="29"/>
      <c r="EA88" s="26">
        <v>0</v>
      </c>
      <c r="EB88" s="30"/>
      <c r="EC88" s="29"/>
      <c r="EF88" s="26">
        <v>0</v>
      </c>
      <c r="EG88" s="30"/>
      <c r="EJ88" s="26">
        <v>0</v>
      </c>
      <c r="EK88" s="30"/>
      <c r="EL88" s="31"/>
      <c r="EN88" s="26">
        <v>0</v>
      </c>
      <c r="EO88" s="30"/>
      <c r="EP88" s="29"/>
      <c r="ER88" s="26">
        <v>0</v>
      </c>
      <c r="ES88" s="30"/>
      <c r="ET88" s="29"/>
      <c r="EV88" s="26">
        <v>0</v>
      </c>
      <c r="EW88" s="30"/>
      <c r="EZ88" s="26">
        <v>0</v>
      </c>
      <c r="FA88" s="30"/>
      <c r="FD88" s="26">
        <v>0</v>
      </c>
      <c r="FE88" s="30"/>
      <c r="FF88" s="29"/>
      <c r="FI88" s="26">
        <v>0</v>
      </c>
      <c r="FJ88" s="30"/>
      <c r="FK88" s="29"/>
      <c r="FM88">
        <v>67</v>
      </c>
      <c r="FN88" s="26">
        <v>-3</v>
      </c>
      <c r="FO88" s="30"/>
      <c r="FQ88" s="28">
        <v>190.4</v>
      </c>
      <c r="FR88" s="26">
        <v>1.5999999999999941</v>
      </c>
      <c r="FS88" s="30"/>
      <c r="FT88" s="29"/>
      <c r="FY88" s="26">
        <v>0</v>
      </c>
      <c r="FZ88" s="30"/>
      <c r="GA88">
        <v>128</v>
      </c>
      <c r="GB88" s="28">
        <v>126.8</v>
      </c>
      <c r="GC88" s="26">
        <v>1.2000000000000031</v>
      </c>
      <c r="GD88" s="30"/>
      <c r="GE88" s="29"/>
      <c r="GG88">
        <v>112</v>
      </c>
      <c r="GH88">
        <v>116</v>
      </c>
      <c r="GI88" s="26">
        <v>-4</v>
      </c>
      <c r="GJ88" s="30"/>
      <c r="GK88">
        <v>56</v>
      </c>
      <c r="GL88">
        <v>60</v>
      </c>
      <c r="GM88">
        <v>56</v>
      </c>
      <c r="GN88">
        <v>60</v>
      </c>
      <c r="GO88" s="26">
        <v>-8</v>
      </c>
      <c r="GP88" s="30"/>
      <c r="GQ88">
        <v>32</v>
      </c>
      <c r="GR88" s="28">
        <v>30</v>
      </c>
      <c r="GS88" s="26">
        <v>2</v>
      </c>
      <c r="GT88" s="30"/>
      <c r="GU88" s="32">
        <v>112</v>
      </c>
      <c r="GV88">
        <v>110</v>
      </c>
      <c r="GW88" s="26">
        <v>2</v>
      </c>
      <c r="GX88" s="30"/>
      <c r="GY88" s="32">
        <v>32</v>
      </c>
      <c r="GZ88">
        <v>30</v>
      </c>
      <c r="HA88" s="26">
        <v>2</v>
      </c>
      <c r="HB88" s="30"/>
      <c r="HC88">
        <v>40</v>
      </c>
      <c r="HD88">
        <v>40</v>
      </c>
      <c r="HE88" s="26">
        <v>0</v>
      </c>
      <c r="HF88" s="30"/>
      <c r="HG88" s="32">
        <v>72</v>
      </c>
      <c r="HH88">
        <v>75</v>
      </c>
      <c r="HI88" s="26">
        <v>-3</v>
      </c>
      <c r="HJ88" s="30"/>
      <c r="HK88" s="32">
        <v>24</v>
      </c>
      <c r="HL88">
        <v>24</v>
      </c>
      <c r="HM88" s="26">
        <v>0</v>
      </c>
      <c r="HN88" s="30"/>
      <c r="HO88">
        <v>32</v>
      </c>
      <c r="HP88">
        <v>32</v>
      </c>
      <c r="HQ88" s="26">
        <v>0</v>
      </c>
      <c r="HR88" s="33"/>
      <c r="HS88">
        <v>8</v>
      </c>
      <c r="HT88">
        <v>6</v>
      </c>
      <c r="HU88" s="26">
        <v>2</v>
      </c>
      <c r="HV88" s="30"/>
      <c r="HW88">
        <v>64</v>
      </c>
      <c r="HX88">
        <v>65.8</v>
      </c>
      <c r="HY88" s="26">
        <v>-1.7999999999999969</v>
      </c>
      <c r="HZ88" s="33"/>
      <c r="IA88">
        <v>16</v>
      </c>
      <c r="IB88">
        <v>15</v>
      </c>
      <c r="IC88" s="26">
        <v>1</v>
      </c>
      <c r="ID88" s="30"/>
      <c r="IE88">
        <v>40</v>
      </c>
      <c r="IF88">
        <v>41</v>
      </c>
      <c r="IG88" s="26">
        <v>-1</v>
      </c>
      <c r="IH88" s="33"/>
      <c r="IK88" s="26">
        <v>0</v>
      </c>
      <c r="IL88" s="30"/>
      <c r="IM88" s="31"/>
      <c r="IO88" s="26">
        <v>0</v>
      </c>
      <c r="IP88" s="33"/>
      <c r="IQ88">
        <v>72</v>
      </c>
      <c r="IR88">
        <v>71</v>
      </c>
      <c r="IS88" s="26">
        <v>1</v>
      </c>
      <c r="IT88" s="33"/>
      <c r="IW88" s="26">
        <v>0</v>
      </c>
      <c r="IX88" s="33"/>
      <c r="JA88" s="26">
        <v>0</v>
      </c>
      <c r="JB88" s="30"/>
      <c r="JC88">
        <v>48</v>
      </c>
      <c r="JD88">
        <v>50</v>
      </c>
      <c r="JE88">
        <v>40</v>
      </c>
      <c r="JF88">
        <v>44</v>
      </c>
      <c r="JG88" s="26">
        <v>-6</v>
      </c>
      <c r="JH88" s="33"/>
      <c r="JI88" s="28">
        <v>72</v>
      </c>
      <c r="JJ88" s="28">
        <v>70</v>
      </c>
      <c r="JK88" s="26">
        <v>2</v>
      </c>
      <c r="JL88" s="33"/>
      <c r="JM88" s="28">
        <v>0</v>
      </c>
      <c r="JN88" s="28">
        <v>0</v>
      </c>
      <c r="JO88" s="26">
        <v>0</v>
      </c>
      <c r="JP88" s="33"/>
      <c r="JQ88" s="31">
        <v>0</v>
      </c>
      <c r="JR88" s="28">
        <v>0</v>
      </c>
      <c r="JS88" s="26">
        <v>0</v>
      </c>
      <c r="JT88" s="33"/>
    </row>
    <row r="89" spans="1:280" x14ac:dyDescent="0.25">
      <c r="A89" s="26" t="s">
        <v>240</v>
      </c>
      <c r="B89" s="27">
        <v>0.35</v>
      </c>
      <c r="I89" s="29"/>
      <c r="J89" s="35"/>
      <c r="K89" s="40"/>
      <c r="L89" s="35"/>
      <c r="M89" s="35">
        <f t="shared" si="9"/>
        <v>0</v>
      </c>
      <c r="N89" s="30"/>
      <c r="O89" s="29"/>
      <c r="P89" s="35"/>
      <c r="Q89" s="35"/>
      <c r="R89" s="35"/>
      <c r="S89" s="35">
        <f t="shared" si="10"/>
        <v>0</v>
      </c>
      <c r="T89" s="30"/>
      <c r="U89" s="29"/>
      <c r="V89" s="40"/>
      <c r="W89" s="35"/>
      <c r="X89" s="35"/>
      <c r="Y89" s="35"/>
      <c r="Z89" s="35"/>
      <c r="AA89" s="35">
        <f t="shared" si="11"/>
        <v>0</v>
      </c>
      <c r="AB89" s="30"/>
      <c r="AC89" s="29"/>
      <c r="AD89" s="35"/>
      <c r="AE89" s="35"/>
      <c r="AF89" s="35"/>
      <c r="AG89" s="35">
        <v>0</v>
      </c>
      <c r="AH89" s="30"/>
      <c r="AI89" s="35"/>
      <c r="AM89" s="26">
        <v>0</v>
      </c>
      <c r="AN89" s="30"/>
      <c r="AO89" s="31"/>
      <c r="AS89" s="26">
        <v>0</v>
      </c>
      <c r="AT89" s="30"/>
      <c r="AY89" s="26">
        <v>0</v>
      </c>
      <c r="AZ89" s="30"/>
      <c r="BD89" s="26">
        <v>0</v>
      </c>
      <c r="BE89" s="30"/>
      <c r="BF89" s="29"/>
      <c r="BH89" s="26">
        <v>0</v>
      </c>
      <c r="BI89" s="30"/>
      <c r="BJ89" s="29"/>
      <c r="BL89" s="26">
        <v>0</v>
      </c>
      <c r="BM89" s="30"/>
      <c r="BP89" s="26">
        <v>0</v>
      </c>
      <c r="BQ89" s="30"/>
      <c r="BR89" s="29"/>
      <c r="BT89" s="26">
        <v>0</v>
      </c>
      <c r="BU89" s="30"/>
      <c r="BX89" s="26">
        <v>0</v>
      </c>
      <c r="BY89" s="30"/>
      <c r="BZ89" s="29"/>
      <c r="CB89" s="26">
        <v>0</v>
      </c>
      <c r="CC89" s="30"/>
      <c r="CD89" s="29"/>
      <c r="CF89" s="26">
        <v>0</v>
      </c>
      <c r="CG89" s="30"/>
      <c r="CJ89" s="26">
        <v>0</v>
      </c>
      <c r="CK89" s="30"/>
      <c r="CL89" s="29"/>
      <c r="CP89" s="26">
        <v>0</v>
      </c>
      <c r="CQ89" s="30"/>
      <c r="CR89" s="29"/>
      <c r="CT89" s="26">
        <v>0</v>
      </c>
      <c r="CU89" s="30"/>
      <c r="CZ89" s="26">
        <v>0</v>
      </c>
      <c r="DA89" s="30"/>
      <c r="DD89" s="26">
        <v>0</v>
      </c>
      <c r="DE89" s="30"/>
      <c r="DF89" s="29"/>
      <c r="DH89" s="26">
        <v>0</v>
      </c>
      <c r="DI89" s="30"/>
      <c r="DJ89" s="29"/>
      <c r="DL89" s="26">
        <v>0</v>
      </c>
      <c r="DM89" s="30"/>
      <c r="DP89" s="26">
        <v>0</v>
      </c>
      <c r="DQ89" s="30"/>
      <c r="DR89" s="29"/>
      <c r="DU89" s="26">
        <v>0</v>
      </c>
      <c r="DV89" s="30"/>
      <c r="DW89" s="29"/>
      <c r="EA89" s="26">
        <v>0</v>
      </c>
      <c r="EB89" s="30"/>
      <c r="EC89" s="29"/>
      <c r="EF89" s="26">
        <v>0</v>
      </c>
      <c r="EG89" s="30"/>
      <c r="EJ89" s="26">
        <v>0</v>
      </c>
      <c r="EK89" s="30"/>
      <c r="EL89" s="31"/>
      <c r="EN89" s="26">
        <v>0</v>
      </c>
      <c r="EO89" s="30"/>
      <c r="EP89" s="29"/>
      <c r="ER89" s="26">
        <v>0</v>
      </c>
      <c r="ES89" s="30"/>
      <c r="ET89" s="29"/>
      <c r="EV89" s="26">
        <v>0</v>
      </c>
      <c r="EW89" s="30"/>
      <c r="EZ89" s="26">
        <v>0</v>
      </c>
      <c r="FA89" s="30"/>
      <c r="FD89" s="26">
        <v>0</v>
      </c>
      <c r="FE89" s="30"/>
      <c r="FF89" s="29"/>
      <c r="FI89" s="26">
        <v>0</v>
      </c>
      <c r="FJ89" s="30"/>
      <c r="FK89" s="29"/>
      <c r="FN89" s="26">
        <v>0</v>
      </c>
      <c r="FO89" s="30"/>
      <c r="FR89" s="26">
        <v>0</v>
      </c>
      <c r="FS89" s="30"/>
      <c r="FT89" s="29"/>
      <c r="FY89" s="26">
        <v>0</v>
      </c>
      <c r="FZ89" s="30"/>
      <c r="GC89" s="26">
        <v>0</v>
      </c>
      <c r="GD89" s="30"/>
      <c r="GE89" s="29"/>
      <c r="GI89" s="26">
        <v>0</v>
      </c>
      <c r="GJ89" s="30"/>
      <c r="GO89" s="26">
        <v>0</v>
      </c>
      <c r="GP89" s="30"/>
      <c r="GS89" s="26">
        <v>0</v>
      </c>
      <c r="GT89" s="30"/>
      <c r="GU89" s="29"/>
      <c r="GW89" s="26">
        <v>0</v>
      </c>
      <c r="GX89" s="30"/>
      <c r="GY89" s="29"/>
      <c r="HA89" s="26">
        <v>0</v>
      </c>
      <c r="HB89" s="30"/>
      <c r="HE89" s="26">
        <v>0</v>
      </c>
      <c r="HF89" s="30"/>
      <c r="HG89" s="32">
        <v>56</v>
      </c>
      <c r="HH89">
        <v>54</v>
      </c>
      <c r="HI89" s="26">
        <v>2</v>
      </c>
      <c r="HJ89" s="30"/>
      <c r="HK89" s="32">
        <v>40</v>
      </c>
      <c r="HL89">
        <v>38</v>
      </c>
      <c r="HM89" s="26">
        <v>2</v>
      </c>
      <c r="HN89" s="30"/>
      <c r="HQ89" s="26">
        <v>0</v>
      </c>
      <c r="HR89" s="33"/>
      <c r="HS89">
        <v>40</v>
      </c>
      <c r="HT89">
        <v>39</v>
      </c>
      <c r="HU89" s="26">
        <v>1</v>
      </c>
      <c r="HV89" s="30"/>
      <c r="HX89">
        <v>20</v>
      </c>
      <c r="HY89" s="25">
        <v>-20</v>
      </c>
      <c r="HZ89" s="33">
        <v>7</v>
      </c>
      <c r="IC89" s="26">
        <v>0</v>
      </c>
      <c r="ID89" s="30"/>
      <c r="IE89">
        <v>8</v>
      </c>
      <c r="IF89">
        <v>10</v>
      </c>
      <c r="IG89" s="26">
        <v>-2</v>
      </c>
      <c r="IH89" s="33"/>
      <c r="II89">
        <v>24</v>
      </c>
      <c r="IJ89" s="28">
        <v>29.2</v>
      </c>
      <c r="IK89" s="26">
        <v>-5.1999999999999993</v>
      </c>
      <c r="IL89" s="30"/>
      <c r="IM89" s="32">
        <v>16</v>
      </c>
      <c r="IN89" s="28">
        <v>16</v>
      </c>
      <c r="IO89" s="26">
        <v>0</v>
      </c>
      <c r="IP89" s="33"/>
      <c r="IQ89">
        <v>40</v>
      </c>
      <c r="IR89">
        <v>41</v>
      </c>
      <c r="IS89" s="26">
        <v>-1</v>
      </c>
      <c r="IT89" s="33"/>
      <c r="IW89" s="26">
        <v>0</v>
      </c>
      <c r="IX89" s="33"/>
      <c r="JA89" s="26">
        <v>0</v>
      </c>
      <c r="JB89" s="30"/>
      <c r="JC89">
        <v>56</v>
      </c>
      <c r="JD89">
        <v>60</v>
      </c>
      <c r="JE89">
        <v>56</v>
      </c>
      <c r="JF89">
        <v>55</v>
      </c>
      <c r="JG89" s="26">
        <v>-3</v>
      </c>
      <c r="JH89" s="33"/>
      <c r="JI89" s="28">
        <v>72</v>
      </c>
      <c r="JJ89" s="28">
        <v>70</v>
      </c>
      <c r="JK89" s="26">
        <v>2</v>
      </c>
      <c r="JL89" s="33"/>
      <c r="JM89" s="28">
        <v>0</v>
      </c>
      <c r="JN89" s="28">
        <v>0</v>
      </c>
      <c r="JO89" s="26">
        <v>0</v>
      </c>
      <c r="JP89" s="33"/>
      <c r="JQ89" s="31">
        <v>104</v>
      </c>
      <c r="JR89" s="28">
        <v>115</v>
      </c>
      <c r="JS89" s="25">
        <v>-11</v>
      </c>
      <c r="JT89" s="33">
        <v>3.85</v>
      </c>
    </row>
    <row r="90" spans="1:280" x14ac:dyDescent="0.25">
      <c r="A90" s="26" t="s">
        <v>241</v>
      </c>
      <c r="B90" s="27">
        <v>0.28000000000000003</v>
      </c>
      <c r="I90" s="29"/>
      <c r="J90" s="35"/>
      <c r="K90" s="40"/>
      <c r="L90" s="35"/>
      <c r="M90" s="35">
        <f t="shared" si="9"/>
        <v>0</v>
      </c>
      <c r="N90" s="30"/>
      <c r="O90" s="29"/>
      <c r="P90" s="35"/>
      <c r="Q90" s="35"/>
      <c r="R90" s="35"/>
      <c r="S90" s="35">
        <f t="shared" si="10"/>
        <v>0</v>
      </c>
      <c r="T90" s="30"/>
      <c r="U90" s="29"/>
      <c r="V90" s="40"/>
      <c r="W90" s="35"/>
      <c r="X90" s="35"/>
      <c r="Y90" s="35"/>
      <c r="Z90" s="35"/>
      <c r="AA90" s="35">
        <f t="shared" si="11"/>
        <v>0</v>
      </c>
      <c r="AB90" s="30"/>
      <c r="AC90" s="29"/>
      <c r="AD90" s="35"/>
      <c r="AE90" s="35"/>
      <c r="AF90" s="35"/>
      <c r="AG90" s="35">
        <v>0</v>
      </c>
      <c r="AH90" s="30"/>
      <c r="AI90" s="35"/>
      <c r="AM90" s="26">
        <v>0</v>
      </c>
      <c r="AN90" s="30"/>
      <c r="AO90" s="31"/>
      <c r="AS90" s="26">
        <v>0</v>
      </c>
      <c r="AT90" s="30"/>
      <c r="AY90" s="26">
        <v>0</v>
      </c>
      <c r="AZ90" s="30"/>
      <c r="BD90" s="26">
        <v>0</v>
      </c>
      <c r="BE90" s="30"/>
      <c r="BF90" s="29"/>
      <c r="BH90" s="26">
        <v>0</v>
      </c>
      <c r="BI90" s="30"/>
      <c r="BJ90" s="29"/>
      <c r="BL90" s="26">
        <v>0</v>
      </c>
      <c r="BM90" s="30"/>
      <c r="BP90" s="26">
        <v>0</v>
      </c>
      <c r="BQ90" s="30"/>
      <c r="BR90" s="29"/>
      <c r="BT90" s="26">
        <v>0</v>
      </c>
      <c r="BU90" s="30"/>
      <c r="BX90" s="26">
        <v>0</v>
      </c>
      <c r="BY90" s="30"/>
      <c r="BZ90" s="29"/>
      <c r="CB90" s="26">
        <v>0</v>
      </c>
      <c r="CC90" s="30"/>
      <c r="CD90" s="29"/>
      <c r="CF90" s="26">
        <v>0</v>
      </c>
      <c r="CG90" s="30"/>
      <c r="CJ90" s="26">
        <v>0</v>
      </c>
      <c r="CK90" s="30"/>
      <c r="CL90" s="29"/>
      <c r="CP90" s="26">
        <v>0</v>
      </c>
      <c r="CQ90" s="30"/>
      <c r="CR90" s="29"/>
      <c r="CT90" s="26">
        <v>0</v>
      </c>
      <c r="CU90" s="30"/>
      <c r="CZ90" s="26">
        <v>0</v>
      </c>
      <c r="DA90" s="30"/>
      <c r="DD90" s="26">
        <v>0</v>
      </c>
      <c r="DE90" s="30"/>
      <c r="DF90" s="29"/>
      <c r="DH90" s="26">
        <v>0</v>
      </c>
      <c r="DI90" s="30"/>
      <c r="DJ90" s="29"/>
      <c r="DL90" s="26">
        <v>0</v>
      </c>
      <c r="DM90" s="30"/>
      <c r="DP90" s="26">
        <v>0</v>
      </c>
      <c r="DQ90" s="30"/>
      <c r="DR90" s="29"/>
      <c r="DU90" s="26">
        <v>0</v>
      </c>
      <c r="DV90" s="30"/>
      <c r="DW90" s="29"/>
      <c r="EA90" s="26">
        <v>0</v>
      </c>
      <c r="EB90" s="30"/>
      <c r="EC90" s="29"/>
      <c r="EF90" s="26">
        <v>0</v>
      </c>
      <c r="EG90" s="30"/>
      <c r="EJ90" s="26">
        <v>0</v>
      </c>
      <c r="EK90" s="30"/>
      <c r="EL90" s="31"/>
      <c r="EN90" s="26">
        <v>0</v>
      </c>
      <c r="EO90" s="30"/>
      <c r="EP90" s="29"/>
      <c r="ER90" s="26">
        <v>0</v>
      </c>
      <c r="ES90" s="30"/>
      <c r="ET90" s="29"/>
      <c r="EV90" s="26">
        <v>0</v>
      </c>
      <c r="EW90" s="30"/>
      <c r="EZ90" s="26">
        <v>0</v>
      </c>
      <c r="FA90" s="30"/>
      <c r="FD90" s="26">
        <v>0</v>
      </c>
      <c r="FE90" s="30"/>
      <c r="FF90" s="29"/>
      <c r="FI90" s="26">
        <v>0</v>
      </c>
      <c r="FJ90" s="30"/>
      <c r="FK90" s="29"/>
      <c r="FN90" s="26">
        <v>0</v>
      </c>
      <c r="FO90" s="30"/>
      <c r="FR90" s="26">
        <v>0</v>
      </c>
      <c r="FS90" s="30"/>
      <c r="FT90" s="29"/>
      <c r="FY90" s="26">
        <v>0</v>
      </c>
      <c r="FZ90" s="30"/>
      <c r="GC90" s="26">
        <v>0</v>
      </c>
      <c r="GD90" s="30"/>
      <c r="GE90" s="29"/>
      <c r="GI90" s="26">
        <v>0</v>
      </c>
      <c r="GJ90" s="30"/>
      <c r="GO90" s="26">
        <v>0</v>
      </c>
      <c r="GP90" s="30"/>
      <c r="GS90" s="26">
        <v>0</v>
      </c>
      <c r="GT90" s="30"/>
      <c r="GU90" s="29"/>
      <c r="GW90" s="26">
        <v>0</v>
      </c>
      <c r="GX90" s="30"/>
      <c r="GY90" s="29"/>
      <c r="HA90" s="26">
        <v>0</v>
      </c>
      <c r="HB90" s="30"/>
      <c r="HE90" s="26">
        <v>0</v>
      </c>
      <c r="HF90" s="30"/>
      <c r="HG90" s="29"/>
      <c r="HI90" s="26">
        <v>0</v>
      </c>
      <c r="HJ90" s="30"/>
      <c r="HK90" s="29"/>
      <c r="HM90" s="26">
        <v>0</v>
      </c>
      <c r="HN90" s="30"/>
      <c r="HQ90" s="26">
        <v>0</v>
      </c>
      <c r="HR90" s="33"/>
      <c r="HU90" s="26">
        <v>0</v>
      </c>
      <c r="HV90" s="30"/>
      <c r="HY90" s="26">
        <v>0</v>
      </c>
      <c r="HZ90" s="33"/>
      <c r="IC90" s="26">
        <v>0</v>
      </c>
      <c r="ID90" s="30"/>
      <c r="IG90" s="26">
        <v>0</v>
      </c>
      <c r="IH90" s="33"/>
      <c r="IK90" s="26">
        <v>0</v>
      </c>
      <c r="IL90" s="30"/>
      <c r="IM90" s="31"/>
      <c r="IO90" s="26">
        <v>0</v>
      </c>
      <c r="IP90" s="33"/>
      <c r="IS90" s="26">
        <v>0</v>
      </c>
      <c r="IT90" s="33"/>
      <c r="IW90" s="26">
        <v>0</v>
      </c>
      <c r="IX90" s="33"/>
      <c r="JA90" s="26">
        <v>0</v>
      </c>
      <c r="JB90" s="30"/>
      <c r="JC90" s="27"/>
      <c r="JE90" s="27"/>
      <c r="JG90" s="26">
        <v>0</v>
      </c>
      <c r="JH90" s="33"/>
      <c r="JI90" s="28">
        <v>0</v>
      </c>
      <c r="JJ90" s="28">
        <v>0</v>
      </c>
      <c r="JK90" s="26">
        <v>0</v>
      </c>
      <c r="JL90" s="33"/>
      <c r="JM90" s="28">
        <v>0</v>
      </c>
      <c r="JN90" s="28">
        <v>0</v>
      </c>
      <c r="JO90" s="26">
        <v>0</v>
      </c>
      <c r="JP90" s="33"/>
      <c r="JQ90" s="31">
        <v>0</v>
      </c>
      <c r="JR90" s="28">
        <v>0</v>
      </c>
      <c r="JS90" s="26">
        <v>0</v>
      </c>
      <c r="JT90" s="33"/>
    </row>
    <row r="91" spans="1:280" x14ac:dyDescent="0.25">
      <c r="A91" s="26" t="s">
        <v>242</v>
      </c>
      <c r="B91" s="27">
        <v>0.35</v>
      </c>
      <c r="E91">
        <v>188</v>
      </c>
      <c r="F91">
        <v>80</v>
      </c>
      <c r="I91" s="32">
        <v>72</v>
      </c>
      <c r="J91" s="36">
        <v>74</v>
      </c>
      <c r="K91" s="36">
        <v>72</v>
      </c>
      <c r="L91" s="36">
        <v>74</v>
      </c>
      <c r="M91" s="35">
        <f t="shared" si="9"/>
        <v>-4</v>
      </c>
      <c r="N91" s="30"/>
      <c r="O91" s="32">
        <v>224</v>
      </c>
      <c r="P91" s="36">
        <v>231</v>
      </c>
      <c r="Q91" s="36">
        <v>216</v>
      </c>
      <c r="R91" s="36">
        <v>216</v>
      </c>
      <c r="S91" s="35">
        <f t="shared" si="10"/>
        <v>-7</v>
      </c>
      <c r="T91" s="30"/>
      <c r="U91" s="32">
        <v>112</v>
      </c>
      <c r="V91" s="40"/>
      <c r="W91" s="36">
        <v>113</v>
      </c>
      <c r="X91" s="35"/>
      <c r="Y91" s="36">
        <v>88</v>
      </c>
      <c r="Z91" s="36">
        <v>90</v>
      </c>
      <c r="AA91" s="35">
        <f t="shared" si="11"/>
        <v>-3</v>
      </c>
      <c r="AB91" s="30"/>
      <c r="AC91" s="32">
        <v>168</v>
      </c>
      <c r="AD91" s="40">
        <v>172.35294117647061</v>
      </c>
      <c r="AE91" s="36">
        <v>120</v>
      </c>
      <c r="AF91" s="40">
        <v>120.64705882352941</v>
      </c>
      <c r="AG91" s="35">
        <v>-5.0000000000000142</v>
      </c>
      <c r="AH91" s="30"/>
      <c r="AI91" s="36">
        <v>136</v>
      </c>
      <c r="AJ91">
        <v>139</v>
      </c>
      <c r="AK91">
        <v>104</v>
      </c>
      <c r="AL91">
        <v>111</v>
      </c>
      <c r="AM91" s="26">
        <v>-10</v>
      </c>
      <c r="AN91" s="30"/>
      <c r="AO91" s="32">
        <v>48</v>
      </c>
      <c r="AP91">
        <v>48</v>
      </c>
      <c r="AQ91">
        <v>48</v>
      </c>
      <c r="AR91">
        <v>48</v>
      </c>
      <c r="AS91" s="26">
        <v>0</v>
      </c>
      <c r="AT91" s="30"/>
      <c r="AU91">
        <v>200</v>
      </c>
      <c r="AV91">
        <v>200</v>
      </c>
      <c r="AW91">
        <v>144</v>
      </c>
      <c r="AX91">
        <v>151</v>
      </c>
      <c r="AY91" s="26">
        <v>-7</v>
      </c>
      <c r="AZ91" s="30"/>
      <c r="BB91">
        <v>136</v>
      </c>
      <c r="BC91">
        <v>135</v>
      </c>
      <c r="BD91" s="26">
        <v>1</v>
      </c>
      <c r="BE91" s="30"/>
      <c r="BF91" s="32">
        <v>408</v>
      </c>
      <c r="BG91">
        <v>410</v>
      </c>
      <c r="BH91" s="26">
        <v>-2</v>
      </c>
      <c r="BI91" s="30"/>
      <c r="BJ91" s="32">
        <v>200</v>
      </c>
      <c r="BK91">
        <v>204</v>
      </c>
      <c r="BL91" s="26">
        <v>-4</v>
      </c>
      <c r="BM91" s="30"/>
      <c r="BN91">
        <v>168</v>
      </c>
      <c r="BO91">
        <v>166</v>
      </c>
      <c r="BP91" s="26">
        <v>2</v>
      </c>
      <c r="BQ91" s="30"/>
      <c r="BR91" s="32">
        <v>296</v>
      </c>
      <c r="BS91">
        <v>301</v>
      </c>
      <c r="BT91" s="26">
        <v>-5</v>
      </c>
      <c r="BU91" s="30"/>
      <c r="BV91">
        <v>88</v>
      </c>
      <c r="BW91">
        <v>91</v>
      </c>
      <c r="BX91" s="26">
        <v>-3</v>
      </c>
      <c r="BY91" s="30"/>
      <c r="BZ91" s="32">
        <v>248</v>
      </c>
      <c r="CA91">
        <v>252</v>
      </c>
      <c r="CB91" s="26">
        <v>-4</v>
      </c>
      <c r="CC91" s="30"/>
      <c r="CD91" s="29"/>
      <c r="CF91" s="26">
        <v>0</v>
      </c>
      <c r="CG91" s="30"/>
      <c r="CJ91" s="26">
        <v>0</v>
      </c>
      <c r="CK91" s="30"/>
      <c r="CL91" s="32">
        <v>160</v>
      </c>
      <c r="CM91">
        <v>130</v>
      </c>
      <c r="CN91">
        <v>168</v>
      </c>
      <c r="CO91">
        <v>167</v>
      </c>
      <c r="CP91" s="26">
        <v>31</v>
      </c>
      <c r="CQ91" s="30"/>
      <c r="CR91" s="32">
        <v>48</v>
      </c>
      <c r="CS91">
        <v>52</v>
      </c>
      <c r="CT91" s="26">
        <v>-4</v>
      </c>
      <c r="CU91" s="30"/>
      <c r="CX91">
        <v>208</v>
      </c>
      <c r="CY91">
        <v>211</v>
      </c>
      <c r="CZ91" s="26">
        <v>-3</v>
      </c>
      <c r="DA91" s="30"/>
      <c r="DB91">
        <v>168</v>
      </c>
      <c r="DC91">
        <v>169</v>
      </c>
      <c r="DD91" s="26">
        <v>-1</v>
      </c>
      <c r="DE91" s="30"/>
      <c r="DF91" s="29"/>
      <c r="DH91" s="26">
        <v>0</v>
      </c>
      <c r="DI91" s="30"/>
      <c r="DJ91" s="32">
        <v>104</v>
      </c>
      <c r="DK91">
        <v>102</v>
      </c>
      <c r="DL91" s="26">
        <v>2</v>
      </c>
      <c r="DM91" s="30"/>
      <c r="DN91">
        <v>208</v>
      </c>
      <c r="DO91">
        <v>211</v>
      </c>
      <c r="DP91" s="26">
        <v>-3</v>
      </c>
      <c r="DQ91" s="30"/>
      <c r="DR91" s="29"/>
      <c r="DU91" s="26">
        <v>0</v>
      </c>
      <c r="DV91" s="30"/>
      <c r="DW91" s="29"/>
      <c r="DY91">
        <v>112</v>
      </c>
      <c r="DZ91">
        <v>115</v>
      </c>
      <c r="EA91" s="26">
        <v>-3</v>
      </c>
      <c r="EB91" s="30"/>
      <c r="EC91" s="32">
        <v>200</v>
      </c>
      <c r="EE91">
        <v>201</v>
      </c>
      <c r="EF91" s="26">
        <v>-1</v>
      </c>
      <c r="EG91" s="30"/>
      <c r="EH91">
        <v>96</v>
      </c>
      <c r="EI91" s="26">
        <v>98.200000000000017</v>
      </c>
      <c r="EJ91" s="26">
        <v>-2.2000000000000171</v>
      </c>
      <c r="EK91" s="30"/>
      <c r="EL91" s="32">
        <v>40</v>
      </c>
      <c r="EM91" s="26">
        <v>45</v>
      </c>
      <c r="EN91" s="26">
        <v>-5</v>
      </c>
      <c r="EO91" s="30"/>
      <c r="EP91" s="32">
        <v>152</v>
      </c>
      <c r="EQ91" s="26">
        <v>162.19999999999999</v>
      </c>
      <c r="ER91" s="25">
        <v>-10.19999999999999</v>
      </c>
      <c r="ES91" s="30">
        <v>3.5699999999999958</v>
      </c>
      <c r="ET91" s="32">
        <v>8</v>
      </c>
      <c r="EU91">
        <v>8</v>
      </c>
      <c r="EV91" s="26">
        <v>0</v>
      </c>
      <c r="EW91" s="30"/>
      <c r="EX91">
        <v>120</v>
      </c>
      <c r="EY91" s="28">
        <v>123.8</v>
      </c>
      <c r="EZ91" s="26">
        <v>-3.7999999999999972</v>
      </c>
      <c r="FA91" s="30"/>
      <c r="FB91">
        <v>32</v>
      </c>
      <c r="FC91">
        <v>35</v>
      </c>
      <c r="FD91" s="26">
        <v>-3</v>
      </c>
      <c r="FE91" s="30"/>
      <c r="FF91" s="32">
        <v>152</v>
      </c>
      <c r="FH91">
        <v>150</v>
      </c>
      <c r="FI91" s="26">
        <v>2</v>
      </c>
      <c r="FJ91" s="30"/>
      <c r="FK91" s="32">
        <v>40</v>
      </c>
      <c r="FM91">
        <v>41</v>
      </c>
      <c r="FN91" s="26">
        <v>-1</v>
      </c>
      <c r="FO91" s="30"/>
      <c r="FP91">
        <v>112</v>
      </c>
      <c r="FQ91" s="28">
        <v>109.6</v>
      </c>
      <c r="FR91" s="26">
        <v>2.4000000000000061</v>
      </c>
      <c r="FS91" s="30"/>
      <c r="FT91" s="29"/>
      <c r="FU91">
        <v>72</v>
      </c>
      <c r="FV91">
        <v>70</v>
      </c>
      <c r="FW91">
        <v>64</v>
      </c>
      <c r="FX91">
        <v>68</v>
      </c>
      <c r="FY91" s="26">
        <v>-2</v>
      </c>
      <c r="FZ91" s="30"/>
      <c r="GA91">
        <v>32</v>
      </c>
      <c r="GB91" s="28">
        <v>34.400000000000013</v>
      </c>
      <c r="GC91" s="26">
        <v>-2.4000000000000128</v>
      </c>
      <c r="GD91" s="30"/>
      <c r="GE91" s="29"/>
      <c r="GI91" s="26">
        <v>0</v>
      </c>
      <c r="GJ91" s="30"/>
      <c r="GK91">
        <v>96</v>
      </c>
      <c r="GL91">
        <v>100</v>
      </c>
      <c r="GM91">
        <v>112</v>
      </c>
      <c r="GN91">
        <v>110</v>
      </c>
      <c r="GO91" s="26">
        <v>-2</v>
      </c>
      <c r="GP91" s="30"/>
      <c r="GS91" s="26">
        <v>0</v>
      </c>
      <c r="GT91" s="30"/>
      <c r="GU91" s="32">
        <v>160</v>
      </c>
      <c r="GV91">
        <v>160</v>
      </c>
      <c r="GW91" s="26">
        <v>0</v>
      </c>
      <c r="GX91" s="30"/>
      <c r="GY91" s="32">
        <v>40</v>
      </c>
      <c r="GZ91">
        <v>40</v>
      </c>
      <c r="HA91" s="26">
        <v>0</v>
      </c>
      <c r="HB91" s="30"/>
      <c r="HC91">
        <v>48</v>
      </c>
      <c r="HD91">
        <v>50</v>
      </c>
      <c r="HE91" s="26">
        <v>-2</v>
      </c>
      <c r="HF91" s="30"/>
      <c r="HG91" s="32">
        <v>88</v>
      </c>
      <c r="HH91">
        <v>90</v>
      </c>
      <c r="HI91" s="26">
        <v>-2</v>
      </c>
      <c r="HJ91" s="30"/>
      <c r="HK91" s="32">
        <v>40</v>
      </c>
      <c r="HL91">
        <v>45</v>
      </c>
      <c r="HM91" s="26">
        <v>-5</v>
      </c>
      <c r="HN91" s="30"/>
      <c r="HO91">
        <v>24</v>
      </c>
      <c r="HP91">
        <v>24</v>
      </c>
      <c r="HQ91" s="26">
        <v>0</v>
      </c>
      <c r="HR91" s="33"/>
      <c r="HU91" s="26">
        <v>0</v>
      </c>
      <c r="HV91" s="30"/>
      <c r="HW91">
        <v>80</v>
      </c>
      <c r="HX91">
        <v>84.4</v>
      </c>
      <c r="HY91" s="26">
        <v>-4.4000000000000057</v>
      </c>
      <c r="HZ91" s="33"/>
      <c r="IC91" s="26">
        <v>0</v>
      </c>
      <c r="ID91" s="30"/>
      <c r="IE91">
        <v>16</v>
      </c>
      <c r="IF91">
        <v>18</v>
      </c>
      <c r="IG91" s="26">
        <v>-2</v>
      </c>
      <c r="IH91" s="33"/>
      <c r="II91">
        <v>24</v>
      </c>
      <c r="IJ91" s="28">
        <v>24.599999999999991</v>
      </c>
      <c r="IK91" s="26">
        <v>-0.59999999999999076</v>
      </c>
      <c r="IL91" s="30"/>
      <c r="IM91" s="32">
        <v>16</v>
      </c>
      <c r="IN91" s="28">
        <v>16</v>
      </c>
      <c r="IO91" s="26">
        <v>0</v>
      </c>
      <c r="IP91" s="33"/>
      <c r="IQ91">
        <v>56</v>
      </c>
      <c r="IR91">
        <v>57</v>
      </c>
      <c r="IS91" s="26">
        <v>-1</v>
      </c>
      <c r="IT91" s="33"/>
      <c r="IW91" s="26">
        <v>0</v>
      </c>
      <c r="IX91" s="33"/>
      <c r="JA91" s="26">
        <v>0</v>
      </c>
      <c r="JB91" s="30"/>
      <c r="JC91">
        <v>72</v>
      </c>
      <c r="JD91">
        <v>70</v>
      </c>
      <c r="JE91">
        <v>64</v>
      </c>
      <c r="JF91">
        <v>67</v>
      </c>
      <c r="JG91" s="26">
        <v>-1</v>
      </c>
      <c r="JH91" s="33"/>
      <c r="JI91" s="28">
        <v>72</v>
      </c>
      <c r="JJ91" s="28">
        <v>70</v>
      </c>
      <c r="JK91" s="26">
        <v>2</v>
      </c>
      <c r="JL91" s="33"/>
      <c r="JM91" s="28">
        <v>0</v>
      </c>
      <c r="JN91" s="28">
        <v>0</v>
      </c>
      <c r="JO91" s="26">
        <v>0</v>
      </c>
      <c r="JP91" s="33"/>
      <c r="JQ91" s="31">
        <v>112</v>
      </c>
      <c r="JR91" s="28">
        <v>110</v>
      </c>
      <c r="JS91" s="26">
        <v>2</v>
      </c>
      <c r="JT91" s="33"/>
    </row>
    <row r="92" spans="1:280" x14ac:dyDescent="0.25">
      <c r="A92" s="26" t="s">
        <v>243</v>
      </c>
      <c r="B92" s="27">
        <v>0.28000000000000003</v>
      </c>
      <c r="I92" s="29"/>
      <c r="J92" s="35"/>
      <c r="K92" s="40"/>
      <c r="L92" s="35"/>
      <c r="M92" s="35">
        <f t="shared" si="9"/>
        <v>0</v>
      </c>
      <c r="N92" s="30"/>
      <c r="O92" s="29"/>
      <c r="P92" s="35"/>
      <c r="Q92" s="35"/>
      <c r="R92" s="35"/>
      <c r="S92" s="35">
        <f t="shared" si="10"/>
        <v>0</v>
      </c>
      <c r="T92" s="30"/>
      <c r="U92" s="29"/>
      <c r="V92" s="40"/>
      <c r="W92" s="35"/>
      <c r="X92" s="35"/>
      <c r="Y92" s="35"/>
      <c r="Z92" s="35"/>
      <c r="AA92" s="35">
        <f t="shared" si="11"/>
        <v>0</v>
      </c>
      <c r="AB92" s="30"/>
      <c r="AC92" s="29"/>
      <c r="AD92" s="35"/>
      <c r="AE92" s="35"/>
      <c r="AF92" s="35"/>
      <c r="AG92" s="35">
        <v>0</v>
      </c>
      <c r="AH92" s="30"/>
      <c r="AI92" s="35"/>
      <c r="AM92" s="26">
        <v>0</v>
      </c>
      <c r="AN92" s="30"/>
      <c r="AO92" s="31"/>
      <c r="AS92" s="26">
        <v>0</v>
      </c>
      <c r="AT92" s="30"/>
      <c r="AY92" s="26">
        <v>0</v>
      </c>
      <c r="AZ92" s="30"/>
      <c r="BD92" s="26">
        <v>0</v>
      </c>
      <c r="BE92" s="30"/>
      <c r="BF92" s="29"/>
      <c r="BH92" s="26">
        <v>0</v>
      </c>
      <c r="BI92" s="30"/>
      <c r="BJ92" s="29"/>
      <c r="BL92" s="26">
        <v>0</v>
      </c>
      <c r="BM92" s="30"/>
      <c r="BP92" s="26">
        <v>0</v>
      </c>
      <c r="BQ92" s="30"/>
      <c r="BR92" s="29"/>
      <c r="BT92" s="26">
        <v>0</v>
      </c>
      <c r="BU92" s="30"/>
      <c r="BX92" s="26">
        <v>0</v>
      </c>
      <c r="BY92" s="30"/>
      <c r="BZ92" s="29"/>
      <c r="CB92" s="26">
        <v>0</v>
      </c>
      <c r="CC92" s="30"/>
      <c r="CD92" s="29"/>
      <c r="CF92" s="26">
        <v>0</v>
      </c>
      <c r="CG92" s="30"/>
      <c r="CJ92" s="26">
        <v>0</v>
      </c>
      <c r="CK92" s="30"/>
      <c r="CL92" s="29"/>
      <c r="CP92" s="26">
        <v>0</v>
      </c>
      <c r="CQ92" s="30"/>
      <c r="CR92" s="29"/>
      <c r="CT92" s="26">
        <v>0</v>
      </c>
      <c r="CU92" s="30"/>
      <c r="CZ92" s="26">
        <v>0</v>
      </c>
      <c r="DA92" s="30"/>
      <c r="DD92" s="26">
        <v>0</v>
      </c>
      <c r="DE92" s="30"/>
      <c r="DF92" s="29"/>
      <c r="DH92" s="26">
        <v>0</v>
      </c>
      <c r="DI92" s="30"/>
      <c r="DJ92" s="29"/>
      <c r="DL92" s="26">
        <v>0</v>
      </c>
      <c r="DM92" s="30"/>
      <c r="DP92" s="26">
        <v>0</v>
      </c>
      <c r="DQ92" s="30"/>
      <c r="DR92" s="29"/>
      <c r="DU92" s="26">
        <v>0</v>
      </c>
      <c r="DV92" s="30"/>
      <c r="DW92" s="29"/>
      <c r="EA92" s="26">
        <v>0</v>
      </c>
      <c r="EB92" s="30"/>
      <c r="EC92" s="29"/>
      <c r="EF92" s="26">
        <v>0</v>
      </c>
      <c r="EG92" s="30"/>
      <c r="EJ92" s="26">
        <v>0</v>
      </c>
      <c r="EK92" s="30"/>
      <c r="EL92" s="31"/>
      <c r="EN92" s="26">
        <v>0</v>
      </c>
      <c r="EO92" s="30"/>
      <c r="EP92" s="29"/>
      <c r="ER92" s="26">
        <v>0</v>
      </c>
      <c r="ES92" s="30"/>
      <c r="ET92" s="29"/>
      <c r="EV92" s="26">
        <v>0</v>
      </c>
      <c r="EW92" s="30"/>
      <c r="EZ92" s="26">
        <v>0</v>
      </c>
      <c r="FA92" s="30"/>
      <c r="FD92" s="26">
        <v>0</v>
      </c>
      <c r="FE92" s="30"/>
      <c r="FF92" s="29"/>
      <c r="FI92" s="26">
        <v>0</v>
      </c>
      <c r="FJ92" s="30"/>
      <c r="FK92" s="29"/>
      <c r="FN92" s="26">
        <v>0</v>
      </c>
      <c r="FO92" s="30"/>
      <c r="FR92" s="26">
        <v>0</v>
      </c>
      <c r="FS92" s="30"/>
      <c r="FT92" s="29"/>
      <c r="FX92">
        <v>63</v>
      </c>
      <c r="FY92" s="26">
        <v>1</v>
      </c>
      <c r="FZ92" s="30"/>
      <c r="GB92" s="28">
        <v>67.399999999999991</v>
      </c>
      <c r="GC92" s="25">
        <v>-67.399999999999991</v>
      </c>
      <c r="GD92" s="30">
        <v>18.872</v>
      </c>
      <c r="GE92" s="29"/>
      <c r="GG92">
        <v>16</v>
      </c>
      <c r="GH92">
        <v>21</v>
      </c>
      <c r="GI92" s="26">
        <v>-5</v>
      </c>
      <c r="GJ92" s="30"/>
      <c r="GK92">
        <v>40</v>
      </c>
      <c r="GL92">
        <v>40</v>
      </c>
      <c r="GM92">
        <v>40</v>
      </c>
      <c r="GN92">
        <v>40</v>
      </c>
      <c r="GO92" s="26">
        <v>0</v>
      </c>
      <c r="GP92" s="30"/>
      <c r="GQ92">
        <v>8</v>
      </c>
      <c r="GR92" s="28">
        <v>8</v>
      </c>
      <c r="GS92" s="26">
        <v>0</v>
      </c>
      <c r="GT92" s="30"/>
      <c r="GU92" s="32">
        <v>56</v>
      </c>
      <c r="GV92">
        <v>54</v>
      </c>
      <c r="GW92" s="26">
        <v>2</v>
      </c>
      <c r="GX92" s="30"/>
      <c r="GY92" s="32">
        <v>32</v>
      </c>
      <c r="GZ92">
        <v>32</v>
      </c>
      <c r="HA92" s="26">
        <v>0</v>
      </c>
      <c r="HB92" s="30"/>
      <c r="HC92">
        <v>24</v>
      </c>
      <c r="HD92">
        <v>24</v>
      </c>
      <c r="HE92" s="26">
        <v>0</v>
      </c>
      <c r="HF92" s="30"/>
      <c r="HG92" s="32">
        <v>40</v>
      </c>
      <c r="HH92">
        <v>44</v>
      </c>
      <c r="HI92" s="26">
        <v>-4</v>
      </c>
      <c r="HJ92" s="30"/>
      <c r="HK92" s="32">
        <v>8</v>
      </c>
      <c r="HL92">
        <v>9</v>
      </c>
      <c r="HM92" s="26">
        <v>-1</v>
      </c>
      <c r="HN92" s="30"/>
      <c r="HO92">
        <v>56</v>
      </c>
      <c r="HP92">
        <v>59</v>
      </c>
      <c r="HQ92" s="26">
        <v>-3</v>
      </c>
      <c r="HR92" s="33"/>
      <c r="HS92">
        <v>24</v>
      </c>
      <c r="HT92">
        <v>28</v>
      </c>
      <c r="HU92" s="26">
        <v>-4</v>
      </c>
      <c r="HV92" s="30"/>
      <c r="HW92">
        <v>32</v>
      </c>
      <c r="HX92">
        <v>37</v>
      </c>
      <c r="HY92" s="26">
        <v>-5</v>
      </c>
      <c r="HZ92" s="33"/>
      <c r="IC92" s="26">
        <v>0</v>
      </c>
      <c r="ID92" s="30"/>
      <c r="IG92" s="26">
        <v>0</v>
      </c>
      <c r="IH92" s="33"/>
      <c r="II92">
        <v>40</v>
      </c>
      <c r="IJ92" s="28">
        <v>39.799999999999997</v>
      </c>
      <c r="IK92" s="26">
        <v>0.20000000000000279</v>
      </c>
      <c r="IL92" s="30"/>
      <c r="IM92" s="32">
        <v>24</v>
      </c>
      <c r="IN92" s="28">
        <v>24</v>
      </c>
      <c r="IO92" s="26">
        <v>0</v>
      </c>
      <c r="IP92" s="33"/>
      <c r="IQ92">
        <v>24</v>
      </c>
      <c r="IR92">
        <v>24</v>
      </c>
      <c r="IS92" s="26">
        <v>0</v>
      </c>
      <c r="IT92" s="33"/>
      <c r="IW92" s="26">
        <v>0</v>
      </c>
      <c r="IX92" s="33"/>
      <c r="JA92" s="26">
        <v>0</v>
      </c>
      <c r="JB92" s="30"/>
      <c r="JC92">
        <v>48</v>
      </c>
      <c r="JD92">
        <v>50</v>
      </c>
      <c r="JE92">
        <v>40</v>
      </c>
      <c r="JF92">
        <v>40</v>
      </c>
      <c r="JG92" s="26">
        <v>-2</v>
      </c>
      <c r="JH92" s="33"/>
      <c r="JI92" s="28">
        <v>56</v>
      </c>
      <c r="JJ92" s="28">
        <v>60</v>
      </c>
      <c r="JK92" s="26">
        <v>-4</v>
      </c>
      <c r="JL92" s="33"/>
      <c r="JM92" s="28">
        <v>0</v>
      </c>
      <c r="JN92" s="28">
        <v>0</v>
      </c>
      <c r="JO92" s="26">
        <v>0</v>
      </c>
      <c r="JP92" s="33"/>
      <c r="JQ92" s="31">
        <v>0</v>
      </c>
      <c r="JR92" s="28">
        <v>0</v>
      </c>
      <c r="JS92" s="26">
        <v>0</v>
      </c>
      <c r="JT92" s="33"/>
    </row>
    <row r="93" spans="1:280" x14ac:dyDescent="0.25">
      <c r="A93" s="26" t="s">
        <v>244</v>
      </c>
      <c r="B93" s="27">
        <v>0.41</v>
      </c>
      <c r="E93">
        <v>301</v>
      </c>
      <c r="F93">
        <v>301</v>
      </c>
      <c r="I93" s="29"/>
      <c r="J93" s="35"/>
      <c r="K93" s="40"/>
      <c r="L93" s="35"/>
      <c r="M93" s="35">
        <f t="shared" si="9"/>
        <v>0</v>
      </c>
      <c r="N93" s="30"/>
      <c r="O93" s="32">
        <v>248</v>
      </c>
      <c r="P93" s="36">
        <v>251</v>
      </c>
      <c r="Q93" s="36">
        <v>232</v>
      </c>
      <c r="R93" s="36">
        <v>235</v>
      </c>
      <c r="S93" s="35">
        <f t="shared" si="10"/>
        <v>-6</v>
      </c>
      <c r="T93" s="30"/>
      <c r="U93" s="29"/>
      <c r="V93" s="36">
        <v>336</v>
      </c>
      <c r="W93" s="36">
        <v>342</v>
      </c>
      <c r="X93" s="35"/>
      <c r="Y93" s="36">
        <v>272</v>
      </c>
      <c r="Z93" s="36">
        <v>273</v>
      </c>
      <c r="AA93" s="35">
        <f t="shared" si="11"/>
        <v>-7</v>
      </c>
      <c r="AB93" s="30"/>
      <c r="AC93" s="32">
        <v>248</v>
      </c>
      <c r="AD93" s="40">
        <v>251.76470588235301</v>
      </c>
      <c r="AE93" s="36">
        <v>176</v>
      </c>
      <c r="AF93" s="40">
        <v>176.23529411764699</v>
      </c>
      <c r="AG93" s="35">
        <v>-4</v>
      </c>
      <c r="AH93" s="30"/>
      <c r="AI93" s="36">
        <v>112</v>
      </c>
      <c r="AJ93">
        <v>112</v>
      </c>
      <c r="AK93">
        <v>88</v>
      </c>
      <c r="AL93">
        <v>89</v>
      </c>
      <c r="AM93" s="26">
        <v>-1</v>
      </c>
      <c r="AN93" s="30"/>
      <c r="AO93" s="32">
        <v>240</v>
      </c>
      <c r="AP93">
        <v>240</v>
      </c>
      <c r="AQ93">
        <v>344</v>
      </c>
      <c r="AR93">
        <v>379</v>
      </c>
      <c r="AS93" s="25">
        <v>-35</v>
      </c>
      <c r="AT93" s="30">
        <v>14.35</v>
      </c>
      <c r="AY93" s="26">
        <v>0</v>
      </c>
      <c r="AZ93" s="30"/>
      <c r="BB93">
        <v>576</v>
      </c>
      <c r="BC93">
        <v>575</v>
      </c>
      <c r="BD93" s="26">
        <v>1</v>
      </c>
      <c r="BE93" s="30"/>
      <c r="BF93" s="32">
        <v>384</v>
      </c>
      <c r="BG93">
        <v>389</v>
      </c>
      <c r="BH93" s="26">
        <v>-5</v>
      </c>
      <c r="BI93" s="30"/>
      <c r="BJ93" s="29"/>
      <c r="BL93" s="26">
        <v>0</v>
      </c>
      <c r="BM93" s="30"/>
      <c r="BN93">
        <v>608</v>
      </c>
      <c r="BO93">
        <v>613</v>
      </c>
      <c r="BP93" s="26">
        <v>-5</v>
      </c>
      <c r="BQ93" s="30"/>
      <c r="BR93" s="32">
        <v>184</v>
      </c>
      <c r="BS93">
        <v>189</v>
      </c>
      <c r="BT93" s="26">
        <v>-5</v>
      </c>
      <c r="BU93" s="30"/>
      <c r="BV93">
        <v>336</v>
      </c>
      <c r="BW93">
        <v>336</v>
      </c>
      <c r="BX93" s="26">
        <v>0</v>
      </c>
      <c r="BY93" s="30"/>
      <c r="BZ93" s="29"/>
      <c r="CB93" s="26">
        <v>0</v>
      </c>
      <c r="CC93" s="30"/>
      <c r="CD93" s="32">
        <v>400</v>
      </c>
      <c r="CE93">
        <v>390</v>
      </c>
      <c r="CF93" s="26">
        <v>10</v>
      </c>
      <c r="CG93" s="30"/>
      <c r="CH93">
        <v>80</v>
      </c>
      <c r="CI93">
        <v>79</v>
      </c>
      <c r="CJ93" s="26">
        <v>1</v>
      </c>
      <c r="CK93" s="30"/>
      <c r="CL93" s="32">
        <v>56</v>
      </c>
      <c r="CM93">
        <v>60</v>
      </c>
      <c r="CN93">
        <v>88</v>
      </c>
      <c r="CO93">
        <v>87</v>
      </c>
      <c r="CP93" s="26">
        <v>-3</v>
      </c>
      <c r="CQ93" s="30"/>
      <c r="CR93" s="32">
        <v>152</v>
      </c>
      <c r="CS93">
        <v>152</v>
      </c>
      <c r="CT93" s="26">
        <v>0</v>
      </c>
      <c r="CU93" s="30"/>
      <c r="CX93">
        <v>152</v>
      </c>
      <c r="CY93">
        <v>157</v>
      </c>
      <c r="CZ93" s="26">
        <v>-5</v>
      </c>
      <c r="DA93" s="30"/>
      <c r="DB93">
        <v>136</v>
      </c>
      <c r="DC93">
        <v>137</v>
      </c>
      <c r="DD93" s="26">
        <v>-1</v>
      </c>
      <c r="DE93" s="30"/>
      <c r="DF93" s="32">
        <v>192</v>
      </c>
      <c r="DG93">
        <v>196</v>
      </c>
      <c r="DH93" s="26">
        <v>-4</v>
      </c>
      <c r="DI93" s="30"/>
      <c r="DJ93" s="29"/>
      <c r="DL93" s="26">
        <v>0</v>
      </c>
      <c r="DM93" s="30"/>
      <c r="DN93">
        <v>248</v>
      </c>
      <c r="DO93">
        <v>250</v>
      </c>
      <c r="DP93" s="26">
        <v>-2</v>
      </c>
      <c r="DQ93" s="30"/>
      <c r="DR93" s="29"/>
      <c r="DU93" s="26">
        <v>0</v>
      </c>
      <c r="DV93" s="30"/>
      <c r="DW93" s="29"/>
      <c r="DY93">
        <v>104</v>
      </c>
      <c r="DZ93">
        <v>109</v>
      </c>
      <c r="EA93" s="26">
        <v>-5</v>
      </c>
      <c r="EB93" s="30"/>
      <c r="EC93" s="32">
        <v>232</v>
      </c>
      <c r="EE93">
        <v>235</v>
      </c>
      <c r="EF93" s="26">
        <v>-3</v>
      </c>
      <c r="EG93" s="30"/>
      <c r="EJ93" s="26">
        <v>0</v>
      </c>
      <c r="EK93" s="30"/>
      <c r="EL93" s="32">
        <v>248</v>
      </c>
      <c r="EM93" s="26">
        <v>248</v>
      </c>
      <c r="EN93" s="26">
        <v>0</v>
      </c>
      <c r="EO93" s="30"/>
      <c r="EP93" s="32">
        <v>72</v>
      </c>
      <c r="EQ93" s="26">
        <v>74.799999999999983</v>
      </c>
      <c r="ER93" s="26">
        <v>-2.7999999999999829</v>
      </c>
      <c r="ES93" s="30"/>
      <c r="ET93" s="32">
        <v>48</v>
      </c>
      <c r="EU93">
        <v>49</v>
      </c>
      <c r="EV93" s="26">
        <v>-1</v>
      </c>
      <c r="EW93" s="30"/>
      <c r="EX93">
        <v>96</v>
      </c>
      <c r="EY93" s="28">
        <v>95.400000000000034</v>
      </c>
      <c r="EZ93" s="26">
        <v>0.59999999999996589</v>
      </c>
      <c r="FA93" s="30"/>
      <c r="FB93">
        <v>208</v>
      </c>
      <c r="FC93">
        <v>212</v>
      </c>
      <c r="FD93" s="26">
        <v>-4</v>
      </c>
      <c r="FE93" s="30"/>
      <c r="FF93" s="32">
        <v>16</v>
      </c>
      <c r="FH93">
        <v>17</v>
      </c>
      <c r="FI93" s="26">
        <v>-1</v>
      </c>
      <c r="FJ93" s="30"/>
      <c r="FK93" s="32">
        <v>168</v>
      </c>
      <c r="FM93">
        <v>168</v>
      </c>
      <c r="FN93" s="26">
        <v>0</v>
      </c>
      <c r="FO93" s="30"/>
      <c r="FR93" s="26">
        <v>0</v>
      </c>
      <c r="FS93" s="30"/>
      <c r="FT93" s="29"/>
      <c r="FU93">
        <v>32</v>
      </c>
      <c r="FV93">
        <v>32</v>
      </c>
      <c r="FW93">
        <v>40</v>
      </c>
      <c r="FX93">
        <v>45</v>
      </c>
      <c r="FY93" s="26">
        <v>-5</v>
      </c>
      <c r="FZ93" s="30"/>
      <c r="GA93">
        <v>176</v>
      </c>
      <c r="GB93" s="28">
        <v>180.6</v>
      </c>
      <c r="GC93" s="26">
        <v>-4.5999999999999943</v>
      </c>
      <c r="GD93" s="30"/>
      <c r="GE93" s="29"/>
      <c r="GG93">
        <v>48</v>
      </c>
      <c r="GH93">
        <v>48</v>
      </c>
      <c r="GI93" s="26">
        <v>0</v>
      </c>
      <c r="GJ93" s="30"/>
      <c r="GK93">
        <v>80</v>
      </c>
      <c r="GL93">
        <v>80</v>
      </c>
      <c r="GM93">
        <v>80</v>
      </c>
      <c r="GN93">
        <v>80</v>
      </c>
      <c r="GO93" s="26">
        <v>0</v>
      </c>
      <c r="GP93" s="30"/>
      <c r="GS93" s="26">
        <v>0</v>
      </c>
      <c r="GT93" s="30"/>
      <c r="GU93" s="32">
        <v>96</v>
      </c>
      <c r="GV93">
        <v>96</v>
      </c>
      <c r="GW93" s="26">
        <v>0</v>
      </c>
      <c r="GX93" s="30"/>
      <c r="GY93" s="32">
        <v>40</v>
      </c>
      <c r="GZ93">
        <v>40</v>
      </c>
      <c r="HA93" s="26">
        <v>0</v>
      </c>
      <c r="HB93" s="30"/>
      <c r="HC93">
        <v>40</v>
      </c>
      <c r="HD93">
        <v>40</v>
      </c>
      <c r="HE93" s="26">
        <v>0</v>
      </c>
      <c r="HF93" s="30"/>
      <c r="HG93" s="32">
        <v>160</v>
      </c>
      <c r="HH93">
        <v>159</v>
      </c>
      <c r="HI93" s="26">
        <v>1</v>
      </c>
      <c r="HJ93" s="30"/>
      <c r="HK93" s="32">
        <v>56</v>
      </c>
      <c r="HL93">
        <v>59</v>
      </c>
      <c r="HM93" s="26">
        <v>-3</v>
      </c>
      <c r="HN93" s="30"/>
      <c r="HO93">
        <v>32</v>
      </c>
      <c r="HP93">
        <v>32</v>
      </c>
      <c r="HQ93" s="26">
        <v>0</v>
      </c>
      <c r="HR93" s="33"/>
      <c r="HS93">
        <v>104</v>
      </c>
      <c r="HT93">
        <v>107</v>
      </c>
      <c r="HU93" s="26">
        <v>-3</v>
      </c>
      <c r="HV93" s="30"/>
      <c r="HW93">
        <v>88</v>
      </c>
      <c r="HX93">
        <v>90.200000000000017</v>
      </c>
      <c r="HY93" s="26">
        <v>-2.2000000000000171</v>
      </c>
      <c r="HZ93" s="33"/>
      <c r="IA93">
        <v>72</v>
      </c>
      <c r="IB93">
        <v>72</v>
      </c>
      <c r="IC93" s="26">
        <v>0</v>
      </c>
      <c r="ID93" s="30"/>
      <c r="IE93">
        <v>64</v>
      </c>
      <c r="IF93">
        <v>64</v>
      </c>
      <c r="IG93" s="26">
        <v>0</v>
      </c>
      <c r="IH93" s="33"/>
      <c r="II93">
        <v>64</v>
      </c>
      <c r="IJ93" s="28">
        <v>68.8</v>
      </c>
      <c r="IK93" s="26">
        <v>-4.7999999999999972</v>
      </c>
      <c r="IL93" s="30"/>
      <c r="IM93" s="32">
        <v>24</v>
      </c>
      <c r="IN93" s="28">
        <v>24</v>
      </c>
      <c r="IO93" s="26">
        <v>0</v>
      </c>
      <c r="IP93" s="33"/>
      <c r="IS93" s="26">
        <v>0</v>
      </c>
      <c r="IT93" s="33"/>
      <c r="IW93" s="26">
        <v>0</v>
      </c>
      <c r="IX93" s="33"/>
      <c r="JA93" s="26">
        <v>0</v>
      </c>
      <c r="JB93" s="30"/>
      <c r="JC93">
        <v>152</v>
      </c>
      <c r="JD93">
        <v>150</v>
      </c>
      <c r="JE93">
        <v>112</v>
      </c>
      <c r="JF93">
        <v>116</v>
      </c>
      <c r="JG93" s="26">
        <v>-2</v>
      </c>
      <c r="JH93" s="33"/>
      <c r="JI93" s="28">
        <v>0</v>
      </c>
      <c r="JJ93" s="28">
        <v>0</v>
      </c>
      <c r="JK93" s="26">
        <v>0</v>
      </c>
      <c r="JL93" s="33"/>
      <c r="JM93" s="28">
        <v>160</v>
      </c>
      <c r="JN93" s="28">
        <v>161.19999999999999</v>
      </c>
      <c r="JO93" s="26">
        <v>-1.2000000000000171</v>
      </c>
      <c r="JP93" s="33"/>
      <c r="JQ93" s="31">
        <v>0</v>
      </c>
      <c r="JR93" s="28">
        <v>0</v>
      </c>
      <c r="JS93" s="26">
        <v>0</v>
      </c>
      <c r="JT93" s="33"/>
    </row>
    <row r="94" spans="1:280" x14ac:dyDescent="0.25">
      <c r="A94" s="26" t="s">
        <v>245</v>
      </c>
      <c r="B94" s="27">
        <v>0.5</v>
      </c>
      <c r="I94" s="29"/>
      <c r="J94" s="35"/>
      <c r="K94" s="40"/>
      <c r="L94" s="35"/>
      <c r="M94" s="35">
        <f t="shared" si="9"/>
        <v>0</v>
      </c>
      <c r="N94" s="30"/>
      <c r="O94" s="29"/>
      <c r="P94" s="35"/>
      <c r="Q94" s="35"/>
      <c r="R94" s="35"/>
      <c r="S94" s="35">
        <f t="shared" si="10"/>
        <v>0</v>
      </c>
      <c r="T94" s="30"/>
      <c r="U94" s="29"/>
      <c r="V94" s="40"/>
      <c r="W94" s="35"/>
      <c r="X94" s="35"/>
      <c r="Y94" s="35"/>
      <c r="Z94" s="35"/>
      <c r="AA94" s="35">
        <f t="shared" si="11"/>
        <v>0</v>
      </c>
      <c r="AB94" s="30"/>
      <c r="AC94" s="29"/>
      <c r="AD94" s="35"/>
      <c r="AE94" s="35"/>
      <c r="AF94" s="35"/>
      <c r="AG94" s="35">
        <v>0</v>
      </c>
      <c r="AH94" s="30"/>
      <c r="AI94" s="35"/>
      <c r="AM94" s="26">
        <v>0</v>
      </c>
      <c r="AN94" s="30"/>
      <c r="AO94" s="31"/>
      <c r="AS94" s="26">
        <v>0</v>
      </c>
      <c r="AT94" s="30"/>
      <c r="AY94" s="26">
        <v>0</v>
      </c>
      <c r="AZ94" s="30"/>
      <c r="BD94" s="26">
        <v>0</v>
      </c>
      <c r="BE94" s="30"/>
      <c r="BF94" s="29"/>
      <c r="BH94" s="26">
        <v>0</v>
      </c>
      <c r="BI94" s="30"/>
      <c r="BJ94" s="29"/>
      <c r="BL94" s="26">
        <v>0</v>
      </c>
      <c r="BM94" s="30"/>
      <c r="BP94" s="26">
        <v>0</v>
      </c>
      <c r="BQ94" s="30"/>
      <c r="BR94" s="29"/>
      <c r="BT94" s="26">
        <v>0</v>
      </c>
      <c r="BU94" s="30"/>
      <c r="BX94" s="26">
        <v>0</v>
      </c>
      <c r="BY94" s="30"/>
      <c r="BZ94" s="29"/>
      <c r="CB94" s="26">
        <v>0</v>
      </c>
      <c r="CC94" s="30"/>
      <c r="CD94" s="29"/>
      <c r="CF94" s="26">
        <v>0</v>
      </c>
      <c r="CG94" s="30"/>
      <c r="CJ94" s="26">
        <v>0</v>
      </c>
      <c r="CK94" s="30"/>
      <c r="CL94" s="29"/>
      <c r="CP94" s="26">
        <v>0</v>
      </c>
      <c r="CQ94" s="30"/>
      <c r="CR94" s="29"/>
      <c r="CT94" s="26">
        <v>0</v>
      </c>
      <c r="CU94" s="30"/>
      <c r="CZ94" s="26">
        <v>0</v>
      </c>
      <c r="DA94" s="30"/>
      <c r="DD94" s="26">
        <v>0</v>
      </c>
      <c r="DE94" s="30"/>
      <c r="DF94" s="29"/>
      <c r="DH94" s="26">
        <v>0</v>
      </c>
      <c r="DI94" s="30"/>
      <c r="DJ94" s="29"/>
      <c r="DL94" s="26">
        <v>0</v>
      </c>
      <c r="DM94" s="30"/>
      <c r="DP94" s="26">
        <v>0</v>
      </c>
      <c r="DQ94" s="30"/>
      <c r="DR94" s="29"/>
      <c r="DU94" s="26">
        <v>0</v>
      </c>
      <c r="DV94" s="30"/>
      <c r="DW94" s="29"/>
      <c r="EA94" s="26">
        <v>0</v>
      </c>
      <c r="EB94" s="30"/>
      <c r="EC94" s="29"/>
      <c r="EF94" s="26">
        <v>0</v>
      </c>
      <c r="EG94" s="30"/>
      <c r="EJ94" s="26">
        <v>0</v>
      </c>
      <c r="EK94" s="30"/>
      <c r="EL94" s="31"/>
      <c r="EN94" s="26">
        <v>0</v>
      </c>
      <c r="EO94" s="30"/>
      <c r="EP94" s="29"/>
      <c r="ER94" s="26">
        <v>0</v>
      </c>
      <c r="ES94" s="30"/>
      <c r="ET94" s="29"/>
      <c r="EV94" s="26">
        <v>0</v>
      </c>
      <c r="EW94" s="30"/>
      <c r="EZ94" s="26">
        <v>0</v>
      </c>
      <c r="FA94" s="30"/>
      <c r="FD94" s="26">
        <v>0</v>
      </c>
      <c r="FE94" s="30"/>
      <c r="FF94" s="29"/>
      <c r="FI94" s="26">
        <v>0</v>
      </c>
      <c r="FJ94" s="30"/>
      <c r="FK94" s="29"/>
      <c r="FN94" s="26">
        <v>0</v>
      </c>
      <c r="FO94" s="30"/>
      <c r="FR94" s="26">
        <v>0</v>
      </c>
      <c r="FS94" s="30"/>
      <c r="FT94" s="29"/>
      <c r="FY94" s="26">
        <v>0</v>
      </c>
      <c r="FZ94" s="30"/>
      <c r="GC94" s="26">
        <v>0</v>
      </c>
      <c r="GD94" s="30"/>
      <c r="GE94" s="29"/>
      <c r="GI94" s="26">
        <v>0</v>
      </c>
      <c r="GJ94" s="30"/>
      <c r="GO94" s="26">
        <v>0</v>
      </c>
      <c r="GP94" s="30"/>
      <c r="GS94" s="26">
        <v>0</v>
      </c>
      <c r="GT94" s="30"/>
      <c r="GU94" s="29"/>
      <c r="GW94" s="26">
        <v>0</v>
      </c>
      <c r="GX94" s="30"/>
      <c r="GY94" s="29"/>
      <c r="HA94" s="26">
        <v>0</v>
      </c>
      <c r="HB94" s="30"/>
      <c r="HE94" s="26">
        <v>0</v>
      </c>
      <c r="HF94" s="30"/>
      <c r="HG94" s="29"/>
      <c r="HI94" s="26">
        <v>0</v>
      </c>
      <c r="HJ94" s="30"/>
      <c r="HK94" s="29"/>
      <c r="HM94" s="26">
        <v>0</v>
      </c>
      <c r="HN94" s="30"/>
      <c r="HQ94" s="26">
        <v>0</v>
      </c>
      <c r="HR94" s="33"/>
      <c r="HU94" s="26">
        <v>0</v>
      </c>
      <c r="HV94" s="30"/>
      <c r="HY94" s="26">
        <v>0</v>
      </c>
      <c r="HZ94" s="33"/>
      <c r="IC94" s="26">
        <v>0</v>
      </c>
      <c r="ID94" s="30"/>
      <c r="IG94" s="26">
        <v>0</v>
      </c>
      <c r="IH94" s="33"/>
      <c r="IK94" s="26">
        <v>0</v>
      </c>
      <c r="IL94" s="30"/>
      <c r="IM94" s="31"/>
      <c r="IO94" s="26">
        <v>0</v>
      </c>
      <c r="IP94" s="33"/>
      <c r="IS94" s="26">
        <v>0</v>
      </c>
      <c r="IT94" s="33"/>
      <c r="IW94" s="26">
        <v>0</v>
      </c>
      <c r="IX94" s="33"/>
      <c r="JA94" s="26">
        <v>0</v>
      </c>
      <c r="JB94" s="30"/>
      <c r="JC94" s="27"/>
      <c r="JE94" s="27"/>
      <c r="JG94" s="26">
        <v>0</v>
      </c>
      <c r="JH94" s="33"/>
      <c r="JI94" s="28">
        <v>0</v>
      </c>
      <c r="JJ94" s="28">
        <v>0</v>
      </c>
      <c r="JK94" s="26">
        <v>0</v>
      </c>
      <c r="JL94" s="33"/>
      <c r="JM94" s="28">
        <v>0</v>
      </c>
      <c r="JN94" s="28">
        <v>0</v>
      </c>
      <c r="JO94" s="26">
        <v>0</v>
      </c>
      <c r="JP94" s="33"/>
      <c r="JQ94" s="31">
        <v>0</v>
      </c>
      <c r="JR94" s="28">
        <v>0</v>
      </c>
      <c r="JS94" s="26">
        <v>0</v>
      </c>
      <c r="JT94" s="33"/>
    </row>
    <row r="95" spans="1:280" x14ac:dyDescent="0.25">
      <c r="A95" s="26" t="s">
        <v>246</v>
      </c>
      <c r="B95" s="27">
        <v>0.41</v>
      </c>
      <c r="I95" s="29"/>
      <c r="J95" s="35"/>
      <c r="K95" s="40"/>
      <c r="L95" s="35"/>
      <c r="M95" s="35">
        <f t="shared" si="9"/>
        <v>0</v>
      </c>
      <c r="N95" s="30"/>
      <c r="O95" s="29"/>
      <c r="P95" s="35"/>
      <c r="Q95" s="35"/>
      <c r="R95" s="35"/>
      <c r="S95" s="35">
        <f t="shared" si="10"/>
        <v>0</v>
      </c>
      <c r="T95" s="30"/>
      <c r="U95" s="29"/>
      <c r="V95" s="40"/>
      <c r="W95" s="35"/>
      <c r="X95" s="35"/>
      <c r="Y95" s="35"/>
      <c r="Z95" s="35"/>
      <c r="AA95" s="35">
        <f t="shared" si="11"/>
        <v>0</v>
      </c>
      <c r="AB95" s="30"/>
      <c r="AC95" s="29"/>
      <c r="AD95" s="35"/>
      <c r="AE95" s="35"/>
      <c r="AF95" s="35"/>
      <c r="AG95" s="35">
        <v>0</v>
      </c>
      <c r="AH95" s="30"/>
      <c r="AI95" s="35"/>
      <c r="AM95" s="26">
        <v>0</v>
      </c>
      <c r="AN95" s="30"/>
      <c r="AO95" s="31"/>
      <c r="AS95" s="26">
        <v>0</v>
      </c>
      <c r="AT95" s="30"/>
      <c r="AY95" s="26">
        <v>0</v>
      </c>
      <c r="AZ95" s="30"/>
      <c r="BD95" s="26">
        <v>0</v>
      </c>
      <c r="BE95" s="30"/>
      <c r="BF95" s="29"/>
      <c r="BH95" s="26">
        <v>0</v>
      </c>
      <c r="BI95" s="30"/>
      <c r="BJ95" s="29"/>
      <c r="BL95" s="26">
        <v>0</v>
      </c>
      <c r="BM95" s="30"/>
      <c r="BP95" s="26">
        <v>0</v>
      </c>
      <c r="BQ95" s="30"/>
      <c r="BR95" s="29"/>
      <c r="BT95" s="26">
        <v>0</v>
      </c>
      <c r="BU95" s="30"/>
      <c r="BX95" s="26">
        <v>0</v>
      </c>
      <c r="BY95" s="30"/>
      <c r="BZ95" s="29"/>
      <c r="CB95" s="26">
        <v>0</v>
      </c>
      <c r="CC95" s="30"/>
      <c r="CD95" s="29"/>
      <c r="CF95" s="26">
        <v>0</v>
      </c>
      <c r="CG95" s="30"/>
      <c r="CJ95" s="26">
        <v>0</v>
      </c>
      <c r="CK95" s="30"/>
      <c r="CL95" s="29"/>
      <c r="CP95" s="26">
        <v>0</v>
      </c>
      <c r="CQ95" s="30"/>
      <c r="CR95" s="29"/>
      <c r="CT95" s="26">
        <v>0</v>
      </c>
      <c r="CU95" s="30"/>
      <c r="CZ95" s="26">
        <v>0</v>
      </c>
      <c r="DA95" s="30"/>
      <c r="DD95" s="26">
        <v>0</v>
      </c>
      <c r="DE95" s="30"/>
      <c r="DF95" s="29"/>
      <c r="DH95" s="26">
        <v>0</v>
      </c>
      <c r="DI95" s="30"/>
      <c r="DJ95" s="29"/>
      <c r="DL95" s="26">
        <v>0</v>
      </c>
      <c r="DM95" s="30"/>
      <c r="DP95" s="26">
        <v>0</v>
      </c>
      <c r="DQ95" s="30"/>
      <c r="DR95" s="29"/>
      <c r="DU95" s="26">
        <v>0</v>
      </c>
      <c r="DV95" s="30"/>
      <c r="DW95" s="29"/>
      <c r="EA95" s="26">
        <v>0</v>
      </c>
      <c r="EB95" s="30"/>
      <c r="EC95" s="29"/>
      <c r="EF95" s="26">
        <v>0</v>
      </c>
      <c r="EG95" s="30"/>
      <c r="EJ95" s="26">
        <v>0</v>
      </c>
      <c r="EK95" s="30"/>
      <c r="EL95" s="31"/>
      <c r="EN95" s="26">
        <v>0</v>
      </c>
      <c r="EO95" s="30"/>
      <c r="EP95" s="29"/>
      <c r="ER95" s="26">
        <v>0</v>
      </c>
      <c r="ES95" s="30"/>
      <c r="ET95" s="29"/>
      <c r="EV95" s="26">
        <v>0</v>
      </c>
      <c r="EW95" s="30"/>
      <c r="EZ95" s="26">
        <v>0</v>
      </c>
      <c r="FA95" s="30"/>
      <c r="FD95" s="26">
        <v>0</v>
      </c>
      <c r="FE95" s="30"/>
      <c r="FF95" s="29"/>
      <c r="FI95" s="26">
        <v>0</v>
      </c>
      <c r="FJ95" s="30"/>
      <c r="FK95" s="29"/>
      <c r="FN95" s="26">
        <v>0</v>
      </c>
      <c r="FO95" s="30"/>
      <c r="FR95" s="26">
        <v>0</v>
      </c>
      <c r="FS95" s="30"/>
      <c r="FT95" s="29"/>
      <c r="FY95" s="26">
        <v>0</v>
      </c>
      <c r="FZ95" s="30"/>
      <c r="GC95" s="26">
        <v>0</v>
      </c>
      <c r="GD95" s="30"/>
      <c r="GE95" s="29"/>
      <c r="GI95" s="26">
        <v>0</v>
      </c>
      <c r="GJ95" s="30"/>
      <c r="GO95" s="26">
        <v>0</v>
      </c>
      <c r="GP95" s="30"/>
      <c r="GS95" s="26">
        <v>0</v>
      </c>
      <c r="GT95" s="30"/>
      <c r="GU95" s="29"/>
      <c r="GW95" s="26">
        <v>0</v>
      </c>
      <c r="GX95" s="30"/>
      <c r="GY95" s="29"/>
      <c r="HA95" s="26">
        <v>0</v>
      </c>
      <c r="HB95" s="30"/>
      <c r="HE95" s="26">
        <v>0</v>
      </c>
      <c r="HF95" s="30"/>
      <c r="HG95" s="29"/>
      <c r="HI95" s="26">
        <v>0</v>
      </c>
      <c r="HJ95" s="30"/>
      <c r="HK95" s="29"/>
      <c r="HM95" s="26">
        <v>0</v>
      </c>
      <c r="HN95" s="30"/>
      <c r="HQ95" s="26">
        <v>0</v>
      </c>
      <c r="HR95" s="33"/>
      <c r="HU95" s="26">
        <v>0</v>
      </c>
      <c r="HV95" s="30"/>
      <c r="HW95">
        <v>10</v>
      </c>
      <c r="HX95">
        <v>10</v>
      </c>
      <c r="HY95" s="26">
        <v>0</v>
      </c>
      <c r="HZ95" s="33"/>
      <c r="IA95">
        <v>50</v>
      </c>
      <c r="IB95">
        <v>50</v>
      </c>
      <c r="IC95" s="26">
        <v>0</v>
      </c>
      <c r="ID95" s="30"/>
      <c r="IG95" s="26">
        <v>0</v>
      </c>
      <c r="IH95" s="33"/>
      <c r="IK95" s="26">
        <v>0</v>
      </c>
      <c r="IL95" s="30"/>
      <c r="IM95" s="32">
        <v>30</v>
      </c>
      <c r="IN95" s="28">
        <v>30</v>
      </c>
      <c r="IO95" s="26">
        <v>0</v>
      </c>
      <c r="IP95" s="33"/>
      <c r="IS95" s="26">
        <v>0</v>
      </c>
      <c r="IT95" s="33"/>
      <c r="IU95">
        <v>30</v>
      </c>
      <c r="IV95">
        <v>30</v>
      </c>
      <c r="IW95" s="26">
        <v>0</v>
      </c>
      <c r="IX95" s="33"/>
      <c r="JA95" s="26">
        <v>0</v>
      </c>
      <c r="JB95" s="30"/>
      <c r="JC95" s="27"/>
      <c r="JE95">
        <v>10</v>
      </c>
      <c r="JF95">
        <v>10</v>
      </c>
      <c r="JG95" s="26">
        <v>0</v>
      </c>
      <c r="JH95" s="33"/>
      <c r="JI95" s="28">
        <v>0</v>
      </c>
      <c r="JJ95" s="28">
        <v>0</v>
      </c>
      <c r="JK95" s="26">
        <v>0</v>
      </c>
      <c r="JL95" s="33"/>
      <c r="JM95" s="28">
        <v>0</v>
      </c>
      <c r="JN95" s="28">
        <v>0</v>
      </c>
      <c r="JO95" s="26">
        <v>0</v>
      </c>
      <c r="JP95" s="33"/>
      <c r="JQ95" s="31">
        <v>0</v>
      </c>
      <c r="JR95" s="4">
        <v>110</v>
      </c>
      <c r="JS95" s="26">
        <v>0</v>
      </c>
      <c r="JT95" s="33"/>
    </row>
    <row r="96" spans="1:280" x14ac:dyDescent="0.25">
      <c r="A96" s="26" t="s">
        <v>247</v>
      </c>
      <c r="B96" s="27">
        <v>0.41</v>
      </c>
      <c r="E96">
        <v>128</v>
      </c>
      <c r="F96">
        <v>129</v>
      </c>
      <c r="I96" s="29"/>
      <c r="J96" s="35"/>
      <c r="K96" s="40"/>
      <c r="L96" s="35"/>
      <c r="M96" s="35">
        <f t="shared" si="9"/>
        <v>0</v>
      </c>
      <c r="N96" s="30"/>
      <c r="O96" s="29"/>
      <c r="P96" s="35"/>
      <c r="Q96" s="35"/>
      <c r="R96" s="35"/>
      <c r="S96" s="35">
        <f t="shared" si="10"/>
        <v>0</v>
      </c>
      <c r="T96" s="30"/>
      <c r="U96" s="32">
        <v>130</v>
      </c>
      <c r="V96" s="40"/>
      <c r="W96" s="36">
        <v>137</v>
      </c>
      <c r="X96" s="36">
        <v>110</v>
      </c>
      <c r="Y96" s="35"/>
      <c r="Z96" s="36">
        <v>110</v>
      </c>
      <c r="AA96" s="35">
        <f t="shared" si="11"/>
        <v>-7</v>
      </c>
      <c r="AB96" s="30"/>
      <c r="AC96" s="29"/>
      <c r="AD96" s="35"/>
      <c r="AE96" s="36">
        <v>10</v>
      </c>
      <c r="AF96" s="40">
        <v>16</v>
      </c>
      <c r="AG96" s="35">
        <v>-6</v>
      </c>
      <c r="AH96" s="30"/>
      <c r="AI96" s="36">
        <v>100</v>
      </c>
      <c r="AJ96">
        <v>100</v>
      </c>
      <c r="AK96">
        <v>80</v>
      </c>
      <c r="AL96">
        <v>80</v>
      </c>
      <c r="AM96" s="26">
        <v>0</v>
      </c>
      <c r="AN96" s="30"/>
      <c r="AO96" s="31"/>
      <c r="AQ96">
        <v>100</v>
      </c>
      <c r="AR96">
        <v>100</v>
      </c>
      <c r="AS96" s="26">
        <v>0</v>
      </c>
      <c r="AT96" s="30"/>
      <c r="AY96" s="26">
        <v>0</v>
      </c>
      <c r="AZ96" s="30"/>
      <c r="BB96">
        <v>160</v>
      </c>
      <c r="BC96">
        <v>166</v>
      </c>
      <c r="BD96" s="26">
        <v>-6</v>
      </c>
      <c r="BE96" s="30"/>
      <c r="BF96" s="29"/>
      <c r="BH96" s="26">
        <v>0</v>
      </c>
      <c r="BI96" s="30"/>
      <c r="BJ96" s="32">
        <v>120</v>
      </c>
      <c r="BK96">
        <v>122</v>
      </c>
      <c r="BL96" s="26">
        <v>-2</v>
      </c>
      <c r="BM96" s="30"/>
      <c r="BN96">
        <v>10</v>
      </c>
      <c r="BO96">
        <v>10</v>
      </c>
      <c r="BP96" s="26">
        <v>0</v>
      </c>
      <c r="BQ96" s="30"/>
      <c r="BR96" s="32">
        <v>60</v>
      </c>
      <c r="BS96">
        <v>64</v>
      </c>
      <c r="BT96" s="26">
        <v>-4</v>
      </c>
      <c r="BU96" s="30"/>
      <c r="BV96">
        <v>30</v>
      </c>
      <c r="BW96">
        <v>37</v>
      </c>
      <c r="BX96" s="26">
        <v>-7</v>
      </c>
      <c r="BY96" s="30"/>
      <c r="BZ96" s="32">
        <v>40</v>
      </c>
      <c r="CA96">
        <v>47</v>
      </c>
      <c r="CB96" s="26">
        <v>-7</v>
      </c>
      <c r="CC96" s="30"/>
      <c r="CD96" s="32">
        <v>30</v>
      </c>
      <c r="CE96">
        <v>29</v>
      </c>
      <c r="CF96" s="26">
        <v>1</v>
      </c>
      <c r="CG96" s="30"/>
      <c r="CH96">
        <v>20</v>
      </c>
      <c r="CI96">
        <v>19</v>
      </c>
      <c r="CJ96" s="26">
        <v>1</v>
      </c>
      <c r="CK96" s="30"/>
      <c r="CL96" s="29"/>
      <c r="CN96">
        <v>20</v>
      </c>
      <c r="CO96">
        <v>22</v>
      </c>
      <c r="CP96" s="26">
        <v>-2</v>
      </c>
      <c r="CQ96" s="30"/>
      <c r="CR96" s="29"/>
      <c r="CT96" s="26">
        <v>0</v>
      </c>
      <c r="CU96" s="30"/>
      <c r="CZ96" s="26">
        <v>0</v>
      </c>
      <c r="DA96" s="30"/>
      <c r="DB96">
        <v>50</v>
      </c>
      <c r="DC96">
        <v>54</v>
      </c>
      <c r="DD96" s="26">
        <v>-4</v>
      </c>
      <c r="DE96" s="30"/>
      <c r="DF96" s="29"/>
      <c r="DH96" s="26">
        <v>0</v>
      </c>
      <c r="DI96" s="30"/>
      <c r="DJ96" s="29">
        <v>30</v>
      </c>
      <c r="DK96" s="26">
        <v>30</v>
      </c>
      <c r="DL96" s="26">
        <v>0</v>
      </c>
      <c r="DM96" s="30"/>
      <c r="DP96" s="26">
        <v>0</v>
      </c>
      <c r="DQ96" s="30"/>
      <c r="DR96" s="29"/>
      <c r="DU96" s="26">
        <v>0</v>
      </c>
      <c r="DV96" s="30"/>
      <c r="DW96" s="29"/>
      <c r="EA96" s="26">
        <v>0</v>
      </c>
      <c r="EB96" s="30"/>
      <c r="EC96" s="29"/>
      <c r="EG96" s="33"/>
      <c r="EK96" s="30"/>
      <c r="EL96" s="31"/>
      <c r="EO96" s="30"/>
      <c r="EP96" s="29"/>
      <c r="ES96" s="30"/>
      <c r="ET96" s="29"/>
      <c r="EW96" s="30"/>
      <c r="FA96" s="30"/>
      <c r="FE96" s="30"/>
      <c r="FF96" s="29"/>
      <c r="FJ96" s="30"/>
      <c r="FK96" s="29"/>
      <c r="FO96" s="30"/>
      <c r="FS96" s="30"/>
      <c r="FT96" s="29"/>
      <c r="FZ96" s="30"/>
      <c r="GD96" s="30"/>
      <c r="GE96" s="29"/>
      <c r="GH96" s="27"/>
      <c r="GJ96" s="30"/>
      <c r="GP96" s="30"/>
      <c r="GQ96" s="28"/>
      <c r="GT96" s="30"/>
      <c r="GU96" s="29"/>
      <c r="GX96" s="30"/>
      <c r="GY96" s="29"/>
      <c r="HB96" s="30"/>
      <c r="HF96" s="30"/>
      <c r="HG96" s="29"/>
      <c r="HJ96" s="30"/>
      <c r="HK96" s="29"/>
      <c r="HN96" s="30"/>
      <c r="HR96" s="33"/>
      <c r="HV96" s="30"/>
      <c r="HZ96" s="33"/>
      <c r="ID96" s="30"/>
      <c r="IH96" s="33"/>
      <c r="IL96" s="30"/>
      <c r="IM96" s="32"/>
      <c r="IN96" s="28"/>
      <c r="IP96" s="33"/>
      <c r="IT96" s="33"/>
      <c r="IX96" s="33"/>
      <c r="JB96" s="30"/>
      <c r="JC96" s="27"/>
      <c r="JH96" s="33"/>
      <c r="JI96" s="28"/>
      <c r="JJ96" s="28"/>
      <c r="JL96" s="33"/>
      <c r="JM96" s="28"/>
      <c r="JN96" s="28"/>
      <c r="JP96" s="33"/>
      <c r="JQ96" s="31"/>
      <c r="JR96" s="28"/>
      <c r="JT96" s="33"/>
    </row>
    <row r="97" spans="1:280" x14ac:dyDescent="0.25">
      <c r="A97" s="26" t="s">
        <v>248</v>
      </c>
      <c r="B97" s="27">
        <v>0.41</v>
      </c>
      <c r="I97" s="29"/>
      <c r="J97" s="35"/>
      <c r="K97" s="40"/>
      <c r="L97" s="35"/>
      <c r="M97" s="35">
        <f t="shared" si="9"/>
        <v>0</v>
      </c>
      <c r="N97" s="30"/>
      <c r="O97" s="29"/>
      <c r="P97" s="35"/>
      <c r="Q97" s="35"/>
      <c r="R97" s="35"/>
      <c r="S97" s="35">
        <f t="shared" si="10"/>
        <v>0</v>
      </c>
      <c r="T97" s="30"/>
      <c r="U97" s="29"/>
      <c r="V97" s="40"/>
      <c r="W97" s="35"/>
      <c r="X97" s="35"/>
      <c r="Y97" s="35"/>
      <c r="Z97" s="35"/>
      <c r="AA97" s="35">
        <f t="shared" si="11"/>
        <v>0</v>
      </c>
      <c r="AB97" s="30"/>
      <c r="AC97" s="29"/>
      <c r="AD97" s="35"/>
      <c r="AE97" s="35"/>
      <c r="AF97" s="35"/>
      <c r="AG97" s="35">
        <v>0</v>
      </c>
      <c r="AH97" s="30"/>
      <c r="AI97" s="35"/>
      <c r="AM97" s="26">
        <v>0</v>
      </c>
      <c r="AN97" s="30"/>
      <c r="AO97" s="31"/>
      <c r="AS97" s="26">
        <v>0</v>
      </c>
      <c r="AT97" s="30"/>
      <c r="AY97" s="26">
        <v>0</v>
      </c>
      <c r="AZ97" s="30"/>
      <c r="BD97" s="26">
        <v>0</v>
      </c>
      <c r="BE97" s="30"/>
      <c r="BF97" s="29"/>
      <c r="BH97" s="26">
        <v>0</v>
      </c>
      <c r="BI97" s="30"/>
      <c r="BJ97" s="29"/>
      <c r="BL97" s="26">
        <v>0</v>
      </c>
      <c r="BM97" s="30"/>
      <c r="BP97" s="26">
        <v>0</v>
      </c>
      <c r="BQ97" s="30"/>
      <c r="BR97" s="29"/>
      <c r="BT97" s="26">
        <v>0</v>
      </c>
      <c r="BU97" s="30"/>
      <c r="BX97" s="26">
        <v>0</v>
      </c>
      <c r="BY97" s="30"/>
      <c r="BZ97" s="29"/>
      <c r="CB97" s="26">
        <v>0</v>
      </c>
      <c r="CC97" s="30"/>
      <c r="CD97" s="29"/>
      <c r="CF97" s="26">
        <v>0</v>
      </c>
      <c r="CG97" s="30"/>
      <c r="CJ97" s="26">
        <v>0</v>
      </c>
      <c r="CK97" s="30"/>
      <c r="CL97" s="29"/>
      <c r="CP97" s="26">
        <v>0</v>
      </c>
      <c r="CQ97" s="30"/>
      <c r="CR97" s="29"/>
      <c r="CT97" s="26">
        <v>0</v>
      </c>
      <c r="CU97" s="30"/>
      <c r="CZ97" s="26">
        <v>0</v>
      </c>
      <c r="DA97" s="30"/>
      <c r="DD97" s="26">
        <v>0</v>
      </c>
      <c r="DE97" s="30"/>
      <c r="DF97" s="29"/>
      <c r="DH97" s="26">
        <v>0</v>
      </c>
      <c r="DI97" s="30"/>
      <c r="DJ97" s="29"/>
      <c r="DL97" s="26">
        <v>0</v>
      </c>
      <c r="DM97" s="30"/>
      <c r="DP97" s="26">
        <v>0</v>
      </c>
      <c r="DQ97" s="30"/>
      <c r="DR97" s="29"/>
      <c r="DU97" s="26">
        <v>0</v>
      </c>
      <c r="DV97" s="30"/>
      <c r="DW97" s="29"/>
      <c r="EA97" s="26">
        <v>0</v>
      </c>
      <c r="EB97" s="30"/>
      <c r="EC97" s="29"/>
      <c r="EF97" s="26">
        <v>0</v>
      </c>
      <c r="EG97" s="30"/>
      <c r="EJ97" s="26">
        <v>0</v>
      </c>
      <c r="EK97" s="30"/>
      <c r="EL97" s="31"/>
      <c r="EN97" s="26">
        <v>0</v>
      </c>
      <c r="EO97" s="30"/>
      <c r="EP97" s="29"/>
      <c r="ER97" s="26">
        <v>0</v>
      </c>
      <c r="ES97" s="30"/>
      <c r="ET97" s="29"/>
      <c r="EV97" s="26">
        <v>0</v>
      </c>
      <c r="EW97" s="30"/>
      <c r="EZ97" s="26">
        <v>0</v>
      </c>
      <c r="FA97" s="30"/>
      <c r="FD97" s="26">
        <v>0</v>
      </c>
      <c r="FE97" s="30"/>
      <c r="FF97" s="29"/>
      <c r="FI97" s="26">
        <v>0</v>
      </c>
      <c r="FJ97" s="30"/>
      <c r="FK97" s="29"/>
      <c r="FN97" s="26">
        <v>0</v>
      </c>
      <c r="FO97" s="30"/>
      <c r="FR97" s="26">
        <v>0</v>
      </c>
      <c r="FS97" s="30"/>
      <c r="FT97" s="29"/>
      <c r="FY97" s="26">
        <v>0</v>
      </c>
      <c r="FZ97" s="30"/>
      <c r="GC97" s="26">
        <v>0</v>
      </c>
      <c r="GD97" s="30"/>
      <c r="GE97" s="29"/>
      <c r="GI97" s="26">
        <v>0</v>
      </c>
      <c r="GJ97" s="30"/>
      <c r="GO97" s="26">
        <v>0</v>
      </c>
      <c r="GP97" s="30"/>
      <c r="GS97" s="26">
        <v>0</v>
      </c>
      <c r="GT97" s="30"/>
      <c r="GU97" s="29"/>
      <c r="GW97" s="26">
        <v>0</v>
      </c>
      <c r="GX97" s="30"/>
      <c r="GY97" s="29"/>
      <c r="HA97" s="26">
        <v>0</v>
      </c>
      <c r="HB97" s="30"/>
      <c r="HE97" s="26">
        <v>0</v>
      </c>
      <c r="HF97" s="30"/>
      <c r="HG97" s="29"/>
      <c r="HI97" s="26">
        <v>0</v>
      </c>
      <c r="HJ97" s="30"/>
      <c r="HK97" s="29"/>
      <c r="HM97" s="26">
        <v>0</v>
      </c>
      <c r="HN97" s="30"/>
      <c r="HQ97" s="26">
        <v>0</v>
      </c>
      <c r="HR97" s="33"/>
      <c r="HU97" s="26">
        <v>0</v>
      </c>
      <c r="HV97" s="30"/>
      <c r="HW97">
        <v>10</v>
      </c>
      <c r="HX97">
        <v>10</v>
      </c>
      <c r="HY97" s="26">
        <v>0</v>
      </c>
      <c r="HZ97" s="33"/>
      <c r="IC97" s="26">
        <v>0</v>
      </c>
      <c r="ID97" s="30"/>
      <c r="IG97" s="26">
        <v>0</v>
      </c>
      <c r="IH97" s="33"/>
      <c r="IK97" s="26">
        <v>0</v>
      </c>
      <c r="IL97" s="30"/>
      <c r="IM97" s="32">
        <v>30</v>
      </c>
      <c r="IN97" s="28">
        <v>30</v>
      </c>
      <c r="IO97" s="26">
        <v>0</v>
      </c>
      <c r="IP97" s="33"/>
      <c r="IQ97">
        <v>20</v>
      </c>
      <c r="IR97">
        <v>20</v>
      </c>
      <c r="IS97" s="26">
        <v>0</v>
      </c>
      <c r="IT97" s="33"/>
      <c r="IW97" s="26">
        <v>0</v>
      </c>
      <c r="IX97" s="33"/>
      <c r="JA97" s="26">
        <v>0</v>
      </c>
      <c r="JB97" s="30"/>
      <c r="JC97" s="27"/>
      <c r="JE97">
        <v>30</v>
      </c>
      <c r="JF97">
        <v>37</v>
      </c>
      <c r="JG97" s="26">
        <v>-7</v>
      </c>
      <c r="JH97" s="33"/>
      <c r="JI97" s="28">
        <v>0</v>
      </c>
      <c r="JJ97" s="28">
        <v>0</v>
      </c>
      <c r="JK97" s="26">
        <v>0</v>
      </c>
      <c r="JL97" s="33"/>
      <c r="JM97" s="28">
        <v>20</v>
      </c>
      <c r="JN97" s="28">
        <v>18</v>
      </c>
      <c r="JO97" s="26">
        <v>2</v>
      </c>
      <c r="JP97" s="33"/>
      <c r="JQ97" s="31">
        <v>0</v>
      </c>
      <c r="JR97" s="28">
        <v>0</v>
      </c>
      <c r="JS97" s="26">
        <v>0</v>
      </c>
      <c r="JT97" s="33"/>
    </row>
    <row r="98" spans="1:280" x14ac:dyDescent="0.25">
      <c r="A98" s="26" t="s">
        <v>249</v>
      </c>
      <c r="B98" s="27">
        <v>0.5</v>
      </c>
      <c r="I98" s="29"/>
      <c r="J98" s="35"/>
      <c r="K98" s="40"/>
      <c r="L98" s="35"/>
      <c r="M98" s="35">
        <f t="shared" si="9"/>
        <v>0</v>
      </c>
      <c r="N98" s="30"/>
      <c r="O98" s="29"/>
      <c r="P98" s="35"/>
      <c r="Q98" s="35"/>
      <c r="R98" s="35"/>
      <c r="S98" s="35">
        <f t="shared" si="10"/>
        <v>0</v>
      </c>
      <c r="T98" s="30"/>
      <c r="U98" s="29"/>
      <c r="V98" s="40"/>
      <c r="W98" s="35"/>
      <c r="X98" s="35"/>
      <c r="Y98" s="35"/>
      <c r="Z98" s="35"/>
      <c r="AA98" s="35">
        <f t="shared" si="11"/>
        <v>0</v>
      </c>
      <c r="AB98" s="30"/>
      <c r="AC98" s="29"/>
      <c r="AD98" s="35"/>
      <c r="AE98" s="35"/>
      <c r="AF98" s="35"/>
      <c r="AG98" s="35">
        <v>0</v>
      </c>
      <c r="AH98" s="30"/>
      <c r="AI98" s="35"/>
      <c r="AM98" s="26">
        <v>0</v>
      </c>
      <c r="AN98" s="30"/>
      <c r="AO98" s="31"/>
      <c r="AS98" s="26">
        <v>0</v>
      </c>
      <c r="AT98" s="30"/>
      <c r="AY98" s="26">
        <v>0</v>
      </c>
      <c r="AZ98" s="30"/>
      <c r="BD98" s="26">
        <v>0</v>
      </c>
      <c r="BE98" s="30"/>
      <c r="BF98" s="29"/>
      <c r="BH98" s="26">
        <v>0</v>
      </c>
      <c r="BI98" s="30"/>
      <c r="BJ98" s="29"/>
      <c r="BL98" s="26">
        <v>0</v>
      </c>
      <c r="BM98" s="30"/>
      <c r="BP98" s="26">
        <v>0</v>
      </c>
      <c r="BQ98" s="30"/>
      <c r="BR98" s="29"/>
      <c r="BT98" s="26">
        <v>0</v>
      </c>
      <c r="BU98" s="30"/>
      <c r="BX98" s="26">
        <v>0</v>
      </c>
      <c r="BY98" s="30"/>
      <c r="BZ98" s="29"/>
      <c r="CB98" s="26">
        <v>0</v>
      </c>
      <c r="CC98" s="30"/>
      <c r="CD98" s="29"/>
      <c r="CF98" s="26">
        <v>0</v>
      </c>
      <c r="CG98" s="30"/>
      <c r="CJ98" s="26">
        <v>0</v>
      </c>
      <c r="CK98" s="30"/>
      <c r="CL98" s="29"/>
      <c r="CP98" s="26">
        <v>0</v>
      </c>
      <c r="CQ98" s="30"/>
      <c r="CR98" s="29"/>
      <c r="CT98" s="26">
        <v>0</v>
      </c>
      <c r="CU98" s="30"/>
      <c r="CZ98" s="26">
        <v>0</v>
      </c>
      <c r="DA98" s="30"/>
      <c r="DD98" s="26">
        <v>0</v>
      </c>
      <c r="DE98" s="30"/>
      <c r="DF98" s="29"/>
      <c r="DH98" s="26">
        <v>0</v>
      </c>
      <c r="DI98" s="30"/>
      <c r="DJ98" s="29"/>
      <c r="DL98" s="26">
        <v>0</v>
      </c>
      <c r="DM98" s="30"/>
      <c r="DP98" s="26">
        <v>0</v>
      </c>
      <c r="DQ98" s="30"/>
      <c r="DR98" s="29"/>
      <c r="DU98" s="26">
        <v>0</v>
      </c>
      <c r="DV98" s="30"/>
      <c r="DW98" s="29"/>
      <c r="EA98" s="26">
        <v>0</v>
      </c>
      <c r="EB98" s="30"/>
      <c r="EC98" s="29"/>
      <c r="EF98" s="26">
        <v>0</v>
      </c>
      <c r="EG98" s="30"/>
      <c r="EJ98" s="26">
        <v>0</v>
      </c>
      <c r="EK98" s="30"/>
      <c r="EL98" s="31"/>
      <c r="EN98" s="26">
        <v>0</v>
      </c>
      <c r="EO98" s="30"/>
      <c r="EP98" s="29"/>
      <c r="ER98" s="26">
        <v>0</v>
      </c>
      <c r="ES98" s="30"/>
      <c r="ET98" s="29"/>
      <c r="EV98" s="26">
        <v>0</v>
      </c>
      <c r="EW98" s="30"/>
      <c r="EZ98" s="26">
        <v>0</v>
      </c>
      <c r="FA98" s="30"/>
      <c r="FD98" s="26">
        <v>0</v>
      </c>
      <c r="FE98" s="30"/>
      <c r="FF98" s="29"/>
      <c r="FI98" s="26">
        <v>0</v>
      </c>
      <c r="FJ98" s="30"/>
      <c r="FK98" s="29"/>
      <c r="FN98" s="26">
        <v>0</v>
      </c>
      <c r="FO98" s="30"/>
      <c r="FR98" s="26">
        <v>0</v>
      </c>
      <c r="FS98" s="30"/>
      <c r="FT98" s="29"/>
      <c r="FY98" s="26">
        <v>0</v>
      </c>
      <c r="FZ98" s="30"/>
      <c r="GC98" s="26">
        <v>0</v>
      </c>
      <c r="GD98" s="30"/>
      <c r="GE98" s="29"/>
      <c r="GI98" s="26">
        <v>0</v>
      </c>
      <c r="GJ98" s="30"/>
      <c r="GO98" s="26">
        <v>0</v>
      </c>
      <c r="GP98" s="30"/>
      <c r="GS98" s="26">
        <v>0</v>
      </c>
      <c r="GT98" s="30"/>
      <c r="GU98" s="29"/>
      <c r="GW98" s="26">
        <v>0</v>
      </c>
      <c r="GX98" s="30"/>
      <c r="GY98" s="29"/>
      <c r="HA98" s="26">
        <v>0</v>
      </c>
      <c r="HB98" s="30"/>
      <c r="HE98" s="26">
        <v>0</v>
      </c>
      <c r="HF98" s="30"/>
      <c r="HG98" s="29"/>
      <c r="HI98" s="26">
        <v>0</v>
      </c>
      <c r="HJ98" s="30"/>
      <c r="HK98" s="29"/>
      <c r="HM98" s="26">
        <v>0</v>
      </c>
      <c r="HN98" s="30"/>
      <c r="HQ98" s="26">
        <v>0</v>
      </c>
      <c r="HR98" s="33"/>
      <c r="HU98" s="26">
        <v>0</v>
      </c>
      <c r="HV98" s="30"/>
      <c r="HY98" s="26">
        <v>0</v>
      </c>
      <c r="HZ98" s="33"/>
      <c r="IC98" s="26">
        <v>0</v>
      </c>
      <c r="ID98" s="30"/>
      <c r="IG98" s="26">
        <v>0</v>
      </c>
      <c r="IH98" s="33"/>
      <c r="IK98" s="26">
        <v>0</v>
      </c>
      <c r="IL98" s="30"/>
      <c r="IM98" s="31"/>
      <c r="IO98" s="26">
        <v>0</v>
      </c>
      <c r="IP98" s="33"/>
      <c r="IS98" s="26">
        <v>0</v>
      </c>
      <c r="IT98" s="33"/>
      <c r="IW98" s="26">
        <v>0</v>
      </c>
      <c r="IX98" s="33"/>
      <c r="JA98" s="26">
        <v>0</v>
      </c>
      <c r="JB98" s="30"/>
      <c r="JC98" s="27"/>
      <c r="JE98" s="27"/>
      <c r="JG98" s="26">
        <v>0</v>
      </c>
      <c r="JH98" s="33"/>
      <c r="JI98" s="28">
        <v>0</v>
      </c>
      <c r="JJ98" s="28">
        <v>0</v>
      </c>
      <c r="JK98" s="26">
        <v>0</v>
      </c>
      <c r="JL98" s="33"/>
      <c r="JM98" s="28">
        <v>0</v>
      </c>
      <c r="JN98" s="28">
        <v>0</v>
      </c>
      <c r="JO98" s="26">
        <v>0</v>
      </c>
      <c r="JP98" s="33"/>
      <c r="JQ98" s="31">
        <v>0</v>
      </c>
      <c r="JR98" s="28">
        <v>0</v>
      </c>
      <c r="JS98" s="26">
        <v>0</v>
      </c>
      <c r="JT98" s="33"/>
    </row>
    <row r="99" spans="1:280" x14ac:dyDescent="0.25">
      <c r="A99" s="26" t="s">
        <v>250</v>
      </c>
      <c r="B99" s="27">
        <v>0.41</v>
      </c>
      <c r="I99" s="29"/>
      <c r="J99" s="35"/>
      <c r="K99" s="40"/>
      <c r="L99" s="35"/>
      <c r="M99" s="35">
        <f t="shared" si="9"/>
        <v>0</v>
      </c>
      <c r="N99" s="30"/>
      <c r="O99" s="29"/>
      <c r="P99" s="35"/>
      <c r="Q99" s="35"/>
      <c r="R99" s="35"/>
      <c r="S99" s="35">
        <f t="shared" si="10"/>
        <v>0</v>
      </c>
      <c r="T99" s="30"/>
      <c r="U99" s="29"/>
      <c r="V99" s="40"/>
      <c r="W99" s="35"/>
      <c r="X99" s="35"/>
      <c r="Y99" s="35"/>
      <c r="Z99" s="35"/>
      <c r="AA99" s="35">
        <f t="shared" si="11"/>
        <v>0</v>
      </c>
      <c r="AB99" s="30"/>
      <c r="AC99" s="29"/>
      <c r="AD99" s="35"/>
      <c r="AE99" s="35"/>
      <c r="AF99" s="35"/>
      <c r="AG99" s="35">
        <v>0</v>
      </c>
      <c r="AH99" s="30"/>
      <c r="AI99" s="35"/>
      <c r="AM99" s="26">
        <v>0</v>
      </c>
      <c r="AN99" s="30"/>
      <c r="AO99" s="31"/>
      <c r="AS99" s="26">
        <v>0</v>
      </c>
      <c r="AT99" s="30"/>
      <c r="AY99" s="26">
        <v>0</v>
      </c>
      <c r="AZ99" s="30"/>
      <c r="BD99" s="26">
        <v>0</v>
      </c>
      <c r="BE99" s="30"/>
      <c r="BF99" s="29"/>
      <c r="BH99" s="26">
        <v>0</v>
      </c>
      <c r="BI99" s="30"/>
      <c r="BJ99" s="29"/>
      <c r="BL99" s="26">
        <v>0</v>
      </c>
      <c r="BM99" s="30"/>
      <c r="BP99" s="26">
        <v>0</v>
      </c>
      <c r="BQ99" s="30"/>
      <c r="BR99" s="29"/>
      <c r="BT99" s="26">
        <v>0</v>
      </c>
      <c r="BU99" s="30"/>
      <c r="BX99" s="26">
        <v>0</v>
      </c>
      <c r="BY99" s="30"/>
      <c r="BZ99" s="29"/>
      <c r="CB99" s="26">
        <v>0</v>
      </c>
      <c r="CC99" s="30"/>
      <c r="CD99" s="29"/>
      <c r="CF99" s="26">
        <v>0</v>
      </c>
      <c r="CG99" s="30"/>
      <c r="CJ99" s="26">
        <v>0</v>
      </c>
      <c r="CK99" s="30"/>
      <c r="CL99" s="29"/>
      <c r="CP99" s="26">
        <v>0</v>
      </c>
      <c r="CQ99" s="30"/>
      <c r="CR99" s="29"/>
      <c r="CT99" s="26">
        <v>0</v>
      </c>
      <c r="CU99" s="30"/>
      <c r="CZ99" s="26">
        <v>0</v>
      </c>
      <c r="DA99" s="30"/>
      <c r="DD99" s="26">
        <v>0</v>
      </c>
      <c r="DE99" s="30"/>
      <c r="DF99" s="29"/>
      <c r="DH99" s="26">
        <v>0</v>
      </c>
      <c r="DI99" s="30"/>
      <c r="DJ99" s="29"/>
      <c r="DL99" s="26">
        <v>0</v>
      </c>
      <c r="DM99" s="30"/>
      <c r="DP99" s="26">
        <v>0</v>
      </c>
      <c r="DQ99" s="30"/>
      <c r="DR99" s="29"/>
      <c r="DU99" s="26">
        <v>0</v>
      </c>
      <c r="DV99" s="30"/>
      <c r="DW99" s="29"/>
      <c r="EA99" s="26">
        <v>0</v>
      </c>
      <c r="EB99" s="30"/>
      <c r="EC99" s="29"/>
      <c r="EF99" s="26">
        <v>0</v>
      </c>
      <c r="EG99" s="30"/>
      <c r="EJ99" s="26">
        <v>0</v>
      </c>
      <c r="EK99" s="30"/>
      <c r="EL99" s="31"/>
      <c r="EN99" s="26">
        <v>0</v>
      </c>
      <c r="EO99" s="30"/>
      <c r="EP99" s="29"/>
      <c r="ER99" s="26">
        <v>0</v>
      </c>
      <c r="ES99" s="30"/>
      <c r="ET99" s="29"/>
      <c r="EV99" s="26">
        <v>0</v>
      </c>
      <c r="EW99" s="30"/>
      <c r="EZ99" s="26">
        <v>0</v>
      </c>
      <c r="FA99" s="30"/>
      <c r="FD99" s="26">
        <v>0</v>
      </c>
      <c r="FE99" s="30"/>
      <c r="FF99" s="29"/>
      <c r="FI99" s="26">
        <v>0</v>
      </c>
      <c r="FJ99" s="30"/>
      <c r="FK99" s="29"/>
      <c r="FN99" s="26">
        <v>0</v>
      </c>
      <c r="FO99" s="30"/>
      <c r="FR99" s="26">
        <v>0</v>
      </c>
      <c r="FS99" s="30"/>
      <c r="FT99" s="29"/>
      <c r="FY99" s="26">
        <v>0</v>
      </c>
      <c r="FZ99" s="30"/>
      <c r="GC99" s="26">
        <v>0</v>
      </c>
      <c r="GD99" s="30"/>
      <c r="GE99" s="29"/>
      <c r="GI99" s="26">
        <v>0</v>
      </c>
      <c r="GJ99" s="30"/>
      <c r="GO99" s="26">
        <v>0</v>
      </c>
      <c r="GP99" s="30"/>
      <c r="GS99" s="26">
        <v>0</v>
      </c>
      <c r="GT99" s="30"/>
      <c r="GU99" s="29"/>
      <c r="GW99" s="26">
        <v>0</v>
      </c>
      <c r="GX99" s="30"/>
      <c r="GY99" s="29"/>
      <c r="HA99" s="26">
        <v>0</v>
      </c>
      <c r="HB99" s="30"/>
      <c r="HE99" s="26">
        <v>0</v>
      </c>
      <c r="HF99" s="30"/>
      <c r="HG99" s="29"/>
      <c r="HI99" s="26">
        <v>0</v>
      </c>
      <c r="HJ99" s="30"/>
      <c r="HK99" s="29"/>
      <c r="HM99" s="26">
        <v>0</v>
      </c>
      <c r="HN99" s="30"/>
      <c r="HQ99" s="26">
        <v>0</v>
      </c>
      <c r="HR99" s="33"/>
      <c r="HU99" s="26">
        <v>0</v>
      </c>
      <c r="HV99" s="30"/>
      <c r="HY99" s="26">
        <v>0</v>
      </c>
      <c r="HZ99" s="33"/>
      <c r="IC99" s="26">
        <v>0</v>
      </c>
      <c r="ID99" s="30"/>
      <c r="IG99" s="26">
        <v>0</v>
      </c>
      <c r="IH99" s="33"/>
      <c r="IK99" s="26">
        <v>0</v>
      </c>
      <c r="IL99" s="30"/>
      <c r="IM99" s="31"/>
      <c r="IO99" s="26">
        <v>0</v>
      </c>
      <c r="IP99" s="33"/>
      <c r="IS99" s="26">
        <v>0</v>
      </c>
      <c r="IT99" s="33"/>
      <c r="IW99" s="26">
        <v>0</v>
      </c>
      <c r="IX99" s="33"/>
      <c r="JA99" s="26">
        <v>0</v>
      </c>
      <c r="JB99" s="30"/>
      <c r="JC99" s="27"/>
      <c r="JE99" s="27"/>
      <c r="JG99" s="26">
        <v>0</v>
      </c>
      <c r="JH99" s="33"/>
      <c r="JI99" s="28">
        <v>0</v>
      </c>
      <c r="JJ99" s="28">
        <v>0</v>
      </c>
      <c r="JK99" s="26">
        <v>0</v>
      </c>
      <c r="JL99" s="33"/>
      <c r="JM99" s="28">
        <v>0</v>
      </c>
      <c r="JN99" s="28">
        <v>0</v>
      </c>
      <c r="JO99" s="26">
        <v>0</v>
      </c>
      <c r="JP99" s="33"/>
      <c r="JQ99" s="31">
        <v>0</v>
      </c>
      <c r="JR99" s="28">
        <v>0</v>
      </c>
      <c r="JS99" s="26">
        <v>0</v>
      </c>
      <c r="JT99" s="33"/>
    </row>
    <row r="100" spans="1:280" x14ac:dyDescent="0.25">
      <c r="A100" s="26" t="s">
        <v>251</v>
      </c>
      <c r="B100" s="27">
        <v>0.4</v>
      </c>
      <c r="I100" s="29"/>
      <c r="J100" s="35"/>
      <c r="K100" s="40"/>
      <c r="L100" s="35"/>
      <c r="M100" s="35">
        <f t="shared" si="9"/>
        <v>0</v>
      </c>
      <c r="N100" s="30"/>
      <c r="O100" s="29"/>
      <c r="P100" s="35"/>
      <c r="Q100" s="35"/>
      <c r="R100" s="35"/>
      <c r="S100" s="35">
        <f t="shared" si="10"/>
        <v>0</v>
      </c>
      <c r="T100" s="30"/>
      <c r="U100" s="29"/>
      <c r="V100" s="40"/>
      <c r="W100" s="35"/>
      <c r="X100" s="35"/>
      <c r="Y100" s="35"/>
      <c r="Z100" s="35"/>
      <c r="AA100" s="35">
        <f t="shared" si="11"/>
        <v>0</v>
      </c>
      <c r="AB100" s="30"/>
      <c r="AC100" s="29"/>
      <c r="AD100" s="35"/>
      <c r="AE100" s="35"/>
      <c r="AF100" s="35"/>
      <c r="AG100" s="35">
        <v>0</v>
      </c>
      <c r="AH100" s="30"/>
      <c r="AI100" s="35"/>
      <c r="AM100" s="26">
        <v>0</v>
      </c>
      <c r="AN100" s="30"/>
      <c r="AO100" s="31"/>
      <c r="AS100" s="26">
        <v>0</v>
      </c>
      <c r="AT100" s="30"/>
      <c r="AY100" s="26">
        <v>0</v>
      </c>
      <c r="AZ100" s="30"/>
      <c r="BD100" s="26">
        <v>0</v>
      </c>
      <c r="BE100" s="30"/>
      <c r="BF100" s="29"/>
      <c r="BH100" s="26">
        <v>0</v>
      </c>
      <c r="BI100" s="30"/>
      <c r="BJ100" s="29"/>
      <c r="BL100" s="26">
        <v>0</v>
      </c>
      <c r="BM100" s="30"/>
      <c r="BP100" s="26">
        <v>0</v>
      </c>
      <c r="BQ100" s="30"/>
      <c r="BR100" s="29"/>
      <c r="BT100" s="26">
        <v>0</v>
      </c>
      <c r="BU100" s="30"/>
      <c r="BX100" s="26">
        <v>0</v>
      </c>
      <c r="BY100" s="30"/>
      <c r="BZ100" s="29"/>
      <c r="CB100" s="26">
        <v>0</v>
      </c>
      <c r="CC100" s="30"/>
      <c r="CD100" s="29"/>
      <c r="CF100" s="26">
        <v>0</v>
      </c>
      <c r="CG100" s="30"/>
      <c r="CJ100" s="26">
        <v>0</v>
      </c>
      <c r="CK100" s="30"/>
      <c r="CL100" s="29"/>
      <c r="CP100" s="26">
        <v>0</v>
      </c>
      <c r="CQ100" s="30"/>
      <c r="CR100" s="29"/>
      <c r="CT100" s="26">
        <v>0</v>
      </c>
      <c r="CU100" s="30"/>
      <c r="CZ100" s="26">
        <v>0</v>
      </c>
      <c r="DA100" s="30"/>
      <c r="DD100" s="26">
        <v>0</v>
      </c>
      <c r="DE100" s="30"/>
      <c r="DF100" s="29"/>
      <c r="DH100" s="26">
        <v>0</v>
      </c>
      <c r="DI100" s="30"/>
      <c r="DJ100" s="29"/>
      <c r="DL100" s="26">
        <v>0</v>
      </c>
      <c r="DM100" s="30"/>
      <c r="DP100" s="26">
        <v>0</v>
      </c>
      <c r="DQ100" s="30"/>
      <c r="DR100" s="29"/>
      <c r="DU100" s="26">
        <v>0</v>
      </c>
      <c r="DV100" s="30"/>
      <c r="DW100" s="29"/>
      <c r="EA100" s="26">
        <v>0</v>
      </c>
      <c r="EB100" s="30"/>
      <c r="EC100" s="29"/>
      <c r="EF100" s="26">
        <v>0</v>
      </c>
      <c r="EG100" s="30"/>
      <c r="EJ100" s="26">
        <v>0</v>
      </c>
      <c r="EK100" s="30"/>
      <c r="EL100" s="31"/>
      <c r="EN100" s="26">
        <v>0</v>
      </c>
      <c r="EO100" s="30"/>
      <c r="EP100" s="29"/>
      <c r="ER100" s="26">
        <v>0</v>
      </c>
      <c r="ES100" s="30"/>
      <c r="ET100" s="29"/>
      <c r="EV100" s="26">
        <v>0</v>
      </c>
      <c r="EW100" s="30"/>
      <c r="EZ100" s="26">
        <v>0</v>
      </c>
      <c r="FA100" s="30"/>
      <c r="FD100" s="26">
        <v>0</v>
      </c>
      <c r="FE100" s="30"/>
      <c r="FF100" s="29"/>
      <c r="FI100" s="26">
        <v>0</v>
      </c>
      <c r="FJ100" s="30"/>
      <c r="FK100" s="29"/>
      <c r="FN100" s="26">
        <v>0</v>
      </c>
      <c r="FO100" s="30"/>
      <c r="FR100" s="26">
        <v>0</v>
      </c>
      <c r="FS100" s="30"/>
      <c r="FT100" s="29"/>
      <c r="FY100" s="26">
        <v>0</v>
      </c>
      <c r="FZ100" s="30"/>
      <c r="GC100" s="26">
        <v>0</v>
      </c>
      <c r="GD100" s="30"/>
      <c r="GE100" s="29"/>
      <c r="GI100" s="26">
        <v>0</v>
      </c>
      <c r="GJ100" s="30"/>
      <c r="GO100" s="26">
        <v>0</v>
      </c>
      <c r="GP100" s="30"/>
      <c r="GS100" s="26">
        <v>0</v>
      </c>
      <c r="GT100" s="30"/>
      <c r="GU100" s="29"/>
      <c r="GW100" s="26">
        <v>0</v>
      </c>
      <c r="GX100" s="30"/>
      <c r="GY100" s="29"/>
      <c r="HA100" s="26">
        <v>0</v>
      </c>
      <c r="HB100" s="30"/>
      <c r="HE100" s="26">
        <v>0</v>
      </c>
      <c r="HF100" s="30"/>
      <c r="HG100" s="29"/>
      <c r="HI100" s="26">
        <v>0</v>
      </c>
      <c r="HJ100" s="30"/>
      <c r="HK100" s="29"/>
      <c r="HM100" s="26">
        <v>0</v>
      </c>
      <c r="HN100" s="30"/>
      <c r="HQ100" s="26">
        <v>0</v>
      </c>
      <c r="HR100" s="33"/>
      <c r="HU100" s="26">
        <v>0</v>
      </c>
      <c r="HV100" s="30"/>
      <c r="HY100" s="26">
        <v>0</v>
      </c>
      <c r="HZ100" s="33"/>
      <c r="IC100" s="26">
        <v>0</v>
      </c>
      <c r="ID100" s="30"/>
      <c r="IG100" s="26">
        <v>0</v>
      </c>
      <c r="IH100" s="33"/>
      <c r="IK100" s="26">
        <v>0</v>
      </c>
      <c r="IL100" s="30"/>
      <c r="IM100" s="31"/>
      <c r="IO100" s="26">
        <v>0</v>
      </c>
      <c r="IP100" s="33"/>
      <c r="IS100" s="26">
        <v>0</v>
      </c>
      <c r="IT100" s="33"/>
      <c r="IW100" s="26">
        <v>0</v>
      </c>
      <c r="IX100" s="33"/>
      <c r="JA100" s="26">
        <v>0</v>
      </c>
      <c r="JB100" s="30"/>
      <c r="JC100" s="27"/>
      <c r="JE100" s="27"/>
      <c r="JG100" s="26">
        <v>0</v>
      </c>
      <c r="JH100" s="33"/>
      <c r="JI100" s="28">
        <v>0</v>
      </c>
      <c r="JJ100" s="28">
        <v>0</v>
      </c>
      <c r="JK100" s="26">
        <v>0</v>
      </c>
      <c r="JL100" s="33"/>
      <c r="JM100" s="28">
        <v>0</v>
      </c>
      <c r="JN100" s="28">
        <v>0</v>
      </c>
      <c r="JO100" s="26">
        <v>0</v>
      </c>
      <c r="JP100" s="33"/>
      <c r="JQ100" s="31">
        <v>0</v>
      </c>
      <c r="JR100" s="28">
        <v>0</v>
      </c>
      <c r="JS100" s="26">
        <v>0</v>
      </c>
      <c r="JT100" s="33"/>
    </row>
    <row r="101" spans="1:280" x14ac:dyDescent="0.25">
      <c r="A101" s="26" t="s">
        <v>252</v>
      </c>
      <c r="B101" s="27">
        <v>1</v>
      </c>
      <c r="I101" s="29"/>
      <c r="J101" s="35"/>
      <c r="K101" s="40"/>
      <c r="L101" s="35"/>
      <c r="M101" s="35">
        <f t="shared" si="9"/>
        <v>0</v>
      </c>
      <c r="N101" s="30"/>
      <c r="O101" s="29"/>
      <c r="P101" s="35"/>
      <c r="Q101" s="35"/>
      <c r="R101" s="35"/>
      <c r="S101" s="35">
        <f t="shared" si="10"/>
        <v>0</v>
      </c>
      <c r="T101" s="30"/>
      <c r="U101" s="29"/>
      <c r="V101" s="40"/>
      <c r="W101" s="35"/>
      <c r="X101" s="35"/>
      <c r="Y101" s="35"/>
      <c r="Z101" s="35"/>
      <c r="AA101" s="35">
        <f t="shared" si="11"/>
        <v>0</v>
      </c>
      <c r="AB101" s="30"/>
      <c r="AC101" s="29"/>
      <c r="AD101" s="35"/>
      <c r="AE101" s="35"/>
      <c r="AF101" s="35"/>
      <c r="AG101" s="35">
        <v>0</v>
      </c>
      <c r="AH101" s="30"/>
      <c r="AI101" s="35"/>
      <c r="AM101" s="26">
        <v>0</v>
      </c>
      <c r="AN101" s="30"/>
      <c r="AO101" s="31"/>
      <c r="AS101" s="26">
        <v>0</v>
      </c>
      <c r="AT101" s="30"/>
      <c r="AY101" s="26">
        <v>0</v>
      </c>
      <c r="AZ101" s="30"/>
      <c r="BD101" s="26">
        <v>0</v>
      </c>
      <c r="BE101" s="30"/>
      <c r="BF101" s="29"/>
      <c r="BH101" s="26">
        <v>0</v>
      </c>
      <c r="BI101" s="30"/>
      <c r="BJ101" s="29"/>
      <c r="BL101" s="26">
        <v>0</v>
      </c>
      <c r="BM101" s="30"/>
      <c r="BP101" s="26">
        <v>0</v>
      </c>
      <c r="BQ101" s="30"/>
      <c r="BR101" s="29"/>
      <c r="BT101" s="26">
        <v>0</v>
      </c>
      <c r="BU101" s="30"/>
      <c r="BX101" s="26">
        <v>0</v>
      </c>
      <c r="BY101" s="30"/>
      <c r="BZ101" s="29"/>
      <c r="CB101" s="26">
        <v>0</v>
      </c>
      <c r="CC101" s="30"/>
      <c r="CD101" s="29"/>
      <c r="CF101" s="26">
        <v>0</v>
      </c>
      <c r="CG101" s="30"/>
      <c r="CJ101" s="26">
        <v>0</v>
      </c>
      <c r="CK101" s="30"/>
      <c r="CL101" s="29"/>
      <c r="CP101" s="26">
        <v>0</v>
      </c>
      <c r="CQ101" s="30"/>
      <c r="CR101" s="29"/>
      <c r="CT101" s="26">
        <v>0</v>
      </c>
      <c r="CU101" s="30"/>
      <c r="CZ101" s="26">
        <v>0</v>
      </c>
      <c r="DA101" s="30"/>
      <c r="DD101" s="26">
        <v>0</v>
      </c>
      <c r="DE101" s="30"/>
      <c r="DF101" s="29"/>
      <c r="DH101" s="26">
        <v>0</v>
      </c>
      <c r="DI101" s="30"/>
      <c r="DJ101" s="29"/>
      <c r="DL101" s="26">
        <v>0</v>
      </c>
      <c r="DM101" s="30"/>
      <c r="DP101" s="26">
        <v>0</v>
      </c>
      <c r="DQ101" s="30"/>
      <c r="DR101" s="29"/>
      <c r="DU101" s="26">
        <v>0</v>
      </c>
      <c r="DV101" s="30"/>
      <c r="DW101" s="29"/>
      <c r="EA101" s="26">
        <v>0</v>
      </c>
      <c r="EB101" s="30"/>
      <c r="EC101" s="29"/>
      <c r="EF101" s="26">
        <v>0</v>
      </c>
      <c r="EG101" s="30"/>
      <c r="EJ101" s="26">
        <v>0</v>
      </c>
      <c r="EK101" s="30"/>
      <c r="EL101" s="31"/>
      <c r="EN101" s="26">
        <v>0</v>
      </c>
      <c r="EO101" s="30"/>
      <c r="EP101" s="29"/>
      <c r="ER101" s="26">
        <v>0</v>
      </c>
      <c r="ES101" s="30"/>
      <c r="ET101" s="29"/>
      <c r="EV101" s="26">
        <v>0</v>
      </c>
      <c r="EW101" s="30"/>
      <c r="EZ101" s="26">
        <v>0</v>
      </c>
      <c r="FA101" s="30"/>
      <c r="FD101" s="26">
        <v>0</v>
      </c>
      <c r="FE101" s="30"/>
      <c r="FF101" s="29"/>
      <c r="FI101" s="26">
        <v>0</v>
      </c>
      <c r="FJ101" s="30"/>
      <c r="FK101" s="29"/>
      <c r="FN101" s="26">
        <v>0</v>
      </c>
      <c r="FO101" s="30"/>
      <c r="FR101" s="26">
        <v>0</v>
      </c>
      <c r="FS101" s="30"/>
      <c r="FT101" s="29"/>
      <c r="FY101" s="26">
        <v>0</v>
      </c>
      <c r="FZ101" s="30"/>
      <c r="GC101" s="26">
        <v>0</v>
      </c>
      <c r="GD101" s="30"/>
      <c r="GE101" s="29"/>
      <c r="GI101" s="26">
        <v>0</v>
      </c>
      <c r="GJ101" s="30"/>
      <c r="GO101" s="26">
        <v>0</v>
      </c>
      <c r="GP101" s="30"/>
      <c r="GS101" s="26">
        <v>0</v>
      </c>
      <c r="GT101" s="30"/>
      <c r="GU101" s="29"/>
      <c r="GW101" s="26">
        <v>0</v>
      </c>
      <c r="GX101" s="30"/>
      <c r="GY101" s="29"/>
      <c r="HA101" s="26">
        <v>0</v>
      </c>
      <c r="HB101" s="30"/>
      <c r="HE101" s="26">
        <v>0</v>
      </c>
      <c r="HF101" s="30"/>
      <c r="HG101" s="29"/>
      <c r="HI101" s="26">
        <v>0</v>
      </c>
      <c r="HJ101" s="30"/>
      <c r="HK101" s="29"/>
      <c r="HM101" s="26">
        <v>0</v>
      </c>
      <c r="HN101" s="30"/>
      <c r="HQ101" s="26">
        <v>0</v>
      </c>
      <c r="HR101" s="33"/>
      <c r="HU101" s="26">
        <v>0</v>
      </c>
      <c r="HV101" s="30"/>
      <c r="HY101" s="26">
        <v>0</v>
      </c>
      <c r="HZ101" s="33"/>
      <c r="IC101" s="26">
        <v>0</v>
      </c>
      <c r="ID101" s="30"/>
      <c r="IG101" s="26">
        <v>0</v>
      </c>
      <c r="IH101" s="33"/>
      <c r="IK101" s="26">
        <v>0</v>
      </c>
      <c r="IL101" s="30"/>
      <c r="IM101" s="31"/>
      <c r="IO101" s="26">
        <v>0</v>
      </c>
      <c r="IP101" s="33"/>
      <c r="IS101" s="26">
        <v>0</v>
      </c>
      <c r="IT101" s="33"/>
      <c r="IW101" s="26">
        <v>0</v>
      </c>
      <c r="IX101" s="33"/>
      <c r="JA101" s="26">
        <v>0</v>
      </c>
      <c r="JB101" s="30"/>
      <c r="JC101" s="27"/>
      <c r="JE101" s="27"/>
      <c r="JG101" s="26">
        <v>0</v>
      </c>
      <c r="JH101" s="33"/>
      <c r="JI101" s="28">
        <v>0</v>
      </c>
      <c r="JJ101" s="28">
        <v>0</v>
      </c>
      <c r="JK101" s="26">
        <v>0</v>
      </c>
      <c r="JL101" s="33"/>
      <c r="JM101" s="28">
        <v>0</v>
      </c>
      <c r="JN101" s="28">
        <v>0</v>
      </c>
      <c r="JO101" s="26">
        <v>0</v>
      </c>
      <c r="JP101" s="33"/>
      <c r="JQ101" s="31">
        <v>0</v>
      </c>
      <c r="JR101" s="28">
        <v>0</v>
      </c>
      <c r="JS101" s="26">
        <v>0</v>
      </c>
      <c r="JT101" s="33"/>
    </row>
    <row r="102" spans="1:280" x14ac:dyDescent="0.25">
      <c r="A102" s="26" t="s">
        <v>253</v>
      </c>
      <c r="B102" s="27">
        <v>0.4</v>
      </c>
      <c r="I102" s="29"/>
      <c r="J102" s="35"/>
      <c r="K102" s="40"/>
      <c r="L102" s="35"/>
      <c r="M102" s="35">
        <f t="shared" si="9"/>
        <v>0</v>
      </c>
      <c r="N102" s="30"/>
      <c r="O102" s="29"/>
      <c r="P102" s="35"/>
      <c r="Q102" s="35"/>
      <c r="R102" s="35"/>
      <c r="S102" s="35">
        <f t="shared" si="10"/>
        <v>0</v>
      </c>
      <c r="T102" s="30"/>
      <c r="U102" s="29"/>
      <c r="V102" s="40"/>
      <c r="W102" s="35"/>
      <c r="X102" s="35"/>
      <c r="Y102" s="35"/>
      <c r="Z102" s="35"/>
      <c r="AA102" s="35">
        <f t="shared" si="11"/>
        <v>0</v>
      </c>
      <c r="AB102" s="30"/>
      <c r="AC102" s="29"/>
      <c r="AD102" s="35"/>
      <c r="AE102" s="35"/>
      <c r="AF102" s="35"/>
      <c r="AG102" s="35">
        <v>0</v>
      </c>
      <c r="AH102" s="30"/>
      <c r="AI102" s="35"/>
      <c r="AM102" s="26">
        <v>0</v>
      </c>
      <c r="AN102" s="30"/>
      <c r="AO102" s="31"/>
      <c r="AS102" s="26">
        <v>0</v>
      </c>
      <c r="AT102" s="30"/>
      <c r="AY102" s="26">
        <v>0</v>
      </c>
      <c r="AZ102" s="30"/>
      <c r="BD102" s="26">
        <v>0</v>
      </c>
      <c r="BE102" s="30"/>
      <c r="BF102" s="29"/>
      <c r="BH102" s="26">
        <v>0</v>
      </c>
      <c r="BI102" s="30"/>
      <c r="BJ102" s="29"/>
      <c r="BL102" s="26">
        <v>0</v>
      </c>
      <c r="BM102" s="30"/>
      <c r="BP102" s="26">
        <v>0</v>
      </c>
      <c r="BQ102" s="30"/>
      <c r="BR102" s="29"/>
      <c r="BT102" s="26">
        <v>0</v>
      </c>
      <c r="BU102" s="30"/>
      <c r="BX102" s="26">
        <v>0</v>
      </c>
      <c r="BY102" s="30"/>
      <c r="BZ102" s="29"/>
      <c r="CB102" s="26">
        <v>0</v>
      </c>
      <c r="CC102" s="30"/>
      <c r="CD102" s="29"/>
      <c r="CF102" s="26">
        <v>0</v>
      </c>
      <c r="CG102" s="30"/>
      <c r="CJ102" s="26">
        <v>0</v>
      </c>
      <c r="CK102" s="30"/>
      <c r="CL102" s="29"/>
      <c r="CP102" s="26">
        <v>0</v>
      </c>
      <c r="CQ102" s="30"/>
      <c r="CR102" s="29"/>
      <c r="CT102" s="26">
        <v>0</v>
      </c>
      <c r="CU102" s="30"/>
      <c r="CZ102" s="26">
        <v>0</v>
      </c>
      <c r="DA102" s="30"/>
      <c r="DD102" s="26">
        <v>0</v>
      </c>
      <c r="DE102" s="30"/>
      <c r="DF102" s="29"/>
      <c r="DH102" s="26">
        <v>0</v>
      </c>
      <c r="DI102" s="30"/>
      <c r="DJ102" s="29"/>
      <c r="DL102" s="26">
        <v>0</v>
      </c>
      <c r="DM102" s="30"/>
      <c r="DP102" s="26">
        <v>0</v>
      </c>
      <c r="DQ102" s="30"/>
      <c r="DR102" s="29"/>
      <c r="DU102" s="26">
        <v>0</v>
      </c>
      <c r="DV102" s="30"/>
      <c r="DW102" s="29"/>
      <c r="DY102">
        <v>7</v>
      </c>
      <c r="DZ102">
        <v>7</v>
      </c>
      <c r="EA102" s="26">
        <v>0</v>
      </c>
      <c r="EB102" s="30"/>
      <c r="EC102" s="32">
        <v>21</v>
      </c>
      <c r="EE102">
        <v>21</v>
      </c>
      <c r="EF102" s="26">
        <v>0</v>
      </c>
      <c r="EG102" s="30"/>
      <c r="EI102" s="26">
        <v>31.4</v>
      </c>
      <c r="EJ102" s="25">
        <v>-31.4</v>
      </c>
      <c r="EK102" s="30">
        <v>12.56</v>
      </c>
      <c r="EL102" s="31"/>
      <c r="EN102" s="26">
        <v>0</v>
      </c>
      <c r="EO102" s="30"/>
      <c r="EP102" s="32">
        <v>21</v>
      </c>
      <c r="EQ102" s="26">
        <v>25.4</v>
      </c>
      <c r="ER102" s="26">
        <v>-4.3999999999999986</v>
      </c>
      <c r="ES102" s="30"/>
      <c r="ET102" s="32">
        <v>7</v>
      </c>
      <c r="EU102">
        <v>7</v>
      </c>
      <c r="EV102" s="26">
        <v>0</v>
      </c>
      <c r="EW102" s="30"/>
      <c r="EX102">
        <v>14</v>
      </c>
      <c r="EY102" s="28">
        <v>12</v>
      </c>
      <c r="EZ102" s="26">
        <v>2</v>
      </c>
      <c r="FA102" s="30"/>
      <c r="FB102">
        <v>14</v>
      </c>
      <c r="FC102">
        <v>15</v>
      </c>
      <c r="FD102" s="26">
        <v>-1</v>
      </c>
      <c r="FE102" s="30"/>
      <c r="FF102" s="32">
        <v>14</v>
      </c>
      <c r="FH102">
        <v>12</v>
      </c>
      <c r="FI102" s="26">
        <v>2</v>
      </c>
      <c r="FJ102" s="30"/>
      <c r="FK102" s="29"/>
      <c r="FN102" s="26">
        <v>0</v>
      </c>
      <c r="FO102" s="30"/>
      <c r="FP102">
        <v>7</v>
      </c>
      <c r="FQ102" s="28">
        <v>9.4000000000000021</v>
      </c>
      <c r="FR102" s="26">
        <v>-2.4000000000000021</v>
      </c>
      <c r="FS102" s="30"/>
      <c r="FT102" s="29"/>
      <c r="FY102" s="26">
        <v>0</v>
      </c>
      <c r="FZ102" s="30"/>
      <c r="GA102">
        <v>21</v>
      </c>
      <c r="GB102" s="28">
        <v>24.2</v>
      </c>
      <c r="GC102" s="26">
        <v>-3.1999999999999988</v>
      </c>
      <c r="GD102" s="30"/>
      <c r="GE102" s="29"/>
      <c r="GI102" s="26">
        <v>0</v>
      </c>
      <c r="GJ102" s="30"/>
      <c r="GM102">
        <v>7</v>
      </c>
      <c r="GN102">
        <v>11</v>
      </c>
      <c r="GO102" s="26">
        <v>-4</v>
      </c>
      <c r="GP102" s="30"/>
      <c r="GQ102">
        <v>28</v>
      </c>
      <c r="GR102" s="28">
        <v>28</v>
      </c>
      <c r="GS102" s="26">
        <v>0</v>
      </c>
      <c r="GT102" s="30"/>
      <c r="GU102" s="32">
        <v>14</v>
      </c>
      <c r="GV102">
        <v>12</v>
      </c>
      <c r="GW102" s="26">
        <v>2</v>
      </c>
      <c r="GX102" s="30"/>
      <c r="GY102" s="32">
        <v>7</v>
      </c>
      <c r="GZ102">
        <v>7</v>
      </c>
      <c r="HA102" s="26">
        <v>0</v>
      </c>
      <c r="HB102" s="30"/>
      <c r="HE102" s="26">
        <v>0</v>
      </c>
      <c r="HF102" s="30"/>
      <c r="HG102" s="32">
        <v>28</v>
      </c>
      <c r="HH102">
        <v>28</v>
      </c>
      <c r="HI102" s="26">
        <v>0</v>
      </c>
      <c r="HJ102" s="30"/>
      <c r="HK102" s="29"/>
      <c r="HM102" s="26">
        <v>0</v>
      </c>
      <c r="HN102" s="30"/>
      <c r="HO102">
        <v>14</v>
      </c>
      <c r="HP102">
        <v>14</v>
      </c>
      <c r="HQ102" s="26">
        <v>0</v>
      </c>
      <c r="HR102" s="33"/>
      <c r="HS102">
        <v>7</v>
      </c>
      <c r="HT102">
        <v>2</v>
      </c>
      <c r="HU102" s="26">
        <v>5</v>
      </c>
      <c r="HV102" s="30"/>
      <c r="HY102" s="26">
        <v>0</v>
      </c>
      <c r="HZ102" s="33"/>
      <c r="IA102">
        <v>28</v>
      </c>
      <c r="IB102">
        <v>28</v>
      </c>
      <c r="IC102" s="26">
        <v>0</v>
      </c>
      <c r="ID102" s="30"/>
      <c r="IG102" s="26">
        <v>0</v>
      </c>
      <c r="IH102" s="33"/>
      <c r="IK102" s="26">
        <v>0</v>
      </c>
      <c r="IL102" s="30"/>
      <c r="IM102" s="32">
        <v>7</v>
      </c>
      <c r="IN102" s="28">
        <v>7</v>
      </c>
      <c r="IO102" s="26">
        <v>0</v>
      </c>
      <c r="IP102" s="33"/>
      <c r="IQ102">
        <v>7</v>
      </c>
      <c r="IR102">
        <v>7</v>
      </c>
      <c r="IS102" s="26">
        <v>0</v>
      </c>
      <c r="IT102" s="33"/>
      <c r="IU102">
        <v>14</v>
      </c>
      <c r="IV102">
        <v>14</v>
      </c>
      <c r="IW102" s="26">
        <v>0</v>
      </c>
      <c r="IX102" s="33"/>
      <c r="JA102" s="26">
        <v>0</v>
      </c>
      <c r="JB102" s="30"/>
      <c r="JC102" s="27"/>
      <c r="JE102">
        <v>7</v>
      </c>
      <c r="JF102">
        <v>7</v>
      </c>
      <c r="JG102" s="26">
        <v>0</v>
      </c>
      <c r="JH102" s="33"/>
      <c r="JI102" s="28">
        <v>0</v>
      </c>
      <c r="JJ102" s="28">
        <v>0</v>
      </c>
      <c r="JK102" s="26">
        <v>0</v>
      </c>
      <c r="JL102" s="33"/>
      <c r="JM102" s="28">
        <v>0</v>
      </c>
      <c r="JN102" s="28">
        <v>0</v>
      </c>
      <c r="JO102" s="26">
        <v>0</v>
      </c>
      <c r="JP102" s="33"/>
      <c r="JQ102" s="31">
        <v>0</v>
      </c>
      <c r="JR102" s="28">
        <v>0</v>
      </c>
      <c r="JS102" s="26">
        <v>0</v>
      </c>
      <c r="JT102" s="33"/>
    </row>
    <row r="103" spans="1:280" x14ac:dyDescent="0.25">
      <c r="A103" s="26" t="s">
        <v>254</v>
      </c>
      <c r="B103" s="27">
        <v>1</v>
      </c>
      <c r="I103" s="29"/>
      <c r="J103" s="35"/>
      <c r="K103" s="40"/>
      <c r="L103" s="35"/>
      <c r="M103" s="35">
        <f t="shared" si="9"/>
        <v>0</v>
      </c>
      <c r="N103" s="30"/>
      <c r="O103" s="29"/>
      <c r="P103" s="35"/>
      <c r="Q103" s="35"/>
      <c r="R103" s="35"/>
      <c r="S103" s="35">
        <f t="shared" si="10"/>
        <v>0</v>
      </c>
      <c r="T103" s="30"/>
      <c r="U103" s="29"/>
      <c r="V103" s="40"/>
      <c r="W103" s="35"/>
      <c r="X103" s="35"/>
      <c r="Y103" s="35"/>
      <c r="Z103" s="35"/>
      <c r="AA103" s="35">
        <f t="shared" si="11"/>
        <v>0</v>
      </c>
      <c r="AB103" s="30"/>
      <c r="AC103" s="29"/>
      <c r="AD103" s="35"/>
      <c r="AE103" s="35"/>
      <c r="AF103" s="35"/>
      <c r="AG103" s="35">
        <v>0</v>
      </c>
      <c r="AH103" s="30"/>
      <c r="AI103" s="35"/>
      <c r="AM103" s="26">
        <v>0</v>
      </c>
      <c r="AN103" s="30"/>
      <c r="AO103" s="31"/>
      <c r="AS103" s="26">
        <v>0</v>
      </c>
      <c r="AT103" s="30"/>
      <c r="AY103" s="26">
        <v>0</v>
      </c>
      <c r="AZ103" s="30"/>
      <c r="BD103" s="26">
        <v>0</v>
      </c>
      <c r="BE103" s="30"/>
      <c r="BF103" s="29"/>
      <c r="BH103" s="26">
        <v>0</v>
      </c>
      <c r="BI103" s="30"/>
      <c r="BJ103" s="29"/>
      <c r="BL103" s="26">
        <v>0</v>
      </c>
      <c r="BM103" s="30"/>
      <c r="BP103" s="26">
        <v>0</v>
      </c>
      <c r="BQ103" s="30"/>
      <c r="BR103" s="29"/>
      <c r="BT103" s="26">
        <v>0</v>
      </c>
      <c r="BU103" s="30"/>
      <c r="BX103" s="26">
        <v>0</v>
      </c>
      <c r="BY103" s="30"/>
      <c r="BZ103" s="29"/>
      <c r="CB103" s="26">
        <v>0</v>
      </c>
      <c r="CC103" s="30"/>
      <c r="CD103" s="29"/>
      <c r="CF103" s="26">
        <v>0</v>
      </c>
      <c r="CG103" s="30"/>
      <c r="CJ103" s="26">
        <v>0</v>
      </c>
      <c r="CK103" s="30"/>
      <c r="CL103" s="29"/>
      <c r="CP103" s="26">
        <v>0</v>
      </c>
      <c r="CQ103" s="30"/>
      <c r="CR103" s="29"/>
      <c r="CT103" s="26">
        <v>0</v>
      </c>
      <c r="CU103" s="30"/>
      <c r="CZ103" s="26">
        <v>0</v>
      </c>
      <c r="DA103" s="30"/>
      <c r="DD103" s="26">
        <v>0</v>
      </c>
      <c r="DE103" s="30"/>
      <c r="DF103" s="29"/>
      <c r="DH103" s="26">
        <v>0</v>
      </c>
      <c r="DI103" s="30"/>
      <c r="DJ103" s="29"/>
      <c r="DL103" s="26">
        <v>0</v>
      </c>
      <c r="DM103" s="30"/>
      <c r="DP103" s="26">
        <v>0</v>
      </c>
      <c r="DQ103" s="30"/>
      <c r="DR103" s="29"/>
      <c r="DU103" s="26">
        <v>0</v>
      </c>
      <c r="DV103" s="30"/>
      <c r="DW103" s="29"/>
      <c r="EA103" s="26">
        <v>0</v>
      </c>
      <c r="EB103" s="30"/>
      <c r="EC103" s="29"/>
      <c r="EF103" s="26">
        <v>0</v>
      </c>
      <c r="EG103" s="30"/>
      <c r="EJ103" s="26">
        <v>0</v>
      </c>
      <c r="EK103" s="30"/>
      <c r="EL103" s="31"/>
      <c r="EN103" s="26">
        <v>0</v>
      </c>
      <c r="EO103" s="30"/>
      <c r="EP103" s="29"/>
      <c r="ER103" s="26">
        <v>0</v>
      </c>
      <c r="ES103" s="30"/>
      <c r="ET103" s="29"/>
      <c r="EV103" s="26">
        <v>0</v>
      </c>
      <c r="EW103" s="30"/>
      <c r="EZ103" s="26">
        <v>0</v>
      </c>
      <c r="FA103" s="30"/>
      <c r="FD103" s="26">
        <v>0</v>
      </c>
      <c r="FE103" s="30"/>
      <c r="FF103" s="29"/>
      <c r="FI103" s="26">
        <v>0</v>
      </c>
      <c r="FJ103" s="30"/>
      <c r="FK103" s="29"/>
      <c r="FN103" s="26">
        <v>0</v>
      </c>
      <c r="FO103" s="30"/>
      <c r="FR103" s="26">
        <v>0</v>
      </c>
      <c r="FS103" s="30"/>
      <c r="FT103" s="29"/>
      <c r="FY103" s="26">
        <v>0</v>
      </c>
      <c r="FZ103" s="30"/>
      <c r="GC103" s="26">
        <v>0</v>
      </c>
      <c r="GD103" s="30"/>
      <c r="GE103" s="29"/>
      <c r="GI103" s="26">
        <v>0</v>
      </c>
      <c r="GJ103" s="30"/>
      <c r="GO103" s="26">
        <v>0</v>
      </c>
      <c r="GP103" s="30"/>
      <c r="GS103" s="26">
        <v>0</v>
      </c>
      <c r="GT103" s="30"/>
      <c r="GU103" s="29"/>
      <c r="GW103" s="26">
        <v>0</v>
      </c>
      <c r="GX103" s="30"/>
      <c r="GY103" s="29"/>
      <c r="HA103" s="26">
        <v>0</v>
      </c>
      <c r="HB103" s="30"/>
      <c r="HE103" s="26">
        <v>0</v>
      </c>
      <c r="HF103" s="30"/>
      <c r="HG103" s="29"/>
      <c r="HI103" s="26">
        <v>0</v>
      </c>
      <c r="HJ103" s="30"/>
      <c r="HK103" s="29"/>
      <c r="HM103" s="26">
        <v>0</v>
      </c>
      <c r="HN103" s="30"/>
      <c r="HQ103" s="26">
        <v>0</v>
      </c>
      <c r="HR103" s="33"/>
      <c r="HU103" s="26">
        <v>0</v>
      </c>
      <c r="HV103" s="30"/>
      <c r="HY103" s="26">
        <v>0</v>
      </c>
      <c r="HZ103" s="33"/>
      <c r="IC103" s="26">
        <v>0</v>
      </c>
      <c r="ID103" s="30"/>
      <c r="IG103" s="26">
        <v>0</v>
      </c>
      <c r="IH103" s="33"/>
      <c r="IK103" s="26">
        <v>0</v>
      </c>
      <c r="IL103" s="30"/>
      <c r="IM103" s="31"/>
      <c r="IO103" s="26">
        <v>0</v>
      </c>
      <c r="IP103" s="33"/>
      <c r="IS103" s="26">
        <v>0</v>
      </c>
      <c r="IT103" s="33"/>
      <c r="IW103" s="26">
        <v>0</v>
      </c>
      <c r="IX103" s="33"/>
      <c r="JA103" s="26">
        <v>0</v>
      </c>
      <c r="JB103" s="30"/>
      <c r="JC103" s="27"/>
      <c r="JE103" s="27"/>
      <c r="JG103" s="26">
        <v>0</v>
      </c>
      <c r="JH103" s="33"/>
      <c r="JI103" s="28">
        <v>0</v>
      </c>
      <c r="JJ103" s="28">
        <v>0</v>
      </c>
      <c r="JK103" s="26">
        <v>0</v>
      </c>
      <c r="JL103" s="33"/>
      <c r="JM103" s="28">
        <v>0</v>
      </c>
      <c r="JN103" s="28">
        <v>0</v>
      </c>
      <c r="JO103" s="26">
        <v>0</v>
      </c>
      <c r="JP103" s="33"/>
      <c r="JQ103" s="31">
        <v>0</v>
      </c>
      <c r="JR103" s="28">
        <v>0</v>
      </c>
      <c r="JS103" s="26">
        <v>0</v>
      </c>
      <c r="JT103" s="33"/>
    </row>
    <row r="104" spans="1:280" x14ac:dyDescent="0.25">
      <c r="A104" s="26" t="s">
        <v>255</v>
      </c>
      <c r="B104" s="27">
        <v>0.41</v>
      </c>
      <c r="I104" s="29"/>
      <c r="J104" s="35"/>
      <c r="K104" s="40"/>
      <c r="L104" s="35"/>
      <c r="M104" s="35">
        <f t="shared" si="9"/>
        <v>0</v>
      </c>
      <c r="N104" s="30"/>
      <c r="O104" s="29"/>
      <c r="P104" s="35"/>
      <c r="Q104" s="35"/>
      <c r="R104" s="35"/>
      <c r="S104" s="35">
        <f t="shared" si="10"/>
        <v>0</v>
      </c>
      <c r="T104" s="30"/>
      <c r="U104" s="29"/>
      <c r="V104" s="40"/>
      <c r="W104" s="35"/>
      <c r="X104" s="35"/>
      <c r="Y104" s="35"/>
      <c r="Z104" s="35"/>
      <c r="AA104" s="35">
        <f t="shared" si="11"/>
        <v>0</v>
      </c>
      <c r="AB104" s="30"/>
      <c r="AC104" s="29"/>
      <c r="AD104" s="35"/>
      <c r="AE104" s="35"/>
      <c r="AF104" s="35"/>
      <c r="AG104" s="35">
        <v>0</v>
      </c>
      <c r="AH104" s="30"/>
      <c r="AI104" s="35"/>
      <c r="AM104" s="26">
        <v>0</v>
      </c>
      <c r="AN104" s="30"/>
      <c r="AO104" s="31"/>
      <c r="AS104" s="26">
        <v>0</v>
      </c>
      <c r="AT104" s="30"/>
      <c r="AY104" s="26">
        <v>0</v>
      </c>
      <c r="AZ104" s="30"/>
      <c r="BD104" s="26">
        <v>0</v>
      </c>
      <c r="BE104" s="30"/>
      <c r="BF104" s="29"/>
      <c r="BH104" s="26">
        <v>0</v>
      </c>
      <c r="BI104" s="30"/>
      <c r="BJ104" s="29"/>
      <c r="BL104" s="26">
        <v>0</v>
      </c>
      <c r="BM104" s="30"/>
      <c r="BP104" s="26">
        <v>0</v>
      </c>
      <c r="BQ104" s="30"/>
      <c r="BR104" s="29"/>
      <c r="BT104" s="26">
        <v>0</v>
      </c>
      <c r="BU104" s="30"/>
      <c r="BX104" s="26">
        <v>0</v>
      </c>
      <c r="BY104" s="30"/>
      <c r="BZ104" s="29"/>
      <c r="CB104" s="26">
        <v>0</v>
      </c>
      <c r="CC104" s="30"/>
      <c r="CD104" s="29"/>
      <c r="CF104" s="26">
        <v>0</v>
      </c>
      <c r="CG104" s="30"/>
      <c r="CJ104" s="26">
        <v>0</v>
      </c>
      <c r="CK104" s="30"/>
      <c r="CL104" s="29"/>
      <c r="CP104" s="26">
        <v>0</v>
      </c>
      <c r="CQ104" s="30"/>
      <c r="CR104" s="29"/>
      <c r="CT104" s="26">
        <v>0</v>
      </c>
      <c r="CU104" s="30"/>
      <c r="CZ104" s="26">
        <v>0</v>
      </c>
      <c r="DA104" s="30"/>
      <c r="DD104" s="26">
        <v>0</v>
      </c>
      <c r="DE104" s="30"/>
      <c r="DF104" s="29"/>
      <c r="DH104" s="26">
        <v>0</v>
      </c>
      <c r="DI104" s="30"/>
      <c r="DJ104" s="29"/>
      <c r="DL104" s="26">
        <v>0</v>
      </c>
      <c r="DM104" s="30"/>
      <c r="DP104" s="26">
        <v>0</v>
      </c>
      <c r="DQ104" s="30"/>
      <c r="DR104" s="29"/>
      <c r="DU104" s="26">
        <v>0</v>
      </c>
      <c r="DV104" s="30"/>
      <c r="DW104" s="29"/>
      <c r="EA104" s="26">
        <v>0</v>
      </c>
      <c r="EB104" s="30"/>
      <c r="EC104" s="32">
        <v>24</v>
      </c>
      <c r="EE104">
        <v>23</v>
      </c>
      <c r="EF104" s="26">
        <v>1</v>
      </c>
      <c r="EG104" s="30"/>
      <c r="EH104">
        <v>16</v>
      </c>
      <c r="EI104" s="26">
        <v>18.8</v>
      </c>
      <c r="EJ104" s="26">
        <v>-2.8000000000000012</v>
      </c>
      <c r="EK104" s="30"/>
      <c r="EL104" s="32">
        <v>16</v>
      </c>
      <c r="EM104" s="26">
        <v>19</v>
      </c>
      <c r="EN104" s="26">
        <v>-3</v>
      </c>
      <c r="EO104" s="30"/>
      <c r="EP104" s="29"/>
      <c r="ER104" s="26">
        <v>0</v>
      </c>
      <c r="ES104" s="30"/>
      <c r="ET104" s="29"/>
      <c r="EV104" s="26">
        <v>0</v>
      </c>
      <c r="EW104" s="30"/>
      <c r="EX104">
        <v>8</v>
      </c>
      <c r="EY104" s="28">
        <v>7.6000000000000014</v>
      </c>
      <c r="EZ104" s="26">
        <v>0.39999999999999858</v>
      </c>
      <c r="FA104" s="30"/>
      <c r="FB104">
        <v>24</v>
      </c>
      <c r="FC104">
        <v>22</v>
      </c>
      <c r="FD104" s="26">
        <v>2</v>
      </c>
      <c r="FE104" s="30"/>
      <c r="FF104" s="29"/>
      <c r="FI104" s="26">
        <v>0</v>
      </c>
      <c r="FJ104" s="30"/>
      <c r="FK104" s="32">
        <v>8</v>
      </c>
      <c r="FM104">
        <v>8</v>
      </c>
      <c r="FN104" s="26">
        <v>0</v>
      </c>
      <c r="FO104" s="30"/>
      <c r="FP104">
        <v>8</v>
      </c>
      <c r="FQ104" s="28">
        <v>6</v>
      </c>
      <c r="FR104" s="26">
        <v>2</v>
      </c>
      <c r="FS104" s="30"/>
      <c r="FT104" s="29"/>
      <c r="FW104">
        <v>16</v>
      </c>
      <c r="FX104">
        <v>21</v>
      </c>
      <c r="FY104" s="26">
        <v>-5</v>
      </c>
      <c r="FZ104" s="30"/>
      <c r="GA104">
        <v>8</v>
      </c>
      <c r="GB104" s="28">
        <v>7.8000000000000043</v>
      </c>
      <c r="GC104" s="26">
        <v>0.19999999999999571</v>
      </c>
      <c r="GD104" s="30"/>
      <c r="GE104" s="29"/>
      <c r="GI104" s="26">
        <v>0</v>
      </c>
      <c r="GJ104" s="30"/>
      <c r="GM104">
        <v>32</v>
      </c>
      <c r="GN104">
        <v>30</v>
      </c>
      <c r="GO104" s="26">
        <v>2</v>
      </c>
      <c r="GP104" s="30"/>
      <c r="GS104" s="26">
        <v>0</v>
      </c>
      <c r="GT104" s="30"/>
      <c r="GU104" s="29"/>
      <c r="GW104" s="26">
        <v>0</v>
      </c>
      <c r="GX104" s="30"/>
      <c r="GY104" s="32">
        <v>8</v>
      </c>
      <c r="GZ104">
        <v>8</v>
      </c>
      <c r="HA104" s="26">
        <v>0</v>
      </c>
      <c r="HB104" s="30"/>
      <c r="HC104">
        <v>8</v>
      </c>
      <c r="HD104">
        <v>8</v>
      </c>
      <c r="HE104" s="26">
        <v>0</v>
      </c>
      <c r="HF104" s="30"/>
      <c r="HG104" s="32">
        <v>24</v>
      </c>
      <c r="HH104">
        <v>25</v>
      </c>
      <c r="HI104" s="26">
        <v>-1</v>
      </c>
      <c r="HJ104" s="30"/>
      <c r="HK104" s="29"/>
      <c r="HM104" s="26">
        <v>0</v>
      </c>
      <c r="HN104" s="30"/>
      <c r="HO104">
        <v>16</v>
      </c>
      <c r="HP104">
        <v>16</v>
      </c>
      <c r="HQ104" s="26">
        <v>0</v>
      </c>
      <c r="HR104" s="33"/>
      <c r="HU104" s="26">
        <v>0</v>
      </c>
      <c r="HV104" s="30"/>
      <c r="HY104" s="26">
        <v>0</v>
      </c>
      <c r="HZ104" s="33"/>
      <c r="IA104">
        <v>8</v>
      </c>
      <c r="IB104">
        <v>8</v>
      </c>
      <c r="IC104" s="26">
        <v>0</v>
      </c>
      <c r="ID104" s="30"/>
      <c r="IG104" s="26">
        <v>0</v>
      </c>
      <c r="IH104" s="33"/>
      <c r="IK104" s="26">
        <v>0</v>
      </c>
      <c r="IL104" s="30"/>
      <c r="IM104" s="31"/>
      <c r="IO104" s="26">
        <v>0</v>
      </c>
      <c r="IP104" s="33"/>
      <c r="IS104" s="26">
        <v>0</v>
      </c>
      <c r="IT104" s="33"/>
      <c r="IW104" s="26">
        <v>0</v>
      </c>
      <c r="IX104" s="33"/>
      <c r="JA104" s="26">
        <v>0</v>
      </c>
      <c r="JB104" s="30"/>
      <c r="JC104" s="27"/>
      <c r="JE104">
        <v>32</v>
      </c>
      <c r="JF104">
        <v>35</v>
      </c>
      <c r="JG104" s="26">
        <v>-3</v>
      </c>
      <c r="JH104" s="33"/>
      <c r="JI104" s="28">
        <v>0</v>
      </c>
      <c r="JJ104" s="28">
        <v>0</v>
      </c>
      <c r="JK104" s="26">
        <v>0</v>
      </c>
      <c r="JL104" s="33"/>
      <c r="JM104" s="28">
        <v>0</v>
      </c>
      <c r="JN104" s="28">
        <v>0</v>
      </c>
      <c r="JO104" s="26">
        <v>0</v>
      </c>
      <c r="JP104" s="33"/>
      <c r="JQ104" s="31">
        <v>0</v>
      </c>
      <c r="JR104" s="28">
        <v>0</v>
      </c>
      <c r="JS104" s="26">
        <v>0</v>
      </c>
      <c r="JT104" s="33"/>
    </row>
    <row r="105" spans="1:280" x14ac:dyDescent="0.25">
      <c r="A105" s="26" t="s">
        <v>256</v>
      </c>
      <c r="B105" s="27">
        <v>1</v>
      </c>
      <c r="I105" s="29"/>
      <c r="J105" s="35"/>
      <c r="K105" s="40"/>
      <c r="L105" s="35"/>
      <c r="M105" s="35">
        <f t="shared" si="9"/>
        <v>0</v>
      </c>
      <c r="N105" s="30"/>
      <c r="O105" s="29"/>
      <c r="P105" s="35"/>
      <c r="Q105" s="35"/>
      <c r="R105" s="35"/>
      <c r="S105" s="35">
        <f t="shared" si="10"/>
        <v>0</v>
      </c>
      <c r="T105" s="30"/>
      <c r="U105" s="29"/>
      <c r="V105" s="40"/>
      <c r="W105" s="35"/>
      <c r="X105" s="35"/>
      <c r="Y105" s="35"/>
      <c r="Z105" s="35"/>
      <c r="AA105" s="35">
        <f t="shared" si="11"/>
        <v>0</v>
      </c>
      <c r="AB105" s="30"/>
      <c r="AC105" s="29"/>
      <c r="AD105" s="35"/>
      <c r="AE105" s="35"/>
      <c r="AF105" s="35"/>
      <c r="AG105" s="35">
        <v>0</v>
      </c>
      <c r="AH105" s="30"/>
      <c r="AI105" s="35"/>
      <c r="AM105" s="26">
        <v>0</v>
      </c>
      <c r="AN105" s="30"/>
      <c r="AO105" s="31"/>
      <c r="AS105" s="26">
        <v>0</v>
      </c>
      <c r="AT105" s="30"/>
      <c r="AY105" s="26">
        <v>0</v>
      </c>
      <c r="AZ105" s="30"/>
      <c r="BD105" s="26">
        <v>0</v>
      </c>
      <c r="BE105" s="30"/>
      <c r="BF105" s="29"/>
      <c r="BH105" s="26">
        <v>0</v>
      </c>
      <c r="BI105" s="30"/>
      <c r="BJ105" s="29"/>
      <c r="BL105" s="26">
        <v>0</v>
      </c>
      <c r="BM105" s="30"/>
      <c r="BP105" s="26">
        <v>0</v>
      </c>
      <c r="BQ105" s="30"/>
      <c r="BR105" s="29"/>
      <c r="BT105" s="26">
        <v>0</v>
      </c>
      <c r="BU105" s="30"/>
      <c r="BX105" s="26">
        <v>0</v>
      </c>
      <c r="BY105" s="30"/>
      <c r="BZ105" s="29"/>
      <c r="CB105" s="26">
        <v>0</v>
      </c>
      <c r="CC105" s="30"/>
      <c r="CD105" s="29"/>
      <c r="CF105" s="26">
        <v>0</v>
      </c>
      <c r="CG105" s="30"/>
      <c r="CJ105" s="26">
        <v>0</v>
      </c>
      <c r="CK105" s="30"/>
      <c r="CL105" s="29"/>
      <c r="CP105" s="26">
        <v>0</v>
      </c>
      <c r="CQ105" s="30"/>
      <c r="CR105" s="29"/>
      <c r="CT105" s="26">
        <v>0</v>
      </c>
      <c r="CU105" s="30"/>
      <c r="CZ105" s="26">
        <v>0</v>
      </c>
      <c r="DA105" s="30"/>
      <c r="DD105" s="26">
        <v>0</v>
      </c>
      <c r="DE105" s="30"/>
      <c r="DF105" s="29"/>
      <c r="DH105" s="26">
        <v>0</v>
      </c>
      <c r="DI105" s="30"/>
      <c r="DJ105" s="29"/>
      <c r="DL105" s="26">
        <v>0</v>
      </c>
      <c r="DM105" s="30"/>
      <c r="DP105" s="26">
        <v>0</v>
      </c>
      <c r="DQ105" s="30"/>
      <c r="DR105" s="29"/>
      <c r="DU105" s="26">
        <v>0</v>
      </c>
      <c r="DV105" s="30"/>
      <c r="DW105" s="29"/>
      <c r="EA105" s="26">
        <v>0</v>
      </c>
      <c r="EB105" s="30"/>
      <c r="EC105" s="29"/>
      <c r="EF105" s="26">
        <v>0</v>
      </c>
      <c r="EG105" s="30"/>
      <c r="EJ105" s="26">
        <v>0</v>
      </c>
      <c r="EK105" s="30"/>
      <c r="EL105" s="31"/>
      <c r="EN105" s="26">
        <v>0</v>
      </c>
      <c r="EO105" s="30"/>
      <c r="EP105" s="29"/>
      <c r="ER105" s="26">
        <v>0</v>
      </c>
      <c r="ES105" s="30"/>
      <c r="ET105" s="29"/>
      <c r="EV105" s="26">
        <v>0</v>
      </c>
      <c r="EW105" s="30"/>
      <c r="EZ105" s="26">
        <v>0</v>
      </c>
      <c r="FA105" s="30"/>
      <c r="FD105" s="26">
        <v>0</v>
      </c>
      <c r="FE105" s="30"/>
      <c r="FF105" s="29"/>
      <c r="FI105" s="26">
        <v>0</v>
      </c>
      <c r="FJ105" s="30"/>
      <c r="FK105" s="29"/>
      <c r="FN105" s="26">
        <v>0</v>
      </c>
      <c r="FO105" s="30"/>
      <c r="FR105" s="26">
        <v>0</v>
      </c>
      <c r="FS105" s="30"/>
      <c r="FT105" s="29"/>
      <c r="FY105" s="26">
        <v>0</v>
      </c>
      <c r="FZ105" s="30"/>
      <c r="GC105" s="26">
        <v>0</v>
      </c>
      <c r="GD105" s="30"/>
      <c r="GE105" s="29"/>
      <c r="GI105" s="26">
        <v>0</v>
      </c>
      <c r="GJ105" s="30"/>
      <c r="GO105" s="26">
        <v>0</v>
      </c>
      <c r="GP105" s="30"/>
      <c r="GS105" s="26">
        <v>0</v>
      </c>
      <c r="GT105" s="30"/>
      <c r="GU105" s="29"/>
      <c r="GW105" s="26">
        <v>0</v>
      </c>
      <c r="GX105" s="30"/>
      <c r="GY105" s="29"/>
      <c r="HA105" s="26">
        <v>0</v>
      </c>
      <c r="HB105" s="30"/>
      <c r="HE105" s="26">
        <v>0</v>
      </c>
      <c r="HF105" s="30"/>
      <c r="HG105" s="29"/>
      <c r="HI105" s="26">
        <v>0</v>
      </c>
      <c r="HJ105" s="30"/>
      <c r="HK105" s="29"/>
      <c r="HM105" s="26">
        <v>0</v>
      </c>
      <c r="HN105" s="30"/>
      <c r="HQ105" s="26">
        <v>0</v>
      </c>
      <c r="HR105" s="33"/>
      <c r="HU105" s="26">
        <v>0</v>
      </c>
      <c r="HV105" s="30"/>
      <c r="HY105" s="26">
        <v>0</v>
      </c>
      <c r="HZ105" s="33"/>
      <c r="IC105" s="26">
        <v>0</v>
      </c>
      <c r="ID105" s="30"/>
      <c r="IG105" s="26">
        <v>0</v>
      </c>
      <c r="IH105" s="33"/>
      <c r="IK105" s="26">
        <v>0</v>
      </c>
      <c r="IL105" s="30"/>
      <c r="IM105" s="31"/>
      <c r="IO105" s="26">
        <v>0</v>
      </c>
      <c r="IP105" s="33"/>
      <c r="IS105" s="26">
        <v>0</v>
      </c>
      <c r="IT105" s="33"/>
      <c r="IW105" s="26">
        <v>0</v>
      </c>
      <c r="IX105" s="33"/>
      <c r="JA105" s="26">
        <v>0</v>
      </c>
      <c r="JB105" s="30"/>
      <c r="JC105" s="27"/>
      <c r="JE105" s="27"/>
      <c r="JG105" s="26">
        <v>0</v>
      </c>
      <c r="JH105" s="33"/>
      <c r="JI105" s="28">
        <v>0</v>
      </c>
      <c r="JJ105" s="28">
        <v>0</v>
      </c>
      <c r="JK105" s="26">
        <v>0</v>
      </c>
      <c r="JL105" s="33"/>
      <c r="JM105" s="28">
        <v>0</v>
      </c>
      <c r="JN105" s="28">
        <v>0</v>
      </c>
      <c r="JO105" s="26">
        <v>0</v>
      </c>
      <c r="JP105" s="33"/>
      <c r="JQ105" s="31">
        <v>0</v>
      </c>
      <c r="JR105" s="28">
        <v>0</v>
      </c>
      <c r="JS105" s="26">
        <v>0</v>
      </c>
      <c r="JT105" s="33"/>
    </row>
    <row r="106" spans="1:280" x14ac:dyDescent="0.25">
      <c r="A106" s="26" t="s">
        <v>257</v>
      </c>
      <c r="B106" s="27">
        <v>0.36</v>
      </c>
      <c r="I106" s="32">
        <v>54</v>
      </c>
      <c r="J106" s="36">
        <v>55</v>
      </c>
      <c r="K106" s="36">
        <v>54</v>
      </c>
      <c r="L106" s="36">
        <v>55</v>
      </c>
      <c r="M106" s="35">
        <f t="shared" si="9"/>
        <v>-2</v>
      </c>
      <c r="N106" s="30"/>
      <c r="O106" s="29"/>
      <c r="P106" s="35"/>
      <c r="Q106" s="36">
        <v>12</v>
      </c>
      <c r="R106" s="36">
        <v>15</v>
      </c>
      <c r="S106" s="35">
        <f t="shared" si="10"/>
        <v>-3</v>
      </c>
      <c r="T106" s="30"/>
      <c r="U106" s="29"/>
      <c r="V106" s="36">
        <v>6</v>
      </c>
      <c r="W106" s="36">
        <v>6</v>
      </c>
      <c r="X106" s="35"/>
      <c r="Y106" s="35"/>
      <c r="Z106" s="35"/>
      <c r="AA106" s="35">
        <f t="shared" si="11"/>
        <v>0</v>
      </c>
      <c r="AB106" s="30"/>
      <c r="AC106" s="29"/>
      <c r="AD106" s="35"/>
      <c r="AE106" s="36">
        <v>72</v>
      </c>
      <c r="AF106" s="40">
        <v>77</v>
      </c>
      <c r="AG106" s="35">
        <v>-5</v>
      </c>
      <c r="AH106" s="30"/>
      <c r="AI106" s="35"/>
      <c r="AM106" s="26">
        <v>0</v>
      </c>
      <c r="AN106" s="30"/>
      <c r="AO106" s="31"/>
      <c r="AS106" s="26">
        <v>0</v>
      </c>
      <c r="AT106" s="30"/>
      <c r="AU106">
        <v>24</v>
      </c>
      <c r="AV106">
        <v>24</v>
      </c>
      <c r="AW106">
        <v>24</v>
      </c>
      <c r="AX106">
        <v>24</v>
      </c>
      <c r="AY106" s="26">
        <v>0</v>
      </c>
      <c r="AZ106" s="30"/>
      <c r="BB106">
        <v>60</v>
      </c>
      <c r="BC106">
        <v>62</v>
      </c>
      <c r="BD106" s="26">
        <v>-2</v>
      </c>
      <c r="BE106" s="30"/>
      <c r="BF106" s="29"/>
      <c r="BH106" s="26">
        <v>0</v>
      </c>
      <c r="BI106" s="30"/>
      <c r="BJ106" s="32">
        <v>72</v>
      </c>
      <c r="BK106">
        <v>72</v>
      </c>
      <c r="BL106" s="26">
        <v>0</v>
      </c>
      <c r="BM106" s="30"/>
      <c r="BN106">
        <v>6</v>
      </c>
      <c r="BO106">
        <v>9</v>
      </c>
      <c r="BP106" s="26">
        <v>-3</v>
      </c>
      <c r="BQ106" s="30"/>
      <c r="BR106" s="32">
        <v>36</v>
      </c>
      <c r="BS106">
        <v>39</v>
      </c>
      <c r="BT106" s="26">
        <v>-3</v>
      </c>
      <c r="BU106" s="30"/>
      <c r="BV106">
        <v>6</v>
      </c>
      <c r="BW106">
        <v>6</v>
      </c>
      <c r="BX106" s="26">
        <v>0</v>
      </c>
      <c r="BY106" s="30"/>
      <c r="BZ106" s="32">
        <v>36</v>
      </c>
      <c r="CA106">
        <v>38</v>
      </c>
      <c r="CB106" s="26">
        <v>-2</v>
      </c>
      <c r="CC106" s="30"/>
      <c r="CD106" s="29"/>
      <c r="CF106" s="26">
        <v>0</v>
      </c>
      <c r="CG106" s="30"/>
      <c r="CH106">
        <v>6</v>
      </c>
      <c r="CI106">
        <v>8</v>
      </c>
      <c r="CJ106" s="26">
        <v>-2</v>
      </c>
      <c r="CK106" s="30"/>
      <c r="CL106" s="29"/>
      <c r="CN106">
        <v>30</v>
      </c>
      <c r="CO106">
        <v>31</v>
      </c>
      <c r="CP106" s="26">
        <v>-1</v>
      </c>
      <c r="CQ106" s="30"/>
      <c r="CR106" s="32">
        <v>18</v>
      </c>
      <c r="CS106">
        <v>17</v>
      </c>
      <c r="CT106" s="26">
        <v>1</v>
      </c>
      <c r="CU106" s="30"/>
      <c r="CZ106" s="26">
        <v>0</v>
      </c>
      <c r="DA106" s="30"/>
      <c r="DB106">
        <v>30</v>
      </c>
      <c r="DC106">
        <v>32</v>
      </c>
      <c r="DD106" s="26">
        <v>-2</v>
      </c>
      <c r="DE106" s="30"/>
      <c r="DF106" s="32">
        <v>24</v>
      </c>
      <c r="DG106">
        <v>24</v>
      </c>
      <c r="DH106" s="26">
        <v>0</v>
      </c>
      <c r="DI106" s="30"/>
      <c r="DJ106" s="29"/>
      <c r="DL106" s="26">
        <v>0</v>
      </c>
      <c r="DM106" s="30"/>
      <c r="DP106" s="26">
        <v>0</v>
      </c>
      <c r="DQ106" s="30"/>
      <c r="DR106" s="32">
        <v>48</v>
      </c>
      <c r="DT106">
        <v>50</v>
      </c>
      <c r="DU106" s="26">
        <v>-2</v>
      </c>
      <c r="DV106" s="30"/>
      <c r="DW106" s="29"/>
      <c r="DY106">
        <v>12</v>
      </c>
      <c r="DZ106">
        <v>12</v>
      </c>
      <c r="EA106" s="26">
        <v>0</v>
      </c>
      <c r="EB106" s="30"/>
      <c r="EC106" s="32">
        <v>12</v>
      </c>
      <c r="EE106">
        <v>14</v>
      </c>
      <c r="EF106" s="26">
        <v>-2</v>
      </c>
      <c r="EG106" s="30"/>
      <c r="EH106">
        <v>42</v>
      </c>
      <c r="EI106" s="26">
        <v>41.8</v>
      </c>
      <c r="EJ106" s="26">
        <v>0.20000000000000279</v>
      </c>
      <c r="EK106" s="30"/>
      <c r="EL106" s="31"/>
      <c r="EN106" s="26">
        <v>0</v>
      </c>
      <c r="EO106" s="30"/>
      <c r="EP106" s="32">
        <v>36</v>
      </c>
      <c r="EQ106" s="26">
        <v>38.200000000000003</v>
      </c>
      <c r="ER106" s="26">
        <v>-2.2000000000000028</v>
      </c>
      <c r="ES106" s="30"/>
      <c r="ET106" s="29"/>
      <c r="EV106" s="26">
        <v>0</v>
      </c>
      <c r="EW106" s="30"/>
      <c r="EX106">
        <v>24</v>
      </c>
      <c r="EY106" s="28">
        <v>24.4</v>
      </c>
      <c r="EZ106" s="26">
        <v>-0.39999999999999858</v>
      </c>
      <c r="FA106" s="30"/>
      <c r="FB106">
        <v>18</v>
      </c>
      <c r="FC106">
        <v>20</v>
      </c>
      <c r="FD106" s="26">
        <v>-2</v>
      </c>
      <c r="FE106" s="30"/>
      <c r="FF106" s="32">
        <v>6</v>
      </c>
      <c r="FH106">
        <v>6</v>
      </c>
      <c r="FI106" s="26">
        <v>0</v>
      </c>
      <c r="FJ106" s="30"/>
      <c r="FK106" s="32">
        <v>24</v>
      </c>
      <c r="FM106">
        <v>26</v>
      </c>
      <c r="FN106" s="26">
        <v>-2</v>
      </c>
      <c r="FO106" s="30"/>
      <c r="FP106">
        <v>6</v>
      </c>
      <c r="FQ106" s="28">
        <v>7</v>
      </c>
      <c r="FR106" s="26">
        <v>-1</v>
      </c>
      <c r="FS106" s="30"/>
      <c r="FT106" s="29"/>
      <c r="FW106">
        <v>36</v>
      </c>
      <c r="FX106">
        <v>39</v>
      </c>
      <c r="FY106" s="26">
        <v>-3</v>
      </c>
      <c r="FZ106" s="30"/>
      <c r="GA106">
        <v>12</v>
      </c>
      <c r="GB106" s="28">
        <v>10.4</v>
      </c>
      <c r="GC106" s="26">
        <v>1.6</v>
      </c>
      <c r="GD106" s="30"/>
      <c r="GE106" s="29"/>
      <c r="GG106">
        <v>12</v>
      </c>
      <c r="GH106">
        <v>13</v>
      </c>
      <c r="GI106" s="26">
        <v>-1</v>
      </c>
      <c r="GJ106" s="30"/>
      <c r="GM106">
        <v>18</v>
      </c>
      <c r="GN106">
        <v>20</v>
      </c>
      <c r="GO106" s="26">
        <v>-2</v>
      </c>
      <c r="GP106" s="30"/>
      <c r="GS106" s="26">
        <v>0</v>
      </c>
      <c r="GT106" s="30"/>
      <c r="GU106" s="32">
        <v>42</v>
      </c>
      <c r="GV106">
        <v>42</v>
      </c>
      <c r="GW106" s="26">
        <v>0</v>
      </c>
      <c r="GX106" s="30"/>
      <c r="GY106" s="32">
        <v>42</v>
      </c>
      <c r="GZ106">
        <v>42</v>
      </c>
      <c r="HA106" s="26">
        <v>0</v>
      </c>
      <c r="HB106" s="30"/>
      <c r="HC106">
        <v>12</v>
      </c>
      <c r="HD106">
        <v>12</v>
      </c>
      <c r="HE106" s="26">
        <v>0</v>
      </c>
      <c r="HF106" s="30"/>
      <c r="HG106" s="32">
        <v>30</v>
      </c>
      <c r="HH106">
        <v>30</v>
      </c>
      <c r="HI106" s="26">
        <v>0</v>
      </c>
      <c r="HJ106" s="30"/>
      <c r="HK106" s="32">
        <v>30</v>
      </c>
      <c r="HL106">
        <v>33</v>
      </c>
      <c r="HM106" s="26">
        <v>-3</v>
      </c>
      <c r="HN106" s="30"/>
      <c r="HO106">
        <v>24</v>
      </c>
      <c r="HP106">
        <v>27</v>
      </c>
      <c r="HQ106" s="26">
        <v>-3</v>
      </c>
      <c r="HR106" s="33"/>
      <c r="HS106">
        <v>12</v>
      </c>
      <c r="HT106">
        <v>14</v>
      </c>
      <c r="HU106" s="26">
        <v>-2</v>
      </c>
      <c r="HV106" s="30"/>
      <c r="HW106">
        <v>30</v>
      </c>
      <c r="HX106">
        <v>32</v>
      </c>
      <c r="HY106" s="26">
        <v>-2</v>
      </c>
      <c r="HZ106" s="33"/>
      <c r="IA106">
        <v>6</v>
      </c>
      <c r="IB106">
        <v>6</v>
      </c>
      <c r="IC106" s="26">
        <v>0</v>
      </c>
      <c r="ID106" s="30"/>
      <c r="IE106">
        <v>6</v>
      </c>
      <c r="IF106">
        <v>6</v>
      </c>
      <c r="IG106" s="26">
        <v>0</v>
      </c>
      <c r="IH106" s="33"/>
      <c r="II106">
        <v>24</v>
      </c>
      <c r="IJ106" s="28">
        <v>24.4</v>
      </c>
      <c r="IK106" s="26">
        <v>-0.39999999999999858</v>
      </c>
      <c r="IL106" s="30"/>
      <c r="IM106" s="31"/>
      <c r="IO106" s="26">
        <v>0</v>
      </c>
      <c r="IP106" s="33"/>
      <c r="IQ106">
        <v>6</v>
      </c>
      <c r="IR106">
        <v>4</v>
      </c>
      <c r="IS106" s="26">
        <v>2</v>
      </c>
      <c r="IT106" s="33"/>
      <c r="IW106" s="26">
        <v>0</v>
      </c>
      <c r="IX106" s="33"/>
      <c r="JA106" s="26">
        <v>0</v>
      </c>
      <c r="JB106" s="30"/>
      <c r="JC106">
        <v>48</v>
      </c>
      <c r="JD106">
        <v>50</v>
      </c>
      <c r="JE106">
        <v>42</v>
      </c>
      <c r="JF106">
        <v>44</v>
      </c>
      <c r="JG106" s="26">
        <v>-4</v>
      </c>
      <c r="JH106" s="33"/>
      <c r="JI106" s="28">
        <v>36</v>
      </c>
      <c r="JJ106" s="28">
        <v>36</v>
      </c>
      <c r="JK106" s="26">
        <v>0</v>
      </c>
      <c r="JL106" s="33"/>
      <c r="JM106" s="28">
        <v>0</v>
      </c>
      <c r="JN106" s="28">
        <v>0</v>
      </c>
      <c r="JO106" s="26">
        <v>0</v>
      </c>
      <c r="JP106" s="33"/>
      <c r="JQ106" s="31">
        <v>0</v>
      </c>
      <c r="JR106" s="28">
        <v>0</v>
      </c>
      <c r="JS106" s="26">
        <v>0</v>
      </c>
      <c r="JT106" s="33"/>
    </row>
    <row r="107" spans="1:280" x14ac:dyDescent="0.25">
      <c r="A107" s="26" t="s">
        <v>258</v>
      </c>
      <c r="B107" s="27">
        <v>1</v>
      </c>
      <c r="I107" s="29"/>
      <c r="J107" s="35"/>
      <c r="K107" s="40"/>
      <c r="L107" s="35"/>
      <c r="M107" s="35">
        <f t="shared" si="9"/>
        <v>0</v>
      </c>
      <c r="N107" s="30"/>
      <c r="O107" s="29"/>
      <c r="P107" s="35"/>
      <c r="Q107" s="35"/>
      <c r="R107" s="35"/>
      <c r="S107" s="35">
        <f t="shared" si="10"/>
        <v>0</v>
      </c>
      <c r="T107" s="30"/>
      <c r="U107" s="29"/>
      <c r="V107" s="40"/>
      <c r="W107" s="35"/>
      <c r="X107" s="35"/>
      <c r="Y107" s="35"/>
      <c r="Z107" s="35"/>
      <c r="AA107" s="35">
        <f t="shared" si="11"/>
        <v>0</v>
      </c>
      <c r="AB107" s="30"/>
      <c r="AC107" s="29"/>
      <c r="AD107" s="35"/>
      <c r="AE107" s="35"/>
      <c r="AF107" s="35"/>
      <c r="AG107" s="35">
        <v>0</v>
      </c>
      <c r="AH107" s="30"/>
      <c r="AI107" s="35"/>
      <c r="AM107" s="26">
        <v>0</v>
      </c>
      <c r="AN107" s="30"/>
      <c r="AO107" s="31"/>
      <c r="AS107" s="26">
        <v>0</v>
      </c>
      <c r="AT107" s="30"/>
      <c r="AY107" s="26">
        <v>0</v>
      </c>
      <c r="AZ107" s="30"/>
      <c r="BD107" s="26">
        <v>0</v>
      </c>
      <c r="BE107" s="30"/>
      <c r="BF107" s="29"/>
      <c r="BH107" s="26">
        <v>0</v>
      </c>
      <c r="BI107" s="30"/>
      <c r="BJ107" s="29"/>
      <c r="BL107" s="26">
        <v>0</v>
      </c>
      <c r="BM107" s="30"/>
      <c r="BP107" s="26">
        <v>0</v>
      </c>
      <c r="BQ107" s="30"/>
      <c r="BR107" s="29"/>
      <c r="BT107" s="26">
        <v>0</v>
      </c>
      <c r="BU107" s="30"/>
      <c r="BX107" s="26">
        <v>0</v>
      </c>
      <c r="BY107" s="30"/>
      <c r="BZ107" s="29"/>
      <c r="CB107" s="26">
        <v>0</v>
      </c>
      <c r="CC107" s="30"/>
      <c r="CD107" s="29"/>
      <c r="CF107" s="26">
        <v>0</v>
      </c>
      <c r="CG107" s="30"/>
      <c r="CJ107" s="26">
        <v>0</v>
      </c>
      <c r="CK107" s="30"/>
      <c r="CL107" s="29"/>
      <c r="CP107" s="26">
        <v>0</v>
      </c>
      <c r="CQ107" s="30"/>
      <c r="CR107" s="29"/>
      <c r="CT107" s="26">
        <v>0</v>
      </c>
      <c r="CU107" s="30"/>
      <c r="CZ107" s="26">
        <v>0</v>
      </c>
      <c r="DA107" s="30"/>
      <c r="DD107" s="26">
        <v>0</v>
      </c>
      <c r="DE107" s="30"/>
      <c r="DF107" s="29"/>
      <c r="DH107" s="26">
        <v>0</v>
      </c>
      <c r="DI107" s="30"/>
      <c r="DJ107" s="29"/>
      <c r="DL107" s="26">
        <v>0</v>
      </c>
      <c r="DM107" s="30"/>
      <c r="DP107" s="26">
        <v>0</v>
      </c>
      <c r="DQ107" s="30"/>
      <c r="DR107" s="29"/>
      <c r="DU107" s="26">
        <v>0</v>
      </c>
      <c r="DV107" s="30"/>
      <c r="DW107" s="29"/>
      <c r="EA107" s="26">
        <v>0</v>
      </c>
      <c r="EB107" s="30"/>
      <c r="EC107" s="29"/>
      <c r="EF107" s="26">
        <v>0</v>
      </c>
      <c r="EG107" s="30"/>
      <c r="EJ107" s="26">
        <v>0</v>
      </c>
      <c r="EK107" s="30"/>
      <c r="EL107" s="31"/>
      <c r="EN107" s="26">
        <v>0</v>
      </c>
      <c r="EO107" s="30"/>
      <c r="EP107" s="29"/>
      <c r="ER107" s="26">
        <v>0</v>
      </c>
      <c r="ES107" s="30"/>
      <c r="ET107" s="29"/>
      <c r="EV107" s="26">
        <v>0</v>
      </c>
      <c r="EW107" s="30"/>
      <c r="EZ107" s="26">
        <v>0</v>
      </c>
      <c r="FA107" s="30"/>
      <c r="FD107" s="26">
        <v>0</v>
      </c>
      <c r="FE107" s="30"/>
      <c r="FF107" s="29"/>
      <c r="FI107" s="26">
        <v>0</v>
      </c>
      <c r="FJ107" s="30"/>
      <c r="FK107" s="29"/>
      <c r="FN107" s="26">
        <v>0</v>
      </c>
      <c r="FO107" s="30"/>
      <c r="FR107" s="26">
        <v>0</v>
      </c>
      <c r="FS107" s="30"/>
      <c r="FT107" s="29"/>
      <c r="FY107" s="26">
        <v>0</v>
      </c>
      <c r="FZ107" s="30"/>
      <c r="GC107" s="26">
        <v>0</v>
      </c>
      <c r="GD107" s="30"/>
      <c r="GE107" s="29"/>
      <c r="GI107" s="26">
        <v>0</v>
      </c>
      <c r="GJ107" s="30"/>
      <c r="GO107" s="26">
        <v>0</v>
      </c>
      <c r="GP107" s="30"/>
      <c r="GS107" s="26">
        <v>0</v>
      </c>
      <c r="GT107" s="30"/>
      <c r="GU107" s="29"/>
      <c r="GW107" s="26">
        <v>0</v>
      </c>
      <c r="GX107" s="30"/>
      <c r="GY107" s="29"/>
      <c r="HA107" s="26">
        <v>0</v>
      </c>
      <c r="HB107" s="30"/>
      <c r="HE107" s="26">
        <v>0</v>
      </c>
      <c r="HF107" s="30"/>
      <c r="HG107" s="29"/>
      <c r="HI107" s="26">
        <v>0</v>
      </c>
      <c r="HJ107" s="30"/>
      <c r="HK107" s="29"/>
      <c r="HM107" s="26">
        <v>0</v>
      </c>
      <c r="HN107" s="30"/>
      <c r="HQ107" s="26">
        <v>0</v>
      </c>
      <c r="HR107" s="33"/>
      <c r="HU107" s="26">
        <v>0</v>
      </c>
      <c r="HV107" s="30"/>
      <c r="HY107" s="26">
        <v>0</v>
      </c>
      <c r="HZ107" s="33"/>
      <c r="IC107" s="26">
        <v>0</v>
      </c>
      <c r="ID107" s="30"/>
      <c r="IG107" s="26">
        <v>0</v>
      </c>
      <c r="IH107" s="33"/>
      <c r="IK107" s="26">
        <v>0</v>
      </c>
      <c r="IL107" s="30"/>
      <c r="IM107" s="31"/>
      <c r="IO107" s="26">
        <v>0</v>
      </c>
      <c r="IP107" s="33"/>
      <c r="IS107" s="26">
        <v>0</v>
      </c>
      <c r="IT107" s="33"/>
      <c r="IW107" s="26">
        <v>0</v>
      </c>
      <c r="IX107" s="33"/>
      <c r="JA107" s="26">
        <v>0</v>
      </c>
      <c r="JB107" s="30"/>
      <c r="JC107" s="27"/>
      <c r="JE107" s="27"/>
      <c r="JG107" s="26">
        <v>0</v>
      </c>
      <c r="JH107" s="33"/>
      <c r="JI107" s="28">
        <v>0</v>
      </c>
      <c r="JJ107" s="28">
        <v>0</v>
      </c>
      <c r="JK107" s="26">
        <v>0</v>
      </c>
      <c r="JL107" s="33"/>
      <c r="JM107" s="28">
        <v>0</v>
      </c>
      <c r="JN107" s="28">
        <v>0</v>
      </c>
      <c r="JO107" s="26">
        <v>0</v>
      </c>
      <c r="JP107" s="33"/>
      <c r="JQ107" s="31">
        <v>0</v>
      </c>
      <c r="JR107" s="28">
        <v>0</v>
      </c>
      <c r="JS107" s="26">
        <v>0</v>
      </c>
      <c r="JT107" s="33"/>
    </row>
    <row r="108" spans="1:280" x14ac:dyDescent="0.25">
      <c r="A108" s="26" t="s">
        <v>259</v>
      </c>
      <c r="B108" s="27">
        <v>0.41</v>
      </c>
      <c r="I108" s="29"/>
      <c r="J108" s="35"/>
      <c r="K108" s="40"/>
      <c r="L108" s="35"/>
      <c r="M108" s="35">
        <f t="shared" si="9"/>
        <v>0</v>
      </c>
      <c r="N108" s="30"/>
      <c r="O108" s="29"/>
      <c r="P108" s="35"/>
      <c r="Q108" s="35"/>
      <c r="R108" s="35"/>
      <c r="S108" s="35">
        <f t="shared" si="10"/>
        <v>0</v>
      </c>
      <c r="T108" s="30"/>
      <c r="U108" s="29"/>
      <c r="V108" s="40"/>
      <c r="W108" s="35"/>
      <c r="X108" s="35"/>
      <c r="Y108" s="35"/>
      <c r="Z108" s="35"/>
      <c r="AA108" s="35">
        <f t="shared" si="11"/>
        <v>0</v>
      </c>
      <c r="AB108" s="30"/>
      <c r="AC108" s="29"/>
      <c r="AD108" s="35"/>
      <c r="AE108" s="35"/>
      <c r="AF108" s="35"/>
      <c r="AG108" s="35">
        <v>0</v>
      </c>
      <c r="AH108" s="30"/>
      <c r="AI108" s="35"/>
      <c r="AM108" s="26">
        <v>0</v>
      </c>
      <c r="AN108" s="30"/>
      <c r="AO108" s="31"/>
      <c r="AS108" s="26">
        <v>0</v>
      </c>
      <c r="AT108" s="30"/>
      <c r="AY108" s="26">
        <v>0</v>
      </c>
      <c r="AZ108" s="30"/>
      <c r="BC108">
        <v>12</v>
      </c>
      <c r="BD108" s="25">
        <v>-12</v>
      </c>
      <c r="BE108" s="30">
        <v>4.92</v>
      </c>
      <c r="BF108" s="29"/>
      <c r="BG108">
        <v>72</v>
      </c>
      <c r="BH108" s="25">
        <v>-72</v>
      </c>
      <c r="BI108" s="30">
        <v>29.52</v>
      </c>
      <c r="BJ108" s="29"/>
      <c r="BK108">
        <v>53</v>
      </c>
      <c r="BL108" s="25">
        <v>-53</v>
      </c>
      <c r="BM108" s="30">
        <v>21.73</v>
      </c>
      <c r="BO108">
        <v>71</v>
      </c>
      <c r="BP108" s="25">
        <v>-71</v>
      </c>
      <c r="BQ108" s="30">
        <v>29.11</v>
      </c>
      <c r="BR108" s="29"/>
      <c r="BT108" s="26">
        <v>0</v>
      </c>
      <c r="BU108" s="30"/>
      <c r="BV108">
        <v>96</v>
      </c>
      <c r="BW108">
        <v>96</v>
      </c>
      <c r="BX108" s="26">
        <v>0</v>
      </c>
      <c r="BY108" s="30"/>
      <c r="BZ108" s="29"/>
      <c r="CB108" s="26">
        <v>0</v>
      </c>
      <c r="CC108" s="30"/>
      <c r="CD108" s="32">
        <v>54</v>
      </c>
      <c r="CE108">
        <v>54</v>
      </c>
      <c r="CF108" s="26">
        <v>0</v>
      </c>
      <c r="CG108" s="30"/>
      <c r="CH108">
        <v>24</v>
      </c>
      <c r="CI108">
        <v>24</v>
      </c>
      <c r="CJ108" s="26">
        <v>0</v>
      </c>
      <c r="CK108" s="30"/>
      <c r="CL108" s="29"/>
      <c r="CP108" s="26">
        <v>0</v>
      </c>
      <c r="CQ108" s="30"/>
      <c r="CR108" s="32">
        <v>42</v>
      </c>
      <c r="CS108">
        <v>45</v>
      </c>
      <c r="CT108" s="26">
        <v>-3</v>
      </c>
      <c r="CU108" s="30"/>
      <c r="CZ108" s="26">
        <v>0</v>
      </c>
      <c r="DA108" s="30"/>
      <c r="DB108">
        <v>42</v>
      </c>
      <c r="DC108">
        <v>40</v>
      </c>
      <c r="DD108" s="26">
        <v>2</v>
      </c>
      <c r="DE108" s="30"/>
      <c r="DF108" s="32">
        <v>12</v>
      </c>
      <c r="DG108">
        <v>12</v>
      </c>
      <c r="DH108" s="26">
        <v>0</v>
      </c>
      <c r="DI108" s="30"/>
      <c r="DJ108" s="32">
        <v>12</v>
      </c>
      <c r="DK108">
        <v>13</v>
      </c>
      <c r="DL108" s="26">
        <v>-1</v>
      </c>
      <c r="DM108" s="30"/>
      <c r="DP108" s="26">
        <v>0</v>
      </c>
      <c r="DQ108" s="30"/>
      <c r="DR108" s="32">
        <v>6</v>
      </c>
      <c r="DT108">
        <v>9</v>
      </c>
      <c r="DU108" s="26">
        <v>-3</v>
      </c>
      <c r="DV108" s="30"/>
      <c r="DW108" s="29"/>
      <c r="DY108">
        <v>48</v>
      </c>
      <c r="DZ108">
        <v>47</v>
      </c>
      <c r="EA108" s="26">
        <v>1</v>
      </c>
      <c r="EB108" s="30"/>
      <c r="EC108" s="29"/>
      <c r="EF108" s="26">
        <v>0</v>
      </c>
      <c r="EG108" s="30"/>
      <c r="EH108">
        <v>48</v>
      </c>
      <c r="EI108" s="26">
        <v>46.6</v>
      </c>
      <c r="EJ108" s="26">
        <v>1.399999999999999</v>
      </c>
      <c r="EK108" s="30"/>
      <c r="EL108" s="31"/>
      <c r="EN108" s="26">
        <v>0</v>
      </c>
      <c r="EO108" s="30"/>
      <c r="EP108" s="32">
        <v>30</v>
      </c>
      <c r="EQ108" s="26">
        <v>32.200000000000003</v>
      </c>
      <c r="ER108" s="26">
        <v>-2.2000000000000028</v>
      </c>
      <c r="ES108" s="30"/>
      <c r="ET108" s="29"/>
      <c r="EV108" s="26">
        <v>0</v>
      </c>
      <c r="EW108" s="30"/>
      <c r="EZ108" s="26">
        <v>0</v>
      </c>
      <c r="FA108" s="30"/>
      <c r="FB108">
        <v>36</v>
      </c>
      <c r="FC108">
        <v>36</v>
      </c>
      <c r="FD108" s="26">
        <v>0</v>
      </c>
      <c r="FE108" s="30"/>
      <c r="FF108" s="29"/>
      <c r="FI108" s="26">
        <v>0</v>
      </c>
      <c r="FJ108" s="30"/>
      <c r="FK108" s="32">
        <v>18</v>
      </c>
      <c r="FM108">
        <v>18</v>
      </c>
      <c r="FN108" s="26">
        <v>0</v>
      </c>
      <c r="FO108" s="30"/>
      <c r="FP108">
        <v>6</v>
      </c>
      <c r="FQ108" s="28">
        <v>6.1999999999999957</v>
      </c>
      <c r="FR108" s="26">
        <v>-0.19999999999999571</v>
      </c>
      <c r="FS108" s="30"/>
      <c r="FT108" s="29"/>
      <c r="FY108" s="26">
        <v>0</v>
      </c>
      <c r="FZ108" s="30"/>
      <c r="GA108">
        <v>48</v>
      </c>
      <c r="GB108" s="28">
        <v>46.8</v>
      </c>
      <c r="GC108" s="26">
        <v>1.2000000000000031</v>
      </c>
      <c r="GD108" s="30"/>
      <c r="GE108" s="29"/>
      <c r="GG108">
        <v>12</v>
      </c>
      <c r="GH108">
        <v>14</v>
      </c>
      <c r="GI108" s="26">
        <v>-2</v>
      </c>
      <c r="GJ108" s="30"/>
      <c r="GO108" s="26">
        <v>0</v>
      </c>
      <c r="GP108" s="30"/>
      <c r="GQ108">
        <v>42</v>
      </c>
      <c r="GR108" s="28">
        <v>42</v>
      </c>
      <c r="GS108" s="26">
        <v>0</v>
      </c>
      <c r="GT108" s="30"/>
      <c r="GU108" s="32">
        <v>6</v>
      </c>
      <c r="GV108">
        <v>6</v>
      </c>
      <c r="GW108" s="26">
        <v>0</v>
      </c>
      <c r="GX108" s="30"/>
      <c r="GY108" s="32">
        <v>18</v>
      </c>
      <c r="GZ108">
        <v>18</v>
      </c>
      <c r="HA108" s="26">
        <v>0</v>
      </c>
      <c r="HB108" s="30"/>
      <c r="HC108">
        <v>30</v>
      </c>
      <c r="HD108">
        <v>30</v>
      </c>
      <c r="HE108" s="26">
        <v>0</v>
      </c>
      <c r="HF108" s="30"/>
      <c r="HG108" s="32">
        <v>6</v>
      </c>
      <c r="HH108">
        <v>6</v>
      </c>
      <c r="HI108" s="26">
        <v>0</v>
      </c>
      <c r="HJ108" s="30"/>
      <c r="HK108" s="32">
        <v>24</v>
      </c>
      <c r="HL108">
        <v>24</v>
      </c>
      <c r="HM108" s="26">
        <v>0</v>
      </c>
      <c r="HN108" s="30"/>
      <c r="HO108">
        <v>18</v>
      </c>
      <c r="HP108">
        <v>20</v>
      </c>
      <c r="HQ108" s="26">
        <v>-2</v>
      </c>
      <c r="HR108" s="33"/>
      <c r="HS108">
        <v>12</v>
      </c>
      <c r="HT108">
        <v>11</v>
      </c>
      <c r="HU108" s="26">
        <v>1</v>
      </c>
      <c r="HV108" s="30"/>
      <c r="HW108">
        <v>18</v>
      </c>
      <c r="HX108">
        <v>18</v>
      </c>
      <c r="HY108" s="26">
        <v>0</v>
      </c>
      <c r="HZ108" s="33"/>
      <c r="IA108">
        <v>12</v>
      </c>
      <c r="IB108">
        <v>12</v>
      </c>
      <c r="IC108" s="26">
        <v>0</v>
      </c>
      <c r="ID108" s="30"/>
      <c r="IG108" s="26">
        <v>0</v>
      </c>
      <c r="IH108" s="33"/>
      <c r="IK108" s="26">
        <v>0</v>
      </c>
      <c r="IL108" s="30"/>
      <c r="IM108" s="31"/>
      <c r="IO108" s="26">
        <v>0</v>
      </c>
      <c r="IP108" s="33"/>
      <c r="IS108" s="26">
        <v>0</v>
      </c>
      <c r="IT108" s="33"/>
      <c r="IW108" s="26">
        <v>0</v>
      </c>
      <c r="IX108" s="33"/>
      <c r="JA108" s="26">
        <v>0</v>
      </c>
      <c r="JB108" s="30"/>
      <c r="JC108" s="27"/>
      <c r="JE108">
        <v>48</v>
      </c>
      <c r="JF108">
        <v>51</v>
      </c>
      <c r="JG108" s="26">
        <v>-3</v>
      </c>
      <c r="JH108" s="33"/>
      <c r="JI108" s="28">
        <v>0</v>
      </c>
      <c r="JJ108" s="28">
        <v>0</v>
      </c>
      <c r="JK108" s="26">
        <v>0</v>
      </c>
      <c r="JL108" s="33"/>
      <c r="JM108" s="28">
        <v>0</v>
      </c>
      <c r="JN108" s="28">
        <v>0</v>
      </c>
      <c r="JO108" s="26">
        <v>0</v>
      </c>
      <c r="JP108" s="33"/>
      <c r="JQ108" s="31">
        <v>0</v>
      </c>
      <c r="JR108" s="28">
        <v>0</v>
      </c>
      <c r="JS108" s="26">
        <v>0</v>
      </c>
      <c r="JT108" s="33"/>
    </row>
    <row r="109" spans="1:280" x14ac:dyDescent="0.25">
      <c r="A109" s="26" t="s">
        <v>260</v>
      </c>
      <c r="B109" s="27">
        <v>1</v>
      </c>
      <c r="I109" s="29"/>
      <c r="J109" s="35"/>
      <c r="K109" s="40"/>
      <c r="L109" s="35"/>
      <c r="M109" s="35">
        <f t="shared" si="9"/>
        <v>0</v>
      </c>
      <c r="N109" s="30"/>
      <c r="O109" s="29"/>
      <c r="P109" s="35"/>
      <c r="Q109" s="35"/>
      <c r="R109" s="35"/>
      <c r="S109" s="35">
        <f t="shared" si="10"/>
        <v>0</v>
      </c>
      <c r="T109" s="30"/>
      <c r="U109" s="29"/>
      <c r="V109" s="40"/>
      <c r="W109" s="35"/>
      <c r="X109" s="35"/>
      <c r="Y109" s="35"/>
      <c r="Z109" s="35"/>
      <c r="AA109" s="35">
        <f t="shared" si="11"/>
        <v>0</v>
      </c>
      <c r="AB109" s="30"/>
      <c r="AC109" s="29"/>
      <c r="AD109" s="35"/>
      <c r="AE109" s="35"/>
      <c r="AF109" s="35"/>
      <c r="AG109" s="35">
        <v>0</v>
      </c>
      <c r="AH109" s="30"/>
      <c r="AI109" s="35"/>
      <c r="AM109" s="26">
        <v>0</v>
      </c>
      <c r="AN109" s="30"/>
      <c r="AO109" s="31"/>
      <c r="AS109" s="26">
        <v>0</v>
      </c>
      <c r="AT109" s="30"/>
      <c r="AY109" s="26">
        <v>0</v>
      </c>
      <c r="AZ109" s="30"/>
      <c r="BD109" s="26">
        <v>0</v>
      </c>
      <c r="BE109" s="30"/>
      <c r="BF109" s="29"/>
      <c r="BH109" s="26">
        <v>0</v>
      </c>
      <c r="BI109" s="30"/>
      <c r="BJ109" s="29"/>
      <c r="BL109" s="26">
        <v>0</v>
      </c>
      <c r="BM109" s="30"/>
      <c r="BP109" s="26">
        <v>0</v>
      </c>
      <c r="BQ109" s="30"/>
      <c r="BR109" s="29"/>
      <c r="BT109" s="26">
        <v>0</v>
      </c>
      <c r="BU109" s="30"/>
      <c r="BX109" s="26">
        <v>0</v>
      </c>
      <c r="BY109" s="30"/>
      <c r="BZ109" s="29"/>
      <c r="CB109" s="26">
        <v>0</v>
      </c>
      <c r="CC109" s="30"/>
      <c r="CD109" s="29"/>
      <c r="CF109" s="26">
        <v>0</v>
      </c>
      <c r="CG109" s="30"/>
      <c r="CJ109" s="26">
        <v>0</v>
      </c>
      <c r="CK109" s="30"/>
      <c r="CL109" s="29"/>
      <c r="CP109" s="26">
        <v>0</v>
      </c>
      <c r="CQ109" s="30"/>
      <c r="CR109" s="29"/>
      <c r="CT109" s="26">
        <v>0</v>
      </c>
      <c r="CU109" s="30"/>
      <c r="CZ109" s="26">
        <v>0</v>
      </c>
      <c r="DA109" s="30"/>
      <c r="DD109" s="26">
        <v>0</v>
      </c>
      <c r="DE109" s="30"/>
      <c r="DF109" s="29"/>
      <c r="DH109" s="26">
        <v>0</v>
      </c>
      <c r="DI109" s="30"/>
      <c r="DJ109" s="29"/>
      <c r="DL109" s="26">
        <v>0</v>
      </c>
      <c r="DM109" s="30"/>
      <c r="DP109" s="26">
        <v>0</v>
      </c>
      <c r="DQ109" s="30"/>
      <c r="DR109" s="29"/>
      <c r="DU109" s="26">
        <v>0</v>
      </c>
      <c r="DV109" s="30"/>
      <c r="DW109" s="29"/>
      <c r="EA109" s="26">
        <v>0</v>
      </c>
      <c r="EB109" s="30"/>
      <c r="EC109" s="29"/>
      <c r="EF109" s="26">
        <v>0</v>
      </c>
      <c r="EG109" s="30"/>
      <c r="EJ109" s="26">
        <v>0</v>
      </c>
      <c r="EK109" s="30"/>
      <c r="EL109" s="31"/>
      <c r="EN109" s="26">
        <v>0</v>
      </c>
      <c r="EO109" s="30"/>
      <c r="EP109" s="29"/>
      <c r="ER109" s="26">
        <v>0</v>
      </c>
      <c r="ES109" s="30"/>
      <c r="ET109" s="29"/>
      <c r="EV109" s="26">
        <v>0</v>
      </c>
      <c r="EW109" s="30"/>
      <c r="EZ109" s="26">
        <v>0</v>
      </c>
      <c r="FA109" s="30"/>
      <c r="FD109" s="26">
        <v>0</v>
      </c>
      <c r="FE109" s="30"/>
      <c r="FF109" s="29"/>
      <c r="FI109" s="26">
        <v>0</v>
      </c>
      <c r="FJ109" s="30"/>
      <c r="FK109" s="29"/>
      <c r="FN109" s="26">
        <v>0</v>
      </c>
      <c r="FO109" s="30"/>
      <c r="FR109" s="26">
        <v>0</v>
      </c>
      <c r="FS109" s="30"/>
      <c r="FT109" s="29"/>
      <c r="FY109" s="26">
        <v>0</v>
      </c>
      <c r="FZ109" s="30"/>
      <c r="GC109" s="26">
        <v>0</v>
      </c>
      <c r="GD109" s="30"/>
      <c r="GE109" s="29"/>
      <c r="GI109" s="26">
        <v>0</v>
      </c>
      <c r="GJ109" s="30"/>
      <c r="GO109" s="26">
        <v>0</v>
      </c>
      <c r="GP109" s="30"/>
      <c r="GS109" s="26">
        <v>0</v>
      </c>
      <c r="GT109" s="30"/>
      <c r="GU109" s="29"/>
      <c r="GW109" s="26">
        <v>0</v>
      </c>
      <c r="GX109" s="30"/>
      <c r="GY109" s="29"/>
      <c r="HA109" s="26">
        <v>0</v>
      </c>
      <c r="HB109" s="30"/>
      <c r="HE109" s="26">
        <v>0</v>
      </c>
      <c r="HF109" s="30"/>
      <c r="HG109" s="29"/>
      <c r="HI109" s="26">
        <v>0</v>
      </c>
      <c r="HJ109" s="30"/>
      <c r="HK109" s="29"/>
      <c r="HM109" s="26">
        <v>0</v>
      </c>
      <c r="HN109" s="30"/>
      <c r="HQ109" s="26">
        <v>0</v>
      </c>
      <c r="HR109" s="33"/>
      <c r="HU109" s="26">
        <v>0</v>
      </c>
      <c r="HV109" s="30"/>
      <c r="HY109" s="26">
        <v>0</v>
      </c>
      <c r="HZ109" s="33"/>
      <c r="IC109" s="26">
        <v>0</v>
      </c>
      <c r="ID109" s="30"/>
      <c r="IG109" s="26">
        <v>0</v>
      </c>
      <c r="IH109" s="33"/>
      <c r="IK109" s="26">
        <v>0</v>
      </c>
      <c r="IL109" s="30"/>
      <c r="IM109" s="31"/>
      <c r="IO109" s="26">
        <v>0</v>
      </c>
      <c r="IP109" s="33"/>
      <c r="IS109" s="26">
        <v>0</v>
      </c>
      <c r="IT109" s="33"/>
      <c r="IW109" s="26">
        <v>0</v>
      </c>
      <c r="IX109" s="33"/>
      <c r="JA109" s="26">
        <v>0</v>
      </c>
      <c r="JB109" s="30"/>
      <c r="JC109" s="27"/>
      <c r="JE109" s="27"/>
      <c r="JG109" s="26">
        <v>0</v>
      </c>
      <c r="JH109" s="33"/>
      <c r="JI109" s="28">
        <v>0</v>
      </c>
      <c r="JJ109" s="28">
        <v>0</v>
      </c>
      <c r="JK109" s="26">
        <v>0</v>
      </c>
      <c r="JL109" s="33"/>
      <c r="JM109" s="28">
        <v>0</v>
      </c>
      <c r="JN109" s="28">
        <v>0</v>
      </c>
      <c r="JO109" s="26">
        <v>0</v>
      </c>
      <c r="JP109" s="33"/>
      <c r="JQ109" s="31">
        <v>0</v>
      </c>
      <c r="JR109" s="28">
        <v>0</v>
      </c>
      <c r="JS109" s="26">
        <v>0</v>
      </c>
      <c r="JT109" s="33"/>
    </row>
    <row r="110" spans="1:280" x14ac:dyDescent="0.25">
      <c r="A110" s="26" t="s">
        <v>261</v>
      </c>
      <c r="B110" s="27">
        <v>0.41</v>
      </c>
      <c r="I110" s="29"/>
      <c r="J110" s="35"/>
      <c r="K110" s="40"/>
      <c r="L110" s="35"/>
      <c r="M110" s="35">
        <f t="shared" si="9"/>
        <v>0</v>
      </c>
      <c r="N110" s="30"/>
      <c r="O110" s="29"/>
      <c r="P110" s="35"/>
      <c r="Q110" s="35"/>
      <c r="R110" s="35"/>
      <c r="S110" s="35">
        <f t="shared" si="10"/>
        <v>0</v>
      </c>
      <c r="T110" s="30"/>
      <c r="U110" s="29"/>
      <c r="V110" s="40"/>
      <c r="W110" s="35"/>
      <c r="X110" s="35"/>
      <c r="Y110" s="35"/>
      <c r="Z110" s="35"/>
      <c r="AA110" s="35">
        <f t="shared" si="11"/>
        <v>0</v>
      </c>
      <c r="AB110" s="30"/>
      <c r="AC110" s="29"/>
      <c r="AD110" s="35"/>
      <c r="AE110" s="35"/>
      <c r="AF110" s="35"/>
      <c r="AG110" s="35">
        <v>0</v>
      </c>
      <c r="AH110" s="30"/>
      <c r="AI110" s="35"/>
      <c r="AM110" s="26">
        <v>0</v>
      </c>
      <c r="AN110" s="30"/>
      <c r="AO110" s="31"/>
      <c r="AS110" s="26">
        <v>0</v>
      </c>
      <c r="AT110" s="30"/>
      <c r="AY110" s="26">
        <v>0</v>
      </c>
      <c r="AZ110" s="30"/>
      <c r="BC110">
        <v>16</v>
      </c>
      <c r="BD110" s="25">
        <v>-16</v>
      </c>
      <c r="BE110" s="30">
        <v>6.56</v>
      </c>
      <c r="BF110" s="29"/>
      <c r="BG110">
        <v>24</v>
      </c>
      <c r="BH110" s="25">
        <v>-24</v>
      </c>
      <c r="BI110" s="30">
        <v>9.84</v>
      </c>
      <c r="BJ110" s="29"/>
      <c r="BK110">
        <v>12</v>
      </c>
      <c r="BL110" s="25">
        <v>-12</v>
      </c>
      <c r="BM110" s="30">
        <v>4.92</v>
      </c>
      <c r="BO110">
        <v>26</v>
      </c>
      <c r="BP110" s="25">
        <v>-26</v>
      </c>
      <c r="BQ110" s="30">
        <v>10.66</v>
      </c>
      <c r="BR110" s="29"/>
      <c r="BS110">
        <v>26</v>
      </c>
      <c r="BT110" s="25">
        <v>-26</v>
      </c>
      <c r="BU110" s="30">
        <v>10.66</v>
      </c>
      <c r="BV110">
        <v>12</v>
      </c>
      <c r="BW110">
        <v>10</v>
      </c>
      <c r="BX110" s="26">
        <v>2</v>
      </c>
      <c r="BY110" s="30"/>
      <c r="BZ110" s="32">
        <v>12</v>
      </c>
      <c r="CA110">
        <v>10</v>
      </c>
      <c r="CB110" s="26">
        <v>2</v>
      </c>
      <c r="CC110" s="30"/>
      <c r="CD110" s="32">
        <v>6</v>
      </c>
      <c r="CE110">
        <v>9</v>
      </c>
      <c r="CF110" s="26">
        <v>-3</v>
      </c>
      <c r="CG110" s="30"/>
      <c r="CJ110" s="26">
        <v>0</v>
      </c>
      <c r="CK110" s="30"/>
      <c r="CL110" s="29"/>
      <c r="CP110" s="26">
        <v>0</v>
      </c>
      <c r="CQ110" s="30"/>
      <c r="CR110" s="32">
        <v>30</v>
      </c>
      <c r="CS110">
        <v>30</v>
      </c>
      <c r="CT110" s="26">
        <v>0</v>
      </c>
      <c r="CU110" s="30"/>
      <c r="CZ110" s="26">
        <v>0</v>
      </c>
      <c r="DA110" s="30"/>
      <c r="DD110" s="26">
        <v>0</v>
      </c>
      <c r="DE110" s="30"/>
      <c r="DF110" s="32">
        <v>6</v>
      </c>
      <c r="DG110">
        <v>6</v>
      </c>
      <c r="DH110" s="26">
        <v>0</v>
      </c>
      <c r="DI110" s="30"/>
      <c r="DJ110" s="32">
        <v>24</v>
      </c>
      <c r="DK110">
        <v>22</v>
      </c>
      <c r="DL110" s="26">
        <v>2</v>
      </c>
      <c r="DM110" s="30"/>
      <c r="DP110" s="26">
        <v>0</v>
      </c>
      <c r="DQ110" s="30"/>
      <c r="DR110" s="32">
        <v>18</v>
      </c>
      <c r="DT110">
        <v>16</v>
      </c>
      <c r="DU110" s="26">
        <v>2</v>
      </c>
      <c r="DV110" s="30"/>
      <c r="DW110" s="29"/>
      <c r="DY110">
        <v>12</v>
      </c>
      <c r="DZ110">
        <v>12</v>
      </c>
      <c r="EA110" s="26">
        <v>0</v>
      </c>
      <c r="EB110" s="30"/>
      <c r="EC110" s="29"/>
      <c r="EF110" s="26">
        <v>0</v>
      </c>
      <c r="EG110" s="30"/>
      <c r="EH110">
        <v>18</v>
      </c>
      <c r="EI110" s="26">
        <v>19</v>
      </c>
      <c r="EJ110" s="26">
        <v>-1</v>
      </c>
      <c r="EK110" s="30"/>
      <c r="EL110" s="31"/>
      <c r="EN110" s="26">
        <v>0</v>
      </c>
      <c r="EO110" s="30"/>
      <c r="EP110" s="32">
        <v>12</v>
      </c>
      <c r="EQ110" s="26">
        <v>13.2</v>
      </c>
      <c r="ER110" s="26">
        <v>-1.1999999999999991</v>
      </c>
      <c r="ES110" s="30"/>
      <c r="ET110" s="29"/>
      <c r="EV110" s="26">
        <v>0</v>
      </c>
      <c r="EW110" s="30"/>
      <c r="EZ110" s="26">
        <v>0</v>
      </c>
      <c r="FA110" s="30"/>
      <c r="FB110">
        <v>18</v>
      </c>
      <c r="FC110">
        <v>17</v>
      </c>
      <c r="FD110" s="26">
        <v>1</v>
      </c>
      <c r="FE110" s="30"/>
      <c r="FF110" s="29"/>
      <c r="FI110" s="26">
        <v>0</v>
      </c>
      <c r="FJ110" s="30"/>
      <c r="FK110" s="29"/>
      <c r="FN110" s="26">
        <v>0</v>
      </c>
      <c r="FO110" s="30"/>
      <c r="FR110" s="26">
        <v>0</v>
      </c>
      <c r="FS110" s="30"/>
      <c r="FT110" s="29"/>
      <c r="FW110">
        <v>18</v>
      </c>
      <c r="FX110">
        <v>19</v>
      </c>
      <c r="FY110" s="26">
        <v>-1</v>
      </c>
      <c r="FZ110" s="30"/>
      <c r="GA110">
        <v>6</v>
      </c>
      <c r="GB110" s="28">
        <v>5.4000000000000021</v>
      </c>
      <c r="GC110" s="26">
        <v>0.59999999999999787</v>
      </c>
      <c r="GD110" s="30"/>
      <c r="GE110" s="29"/>
      <c r="GG110">
        <v>12</v>
      </c>
      <c r="GH110">
        <v>12</v>
      </c>
      <c r="GI110" s="26">
        <v>0</v>
      </c>
      <c r="GJ110" s="30"/>
      <c r="GM110">
        <v>12</v>
      </c>
      <c r="GN110">
        <v>12</v>
      </c>
      <c r="GO110" s="26">
        <v>0</v>
      </c>
      <c r="GP110" s="30"/>
      <c r="GQ110">
        <v>6</v>
      </c>
      <c r="GR110" s="28">
        <v>8</v>
      </c>
      <c r="GS110" s="26">
        <v>-2</v>
      </c>
      <c r="GT110" s="30"/>
      <c r="GU110" s="29"/>
      <c r="GW110" s="26">
        <v>0</v>
      </c>
      <c r="GX110" s="30"/>
      <c r="GY110" s="32">
        <v>6</v>
      </c>
      <c r="GZ110">
        <v>6</v>
      </c>
      <c r="HA110" s="26">
        <v>0</v>
      </c>
      <c r="HB110" s="30"/>
      <c r="HC110">
        <v>6</v>
      </c>
      <c r="HD110">
        <v>6</v>
      </c>
      <c r="HE110" s="26">
        <v>0</v>
      </c>
      <c r="HF110" s="30"/>
      <c r="HG110" s="32">
        <v>18</v>
      </c>
      <c r="HH110">
        <v>18</v>
      </c>
      <c r="HI110" s="26">
        <v>0</v>
      </c>
      <c r="HJ110" s="30"/>
      <c r="HK110" s="29"/>
      <c r="HM110" s="26">
        <v>0</v>
      </c>
      <c r="HN110" s="30"/>
      <c r="HQ110" s="26">
        <v>0</v>
      </c>
      <c r="HR110" s="33"/>
      <c r="HS110">
        <v>6</v>
      </c>
      <c r="HT110">
        <v>4</v>
      </c>
      <c r="HU110" s="26">
        <v>2</v>
      </c>
      <c r="HV110" s="30"/>
      <c r="HW110">
        <v>6</v>
      </c>
      <c r="HX110">
        <v>6</v>
      </c>
      <c r="HY110" s="26">
        <v>0</v>
      </c>
      <c r="HZ110" s="33"/>
      <c r="IA110">
        <v>6</v>
      </c>
      <c r="IB110">
        <v>6</v>
      </c>
      <c r="IC110" s="26">
        <v>0</v>
      </c>
      <c r="ID110" s="30"/>
      <c r="IG110" s="26">
        <v>0</v>
      </c>
      <c r="IH110" s="33"/>
      <c r="II110">
        <v>6</v>
      </c>
      <c r="IJ110" s="28">
        <v>7.6000000000000014</v>
      </c>
      <c r="IK110" s="26">
        <v>-1.600000000000001</v>
      </c>
      <c r="IL110" s="30"/>
      <c r="IM110" s="31"/>
      <c r="IO110" s="26">
        <v>0</v>
      </c>
      <c r="IP110" s="33"/>
      <c r="IS110" s="26">
        <v>0</v>
      </c>
      <c r="IT110" s="33"/>
      <c r="IW110" s="26">
        <v>0</v>
      </c>
      <c r="IX110" s="33"/>
      <c r="JA110" s="26">
        <v>0</v>
      </c>
      <c r="JB110" s="30"/>
      <c r="JC110" s="27"/>
      <c r="JE110">
        <v>24</v>
      </c>
      <c r="JF110">
        <v>26</v>
      </c>
      <c r="JG110" s="26">
        <v>-2</v>
      </c>
      <c r="JH110" s="33"/>
      <c r="JI110" s="28">
        <v>0</v>
      </c>
      <c r="JJ110" s="28">
        <v>0</v>
      </c>
      <c r="JK110" s="26">
        <v>0</v>
      </c>
      <c r="JL110" s="33"/>
      <c r="JM110" s="28">
        <v>0</v>
      </c>
      <c r="JN110" s="28">
        <v>0</v>
      </c>
      <c r="JO110" s="26">
        <v>0</v>
      </c>
      <c r="JP110" s="33"/>
      <c r="JQ110" s="31">
        <v>0</v>
      </c>
      <c r="JR110" s="28">
        <v>0</v>
      </c>
      <c r="JS110" s="26">
        <v>0</v>
      </c>
      <c r="JT110" s="33"/>
    </row>
    <row r="111" spans="1:280" x14ac:dyDescent="0.25">
      <c r="A111" s="26" t="s">
        <v>262</v>
      </c>
      <c r="B111" s="27">
        <v>0.28000000000000003</v>
      </c>
      <c r="I111" s="29"/>
      <c r="J111" s="35"/>
      <c r="K111" s="40"/>
      <c r="L111" s="35"/>
      <c r="M111" s="35">
        <f t="shared" si="9"/>
        <v>0</v>
      </c>
      <c r="N111" s="30"/>
      <c r="O111" s="29"/>
      <c r="P111" s="35"/>
      <c r="Q111" s="35"/>
      <c r="R111" s="35"/>
      <c r="S111" s="35">
        <f t="shared" si="10"/>
        <v>0</v>
      </c>
      <c r="T111" s="30"/>
      <c r="U111" s="29"/>
      <c r="V111" s="40"/>
      <c r="W111" s="35"/>
      <c r="X111" s="35"/>
      <c r="Y111" s="35"/>
      <c r="Z111" s="35"/>
      <c r="AA111" s="35">
        <f t="shared" si="11"/>
        <v>0</v>
      </c>
      <c r="AB111" s="30"/>
      <c r="AC111" s="29"/>
      <c r="AD111" s="35"/>
      <c r="AE111" s="35"/>
      <c r="AF111" s="35"/>
      <c r="AG111" s="35">
        <v>0</v>
      </c>
      <c r="AH111" s="30"/>
      <c r="AI111" s="35"/>
      <c r="AM111" s="26">
        <v>0</v>
      </c>
      <c r="AN111" s="30"/>
      <c r="AO111" s="31"/>
      <c r="AS111" s="26">
        <v>0</v>
      </c>
      <c r="AT111" s="30"/>
      <c r="AY111" s="26">
        <v>0</v>
      </c>
      <c r="AZ111" s="30"/>
      <c r="BD111" s="26">
        <v>0</v>
      </c>
      <c r="BE111" s="30"/>
      <c r="BF111" s="29"/>
      <c r="BH111" s="26">
        <v>0</v>
      </c>
      <c r="BI111" s="30"/>
      <c r="BJ111" s="29"/>
      <c r="BL111" s="26">
        <v>0</v>
      </c>
      <c r="BM111" s="30"/>
      <c r="BP111" s="26">
        <v>0</v>
      </c>
      <c r="BQ111" s="30"/>
      <c r="BR111" s="29"/>
      <c r="BT111" s="26">
        <v>0</v>
      </c>
      <c r="BU111" s="30"/>
      <c r="BX111" s="26">
        <v>0</v>
      </c>
      <c r="BY111" s="30"/>
      <c r="BZ111" s="29"/>
      <c r="CB111" s="26">
        <v>0</v>
      </c>
      <c r="CC111" s="30"/>
      <c r="CD111" s="29"/>
      <c r="CF111" s="26">
        <v>0</v>
      </c>
      <c r="CG111" s="30"/>
      <c r="CJ111" s="26">
        <v>0</v>
      </c>
      <c r="CK111" s="30"/>
      <c r="CL111" s="29"/>
      <c r="CP111" s="26">
        <v>0</v>
      </c>
      <c r="CQ111" s="30"/>
      <c r="CR111" s="29"/>
      <c r="CT111" s="26">
        <v>0</v>
      </c>
      <c r="CU111" s="30"/>
      <c r="CZ111" s="26">
        <v>0</v>
      </c>
      <c r="DA111" s="30"/>
      <c r="DD111" s="26">
        <v>0</v>
      </c>
      <c r="DE111" s="30"/>
      <c r="DF111" s="29"/>
      <c r="DH111" s="26">
        <v>0</v>
      </c>
      <c r="DI111" s="30"/>
      <c r="DJ111" s="29"/>
      <c r="DL111" s="26">
        <v>0</v>
      </c>
      <c r="DM111" s="30"/>
      <c r="DP111" s="26">
        <v>0</v>
      </c>
      <c r="DQ111" s="30"/>
      <c r="DR111" s="29"/>
      <c r="DU111" s="26">
        <v>0</v>
      </c>
      <c r="DV111" s="30"/>
      <c r="DW111" s="29"/>
      <c r="EA111" s="26">
        <v>0</v>
      </c>
      <c r="EB111" s="30"/>
      <c r="EC111" s="29"/>
      <c r="EF111" s="26">
        <v>0</v>
      </c>
      <c r="EG111" s="30"/>
      <c r="EJ111" s="26">
        <v>0</v>
      </c>
      <c r="EK111" s="30"/>
      <c r="EL111" s="31"/>
      <c r="EN111" s="26">
        <v>0</v>
      </c>
      <c r="EO111" s="30"/>
      <c r="EP111" s="29"/>
      <c r="ER111" s="26">
        <v>0</v>
      </c>
      <c r="ES111" s="30"/>
      <c r="ET111" s="29"/>
      <c r="EV111" s="26">
        <v>0</v>
      </c>
      <c r="EW111" s="30"/>
      <c r="EZ111" s="26">
        <v>0</v>
      </c>
      <c r="FA111" s="30"/>
      <c r="FD111" s="26">
        <v>0</v>
      </c>
      <c r="FE111" s="30"/>
      <c r="FF111" s="29"/>
      <c r="FI111" s="26">
        <v>0</v>
      </c>
      <c r="FJ111" s="30"/>
      <c r="FK111" s="29"/>
      <c r="FN111" s="26">
        <v>0</v>
      </c>
      <c r="FO111" s="30"/>
      <c r="FR111" s="26">
        <v>0</v>
      </c>
      <c r="FS111" s="30"/>
      <c r="FT111" s="29"/>
      <c r="FX111">
        <v>44</v>
      </c>
      <c r="FY111" s="26">
        <v>-4</v>
      </c>
      <c r="FZ111" s="30"/>
      <c r="GB111" s="21">
        <v>36.200000000000003</v>
      </c>
      <c r="GC111" s="26">
        <v>-4.2000000000000028</v>
      </c>
      <c r="GD111" s="30"/>
      <c r="GE111" s="29"/>
      <c r="GI111" s="26">
        <v>0</v>
      </c>
      <c r="GJ111" s="30"/>
      <c r="GK111">
        <v>24</v>
      </c>
      <c r="GL111">
        <v>24</v>
      </c>
      <c r="GM111">
        <v>32</v>
      </c>
      <c r="GN111">
        <v>36</v>
      </c>
      <c r="GO111" s="26">
        <v>-4</v>
      </c>
      <c r="GP111" s="30"/>
      <c r="GQ111">
        <v>8</v>
      </c>
      <c r="GR111" s="28">
        <v>8</v>
      </c>
      <c r="GS111" s="26">
        <v>0</v>
      </c>
      <c r="GT111" s="30"/>
      <c r="GU111" s="32">
        <v>24</v>
      </c>
      <c r="GV111">
        <v>24</v>
      </c>
      <c r="GW111" s="26">
        <v>0</v>
      </c>
      <c r="GX111" s="30"/>
      <c r="GY111" s="32">
        <v>16</v>
      </c>
      <c r="GZ111">
        <v>16</v>
      </c>
      <c r="HA111" s="26">
        <v>0</v>
      </c>
      <c r="HB111" s="30"/>
      <c r="HC111">
        <v>32</v>
      </c>
      <c r="HD111">
        <v>32</v>
      </c>
      <c r="HE111" s="26">
        <v>0</v>
      </c>
      <c r="HF111" s="30"/>
      <c r="HG111" s="32">
        <v>8</v>
      </c>
      <c r="HH111">
        <v>8</v>
      </c>
      <c r="HI111" s="26">
        <v>0</v>
      </c>
      <c r="HJ111" s="30"/>
      <c r="HK111" s="29"/>
      <c r="HM111" s="26">
        <v>0</v>
      </c>
      <c r="HN111" s="30"/>
      <c r="HO111">
        <v>16</v>
      </c>
      <c r="HP111">
        <v>16</v>
      </c>
      <c r="HQ111" s="26">
        <v>0</v>
      </c>
      <c r="HR111" s="33"/>
      <c r="HU111" s="26">
        <v>0</v>
      </c>
      <c r="HV111" s="30"/>
      <c r="HW111">
        <v>32</v>
      </c>
      <c r="HX111">
        <v>32</v>
      </c>
      <c r="HY111" s="26">
        <v>0</v>
      </c>
      <c r="HZ111" s="33"/>
      <c r="IC111" s="26">
        <v>0</v>
      </c>
      <c r="ID111" s="30"/>
      <c r="IG111" s="26">
        <v>0</v>
      </c>
      <c r="IH111" s="33"/>
      <c r="IK111" s="26">
        <v>0</v>
      </c>
      <c r="IL111" s="30"/>
      <c r="IM111" s="32">
        <v>8</v>
      </c>
      <c r="IN111" s="28">
        <v>8</v>
      </c>
      <c r="IO111" s="26">
        <v>0</v>
      </c>
      <c r="IP111" s="33"/>
      <c r="IS111" s="26">
        <v>0</v>
      </c>
      <c r="IT111" s="33"/>
      <c r="IW111" s="26">
        <v>0</v>
      </c>
      <c r="IX111" s="33"/>
      <c r="JA111" s="26">
        <v>0</v>
      </c>
      <c r="JB111" s="30"/>
      <c r="JC111" s="27"/>
      <c r="JE111" s="27"/>
      <c r="JG111" s="26">
        <v>0</v>
      </c>
      <c r="JH111" s="33"/>
      <c r="JI111" s="28">
        <v>0</v>
      </c>
      <c r="JJ111" s="28">
        <v>0</v>
      </c>
      <c r="JK111" s="26">
        <v>0</v>
      </c>
      <c r="JL111" s="33"/>
      <c r="JM111" s="28">
        <v>0</v>
      </c>
      <c r="JN111" s="28">
        <v>0</v>
      </c>
      <c r="JO111" s="26">
        <v>0</v>
      </c>
      <c r="JP111" s="33"/>
      <c r="JQ111" s="31">
        <v>0</v>
      </c>
      <c r="JR111" s="28">
        <v>0</v>
      </c>
      <c r="JS111" s="26">
        <v>0</v>
      </c>
      <c r="JT111" s="33"/>
    </row>
    <row r="112" spans="1:280" x14ac:dyDescent="0.25">
      <c r="A112" s="26" t="s">
        <v>263</v>
      </c>
      <c r="B112" s="27">
        <v>0.35</v>
      </c>
      <c r="I112" s="29"/>
      <c r="J112" s="35"/>
      <c r="K112" s="40"/>
      <c r="L112" s="35"/>
      <c r="M112" s="35">
        <f t="shared" si="9"/>
        <v>0</v>
      </c>
      <c r="N112" s="30"/>
      <c r="O112" s="29"/>
      <c r="P112" s="35"/>
      <c r="Q112" s="35"/>
      <c r="R112" s="35"/>
      <c r="S112" s="35">
        <f t="shared" si="10"/>
        <v>0</v>
      </c>
      <c r="T112" s="30"/>
      <c r="U112" s="29"/>
      <c r="V112" s="40"/>
      <c r="W112" s="35"/>
      <c r="X112" s="35"/>
      <c r="Y112" s="35"/>
      <c r="Z112" s="35"/>
      <c r="AA112" s="35">
        <f t="shared" si="11"/>
        <v>0</v>
      </c>
      <c r="AB112" s="30"/>
      <c r="AC112" s="29"/>
      <c r="AD112" s="35"/>
      <c r="AE112" s="35"/>
      <c r="AF112" s="35"/>
      <c r="AG112" s="35">
        <v>0</v>
      </c>
      <c r="AH112" s="30"/>
      <c r="AI112" s="35"/>
      <c r="AM112" s="26">
        <v>0</v>
      </c>
      <c r="AN112" s="30"/>
      <c r="AO112" s="31"/>
      <c r="AS112" s="26">
        <v>0</v>
      </c>
      <c r="AT112" s="30"/>
      <c r="AY112" s="26">
        <v>0</v>
      </c>
      <c r="AZ112" s="30"/>
      <c r="BD112" s="26">
        <v>0</v>
      </c>
      <c r="BE112" s="30"/>
      <c r="BF112" s="29"/>
      <c r="BH112" s="26">
        <v>0</v>
      </c>
      <c r="BI112" s="30"/>
      <c r="BJ112" s="29"/>
      <c r="BL112" s="26">
        <v>0</v>
      </c>
      <c r="BM112" s="30"/>
      <c r="BP112" s="26">
        <v>0</v>
      </c>
      <c r="BQ112" s="30"/>
      <c r="BR112" s="29"/>
      <c r="BT112" s="26">
        <v>0</v>
      </c>
      <c r="BU112" s="30"/>
      <c r="BX112" s="26">
        <v>0</v>
      </c>
      <c r="BY112" s="30"/>
      <c r="BZ112" s="29"/>
      <c r="CB112" s="26">
        <v>0</v>
      </c>
      <c r="CC112" s="30"/>
      <c r="CD112" s="29"/>
      <c r="CF112" s="26">
        <v>0</v>
      </c>
      <c r="CG112" s="30"/>
      <c r="CJ112" s="26">
        <v>0</v>
      </c>
      <c r="CK112" s="30"/>
      <c r="CL112" s="29"/>
      <c r="CP112" s="26">
        <v>0</v>
      </c>
      <c r="CQ112" s="30"/>
      <c r="CR112" s="29"/>
      <c r="CT112" s="26">
        <v>0</v>
      </c>
      <c r="CU112" s="30"/>
      <c r="CZ112" s="26">
        <v>0</v>
      </c>
      <c r="DA112" s="30"/>
      <c r="DD112" s="26">
        <v>0</v>
      </c>
      <c r="DE112" s="30"/>
      <c r="DF112" s="29"/>
      <c r="DH112" s="26">
        <v>0</v>
      </c>
      <c r="DI112" s="30"/>
      <c r="DJ112" s="29"/>
      <c r="DL112" s="26">
        <v>0</v>
      </c>
      <c r="DM112" s="30"/>
      <c r="DP112" s="26">
        <v>0</v>
      </c>
      <c r="DQ112" s="30"/>
      <c r="DR112" s="29"/>
      <c r="DU112" s="26">
        <v>0</v>
      </c>
      <c r="DV112" s="30"/>
      <c r="DW112" s="29"/>
      <c r="EA112" s="26">
        <v>0</v>
      </c>
      <c r="EB112" s="30"/>
      <c r="EC112" s="29"/>
      <c r="EF112" s="26">
        <v>0</v>
      </c>
      <c r="EG112" s="30"/>
      <c r="EJ112" s="26">
        <v>0</v>
      </c>
      <c r="EK112" s="30"/>
      <c r="EL112" s="31"/>
      <c r="EN112" s="26">
        <v>0</v>
      </c>
      <c r="EO112" s="30"/>
      <c r="EP112" s="29"/>
      <c r="ER112" s="26">
        <v>0</v>
      </c>
      <c r="ES112" s="30"/>
      <c r="ET112" s="29"/>
      <c r="EV112" s="26">
        <v>0</v>
      </c>
      <c r="EW112" s="30"/>
      <c r="EZ112" s="26">
        <v>0</v>
      </c>
      <c r="FA112" s="30"/>
      <c r="FD112" s="26">
        <v>0</v>
      </c>
      <c r="FE112" s="30"/>
      <c r="FF112" s="29"/>
      <c r="FI112" s="26">
        <v>0</v>
      </c>
      <c r="FJ112" s="30"/>
      <c r="FK112" s="29"/>
      <c r="FN112" s="26">
        <v>0</v>
      </c>
      <c r="FO112" s="30"/>
      <c r="FR112" s="26">
        <v>0</v>
      </c>
      <c r="FS112" s="30"/>
      <c r="FT112" s="29"/>
      <c r="FY112" s="26">
        <v>0</v>
      </c>
      <c r="FZ112" s="30"/>
      <c r="GC112" s="26">
        <v>0</v>
      </c>
      <c r="GD112" s="30"/>
      <c r="GE112" s="29"/>
      <c r="GI112" s="26">
        <v>0</v>
      </c>
      <c r="GJ112" s="30"/>
      <c r="GO112" s="26">
        <v>0</v>
      </c>
      <c r="GP112" s="30"/>
      <c r="GS112" s="26">
        <v>0</v>
      </c>
      <c r="GT112" s="30"/>
      <c r="GU112" s="29"/>
      <c r="GW112" s="26">
        <v>0</v>
      </c>
      <c r="GX112" s="30"/>
      <c r="GY112" s="29"/>
      <c r="HA112" s="26">
        <v>0</v>
      </c>
      <c r="HB112" s="30"/>
      <c r="HE112" s="26">
        <v>0</v>
      </c>
      <c r="HF112" s="30"/>
      <c r="HG112" s="29"/>
      <c r="HI112" s="26">
        <v>0</v>
      </c>
      <c r="HJ112" s="30"/>
      <c r="HK112" s="29"/>
      <c r="HM112" s="26">
        <v>0</v>
      </c>
      <c r="HN112" s="30"/>
      <c r="HQ112" s="26">
        <v>0</v>
      </c>
      <c r="HR112" s="33"/>
      <c r="HU112" s="26">
        <v>0</v>
      </c>
      <c r="HV112" s="30"/>
      <c r="HY112" s="26">
        <v>0</v>
      </c>
      <c r="HZ112" s="33"/>
      <c r="IC112" s="26">
        <v>0</v>
      </c>
      <c r="ID112" s="30"/>
      <c r="IG112" s="26">
        <v>0</v>
      </c>
      <c r="IH112" s="33"/>
      <c r="IK112" s="26">
        <v>0</v>
      </c>
      <c r="IL112" s="30"/>
      <c r="IM112" s="31"/>
      <c r="IO112" s="26">
        <v>0</v>
      </c>
      <c r="IP112" s="33"/>
      <c r="IS112" s="26">
        <v>0</v>
      </c>
      <c r="IT112" s="33"/>
      <c r="IW112" s="26">
        <v>0</v>
      </c>
      <c r="IX112" s="33"/>
      <c r="JA112" s="26">
        <v>0</v>
      </c>
      <c r="JB112" s="30"/>
      <c r="JC112" s="27"/>
      <c r="JE112" s="27"/>
      <c r="JG112" s="26">
        <v>0</v>
      </c>
      <c r="JH112" s="33"/>
      <c r="JI112" s="28">
        <v>0</v>
      </c>
      <c r="JJ112" s="28">
        <v>0</v>
      </c>
      <c r="JK112" s="26">
        <v>0</v>
      </c>
      <c r="JL112" s="33"/>
      <c r="JM112" s="28">
        <v>0</v>
      </c>
      <c r="JN112" s="28">
        <v>0</v>
      </c>
      <c r="JO112" s="26">
        <v>0</v>
      </c>
      <c r="JP112" s="33"/>
      <c r="JQ112" s="31">
        <v>0</v>
      </c>
      <c r="JR112" s="28">
        <v>0</v>
      </c>
      <c r="JS112" s="26">
        <v>0</v>
      </c>
      <c r="JT112" s="33"/>
    </row>
    <row r="113" spans="1:280" x14ac:dyDescent="0.25">
      <c r="A113" s="26" t="s">
        <v>264</v>
      </c>
      <c r="B113" s="27">
        <v>0.4</v>
      </c>
      <c r="I113" s="29"/>
      <c r="J113" s="35"/>
      <c r="K113" s="40"/>
      <c r="L113" s="35"/>
      <c r="M113" s="35">
        <f t="shared" si="9"/>
        <v>0</v>
      </c>
      <c r="N113" s="30"/>
      <c r="O113" s="29"/>
      <c r="P113" s="35"/>
      <c r="Q113" s="35"/>
      <c r="R113" s="35"/>
      <c r="S113" s="35">
        <f t="shared" si="10"/>
        <v>0</v>
      </c>
      <c r="T113" s="30"/>
      <c r="U113" s="29"/>
      <c r="V113" s="40"/>
      <c r="W113" s="35"/>
      <c r="X113" s="35"/>
      <c r="Y113" s="35"/>
      <c r="Z113" s="35"/>
      <c r="AA113" s="35">
        <f t="shared" si="11"/>
        <v>0</v>
      </c>
      <c r="AB113" s="30"/>
      <c r="AC113" s="29"/>
      <c r="AD113" s="35"/>
      <c r="AE113" s="35"/>
      <c r="AF113" s="35"/>
      <c r="AG113" s="35">
        <v>0</v>
      </c>
      <c r="AH113" s="30"/>
      <c r="AI113" s="35"/>
      <c r="AM113" s="26">
        <v>0</v>
      </c>
      <c r="AN113" s="30"/>
      <c r="AO113" s="31"/>
      <c r="AS113" s="26">
        <v>0</v>
      </c>
      <c r="AT113" s="30"/>
      <c r="AY113" s="26">
        <v>0</v>
      </c>
      <c r="AZ113" s="30"/>
      <c r="BD113" s="26">
        <v>0</v>
      </c>
      <c r="BE113" s="30"/>
      <c r="BF113" s="29"/>
      <c r="BH113" s="26">
        <v>0</v>
      </c>
      <c r="BI113" s="30"/>
      <c r="BJ113" s="29"/>
      <c r="BL113" s="26">
        <v>0</v>
      </c>
      <c r="BM113" s="30"/>
      <c r="BP113" s="26">
        <v>0</v>
      </c>
      <c r="BQ113" s="30"/>
      <c r="BR113" s="29"/>
      <c r="BT113" s="26">
        <v>0</v>
      </c>
      <c r="BU113" s="30"/>
      <c r="BX113" s="26">
        <v>0</v>
      </c>
      <c r="BY113" s="30"/>
      <c r="BZ113" s="29"/>
      <c r="CB113" s="26">
        <v>0</v>
      </c>
      <c r="CC113" s="30"/>
      <c r="CD113" s="29"/>
      <c r="CF113" s="26">
        <v>0</v>
      </c>
      <c r="CG113" s="30"/>
      <c r="CJ113" s="26">
        <v>0</v>
      </c>
      <c r="CK113" s="30"/>
      <c r="CL113" s="29"/>
      <c r="CP113" s="26">
        <v>0</v>
      </c>
      <c r="CQ113" s="30"/>
      <c r="CR113" s="29"/>
      <c r="CT113" s="26">
        <v>0</v>
      </c>
      <c r="CU113" s="30"/>
      <c r="CZ113" s="26">
        <v>0</v>
      </c>
      <c r="DA113" s="30"/>
      <c r="DD113" s="26">
        <v>0</v>
      </c>
      <c r="DE113" s="30"/>
      <c r="DF113" s="29"/>
      <c r="DH113" s="26">
        <v>0</v>
      </c>
      <c r="DI113" s="30"/>
      <c r="DJ113" s="29"/>
      <c r="DL113" s="26">
        <v>0</v>
      </c>
      <c r="DM113" s="30"/>
      <c r="DP113" s="26">
        <v>0</v>
      </c>
      <c r="DQ113" s="30"/>
      <c r="DR113" s="29"/>
      <c r="DU113" s="26">
        <v>0</v>
      </c>
      <c r="DV113" s="30"/>
      <c r="DW113" s="29"/>
      <c r="EA113" s="26">
        <v>0</v>
      </c>
      <c r="EB113" s="30"/>
      <c r="EC113" s="29"/>
      <c r="EF113" s="26">
        <v>0</v>
      </c>
      <c r="EG113" s="30"/>
      <c r="EJ113" s="26">
        <v>0</v>
      </c>
      <c r="EK113" s="30"/>
      <c r="EL113" s="31"/>
      <c r="EN113" s="26">
        <v>0</v>
      </c>
      <c r="EO113" s="30"/>
      <c r="EP113" s="29"/>
      <c r="ER113" s="26">
        <v>0</v>
      </c>
      <c r="ES113" s="30"/>
      <c r="ET113" s="29"/>
      <c r="EV113" s="26">
        <v>0</v>
      </c>
      <c r="EW113" s="30"/>
      <c r="EZ113" s="26">
        <v>0</v>
      </c>
      <c r="FA113" s="30"/>
      <c r="FD113" s="26">
        <v>0</v>
      </c>
      <c r="FE113" s="30"/>
      <c r="FF113" s="29"/>
      <c r="FI113" s="26">
        <v>0</v>
      </c>
      <c r="FJ113" s="30"/>
      <c r="FK113" s="29"/>
      <c r="FN113" s="26">
        <v>0</v>
      </c>
      <c r="FO113" s="30"/>
      <c r="FR113" s="26">
        <v>0</v>
      </c>
      <c r="FS113" s="30"/>
      <c r="FT113" s="29"/>
      <c r="FY113" s="26">
        <v>0</v>
      </c>
      <c r="FZ113" s="30"/>
      <c r="GC113" s="26">
        <v>0</v>
      </c>
      <c r="GD113" s="30"/>
      <c r="GE113" s="29"/>
      <c r="GI113" s="26">
        <v>0</v>
      </c>
      <c r="GJ113" s="30"/>
      <c r="GO113" s="26">
        <v>0</v>
      </c>
      <c r="GP113" s="30"/>
      <c r="GS113" s="26">
        <v>0</v>
      </c>
      <c r="GT113" s="30"/>
      <c r="GU113" s="29"/>
      <c r="GW113" s="26">
        <v>0</v>
      </c>
      <c r="GX113" s="30"/>
      <c r="GY113" s="29"/>
      <c r="HA113" s="26">
        <v>0</v>
      </c>
      <c r="HB113" s="30"/>
      <c r="HE113" s="26">
        <v>0</v>
      </c>
      <c r="HF113" s="30"/>
      <c r="HG113" s="29"/>
      <c r="HI113" s="26">
        <v>0</v>
      </c>
      <c r="HJ113" s="30"/>
      <c r="HK113" s="29"/>
      <c r="HM113" s="26">
        <v>0</v>
      </c>
      <c r="HN113" s="30"/>
      <c r="HQ113" s="26">
        <v>0</v>
      </c>
      <c r="HR113" s="33"/>
      <c r="HU113" s="26">
        <v>0</v>
      </c>
      <c r="HV113" s="30"/>
      <c r="HW113">
        <v>80</v>
      </c>
      <c r="HX113">
        <v>80</v>
      </c>
      <c r="HY113" s="26">
        <v>0</v>
      </c>
      <c r="HZ113" s="33"/>
      <c r="IB113">
        <v>72</v>
      </c>
      <c r="IC113" s="25">
        <v>-72</v>
      </c>
      <c r="ID113" s="30">
        <v>28.8</v>
      </c>
      <c r="IG113" s="26">
        <v>0</v>
      </c>
      <c r="IH113" s="33"/>
      <c r="IK113" s="26">
        <v>0</v>
      </c>
      <c r="IL113" s="30"/>
      <c r="IM113" s="32">
        <v>60</v>
      </c>
      <c r="IN113" s="28">
        <v>60</v>
      </c>
      <c r="IO113" s="26">
        <v>0</v>
      </c>
      <c r="IP113" s="33"/>
      <c r="IS113" s="26">
        <v>0</v>
      </c>
      <c r="IT113" s="33"/>
      <c r="IU113">
        <v>60</v>
      </c>
      <c r="IV113">
        <v>58</v>
      </c>
      <c r="IW113" s="26">
        <v>-2</v>
      </c>
      <c r="IX113" s="33"/>
      <c r="JA113" s="26">
        <v>0</v>
      </c>
      <c r="JB113" s="30"/>
      <c r="JC113" s="27"/>
      <c r="JE113">
        <v>20</v>
      </c>
      <c r="JF113">
        <v>22</v>
      </c>
      <c r="JG113" s="26">
        <v>-2</v>
      </c>
      <c r="JH113" s="33"/>
      <c r="JI113" s="28">
        <v>0</v>
      </c>
      <c r="JJ113" s="28">
        <v>0</v>
      </c>
      <c r="JK113" s="26">
        <v>0</v>
      </c>
      <c r="JL113" s="33"/>
      <c r="JM113" s="28">
        <v>0</v>
      </c>
      <c r="JN113" s="28">
        <v>0</v>
      </c>
      <c r="JO113" s="26">
        <v>0</v>
      </c>
      <c r="JP113" s="33"/>
      <c r="JQ113" s="31">
        <v>0</v>
      </c>
      <c r="JR113" s="28">
        <v>0</v>
      </c>
      <c r="JS113" s="26">
        <v>0</v>
      </c>
      <c r="JT113" s="33"/>
    </row>
    <row r="114" spans="1:280" x14ac:dyDescent="0.25">
      <c r="A114" s="26" t="s">
        <v>265</v>
      </c>
      <c r="B114" s="27">
        <v>0.16</v>
      </c>
      <c r="I114" s="29"/>
      <c r="J114" s="35"/>
      <c r="K114" s="40"/>
      <c r="L114" s="35"/>
      <c r="M114" s="35">
        <f t="shared" si="9"/>
        <v>0</v>
      </c>
      <c r="N114" s="30"/>
      <c r="O114" s="29"/>
      <c r="P114" s="35"/>
      <c r="Q114" s="35"/>
      <c r="R114" s="35"/>
      <c r="S114" s="35">
        <f t="shared" si="10"/>
        <v>0</v>
      </c>
      <c r="T114" s="30"/>
      <c r="U114" s="29"/>
      <c r="V114" s="40"/>
      <c r="W114" s="35"/>
      <c r="X114" s="35"/>
      <c r="Y114" s="35"/>
      <c r="Z114" s="35"/>
      <c r="AA114" s="35">
        <f t="shared" si="11"/>
        <v>0</v>
      </c>
      <c r="AB114" s="30"/>
      <c r="AC114" s="29"/>
      <c r="AD114" s="35"/>
      <c r="AE114" s="35"/>
      <c r="AF114" s="35"/>
      <c r="AG114" s="35">
        <v>0</v>
      </c>
      <c r="AH114" s="30"/>
      <c r="AI114" s="35"/>
      <c r="AM114" s="26">
        <v>0</v>
      </c>
      <c r="AN114" s="30"/>
      <c r="AO114" s="31"/>
      <c r="AS114" s="26">
        <v>0</v>
      </c>
      <c r="AT114" s="30"/>
      <c r="AY114" s="26">
        <v>0</v>
      </c>
      <c r="AZ114" s="30"/>
      <c r="BD114" s="26">
        <v>0</v>
      </c>
      <c r="BE114" s="30"/>
      <c r="BF114" s="29"/>
      <c r="BH114" s="26">
        <v>0</v>
      </c>
      <c r="BI114" s="30"/>
      <c r="BJ114" s="29"/>
      <c r="BL114" s="26">
        <v>0</v>
      </c>
      <c r="BM114" s="30"/>
      <c r="BP114" s="26">
        <v>0</v>
      </c>
      <c r="BQ114" s="30"/>
      <c r="BR114" s="29"/>
      <c r="BT114" s="26">
        <v>0</v>
      </c>
      <c r="BU114" s="30"/>
      <c r="BX114" s="26">
        <v>0</v>
      </c>
      <c r="BY114" s="30"/>
      <c r="BZ114" s="29"/>
      <c r="CB114" s="26">
        <v>0</v>
      </c>
      <c r="CC114" s="30"/>
      <c r="CD114" s="29"/>
      <c r="CF114" s="26">
        <v>0</v>
      </c>
      <c r="CG114" s="30"/>
      <c r="CJ114" s="26">
        <v>0</v>
      </c>
      <c r="CK114" s="30"/>
      <c r="CL114" s="29"/>
      <c r="CP114" s="26">
        <v>0</v>
      </c>
      <c r="CQ114" s="30"/>
      <c r="CR114" s="29"/>
      <c r="CT114" s="26">
        <v>0</v>
      </c>
      <c r="CU114" s="30"/>
      <c r="CZ114" s="26">
        <v>0</v>
      </c>
      <c r="DA114" s="30"/>
      <c r="DD114" s="26">
        <v>0</v>
      </c>
      <c r="DE114" s="30"/>
      <c r="DF114" s="29"/>
      <c r="DH114" s="26">
        <v>0</v>
      </c>
      <c r="DI114" s="30"/>
      <c r="DJ114" s="29"/>
      <c r="DL114" s="26">
        <v>0</v>
      </c>
      <c r="DM114" s="30"/>
      <c r="DP114" s="26">
        <v>0</v>
      </c>
      <c r="DQ114" s="30"/>
      <c r="DR114" s="29"/>
      <c r="DU114" s="26">
        <v>0</v>
      </c>
      <c r="DV114" s="30"/>
      <c r="DW114" s="29"/>
      <c r="EA114" s="26">
        <v>0</v>
      </c>
      <c r="EB114" s="30"/>
      <c r="EC114" s="29"/>
      <c r="EF114" s="26">
        <v>0</v>
      </c>
      <c r="EG114" s="30"/>
      <c r="EJ114" s="26">
        <v>0</v>
      </c>
      <c r="EK114" s="30"/>
      <c r="EL114" s="31"/>
      <c r="EN114" s="26">
        <v>0</v>
      </c>
      <c r="EO114" s="30"/>
      <c r="EP114" s="29"/>
      <c r="ER114" s="26">
        <v>0</v>
      </c>
      <c r="ES114" s="30"/>
      <c r="ET114" s="29"/>
      <c r="EV114" s="26">
        <v>0</v>
      </c>
      <c r="EW114" s="30"/>
      <c r="EZ114" s="26">
        <v>0</v>
      </c>
      <c r="FA114" s="30"/>
      <c r="FD114" s="26">
        <v>0</v>
      </c>
      <c r="FE114" s="30"/>
      <c r="FF114" s="29"/>
      <c r="FI114" s="26">
        <v>0</v>
      </c>
      <c r="FJ114" s="30"/>
      <c r="FK114" s="29"/>
      <c r="FN114" s="26">
        <v>0</v>
      </c>
      <c r="FO114" s="30"/>
      <c r="FR114" s="26">
        <v>0</v>
      </c>
      <c r="FS114" s="30"/>
      <c r="FT114" s="29"/>
      <c r="FY114" s="26">
        <v>0</v>
      </c>
      <c r="FZ114" s="30"/>
      <c r="GC114" s="26">
        <v>0</v>
      </c>
      <c r="GD114" s="30"/>
      <c r="GE114" s="29"/>
      <c r="GI114" s="26">
        <v>0</v>
      </c>
      <c r="GJ114" s="30"/>
      <c r="GO114" s="26">
        <v>0</v>
      </c>
      <c r="GP114" s="30"/>
      <c r="GS114" s="26">
        <v>0</v>
      </c>
      <c r="GT114" s="30"/>
      <c r="GU114" s="29"/>
      <c r="GW114" s="26">
        <v>0</v>
      </c>
      <c r="GX114" s="30"/>
      <c r="GY114" s="29"/>
      <c r="HA114" s="26">
        <v>0</v>
      </c>
      <c r="HB114" s="30"/>
      <c r="HE114" s="26">
        <v>0</v>
      </c>
      <c r="HF114" s="30"/>
      <c r="HG114" s="29"/>
      <c r="HI114" s="26">
        <v>0</v>
      </c>
      <c r="HJ114" s="30"/>
      <c r="HK114" s="29"/>
      <c r="HM114" s="26">
        <v>0</v>
      </c>
      <c r="HN114" s="30"/>
      <c r="HQ114" s="26">
        <v>0</v>
      </c>
      <c r="HR114" s="33"/>
      <c r="HU114" s="26">
        <v>0</v>
      </c>
      <c r="HV114" s="30"/>
      <c r="HY114" s="26">
        <v>0</v>
      </c>
      <c r="HZ114" s="33"/>
      <c r="IC114" s="26">
        <v>0</v>
      </c>
      <c r="ID114" s="30"/>
      <c r="IG114" s="26">
        <v>0</v>
      </c>
      <c r="IH114" s="33"/>
      <c r="IK114" s="26">
        <v>0</v>
      </c>
      <c r="IL114" s="30"/>
      <c r="IM114" s="31"/>
      <c r="IO114" s="26">
        <v>0</v>
      </c>
      <c r="IP114" s="33"/>
      <c r="IS114" s="26">
        <v>0</v>
      </c>
      <c r="IT114" s="33"/>
      <c r="IW114" s="26">
        <v>0</v>
      </c>
      <c r="IX114" s="33"/>
      <c r="JA114" s="26">
        <v>0</v>
      </c>
      <c r="JB114" s="30"/>
      <c r="JC114" s="27"/>
      <c r="JE114" s="27"/>
      <c r="JG114" s="26">
        <v>0</v>
      </c>
      <c r="JH114" s="33"/>
      <c r="JI114" s="28">
        <v>0</v>
      </c>
      <c r="JJ114" s="28">
        <v>0</v>
      </c>
      <c r="JK114" s="26">
        <v>0</v>
      </c>
      <c r="JL114" s="33"/>
      <c r="JM114" s="28">
        <v>0</v>
      </c>
      <c r="JN114" s="28">
        <v>0</v>
      </c>
      <c r="JO114" s="26">
        <v>0</v>
      </c>
      <c r="JP114" s="33"/>
      <c r="JQ114" s="31">
        <v>0</v>
      </c>
      <c r="JR114" s="28">
        <v>0</v>
      </c>
      <c r="JS114" s="26">
        <v>0</v>
      </c>
      <c r="JT114" s="33"/>
    </row>
    <row r="115" spans="1:280" x14ac:dyDescent="0.25">
      <c r="A115" s="26" t="s">
        <v>266</v>
      </c>
      <c r="B115" s="27">
        <v>0.5</v>
      </c>
      <c r="I115" s="29"/>
      <c r="J115" s="35"/>
      <c r="K115" s="40"/>
      <c r="L115" s="35"/>
      <c r="M115" s="35">
        <f t="shared" si="9"/>
        <v>0</v>
      </c>
      <c r="N115" s="30"/>
      <c r="O115" s="29"/>
      <c r="P115" s="35"/>
      <c r="Q115" s="35"/>
      <c r="R115" s="35"/>
      <c r="S115" s="35">
        <f t="shared" si="10"/>
        <v>0</v>
      </c>
      <c r="T115" s="30"/>
      <c r="U115" s="29"/>
      <c r="V115" s="40"/>
      <c r="W115" s="35"/>
      <c r="X115" s="35"/>
      <c r="Y115" s="35"/>
      <c r="Z115" s="35"/>
      <c r="AA115" s="35">
        <f t="shared" si="11"/>
        <v>0</v>
      </c>
      <c r="AB115" s="30"/>
      <c r="AC115" s="29"/>
      <c r="AD115" s="35"/>
      <c r="AE115" s="35"/>
      <c r="AF115" s="35"/>
      <c r="AG115" s="35">
        <v>0</v>
      </c>
      <c r="AH115" s="30"/>
      <c r="AI115" s="35"/>
      <c r="AM115" s="26">
        <v>0</v>
      </c>
      <c r="AN115" s="30"/>
      <c r="AO115" s="31"/>
      <c r="AS115" s="26">
        <v>0</v>
      </c>
      <c r="AT115" s="30"/>
      <c r="AY115" s="26">
        <v>0</v>
      </c>
      <c r="AZ115" s="30"/>
      <c r="BD115" s="26">
        <v>0</v>
      </c>
      <c r="BE115" s="30"/>
      <c r="BF115" s="29"/>
      <c r="BH115" s="26">
        <v>0</v>
      </c>
      <c r="BI115" s="30"/>
      <c r="BJ115" s="29"/>
      <c r="BL115" s="26">
        <v>0</v>
      </c>
      <c r="BM115" s="30"/>
      <c r="BP115" s="26">
        <v>0</v>
      </c>
      <c r="BQ115" s="30"/>
      <c r="BR115" s="29"/>
      <c r="BT115" s="26">
        <v>0</v>
      </c>
      <c r="BU115" s="30"/>
      <c r="BX115" s="26">
        <v>0</v>
      </c>
      <c r="BY115" s="30"/>
      <c r="BZ115" s="29"/>
      <c r="CB115" s="26">
        <v>0</v>
      </c>
      <c r="CC115" s="30"/>
      <c r="CD115" s="29"/>
      <c r="CF115" s="26">
        <v>0</v>
      </c>
      <c r="CG115" s="30"/>
      <c r="CJ115" s="26">
        <v>0</v>
      </c>
      <c r="CK115" s="30"/>
      <c r="CL115" s="29"/>
      <c r="CP115" s="26">
        <v>0</v>
      </c>
      <c r="CQ115" s="30"/>
      <c r="CR115" s="29"/>
      <c r="CT115" s="26">
        <v>0</v>
      </c>
      <c r="CU115" s="30"/>
      <c r="CZ115" s="26">
        <v>0</v>
      </c>
      <c r="DA115" s="30"/>
      <c r="DD115" s="26">
        <v>0</v>
      </c>
      <c r="DE115" s="30"/>
      <c r="DF115" s="29"/>
      <c r="DH115" s="26">
        <v>0</v>
      </c>
      <c r="DI115" s="30"/>
      <c r="DJ115" s="29"/>
      <c r="DL115" s="26">
        <v>0</v>
      </c>
      <c r="DM115" s="30"/>
      <c r="DP115" s="26">
        <v>0</v>
      </c>
      <c r="DQ115" s="30"/>
      <c r="DR115" s="29"/>
      <c r="DU115" s="26">
        <v>0</v>
      </c>
      <c r="DV115" s="30"/>
      <c r="DW115" s="29"/>
      <c r="EA115" s="26">
        <v>0</v>
      </c>
      <c r="EB115" s="30"/>
      <c r="EC115" s="29"/>
      <c r="EF115" s="26">
        <v>0</v>
      </c>
      <c r="EG115" s="30"/>
      <c r="EJ115" s="26">
        <v>0</v>
      </c>
      <c r="EK115" s="30"/>
      <c r="EL115" s="31"/>
      <c r="EN115" s="26">
        <v>0</v>
      </c>
      <c r="EO115" s="30"/>
      <c r="EP115" s="29"/>
      <c r="ER115" s="26">
        <v>0</v>
      </c>
      <c r="ES115" s="30"/>
      <c r="ET115" s="29"/>
      <c r="EV115" s="26">
        <v>0</v>
      </c>
      <c r="EW115" s="30"/>
      <c r="EZ115" s="26">
        <v>0</v>
      </c>
      <c r="FA115" s="30"/>
      <c r="FD115" s="26">
        <v>0</v>
      </c>
      <c r="FE115" s="30"/>
      <c r="FF115" s="29"/>
      <c r="FI115" s="26">
        <v>0</v>
      </c>
      <c r="FJ115" s="30"/>
      <c r="FK115" s="29"/>
      <c r="FN115" s="26">
        <v>0</v>
      </c>
      <c r="FO115" s="30"/>
      <c r="FR115" s="26">
        <v>0</v>
      </c>
      <c r="FS115" s="30"/>
      <c r="FT115" s="29"/>
      <c r="FY115" s="26">
        <v>0</v>
      </c>
      <c r="FZ115" s="30"/>
      <c r="GC115" s="26">
        <v>0</v>
      </c>
      <c r="GD115" s="30"/>
      <c r="GE115" s="29"/>
      <c r="GI115" s="26">
        <v>0</v>
      </c>
      <c r="GJ115" s="30"/>
      <c r="GO115" s="26">
        <v>0</v>
      </c>
      <c r="GP115" s="30"/>
      <c r="GS115" s="26">
        <v>0</v>
      </c>
      <c r="GT115" s="30"/>
      <c r="GU115" s="29"/>
      <c r="GW115" s="26">
        <v>0</v>
      </c>
      <c r="GX115" s="30"/>
      <c r="GY115" s="29"/>
      <c r="HA115" s="26">
        <v>0</v>
      </c>
      <c r="HB115" s="30"/>
      <c r="HE115" s="26">
        <v>0</v>
      </c>
      <c r="HF115" s="30"/>
      <c r="HG115" s="29"/>
      <c r="HI115" s="26">
        <v>0</v>
      </c>
      <c r="HJ115" s="30"/>
      <c r="HK115" s="29"/>
      <c r="HM115" s="26">
        <v>0</v>
      </c>
      <c r="HN115" s="30"/>
      <c r="HQ115" s="26">
        <v>0</v>
      </c>
      <c r="HR115" s="33"/>
      <c r="HU115" s="26">
        <v>0</v>
      </c>
      <c r="HV115" s="30"/>
      <c r="HY115" s="26">
        <v>0</v>
      </c>
      <c r="HZ115" s="33"/>
      <c r="IC115" s="26">
        <v>0</v>
      </c>
      <c r="ID115" s="30"/>
      <c r="IG115" s="26">
        <v>0</v>
      </c>
      <c r="IH115" s="33"/>
      <c r="IK115" s="26">
        <v>0</v>
      </c>
      <c r="IL115" s="30"/>
      <c r="IM115" s="31"/>
      <c r="IO115" s="26">
        <v>0</v>
      </c>
      <c r="IP115" s="33"/>
      <c r="IS115" s="26">
        <v>0</v>
      </c>
      <c r="IT115" s="33"/>
      <c r="IW115" s="26">
        <v>0</v>
      </c>
      <c r="IX115" s="33"/>
      <c r="JA115" s="26">
        <v>0</v>
      </c>
      <c r="JB115" s="30"/>
      <c r="JC115" s="27"/>
      <c r="JE115" s="27"/>
      <c r="JG115" s="26">
        <v>0</v>
      </c>
      <c r="JH115" s="33"/>
      <c r="JI115" s="28">
        <v>0</v>
      </c>
      <c r="JJ115" s="28">
        <v>0</v>
      </c>
      <c r="JK115" s="26">
        <v>0</v>
      </c>
      <c r="JL115" s="33"/>
      <c r="JM115" s="28">
        <v>0</v>
      </c>
      <c r="JN115" s="28">
        <v>0</v>
      </c>
      <c r="JO115" s="26">
        <v>0</v>
      </c>
      <c r="JP115" s="33"/>
      <c r="JQ115" s="31">
        <v>0</v>
      </c>
      <c r="JR115" s="28">
        <v>0</v>
      </c>
      <c r="JS115" s="26">
        <v>0</v>
      </c>
      <c r="JT115" s="33"/>
    </row>
    <row r="116" spans="1:280" x14ac:dyDescent="0.25">
      <c r="A116" s="26" t="s">
        <v>267</v>
      </c>
      <c r="B116" s="27">
        <v>0.33</v>
      </c>
      <c r="E116">
        <v>72</v>
      </c>
      <c r="F116">
        <v>72</v>
      </c>
      <c r="I116" s="29"/>
      <c r="J116" s="35"/>
      <c r="K116" s="40"/>
      <c r="L116" s="35"/>
      <c r="M116" s="35">
        <f t="shared" si="9"/>
        <v>0</v>
      </c>
      <c r="N116" s="30"/>
      <c r="O116" s="29"/>
      <c r="P116" s="35"/>
      <c r="Q116" s="36">
        <v>16</v>
      </c>
      <c r="R116" s="36">
        <v>16</v>
      </c>
      <c r="S116" s="35">
        <f t="shared" si="10"/>
        <v>0</v>
      </c>
      <c r="T116" s="30"/>
      <c r="U116" s="29"/>
      <c r="V116" s="40"/>
      <c r="W116" s="35"/>
      <c r="X116" s="36">
        <v>104</v>
      </c>
      <c r="Y116" s="35"/>
      <c r="Z116" s="36">
        <v>108</v>
      </c>
      <c r="AA116" s="35">
        <f t="shared" si="11"/>
        <v>-4</v>
      </c>
      <c r="AB116" s="30"/>
      <c r="AC116" s="29"/>
      <c r="AD116" s="35"/>
      <c r="AE116" s="36">
        <v>24</v>
      </c>
      <c r="AF116" s="40">
        <v>25</v>
      </c>
      <c r="AG116" s="35">
        <v>-1</v>
      </c>
      <c r="AH116" s="30"/>
      <c r="AI116" s="35"/>
      <c r="AK116">
        <v>80</v>
      </c>
      <c r="AL116">
        <v>87</v>
      </c>
      <c r="AM116" s="26">
        <v>-7</v>
      </c>
      <c r="AN116" s="30"/>
      <c r="AO116" s="31"/>
      <c r="AQ116">
        <v>32</v>
      </c>
      <c r="AR116">
        <v>37</v>
      </c>
      <c r="AS116" s="26">
        <v>-5</v>
      </c>
      <c r="AT116" s="30"/>
      <c r="AU116">
        <v>32</v>
      </c>
      <c r="AV116">
        <v>32</v>
      </c>
      <c r="AW116">
        <v>40</v>
      </c>
      <c r="AX116">
        <v>43</v>
      </c>
      <c r="AY116" s="26">
        <v>-3</v>
      </c>
      <c r="AZ116" s="30"/>
      <c r="BD116" s="26">
        <v>0</v>
      </c>
      <c r="BE116" s="30"/>
      <c r="BF116" s="32">
        <v>96</v>
      </c>
      <c r="BG116">
        <v>98</v>
      </c>
      <c r="BH116" s="26">
        <v>-2</v>
      </c>
      <c r="BI116" s="30"/>
      <c r="BJ116" s="29"/>
      <c r="BL116" s="26">
        <v>0</v>
      </c>
      <c r="BM116" s="30"/>
      <c r="BN116">
        <v>80</v>
      </c>
      <c r="BO116">
        <v>78</v>
      </c>
      <c r="BP116" s="26">
        <v>2</v>
      </c>
      <c r="BQ116" s="30"/>
      <c r="BR116" s="32">
        <v>8</v>
      </c>
      <c r="BS116">
        <v>8</v>
      </c>
      <c r="BT116" s="26">
        <v>0</v>
      </c>
      <c r="BU116" s="30"/>
      <c r="BV116">
        <v>40</v>
      </c>
      <c r="BW116">
        <v>45</v>
      </c>
      <c r="BX116" s="26">
        <v>-5</v>
      </c>
      <c r="BY116" s="30"/>
      <c r="BZ116" s="29"/>
      <c r="CB116" s="26">
        <v>0</v>
      </c>
      <c r="CC116" s="30"/>
      <c r="CD116" s="32">
        <v>32</v>
      </c>
      <c r="CE116">
        <v>36</v>
      </c>
      <c r="CF116" s="26">
        <v>-4</v>
      </c>
      <c r="CG116" s="30"/>
      <c r="CJ116" s="26">
        <v>0</v>
      </c>
      <c r="CK116" s="30"/>
      <c r="CL116" s="29"/>
      <c r="CP116" s="26">
        <v>0</v>
      </c>
      <c r="CQ116" s="30"/>
      <c r="CR116" s="32">
        <v>32</v>
      </c>
      <c r="CS116">
        <v>34</v>
      </c>
      <c r="CT116" s="26">
        <v>-2</v>
      </c>
      <c r="CU116" s="30"/>
      <c r="CZ116" s="26">
        <v>0</v>
      </c>
      <c r="DA116" s="30"/>
      <c r="DD116" s="26">
        <v>0</v>
      </c>
      <c r="DE116" s="30"/>
      <c r="DF116" s="32">
        <v>24</v>
      </c>
      <c r="DG116">
        <v>27</v>
      </c>
      <c r="DH116" s="26">
        <v>-3</v>
      </c>
      <c r="DI116" s="30"/>
      <c r="DJ116" s="29"/>
      <c r="DL116" s="26">
        <v>0</v>
      </c>
      <c r="DM116" s="30"/>
      <c r="DP116" s="26">
        <v>0</v>
      </c>
      <c r="DQ116" s="30"/>
      <c r="DR116" s="32">
        <v>24</v>
      </c>
      <c r="DT116">
        <v>23</v>
      </c>
      <c r="DU116" s="26">
        <v>1</v>
      </c>
      <c r="DV116" s="30"/>
      <c r="DW116" s="29"/>
      <c r="EA116" s="26">
        <v>0</v>
      </c>
      <c r="EB116" s="30"/>
      <c r="EC116" s="29"/>
      <c r="EF116" s="26">
        <v>0</v>
      </c>
      <c r="EG116" s="30"/>
      <c r="EH116">
        <v>24</v>
      </c>
      <c r="EI116" s="26">
        <v>21.8</v>
      </c>
      <c r="EJ116" s="26">
        <v>2.1999999999999988</v>
      </c>
      <c r="EK116" s="30"/>
      <c r="EL116" s="31"/>
      <c r="EN116" s="26">
        <v>0</v>
      </c>
      <c r="EO116" s="30"/>
      <c r="EP116" s="29"/>
      <c r="ER116" s="26">
        <v>0</v>
      </c>
      <c r="ES116" s="30"/>
      <c r="ET116" s="32">
        <v>16</v>
      </c>
      <c r="EU116">
        <v>14</v>
      </c>
      <c r="EV116" s="26">
        <v>2</v>
      </c>
      <c r="EW116" s="30"/>
      <c r="EZ116" s="26">
        <v>0</v>
      </c>
      <c r="FA116" s="30"/>
      <c r="FB116">
        <v>24</v>
      </c>
      <c r="FC116">
        <v>24</v>
      </c>
      <c r="FD116" s="26">
        <v>0</v>
      </c>
      <c r="FE116" s="30"/>
      <c r="FF116" s="29"/>
      <c r="FI116" s="26">
        <v>0</v>
      </c>
      <c r="FJ116" s="30"/>
      <c r="FK116" s="29"/>
      <c r="FN116" s="26">
        <v>0</v>
      </c>
      <c r="FO116" s="30"/>
      <c r="FP116">
        <v>32</v>
      </c>
      <c r="FQ116" s="28">
        <v>30.8</v>
      </c>
      <c r="FR116" s="26">
        <v>1.1999999999999991</v>
      </c>
      <c r="FS116" s="30"/>
      <c r="FT116" s="29"/>
      <c r="FY116" s="26">
        <v>0</v>
      </c>
      <c r="FZ116" s="30"/>
      <c r="GC116" s="26">
        <v>0</v>
      </c>
      <c r="GD116" s="30"/>
      <c r="GE116" s="29"/>
      <c r="GI116" s="26">
        <v>0</v>
      </c>
      <c r="GJ116" s="30"/>
      <c r="GM116">
        <v>32</v>
      </c>
      <c r="GN116">
        <v>32</v>
      </c>
      <c r="GO116" s="26">
        <v>0</v>
      </c>
      <c r="GP116" s="30"/>
      <c r="GQ116">
        <v>8</v>
      </c>
      <c r="GR116" s="28">
        <v>8</v>
      </c>
      <c r="GS116" s="26">
        <v>0</v>
      </c>
      <c r="GT116" s="30"/>
      <c r="GU116" s="32">
        <v>16</v>
      </c>
      <c r="GV116">
        <v>15</v>
      </c>
      <c r="GW116" s="26">
        <v>1</v>
      </c>
      <c r="GX116" s="30"/>
      <c r="GY116" s="29"/>
      <c r="HA116" s="26">
        <v>0</v>
      </c>
      <c r="HB116" s="30"/>
      <c r="HC116">
        <v>8</v>
      </c>
      <c r="HD116">
        <v>8</v>
      </c>
      <c r="HE116" s="26">
        <v>0</v>
      </c>
      <c r="HF116" s="30"/>
      <c r="HG116" s="32">
        <v>8</v>
      </c>
      <c r="HH116">
        <v>8</v>
      </c>
      <c r="HI116" s="26">
        <v>0</v>
      </c>
      <c r="HJ116" s="30"/>
      <c r="HK116" s="29"/>
      <c r="HM116" s="26">
        <v>0</v>
      </c>
      <c r="HN116" s="30"/>
      <c r="HQ116" s="26">
        <v>0</v>
      </c>
      <c r="HR116" s="33"/>
      <c r="HS116">
        <v>8</v>
      </c>
      <c r="HT116">
        <v>8</v>
      </c>
      <c r="HU116" s="26">
        <v>0</v>
      </c>
      <c r="HV116" s="30"/>
      <c r="HY116" s="26">
        <v>0</v>
      </c>
      <c r="HZ116" s="33"/>
      <c r="IC116" s="26">
        <v>0</v>
      </c>
      <c r="ID116" s="30"/>
      <c r="IE116">
        <v>8</v>
      </c>
      <c r="IF116">
        <v>8</v>
      </c>
      <c r="IG116" s="26">
        <v>0</v>
      </c>
      <c r="IH116" s="33"/>
      <c r="IK116" s="26">
        <v>0</v>
      </c>
      <c r="IL116" s="30"/>
      <c r="IM116" s="31"/>
      <c r="IO116" s="26">
        <v>0</v>
      </c>
      <c r="IP116" s="33"/>
      <c r="IS116" s="26">
        <v>0</v>
      </c>
      <c r="IT116" s="33"/>
      <c r="IW116" s="26">
        <v>0</v>
      </c>
      <c r="IX116" s="33"/>
      <c r="JA116" s="26">
        <v>0</v>
      </c>
      <c r="JB116" s="30"/>
      <c r="JC116" s="27"/>
      <c r="JE116" s="27"/>
      <c r="JG116" s="26">
        <v>0</v>
      </c>
      <c r="JH116" s="33"/>
      <c r="JI116" s="28">
        <v>48</v>
      </c>
      <c r="JJ116" s="28">
        <v>50</v>
      </c>
      <c r="JK116" s="26">
        <v>-2</v>
      </c>
      <c r="JL116" s="33"/>
      <c r="JP116" s="33"/>
      <c r="JQ116" s="31"/>
      <c r="JT116" s="33"/>
    </row>
    <row r="117" spans="1:280" x14ac:dyDescent="0.25">
      <c r="A117" s="26" t="s">
        <v>268</v>
      </c>
      <c r="B117" s="27">
        <v>1</v>
      </c>
      <c r="I117" s="29"/>
      <c r="J117" s="35"/>
      <c r="K117" s="40"/>
      <c r="L117" s="35"/>
      <c r="M117" s="35">
        <f t="shared" si="9"/>
        <v>0</v>
      </c>
      <c r="N117" s="30"/>
      <c r="O117" s="29"/>
      <c r="P117" s="35"/>
      <c r="Q117" s="35"/>
      <c r="R117" s="35"/>
      <c r="S117" s="35">
        <f t="shared" si="10"/>
        <v>0</v>
      </c>
      <c r="T117" s="30"/>
      <c r="U117" s="29"/>
      <c r="V117" s="40"/>
      <c r="W117" s="35"/>
      <c r="X117" s="35"/>
      <c r="Y117" s="35"/>
      <c r="Z117" s="35"/>
      <c r="AA117" s="35">
        <f t="shared" si="11"/>
        <v>0</v>
      </c>
      <c r="AB117" s="30"/>
      <c r="AC117" s="29"/>
      <c r="AD117" s="35"/>
      <c r="AE117" s="35"/>
      <c r="AF117" s="35"/>
      <c r="AG117" s="35">
        <v>0</v>
      </c>
      <c r="AH117" s="30"/>
      <c r="AI117" s="35"/>
      <c r="AM117" s="26">
        <v>0</v>
      </c>
      <c r="AN117" s="30"/>
      <c r="AO117" s="31"/>
      <c r="AS117" s="26">
        <v>0</v>
      </c>
      <c r="AT117" s="30"/>
      <c r="AY117" s="26">
        <v>0</v>
      </c>
      <c r="AZ117" s="30"/>
      <c r="BD117" s="26">
        <v>0</v>
      </c>
      <c r="BE117" s="30"/>
      <c r="BF117" s="29"/>
      <c r="BH117" s="26">
        <v>0</v>
      </c>
      <c r="BI117" s="30"/>
      <c r="BJ117" s="29"/>
      <c r="BL117" s="26">
        <v>0</v>
      </c>
      <c r="BM117" s="30"/>
      <c r="BP117" s="26">
        <v>0</v>
      </c>
      <c r="BQ117" s="30"/>
      <c r="BR117" s="29"/>
      <c r="BT117" s="26">
        <v>0</v>
      </c>
      <c r="BU117" s="30"/>
      <c r="BX117" s="26">
        <v>0</v>
      </c>
      <c r="BY117" s="30"/>
      <c r="BZ117" s="29"/>
      <c r="CB117" s="26">
        <v>0</v>
      </c>
      <c r="CC117" s="30"/>
      <c r="CD117" s="29"/>
      <c r="CF117" s="26">
        <v>0</v>
      </c>
      <c r="CG117" s="30"/>
      <c r="CJ117" s="26">
        <v>0</v>
      </c>
      <c r="CK117" s="30"/>
      <c r="CL117" s="29"/>
      <c r="CP117" s="26">
        <v>0</v>
      </c>
      <c r="CQ117" s="30"/>
      <c r="CR117" s="29"/>
      <c r="CT117" s="26">
        <v>0</v>
      </c>
      <c r="CU117" s="30"/>
      <c r="CZ117" s="26">
        <v>0</v>
      </c>
      <c r="DA117" s="30"/>
      <c r="DD117" s="26">
        <v>0</v>
      </c>
      <c r="DE117" s="30"/>
      <c r="DF117" s="29"/>
      <c r="DH117" s="26">
        <v>0</v>
      </c>
      <c r="DI117" s="30"/>
      <c r="DJ117" s="29"/>
      <c r="DL117" s="26">
        <v>0</v>
      </c>
      <c r="DM117" s="30"/>
      <c r="DP117" s="26">
        <v>0</v>
      </c>
      <c r="DQ117" s="30"/>
      <c r="DR117" s="29"/>
      <c r="DU117" s="26">
        <v>0</v>
      </c>
      <c r="DV117" s="30"/>
      <c r="DW117" s="29"/>
      <c r="EA117" s="26">
        <v>0</v>
      </c>
      <c r="EB117" s="30"/>
      <c r="EC117" s="29"/>
      <c r="EF117" s="26">
        <v>0</v>
      </c>
      <c r="EG117" s="30"/>
      <c r="EJ117" s="26">
        <v>0</v>
      </c>
      <c r="EK117" s="30"/>
      <c r="EL117" s="31"/>
      <c r="EN117" s="26">
        <v>0</v>
      </c>
      <c r="EO117" s="30"/>
      <c r="EP117" s="29"/>
      <c r="ER117" s="26">
        <v>0</v>
      </c>
      <c r="ES117" s="30"/>
      <c r="ET117" s="29"/>
      <c r="EV117" s="26">
        <v>0</v>
      </c>
      <c r="EW117" s="30"/>
      <c r="EZ117" s="26">
        <v>0</v>
      </c>
      <c r="FA117" s="30"/>
      <c r="FD117" s="26">
        <v>0</v>
      </c>
      <c r="FE117" s="30"/>
      <c r="FF117" s="29"/>
      <c r="FI117" s="26">
        <v>0</v>
      </c>
      <c r="FJ117" s="30"/>
      <c r="FK117" s="29"/>
      <c r="FN117" s="26">
        <v>0</v>
      </c>
      <c r="FO117" s="30"/>
      <c r="FR117" s="26">
        <v>0</v>
      </c>
      <c r="FS117" s="30"/>
      <c r="FT117" s="29"/>
      <c r="FY117" s="26">
        <v>0</v>
      </c>
      <c r="FZ117" s="30"/>
      <c r="GC117" s="26">
        <v>0</v>
      </c>
      <c r="GD117" s="30"/>
      <c r="GE117" s="29"/>
      <c r="GI117" s="26">
        <v>0</v>
      </c>
      <c r="GJ117" s="30"/>
      <c r="GO117" s="26">
        <v>0</v>
      </c>
      <c r="GP117" s="30"/>
      <c r="GS117" s="26">
        <v>0</v>
      </c>
      <c r="GT117" s="30"/>
      <c r="GU117" s="29"/>
      <c r="GW117" s="26">
        <v>0</v>
      </c>
      <c r="GX117" s="30"/>
      <c r="GY117" s="29"/>
      <c r="HA117" s="26">
        <v>0</v>
      </c>
      <c r="HB117" s="30"/>
      <c r="HE117" s="26">
        <v>0</v>
      </c>
      <c r="HF117" s="30"/>
      <c r="HG117" s="29"/>
      <c r="HI117" s="26">
        <v>0</v>
      </c>
      <c r="HJ117" s="30"/>
      <c r="HK117" s="29"/>
      <c r="HM117" s="26">
        <v>0</v>
      </c>
      <c r="HN117" s="30"/>
      <c r="HQ117" s="26">
        <v>0</v>
      </c>
      <c r="HR117" s="33"/>
      <c r="HU117" s="26">
        <v>0</v>
      </c>
      <c r="HV117" s="30"/>
      <c r="HY117" s="26">
        <v>0</v>
      </c>
      <c r="HZ117" s="33"/>
      <c r="IC117" s="26">
        <v>0</v>
      </c>
      <c r="ID117" s="30"/>
      <c r="IG117" s="26">
        <v>0</v>
      </c>
      <c r="IH117" s="33"/>
      <c r="IK117" s="26">
        <v>0</v>
      </c>
      <c r="IL117" s="30"/>
      <c r="IM117" s="31"/>
      <c r="IO117" s="26">
        <v>0</v>
      </c>
      <c r="IP117" s="33"/>
      <c r="IS117" s="26">
        <v>0</v>
      </c>
      <c r="IT117" s="33"/>
      <c r="IW117" s="26">
        <v>0</v>
      </c>
      <c r="IX117" s="33"/>
      <c r="JA117" s="26">
        <v>0</v>
      </c>
      <c r="JB117" s="30"/>
      <c r="JC117" s="27"/>
      <c r="JE117" s="27"/>
      <c r="JG117" s="26">
        <v>0</v>
      </c>
      <c r="JH117" s="33"/>
      <c r="JI117" s="28">
        <v>0</v>
      </c>
      <c r="JJ117" s="28">
        <v>0</v>
      </c>
      <c r="JK117" s="26">
        <v>0</v>
      </c>
      <c r="JL117" s="33"/>
      <c r="JM117" s="28">
        <v>0</v>
      </c>
      <c r="JN117" s="28">
        <v>0</v>
      </c>
      <c r="JO117" s="26">
        <v>0</v>
      </c>
      <c r="JP117" s="33"/>
      <c r="JQ117" s="31">
        <v>0</v>
      </c>
      <c r="JR117" s="28">
        <v>0</v>
      </c>
      <c r="JS117" s="26">
        <v>0</v>
      </c>
      <c r="JT117" s="33"/>
    </row>
    <row r="118" spans="1:280" x14ac:dyDescent="0.25">
      <c r="A118" s="26" t="s">
        <v>269</v>
      </c>
      <c r="B118" s="27">
        <v>0.33</v>
      </c>
      <c r="I118" s="29"/>
      <c r="J118" s="35"/>
      <c r="K118" s="40"/>
      <c r="L118" s="36">
        <v>16</v>
      </c>
      <c r="M118" s="41">
        <f t="shared" si="9"/>
        <v>-16</v>
      </c>
      <c r="N118" s="30">
        <f>-1*M118*B118</f>
        <v>5.28</v>
      </c>
      <c r="O118" s="29"/>
      <c r="P118" s="36">
        <v>22</v>
      </c>
      <c r="Q118" s="35"/>
      <c r="R118" s="36">
        <v>21</v>
      </c>
      <c r="S118" s="41">
        <f t="shared" si="10"/>
        <v>-43</v>
      </c>
      <c r="T118" s="30">
        <f>-1*S118*B118</f>
        <v>14.190000000000001</v>
      </c>
      <c r="U118" s="29"/>
      <c r="V118" s="40"/>
      <c r="W118" s="35"/>
      <c r="X118" s="35"/>
      <c r="Y118" s="35"/>
      <c r="Z118" s="36">
        <v>16</v>
      </c>
      <c r="AA118" s="41">
        <f t="shared" si="11"/>
        <v>-16</v>
      </c>
      <c r="AB118" s="30">
        <f>-1*AA118*B118</f>
        <v>5.28</v>
      </c>
      <c r="AC118" s="29"/>
      <c r="AD118" s="35"/>
      <c r="AE118" s="36">
        <v>32</v>
      </c>
      <c r="AF118" s="40">
        <v>33</v>
      </c>
      <c r="AG118" s="35">
        <v>-1</v>
      </c>
      <c r="AH118" s="30"/>
      <c r="AI118" s="35"/>
      <c r="AL118">
        <v>16</v>
      </c>
      <c r="AM118" s="25">
        <v>-16</v>
      </c>
      <c r="AN118" s="30">
        <v>5.28</v>
      </c>
      <c r="AO118" s="31"/>
      <c r="AQ118">
        <v>16</v>
      </c>
      <c r="AR118">
        <v>16</v>
      </c>
      <c r="AS118" s="26">
        <v>0</v>
      </c>
      <c r="AT118" s="30"/>
      <c r="AU118">
        <v>8</v>
      </c>
      <c r="AV118">
        <v>8</v>
      </c>
      <c r="AY118" s="26">
        <v>0</v>
      </c>
      <c r="AZ118" s="30"/>
      <c r="BC118">
        <v>43</v>
      </c>
      <c r="BD118" s="25">
        <v>-43</v>
      </c>
      <c r="BE118" s="30">
        <v>14.19</v>
      </c>
      <c r="BF118" s="29"/>
      <c r="BH118" s="26">
        <v>0</v>
      </c>
      <c r="BI118" s="30"/>
      <c r="BJ118" s="32">
        <v>24</v>
      </c>
      <c r="BK118">
        <v>28</v>
      </c>
      <c r="BL118" s="26">
        <v>-4</v>
      </c>
      <c r="BM118" s="30"/>
      <c r="BO118">
        <v>34</v>
      </c>
      <c r="BP118" s="25">
        <v>-34</v>
      </c>
      <c r="BQ118" s="30">
        <v>11.22</v>
      </c>
      <c r="BR118" s="32">
        <v>8</v>
      </c>
      <c r="BS118">
        <v>8</v>
      </c>
      <c r="BT118" s="26">
        <v>0</v>
      </c>
      <c r="BU118" s="30"/>
      <c r="BV118">
        <v>32</v>
      </c>
      <c r="BW118">
        <v>32</v>
      </c>
      <c r="BX118" s="26">
        <v>0</v>
      </c>
      <c r="BY118" s="30"/>
      <c r="BZ118" s="29"/>
      <c r="CB118" s="26">
        <v>0</v>
      </c>
      <c r="CC118" s="30"/>
      <c r="CD118" s="29"/>
      <c r="CF118" s="26">
        <v>0</v>
      </c>
      <c r="CG118" s="30"/>
      <c r="CH118">
        <v>16</v>
      </c>
      <c r="CI118">
        <v>15</v>
      </c>
      <c r="CJ118" s="26">
        <v>1</v>
      </c>
      <c r="CK118" s="30"/>
      <c r="CL118" s="29"/>
      <c r="CN118">
        <v>8</v>
      </c>
      <c r="CO118">
        <v>8</v>
      </c>
      <c r="CP118" s="26">
        <v>0</v>
      </c>
      <c r="CQ118" s="30"/>
      <c r="CR118" s="29"/>
      <c r="CT118" s="26">
        <v>0</v>
      </c>
      <c r="CU118" s="30"/>
      <c r="CX118">
        <v>8</v>
      </c>
      <c r="CY118">
        <v>8</v>
      </c>
      <c r="CZ118" s="26">
        <v>0</v>
      </c>
      <c r="DA118" s="30"/>
      <c r="DB118">
        <v>8</v>
      </c>
      <c r="DC118">
        <v>8</v>
      </c>
      <c r="DD118" s="26">
        <v>0</v>
      </c>
      <c r="DE118" s="30"/>
      <c r="DF118" s="32">
        <v>8</v>
      </c>
      <c r="DG118">
        <v>8</v>
      </c>
      <c r="DH118" s="26">
        <v>0</v>
      </c>
      <c r="DI118" s="30"/>
      <c r="DJ118" s="29"/>
      <c r="DL118" s="26">
        <v>0</v>
      </c>
      <c r="DM118" s="30"/>
      <c r="DP118" s="26">
        <v>0</v>
      </c>
      <c r="DQ118" s="30"/>
      <c r="DR118" s="29"/>
      <c r="DU118" s="26">
        <v>0</v>
      </c>
      <c r="DV118" s="30"/>
      <c r="DW118" s="29"/>
      <c r="EA118" s="26">
        <v>0</v>
      </c>
      <c r="EB118" s="30"/>
      <c r="EC118" s="32">
        <v>16</v>
      </c>
      <c r="EE118">
        <v>16</v>
      </c>
      <c r="EF118" s="26">
        <v>0</v>
      </c>
      <c r="EG118" s="30"/>
      <c r="EI118" s="26">
        <v>8</v>
      </c>
      <c r="EJ118" s="25">
        <v>-8</v>
      </c>
      <c r="EK118" s="30">
        <v>2.64</v>
      </c>
      <c r="EL118" s="31"/>
      <c r="EN118" s="26">
        <v>0</v>
      </c>
      <c r="EO118" s="30"/>
      <c r="EP118" s="29"/>
      <c r="ER118" s="26">
        <v>0</v>
      </c>
      <c r="ES118" s="30"/>
      <c r="ET118" s="29"/>
      <c r="EV118" s="26">
        <v>0</v>
      </c>
      <c r="EW118" s="30"/>
      <c r="EX118">
        <v>8</v>
      </c>
      <c r="EY118" s="28">
        <v>8</v>
      </c>
      <c r="EZ118" s="26">
        <v>0</v>
      </c>
      <c r="FA118" s="30"/>
      <c r="FD118" s="26">
        <v>0</v>
      </c>
      <c r="FE118" s="30"/>
      <c r="FF118" s="32">
        <v>8</v>
      </c>
      <c r="FH118">
        <v>8</v>
      </c>
      <c r="FI118" s="26">
        <v>0</v>
      </c>
      <c r="FJ118" s="30"/>
      <c r="FK118" s="32">
        <v>8</v>
      </c>
      <c r="FM118">
        <v>8</v>
      </c>
      <c r="FN118" s="26">
        <v>0</v>
      </c>
      <c r="FO118" s="30"/>
      <c r="FR118" s="26">
        <v>0</v>
      </c>
      <c r="FS118" s="30"/>
      <c r="FT118" s="29"/>
      <c r="FW118">
        <v>8</v>
      </c>
      <c r="FX118">
        <v>11</v>
      </c>
      <c r="FY118" s="26">
        <v>-3</v>
      </c>
      <c r="FZ118" s="30"/>
      <c r="GC118" s="26">
        <v>0</v>
      </c>
      <c r="GD118" s="30"/>
      <c r="GE118" s="29"/>
      <c r="GI118" s="26">
        <v>0</v>
      </c>
      <c r="GJ118" s="30"/>
      <c r="GO118" s="26">
        <v>0</v>
      </c>
      <c r="GP118" s="30"/>
      <c r="GS118" s="26">
        <v>0</v>
      </c>
      <c r="GT118" s="30"/>
      <c r="GU118" s="32">
        <v>16</v>
      </c>
      <c r="GV118">
        <v>14</v>
      </c>
      <c r="GW118" s="26">
        <v>2</v>
      </c>
      <c r="GX118" s="30"/>
      <c r="GY118" s="29"/>
      <c r="HA118" s="26">
        <v>0</v>
      </c>
      <c r="HB118" s="30"/>
      <c r="HE118" s="26">
        <v>0</v>
      </c>
      <c r="HF118" s="30"/>
      <c r="HG118" s="32">
        <v>16</v>
      </c>
      <c r="HH118">
        <v>16</v>
      </c>
      <c r="HI118" s="26">
        <v>0</v>
      </c>
      <c r="HJ118" s="30"/>
      <c r="HK118" s="29"/>
      <c r="HM118" s="26">
        <v>0</v>
      </c>
      <c r="HN118" s="30"/>
      <c r="HP118">
        <v>8</v>
      </c>
      <c r="HQ118" s="25">
        <v>-8</v>
      </c>
      <c r="HR118" s="30">
        <v>2.64</v>
      </c>
      <c r="HS118">
        <v>8</v>
      </c>
      <c r="HT118">
        <v>11</v>
      </c>
      <c r="HU118" s="26">
        <v>-3</v>
      </c>
      <c r="HV118" s="30"/>
      <c r="HY118" s="26">
        <v>0</v>
      </c>
      <c r="HZ118" s="33"/>
      <c r="IC118" s="26">
        <v>0</v>
      </c>
      <c r="ID118" s="30"/>
      <c r="IG118" s="26">
        <v>0</v>
      </c>
      <c r="IH118" s="33"/>
      <c r="IK118" s="26">
        <v>0</v>
      </c>
      <c r="IL118" s="30"/>
      <c r="IM118" s="31"/>
      <c r="IO118" s="26">
        <v>0</v>
      </c>
      <c r="IP118" s="33"/>
      <c r="IQ118">
        <v>16</v>
      </c>
      <c r="IR118">
        <v>16</v>
      </c>
      <c r="IS118" s="26">
        <v>0</v>
      </c>
      <c r="IT118" s="33"/>
      <c r="IW118" s="26">
        <v>0</v>
      </c>
      <c r="IX118" s="33"/>
      <c r="JA118" s="26">
        <v>0</v>
      </c>
      <c r="JB118" s="30"/>
      <c r="JC118" s="27"/>
      <c r="JE118" s="27"/>
      <c r="JG118" s="26">
        <v>0</v>
      </c>
      <c r="JH118" s="33"/>
      <c r="JI118" s="28">
        <v>0</v>
      </c>
      <c r="JJ118" s="28">
        <v>0</v>
      </c>
      <c r="JK118" s="26">
        <v>0</v>
      </c>
      <c r="JL118" s="33"/>
      <c r="JM118" s="28">
        <v>0</v>
      </c>
      <c r="JN118" s="28">
        <v>0</v>
      </c>
      <c r="JO118" s="26">
        <v>0</v>
      </c>
      <c r="JP118" s="33"/>
      <c r="JQ118" s="31">
        <v>0</v>
      </c>
      <c r="JR118" s="28">
        <v>0</v>
      </c>
      <c r="JS118" s="26">
        <v>0</v>
      </c>
      <c r="JT118" s="33"/>
    </row>
    <row r="119" spans="1:280" x14ac:dyDescent="0.25">
      <c r="A119" s="26" t="s">
        <v>270</v>
      </c>
      <c r="B119" s="27">
        <v>1</v>
      </c>
      <c r="I119" s="29"/>
      <c r="J119" s="35"/>
      <c r="K119" s="40"/>
      <c r="L119" s="35"/>
      <c r="M119" s="35">
        <f t="shared" si="9"/>
        <v>0</v>
      </c>
      <c r="N119" s="30"/>
      <c r="O119" s="29"/>
      <c r="P119" s="35"/>
      <c r="Q119" s="35"/>
      <c r="R119" s="35"/>
      <c r="S119" s="35">
        <f t="shared" si="10"/>
        <v>0</v>
      </c>
      <c r="T119" s="30"/>
      <c r="U119" s="29"/>
      <c r="V119" s="40"/>
      <c r="W119" s="35"/>
      <c r="X119" s="35"/>
      <c r="Y119" s="35"/>
      <c r="Z119" s="35"/>
      <c r="AA119" s="35">
        <f t="shared" si="11"/>
        <v>0</v>
      </c>
      <c r="AB119" s="30"/>
      <c r="AC119" s="29"/>
      <c r="AD119" s="35"/>
      <c r="AE119" s="35"/>
      <c r="AF119" s="35"/>
      <c r="AG119" s="35">
        <v>0</v>
      </c>
      <c r="AH119" s="30"/>
      <c r="AI119" s="35"/>
      <c r="AM119" s="26">
        <v>0</v>
      </c>
      <c r="AN119" s="30"/>
      <c r="AO119" s="31"/>
      <c r="AS119" s="26">
        <v>0</v>
      </c>
      <c r="AT119" s="30"/>
      <c r="AY119" s="26">
        <v>0</v>
      </c>
      <c r="AZ119" s="30"/>
      <c r="BD119" s="26">
        <v>0</v>
      </c>
      <c r="BE119" s="30"/>
      <c r="BF119" s="29"/>
      <c r="BH119" s="26">
        <v>0</v>
      </c>
      <c r="BI119" s="30"/>
      <c r="BJ119" s="29"/>
      <c r="BL119" s="26">
        <v>0</v>
      </c>
      <c r="BM119" s="30"/>
      <c r="BP119" s="26">
        <v>0</v>
      </c>
      <c r="BQ119" s="30"/>
      <c r="BR119" s="29"/>
      <c r="BT119" s="26">
        <v>0</v>
      </c>
      <c r="BU119" s="30"/>
      <c r="BX119" s="26">
        <v>0</v>
      </c>
      <c r="BY119" s="30"/>
      <c r="BZ119" s="29"/>
      <c r="CB119" s="26">
        <v>0</v>
      </c>
      <c r="CC119" s="30"/>
      <c r="CD119" s="29"/>
      <c r="CF119" s="26">
        <v>0</v>
      </c>
      <c r="CG119" s="30"/>
      <c r="CJ119" s="26">
        <v>0</v>
      </c>
      <c r="CK119" s="30"/>
      <c r="CL119" s="29"/>
      <c r="CP119" s="26">
        <v>0</v>
      </c>
      <c r="CQ119" s="30"/>
      <c r="CR119" s="29"/>
      <c r="CT119" s="26">
        <v>0</v>
      </c>
      <c r="CU119" s="30"/>
      <c r="CZ119" s="26">
        <v>0</v>
      </c>
      <c r="DA119" s="30"/>
      <c r="DD119" s="26">
        <v>0</v>
      </c>
      <c r="DE119" s="30"/>
      <c r="DF119" s="29"/>
      <c r="DH119" s="26">
        <v>0</v>
      </c>
      <c r="DI119" s="30"/>
      <c r="DJ119" s="29"/>
      <c r="DL119" s="26">
        <v>0</v>
      </c>
      <c r="DM119" s="30"/>
      <c r="DP119" s="26">
        <v>0</v>
      </c>
      <c r="DQ119" s="30"/>
      <c r="DR119" s="29"/>
      <c r="DU119" s="26">
        <v>0</v>
      </c>
      <c r="DV119" s="30"/>
      <c r="DW119" s="29"/>
      <c r="EA119" s="26">
        <v>0</v>
      </c>
      <c r="EB119" s="30"/>
      <c r="EC119" s="29"/>
      <c r="EF119" s="26">
        <v>0</v>
      </c>
      <c r="EG119" s="30"/>
      <c r="EJ119" s="26">
        <v>0</v>
      </c>
      <c r="EK119" s="30"/>
      <c r="EL119" s="31"/>
      <c r="EN119" s="26">
        <v>0</v>
      </c>
      <c r="EO119" s="30"/>
      <c r="EP119" s="29"/>
      <c r="ER119" s="26">
        <v>0</v>
      </c>
      <c r="ES119" s="30"/>
      <c r="ET119" s="29"/>
      <c r="EV119" s="26">
        <v>0</v>
      </c>
      <c r="EW119" s="30"/>
      <c r="EZ119" s="26">
        <v>0</v>
      </c>
      <c r="FA119" s="30"/>
      <c r="FD119" s="26">
        <v>0</v>
      </c>
      <c r="FE119" s="30"/>
      <c r="FF119" s="29"/>
      <c r="FI119" s="26">
        <v>0</v>
      </c>
      <c r="FJ119" s="30"/>
      <c r="FK119" s="29"/>
      <c r="FN119" s="26">
        <v>0</v>
      </c>
      <c r="FO119" s="30"/>
      <c r="FR119" s="26">
        <v>0</v>
      </c>
      <c r="FS119" s="30"/>
      <c r="FT119" s="29"/>
      <c r="FY119" s="26">
        <v>0</v>
      </c>
      <c r="FZ119" s="30"/>
      <c r="GC119" s="26">
        <v>0</v>
      </c>
      <c r="GD119" s="30"/>
      <c r="GE119" s="29"/>
      <c r="GI119" s="26">
        <v>0</v>
      </c>
      <c r="GJ119" s="30"/>
      <c r="GO119" s="26">
        <v>0</v>
      </c>
      <c r="GP119" s="30"/>
      <c r="GS119" s="26">
        <v>0</v>
      </c>
      <c r="GT119" s="30"/>
      <c r="GU119" s="29"/>
      <c r="GW119" s="26">
        <v>0</v>
      </c>
      <c r="GX119" s="30"/>
      <c r="GY119" s="29"/>
      <c r="HA119" s="26">
        <v>0</v>
      </c>
      <c r="HB119" s="30"/>
      <c r="HE119" s="26">
        <v>0</v>
      </c>
      <c r="HF119" s="30"/>
      <c r="HG119" s="29"/>
      <c r="HI119" s="26">
        <v>0</v>
      </c>
      <c r="HJ119" s="30"/>
      <c r="HK119" s="29"/>
      <c r="HM119" s="26">
        <v>0</v>
      </c>
      <c r="HN119" s="30"/>
      <c r="HQ119" s="26">
        <v>0</v>
      </c>
      <c r="HR119" s="33"/>
      <c r="HU119" s="26">
        <v>0</v>
      </c>
      <c r="HV119" s="30"/>
      <c r="HY119" s="26">
        <v>0</v>
      </c>
      <c r="HZ119" s="33"/>
      <c r="IC119" s="26">
        <v>0</v>
      </c>
      <c r="ID119" s="30"/>
      <c r="IG119" s="26">
        <v>0</v>
      </c>
      <c r="IH119" s="33"/>
      <c r="IK119" s="26">
        <v>0</v>
      </c>
      <c r="IL119" s="30"/>
      <c r="IM119" s="31"/>
      <c r="IO119" s="26">
        <v>0</v>
      </c>
      <c r="IP119" s="33"/>
      <c r="IS119" s="26">
        <v>0</v>
      </c>
      <c r="IT119" s="33"/>
      <c r="IW119" s="26">
        <v>0</v>
      </c>
      <c r="IX119" s="33"/>
      <c r="JA119" s="26">
        <v>0</v>
      </c>
      <c r="JB119" s="30"/>
      <c r="JC119" s="27"/>
      <c r="JE119" s="27"/>
      <c r="JG119" s="26">
        <v>0</v>
      </c>
      <c r="JH119" s="33"/>
      <c r="JI119" s="28">
        <v>0</v>
      </c>
      <c r="JJ119" s="28">
        <v>0</v>
      </c>
      <c r="JK119" s="26">
        <v>0</v>
      </c>
      <c r="JL119" s="33"/>
      <c r="JM119" s="28">
        <v>0</v>
      </c>
      <c r="JN119" s="28">
        <v>0</v>
      </c>
      <c r="JO119" s="26">
        <v>0</v>
      </c>
      <c r="JP119" s="33"/>
      <c r="JQ119" s="31">
        <v>0</v>
      </c>
      <c r="JR119" s="28">
        <v>0</v>
      </c>
      <c r="JS119" s="26">
        <v>0</v>
      </c>
      <c r="JT119" s="33"/>
    </row>
    <row r="120" spans="1:280" x14ac:dyDescent="0.25">
      <c r="A120" s="26" t="s">
        <v>271</v>
      </c>
      <c r="B120" s="27">
        <v>0.33</v>
      </c>
      <c r="E120">
        <v>79</v>
      </c>
      <c r="F120">
        <v>80</v>
      </c>
      <c r="I120" s="29"/>
      <c r="J120" s="35"/>
      <c r="K120" s="40"/>
      <c r="L120" s="35"/>
      <c r="M120" s="35">
        <f t="shared" si="9"/>
        <v>0</v>
      </c>
      <c r="N120" s="30"/>
      <c r="O120" s="29"/>
      <c r="P120" s="35"/>
      <c r="Q120" s="36">
        <v>16</v>
      </c>
      <c r="R120" s="36">
        <v>23</v>
      </c>
      <c r="S120" s="35">
        <f t="shared" si="10"/>
        <v>-7</v>
      </c>
      <c r="T120" s="30"/>
      <c r="U120" s="29"/>
      <c r="V120" s="40"/>
      <c r="W120" s="35"/>
      <c r="X120" s="35"/>
      <c r="Y120" s="36">
        <v>104</v>
      </c>
      <c r="Z120" s="36">
        <v>108</v>
      </c>
      <c r="AA120" s="35">
        <f t="shared" si="11"/>
        <v>-4</v>
      </c>
      <c r="AB120" s="30"/>
      <c r="AC120" s="29"/>
      <c r="AD120" s="35"/>
      <c r="AE120" s="35"/>
      <c r="AF120" s="35"/>
      <c r="AG120" s="35">
        <v>0</v>
      </c>
      <c r="AH120" s="30"/>
      <c r="AI120" s="35"/>
      <c r="AM120" s="26">
        <v>0</v>
      </c>
      <c r="AN120" s="30"/>
      <c r="AO120" s="31"/>
      <c r="AQ120">
        <v>144</v>
      </c>
      <c r="AR120">
        <v>150</v>
      </c>
      <c r="AS120" s="26">
        <v>-6</v>
      </c>
      <c r="AT120" s="30"/>
      <c r="AY120" s="26">
        <v>0</v>
      </c>
      <c r="AZ120" s="30"/>
      <c r="BB120">
        <v>96</v>
      </c>
      <c r="BC120">
        <v>98</v>
      </c>
      <c r="BD120" s="26">
        <v>-2</v>
      </c>
      <c r="BE120" s="30"/>
      <c r="BF120" s="32">
        <v>24</v>
      </c>
      <c r="BG120">
        <v>28</v>
      </c>
      <c r="BH120" s="26">
        <v>-4</v>
      </c>
      <c r="BI120" s="30"/>
      <c r="BJ120" s="29"/>
      <c r="BL120" s="26">
        <v>0</v>
      </c>
      <c r="BM120" s="30"/>
      <c r="BN120">
        <v>104</v>
      </c>
      <c r="BO120">
        <v>102</v>
      </c>
      <c r="BP120" s="26">
        <v>2</v>
      </c>
      <c r="BQ120" s="30"/>
      <c r="BR120" s="32">
        <v>8</v>
      </c>
      <c r="BS120">
        <v>6</v>
      </c>
      <c r="BT120" s="26">
        <v>2</v>
      </c>
      <c r="BU120" s="30"/>
      <c r="BV120">
        <v>8</v>
      </c>
      <c r="BW120">
        <v>8</v>
      </c>
      <c r="BX120" s="26">
        <v>0</v>
      </c>
      <c r="BY120" s="30"/>
      <c r="BZ120" s="32">
        <v>56</v>
      </c>
      <c r="CA120">
        <v>56</v>
      </c>
      <c r="CB120" s="26">
        <v>0</v>
      </c>
      <c r="CC120" s="30"/>
      <c r="CD120" s="29"/>
      <c r="CF120" s="26">
        <v>0</v>
      </c>
      <c r="CG120" s="30"/>
      <c r="CH120">
        <v>32</v>
      </c>
      <c r="CI120">
        <v>34</v>
      </c>
      <c r="CJ120" s="26">
        <v>-2</v>
      </c>
      <c r="CK120" s="30"/>
      <c r="CL120" s="29"/>
      <c r="CP120" s="26">
        <v>0</v>
      </c>
      <c r="CQ120" s="30"/>
      <c r="CR120" s="32">
        <v>32</v>
      </c>
      <c r="CS120">
        <v>33</v>
      </c>
      <c r="CT120" s="26">
        <v>-1</v>
      </c>
      <c r="CU120" s="30"/>
      <c r="CX120">
        <v>16</v>
      </c>
      <c r="CY120">
        <v>15</v>
      </c>
      <c r="CZ120" s="26">
        <v>1</v>
      </c>
      <c r="DA120" s="30"/>
      <c r="DD120" s="26">
        <v>0</v>
      </c>
      <c r="DE120" s="30"/>
      <c r="DF120" s="32">
        <v>24</v>
      </c>
      <c r="DG120">
        <v>28</v>
      </c>
      <c r="DH120" s="26">
        <v>-4</v>
      </c>
      <c r="DI120" s="30"/>
      <c r="DJ120" s="29"/>
      <c r="DL120" s="26">
        <v>0</v>
      </c>
      <c r="DM120" s="30"/>
      <c r="DN120">
        <v>24</v>
      </c>
      <c r="DO120">
        <v>25</v>
      </c>
      <c r="DP120" s="26">
        <v>-1</v>
      </c>
      <c r="DQ120" s="30"/>
      <c r="DR120" s="29"/>
      <c r="DU120" s="26">
        <v>0</v>
      </c>
      <c r="DV120" s="30"/>
      <c r="DW120" s="29"/>
      <c r="EA120" s="26">
        <v>0</v>
      </c>
      <c r="EB120" s="30"/>
      <c r="EC120" s="32">
        <v>40</v>
      </c>
      <c r="EE120">
        <v>43</v>
      </c>
      <c r="EF120" s="26">
        <v>-3</v>
      </c>
      <c r="EG120" s="30"/>
      <c r="EH120">
        <v>8</v>
      </c>
      <c r="EI120" s="26">
        <v>11.8</v>
      </c>
      <c r="EJ120" s="26">
        <v>-3.8000000000000012</v>
      </c>
      <c r="EK120" s="30"/>
      <c r="EL120" s="31"/>
      <c r="EN120" s="26">
        <v>0</v>
      </c>
      <c r="EO120" s="30"/>
      <c r="EP120" s="32">
        <v>40</v>
      </c>
      <c r="EQ120" s="26">
        <v>38.799999999999997</v>
      </c>
      <c r="ER120" s="26">
        <v>1.2000000000000031</v>
      </c>
      <c r="ES120" s="30"/>
      <c r="ET120" s="32">
        <v>8</v>
      </c>
      <c r="EU120">
        <v>7</v>
      </c>
      <c r="EV120" s="26">
        <v>1</v>
      </c>
      <c r="EW120" s="30"/>
      <c r="EX120">
        <v>8</v>
      </c>
      <c r="EY120" s="28">
        <v>7.8000000000000043</v>
      </c>
      <c r="EZ120" s="26">
        <v>0.19999999999999571</v>
      </c>
      <c r="FA120" s="30"/>
      <c r="FB120">
        <v>16</v>
      </c>
      <c r="FC120">
        <v>16</v>
      </c>
      <c r="FD120" s="26">
        <v>0</v>
      </c>
      <c r="FE120" s="30"/>
      <c r="FF120" s="32">
        <v>32</v>
      </c>
      <c r="FH120">
        <v>32</v>
      </c>
      <c r="FI120" s="26">
        <v>0</v>
      </c>
      <c r="FJ120" s="30"/>
      <c r="FK120" s="32">
        <v>24</v>
      </c>
      <c r="FM120">
        <v>28</v>
      </c>
      <c r="FN120" s="26">
        <v>-4</v>
      </c>
      <c r="FO120" s="30"/>
      <c r="FR120" s="26">
        <v>0</v>
      </c>
      <c r="FS120" s="30"/>
      <c r="FT120" s="29"/>
      <c r="FY120" s="26">
        <v>0</v>
      </c>
      <c r="FZ120" s="30"/>
      <c r="GA120">
        <v>48</v>
      </c>
      <c r="GB120" s="28">
        <v>50.8</v>
      </c>
      <c r="GC120" s="26">
        <v>-2.7999999999999972</v>
      </c>
      <c r="GD120" s="30"/>
      <c r="GE120" s="29"/>
      <c r="GI120" s="26">
        <v>0</v>
      </c>
      <c r="GJ120" s="30"/>
      <c r="GM120">
        <v>8</v>
      </c>
      <c r="GN120">
        <v>10</v>
      </c>
      <c r="GO120" s="26">
        <v>-2</v>
      </c>
      <c r="GP120" s="30"/>
      <c r="GQ120">
        <v>32</v>
      </c>
      <c r="GR120" s="28">
        <v>32</v>
      </c>
      <c r="GS120" s="26">
        <v>0</v>
      </c>
      <c r="GT120" s="30"/>
      <c r="GU120" s="32">
        <v>16</v>
      </c>
      <c r="GV120">
        <v>20</v>
      </c>
      <c r="GW120" s="26">
        <v>-4</v>
      </c>
      <c r="GX120" s="30"/>
      <c r="GY120" s="29"/>
      <c r="HA120" s="26">
        <v>0</v>
      </c>
      <c r="HB120" s="30"/>
      <c r="HC120">
        <v>32</v>
      </c>
      <c r="HD120">
        <v>32</v>
      </c>
      <c r="HE120" s="26">
        <v>0</v>
      </c>
      <c r="HF120" s="30"/>
      <c r="HG120" s="32">
        <v>8</v>
      </c>
      <c r="HH120">
        <v>8</v>
      </c>
      <c r="HI120" s="26">
        <v>0</v>
      </c>
      <c r="HJ120" s="30"/>
      <c r="HK120" s="32">
        <v>16</v>
      </c>
      <c r="HL120">
        <v>21</v>
      </c>
      <c r="HM120" s="26">
        <v>-5</v>
      </c>
      <c r="HN120" s="30"/>
      <c r="HQ120" s="26">
        <v>0</v>
      </c>
      <c r="HR120" s="33"/>
      <c r="HU120" s="26">
        <v>0</v>
      </c>
      <c r="HV120" s="30"/>
      <c r="HW120">
        <v>24</v>
      </c>
      <c r="HX120">
        <v>24</v>
      </c>
      <c r="HY120" s="26">
        <v>0</v>
      </c>
      <c r="HZ120" s="33"/>
      <c r="IC120" s="26">
        <v>0</v>
      </c>
      <c r="ID120" s="30"/>
      <c r="IE120">
        <v>8</v>
      </c>
      <c r="IF120">
        <v>8</v>
      </c>
      <c r="IG120" s="26">
        <v>0</v>
      </c>
      <c r="IH120" s="33"/>
      <c r="II120">
        <v>8</v>
      </c>
      <c r="IJ120" s="28">
        <v>9.8000000000000043</v>
      </c>
      <c r="IK120" s="26">
        <v>-1.800000000000004</v>
      </c>
      <c r="IL120" s="30"/>
      <c r="IM120" s="32">
        <v>8</v>
      </c>
      <c r="IN120" s="28">
        <v>10</v>
      </c>
      <c r="IO120" s="26">
        <v>-2</v>
      </c>
      <c r="IP120" s="33"/>
      <c r="IS120" s="26">
        <v>0</v>
      </c>
      <c r="IT120" s="33"/>
      <c r="IW120" s="26">
        <v>0</v>
      </c>
      <c r="IX120" s="33"/>
      <c r="JA120" s="26">
        <v>0</v>
      </c>
      <c r="JB120" s="30"/>
      <c r="JC120">
        <v>40</v>
      </c>
      <c r="JD120">
        <v>40</v>
      </c>
      <c r="JE120">
        <v>24</v>
      </c>
      <c r="JF120">
        <v>22</v>
      </c>
      <c r="JG120" s="26">
        <v>2</v>
      </c>
      <c r="JH120" s="33"/>
      <c r="JI120" s="28">
        <v>24</v>
      </c>
      <c r="JJ120" s="28">
        <v>24</v>
      </c>
      <c r="JK120" s="26">
        <v>0</v>
      </c>
      <c r="JL120" s="33"/>
      <c r="JM120" s="28">
        <v>0</v>
      </c>
      <c r="JN120" s="28">
        <v>0</v>
      </c>
      <c r="JO120" s="26">
        <v>0</v>
      </c>
      <c r="JP120" s="33"/>
      <c r="JQ120" s="31">
        <v>0</v>
      </c>
      <c r="JR120" s="28">
        <v>0</v>
      </c>
      <c r="JS120" s="26">
        <v>0</v>
      </c>
      <c r="JT120" s="33"/>
    </row>
    <row r="121" spans="1:280" x14ac:dyDescent="0.25">
      <c r="A121" s="26" t="s">
        <v>272</v>
      </c>
      <c r="B121" s="27">
        <v>1</v>
      </c>
      <c r="I121" s="29"/>
      <c r="J121" s="35"/>
      <c r="K121" s="40"/>
      <c r="L121" s="35"/>
      <c r="M121" s="35">
        <f t="shared" si="9"/>
        <v>0</v>
      </c>
      <c r="N121" s="30"/>
      <c r="O121" s="29"/>
      <c r="P121" s="35"/>
      <c r="Q121" s="35"/>
      <c r="R121" s="35"/>
      <c r="S121" s="35">
        <f t="shared" si="10"/>
        <v>0</v>
      </c>
      <c r="T121" s="30"/>
      <c r="U121" s="29"/>
      <c r="V121" s="40"/>
      <c r="W121" s="35"/>
      <c r="X121" s="35"/>
      <c r="Y121" s="35"/>
      <c r="Z121" s="35"/>
      <c r="AA121" s="35">
        <f t="shared" si="11"/>
        <v>0</v>
      </c>
      <c r="AB121" s="30"/>
      <c r="AC121" s="29"/>
      <c r="AD121" s="35"/>
      <c r="AE121" s="35"/>
      <c r="AF121" s="35"/>
      <c r="AG121" s="35">
        <v>0</v>
      </c>
      <c r="AH121" s="30"/>
      <c r="AI121" s="35"/>
      <c r="AM121" s="26">
        <v>0</v>
      </c>
      <c r="AN121" s="30"/>
      <c r="AO121" s="31"/>
      <c r="AS121" s="26">
        <v>0</v>
      </c>
      <c r="AT121" s="30"/>
      <c r="AY121" s="26">
        <v>0</v>
      </c>
      <c r="AZ121" s="30"/>
      <c r="BD121" s="26">
        <v>0</v>
      </c>
      <c r="BE121" s="30"/>
      <c r="BF121" s="29"/>
      <c r="BH121" s="26">
        <v>0</v>
      </c>
      <c r="BI121" s="30"/>
      <c r="BJ121" s="29"/>
      <c r="BL121" s="26">
        <v>0</v>
      </c>
      <c r="BM121" s="30"/>
      <c r="BP121" s="26">
        <v>0</v>
      </c>
      <c r="BQ121" s="30"/>
      <c r="BR121" s="29"/>
      <c r="BT121" s="26">
        <v>0</v>
      </c>
      <c r="BU121" s="30"/>
      <c r="BX121" s="26">
        <v>0</v>
      </c>
      <c r="BY121" s="30"/>
      <c r="BZ121" s="29"/>
      <c r="CB121" s="26">
        <v>0</v>
      </c>
      <c r="CC121" s="30"/>
      <c r="CD121" s="29"/>
      <c r="CF121" s="26">
        <v>0</v>
      </c>
      <c r="CG121" s="30"/>
      <c r="CJ121" s="26">
        <v>0</v>
      </c>
      <c r="CK121" s="30"/>
      <c r="CL121" s="29"/>
      <c r="CP121" s="26">
        <v>0</v>
      </c>
      <c r="CQ121" s="30"/>
      <c r="CR121" s="29"/>
      <c r="CT121" s="26">
        <v>0</v>
      </c>
      <c r="CU121" s="30"/>
      <c r="CZ121" s="26">
        <v>0</v>
      </c>
      <c r="DA121" s="30"/>
      <c r="DD121" s="26">
        <v>0</v>
      </c>
      <c r="DE121" s="30"/>
      <c r="DF121" s="29"/>
      <c r="DH121" s="26">
        <v>0</v>
      </c>
      <c r="DI121" s="30"/>
      <c r="DJ121" s="29"/>
      <c r="DL121" s="26">
        <v>0</v>
      </c>
      <c r="DM121" s="30"/>
      <c r="DP121" s="26">
        <v>0</v>
      </c>
      <c r="DQ121" s="30"/>
      <c r="DR121" s="29"/>
      <c r="DU121" s="26">
        <v>0</v>
      </c>
      <c r="DV121" s="30"/>
      <c r="DW121" s="29"/>
      <c r="EA121" s="26">
        <v>0</v>
      </c>
      <c r="EB121" s="30"/>
      <c r="EC121" s="29"/>
      <c r="EF121" s="26">
        <v>0</v>
      </c>
      <c r="EG121" s="30"/>
      <c r="EJ121" s="26">
        <v>0</v>
      </c>
      <c r="EK121" s="30"/>
      <c r="EL121" s="31"/>
      <c r="EN121" s="26">
        <v>0</v>
      </c>
      <c r="EO121" s="30"/>
      <c r="EP121" s="29"/>
      <c r="ER121" s="26">
        <v>0</v>
      </c>
      <c r="ES121" s="30"/>
      <c r="ET121" s="29"/>
      <c r="EV121" s="26">
        <v>0</v>
      </c>
      <c r="EW121" s="30"/>
      <c r="EZ121" s="26">
        <v>0</v>
      </c>
      <c r="FA121" s="30"/>
      <c r="FD121" s="26">
        <v>0</v>
      </c>
      <c r="FE121" s="30"/>
      <c r="FF121" s="29"/>
      <c r="FI121" s="26">
        <v>0</v>
      </c>
      <c r="FJ121" s="30"/>
      <c r="FK121" s="29"/>
      <c r="FN121" s="26">
        <v>0</v>
      </c>
      <c r="FO121" s="30"/>
      <c r="FR121" s="26">
        <v>0</v>
      </c>
      <c r="FS121" s="30"/>
      <c r="FT121" s="29"/>
      <c r="FY121" s="26">
        <v>0</v>
      </c>
      <c r="FZ121" s="30"/>
      <c r="GC121" s="26">
        <v>0</v>
      </c>
      <c r="GD121" s="30"/>
      <c r="GE121" s="29"/>
      <c r="GI121" s="26">
        <v>0</v>
      </c>
      <c r="GJ121" s="30"/>
      <c r="GO121" s="26">
        <v>0</v>
      </c>
      <c r="GP121" s="30"/>
      <c r="GS121" s="26">
        <v>0</v>
      </c>
      <c r="GT121" s="30"/>
      <c r="GU121" s="29"/>
      <c r="GW121" s="26">
        <v>0</v>
      </c>
      <c r="GX121" s="30"/>
      <c r="GY121" s="29"/>
      <c r="HA121" s="26">
        <v>0</v>
      </c>
      <c r="HB121" s="30"/>
      <c r="HE121" s="26">
        <v>0</v>
      </c>
      <c r="HF121" s="30"/>
      <c r="HG121" s="32">
        <v>10</v>
      </c>
      <c r="HH121">
        <v>10</v>
      </c>
      <c r="HI121" s="26">
        <v>0</v>
      </c>
      <c r="HJ121" s="30"/>
      <c r="HK121" s="29"/>
      <c r="HM121" s="26">
        <v>0</v>
      </c>
      <c r="HN121" s="30"/>
      <c r="HQ121" s="26">
        <v>0</v>
      </c>
      <c r="HR121" s="33"/>
      <c r="HT121">
        <v>1</v>
      </c>
      <c r="HU121" s="26">
        <v>-1</v>
      </c>
      <c r="HV121" s="30"/>
      <c r="HW121">
        <v>5</v>
      </c>
      <c r="HX121">
        <v>4</v>
      </c>
      <c r="HY121" s="26">
        <v>1</v>
      </c>
      <c r="HZ121" s="33"/>
      <c r="IC121" s="26">
        <v>0</v>
      </c>
      <c r="ID121" s="30"/>
      <c r="IE121">
        <v>5</v>
      </c>
      <c r="IF121">
        <v>8</v>
      </c>
      <c r="IG121" s="26">
        <v>-3</v>
      </c>
      <c r="IH121" s="33"/>
      <c r="IK121" s="26">
        <v>0</v>
      </c>
      <c r="IL121" s="30"/>
      <c r="IM121" s="31"/>
      <c r="IO121" s="26">
        <v>0</v>
      </c>
      <c r="IP121" s="33"/>
      <c r="IS121" s="26">
        <v>0</v>
      </c>
      <c r="IT121" s="33"/>
      <c r="IU121">
        <v>10</v>
      </c>
      <c r="IV121">
        <v>8</v>
      </c>
      <c r="IW121" s="26">
        <v>-2</v>
      </c>
      <c r="IX121" s="33"/>
      <c r="JA121" s="26">
        <v>0</v>
      </c>
      <c r="JB121" s="30"/>
      <c r="JC121" s="27"/>
      <c r="JE121">
        <v>26</v>
      </c>
      <c r="JF121">
        <v>27</v>
      </c>
      <c r="JG121" s="26">
        <v>-1</v>
      </c>
      <c r="JH121" s="33"/>
      <c r="JI121" s="28">
        <v>5.2450000000000001</v>
      </c>
      <c r="JJ121" s="28">
        <v>7</v>
      </c>
      <c r="JK121" s="26">
        <v>-1.7549999999999999</v>
      </c>
      <c r="JL121" s="33"/>
      <c r="JM121" s="28">
        <v>0</v>
      </c>
      <c r="JN121" s="28">
        <v>0</v>
      </c>
      <c r="JO121" s="26">
        <v>0</v>
      </c>
      <c r="JP121" s="33"/>
      <c r="JQ121" s="31">
        <v>0</v>
      </c>
      <c r="JR121" s="28">
        <v>0</v>
      </c>
      <c r="JS121" s="26">
        <v>0</v>
      </c>
      <c r="JT121" s="33"/>
    </row>
    <row r="122" spans="1:280" x14ac:dyDescent="0.25">
      <c r="A122" s="26" t="s">
        <v>273</v>
      </c>
      <c r="B122" s="27">
        <v>0.33</v>
      </c>
      <c r="I122" s="29"/>
      <c r="J122" s="35"/>
      <c r="K122" s="40"/>
      <c r="L122" s="35"/>
      <c r="M122" s="35">
        <f t="shared" si="9"/>
        <v>0</v>
      </c>
      <c r="N122" s="30"/>
      <c r="O122" s="29"/>
      <c r="P122" s="35"/>
      <c r="Q122" s="35"/>
      <c r="R122" s="35"/>
      <c r="S122" s="35">
        <f t="shared" si="10"/>
        <v>0</v>
      </c>
      <c r="T122" s="30"/>
      <c r="U122" s="29"/>
      <c r="V122" s="40"/>
      <c r="W122" s="35"/>
      <c r="X122" s="35"/>
      <c r="Y122" s="35"/>
      <c r="Z122" s="35"/>
      <c r="AA122" s="35">
        <f t="shared" si="11"/>
        <v>0</v>
      </c>
      <c r="AB122" s="30"/>
      <c r="AC122" s="29"/>
      <c r="AD122" s="35"/>
      <c r="AE122" s="35"/>
      <c r="AF122" s="35"/>
      <c r="AG122" s="35">
        <v>0</v>
      </c>
      <c r="AH122" s="30"/>
      <c r="AI122" s="35"/>
      <c r="AM122" s="26">
        <v>0</v>
      </c>
      <c r="AN122" s="30"/>
      <c r="AO122" s="31"/>
      <c r="AS122" s="26">
        <v>0</v>
      </c>
      <c r="AT122" s="30"/>
      <c r="AY122" s="26">
        <v>0</v>
      </c>
      <c r="AZ122" s="30"/>
      <c r="BD122" s="26">
        <v>0</v>
      </c>
      <c r="BE122" s="30"/>
      <c r="BF122" s="29"/>
      <c r="BH122" s="26">
        <v>0</v>
      </c>
      <c r="BI122" s="30"/>
      <c r="BJ122" s="29"/>
      <c r="BL122" s="26">
        <v>0</v>
      </c>
      <c r="BM122" s="30"/>
      <c r="BP122" s="26">
        <v>0</v>
      </c>
      <c r="BQ122" s="30"/>
      <c r="BR122" s="29"/>
      <c r="BT122" s="26">
        <v>0</v>
      </c>
      <c r="BU122" s="30"/>
      <c r="BX122" s="26">
        <v>0</v>
      </c>
      <c r="BY122" s="30"/>
      <c r="BZ122" s="29"/>
      <c r="CB122" s="26">
        <v>0</v>
      </c>
      <c r="CC122" s="30"/>
      <c r="CD122" s="29"/>
      <c r="CF122" s="26">
        <v>0</v>
      </c>
      <c r="CG122" s="30"/>
      <c r="CJ122" s="26">
        <v>0</v>
      </c>
      <c r="CK122" s="30"/>
      <c r="CL122" s="29"/>
      <c r="CP122" s="26">
        <v>0</v>
      </c>
      <c r="CQ122" s="30"/>
      <c r="CR122" s="29"/>
      <c r="CT122" s="26">
        <v>0</v>
      </c>
      <c r="CU122" s="30"/>
      <c r="CZ122" s="26">
        <v>0</v>
      </c>
      <c r="DA122" s="30"/>
      <c r="DD122" s="26">
        <v>0</v>
      </c>
      <c r="DE122" s="30"/>
      <c r="DF122" s="29"/>
      <c r="DH122" s="26">
        <v>0</v>
      </c>
      <c r="DI122" s="30"/>
      <c r="DJ122" s="29"/>
      <c r="DL122" s="26">
        <v>0</v>
      </c>
      <c r="DM122" s="30"/>
      <c r="DP122" s="26">
        <v>0</v>
      </c>
      <c r="DQ122" s="30"/>
      <c r="DR122" s="29"/>
      <c r="DU122" s="26">
        <v>0</v>
      </c>
      <c r="DV122" s="30"/>
      <c r="DW122" s="29"/>
      <c r="EA122" s="26">
        <v>0</v>
      </c>
      <c r="EB122" s="30"/>
      <c r="EC122" s="29"/>
      <c r="EF122" s="26">
        <v>0</v>
      </c>
      <c r="EG122" s="30"/>
      <c r="EJ122" s="26">
        <v>0</v>
      </c>
      <c r="EK122" s="30"/>
      <c r="EL122" s="31"/>
      <c r="EN122" s="26">
        <v>0</v>
      </c>
      <c r="EO122" s="30"/>
      <c r="EP122" s="29"/>
      <c r="ER122" s="26">
        <v>0</v>
      </c>
      <c r="ES122" s="30"/>
      <c r="ET122" s="29"/>
      <c r="EV122" s="26">
        <v>0</v>
      </c>
      <c r="EW122" s="30"/>
      <c r="EZ122" s="26">
        <v>0</v>
      </c>
      <c r="FA122" s="30"/>
      <c r="FD122" s="26">
        <v>0</v>
      </c>
      <c r="FE122" s="30"/>
      <c r="FF122" s="29"/>
      <c r="FI122" s="26">
        <v>0</v>
      </c>
      <c r="FJ122" s="30"/>
      <c r="FK122" s="29"/>
      <c r="FN122" s="26">
        <v>0</v>
      </c>
      <c r="FO122" s="30"/>
      <c r="FR122" s="26">
        <v>0</v>
      </c>
      <c r="FS122" s="30"/>
      <c r="FT122" s="29"/>
      <c r="FY122" s="26">
        <v>0</v>
      </c>
      <c r="FZ122" s="30"/>
      <c r="GC122" s="26">
        <v>0</v>
      </c>
      <c r="GD122" s="30"/>
      <c r="GE122" s="29"/>
      <c r="GI122" s="26">
        <v>0</v>
      </c>
      <c r="GJ122" s="30"/>
      <c r="GO122" s="26">
        <v>0</v>
      </c>
      <c r="GP122" s="30"/>
      <c r="GS122" s="26">
        <v>0</v>
      </c>
      <c r="GT122" s="30"/>
      <c r="GU122" s="29"/>
      <c r="GW122" s="26">
        <v>0</v>
      </c>
      <c r="GX122" s="30"/>
      <c r="GY122" s="29"/>
      <c r="HA122" s="26">
        <v>0</v>
      </c>
      <c r="HB122" s="30"/>
      <c r="HC122">
        <v>16</v>
      </c>
      <c r="HD122">
        <v>16</v>
      </c>
      <c r="HE122" s="26">
        <v>0</v>
      </c>
      <c r="HF122" s="30"/>
      <c r="HG122" s="29"/>
      <c r="HI122" s="26">
        <v>0</v>
      </c>
      <c r="HJ122" s="30"/>
      <c r="HK122" s="29"/>
      <c r="HM122" s="26">
        <v>0</v>
      </c>
      <c r="HN122" s="30"/>
      <c r="HQ122" s="26">
        <v>0</v>
      </c>
      <c r="HR122" s="33"/>
      <c r="HS122">
        <v>8</v>
      </c>
      <c r="HT122">
        <v>9</v>
      </c>
      <c r="HU122" s="26">
        <v>-1</v>
      </c>
      <c r="HV122" s="30"/>
      <c r="HY122" s="26">
        <v>0</v>
      </c>
      <c r="HZ122" s="33"/>
      <c r="IC122" s="26">
        <v>0</v>
      </c>
      <c r="ID122" s="30"/>
      <c r="IG122" s="26">
        <v>0</v>
      </c>
      <c r="IH122" s="33"/>
      <c r="IK122" s="26">
        <v>0</v>
      </c>
      <c r="IL122" s="30"/>
      <c r="IM122" s="31"/>
      <c r="IO122" s="26">
        <v>0</v>
      </c>
      <c r="IP122" s="33"/>
      <c r="IQ122">
        <v>16</v>
      </c>
      <c r="IR122">
        <v>16</v>
      </c>
      <c r="IS122" s="26">
        <v>0</v>
      </c>
      <c r="IT122" s="33"/>
      <c r="IW122" s="26">
        <v>0</v>
      </c>
      <c r="IX122" s="33"/>
      <c r="JA122" s="26">
        <v>0</v>
      </c>
      <c r="JB122" s="30"/>
      <c r="JC122" s="27"/>
      <c r="JE122" s="27"/>
      <c r="JG122" s="26">
        <v>0</v>
      </c>
      <c r="JH122" s="33"/>
      <c r="JI122" s="28">
        <v>0</v>
      </c>
      <c r="JJ122" s="28">
        <v>0</v>
      </c>
      <c r="JK122" s="26">
        <v>0</v>
      </c>
      <c r="JL122" s="33"/>
      <c r="JM122" s="28">
        <v>0</v>
      </c>
      <c r="JN122" s="28">
        <v>0</v>
      </c>
      <c r="JO122" s="26">
        <v>0</v>
      </c>
      <c r="JP122" s="33"/>
      <c r="JQ122" s="31">
        <v>0</v>
      </c>
      <c r="JR122" s="28">
        <v>0</v>
      </c>
      <c r="JS122" s="26">
        <v>0</v>
      </c>
      <c r="JT122" s="33"/>
    </row>
    <row r="123" spans="1:280" x14ac:dyDescent="0.25">
      <c r="A123" s="26" t="s">
        <v>274</v>
      </c>
      <c r="B123" s="27">
        <v>1</v>
      </c>
      <c r="I123" s="29"/>
      <c r="J123" s="35"/>
      <c r="K123" s="40"/>
      <c r="L123" s="35"/>
      <c r="M123" s="35">
        <f t="shared" si="9"/>
        <v>0</v>
      </c>
      <c r="N123" s="30"/>
      <c r="O123" s="29"/>
      <c r="P123" s="35"/>
      <c r="Q123" s="35"/>
      <c r="R123" s="35"/>
      <c r="S123" s="35">
        <f t="shared" si="10"/>
        <v>0</v>
      </c>
      <c r="T123" s="30"/>
      <c r="U123" s="29"/>
      <c r="V123" s="40"/>
      <c r="W123" s="35"/>
      <c r="X123" s="35"/>
      <c r="Y123" s="35"/>
      <c r="Z123" s="35"/>
      <c r="AA123" s="35">
        <f t="shared" si="11"/>
        <v>0</v>
      </c>
      <c r="AB123" s="30"/>
      <c r="AC123" s="29"/>
      <c r="AD123" s="35"/>
      <c r="AE123" s="35"/>
      <c r="AF123" s="35"/>
      <c r="AG123" s="35">
        <v>0</v>
      </c>
      <c r="AH123" s="30"/>
      <c r="AI123" s="35"/>
      <c r="AM123" s="26">
        <v>0</v>
      </c>
      <c r="AN123" s="30"/>
      <c r="AO123" s="31"/>
      <c r="AS123" s="26">
        <v>0</v>
      </c>
      <c r="AT123" s="30"/>
      <c r="AY123" s="26">
        <v>0</v>
      </c>
      <c r="AZ123" s="30"/>
      <c r="BD123" s="26">
        <v>0</v>
      </c>
      <c r="BE123" s="30"/>
      <c r="BF123" s="29"/>
      <c r="BH123" s="26">
        <v>0</v>
      </c>
      <c r="BI123" s="30"/>
      <c r="BJ123" s="29"/>
      <c r="BL123" s="26">
        <v>0</v>
      </c>
      <c r="BM123" s="30"/>
      <c r="BP123" s="26">
        <v>0</v>
      </c>
      <c r="BQ123" s="30"/>
      <c r="BR123" s="29"/>
      <c r="BT123" s="26">
        <v>0</v>
      </c>
      <c r="BU123" s="30"/>
      <c r="BX123" s="26">
        <v>0</v>
      </c>
      <c r="BY123" s="30"/>
      <c r="BZ123" s="29"/>
      <c r="CB123" s="26">
        <v>0</v>
      </c>
      <c r="CC123" s="30"/>
      <c r="CD123" s="29"/>
      <c r="CF123" s="26">
        <v>0</v>
      </c>
      <c r="CG123" s="30"/>
      <c r="CJ123" s="26">
        <v>0</v>
      </c>
      <c r="CK123" s="30"/>
      <c r="CL123" s="29"/>
      <c r="CP123" s="26">
        <v>0</v>
      </c>
      <c r="CQ123" s="30"/>
      <c r="CR123" s="29"/>
      <c r="CT123" s="26">
        <v>0</v>
      </c>
      <c r="CU123" s="30"/>
      <c r="CZ123" s="26">
        <v>0</v>
      </c>
      <c r="DA123" s="30"/>
      <c r="DD123" s="26">
        <v>0</v>
      </c>
      <c r="DE123" s="30"/>
      <c r="DF123" s="29"/>
      <c r="DH123" s="26">
        <v>0</v>
      </c>
      <c r="DI123" s="30"/>
      <c r="DJ123" s="29"/>
      <c r="DL123" s="26">
        <v>0</v>
      </c>
      <c r="DM123" s="30"/>
      <c r="DP123" s="26">
        <v>0</v>
      </c>
      <c r="DQ123" s="30"/>
      <c r="DR123" s="29"/>
      <c r="DU123" s="26">
        <v>0</v>
      </c>
      <c r="DV123" s="30"/>
      <c r="DW123" s="29"/>
      <c r="EA123" s="26">
        <v>0</v>
      </c>
      <c r="EB123" s="30"/>
      <c r="EC123" s="29"/>
      <c r="EF123" s="26">
        <v>0</v>
      </c>
      <c r="EG123" s="30"/>
      <c r="EJ123" s="26">
        <v>0</v>
      </c>
      <c r="EK123" s="30"/>
      <c r="EL123" s="31"/>
      <c r="EN123" s="26">
        <v>0</v>
      </c>
      <c r="EO123" s="30"/>
      <c r="EP123" s="29"/>
      <c r="ER123" s="26">
        <v>0</v>
      </c>
      <c r="ES123" s="30"/>
      <c r="ET123" s="29"/>
      <c r="EV123" s="26">
        <v>0</v>
      </c>
      <c r="EW123" s="30"/>
      <c r="EZ123" s="26">
        <v>0</v>
      </c>
      <c r="FA123" s="30"/>
      <c r="FD123" s="26">
        <v>0</v>
      </c>
      <c r="FE123" s="30"/>
      <c r="FF123" s="29"/>
      <c r="FI123" s="26">
        <v>0</v>
      </c>
      <c r="FJ123" s="30"/>
      <c r="FK123" s="29"/>
      <c r="FN123" s="26">
        <v>0</v>
      </c>
      <c r="FO123" s="30"/>
      <c r="FR123" s="26">
        <v>0</v>
      </c>
      <c r="FS123" s="30"/>
      <c r="FT123" s="29"/>
      <c r="FY123" s="26">
        <v>0</v>
      </c>
      <c r="FZ123" s="30"/>
      <c r="GC123" s="26">
        <v>0</v>
      </c>
      <c r="GD123" s="30"/>
      <c r="GE123" s="29"/>
      <c r="GI123" s="26">
        <v>0</v>
      </c>
      <c r="GJ123" s="30"/>
      <c r="GO123" s="26">
        <v>0</v>
      </c>
      <c r="GP123" s="30"/>
      <c r="GS123" s="26">
        <v>0</v>
      </c>
      <c r="GT123" s="30"/>
      <c r="GU123" s="29"/>
      <c r="GW123" s="26">
        <v>0</v>
      </c>
      <c r="GX123" s="30"/>
      <c r="GY123" s="29"/>
      <c r="HA123" s="26">
        <v>0</v>
      </c>
      <c r="HB123" s="30"/>
      <c r="HE123" s="26">
        <v>0</v>
      </c>
      <c r="HF123" s="30"/>
      <c r="HG123" s="29"/>
      <c r="HI123" s="26">
        <v>0</v>
      </c>
      <c r="HJ123" s="30"/>
      <c r="HK123" s="29"/>
      <c r="HM123" s="26">
        <v>0</v>
      </c>
      <c r="HN123" s="30"/>
      <c r="HQ123" s="26">
        <v>0</v>
      </c>
      <c r="HR123" s="33"/>
      <c r="HU123" s="26">
        <v>0</v>
      </c>
      <c r="HV123" s="30"/>
      <c r="HY123" s="26">
        <v>0</v>
      </c>
      <c r="HZ123" s="33"/>
      <c r="IC123" s="26">
        <v>0</v>
      </c>
      <c r="ID123" s="30"/>
      <c r="IG123" s="26">
        <v>0</v>
      </c>
      <c r="IH123" s="33"/>
      <c r="IK123" s="26">
        <v>0</v>
      </c>
      <c r="IL123" s="30"/>
      <c r="IM123" s="31"/>
      <c r="IO123" s="26">
        <v>0</v>
      </c>
      <c r="IP123" s="33"/>
      <c r="IS123" s="26">
        <v>0</v>
      </c>
      <c r="IT123" s="33"/>
      <c r="IW123" s="26">
        <v>0</v>
      </c>
      <c r="IX123" s="33"/>
      <c r="JA123" s="26">
        <v>0</v>
      </c>
      <c r="JB123" s="30"/>
      <c r="JC123" s="27"/>
      <c r="JE123" s="27"/>
      <c r="JG123" s="26">
        <v>0</v>
      </c>
      <c r="JH123" s="33"/>
      <c r="JI123" s="28">
        <v>0</v>
      </c>
      <c r="JJ123" s="28">
        <v>0</v>
      </c>
      <c r="JK123" s="26">
        <v>0</v>
      </c>
      <c r="JL123" s="33"/>
      <c r="JM123" s="28">
        <v>0</v>
      </c>
      <c r="JN123" s="28">
        <v>0</v>
      </c>
      <c r="JO123" s="26">
        <v>0</v>
      </c>
      <c r="JP123" s="33"/>
      <c r="JQ123" s="31">
        <v>0</v>
      </c>
      <c r="JR123" s="28">
        <v>0</v>
      </c>
      <c r="JS123" s="26">
        <v>0</v>
      </c>
      <c r="JT123" s="33"/>
    </row>
    <row r="124" spans="1:280" x14ac:dyDescent="0.25">
      <c r="A124" s="26" t="s">
        <v>275</v>
      </c>
      <c r="B124" s="27">
        <v>0.75</v>
      </c>
      <c r="I124" s="29"/>
      <c r="J124" s="35"/>
      <c r="K124" s="40"/>
      <c r="L124" s="35"/>
      <c r="M124" s="35">
        <f t="shared" si="9"/>
        <v>0</v>
      </c>
      <c r="N124" s="30"/>
      <c r="O124" s="29"/>
      <c r="P124" s="35"/>
      <c r="Q124" s="35"/>
      <c r="R124" s="35"/>
      <c r="S124" s="35">
        <f t="shared" si="10"/>
        <v>0</v>
      </c>
      <c r="T124" s="30"/>
      <c r="U124" s="29"/>
      <c r="V124" s="40"/>
      <c r="W124" s="35"/>
      <c r="X124" s="35"/>
      <c r="Y124" s="35"/>
      <c r="Z124" s="35"/>
      <c r="AA124" s="35">
        <f t="shared" si="11"/>
        <v>0</v>
      </c>
      <c r="AB124" s="30"/>
      <c r="AC124" s="29"/>
      <c r="AD124" s="35"/>
      <c r="AE124" s="35"/>
      <c r="AF124" s="35"/>
      <c r="AG124" s="35">
        <v>0</v>
      </c>
      <c r="AH124" s="30"/>
      <c r="AI124" s="35"/>
      <c r="AM124" s="26">
        <v>0</v>
      </c>
      <c r="AN124" s="30"/>
      <c r="AO124" s="31"/>
      <c r="AS124" s="26">
        <v>0</v>
      </c>
      <c r="AT124" s="30"/>
      <c r="AY124" s="26">
        <v>0</v>
      </c>
      <c r="AZ124" s="30"/>
      <c r="BD124" s="26">
        <v>0</v>
      </c>
      <c r="BE124" s="30"/>
      <c r="BF124" s="29"/>
      <c r="BH124" s="26">
        <v>0</v>
      </c>
      <c r="BI124" s="30"/>
      <c r="BJ124" s="29"/>
      <c r="BL124" s="26">
        <v>0</v>
      </c>
      <c r="BM124" s="30"/>
      <c r="BP124" s="26">
        <v>0</v>
      </c>
      <c r="BQ124" s="30"/>
      <c r="BR124" s="29"/>
      <c r="BT124" s="26">
        <v>0</v>
      </c>
      <c r="BU124" s="30"/>
      <c r="BX124" s="26">
        <v>0</v>
      </c>
      <c r="BY124" s="30"/>
      <c r="BZ124" s="29"/>
      <c r="CB124" s="26">
        <v>0</v>
      </c>
      <c r="CC124" s="30"/>
      <c r="CD124" s="29"/>
      <c r="CF124" s="26">
        <v>0</v>
      </c>
      <c r="CG124" s="30"/>
      <c r="CJ124" s="26">
        <v>0</v>
      </c>
      <c r="CK124" s="30"/>
      <c r="CL124" s="29"/>
      <c r="CP124" s="26">
        <v>0</v>
      </c>
      <c r="CQ124" s="30"/>
      <c r="CR124" s="29"/>
      <c r="CT124" s="26">
        <v>0</v>
      </c>
      <c r="CU124" s="30"/>
      <c r="CZ124" s="26">
        <v>0</v>
      </c>
      <c r="DA124" s="30"/>
      <c r="DD124" s="26">
        <v>0</v>
      </c>
      <c r="DE124" s="30"/>
      <c r="DF124" s="29"/>
      <c r="DH124" s="26">
        <v>0</v>
      </c>
      <c r="DI124" s="30"/>
      <c r="DJ124" s="29"/>
      <c r="DL124" s="26">
        <v>0</v>
      </c>
      <c r="DM124" s="30"/>
      <c r="DP124" s="26">
        <v>0</v>
      </c>
      <c r="DQ124" s="30"/>
      <c r="DR124" s="29"/>
      <c r="DU124" s="26">
        <v>0</v>
      </c>
      <c r="DV124" s="30"/>
      <c r="DW124" s="29"/>
      <c r="EA124" s="26">
        <v>0</v>
      </c>
      <c r="EB124" s="30"/>
      <c r="EC124" s="29"/>
      <c r="EF124" s="26">
        <v>0</v>
      </c>
      <c r="EG124" s="30"/>
      <c r="EJ124" s="26">
        <v>0</v>
      </c>
      <c r="EK124" s="30"/>
      <c r="EL124" s="31"/>
      <c r="EN124" s="26">
        <v>0</v>
      </c>
      <c r="EO124" s="30"/>
      <c r="EP124" s="29"/>
      <c r="ER124" s="26">
        <v>0</v>
      </c>
      <c r="ES124" s="30"/>
      <c r="ET124" s="29"/>
      <c r="EV124" s="26">
        <v>0</v>
      </c>
      <c r="EW124" s="30"/>
      <c r="EZ124" s="26">
        <v>0</v>
      </c>
      <c r="FA124" s="30"/>
      <c r="FD124" s="26">
        <v>0</v>
      </c>
      <c r="FE124" s="30"/>
      <c r="FF124" s="29"/>
      <c r="FI124" s="26">
        <v>0</v>
      </c>
      <c r="FJ124" s="30"/>
      <c r="FK124" s="29"/>
      <c r="FN124" s="26">
        <v>0</v>
      </c>
      <c r="FO124" s="30"/>
      <c r="FR124" s="26">
        <v>0</v>
      </c>
      <c r="FS124" s="30"/>
      <c r="FT124" s="29"/>
      <c r="FY124" s="26">
        <v>0</v>
      </c>
      <c r="FZ124" s="30"/>
      <c r="GC124" s="26">
        <v>0</v>
      </c>
      <c r="GD124" s="30"/>
      <c r="GE124" s="29"/>
      <c r="GI124" s="26">
        <v>0</v>
      </c>
      <c r="GJ124" s="30"/>
      <c r="GO124" s="26">
        <v>0</v>
      </c>
      <c r="GP124" s="30"/>
      <c r="GS124" s="26">
        <v>0</v>
      </c>
      <c r="GT124" s="30"/>
      <c r="GU124" s="29"/>
      <c r="GW124" s="26">
        <v>0</v>
      </c>
      <c r="GX124" s="30"/>
      <c r="GY124" s="29"/>
      <c r="HA124" s="26">
        <v>0</v>
      </c>
      <c r="HB124" s="30"/>
      <c r="HE124" s="26">
        <v>0</v>
      </c>
      <c r="HF124" s="30"/>
      <c r="HG124" s="29"/>
      <c r="HI124" s="26">
        <v>0</v>
      </c>
      <c r="HJ124" s="30"/>
      <c r="HK124" s="29"/>
      <c r="HM124" s="26">
        <v>0</v>
      </c>
      <c r="HN124" s="30"/>
      <c r="HQ124" s="26">
        <v>0</v>
      </c>
      <c r="HR124" s="33"/>
      <c r="HU124" s="26">
        <v>0</v>
      </c>
      <c r="HV124" s="30"/>
      <c r="HY124" s="26">
        <v>0</v>
      </c>
      <c r="HZ124" s="33"/>
      <c r="IC124" s="26">
        <v>0</v>
      </c>
      <c r="ID124" s="30"/>
      <c r="IG124" s="26">
        <v>0</v>
      </c>
      <c r="IH124" s="33"/>
      <c r="IK124" s="26">
        <v>0</v>
      </c>
      <c r="IL124" s="30"/>
      <c r="IM124" s="31"/>
      <c r="IO124" s="26">
        <v>0</v>
      </c>
      <c r="IP124" s="33"/>
      <c r="IS124" s="26">
        <v>0</v>
      </c>
      <c r="IT124" s="33"/>
      <c r="IW124" s="26">
        <v>0</v>
      </c>
      <c r="IX124" s="33"/>
      <c r="JA124" s="26">
        <v>0</v>
      </c>
      <c r="JB124" s="30"/>
      <c r="JC124" s="27"/>
      <c r="JE124" s="27"/>
      <c r="JG124" s="26">
        <v>0</v>
      </c>
      <c r="JH124" s="33"/>
      <c r="JI124" s="28">
        <v>0</v>
      </c>
      <c r="JJ124" s="28">
        <v>0</v>
      </c>
      <c r="JK124" s="26">
        <v>0</v>
      </c>
      <c r="JL124" s="33"/>
      <c r="JM124" s="28">
        <v>0</v>
      </c>
      <c r="JN124" s="28">
        <v>0</v>
      </c>
      <c r="JO124" s="26">
        <v>0</v>
      </c>
      <c r="JP124" s="33"/>
      <c r="JQ124" s="31">
        <v>0</v>
      </c>
      <c r="JR124" s="28">
        <v>0</v>
      </c>
      <c r="JS124" s="26">
        <v>0</v>
      </c>
      <c r="JT124" s="33"/>
    </row>
    <row r="125" spans="1:280" x14ac:dyDescent="0.25">
      <c r="A125" s="26" t="s">
        <v>276</v>
      </c>
      <c r="B125" s="27">
        <v>0.66</v>
      </c>
      <c r="I125" s="29"/>
      <c r="J125" s="35"/>
      <c r="K125" s="40"/>
      <c r="L125" s="35"/>
      <c r="M125" s="35">
        <f t="shared" si="9"/>
        <v>0</v>
      </c>
      <c r="N125" s="30"/>
      <c r="O125" s="29"/>
      <c r="P125" s="35"/>
      <c r="Q125" s="35"/>
      <c r="R125" s="35"/>
      <c r="S125" s="35">
        <f t="shared" si="10"/>
        <v>0</v>
      </c>
      <c r="T125" s="30"/>
      <c r="U125" s="29"/>
      <c r="V125" s="40"/>
      <c r="W125" s="35"/>
      <c r="X125" s="35"/>
      <c r="Y125" s="35"/>
      <c r="Z125" s="35"/>
      <c r="AA125" s="35">
        <f t="shared" si="11"/>
        <v>0</v>
      </c>
      <c r="AB125" s="30"/>
      <c r="AC125" s="29"/>
      <c r="AD125" s="35"/>
      <c r="AE125" s="35"/>
      <c r="AF125" s="35"/>
      <c r="AG125" s="35">
        <v>0</v>
      </c>
      <c r="AH125" s="30"/>
      <c r="AI125" s="35"/>
      <c r="AM125" s="26">
        <v>0</v>
      </c>
      <c r="AN125" s="30"/>
      <c r="AO125" s="31"/>
      <c r="AS125" s="26">
        <v>0</v>
      </c>
      <c r="AT125" s="30"/>
      <c r="AY125" s="26">
        <v>0</v>
      </c>
      <c r="AZ125" s="30"/>
      <c r="BD125" s="26">
        <v>0</v>
      </c>
      <c r="BE125" s="30"/>
      <c r="BF125" s="29"/>
      <c r="BH125" s="26">
        <v>0</v>
      </c>
      <c r="BI125" s="30"/>
      <c r="BJ125" s="29"/>
      <c r="BL125" s="26">
        <v>0</v>
      </c>
      <c r="BM125" s="30"/>
      <c r="BP125" s="26">
        <v>0</v>
      </c>
      <c r="BQ125" s="30"/>
      <c r="BR125" s="29"/>
      <c r="BT125" s="26">
        <v>0</v>
      </c>
      <c r="BU125" s="30"/>
      <c r="BX125" s="26">
        <v>0</v>
      </c>
      <c r="BY125" s="30"/>
      <c r="BZ125" s="29"/>
      <c r="CB125" s="26">
        <v>0</v>
      </c>
      <c r="CC125" s="30"/>
      <c r="CD125" s="29"/>
      <c r="CF125" s="26">
        <v>0</v>
      </c>
      <c r="CG125" s="30"/>
      <c r="CJ125" s="26">
        <v>0</v>
      </c>
      <c r="CK125" s="30"/>
      <c r="CL125" s="29"/>
      <c r="CP125" s="26">
        <v>0</v>
      </c>
      <c r="CQ125" s="30"/>
      <c r="CR125" s="29"/>
      <c r="CT125" s="26">
        <v>0</v>
      </c>
      <c r="CU125" s="30"/>
      <c r="CZ125" s="26">
        <v>0</v>
      </c>
      <c r="DA125" s="30"/>
      <c r="DD125" s="26">
        <v>0</v>
      </c>
      <c r="DE125" s="30"/>
      <c r="DF125" s="29"/>
      <c r="DH125" s="26">
        <v>0</v>
      </c>
      <c r="DI125" s="30"/>
      <c r="DJ125" s="29"/>
      <c r="DL125" s="26">
        <v>0</v>
      </c>
      <c r="DM125" s="30"/>
      <c r="DP125" s="26">
        <v>0</v>
      </c>
      <c r="DQ125" s="30"/>
      <c r="DR125" s="29"/>
      <c r="DU125" s="26">
        <v>0</v>
      </c>
      <c r="DV125" s="30"/>
      <c r="DW125" s="29"/>
      <c r="EA125" s="26">
        <v>0</v>
      </c>
      <c r="EB125" s="30"/>
      <c r="EC125" s="29"/>
      <c r="EF125" s="26">
        <v>0</v>
      </c>
      <c r="EG125" s="30"/>
      <c r="EJ125" s="26">
        <v>0</v>
      </c>
      <c r="EK125" s="30"/>
      <c r="EL125" s="31"/>
      <c r="EN125" s="26">
        <v>0</v>
      </c>
      <c r="EO125" s="30"/>
      <c r="EP125" s="29"/>
      <c r="ER125" s="26">
        <v>0</v>
      </c>
      <c r="ES125" s="30"/>
      <c r="ET125" s="29"/>
      <c r="EV125" s="26">
        <v>0</v>
      </c>
      <c r="EW125" s="30"/>
      <c r="EZ125" s="26">
        <v>0</v>
      </c>
      <c r="FA125" s="30"/>
      <c r="FD125" s="26">
        <v>0</v>
      </c>
      <c r="FE125" s="30"/>
      <c r="FF125" s="29"/>
      <c r="FI125" s="26">
        <v>0</v>
      </c>
      <c r="FJ125" s="30"/>
      <c r="FK125" s="29"/>
      <c r="FN125" s="26">
        <v>0</v>
      </c>
      <c r="FO125" s="30"/>
      <c r="FR125" s="26">
        <v>0</v>
      </c>
      <c r="FS125" s="30"/>
      <c r="FT125" s="29"/>
      <c r="FY125" s="26">
        <v>0</v>
      </c>
      <c r="FZ125" s="30"/>
      <c r="GC125" s="26">
        <v>0</v>
      </c>
      <c r="GD125" s="30"/>
      <c r="GE125" s="29"/>
      <c r="GI125" s="26">
        <v>0</v>
      </c>
      <c r="GJ125" s="30"/>
      <c r="GO125" s="26">
        <v>0</v>
      </c>
      <c r="GP125" s="30"/>
      <c r="GS125" s="26">
        <v>0</v>
      </c>
      <c r="GT125" s="30"/>
      <c r="GU125" s="29"/>
      <c r="GW125" s="26">
        <v>0</v>
      </c>
      <c r="GX125" s="30"/>
      <c r="GY125" s="29"/>
      <c r="HA125" s="26">
        <v>0</v>
      </c>
      <c r="HB125" s="30"/>
      <c r="HE125" s="26">
        <v>0</v>
      </c>
      <c r="HF125" s="30"/>
      <c r="HG125" s="29"/>
      <c r="HI125" s="26">
        <v>0</v>
      </c>
      <c r="HJ125" s="30"/>
      <c r="HK125" s="29"/>
      <c r="HM125" s="26">
        <v>0</v>
      </c>
      <c r="HN125" s="30"/>
      <c r="HQ125" s="26">
        <v>0</v>
      </c>
      <c r="HR125" s="33"/>
      <c r="HU125" s="26">
        <v>0</v>
      </c>
      <c r="HV125" s="30"/>
      <c r="HY125" s="26">
        <v>0</v>
      </c>
      <c r="HZ125" s="33"/>
      <c r="IC125" s="26">
        <v>0</v>
      </c>
      <c r="ID125" s="30"/>
      <c r="IG125" s="26">
        <v>0</v>
      </c>
      <c r="IH125" s="33"/>
      <c r="IK125" s="26">
        <v>0</v>
      </c>
      <c r="IL125" s="30"/>
      <c r="IM125" s="31"/>
      <c r="IO125" s="26">
        <v>0</v>
      </c>
      <c r="IP125" s="33"/>
      <c r="IS125" s="26">
        <v>0</v>
      </c>
      <c r="IT125" s="33"/>
      <c r="IW125" s="26">
        <v>0</v>
      </c>
      <c r="IX125" s="33"/>
      <c r="JA125" s="26">
        <v>0</v>
      </c>
      <c r="JB125" s="30"/>
      <c r="JC125" s="27"/>
      <c r="JE125" s="27"/>
      <c r="JG125" s="26">
        <v>0</v>
      </c>
      <c r="JH125" s="33"/>
      <c r="JI125" s="28">
        <v>0</v>
      </c>
      <c r="JJ125" s="28">
        <v>0</v>
      </c>
      <c r="JK125" s="26">
        <v>0</v>
      </c>
      <c r="JL125" s="33"/>
      <c r="JM125" s="28">
        <v>0</v>
      </c>
      <c r="JN125" s="28">
        <v>0</v>
      </c>
      <c r="JO125" s="26">
        <v>0</v>
      </c>
      <c r="JP125" s="33"/>
      <c r="JQ125" s="31">
        <v>0</v>
      </c>
      <c r="JR125" s="28">
        <v>0</v>
      </c>
      <c r="JS125" s="26">
        <v>0</v>
      </c>
      <c r="JT125" s="33"/>
    </row>
    <row r="126" spans="1:280" x14ac:dyDescent="0.25">
      <c r="A126" s="26" t="s">
        <v>277</v>
      </c>
      <c r="B126" s="27">
        <v>0.66</v>
      </c>
      <c r="I126" s="29"/>
      <c r="J126" s="35"/>
      <c r="K126" s="40"/>
      <c r="L126" s="35"/>
      <c r="M126" s="35">
        <f t="shared" si="9"/>
        <v>0</v>
      </c>
      <c r="N126" s="30"/>
      <c r="O126" s="29"/>
      <c r="P126" s="35"/>
      <c r="Q126" s="35"/>
      <c r="R126" s="35"/>
      <c r="S126" s="35">
        <f t="shared" si="10"/>
        <v>0</v>
      </c>
      <c r="T126" s="30"/>
      <c r="U126" s="29"/>
      <c r="V126" s="40"/>
      <c r="W126" s="35"/>
      <c r="X126" s="35"/>
      <c r="Y126" s="35"/>
      <c r="Z126" s="35"/>
      <c r="AA126" s="35">
        <f t="shared" si="11"/>
        <v>0</v>
      </c>
      <c r="AB126" s="30"/>
      <c r="AC126" s="29"/>
      <c r="AD126" s="35"/>
      <c r="AE126" s="35"/>
      <c r="AF126" s="35"/>
      <c r="AG126" s="35">
        <v>0</v>
      </c>
      <c r="AH126" s="30"/>
      <c r="AI126" s="35"/>
      <c r="AM126" s="26">
        <v>0</v>
      </c>
      <c r="AN126" s="30"/>
      <c r="AO126" s="31"/>
      <c r="AS126" s="26">
        <v>0</v>
      </c>
      <c r="AT126" s="30"/>
      <c r="AY126" s="26">
        <v>0</v>
      </c>
      <c r="AZ126" s="30"/>
      <c r="BD126" s="26">
        <v>0</v>
      </c>
      <c r="BE126" s="30"/>
      <c r="BF126" s="29"/>
      <c r="BH126" s="26">
        <v>0</v>
      </c>
      <c r="BI126" s="30"/>
      <c r="BJ126" s="29"/>
      <c r="BL126" s="26">
        <v>0</v>
      </c>
      <c r="BM126" s="30"/>
      <c r="BP126" s="26">
        <v>0</v>
      </c>
      <c r="BQ126" s="30"/>
      <c r="BR126" s="29"/>
      <c r="BT126" s="26">
        <v>0</v>
      </c>
      <c r="BU126" s="30"/>
      <c r="BX126" s="26">
        <v>0</v>
      </c>
      <c r="BY126" s="30"/>
      <c r="BZ126" s="29"/>
      <c r="CB126" s="26">
        <v>0</v>
      </c>
      <c r="CC126" s="30"/>
      <c r="CD126" s="29"/>
      <c r="CF126" s="26">
        <v>0</v>
      </c>
      <c r="CG126" s="30"/>
      <c r="CJ126" s="26">
        <v>0</v>
      </c>
      <c r="CK126" s="30"/>
      <c r="CL126" s="29"/>
      <c r="CP126" s="26">
        <v>0</v>
      </c>
      <c r="CQ126" s="30"/>
      <c r="CR126" s="29"/>
      <c r="CT126" s="26">
        <v>0</v>
      </c>
      <c r="CU126" s="30"/>
      <c r="CZ126" s="26">
        <v>0</v>
      </c>
      <c r="DA126" s="30"/>
      <c r="DD126" s="26">
        <v>0</v>
      </c>
      <c r="DE126" s="30"/>
      <c r="DF126" s="29"/>
      <c r="DH126" s="26">
        <v>0</v>
      </c>
      <c r="DI126" s="30"/>
      <c r="DJ126" s="29"/>
      <c r="DL126" s="26">
        <v>0</v>
      </c>
      <c r="DM126" s="30"/>
      <c r="DP126" s="26">
        <v>0</v>
      </c>
      <c r="DQ126" s="30"/>
      <c r="DR126" s="29"/>
      <c r="DU126" s="26">
        <v>0</v>
      </c>
      <c r="DV126" s="30"/>
      <c r="DW126" s="29"/>
      <c r="EA126" s="26">
        <v>0</v>
      </c>
      <c r="EB126" s="30"/>
      <c r="EC126" s="29"/>
      <c r="EF126" s="26">
        <v>0</v>
      </c>
      <c r="EG126" s="30"/>
      <c r="EJ126" s="26">
        <v>0</v>
      </c>
      <c r="EK126" s="30"/>
      <c r="EL126" s="31"/>
      <c r="EN126" s="26">
        <v>0</v>
      </c>
      <c r="EO126" s="30"/>
      <c r="EP126" s="29"/>
      <c r="ER126" s="26">
        <v>0</v>
      </c>
      <c r="ES126" s="30"/>
      <c r="ET126" s="29"/>
      <c r="EV126" s="26">
        <v>0</v>
      </c>
      <c r="EW126" s="30"/>
      <c r="EZ126" s="26">
        <v>0</v>
      </c>
      <c r="FA126" s="30"/>
      <c r="FD126" s="26">
        <v>0</v>
      </c>
      <c r="FE126" s="30"/>
      <c r="FF126" s="29"/>
      <c r="FI126" s="26">
        <v>0</v>
      </c>
      <c r="FJ126" s="30"/>
      <c r="FK126" s="29"/>
      <c r="FN126" s="26">
        <v>0</v>
      </c>
      <c r="FO126" s="30"/>
      <c r="FR126" s="26">
        <v>0</v>
      </c>
      <c r="FS126" s="30"/>
      <c r="FT126" s="29"/>
      <c r="FY126" s="26">
        <v>0</v>
      </c>
      <c r="FZ126" s="30"/>
      <c r="GC126" s="26">
        <v>0</v>
      </c>
      <c r="GD126" s="30"/>
      <c r="GE126" s="29"/>
      <c r="GI126" s="26">
        <v>0</v>
      </c>
      <c r="GJ126" s="30"/>
      <c r="GO126" s="26">
        <v>0</v>
      </c>
      <c r="GP126" s="30"/>
      <c r="GS126" s="26">
        <v>0</v>
      </c>
      <c r="GT126" s="30"/>
      <c r="GU126" s="29"/>
      <c r="GW126" s="26">
        <v>0</v>
      </c>
      <c r="GX126" s="30"/>
      <c r="GY126" s="29"/>
      <c r="HA126" s="26">
        <v>0</v>
      </c>
      <c r="HB126" s="30"/>
      <c r="HE126" s="26">
        <v>0</v>
      </c>
      <c r="HF126" s="30"/>
      <c r="HG126" s="29"/>
      <c r="HI126" s="26">
        <v>0</v>
      </c>
      <c r="HJ126" s="30"/>
      <c r="HK126" s="29"/>
      <c r="HM126" s="26">
        <v>0</v>
      </c>
      <c r="HN126" s="30"/>
      <c r="HQ126" s="26">
        <v>0</v>
      </c>
      <c r="HR126" s="33"/>
      <c r="HU126" s="26">
        <v>0</v>
      </c>
      <c r="HV126" s="30"/>
      <c r="HY126" s="26">
        <v>0</v>
      </c>
      <c r="HZ126" s="33"/>
      <c r="IC126" s="26">
        <v>0</v>
      </c>
      <c r="ID126" s="30"/>
      <c r="IG126" s="26">
        <v>0</v>
      </c>
      <c r="IH126" s="33"/>
      <c r="IK126" s="26">
        <v>0</v>
      </c>
      <c r="IL126" s="30"/>
      <c r="IM126" s="31"/>
      <c r="IO126" s="26">
        <v>0</v>
      </c>
      <c r="IP126" s="33"/>
      <c r="IS126" s="26">
        <v>0</v>
      </c>
      <c r="IT126" s="33"/>
      <c r="IW126" s="26">
        <v>0</v>
      </c>
      <c r="IX126" s="33"/>
      <c r="JA126" s="26">
        <v>0</v>
      </c>
      <c r="JB126" s="30"/>
      <c r="JC126" s="27"/>
      <c r="JE126" s="27"/>
      <c r="JG126" s="26">
        <v>0</v>
      </c>
      <c r="JH126" s="33"/>
      <c r="JI126" s="28">
        <v>0</v>
      </c>
      <c r="JJ126" s="28">
        <v>0</v>
      </c>
      <c r="JK126" s="26">
        <v>0</v>
      </c>
      <c r="JL126" s="33"/>
      <c r="JM126" s="28">
        <v>0</v>
      </c>
      <c r="JN126" s="28">
        <v>0</v>
      </c>
      <c r="JO126" s="26">
        <v>0</v>
      </c>
      <c r="JP126" s="33"/>
      <c r="JQ126" s="31">
        <v>0</v>
      </c>
      <c r="JR126" s="28">
        <v>0</v>
      </c>
      <c r="JS126" s="26">
        <v>0</v>
      </c>
      <c r="JT126" s="33"/>
    </row>
    <row r="127" spans="1:280" x14ac:dyDescent="0.25">
      <c r="A127" s="26" t="s">
        <v>278</v>
      </c>
      <c r="B127" s="27">
        <v>0.66</v>
      </c>
      <c r="I127" s="29"/>
      <c r="J127" s="35"/>
      <c r="K127" s="40"/>
      <c r="L127" s="35"/>
      <c r="M127" s="35">
        <f t="shared" si="9"/>
        <v>0</v>
      </c>
      <c r="N127" s="30"/>
      <c r="O127" s="29"/>
      <c r="P127" s="35"/>
      <c r="Q127" s="35"/>
      <c r="R127" s="35"/>
      <c r="S127" s="35">
        <f t="shared" si="10"/>
        <v>0</v>
      </c>
      <c r="T127" s="30"/>
      <c r="U127" s="29"/>
      <c r="V127" s="40"/>
      <c r="W127" s="35"/>
      <c r="X127" s="35"/>
      <c r="Y127" s="35"/>
      <c r="Z127" s="35"/>
      <c r="AA127" s="35">
        <f t="shared" si="11"/>
        <v>0</v>
      </c>
      <c r="AB127" s="30"/>
      <c r="AC127" s="29"/>
      <c r="AD127" s="35"/>
      <c r="AE127" s="35"/>
      <c r="AF127" s="35"/>
      <c r="AG127" s="35">
        <v>0</v>
      </c>
      <c r="AH127" s="30"/>
      <c r="AI127" s="35"/>
      <c r="AM127" s="26">
        <v>0</v>
      </c>
      <c r="AN127" s="30"/>
      <c r="AO127" s="31"/>
      <c r="AS127" s="26">
        <v>0</v>
      </c>
      <c r="AT127" s="30"/>
      <c r="AY127" s="26">
        <v>0</v>
      </c>
      <c r="AZ127" s="30"/>
      <c r="BD127" s="26">
        <v>0</v>
      </c>
      <c r="BE127" s="30"/>
      <c r="BF127" s="29"/>
      <c r="BH127" s="26">
        <v>0</v>
      </c>
      <c r="BI127" s="30"/>
      <c r="BJ127" s="29"/>
      <c r="BL127" s="26">
        <v>0</v>
      </c>
      <c r="BM127" s="30"/>
      <c r="BP127" s="26">
        <v>0</v>
      </c>
      <c r="BQ127" s="30"/>
      <c r="BR127" s="29"/>
      <c r="BT127" s="26">
        <v>0</v>
      </c>
      <c r="BU127" s="30"/>
      <c r="BX127" s="26">
        <v>0</v>
      </c>
      <c r="BY127" s="30"/>
      <c r="BZ127" s="29"/>
      <c r="CB127" s="26">
        <v>0</v>
      </c>
      <c r="CC127" s="30"/>
      <c r="CD127" s="29"/>
      <c r="CF127" s="26">
        <v>0</v>
      </c>
      <c r="CG127" s="30"/>
      <c r="CJ127" s="26">
        <v>0</v>
      </c>
      <c r="CK127" s="30"/>
      <c r="CL127" s="29"/>
      <c r="CP127" s="26">
        <v>0</v>
      </c>
      <c r="CQ127" s="30"/>
      <c r="CR127" s="29"/>
      <c r="CT127" s="26">
        <v>0</v>
      </c>
      <c r="CU127" s="30"/>
      <c r="CZ127" s="26">
        <v>0</v>
      </c>
      <c r="DA127" s="30"/>
      <c r="DD127" s="26">
        <v>0</v>
      </c>
      <c r="DE127" s="30"/>
      <c r="DF127" s="29"/>
      <c r="DH127" s="26">
        <v>0</v>
      </c>
      <c r="DI127" s="30"/>
      <c r="DJ127" s="29"/>
      <c r="DL127" s="26">
        <v>0</v>
      </c>
      <c r="DM127" s="30"/>
      <c r="DP127" s="26">
        <v>0</v>
      </c>
      <c r="DQ127" s="30"/>
      <c r="DR127" s="29"/>
      <c r="DU127" s="26">
        <v>0</v>
      </c>
      <c r="DV127" s="30"/>
      <c r="DW127" s="29"/>
      <c r="EA127" s="26">
        <v>0</v>
      </c>
      <c r="EB127" s="30"/>
      <c r="EC127" s="29"/>
      <c r="EF127" s="26">
        <v>0</v>
      </c>
      <c r="EG127" s="30"/>
      <c r="EJ127" s="26">
        <v>0</v>
      </c>
      <c r="EK127" s="30"/>
      <c r="EL127" s="31"/>
      <c r="EN127" s="26">
        <v>0</v>
      </c>
      <c r="EO127" s="30"/>
      <c r="EP127" s="29"/>
      <c r="ER127" s="26">
        <v>0</v>
      </c>
      <c r="ES127" s="30"/>
      <c r="ET127" s="29"/>
      <c r="EV127" s="26">
        <v>0</v>
      </c>
      <c r="EW127" s="30"/>
      <c r="EZ127" s="26">
        <v>0</v>
      </c>
      <c r="FA127" s="30"/>
      <c r="FD127" s="26">
        <v>0</v>
      </c>
      <c r="FE127" s="30"/>
      <c r="FF127" s="29"/>
      <c r="FI127" s="26">
        <v>0</v>
      </c>
      <c r="FJ127" s="30"/>
      <c r="FK127" s="29"/>
      <c r="FN127" s="26">
        <v>0</v>
      </c>
      <c r="FO127" s="30"/>
      <c r="FR127" s="26">
        <v>0</v>
      </c>
      <c r="FS127" s="30"/>
      <c r="FT127" s="29"/>
      <c r="FY127" s="26">
        <v>0</v>
      </c>
      <c r="FZ127" s="30"/>
      <c r="GC127" s="26">
        <v>0</v>
      </c>
      <c r="GD127" s="30"/>
      <c r="GE127" s="29"/>
      <c r="GI127" s="26">
        <v>0</v>
      </c>
      <c r="GJ127" s="30"/>
      <c r="GO127" s="26">
        <v>0</v>
      </c>
      <c r="GP127" s="30"/>
      <c r="GS127" s="26">
        <v>0</v>
      </c>
      <c r="GT127" s="30"/>
      <c r="GU127" s="29"/>
      <c r="GW127" s="26">
        <v>0</v>
      </c>
      <c r="GX127" s="30"/>
      <c r="GY127" s="29"/>
      <c r="HA127" s="26">
        <v>0</v>
      </c>
      <c r="HB127" s="30"/>
      <c r="HE127" s="26">
        <v>0</v>
      </c>
      <c r="HF127" s="30"/>
      <c r="HG127" s="29"/>
      <c r="HI127" s="26">
        <v>0</v>
      </c>
      <c r="HJ127" s="30"/>
      <c r="HK127" s="29"/>
      <c r="HM127" s="26">
        <v>0</v>
      </c>
      <c r="HN127" s="30"/>
      <c r="HQ127" s="26">
        <v>0</v>
      </c>
      <c r="HR127" s="33"/>
      <c r="HU127" s="26">
        <v>0</v>
      </c>
      <c r="HV127" s="30"/>
      <c r="HY127" s="26">
        <v>0</v>
      </c>
      <c r="HZ127" s="33"/>
      <c r="IC127" s="26">
        <v>0</v>
      </c>
      <c r="ID127" s="30"/>
      <c r="IG127" s="26">
        <v>0</v>
      </c>
      <c r="IH127" s="33"/>
      <c r="IK127" s="26">
        <v>0</v>
      </c>
      <c r="IL127" s="30"/>
      <c r="IM127" s="31"/>
      <c r="IO127" s="26">
        <v>0</v>
      </c>
      <c r="IP127" s="33"/>
      <c r="IS127" s="26">
        <v>0</v>
      </c>
      <c r="IT127" s="33"/>
      <c r="IW127" s="26">
        <v>0</v>
      </c>
      <c r="IX127" s="33"/>
      <c r="JA127" s="26">
        <v>0</v>
      </c>
      <c r="JB127" s="30"/>
      <c r="JC127" s="27"/>
      <c r="JE127" s="27"/>
      <c r="JG127" s="26">
        <v>0</v>
      </c>
      <c r="JH127" s="33"/>
      <c r="JI127" s="28">
        <v>0</v>
      </c>
      <c r="JJ127" s="28">
        <v>0</v>
      </c>
      <c r="JK127" s="26">
        <v>0</v>
      </c>
      <c r="JL127" s="33"/>
      <c r="JM127" s="28">
        <v>0</v>
      </c>
      <c r="JN127" s="28">
        <v>0</v>
      </c>
      <c r="JO127" s="26">
        <v>0</v>
      </c>
      <c r="JP127" s="33"/>
      <c r="JQ127" s="31">
        <v>0</v>
      </c>
      <c r="JR127" s="28">
        <v>0</v>
      </c>
      <c r="JS127" s="26">
        <v>0</v>
      </c>
      <c r="JT127" s="33"/>
    </row>
    <row r="128" spans="1:280" x14ac:dyDescent="0.25">
      <c r="A128" s="26" t="s">
        <v>279</v>
      </c>
      <c r="B128" s="27">
        <v>0.33</v>
      </c>
      <c r="E128">
        <v>40</v>
      </c>
      <c r="F128">
        <v>40</v>
      </c>
      <c r="I128" s="29"/>
      <c r="J128" s="35"/>
      <c r="K128" s="40"/>
      <c r="L128" s="35"/>
      <c r="M128" s="35">
        <f t="shared" si="9"/>
        <v>0</v>
      </c>
      <c r="N128" s="30"/>
      <c r="O128" s="29"/>
      <c r="P128" s="35"/>
      <c r="Q128" s="36">
        <v>8</v>
      </c>
      <c r="R128" s="36">
        <v>8</v>
      </c>
      <c r="S128" s="35">
        <f t="shared" si="10"/>
        <v>0</v>
      </c>
      <c r="T128" s="30"/>
      <c r="U128" s="29"/>
      <c r="V128" s="40"/>
      <c r="W128" s="35"/>
      <c r="X128" s="36">
        <v>104</v>
      </c>
      <c r="Y128" s="35"/>
      <c r="Z128" s="36">
        <v>110</v>
      </c>
      <c r="AA128" s="35">
        <f t="shared" si="11"/>
        <v>-6</v>
      </c>
      <c r="AB128" s="30"/>
      <c r="AC128" s="29"/>
      <c r="AD128" s="35"/>
      <c r="AE128" s="36">
        <v>24</v>
      </c>
      <c r="AF128" s="40">
        <v>31</v>
      </c>
      <c r="AG128" s="35">
        <v>-7</v>
      </c>
      <c r="AH128" s="30"/>
      <c r="AI128" s="35"/>
      <c r="AM128" s="26">
        <v>0</v>
      </c>
      <c r="AN128" s="30"/>
      <c r="AO128" s="31"/>
      <c r="AQ128">
        <v>120</v>
      </c>
      <c r="AR128">
        <v>120</v>
      </c>
      <c r="AS128" s="26">
        <v>0</v>
      </c>
      <c r="AT128" s="30"/>
      <c r="AY128" s="26">
        <v>0</v>
      </c>
      <c r="AZ128" s="30"/>
      <c r="BB128">
        <v>24</v>
      </c>
      <c r="BC128">
        <v>22</v>
      </c>
      <c r="BD128" s="26">
        <v>2</v>
      </c>
      <c r="BE128" s="30"/>
      <c r="BF128" s="32">
        <v>88</v>
      </c>
      <c r="BG128">
        <v>90</v>
      </c>
      <c r="BH128" s="26">
        <v>-2</v>
      </c>
      <c r="BI128" s="30"/>
      <c r="BJ128" s="32">
        <v>40</v>
      </c>
      <c r="BK128">
        <v>41</v>
      </c>
      <c r="BL128" s="26">
        <v>-1</v>
      </c>
      <c r="BM128" s="30"/>
      <c r="BN128">
        <v>16</v>
      </c>
      <c r="BO128">
        <v>16</v>
      </c>
      <c r="BP128" s="26">
        <v>0</v>
      </c>
      <c r="BQ128" s="30"/>
      <c r="BR128" s="32">
        <v>64</v>
      </c>
      <c r="BS128">
        <v>64</v>
      </c>
      <c r="BT128" s="26">
        <v>0</v>
      </c>
      <c r="BU128" s="30"/>
      <c r="BV128">
        <v>8</v>
      </c>
      <c r="BW128">
        <v>8</v>
      </c>
      <c r="BX128" s="26">
        <v>0</v>
      </c>
      <c r="BY128" s="30"/>
      <c r="BZ128" s="32">
        <v>40</v>
      </c>
      <c r="CA128">
        <v>41</v>
      </c>
      <c r="CB128" s="26">
        <v>-1</v>
      </c>
      <c r="CC128" s="30"/>
      <c r="CD128" s="32">
        <v>16</v>
      </c>
      <c r="CE128">
        <v>17</v>
      </c>
      <c r="CF128" s="26">
        <v>-1</v>
      </c>
      <c r="CG128" s="30"/>
      <c r="CJ128" s="26">
        <v>0</v>
      </c>
      <c r="CK128" s="30"/>
      <c r="CL128" s="29"/>
      <c r="CN128">
        <v>24</v>
      </c>
      <c r="CO128">
        <v>22</v>
      </c>
      <c r="CP128" s="26">
        <v>2</v>
      </c>
      <c r="CQ128" s="30"/>
      <c r="CR128" s="32">
        <v>8</v>
      </c>
      <c r="CS128">
        <v>8</v>
      </c>
      <c r="CT128" s="26">
        <v>0</v>
      </c>
      <c r="CU128" s="30"/>
      <c r="CZ128" s="26">
        <v>0</v>
      </c>
      <c r="DA128" s="30"/>
      <c r="DD128" s="26">
        <v>0</v>
      </c>
      <c r="DE128" s="30"/>
      <c r="DF128" s="32">
        <v>24</v>
      </c>
      <c r="DG128">
        <v>23</v>
      </c>
      <c r="DH128" s="26">
        <v>1</v>
      </c>
      <c r="DI128" s="30"/>
      <c r="DJ128" s="32">
        <v>8</v>
      </c>
      <c r="DK128">
        <v>8</v>
      </c>
      <c r="DL128" s="26">
        <v>0</v>
      </c>
      <c r="DM128" s="30"/>
      <c r="DN128">
        <v>8</v>
      </c>
      <c r="DO128">
        <v>8</v>
      </c>
      <c r="DP128" s="26">
        <v>0</v>
      </c>
      <c r="DQ128" s="30"/>
      <c r="DR128" s="32">
        <v>8</v>
      </c>
      <c r="DT128">
        <v>7</v>
      </c>
      <c r="DU128" s="26">
        <v>1</v>
      </c>
      <c r="DV128" s="30"/>
      <c r="DW128" s="29"/>
      <c r="EA128" s="26">
        <v>0</v>
      </c>
      <c r="EB128" s="30"/>
      <c r="EC128" s="32">
        <v>16</v>
      </c>
      <c r="EE128">
        <v>20</v>
      </c>
      <c r="EF128" s="26">
        <v>-4</v>
      </c>
      <c r="EG128" s="30"/>
      <c r="EH128">
        <v>8</v>
      </c>
      <c r="EI128" s="26">
        <v>8</v>
      </c>
      <c r="EJ128" s="26">
        <v>0</v>
      </c>
      <c r="EK128" s="30"/>
      <c r="EL128" s="31"/>
      <c r="EN128" s="26">
        <v>0</v>
      </c>
      <c r="EO128" s="30"/>
      <c r="EP128" s="32">
        <v>8</v>
      </c>
      <c r="EQ128" s="26">
        <v>10.199999999999999</v>
      </c>
      <c r="ER128" s="26">
        <v>-2.1999999999999988</v>
      </c>
      <c r="ES128" s="30"/>
      <c r="ET128" s="32">
        <v>8</v>
      </c>
      <c r="EU128">
        <v>8</v>
      </c>
      <c r="EV128" s="26">
        <v>0</v>
      </c>
      <c r="EW128" s="30"/>
      <c r="EX128">
        <v>16</v>
      </c>
      <c r="EY128" s="28">
        <v>19</v>
      </c>
      <c r="EZ128" s="26">
        <v>-3</v>
      </c>
      <c r="FA128" s="30"/>
      <c r="FD128" s="26">
        <v>0</v>
      </c>
      <c r="FE128" s="30"/>
      <c r="FF128" s="32">
        <v>8</v>
      </c>
      <c r="FH128">
        <v>8</v>
      </c>
      <c r="FI128" s="26">
        <v>0</v>
      </c>
      <c r="FJ128" s="30"/>
      <c r="FK128" s="32">
        <v>8</v>
      </c>
      <c r="FM128">
        <v>8</v>
      </c>
      <c r="FN128" s="26">
        <v>0</v>
      </c>
      <c r="FO128" s="30"/>
      <c r="FP128">
        <v>16</v>
      </c>
      <c r="FQ128" s="28">
        <v>18.399999999999999</v>
      </c>
      <c r="FR128" s="26">
        <v>-2.399999999999999</v>
      </c>
      <c r="FS128" s="30"/>
      <c r="FT128" s="29"/>
      <c r="FW128">
        <v>8</v>
      </c>
      <c r="FX128">
        <v>9</v>
      </c>
      <c r="FY128" s="26">
        <v>-1</v>
      </c>
      <c r="FZ128" s="30"/>
      <c r="GC128" s="26">
        <v>0</v>
      </c>
      <c r="GD128" s="30"/>
      <c r="GE128" s="29"/>
      <c r="GI128" s="26">
        <v>0</v>
      </c>
      <c r="GJ128" s="30"/>
      <c r="GM128">
        <v>24</v>
      </c>
      <c r="GN128">
        <v>24</v>
      </c>
      <c r="GO128" s="26">
        <v>0</v>
      </c>
      <c r="GP128" s="30"/>
      <c r="GS128" s="26">
        <v>0</v>
      </c>
      <c r="GT128" s="30"/>
      <c r="GU128" s="32">
        <v>16</v>
      </c>
      <c r="GV128">
        <v>18</v>
      </c>
      <c r="GW128" s="26">
        <v>-2</v>
      </c>
      <c r="GX128" s="30"/>
      <c r="GY128" s="32">
        <v>8</v>
      </c>
      <c r="GZ128">
        <v>8</v>
      </c>
      <c r="HA128" s="26">
        <v>0</v>
      </c>
      <c r="HB128" s="30"/>
      <c r="HE128" s="26">
        <v>0</v>
      </c>
      <c r="HF128" s="30"/>
      <c r="HG128" s="32">
        <v>16</v>
      </c>
      <c r="HH128">
        <v>16</v>
      </c>
      <c r="HI128" s="26">
        <v>0</v>
      </c>
      <c r="HJ128" s="30"/>
      <c r="HK128" s="29"/>
      <c r="HM128" s="26">
        <v>0</v>
      </c>
      <c r="HN128" s="30"/>
      <c r="HQ128" s="26">
        <v>0</v>
      </c>
      <c r="HR128" s="33"/>
      <c r="HU128" s="26">
        <v>0</v>
      </c>
      <c r="HV128" s="30"/>
      <c r="HW128">
        <v>8</v>
      </c>
      <c r="HX128">
        <v>4.8</v>
      </c>
      <c r="HY128" s="26">
        <v>3.2</v>
      </c>
      <c r="HZ128" s="33"/>
      <c r="IC128" s="26">
        <v>0</v>
      </c>
      <c r="ID128" s="30"/>
      <c r="IG128" s="26">
        <v>0</v>
      </c>
      <c r="IH128" s="33"/>
      <c r="II128">
        <v>8</v>
      </c>
      <c r="IJ128" s="28">
        <v>10</v>
      </c>
      <c r="IK128" s="26">
        <v>-2</v>
      </c>
      <c r="IL128" s="30"/>
      <c r="IM128" s="31"/>
      <c r="IO128" s="26">
        <v>0</v>
      </c>
      <c r="IP128" s="33"/>
      <c r="IS128" s="26">
        <v>0</v>
      </c>
      <c r="IT128" s="33"/>
      <c r="IW128" s="26">
        <v>0</v>
      </c>
      <c r="IX128" s="33"/>
      <c r="JA128" s="26">
        <v>0</v>
      </c>
      <c r="JB128" s="30"/>
      <c r="JC128" s="27"/>
      <c r="JE128">
        <v>24</v>
      </c>
      <c r="JF128">
        <v>26</v>
      </c>
      <c r="JG128" s="26">
        <v>-2</v>
      </c>
      <c r="JH128" s="33"/>
      <c r="JI128" s="28">
        <v>0</v>
      </c>
      <c r="JJ128" s="28">
        <v>0</v>
      </c>
      <c r="JK128" s="26">
        <v>0</v>
      </c>
      <c r="JL128" s="33"/>
      <c r="JM128" s="28">
        <v>0</v>
      </c>
      <c r="JN128" s="28">
        <v>0</v>
      </c>
      <c r="JO128" s="26">
        <v>0</v>
      </c>
      <c r="JP128" s="33"/>
      <c r="JQ128" s="31">
        <v>0</v>
      </c>
      <c r="JR128" s="28">
        <v>0</v>
      </c>
      <c r="JS128" s="26">
        <v>0</v>
      </c>
      <c r="JT128" s="33"/>
    </row>
    <row r="129" spans="1:280" x14ac:dyDescent="0.25">
      <c r="A129" s="26" t="s">
        <v>280</v>
      </c>
      <c r="B129" s="27">
        <v>0.36</v>
      </c>
      <c r="I129" s="29"/>
      <c r="J129" s="35"/>
      <c r="K129" s="40"/>
      <c r="L129" s="35"/>
      <c r="M129" s="35">
        <f t="shared" si="9"/>
        <v>0</v>
      </c>
      <c r="N129" s="30"/>
      <c r="O129" s="29"/>
      <c r="P129" s="35"/>
      <c r="Q129" s="35"/>
      <c r="R129" s="35"/>
      <c r="S129" s="35">
        <f t="shared" si="10"/>
        <v>0</v>
      </c>
      <c r="T129" s="30"/>
      <c r="U129" s="29"/>
      <c r="V129" s="40"/>
      <c r="W129" s="35"/>
      <c r="X129" s="35"/>
      <c r="Y129" s="35"/>
      <c r="Z129" s="35"/>
      <c r="AA129" s="35">
        <f t="shared" si="11"/>
        <v>0</v>
      </c>
      <c r="AB129" s="30"/>
      <c r="AC129" s="29"/>
      <c r="AD129" s="35"/>
      <c r="AE129" s="35"/>
      <c r="AF129" s="35"/>
      <c r="AG129" s="35">
        <v>0</v>
      </c>
      <c r="AH129" s="30"/>
      <c r="AI129" s="35"/>
      <c r="AM129" s="26">
        <v>0</v>
      </c>
      <c r="AN129" s="30"/>
      <c r="AO129" s="31"/>
      <c r="AS129" s="26">
        <v>0</v>
      </c>
      <c r="AT129" s="30"/>
      <c r="AY129" s="26">
        <v>0</v>
      </c>
      <c r="AZ129" s="30"/>
      <c r="BC129">
        <v>20</v>
      </c>
      <c r="BD129" s="25">
        <v>-20</v>
      </c>
      <c r="BE129" s="30">
        <v>7.1999999999999993</v>
      </c>
      <c r="BF129" s="29"/>
      <c r="BG129">
        <v>40</v>
      </c>
      <c r="BH129" s="25">
        <v>-40</v>
      </c>
      <c r="BI129" s="30">
        <v>14.4</v>
      </c>
      <c r="BJ129" s="29"/>
      <c r="BL129" s="26">
        <v>0</v>
      </c>
      <c r="BM129" s="30"/>
      <c r="BO129">
        <v>42</v>
      </c>
      <c r="BP129" s="25">
        <v>-42</v>
      </c>
      <c r="BQ129" s="30">
        <v>15.12</v>
      </c>
      <c r="BR129" s="29"/>
      <c r="BS129">
        <v>26</v>
      </c>
      <c r="BT129" s="25">
        <v>-26</v>
      </c>
      <c r="BU129" s="30">
        <v>9.36</v>
      </c>
      <c r="BV129">
        <v>16</v>
      </c>
      <c r="BW129">
        <v>16</v>
      </c>
      <c r="BX129" s="26">
        <v>0</v>
      </c>
      <c r="BY129" s="30"/>
      <c r="BZ129" s="29"/>
      <c r="CB129" s="26">
        <v>0</v>
      </c>
      <c r="CC129" s="30"/>
      <c r="CD129" s="32">
        <v>16</v>
      </c>
      <c r="CE129">
        <v>20</v>
      </c>
      <c r="CF129" s="26">
        <v>-4</v>
      </c>
      <c r="CG129" s="30"/>
      <c r="CJ129" s="26">
        <v>0</v>
      </c>
      <c r="CK129" s="30"/>
      <c r="CL129" s="29"/>
      <c r="CN129">
        <v>8</v>
      </c>
      <c r="CO129">
        <v>18</v>
      </c>
      <c r="CP129" s="25">
        <v>-10</v>
      </c>
      <c r="CQ129" s="30">
        <v>9.64</v>
      </c>
      <c r="CR129" s="32">
        <v>8</v>
      </c>
      <c r="CS129">
        <v>8</v>
      </c>
      <c r="CT129" s="26">
        <v>0</v>
      </c>
      <c r="CU129" s="30"/>
      <c r="CZ129" s="26">
        <v>0</v>
      </c>
      <c r="DA129" s="30"/>
      <c r="DB129">
        <v>16</v>
      </c>
      <c r="DC129">
        <v>20</v>
      </c>
      <c r="DD129" s="26">
        <v>-4</v>
      </c>
      <c r="DE129" s="30"/>
      <c r="DF129" s="29"/>
      <c r="DH129" s="26">
        <v>0</v>
      </c>
      <c r="DI129" s="30"/>
      <c r="DJ129" s="29"/>
      <c r="DK129">
        <v>8</v>
      </c>
      <c r="DL129" s="25">
        <v>-8</v>
      </c>
      <c r="DM129" s="30">
        <v>2.88</v>
      </c>
      <c r="DN129">
        <v>16</v>
      </c>
      <c r="DO129">
        <v>15</v>
      </c>
      <c r="DP129" s="26">
        <v>1</v>
      </c>
      <c r="DQ129" s="30"/>
      <c r="DR129" s="29"/>
      <c r="DU129" s="26">
        <v>0</v>
      </c>
      <c r="DV129" s="30"/>
      <c r="DW129" s="29"/>
      <c r="EA129" s="26">
        <v>0</v>
      </c>
      <c r="EB129" s="30"/>
      <c r="EC129" s="32">
        <v>24</v>
      </c>
      <c r="EE129">
        <v>29</v>
      </c>
      <c r="EF129" s="26">
        <v>-5</v>
      </c>
      <c r="EG129" s="30"/>
      <c r="EJ129" s="26">
        <v>0</v>
      </c>
      <c r="EK129" s="30"/>
      <c r="EL129" s="32">
        <v>24</v>
      </c>
      <c r="EM129" s="26">
        <v>29.2</v>
      </c>
      <c r="EN129" s="26">
        <v>-5.1999999999999993</v>
      </c>
      <c r="EO129" s="30"/>
      <c r="EP129" s="32">
        <v>8</v>
      </c>
      <c r="EQ129" s="26">
        <v>11.2</v>
      </c>
      <c r="ER129" s="26">
        <v>-3.1999999999999988</v>
      </c>
      <c r="ES129" s="30"/>
      <c r="ET129" s="29"/>
      <c r="EV129" s="26">
        <v>0</v>
      </c>
      <c r="EW129" s="30"/>
      <c r="EX129">
        <v>16</v>
      </c>
      <c r="EY129" s="28">
        <v>16.600000000000001</v>
      </c>
      <c r="EZ129" s="26">
        <v>-0.60000000000000142</v>
      </c>
      <c r="FA129" s="30"/>
      <c r="FB129">
        <v>16</v>
      </c>
      <c r="FC129">
        <v>21</v>
      </c>
      <c r="FD129" s="26">
        <v>-5</v>
      </c>
      <c r="FE129" s="30"/>
      <c r="FF129" s="29"/>
      <c r="FI129" s="26">
        <v>0</v>
      </c>
      <c r="FJ129" s="30"/>
      <c r="FK129" s="29"/>
      <c r="FN129" s="26">
        <v>0</v>
      </c>
      <c r="FO129" s="30"/>
      <c r="FR129" s="26">
        <v>0</v>
      </c>
      <c r="FS129" s="30"/>
      <c r="FT129" s="29"/>
      <c r="FW129">
        <v>24</v>
      </c>
      <c r="FX129">
        <v>26</v>
      </c>
      <c r="FY129" s="26">
        <v>-2</v>
      </c>
      <c r="FZ129" s="30"/>
      <c r="GA129">
        <v>8</v>
      </c>
      <c r="GB129" s="28">
        <v>11.8</v>
      </c>
      <c r="GC129" s="26">
        <v>-3.8000000000000012</v>
      </c>
      <c r="GD129" s="30"/>
      <c r="GE129" s="29"/>
      <c r="GI129" s="26">
        <v>0</v>
      </c>
      <c r="GJ129" s="30"/>
      <c r="GM129">
        <v>24</v>
      </c>
      <c r="GN129">
        <v>28</v>
      </c>
      <c r="GO129" s="26">
        <v>-4</v>
      </c>
      <c r="GP129" s="30"/>
      <c r="GS129" s="26">
        <v>0</v>
      </c>
      <c r="GT129" s="30"/>
      <c r="GU129" s="32">
        <v>8</v>
      </c>
      <c r="GV129">
        <v>7</v>
      </c>
      <c r="GW129" s="26">
        <v>1</v>
      </c>
      <c r="GX129" s="30"/>
      <c r="GY129" s="32">
        <v>16</v>
      </c>
      <c r="GZ129">
        <v>16</v>
      </c>
      <c r="HA129" s="26">
        <v>0</v>
      </c>
      <c r="HB129" s="30"/>
      <c r="HC129">
        <v>16</v>
      </c>
      <c r="HD129">
        <v>15</v>
      </c>
      <c r="HE129" s="26">
        <v>1</v>
      </c>
      <c r="HF129" s="30"/>
      <c r="HG129" s="32">
        <v>24</v>
      </c>
      <c r="HH129">
        <v>24</v>
      </c>
      <c r="HI129" s="26">
        <v>0</v>
      </c>
      <c r="HJ129" s="30"/>
      <c r="HK129" s="29"/>
      <c r="HM129" s="26">
        <v>0</v>
      </c>
      <c r="HN129" s="30"/>
      <c r="HO129">
        <v>8</v>
      </c>
      <c r="HP129">
        <v>8</v>
      </c>
      <c r="HQ129" s="26">
        <v>0</v>
      </c>
      <c r="HR129" s="33"/>
      <c r="HS129">
        <v>24</v>
      </c>
      <c r="HT129">
        <v>25</v>
      </c>
      <c r="HU129" s="26">
        <v>-1</v>
      </c>
      <c r="HV129" s="30"/>
      <c r="HW129">
        <v>8</v>
      </c>
      <c r="HX129">
        <v>8</v>
      </c>
      <c r="HY129" s="26">
        <v>0</v>
      </c>
      <c r="HZ129" s="33"/>
      <c r="IA129">
        <v>24</v>
      </c>
      <c r="IB129">
        <v>22</v>
      </c>
      <c r="IC129" s="26">
        <v>2</v>
      </c>
      <c r="ID129" s="30"/>
      <c r="IE129">
        <v>8</v>
      </c>
      <c r="IF129">
        <v>8</v>
      </c>
      <c r="IG129" s="26">
        <v>0</v>
      </c>
      <c r="IH129" s="33"/>
      <c r="IK129" s="26">
        <v>0</v>
      </c>
      <c r="IL129" s="30"/>
      <c r="IM129" s="31"/>
      <c r="IO129" s="26">
        <v>0</v>
      </c>
      <c r="IP129" s="33"/>
      <c r="IQ129">
        <v>40</v>
      </c>
      <c r="IR129">
        <v>39</v>
      </c>
      <c r="IS129" s="26">
        <v>1</v>
      </c>
      <c r="IT129" s="33"/>
      <c r="IW129" s="26">
        <v>0</v>
      </c>
      <c r="IX129" s="33"/>
      <c r="JA129" s="26">
        <v>0</v>
      </c>
      <c r="JB129" s="30"/>
      <c r="JC129" s="27"/>
      <c r="JE129">
        <v>32</v>
      </c>
      <c r="JF129">
        <v>36</v>
      </c>
      <c r="JG129" s="26">
        <v>-4</v>
      </c>
      <c r="JH129" s="33"/>
      <c r="JI129" s="28">
        <v>0</v>
      </c>
      <c r="JJ129" s="28">
        <v>0</v>
      </c>
      <c r="JK129" s="26">
        <v>0</v>
      </c>
      <c r="JL129" s="33"/>
      <c r="JM129" s="28">
        <v>0</v>
      </c>
      <c r="JN129" s="28">
        <v>0</v>
      </c>
      <c r="JO129" s="26">
        <v>0</v>
      </c>
      <c r="JP129" s="33"/>
      <c r="JQ129" s="31">
        <v>0</v>
      </c>
      <c r="JR129" s="28">
        <v>0</v>
      </c>
      <c r="JS129" s="26">
        <v>0</v>
      </c>
      <c r="JT129" s="33"/>
    </row>
    <row r="130" spans="1:280" x14ac:dyDescent="0.25">
      <c r="A130" s="26" t="s">
        <v>281</v>
      </c>
      <c r="B130" s="27">
        <v>0.15</v>
      </c>
      <c r="I130" s="29"/>
      <c r="J130" s="35"/>
      <c r="K130" s="40"/>
      <c r="L130" s="35"/>
      <c r="M130" s="35">
        <f t="shared" si="9"/>
        <v>0</v>
      </c>
      <c r="N130" s="30"/>
      <c r="O130" s="29"/>
      <c r="P130" s="35"/>
      <c r="Q130" s="35"/>
      <c r="R130" s="35"/>
      <c r="S130" s="35">
        <f t="shared" si="10"/>
        <v>0</v>
      </c>
      <c r="T130" s="30"/>
      <c r="U130" s="29"/>
      <c r="V130" s="40"/>
      <c r="W130" s="35"/>
      <c r="X130" s="35"/>
      <c r="Y130" s="35"/>
      <c r="Z130" s="35"/>
      <c r="AA130" s="35">
        <f t="shared" si="11"/>
        <v>0</v>
      </c>
      <c r="AB130" s="30"/>
      <c r="AC130" s="29"/>
      <c r="AD130" s="35"/>
      <c r="AE130" s="35"/>
      <c r="AF130" s="35"/>
      <c r="AG130" s="35">
        <v>0</v>
      </c>
      <c r="AH130" s="30"/>
      <c r="AI130" s="35"/>
      <c r="AM130" s="26">
        <v>0</v>
      </c>
      <c r="AN130" s="30"/>
      <c r="AO130" s="31"/>
      <c r="AS130" s="26">
        <v>0</v>
      </c>
      <c r="AT130" s="30"/>
      <c r="AY130" s="26">
        <v>0</v>
      </c>
      <c r="AZ130" s="30"/>
      <c r="BD130" s="26">
        <v>0</v>
      </c>
      <c r="BE130" s="30"/>
      <c r="BF130" s="29"/>
      <c r="BH130" s="26">
        <v>0</v>
      </c>
      <c r="BI130" s="30"/>
      <c r="BJ130" s="29"/>
      <c r="BL130" s="26">
        <v>0</v>
      </c>
      <c r="BM130" s="30"/>
      <c r="BP130" s="26">
        <v>0</v>
      </c>
      <c r="BQ130" s="30"/>
      <c r="BR130" s="29"/>
      <c r="BT130" s="26">
        <v>0</v>
      </c>
      <c r="BU130" s="30"/>
      <c r="BX130" s="26">
        <v>0</v>
      </c>
      <c r="BY130" s="30"/>
      <c r="BZ130" s="29"/>
      <c r="CB130" s="26">
        <v>0</v>
      </c>
      <c r="CC130" s="30"/>
      <c r="CD130" s="29"/>
      <c r="CF130" s="26">
        <v>0</v>
      </c>
      <c r="CG130" s="30"/>
      <c r="CJ130" s="26">
        <v>0</v>
      </c>
      <c r="CK130" s="30"/>
      <c r="CL130" s="29"/>
      <c r="CP130" s="26">
        <v>0</v>
      </c>
      <c r="CQ130" s="30"/>
      <c r="CR130" s="29"/>
      <c r="CT130" s="26">
        <v>0</v>
      </c>
      <c r="CU130" s="30"/>
      <c r="CZ130" s="26">
        <v>0</v>
      </c>
      <c r="DA130" s="30"/>
      <c r="DD130" s="26">
        <v>0</v>
      </c>
      <c r="DE130" s="30"/>
      <c r="DF130" s="29"/>
      <c r="DH130" s="26">
        <v>0</v>
      </c>
      <c r="DI130" s="30"/>
      <c r="DJ130" s="29"/>
      <c r="DL130" s="26">
        <v>0</v>
      </c>
      <c r="DM130" s="30"/>
      <c r="DP130" s="26">
        <v>0</v>
      </c>
      <c r="DQ130" s="30"/>
      <c r="DR130" s="29"/>
      <c r="DU130" s="26">
        <v>0</v>
      </c>
      <c r="DV130" s="30"/>
      <c r="DW130" s="29"/>
      <c r="EA130" s="26">
        <v>0</v>
      </c>
      <c r="EB130" s="30"/>
      <c r="EC130" s="29"/>
      <c r="EF130" s="26">
        <v>0</v>
      </c>
      <c r="EG130" s="30"/>
      <c r="EJ130" s="26">
        <v>0</v>
      </c>
      <c r="EK130" s="30"/>
      <c r="EL130" s="31"/>
      <c r="EN130" s="26">
        <v>0</v>
      </c>
      <c r="EO130" s="30"/>
      <c r="EP130" s="29"/>
      <c r="ER130" s="26">
        <v>0</v>
      </c>
      <c r="ES130" s="30"/>
      <c r="ET130" s="29"/>
      <c r="EV130" s="26">
        <v>0</v>
      </c>
      <c r="EW130" s="30"/>
      <c r="EZ130" s="26">
        <v>0</v>
      </c>
      <c r="FA130" s="30"/>
      <c r="FD130" s="26">
        <v>0</v>
      </c>
      <c r="FE130" s="30"/>
      <c r="FF130" s="29"/>
      <c r="FI130" s="26">
        <v>0</v>
      </c>
      <c r="FJ130" s="30"/>
      <c r="FK130" s="29"/>
      <c r="FN130" s="26">
        <v>0</v>
      </c>
      <c r="FO130" s="30"/>
      <c r="FR130" s="26">
        <v>0</v>
      </c>
      <c r="FS130" s="30"/>
      <c r="FT130" s="29"/>
      <c r="FY130" s="26">
        <v>0</v>
      </c>
      <c r="FZ130" s="30"/>
      <c r="GC130" s="26">
        <v>0</v>
      </c>
      <c r="GD130" s="30"/>
      <c r="GE130" s="29"/>
      <c r="GI130" s="26">
        <v>0</v>
      </c>
      <c r="GJ130" s="30"/>
      <c r="GO130" s="26">
        <v>0</v>
      </c>
      <c r="GP130" s="30"/>
      <c r="GS130" s="26">
        <v>0</v>
      </c>
      <c r="GT130" s="30"/>
      <c r="GU130" s="29"/>
      <c r="GW130" s="26">
        <v>0</v>
      </c>
      <c r="GX130" s="30"/>
      <c r="GY130" s="29"/>
      <c r="HA130" s="26">
        <v>0</v>
      </c>
      <c r="HB130" s="30"/>
      <c r="HE130" s="26">
        <v>0</v>
      </c>
      <c r="HF130" s="30"/>
      <c r="HG130" s="29"/>
      <c r="HI130" s="26">
        <v>0</v>
      </c>
      <c r="HJ130" s="30"/>
      <c r="HK130" s="29"/>
      <c r="HM130" s="26">
        <v>0</v>
      </c>
      <c r="HN130" s="30"/>
      <c r="HQ130" s="26">
        <v>0</v>
      </c>
      <c r="HR130" s="33"/>
      <c r="HU130" s="26">
        <v>0</v>
      </c>
      <c r="HV130" s="30"/>
      <c r="HY130" s="26">
        <v>0</v>
      </c>
      <c r="HZ130" s="33"/>
      <c r="IC130" s="26">
        <v>0</v>
      </c>
      <c r="ID130" s="30"/>
      <c r="IG130" s="26">
        <v>0</v>
      </c>
      <c r="IH130" s="33"/>
      <c r="IK130" s="26">
        <v>0</v>
      </c>
      <c r="IL130" s="30"/>
      <c r="IM130" s="31"/>
      <c r="IO130" s="26">
        <v>0</v>
      </c>
      <c r="IP130" s="33"/>
      <c r="IS130" s="26">
        <v>0</v>
      </c>
      <c r="IT130" s="33"/>
      <c r="IW130" s="26">
        <v>0</v>
      </c>
      <c r="IX130" s="33"/>
      <c r="JA130" s="26">
        <v>0</v>
      </c>
      <c r="JB130" s="30"/>
      <c r="JC130" s="27"/>
      <c r="JE130" s="27"/>
      <c r="JG130" s="26">
        <v>0</v>
      </c>
      <c r="JH130" s="33"/>
      <c r="JI130" s="28">
        <v>0</v>
      </c>
      <c r="JJ130" s="28">
        <v>0</v>
      </c>
      <c r="JK130" s="26">
        <v>0</v>
      </c>
      <c r="JL130" s="33"/>
      <c r="JM130" s="28">
        <v>0</v>
      </c>
      <c r="JN130" s="28">
        <v>0</v>
      </c>
      <c r="JO130" s="26">
        <v>0</v>
      </c>
      <c r="JP130" s="33"/>
      <c r="JQ130" s="31">
        <v>0</v>
      </c>
      <c r="JR130" s="28">
        <v>0</v>
      </c>
      <c r="JS130" s="26">
        <v>0</v>
      </c>
      <c r="JT130" s="33"/>
    </row>
    <row r="131" spans="1:280" x14ac:dyDescent="0.25">
      <c r="A131" s="26" t="s">
        <v>282</v>
      </c>
      <c r="B131" s="27">
        <v>0.15</v>
      </c>
      <c r="I131" s="29"/>
      <c r="J131" s="35"/>
      <c r="K131" s="40"/>
      <c r="L131" s="35"/>
      <c r="M131" s="35">
        <f t="shared" si="9"/>
        <v>0</v>
      </c>
      <c r="N131" s="30"/>
      <c r="O131" s="29"/>
      <c r="P131" s="35"/>
      <c r="Q131" s="35"/>
      <c r="R131" s="35"/>
      <c r="S131" s="35">
        <f t="shared" si="10"/>
        <v>0</v>
      </c>
      <c r="T131" s="30"/>
      <c r="U131" s="29"/>
      <c r="V131" s="40"/>
      <c r="W131" s="35"/>
      <c r="X131" s="35"/>
      <c r="Y131" s="35"/>
      <c r="Z131" s="35"/>
      <c r="AA131" s="35">
        <f t="shared" si="11"/>
        <v>0</v>
      </c>
      <c r="AB131" s="30"/>
      <c r="AC131" s="29"/>
      <c r="AD131" s="35"/>
      <c r="AE131" s="35"/>
      <c r="AF131" s="35"/>
      <c r="AG131" s="35">
        <v>0</v>
      </c>
      <c r="AH131" s="30"/>
      <c r="AI131" s="35"/>
      <c r="AM131" s="26">
        <v>0</v>
      </c>
      <c r="AN131" s="30"/>
      <c r="AO131" s="31"/>
      <c r="AS131" s="26">
        <v>0</v>
      </c>
      <c r="AT131" s="30"/>
      <c r="AY131" s="26">
        <v>0</v>
      </c>
      <c r="AZ131" s="30"/>
      <c r="BD131" s="26">
        <v>0</v>
      </c>
      <c r="BE131" s="30"/>
      <c r="BF131" s="29"/>
      <c r="BH131" s="26">
        <v>0</v>
      </c>
      <c r="BI131" s="30"/>
      <c r="BJ131" s="29"/>
      <c r="BL131" s="26">
        <v>0</v>
      </c>
      <c r="BM131" s="30"/>
      <c r="BP131" s="26">
        <v>0</v>
      </c>
      <c r="BQ131" s="30"/>
      <c r="BR131" s="29"/>
      <c r="BT131" s="26">
        <v>0</v>
      </c>
      <c r="BU131" s="30"/>
      <c r="BX131" s="26">
        <v>0</v>
      </c>
      <c r="BY131" s="30"/>
      <c r="BZ131" s="29"/>
      <c r="CB131" s="26">
        <v>0</v>
      </c>
      <c r="CC131" s="30"/>
      <c r="CD131" s="29"/>
      <c r="CF131" s="26">
        <v>0</v>
      </c>
      <c r="CG131" s="30"/>
      <c r="CJ131" s="26">
        <v>0</v>
      </c>
      <c r="CK131" s="30"/>
      <c r="CL131" s="29"/>
      <c r="CP131" s="26">
        <v>0</v>
      </c>
      <c r="CQ131" s="30"/>
      <c r="CR131" s="29"/>
      <c r="CT131" s="26">
        <v>0</v>
      </c>
      <c r="CU131" s="30"/>
      <c r="CZ131" s="26">
        <v>0</v>
      </c>
      <c r="DA131" s="30"/>
      <c r="DD131" s="26">
        <v>0</v>
      </c>
      <c r="DE131" s="30"/>
      <c r="DF131" s="29"/>
      <c r="DH131" s="26">
        <v>0</v>
      </c>
      <c r="DI131" s="30"/>
      <c r="DJ131" s="29"/>
      <c r="DL131" s="26">
        <v>0</v>
      </c>
      <c r="DM131" s="30"/>
      <c r="DP131" s="26">
        <v>0</v>
      </c>
      <c r="DQ131" s="30"/>
      <c r="DR131" s="29"/>
      <c r="DU131" s="26">
        <v>0</v>
      </c>
      <c r="DV131" s="30"/>
      <c r="DW131" s="29"/>
      <c r="EA131" s="26">
        <v>0</v>
      </c>
      <c r="EB131" s="30"/>
      <c r="EC131" s="29"/>
      <c r="EF131" s="26">
        <v>0</v>
      </c>
      <c r="EG131" s="30"/>
      <c r="EJ131" s="26">
        <v>0</v>
      </c>
      <c r="EK131" s="30"/>
      <c r="EL131" s="31"/>
      <c r="EN131" s="26">
        <v>0</v>
      </c>
      <c r="EO131" s="30"/>
      <c r="EP131" s="29"/>
      <c r="ER131" s="26">
        <v>0</v>
      </c>
      <c r="ES131" s="30"/>
      <c r="ET131" s="29"/>
      <c r="EV131" s="26">
        <v>0</v>
      </c>
      <c r="EW131" s="30"/>
      <c r="EZ131" s="26">
        <v>0</v>
      </c>
      <c r="FA131" s="30"/>
      <c r="FD131" s="26">
        <v>0</v>
      </c>
      <c r="FE131" s="30"/>
      <c r="FF131" s="29"/>
      <c r="FI131" s="26">
        <v>0</v>
      </c>
      <c r="FJ131" s="30"/>
      <c r="FK131" s="29"/>
      <c r="FN131" s="26">
        <v>0</v>
      </c>
      <c r="FO131" s="30"/>
      <c r="FR131" s="26">
        <v>0</v>
      </c>
      <c r="FS131" s="30"/>
      <c r="FT131" s="29"/>
      <c r="FY131" s="26">
        <v>0</v>
      </c>
      <c r="FZ131" s="30"/>
      <c r="GC131" s="26">
        <v>0</v>
      </c>
      <c r="GD131" s="30"/>
      <c r="GE131" s="29"/>
      <c r="GI131" s="26">
        <v>0</v>
      </c>
      <c r="GJ131" s="30"/>
      <c r="GO131" s="26">
        <v>0</v>
      </c>
      <c r="GP131" s="30"/>
      <c r="GS131" s="26">
        <v>0</v>
      </c>
      <c r="GT131" s="30"/>
      <c r="GU131" s="29"/>
      <c r="GW131" s="26">
        <v>0</v>
      </c>
      <c r="GX131" s="30"/>
      <c r="GY131" s="29"/>
      <c r="HA131" s="26">
        <v>0</v>
      </c>
      <c r="HB131" s="30"/>
      <c r="HE131" s="26">
        <v>0</v>
      </c>
      <c r="HF131" s="30"/>
      <c r="HG131" s="29"/>
      <c r="HI131" s="26">
        <v>0</v>
      </c>
      <c r="HJ131" s="30"/>
      <c r="HK131" s="29"/>
      <c r="HM131" s="26">
        <v>0</v>
      </c>
      <c r="HN131" s="30"/>
      <c r="HQ131" s="26">
        <v>0</v>
      </c>
      <c r="HR131" s="33"/>
      <c r="HU131" s="26">
        <v>0</v>
      </c>
      <c r="HV131" s="30"/>
      <c r="HY131" s="26">
        <v>0</v>
      </c>
      <c r="HZ131" s="33"/>
      <c r="IC131" s="26">
        <v>0</v>
      </c>
      <c r="ID131" s="30"/>
      <c r="IG131" s="26">
        <v>0</v>
      </c>
      <c r="IH131" s="33"/>
      <c r="IK131" s="26">
        <v>0</v>
      </c>
      <c r="IL131" s="30"/>
      <c r="IM131" s="31"/>
      <c r="IO131" s="26">
        <v>0</v>
      </c>
      <c r="IP131" s="33"/>
      <c r="IS131" s="26">
        <v>0</v>
      </c>
      <c r="IT131" s="33"/>
      <c r="IW131" s="26">
        <v>0</v>
      </c>
      <c r="IX131" s="33"/>
      <c r="JA131" s="26">
        <v>0</v>
      </c>
      <c r="JB131" s="30"/>
      <c r="JC131" s="27"/>
      <c r="JE131" s="27"/>
      <c r="JG131" s="26">
        <v>0</v>
      </c>
      <c r="JH131" s="33"/>
      <c r="JI131" s="28">
        <v>0</v>
      </c>
      <c r="JJ131" s="28">
        <v>0</v>
      </c>
      <c r="JK131" s="26">
        <v>0</v>
      </c>
      <c r="JL131" s="33"/>
      <c r="JM131" s="28">
        <v>0</v>
      </c>
      <c r="JN131" s="28">
        <v>0</v>
      </c>
      <c r="JO131" s="26">
        <v>0</v>
      </c>
      <c r="JP131" s="33"/>
      <c r="JQ131" s="31">
        <v>0</v>
      </c>
      <c r="JR131" s="28">
        <v>0</v>
      </c>
      <c r="JS131" s="26">
        <v>0</v>
      </c>
      <c r="JT131" s="33"/>
    </row>
    <row r="132" spans="1:280" x14ac:dyDescent="0.25">
      <c r="A132" s="26" t="s">
        <v>283</v>
      </c>
      <c r="B132" s="27">
        <v>0.15</v>
      </c>
      <c r="I132" s="29"/>
      <c r="J132" s="35"/>
      <c r="K132" s="40"/>
      <c r="L132" s="35"/>
      <c r="M132" s="35">
        <f t="shared" ref="M132:M184" si="12">I132+K132-J132-L132</f>
        <v>0</v>
      </c>
      <c r="N132" s="30"/>
      <c r="O132" s="29"/>
      <c r="P132" s="35"/>
      <c r="Q132" s="35"/>
      <c r="R132" s="35"/>
      <c r="S132" s="35">
        <f t="shared" ref="S132:S184" si="13">O132+Q132-P132-R132</f>
        <v>0</v>
      </c>
      <c r="T132" s="30"/>
      <c r="U132" s="29"/>
      <c r="V132" s="40"/>
      <c r="W132" s="35"/>
      <c r="X132" s="35"/>
      <c r="Y132" s="35"/>
      <c r="Z132" s="35"/>
      <c r="AA132" s="35">
        <f t="shared" ref="AA132:AA184" si="14">U132+V132+X132+Y132-W132-Z132</f>
        <v>0</v>
      </c>
      <c r="AB132" s="30"/>
      <c r="AC132" s="29"/>
      <c r="AD132" s="35"/>
      <c r="AE132" s="35"/>
      <c r="AF132" s="35"/>
      <c r="AG132" s="35">
        <v>0</v>
      </c>
      <c r="AH132" s="30"/>
      <c r="AI132" s="35"/>
      <c r="AM132" s="26">
        <v>0</v>
      </c>
      <c r="AN132" s="30"/>
      <c r="AO132" s="31"/>
      <c r="AS132" s="26">
        <v>0</v>
      </c>
      <c r="AT132" s="30"/>
      <c r="AY132" s="26">
        <v>0</v>
      </c>
      <c r="AZ132" s="30"/>
      <c r="BD132" s="26">
        <v>0</v>
      </c>
      <c r="BE132" s="30"/>
      <c r="BF132" s="29"/>
      <c r="BH132" s="26">
        <v>0</v>
      </c>
      <c r="BI132" s="30"/>
      <c r="BJ132" s="29"/>
      <c r="BL132" s="26">
        <v>0</v>
      </c>
      <c r="BM132" s="30"/>
      <c r="BP132" s="26">
        <v>0</v>
      </c>
      <c r="BQ132" s="30"/>
      <c r="BR132" s="29"/>
      <c r="BT132" s="26">
        <v>0</v>
      </c>
      <c r="BU132" s="30"/>
      <c r="BX132" s="26">
        <v>0</v>
      </c>
      <c r="BY132" s="30"/>
      <c r="BZ132" s="29"/>
      <c r="CB132" s="26">
        <v>0</v>
      </c>
      <c r="CC132" s="30"/>
      <c r="CD132" s="29"/>
      <c r="CF132" s="26">
        <v>0</v>
      </c>
      <c r="CG132" s="30"/>
      <c r="CJ132" s="26">
        <v>0</v>
      </c>
      <c r="CK132" s="30"/>
      <c r="CL132" s="29"/>
      <c r="CP132" s="26">
        <v>0</v>
      </c>
      <c r="CQ132" s="30"/>
      <c r="CR132" s="29"/>
      <c r="CT132" s="26">
        <v>0</v>
      </c>
      <c r="CU132" s="30"/>
      <c r="CZ132" s="26">
        <v>0</v>
      </c>
      <c r="DA132" s="30"/>
      <c r="DD132" s="26">
        <v>0</v>
      </c>
      <c r="DE132" s="30"/>
      <c r="DF132" s="29"/>
      <c r="DH132" s="26">
        <v>0</v>
      </c>
      <c r="DI132" s="30"/>
      <c r="DJ132" s="29"/>
      <c r="DL132" s="26">
        <v>0</v>
      </c>
      <c r="DM132" s="30"/>
      <c r="DP132" s="26">
        <v>0</v>
      </c>
      <c r="DQ132" s="30"/>
      <c r="DR132" s="29"/>
      <c r="DU132" s="26">
        <v>0</v>
      </c>
      <c r="DV132" s="30"/>
      <c r="DW132" s="29"/>
      <c r="EA132" s="26">
        <v>0</v>
      </c>
      <c r="EB132" s="30"/>
      <c r="EC132" s="29"/>
      <c r="EF132" s="26">
        <v>0</v>
      </c>
      <c r="EG132" s="30"/>
      <c r="EJ132" s="26">
        <v>0</v>
      </c>
      <c r="EK132" s="30"/>
      <c r="EL132" s="31"/>
      <c r="EN132" s="26">
        <v>0</v>
      </c>
      <c r="EO132" s="30"/>
      <c r="EP132" s="29"/>
      <c r="ER132" s="26">
        <v>0</v>
      </c>
      <c r="ES132" s="30"/>
      <c r="ET132" s="29"/>
      <c r="EV132" s="26">
        <v>0</v>
      </c>
      <c r="EW132" s="30"/>
      <c r="EZ132" s="26">
        <v>0</v>
      </c>
      <c r="FA132" s="30"/>
      <c r="FD132" s="26">
        <v>0</v>
      </c>
      <c r="FE132" s="30"/>
      <c r="FF132" s="29"/>
      <c r="FI132" s="26">
        <v>0</v>
      </c>
      <c r="FJ132" s="30"/>
      <c r="FK132" s="29"/>
      <c r="FN132" s="26">
        <v>0</v>
      </c>
      <c r="FO132" s="30"/>
      <c r="FR132" s="26">
        <v>0</v>
      </c>
      <c r="FS132" s="30"/>
      <c r="FT132" s="29"/>
      <c r="FY132" s="26">
        <v>0</v>
      </c>
      <c r="FZ132" s="30"/>
      <c r="GC132" s="26">
        <v>0</v>
      </c>
      <c r="GD132" s="30"/>
      <c r="GE132" s="29"/>
      <c r="GI132" s="26">
        <v>0</v>
      </c>
      <c r="GJ132" s="30"/>
      <c r="GO132" s="26">
        <v>0</v>
      </c>
      <c r="GP132" s="30"/>
      <c r="GS132" s="26">
        <v>0</v>
      </c>
      <c r="GT132" s="30"/>
      <c r="GU132" s="29"/>
      <c r="GW132" s="26">
        <v>0</v>
      </c>
      <c r="GX132" s="30"/>
      <c r="GY132" s="29"/>
      <c r="HA132" s="26">
        <v>0</v>
      </c>
      <c r="HB132" s="30"/>
      <c r="HE132" s="26">
        <v>0</v>
      </c>
      <c r="HF132" s="30"/>
      <c r="HG132" s="29"/>
      <c r="HI132" s="26">
        <v>0</v>
      </c>
      <c r="HJ132" s="30"/>
      <c r="HK132" s="29"/>
      <c r="HM132" s="26">
        <v>0</v>
      </c>
      <c r="HN132" s="30"/>
      <c r="HQ132" s="26">
        <v>0</v>
      </c>
      <c r="HR132" s="33"/>
      <c r="HU132" s="26">
        <v>0</v>
      </c>
      <c r="HV132" s="30"/>
      <c r="HY132" s="26">
        <v>0</v>
      </c>
      <c r="HZ132" s="33"/>
      <c r="IC132" s="26">
        <v>0</v>
      </c>
      <c r="ID132" s="30"/>
      <c r="IG132" s="26">
        <v>0</v>
      </c>
      <c r="IH132" s="33"/>
      <c r="IK132" s="26">
        <v>0</v>
      </c>
      <c r="IL132" s="30"/>
      <c r="IM132" s="31"/>
      <c r="IO132" s="26">
        <v>0</v>
      </c>
      <c r="IP132" s="33"/>
      <c r="IS132" s="26">
        <v>0</v>
      </c>
      <c r="IT132" s="33"/>
      <c r="IW132" s="26">
        <v>0</v>
      </c>
      <c r="IX132" s="33"/>
      <c r="JA132" s="26">
        <v>0</v>
      </c>
      <c r="JB132" s="30"/>
      <c r="JC132" s="27"/>
      <c r="JE132" s="27"/>
      <c r="JG132" s="26">
        <v>0</v>
      </c>
      <c r="JH132" s="33"/>
      <c r="JI132" s="28">
        <v>0</v>
      </c>
      <c r="JJ132" s="28">
        <v>0</v>
      </c>
      <c r="JK132" s="26">
        <v>0</v>
      </c>
      <c r="JL132" s="33"/>
      <c r="JM132" s="28">
        <v>0</v>
      </c>
      <c r="JN132" s="28">
        <v>0</v>
      </c>
      <c r="JO132" s="26">
        <v>0</v>
      </c>
      <c r="JP132" s="33"/>
      <c r="JQ132" s="31">
        <v>0</v>
      </c>
      <c r="JR132" s="28">
        <v>0</v>
      </c>
      <c r="JS132" s="26">
        <v>0</v>
      </c>
      <c r="JT132" s="33"/>
    </row>
    <row r="133" spans="1:280" x14ac:dyDescent="0.25">
      <c r="A133" s="26" t="s">
        <v>284</v>
      </c>
      <c r="B133" s="27">
        <v>1</v>
      </c>
      <c r="E133">
        <v>217</v>
      </c>
      <c r="F133">
        <v>218</v>
      </c>
      <c r="I133" s="32">
        <v>119</v>
      </c>
      <c r="J133" s="36">
        <v>120</v>
      </c>
      <c r="K133" s="36">
        <v>118</v>
      </c>
      <c r="L133" s="36">
        <v>121</v>
      </c>
      <c r="M133" s="35">
        <f t="shared" si="12"/>
        <v>-4</v>
      </c>
      <c r="N133" s="30"/>
      <c r="O133" s="32">
        <v>135</v>
      </c>
      <c r="P133" s="36">
        <v>140</v>
      </c>
      <c r="Q133" s="36">
        <v>125</v>
      </c>
      <c r="R133" s="36">
        <v>130</v>
      </c>
      <c r="S133" s="41">
        <f t="shared" si="13"/>
        <v>-10</v>
      </c>
      <c r="T133" s="30">
        <f>-1*S133*B133</f>
        <v>10</v>
      </c>
      <c r="U133" s="29"/>
      <c r="V133" s="36">
        <v>118</v>
      </c>
      <c r="W133" s="36">
        <v>124</v>
      </c>
      <c r="X133" s="36">
        <v>101</v>
      </c>
      <c r="Y133" s="35"/>
      <c r="Z133" s="36">
        <v>100</v>
      </c>
      <c r="AA133" s="35">
        <f t="shared" si="14"/>
        <v>-5</v>
      </c>
      <c r="AB133" s="30"/>
      <c r="AC133" s="32">
        <v>128</v>
      </c>
      <c r="AD133" s="40">
        <v>125.2941176470588</v>
      </c>
      <c r="AE133" s="36">
        <v>83</v>
      </c>
      <c r="AF133" s="40">
        <v>87.705882352941174</v>
      </c>
      <c r="AG133" s="35">
        <v>-1.999999999999972</v>
      </c>
      <c r="AH133" s="30"/>
      <c r="AI133" s="36">
        <v>190</v>
      </c>
      <c r="AJ133">
        <v>194</v>
      </c>
      <c r="AK133">
        <v>154</v>
      </c>
      <c r="AL133">
        <v>155</v>
      </c>
      <c r="AM133" s="26">
        <v>-5</v>
      </c>
      <c r="AN133" s="30"/>
      <c r="AO133" s="31"/>
      <c r="AQ133">
        <v>50</v>
      </c>
      <c r="AR133">
        <v>50</v>
      </c>
      <c r="AS133" s="26">
        <v>0</v>
      </c>
      <c r="AT133" s="30"/>
      <c r="AU133">
        <v>179</v>
      </c>
      <c r="AV133">
        <v>180</v>
      </c>
      <c r="AW133">
        <v>194</v>
      </c>
      <c r="AX133">
        <v>197</v>
      </c>
      <c r="AY133" s="26">
        <v>-4</v>
      </c>
      <c r="AZ133" s="30"/>
      <c r="BB133">
        <v>25</v>
      </c>
      <c r="BC133">
        <v>26</v>
      </c>
      <c r="BD133" s="26">
        <v>-1</v>
      </c>
      <c r="BE133" s="30"/>
      <c r="BF133" s="32">
        <v>253</v>
      </c>
      <c r="BG133">
        <v>250</v>
      </c>
      <c r="BH133" s="26">
        <v>3</v>
      </c>
      <c r="BI133" s="30"/>
      <c r="BJ133" s="32">
        <v>367</v>
      </c>
      <c r="BK133">
        <v>360</v>
      </c>
      <c r="BL133" s="26">
        <v>7</v>
      </c>
      <c r="BM133" s="30"/>
      <c r="BN133">
        <v>76</v>
      </c>
      <c r="BO133">
        <v>75</v>
      </c>
      <c r="BP133" s="26">
        <v>1</v>
      </c>
      <c r="BQ133" s="30"/>
      <c r="BR133" s="32">
        <v>409</v>
      </c>
      <c r="BS133">
        <v>412</v>
      </c>
      <c r="BT133" s="26">
        <v>-3</v>
      </c>
      <c r="BU133" s="30"/>
      <c r="BV133">
        <v>151</v>
      </c>
      <c r="BW133">
        <v>152</v>
      </c>
      <c r="BX133" s="26">
        <v>-1</v>
      </c>
      <c r="BY133" s="30"/>
      <c r="BZ133" s="32">
        <v>427</v>
      </c>
      <c r="CA133">
        <v>432</v>
      </c>
      <c r="CB133" s="26">
        <v>-5</v>
      </c>
      <c r="CC133" s="30"/>
      <c r="CD133" s="29"/>
      <c r="CF133" s="26">
        <v>0</v>
      </c>
      <c r="CG133" s="30"/>
      <c r="CJ133" s="26">
        <v>0</v>
      </c>
      <c r="CK133" s="30"/>
      <c r="CL133" s="32">
        <v>266</v>
      </c>
      <c r="CM133">
        <v>270</v>
      </c>
      <c r="CN133">
        <v>266</v>
      </c>
      <c r="CO133">
        <v>268</v>
      </c>
      <c r="CP133" s="26">
        <v>-6</v>
      </c>
      <c r="CQ133" s="30"/>
      <c r="CR133" s="29"/>
      <c r="CT133" s="26">
        <v>0</v>
      </c>
      <c r="CU133" s="30"/>
      <c r="CV133">
        <v>152</v>
      </c>
      <c r="CW133">
        <v>150</v>
      </c>
      <c r="CX133">
        <v>385</v>
      </c>
      <c r="CY133">
        <v>389</v>
      </c>
      <c r="CZ133" s="26">
        <v>-2</v>
      </c>
      <c r="DA133" s="30"/>
      <c r="DB133">
        <v>92</v>
      </c>
      <c r="DC133">
        <v>95</v>
      </c>
      <c r="DD133" s="26">
        <v>-3</v>
      </c>
      <c r="DE133" s="30"/>
      <c r="DF133" s="32">
        <v>217</v>
      </c>
      <c r="DG133">
        <v>232</v>
      </c>
      <c r="DH133" s="25">
        <v>-15</v>
      </c>
      <c r="DI133" s="30">
        <v>15</v>
      </c>
      <c r="DJ133" s="32">
        <v>134</v>
      </c>
      <c r="DK133">
        <v>134</v>
      </c>
      <c r="DL133" s="26">
        <v>0</v>
      </c>
      <c r="DM133" s="30"/>
      <c r="DN133">
        <v>330</v>
      </c>
      <c r="DO133">
        <v>331</v>
      </c>
      <c r="DP133" s="26">
        <v>-1</v>
      </c>
      <c r="DQ133" s="30"/>
      <c r="DR133" s="29"/>
      <c r="DU133" s="26">
        <v>0</v>
      </c>
      <c r="DV133" s="30"/>
      <c r="DW133" s="29"/>
      <c r="DY133">
        <v>348</v>
      </c>
      <c r="DZ133">
        <v>347</v>
      </c>
      <c r="EA133" s="26">
        <v>1</v>
      </c>
      <c r="EB133" s="30"/>
      <c r="EC133" s="32">
        <v>201</v>
      </c>
      <c r="EE133">
        <v>202</v>
      </c>
      <c r="EF133" s="26">
        <v>-1</v>
      </c>
      <c r="EG133" s="30"/>
      <c r="EH133">
        <v>299</v>
      </c>
      <c r="EI133" s="26">
        <v>303.75560000000002</v>
      </c>
      <c r="EJ133" s="26">
        <v>-4.7556000000000154</v>
      </c>
      <c r="EK133" s="30"/>
      <c r="EL133" s="31"/>
      <c r="EN133" s="26">
        <v>0</v>
      </c>
      <c r="EO133" s="30"/>
      <c r="EP133" s="32">
        <v>220</v>
      </c>
      <c r="EQ133" s="26">
        <v>221.18199999999999</v>
      </c>
      <c r="ER133" s="26">
        <v>-1.1819999999999879</v>
      </c>
      <c r="ES133" s="30"/>
      <c r="ET133" s="32">
        <v>34</v>
      </c>
      <c r="EU133">
        <v>31</v>
      </c>
      <c r="EV133" s="26">
        <v>3</v>
      </c>
      <c r="EW133" s="30"/>
      <c r="EX133">
        <v>25</v>
      </c>
      <c r="EY133" s="28">
        <v>27.744800000000001</v>
      </c>
      <c r="EZ133" s="26">
        <v>-2.744800000000001</v>
      </c>
      <c r="FA133" s="30"/>
      <c r="FB133">
        <v>344</v>
      </c>
      <c r="FC133">
        <v>345</v>
      </c>
      <c r="FD133" s="26">
        <v>-1</v>
      </c>
      <c r="FE133" s="30"/>
      <c r="FF133" s="29"/>
      <c r="FI133" s="26">
        <v>0</v>
      </c>
      <c r="FJ133" s="30"/>
      <c r="FK133" s="29"/>
      <c r="FN133" s="26">
        <v>0</v>
      </c>
      <c r="FO133" s="30"/>
      <c r="FR133" s="26">
        <v>0</v>
      </c>
      <c r="FS133" s="30"/>
      <c r="FT133" s="29"/>
      <c r="FU133">
        <v>179</v>
      </c>
      <c r="FV133">
        <v>180</v>
      </c>
      <c r="FW133">
        <v>161</v>
      </c>
      <c r="FX133">
        <v>162</v>
      </c>
      <c r="FY133" s="26">
        <v>-2</v>
      </c>
      <c r="FZ133" s="30"/>
      <c r="GA133">
        <v>276</v>
      </c>
      <c r="GB133" s="28">
        <v>275.31939999999997</v>
      </c>
      <c r="GC133" s="26">
        <v>0.68060000000002674</v>
      </c>
      <c r="GD133" s="30"/>
      <c r="GE133" s="32">
        <v>59</v>
      </c>
      <c r="GF133">
        <v>60</v>
      </c>
      <c r="GG133">
        <v>51</v>
      </c>
      <c r="GH133">
        <v>50</v>
      </c>
      <c r="GI133" s="26">
        <v>0</v>
      </c>
      <c r="GJ133" s="30"/>
      <c r="GK133">
        <v>127</v>
      </c>
      <c r="GL133">
        <v>130</v>
      </c>
      <c r="GM133">
        <v>125</v>
      </c>
      <c r="GN133">
        <v>130</v>
      </c>
      <c r="GO133" s="26">
        <v>-8</v>
      </c>
      <c r="GP133" s="30"/>
      <c r="GQ133">
        <v>118</v>
      </c>
      <c r="GR133" s="28">
        <v>118.2676</v>
      </c>
      <c r="GS133" s="26">
        <v>-0.26760000000000161</v>
      </c>
      <c r="GT133" s="30"/>
      <c r="GU133" s="32">
        <v>75</v>
      </c>
      <c r="GV133">
        <v>79</v>
      </c>
      <c r="GW133" s="25">
        <v>-4</v>
      </c>
      <c r="GX133" s="30">
        <v>4</v>
      </c>
      <c r="GY133" s="32">
        <v>146</v>
      </c>
      <c r="GZ133">
        <v>147</v>
      </c>
      <c r="HA133" s="26">
        <v>-1</v>
      </c>
      <c r="HB133" s="30"/>
      <c r="HC133">
        <v>17</v>
      </c>
      <c r="HD133">
        <v>20</v>
      </c>
      <c r="HE133" s="26">
        <v>-3</v>
      </c>
      <c r="HF133" s="30"/>
      <c r="HG133" s="32">
        <v>117</v>
      </c>
      <c r="HH133">
        <v>120</v>
      </c>
      <c r="HI133" s="26">
        <v>-3</v>
      </c>
      <c r="HJ133" s="30"/>
      <c r="HK133" s="32">
        <v>201</v>
      </c>
      <c r="HL133">
        <v>186</v>
      </c>
      <c r="HM133" s="26">
        <v>15</v>
      </c>
      <c r="HN133" s="30"/>
      <c r="HO133">
        <v>127</v>
      </c>
      <c r="HP133">
        <v>130</v>
      </c>
      <c r="HQ133" s="26">
        <v>-3</v>
      </c>
      <c r="HR133" s="33"/>
      <c r="HS133">
        <v>134</v>
      </c>
      <c r="HT133">
        <v>132</v>
      </c>
      <c r="HU133" s="26">
        <v>2</v>
      </c>
      <c r="HV133" s="30"/>
      <c r="HW133">
        <v>17</v>
      </c>
      <c r="HX133">
        <v>20</v>
      </c>
      <c r="HY133" s="26">
        <v>-3</v>
      </c>
      <c r="HZ133" s="33"/>
      <c r="IA133">
        <v>93</v>
      </c>
      <c r="IB133">
        <v>95</v>
      </c>
      <c r="IC133" s="26">
        <v>-2</v>
      </c>
      <c r="ID133" s="30"/>
      <c r="IG133" s="26">
        <v>0</v>
      </c>
      <c r="IH133" s="33"/>
      <c r="II133">
        <v>8</v>
      </c>
      <c r="IJ133" s="28">
        <v>12.9894</v>
      </c>
      <c r="IK133" s="26">
        <v>-4.9893999999999998</v>
      </c>
      <c r="IL133" s="30"/>
      <c r="IM133" s="32">
        <v>59</v>
      </c>
      <c r="IN133" s="28">
        <v>56</v>
      </c>
      <c r="IO133" s="26">
        <v>3</v>
      </c>
      <c r="IP133" s="33"/>
      <c r="IS133" s="26">
        <v>0</v>
      </c>
      <c r="IT133" s="33"/>
      <c r="IU133">
        <v>42</v>
      </c>
      <c r="IV133">
        <v>40</v>
      </c>
      <c r="IW133" s="26">
        <v>-2</v>
      </c>
      <c r="IX133" s="33"/>
      <c r="IY133">
        <v>17</v>
      </c>
      <c r="IZ133">
        <v>20</v>
      </c>
      <c r="JA133" s="26">
        <v>-3</v>
      </c>
      <c r="JB133" s="30"/>
      <c r="JC133" s="27"/>
      <c r="JE133" s="27"/>
      <c r="JG133" s="26">
        <v>0</v>
      </c>
      <c r="JH133" s="33"/>
      <c r="JI133" s="28">
        <v>0</v>
      </c>
      <c r="JJ133" s="28">
        <v>0</v>
      </c>
      <c r="JK133" s="26">
        <v>0</v>
      </c>
      <c r="JL133" s="33"/>
      <c r="JM133" s="28">
        <v>0</v>
      </c>
      <c r="JN133" s="28">
        <v>0</v>
      </c>
      <c r="JO133" s="26">
        <v>0</v>
      </c>
      <c r="JP133" s="33"/>
      <c r="JQ133" s="31">
        <v>124.57899999999999</v>
      </c>
      <c r="JR133" s="28">
        <v>125</v>
      </c>
      <c r="JS133" s="26">
        <v>-0.42100000000000648</v>
      </c>
      <c r="JT133" s="33"/>
    </row>
    <row r="134" spans="1:280" x14ac:dyDescent="0.25">
      <c r="A134" s="26" t="s">
        <v>285</v>
      </c>
      <c r="B134" s="27">
        <v>1</v>
      </c>
      <c r="E134">
        <v>4</v>
      </c>
      <c r="I134" s="29"/>
      <c r="J134" s="35"/>
      <c r="K134" s="40"/>
      <c r="L134" s="35"/>
      <c r="M134" s="35">
        <f t="shared" si="12"/>
        <v>0</v>
      </c>
      <c r="N134" s="30"/>
      <c r="O134" s="29"/>
      <c r="P134" s="35"/>
      <c r="Q134" s="36">
        <v>4</v>
      </c>
      <c r="R134" s="36">
        <v>4</v>
      </c>
      <c r="S134" s="35">
        <f t="shared" si="13"/>
        <v>0</v>
      </c>
      <c r="T134" s="30"/>
      <c r="U134" s="29"/>
      <c r="V134" s="40"/>
      <c r="W134" s="35"/>
      <c r="X134" s="35"/>
      <c r="Y134" s="36">
        <v>4</v>
      </c>
      <c r="Z134" s="36">
        <v>4</v>
      </c>
      <c r="AA134" s="35">
        <f t="shared" si="14"/>
        <v>0</v>
      </c>
      <c r="AB134" s="30"/>
      <c r="AC134" s="29"/>
      <c r="AD134" s="35"/>
      <c r="AE134" s="35"/>
      <c r="AF134" s="35"/>
      <c r="AG134" s="35">
        <v>0</v>
      </c>
      <c r="AH134" s="30"/>
      <c r="AI134" s="35"/>
      <c r="AM134" s="26">
        <v>0</v>
      </c>
      <c r="AN134" s="30"/>
      <c r="AO134" s="31"/>
      <c r="AS134" s="26">
        <v>0</v>
      </c>
      <c r="AT134" s="30"/>
      <c r="AY134" s="26">
        <v>0</v>
      </c>
      <c r="AZ134" s="30"/>
      <c r="BB134">
        <v>23</v>
      </c>
      <c r="BD134" s="26">
        <v>23</v>
      </c>
      <c r="BE134" s="30"/>
      <c r="BF134" s="29"/>
      <c r="BH134" s="26">
        <v>0</v>
      </c>
      <c r="BI134" s="30"/>
      <c r="BJ134" s="29"/>
      <c r="BL134" s="26">
        <v>0</v>
      </c>
      <c r="BM134" s="30"/>
      <c r="BQ134" s="30"/>
      <c r="BR134" s="32"/>
      <c r="BU134" s="30"/>
      <c r="BY134" s="30"/>
      <c r="BZ134" s="32"/>
      <c r="CC134" s="30"/>
      <c r="CD134" s="29"/>
      <c r="CG134" s="30"/>
      <c r="CK134" s="30"/>
      <c r="CL134" s="32"/>
      <c r="CQ134" s="30"/>
      <c r="CR134" s="29"/>
      <c r="CU134" s="30"/>
      <c r="DA134" s="30"/>
      <c r="DE134" s="30"/>
      <c r="DF134" s="32"/>
      <c r="DI134" s="30"/>
      <c r="DJ134" s="32"/>
      <c r="DM134" s="30"/>
      <c r="DQ134" s="30"/>
      <c r="DR134" s="29"/>
      <c r="DV134" s="30"/>
      <c r="DW134" s="29"/>
      <c r="EB134" s="30"/>
      <c r="EC134" s="32"/>
      <c r="EG134" s="30"/>
      <c r="EK134" s="30"/>
      <c r="EL134" s="31"/>
      <c r="EO134" s="30"/>
      <c r="EP134" s="32"/>
      <c r="ES134" s="30"/>
      <c r="ET134" s="32"/>
      <c r="EW134" s="30"/>
      <c r="FA134" s="30"/>
      <c r="FE134" s="30"/>
      <c r="FF134" s="29"/>
      <c r="FJ134" s="30"/>
      <c r="FK134" s="29"/>
      <c r="FO134" s="30"/>
      <c r="FS134" s="30"/>
      <c r="FT134" s="29"/>
      <c r="FZ134" s="30"/>
      <c r="GB134" s="28"/>
      <c r="GD134" s="30"/>
      <c r="GE134" s="32"/>
      <c r="GJ134" s="30"/>
      <c r="GP134" s="30"/>
      <c r="GR134" s="28"/>
      <c r="GT134" s="30"/>
      <c r="GU134" s="32"/>
      <c r="GX134" s="30"/>
      <c r="GY134" s="32"/>
      <c r="HB134" s="30"/>
      <c r="HF134" s="30"/>
      <c r="HG134" s="32"/>
      <c r="HJ134" s="30"/>
      <c r="HK134" s="32"/>
      <c r="HN134" s="30"/>
      <c r="HR134" s="33"/>
      <c r="HV134" s="30"/>
      <c r="HZ134" s="33"/>
      <c r="ID134" s="30"/>
      <c r="IH134" s="33"/>
      <c r="IJ134" s="28"/>
      <c r="IL134" s="30"/>
      <c r="IM134" s="32"/>
      <c r="IN134" s="28"/>
      <c r="IP134" s="33"/>
      <c r="IT134" s="33"/>
      <c r="IX134" s="33"/>
      <c r="JB134" s="30"/>
      <c r="JC134" s="27"/>
      <c r="JE134" s="27"/>
      <c r="JH134" s="33"/>
      <c r="JI134" s="28"/>
      <c r="JJ134" s="28"/>
      <c r="JL134" s="33"/>
      <c r="JM134" s="28"/>
      <c r="JN134" s="28"/>
      <c r="JP134" s="33"/>
      <c r="JQ134" s="31"/>
      <c r="JR134" s="28"/>
      <c r="JT134" s="33"/>
    </row>
    <row r="135" spans="1:280" x14ac:dyDescent="0.25">
      <c r="A135" s="26" t="s">
        <v>286</v>
      </c>
      <c r="B135" s="27">
        <v>0.1</v>
      </c>
      <c r="I135" s="29"/>
      <c r="J135" s="35"/>
      <c r="K135" s="40"/>
      <c r="L135" s="35"/>
      <c r="M135" s="35">
        <f t="shared" si="12"/>
        <v>0</v>
      </c>
      <c r="N135" s="30"/>
      <c r="O135" s="29"/>
      <c r="P135" s="35"/>
      <c r="Q135" s="35"/>
      <c r="R135" s="35"/>
      <c r="S135" s="35">
        <f t="shared" si="13"/>
        <v>0</v>
      </c>
      <c r="T135" s="30"/>
      <c r="U135" s="29"/>
      <c r="V135" s="40"/>
      <c r="W135" s="35"/>
      <c r="X135" s="35"/>
      <c r="Y135" s="35"/>
      <c r="Z135" s="35"/>
      <c r="AA135" s="35">
        <f t="shared" si="14"/>
        <v>0</v>
      </c>
      <c r="AB135" s="30"/>
      <c r="AC135" s="29"/>
      <c r="AD135" s="35"/>
      <c r="AE135" s="35"/>
      <c r="AF135" s="35"/>
      <c r="AG135" s="35">
        <v>0</v>
      </c>
      <c r="AH135" s="30"/>
      <c r="AI135" s="35"/>
      <c r="AM135" s="26">
        <v>0</v>
      </c>
      <c r="AN135" s="30"/>
      <c r="AO135" s="31"/>
      <c r="AS135" s="26">
        <v>0</v>
      </c>
      <c r="AT135" s="30"/>
      <c r="AY135" s="26">
        <v>0</v>
      </c>
      <c r="AZ135" s="30"/>
      <c r="BD135" s="26">
        <v>0</v>
      </c>
      <c r="BE135" s="30"/>
      <c r="BF135" s="29"/>
      <c r="BH135" s="26">
        <v>0</v>
      </c>
      <c r="BI135" s="30"/>
      <c r="BJ135" s="29"/>
      <c r="BL135" s="26">
        <v>0</v>
      </c>
      <c r="BM135" s="30"/>
      <c r="BP135" s="26">
        <v>0</v>
      </c>
      <c r="BQ135" s="30"/>
      <c r="BR135" s="29"/>
      <c r="BT135" s="26">
        <v>0</v>
      </c>
      <c r="BU135" s="30"/>
      <c r="BX135" s="26">
        <v>0</v>
      </c>
      <c r="BY135" s="30"/>
      <c r="BZ135" s="29"/>
      <c r="CB135" s="26">
        <v>0</v>
      </c>
      <c r="CC135" s="30"/>
      <c r="CD135" s="29"/>
      <c r="CF135" s="26">
        <v>0</v>
      </c>
      <c r="CG135" s="30"/>
      <c r="CJ135" s="26">
        <v>0</v>
      </c>
      <c r="CK135" s="30"/>
      <c r="CL135" s="29"/>
      <c r="CP135" s="26">
        <v>0</v>
      </c>
      <c r="CQ135" s="30"/>
      <c r="CR135" s="29"/>
      <c r="CT135" s="26">
        <v>0</v>
      </c>
      <c r="CU135" s="30"/>
      <c r="CZ135" s="26">
        <v>0</v>
      </c>
      <c r="DA135" s="30"/>
      <c r="DD135" s="26">
        <v>0</v>
      </c>
      <c r="DE135" s="30"/>
      <c r="DF135" s="29"/>
      <c r="DH135" s="26">
        <v>0</v>
      </c>
      <c r="DI135" s="30"/>
      <c r="DJ135" s="29"/>
      <c r="DL135" s="26">
        <v>0</v>
      </c>
      <c r="DM135" s="30"/>
      <c r="DP135" s="26">
        <v>0</v>
      </c>
      <c r="DQ135" s="30"/>
      <c r="DR135" s="29"/>
      <c r="DU135" s="26">
        <v>0</v>
      </c>
      <c r="DV135" s="30"/>
      <c r="DW135" s="29"/>
      <c r="EA135" s="26">
        <v>0</v>
      </c>
      <c r="EB135" s="30"/>
      <c r="EC135" s="29"/>
      <c r="EF135" s="26">
        <v>0</v>
      </c>
      <c r="EG135" s="30"/>
      <c r="EJ135" s="26">
        <v>0</v>
      </c>
      <c r="EK135" s="30"/>
      <c r="EL135" s="31"/>
      <c r="EN135" s="26">
        <v>0</v>
      </c>
      <c r="EO135" s="30"/>
      <c r="EP135" s="29"/>
      <c r="ER135" s="26">
        <v>0</v>
      </c>
      <c r="ES135" s="30"/>
      <c r="ET135" s="29"/>
      <c r="EV135" s="26">
        <v>0</v>
      </c>
      <c r="EW135" s="30"/>
      <c r="EZ135" s="26">
        <v>0</v>
      </c>
      <c r="FA135" s="30"/>
      <c r="FD135" s="26">
        <v>0</v>
      </c>
      <c r="FE135" s="30"/>
      <c r="FF135" s="29"/>
      <c r="FI135" s="26">
        <v>0</v>
      </c>
      <c r="FJ135" s="30"/>
      <c r="FK135" s="29"/>
      <c r="FN135" s="26">
        <v>0</v>
      </c>
      <c r="FO135" s="30"/>
      <c r="FR135" s="26">
        <v>0</v>
      </c>
      <c r="FS135" s="30"/>
      <c r="FT135" s="29"/>
      <c r="FY135" s="26">
        <v>0</v>
      </c>
      <c r="FZ135" s="30"/>
      <c r="GC135" s="26">
        <v>0</v>
      </c>
      <c r="GD135" s="30"/>
      <c r="GE135" s="29"/>
      <c r="GI135" s="26">
        <v>0</v>
      </c>
      <c r="GJ135" s="30"/>
      <c r="GK135">
        <v>20</v>
      </c>
      <c r="GL135">
        <v>20</v>
      </c>
      <c r="GM135">
        <v>30</v>
      </c>
      <c r="GN135">
        <v>30</v>
      </c>
      <c r="GO135" s="26">
        <v>0</v>
      </c>
      <c r="GP135" s="30"/>
      <c r="GS135" s="26">
        <v>0</v>
      </c>
      <c r="GT135" s="30"/>
      <c r="GU135" s="29"/>
      <c r="GW135" s="26">
        <v>0</v>
      </c>
      <c r="GX135" s="30"/>
      <c r="GY135" s="32">
        <v>10</v>
      </c>
      <c r="GZ135">
        <v>10</v>
      </c>
      <c r="HA135" s="26">
        <v>0</v>
      </c>
      <c r="HB135" s="30"/>
      <c r="HC135">
        <v>20</v>
      </c>
      <c r="HD135" s="26">
        <v>20</v>
      </c>
      <c r="HE135" s="26">
        <v>0</v>
      </c>
      <c r="HF135" s="30"/>
      <c r="HG135" s="29"/>
      <c r="HI135" s="26">
        <v>0</v>
      </c>
      <c r="HJ135" s="30"/>
      <c r="HK135" s="29"/>
      <c r="HM135" s="26">
        <v>0</v>
      </c>
      <c r="HN135" s="30"/>
      <c r="HQ135" s="26">
        <v>0</v>
      </c>
      <c r="HR135" s="33"/>
      <c r="HU135" s="26">
        <v>0</v>
      </c>
      <c r="HV135" s="30"/>
      <c r="HY135" s="26">
        <v>0</v>
      </c>
      <c r="HZ135" s="33"/>
      <c r="IC135" s="26">
        <v>0</v>
      </c>
      <c r="ID135" s="30"/>
      <c r="IG135" s="26">
        <v>0</v>
      </c>
      <c r="IH135" s="33"/>
      <c r="IK135" s="26">
        <v>0</v>
      </c>
      <c r="IL135" s="30"/>
      <c r="IM135" s="31"/>
      <c r="IO135" s="26">
        <v>0</v>
      </c>
      <c r="IP135" s="33"/>
      <c r="IS135" s="26">
        <v>0</v>
      </c>
      <c r="IT135" s="33"/>
      <c r="IW135" s="26">
        <v>0</v>
      </c>
      <c r="IX135" s="33"/>
      <c r="JA135" s="26">
        <v>0</v>
      </c>
      <c r="JB135" s="30"/>
      <c r="JC135" s="27"/>
      <c r="JE135" s="27"/>
      <c r="JG135" s="26">
        <v>0</v>
      </c>
      <c r="JH135" s="33"/>
      <c r="JI135" s="28">
        <v>0</v>
      </c>
      <c r="JJ135" s="28">
        <v>0</v>
      </c>
      <c r="JK135" s="26">
        <v>0</v>
      </c>
      <c r="JL135" s="33"/>
      <c r="JM135" s="28">
        <v>0</v>
      </c>
      <c r="JN135" s="28">
        <v>0</v>
      </c>
      <c r="JO135" s="26">
        <v>0</v>
      </c>
      <c r="JP135" s="33"/>
      <c r="JQ135" s="31">
        <v>0</v>
      </c>
      <c r="JR135" s="28">
        <v>0</v>
      </c>
      <c r="JS135" s="26">
        <v>0</v>
      </c>
      <c r="JT135" s="33"/>
    </row>
    <row r="136" spans="1:280" x14ac:dyDescent="0.25">
      <c r="A136" s="26" t="s">
        <v>287</v>
      </c>
      <c r="B136" s="27">
        <v>0.4</v>
      </c>
      <c r="E136">
        <v>62</v>
      </c>
      <c r="F136">
        <v>62</v>
      </c>
      <c r="I136" s="29"/>
      <c r="J136" s="35"/>
      <c r="K136" s="40"/>
      <c r="L136" s="35"/>
      <c r="M136" s="35">
        <f t="shared" si="12"/>
        <v>0</v>
      </c>
      <c r="N136" s="30"/>
      <c r="O136" s="32">
        <v>66</v>
      </c>
      <c r="P136" s="36">
        <v>67</v>
      </c>
      <c r="Q136" s="36">
        <v>60</v>
      </c>
      <c r="R136" s="36">
        <v>63</v>
      </c>
      <c r="S136" s="35">
        <f t="shared" si="13"/>
        <v>-4</v>
      </c>
      <c r="T136" s="30"/>
      <c r="U136" s="29"/>
      <c r="V136" s="40"/>
      <c r="W136" s="35"/>
      <c r="X136" s="35"/>
      <c r="Y136" s="36">
        <v>36</v>
      </c>
      <c r="Z136" s="36">
        <v>38</v>
      </c>
      <c r="AA136" s="35">
        <f t="shared" si="14"/>
        <v>-2</v>
      </c>
      <c r="AB136" s="30"/>
      <c r="AC136" s="29"/>
      <c r="AD136" s="35"/>
      <c r="AE136" s="36">
        <v>6</v>
      </c>
      <c r="AF136" s="40">
        <v>11</v>
      </c>
      <c r="AG136" s="35">
        <v>-5</v>
      </c>
      <c r="AH136" s="30"/>
      <c r="AI136" s="36">
        <v>66</v>
      </c>
      <c r="AJ136">
        <v>67</v>
      </c>
      <c r="AK136">
        <v>48</v>
      </c>
      <c r="AL136">
        <v>53</v>
      </c>
      <c r="AM136" s="26">
        <v>-6</v>
      </c>
      <c r="AN136" s="30"/>
      <c r="AO136" s="31"/>
      <c r="AQ136">
        <v>6</v>
      </c>
      <c r="AR136">
        <v>5</v>
      </c>
      <c r="AS136" s="26">
        <v>1</v>
      </c>
      <c r="AT136" s="30"/>
      <c r="AV136">
        <v>32</v>
      </c>
      <c r="AW136">
        <v>42</v>
      </c>
      <c r="AX136">
        <v>45</v>
      </c>
      <c r="AY136" s="25">
        <v>-35</v>
      </c>
      <c r="AZ136" s="30">
        <v>14</v>
      </c>
      <c r="BB136">
        <v>108</v>
      </c>
      <c r="BC136">
        <v>111</v>
      </c>
      <c r="BD136" s="26">
        <v>-3</v>
      </c>
      <c r="BE136" s="30"/>
      <c r="BF136" s="29"/>
      <c r="BH136" s="26">
        <v>0</v>
      </c>
      <c r="BI136" s="30"/>
      <c r="BJ136" s="32">
        <v>120</v>
      </c>
      <c r="BK136">
        <v>118</v>
      </c>
      <c r="BL136" s="26">
        <v>2</v>
      </c>
      <c r="BM136" s="30"/>
      <c r="BP136" s="26">
        <v>0</v>
      </c>
      <c r="BQ136" s="30"/>
      <c r="BR136" s="32">
        <v>60</v>
      </c>
      <c r="BS136">
        <v>60</v>
      </c>
      <c r="BT136" s="26">
        <v>0</v>
      </c>
      <c r="BU136" s="30"/>
      <c r="BV136">
        <v>6</v>
      </c>
      <c r="BW136">
        <v>8</v>
      </c>
      <c r="BX136" s="26">
        <v>-2</v>
      </c>
      <c r="BY136" s="30"/>
      <c r="BZ136" s="32">
        <v>30</v>
      </c>
      <c r="CA136">
        <v>29</v>
      </c>
      <c r="CB136" s="26">
        <v>1</v>
      </c>
      <c r="CC136" s="30"/>
      <c r="CD136" s="32">
        <v>12</v>
      </c>
      <c r="CE136">
        <v>15</v>
      </c>
      <c r="CF136" s="26">
        <v>-3</v>
      </c>
      <c r="CG136" s="30"/>
      <c r="CH136">
        <v>6</v>
      </c>
      <c r="CI136">
        <v>9</v>
      </c>
      <c r="CJ136" s="26">
        <v>-3</v>
      </c>
      <c r="CK136" s="30"/>
      <c r="CL136" s="29"/>
      <c r="CP136" s="26">
        <v>0</v>
      </c>
      <c r="CQ136" s="30"/>
      <c r="CR136" s="32">
        <v>36</v>
      </c>
      <c r="CS136">
        <v>37</v>
      </c>
      <c r="CT136" s="26">
        <v>-1</v>
      </c>
      <c r="CU136" s="30"/>
      <c r="CZ136" s="26">
        <v>0</v>
      </c>
      <c r="DA136" s="30"/>
      <c r="DB136">
        <v>6</v>
      </c>
      <c r="DC136">
        <v>8</v>
      </c>
      <c r="DD136" s="26">
        <v>-2</v>
      </c>
      <c r="DE136" s="30"/>
      <c r="DF136" s="29"/>
      <c r="DH136" s="26">
        <v>0</v>
      </c>
      <c r="DI136" s="30"/>
      <c r="DJ136" s="29">
        <v>30</v>
      </c>
      <c r="DK136" s="26">
        <v>30</v>
      </c>
      <c r="DL136" s="26">
        <v>0</v>
      </c>
      <c r="DM136" s="30"/>
      <c r="DP136" s="26">
        <v>0</v>
      </c>
      <c r="DQ136" s="30"/>
      <c r="DR136" s="29"/>
      <c r="DU136" s="26">
        <v>0</v>
      </c>
      <c r="DV136" s="30"/>
      <c r="DW136" s="29"/>
      <c r="EA136" s="26">
        <v>0</v>
      </c>
      <c r="EB136" s="30"/>
      <c r="EC136" s="29"/>
      <c r="EG136" s="33"/>
      <c r="EK136" s="30"/>
      <c r="EL136" s="31"/>
      <c r="EO136" s="30"/>
      <c r="EP136" s="29"/>
      <c r="ES136" s="30"/>
      <c r="ET136" s="29"/>
      <c r="EW136" s="30"/>
      <c r="FA136" s="30"/>
      <c r="FE136" s="30"/>
      <c r="FF136" s="29"/>
      <c r="FJ136" s="30"/>
      <c r="FK136" s="29"/>
      <c r="FO136" s="30"/>
      <c r="FS136" s="30"/>
      <c r="FT136" s="29"/>
      <c r="FZ136" s="30"/>
      <c r="GD136" s="30"/>
      <c r="GE136" s="29"/>
      <c r="GH136" s="27"/>
      <c r="GJ136" s="30"/>
      <c r="GP136" s="30"/>
      <c r="GQ136" s="28"/>
      <c r="GT136" s="30"/>
      <c r="GU136" s="29"/>
      <c r="GX136" s="30"/>
      <c r="GY136" s="32"/>
      <c r="HB136" s="30"/>
      <c r="HF136" s="30"/>
      <c r="HG136" s="29"/>
      <c r="HJ136" s="30"/>
      <c r="HK136" s="29"/>
      <c r="HN136" s="30"/>
      <c r="HR136" s="33"/>
      <c r="HV136" s="30"/>
      <c r="HZ136" s="33"/>
      <c r="ID136" s="30"/>
      <c r="IH136" s="33"/>
      <c r="IL136" s="30"/>
      <c r="IM136" s="31"/>
      <c r="IP136" s="33"/>
      <c r="IT136" s="33"/>
      <c r="IX136" s="33"/>
      <c r="JB136" s="30"/>
      <c r="JC136" s="27"/>
      <c r="JE136" s="27"/>
      <c r="JH136" s="33"/>
      <c r="JI136" s="28"/>
      <c r="JJ136" s="28"/>
      <c r="JL136" s="33"/>
      <c r="JM136" s="28"/>
      <c r="JN136" s="28"/>
      <c r="JP136" s="33"/>
      <c r="JQ136" s="31"/>
      <c r="JR136" s="28"/>
      <c r="JT136" s="33"/>
    </row>
    <row r="137" spans="1:280" x14ac:dyDescent="0.25">
      <c r="A137" s="26" t="s">
        <v>288</v>
      </c>
      <c r="B137" s="27">
        <v>1</v>
      </c>
      <c r="I137" s="29"/>
      <c r="J137" s="35"/>
      <c r="K137" s="40"/>
      <c r="L137" s="35"/>
      <c r="M137" s="35">
        <f t="shared" si="12"/>
        <v>0</v>
      </c>
      <c r="N137" s="30"/>
      <c r="O137" s="29"/>
      <c r="P137" s="35"/>
      <c r="Q137" s="35"/>
      <c r="R137" s="35"/>
      <c r="S137" s="35">
        <f t="shared" si="13"/>
        <v>0</v>
      </c>
      <c r="T137" s="30"/>
      <c r="U137" s="29"/>
      <c r="V137" s="40"/>
      <c r="W137" s="35"/>
      <c r="X137" s="35"/>
      <c r="Y137" s="35"/>
      <c r="Z137" s="35"/>
      <c r="AA137" s="35">
        <f t="shared" si="14"/>
        <v>0</v>
      </c>
      <c r="AB137" s="30"/>
      <c r="AC137" s="29"/>
      <c r="AD137" s="35"/>
      <c r="AE137" s="35"/>
      <c r="AF137" s="35"/>
      <c r="AG137" s="35">
        <v>0</v>
      </c>
      <c r="AH137" s="30"/>
      <c r="AI137" s="35"/>
      <c r="AM137" s="26">
        <v>0</v>
      </c>
      <c r="AN137" s="30"/>
      <c r="AO137" s="31"/>
      <c r="AS137" s="26">
        <v>0</v>
      </c>
      <c r="AT137" s="30"/>
      <c r="AY137" s="26">
        <v>0</v>
      </c>
      <c r="AZ137" s="30"/>
      <c r="BD137" s="26">
        <v>0</v>
      </c>
      <c r="BE137" s="30"/>
      <c r="BF137" s="29"/>
      <c r="BH137" s="26">
        <v>0</v>
      </c>
      <c r="BI137" s="30"/>
      <c r="BJ137" s="29"/>
      <c r="BL137" s="26">
        <v>0</v>
      </c>
      <c r="BM137" s="30"/>
      <c r="BP137" s="26">
        <v>0</v>
      </c>
      <c r="BQ137" s="30"/>
      <c r="BR137" s="29"/>
      <c r="BT137" s="26">
        <v>0</v>
      </c>
      <c r="BU137" s="30"/>
      <c r="BX137" s="26">
        <v>0</v>
      </c>
      <c r="BY137" s="30"/>
      <c r="BZ137" s="29"/>
      <c r="CB137" s="26">
        <v>0</v>
      </c>
      <c r="CC137" s="30"/>
      <c r="CD137" s="29"/>
      <c r="CF137" s="26">
        <v>0</v>
      </c>
      <c r="CG137" s="30"/>
      <c r="CJ137" s="26">
        <v>0</v>
      </c>
      <c r="CK137" s="30"/>
      <c r="CL137" s="29"/>
      <c r="CP137" s="26">
        <v>0</v>
      </c>
      <c r="CQ137" s="30"/>
      <c r="CR137" s="29"/>
      <c r="CT137" s="26">
        <v>0</v>
      </c>
      <c r="CU137" s="30"/>
      <c r="CZ137" s="26">
        <v>0</v>
      </c>
      <c r="DA137" s="30"/>
      <c r="DD137" s="26">
        <v>0</v>
      </c>
      <c r="DE137" s="30"/>
      <c r="DF137" s="29"/>
      <c r="DH137" s="26">
        <v>0</v>
      </c>
      <c r="DI137" s="30"/>
      <c r="DJ137" s="29"/>
      <c r="DL137" s="26">
        <v>0</v>
      </c>
      <c r="DM137" s="30"/>
      <c r="DP137" s="26">
        <v>0</v>
      </c>
      <c r="DQ137" s="30"/>
      <c r="DR137" s="29"/>
      <c r="DU137" s="26">
        <v>0</v>
      </c>
      <c r="DV137" s="30"/>
      <c r="DW137" s="29"/>
      <c r="EA137" s="26">
        <v>0</v>
      </c>
      <c r="EB137" s="30"/>
      <c r="EC137" s="29"/>
      <c r="EF137" s="26">
        <v>0</v>
      </c>
      <c r="EG137" s="30"/>
      <c r="EJ137" s="26">
        <v>0</v>
      </c>
      <c r="EK137" s="30"/>
      <c r="EL137" s="31"/>
      <c r="EN137" s="26">
        <v>0</v>
      </c>
      <c r="EO137" s="30"/>
      <c r="EP137" s="29"/>
      <c r="ER137" s="26">
        <v>0</v>
      </c>
      <c r="ES137" s="30"/>
      <c r="ET137" s="29"/>
      <c r="EV137" s="26">
        <v>0</v>
      </c>
      <c r="EW137" s="30"/>
      <c r="EZ137" s="26">
        <v>0</v>
      </c>
      <c r="FA137" s="30"/>
      <c r="FD137" s="26">
        <v>0</v>
      </c>
      <c r="FE137" s="30"/>
      <c r="FF137" s="29"/>
      <c r="FI137" s="26">
        <v>0</v>
      </c>
      <c r="FJ137" s="30"/>
      <c r="FK137" s="29"/>
      <c r="FN137" s="26">
        <v>0</v>
      </c>
      <c r="FO137" s="30"/>
      <c r="FR137" s="26">
        <v>0</v>
      </c>
      <c r="FS137" s="30"/>
      <c r="FT137" s="29"/>
      <c r="FY137" s="26">
        <v>0</v>
      </c>
      <c r="FZ137" s="30"/>
      <c r="GC137" s="26">
        <v>0</v>
      </c>
      <c r="GD137" s="30"/>
      <c r="GE137" s="29"/>
      <c r="GI137" s="26">
        <v>0</v>
      </c>
      <c r="GJ137" s="30"/>
      <c r="GO137" s="26">
        <v>0</v>
      </c>
      <c r="GP137" s="30"/>
      <c r="GS137" s="26">
        <v>0</v>
      </c>
      <c r="GT137" s="30"/>
      <c r="GU137" s="29"/>
      <c r="GW137" s="26">
        <v>0</v>
      </c>
      <c r="GX137" s="30"/>
      <c r="GY137" s="29"/>
      <c r="HA137" s="26">
        <v>0</v>
      </c>
      <c r="HB137" s="30"/>
      <c r="HE137" s="26">
        <v>0</v>
      </c>
      <c r="HF137" s="30"/>
      <c r="HG137" s="29"/>
      <c r="HI137" s="26">
        <v>0</v>
      </c>
      <c r="HJ137" s="30"/>
      <c r="HK137" s="29"/>
      <c r="HM137" s="26">
        <v>0</v>
      </c>
      <c r="HN137" s="30"/>
      <c r="HQ137" s="26">
        <v>0</v>
      </c>
      <c r="HR137" s="33"/>
      <c r="HU137" s="26">
        <v>0</v>
      </c>
      <c r="HV137" s="30"/>
      <c r="HY137" s="26">
        <v>0</v>
      </c>
      <c r="HZ137" s="33"/>
      <c r="IC137" s="26">
        <v>0</v>
      </c>
      <c r="ID137" s="30"/>
      <c r="IG137" s="26">
        <v>0</v>
      </c>
      <c r="IH137" s="33"/>
      <c r="IK137" s="26">
        <v>0</v>
      </c>
      <c r="IL137" s="30"/>
      <c r="IM137" s="31"/>
      <c r="IO137" s="26">
        <v>0</v>
      </c>
      <c r="IP137" s="33"/>
      <c r="IS137" s="26">
        <v>0</v>
      </c>
      <c r="IT137" s="33"/>
      <c r="IW137" s="26">
        <v>0</v>
      </c>
      <c r="IX137" s="33"/>
      <c r="JA137" s="26">
        <v>0</v>
      </c>
      <c r="JB137" s="30"/>
      <c r="JC137" s="27"/>
      <c r="JE137" s="27"/>
      <c r="JG137" s="26">
        <v>0</v>
      </c>
      <c r="JH137" s="33"/>
      <c r="JI137" s="28">
        <v>0</v>
      </c>
      <c r="JJ137" s="28">
        <v>0</v>
      </c>
      <c r="JK137" s="26">
        <v>0</v>
      </c>
      <c r="JL137" s="33"/>
      <c r="JM137" s="28">
        <v>0</v>
      </c>
      <c r="JN137" s="28">
        <v>0</v>
      </c>
      <c r="JO137" s="26">
        <v>0</v>
      </c>
      <c r="JP137" s="33"/>
      <c r="JQ137" s="31">
        <v>0</v>
      </c>
      <c r="JR137" s="28">
        <v>0</v>
      </c>
      <c r="JS137" s="26">
        <v>0</v>
      </c>
      <c r="JT137" s="33"/>
    </row>
    <row r="138" spans="1:280" x14ac:dyDescent="0.25">
      <c r="A138" s="26" t="s">
        <v>289</v>
      </c>
      <c r="B138" s="27">
        <v>1</v>
      </c>
      <c r="I138" s="29"/>
      <c r="J138" s="35"/>
      <c r="K138" s="40"/>
      <c r="L138" s="35"/>
      <c r="M138" s="35">
        <f t="shared" si="12"/>
        <v>0</v>
      </c>
      <c r="N138" s="30"/>
      <c r="O138" s="29"/>
      <c r="P138" s="35"/>
      <c r="Q138" s="35"/>
      <c r="R138" s="35"/>
      <c r="S138" s="35">
        <f t="shared" si="13"/>
        <v>0</v>
      </c>
      <c r="T138" s="30"/>
      <c r="U138" s="29"/>
      <c r="V138" s="40"/>
      <c r="W138" s="35"/>
      <c r="X138" s="35"/>
      <c r="Y138" s="35"/>
      <c r="Z138" s="35"/>
      <c r="AA138" s="35">
        <f t="shared" si="14"/>
        <v>0</v>
      </c>
      <c r="AB138" s="30"/>
      <c r="AC138" s="29"/>
      <c r="AD138" s="35"/>
      <c r="AE138" s="35"/>
      <c r="AF138" s="35"/>
      <c r="AG138" s="35">
        <v>0</v>
      </c>
      <c r="AH138" s="30"/>
      <c r="AI138" s="35"/>
      <c r="AM138" s="26">
        <v>0</v>
      </c>
      <c r="AN138" s="30"/>
      <c r="AO138" s="31"/>
      <c r="AS138" s="26">
        <v>0</v>
      </c>
      <c r="AT138" s="30"/>
      <c r="AY138" s="26">
        <v>0</v>
      </c>
      <c r="AZ138" s="30"/>
      <c r="BD138" s="26">
        <v>0</v>
      </c>
      <c r="BE138" s="30"/>
      <c r="BF138" s="29"/>
      <c r="BH138" s="26">
        <v>0</v>
      </c>
      <c r="BI138" s="30"/>
      <c r="BJ138" s="29"/>
      <c r="BL138" s="26">
        <v>0</v>
      </c>
      <c r="BM138" s="30"/>
      <c r="BP138" s="26">
        <v>0</v>
      </c>
      <c r="BQ138" s="30"/>
      <c r="BR138" s="29"/>
      <c r="BT138" s="26">
        <v>0</v>
      </c>
      <c r="BU138" s="30"/>
      <c r="BX138" s="26">
        <v>0</v>
      </c>
      <c r="BY138" s="30"/>
      <c r="BZ138" s="29"/>
      <c r="CB138" s="26">
        <v>0</v>
      </c>
      <c r="CC138" s="30"/>
      <c r="CD138" s="29"/>
      <c r="CF138" s="26">
        <v>0</v>
      </c>
      <c r="CG138" s="30"/>
      <c r="CJ138" s="26">
        <v>0</v>
      </c>
      <c r="CK138" s="30"/>
      <c r="CL138" s="29"/>
      <c r="CP138" s="26">
        <v>0</v>
      </c>
      <c r="CQ138" s="30"/>
      <c r="CR138" s="29"/>
      <c r="CT138" s="26">
        <v>0</v>
      </c>
      <c r="CU138" s="30"/>
      <c r="CZ138" s="26">
        <v>0</v>
      </c>
      <c r="DA138" s="30"/>
      <c r="DD138" s="26">
        <v>0</v>
      </c>
      <c r="DE138" s="30"/>
      <c r="DF138" s="29"/>
      <c r="DH138" s="26">
        <v>0</v>
      </c>
      <c r="DI138" s="30"/>
      <c r="DJ138" s="29"/>
      <c r="DL138" s="26">
        <v>0</v>
      </c>
      <c r="DM138" s="30"/>
      <c r="DP138" s="26">
        <v>0</v>
      </c>
      <c r="DQ138" s="30"/>
      <c r="DR138" s="29"/>
      <c r="DU138" s="26">
        <v>0</v>
      </c>
      <c r="DV138" s="30"/>
      <c r="DW138" s="29"/>
      <c r="EA138" s="26">
        <v>0</v>
      </c>
      <c r="EB138" s="30"/>
      <c r="EC138" s="29"/>
      <c r="EF138" s="26">
        <v>0</v>
      </c>
      <c r="EG138" s="30"/>
      <c r="EJ138" s="26">
        <v>0</v>
      </c>
      <c r="EK138" s="30"/>
      <c r="EL138" s="31"/>
      <c r="EN138" s="26">
        <v>0</v>
      </c>
      <c r="EO138" s="30"/>
      <c r="EP138" s="29"/>
      <c r="ER138" s="26">
        <v>0</v>
      </c>
      <c r="ES138" s="30"/>
      <c r="ET138" s="29"/>
      <c r="EV138" s="26">
        <v>0</v>
      </c>
      <c r="EW138" s="30"/>
      <c r="EZ138" s="26">
        <v>0</v>
      </c>
      <c r="FA138" s="30"/>
      <c r="FD138" s="26">
        <v>0</v>
      </c>
      <c r="FE138" s="30"/>
      <c r="FF138" s="29"/>
      <c r="FI138" s="26">
        <v>0</v>
      </c>
      <c r="FJ138" s="30"/>
      <c r="FK138" s="29"/>
      <c r="FN138" s="26">
        <v>0</v>
      </c>
      <c r="FO138" s="30"/>
      <c r="FR138" s="26">
        <v>0</v>
      </c>
      <c r="FS138" s="30"/>
      <c r="FT138" s="29"/>
      <c r="FY138" s="26">
        <v>0</v>
      </c>
      <c r="FZ138" s="30"/>
      <c r="GC138" s="26">
        <v>0</v>
      </c>
      <c r="GD138" s="30"/>
      <c r="GE138" s="29"/>
      <c r="GI138" s="26">
        <v>0</v>
      </c>
      <c r="GJ138" s="30"/>
      <c r="GO138" s="26">
        <v>0</v>
      </c>
      <c r="GP138" s="30"/>
      <c r="GS138" s="26">
        <v>0</v>
      </c>
      <c r="GT138" s="30"/>
      <c r="GU138" s="29"/>
      <c r="GW138" s="26">
        <v>0</v>
      </c>
      <c r="GX138" s="30"/>
      <c r="GY138" s="29"/>
      <c r="HA138" s="26">
        <v>0</v>
      </c>
      <c r="HB138" s="30"/>
      <c r="HE138" s="26">
        <v>0</v>
      </c>
      <c r="HF138" s="30"/>
      <c r="HG138" s="29"/>
      <c r="HI138" s="26">
        <v>0</v>
      </c>
      <c r="HJ138" s="30"/>
      <c r="HK138" s="29"/>
      <c r="HM138" s="26">
        <v>0</v>
      </c>
      <c r="HN138" s="30"/>
      <c r="HQ138" s="26">
        <v>0</v>
      </c>
      <c r="HR138" s="33"/>
      <c r="HU138" s="26">
        <v>0</v>
      </c>
      <c r="HV138" s="30"/>
      <c r="HY138" s="26">
        <v>0</v>
      </c>
      <c r="HZ138" s="33"/>
      <c r="IC138" s="26">
        <v>0</v>
      </c>
      <c r="ID138" s="30"/>
      <c r="IG138" s="26">
        <v>0</v>
      </c>
      <c r="IH138" s="33"/>
      <c r="IK138" s="26">
        <v>0</v>
      </c>
      <c r="IL138" s="30"/>
      <c r="IM138" s="31"/>
      <c r="IO138" s="26">
        <v>0</v>
      </c>
      <c r="IP138" s="33"/>
      <c r="IS138" s="26">
        <v>0</v>
      </c>
      <c r="IT138" s="33"/>
      <c r="IW138" s="26">
        <v>0</v>
      </c>
      <c r="IX138" s="33"/>
      <c r="JA138" s="26">
        <v>0</v>
      </c>
      <c r="JB138" s="30"/>
      <c r="JC138" s="27"/>
      <c r="JE138" s="27"/>
      <c r="JG138" s="26">
        <v>0</v>
      </c>
      <c r="JH138" s="33"/>
      <c r="JI138" s="28">
        <v>0</v>
      </c>
      <c r="JJ138" s="28">
        <v>0</v>
      </c>
      <c r="JK138" s="26">
        <v>0</v>
      </c>
      <c r="JL138" s="33"/>
      <c r="JM138" s="28">
        <v>0</v>
      </c>
      <c r="JN138" s="28">
        <v>0</v>
      </c>
      <c r="JO138" s="26">
        <v>0</v>
      </c>
      <c r="JP138" s="33"/>
      <c r="JQ138" s="31">
        <v>0</v>
      </c>
      <c r="JR138" s="28">
        <v>0</v>
      </c>
      <c r="JS138" s="26">
        <v>0</v>
      </c>
      <c r="JT138" s="33"/>
    </row>
    <row r="139" spans="1:280" x14ac:dyDescent="0.25">
      <c r="A139" s="26" t="s">
        <v>290</v>
      </c>
      <c r="B139" s="27">
        <v>1</v>
      </c>
      <c r="E139">
        <v>10</v>
      </c>
      <c r="F139">
        <v>9</v>
      </c>
      <c r="I139" s="29"/>
      <c r="J139" s="35"/>
      <c r="K139" s="36">
        <v>18</v>
      </c>
      <c r="L139" s="36">
        <v>19</v>
      </c>
      <c r="M139" s="35">
        <f t="shared" si="12"/>
        <v>-1</v>
      </c>
      <c r="N139" s="30"/>
      <c r="O139" s="29"/>
      <c r="P139" s="35"/>
      <c r="Q139" s="36">
        <v>6</v>
      </c>
      <c r="R139" s="36">
        <v>11</v>
      </c>
      <c r="S139" s="35">
        <f t="shared" si="13"/>
        <v>-5</v>
      </c>
      <c r="T139" s="30"/>
      <c r="U139" s="29"/>
      <c r="V139" s="40"/>
      <c r="W139" s="35"/>
      <c r="X139" s="35"/>
      <c r="Y139" s="35"/>
      <c r="Z139" s="35"/>
      <c r="AA139" s="35">
        <f t="shared" si="14"/>
        <v>0</v>
      </c>
      <c r="AB139" s="30"/>
      <c r="AC139" s="29"/>
      <c r="AD139" s="35"/>
      <c r="AE139" s="35"/>
      <c r="AF139" s="35"/>
      <c r="AG139" s="35">
        <v>0</v>
      </c>
      <c r="AH139" s="30"/>
      <c r="AI139" s="35"/>
      <c r="AK139">
        <v>48</v>
      </c>
      <c r="AL139">
        <v>50</v>
      </c>
      <c r="AM139" s="26">
        <v>-2</v>
      </c>
      <c r="AN139" s="30"/>
      <c r="AO139" s="31"/>
      <c r="AS139" s="26">
        <v>0</v>
      </c>
      <c r="AT139" s="30"/>
      <c r="AW139">
        <v>18</v>
      </c>
      <c r="AX139">
        <v>18</v>
      </c>
      <c r="AY139" s="26">
        <v>0</v>
      </c>
      <c r="AZ139" s="30"/>
      <c r="BB139">
        <v>12</v>
      </c>
      <c r="BC139">
        <v>12</v>
      </c>
      <c r="BD139" s="26">
        <v>0</v>
      </c>
      <c r="BE139" s="30"/>
      <c r="BF139" s="29"/>
      <c r="BH139" s="26">
        <v>0</v>
      </c>
      <c r="BI139" s="30"/>
      <c r="BJ139" s="32">
        <v>6</v>
      </c>
      <c r="BK139">
        <v>5</v>
      </c>
      <c r="BL139" s="26">
        <v>1</v>
      </c>
      <c r="BM139" s="30"/>
      <c r="BN139">
        <v>12</v>
      </c>
      <c r="BO139">
        <v>10</v>
      </c>
      <c r="BP139" s="26">
        <v>2</v>
      </c>
      <c r="BQ139" s="30"/>
      <c r="BR139" s="32">
        <v>6</v>
      </c>
      <c r="BS139">
        <v>9</v>
      </c>
      <c r="BT139" s="26">
        <v>-3</v>
      </c>
      <c r="BU139" s="30"/>
      <c r="BV139">
        <v>18</v>
      </c>
      <c r="BW139">
        <v>17</v>
      </c>
      <c r="BX139" s="26">
        <v>1</v>
      </c>
      <c r="BY139" s="30"/>
      <c r="BZ139" s="32">
        <v>18</v>
      </c>
      <c r="CA139">
        <v>19</v>
      </c>
      <c r="CB139" s="26">
        <v>-1</v>
      </c>
      <c r="CC139" s="30"/>
      <c r="CD139" s="32">
        <v>6</v>
      </c>
      <c r="CE139">
        <v>4</v>
      </c>
      <c r="CF139" s="26">
        <v>2</v>
      </c>
      <c r="CG139" s="30"/>
      <c r="CH139">
        <v>6</v>
      </c>
      <c r="CI139">
        <v>3</v>
      </c>
      <c r="CJ139" s="26">
        <v>3</v>
      </c>
      <c r="CK139" s="30"/>
      <c r="CL139" s="32">
        <v>6</v>
      </c>
      <c r="CM139">
        <v>5</v>
      </c>
      <c r="CP139" s="26">
        <v>1</v>
      </c>
      <c r="CQ139" s="30"/>
      <c r="CR139" s="32">
        <v>12</v>
      </c>
      <c r="CS139">
        <v>12</v>
      </c>
      <c r="CT139" s="26">
        <v>0</v>
      </c>
      <c r="CU139" s="30"/>
      <c r="CZ139" s="26">
        <v>0</v>
      </c>
      <c r="DA139" s="30"/>
      <c r="DD139" s="26">
        <v>0</v>
      </c>
      <c r="DE139" s="30"/>
      <c r="DF139" s="32">
        <v>18</v>
      </c>
      <c r="DG139">
        <v>16</v>
      </c>
      <c r="DH139" s="26">
        <v>2</v>
      </c>
      <c r="DI139" s="30"/>
      <c r="DJ139" s="29"/>
      <c r="DK139">
        <v>8</v>
      </c>
      <c r="DL139" s="25">
        <v>-8</v>
      </c>
      <c r="DM139" s="30">
        <v>8</v>
      </c>
      <c r="DP139" s="26">
        <v>0</v>
      </c>
      <c r="DQ139" s="30"/>
      <c r="DR139" s="29"/>
      <c r="DU139" s="26">
        <v>0</v>
      </c>
      <c r="DV139" s="30"/>
      <c r="DW139" s="29"/>
      <c r="EA139" s="26">
        <v>0</v>
      </c>
      <c r="EB139" s="30"/>
      <c r="EC139" s="32">
        <v>12</v>
      </c>
      <c r="EE139">
        <v>10</v>
      </c>
      <c r="EF139" s="26">
        <v>2</v>
      </c>
      <c r="EG139" s="30"/>
      <c r="EJ139" s="26">
        <v>0</v>
      </c>
      <c r="EK139" s="30"/>
      <c r="EL139" s="31"/>
      <c r="EN139" s="26">
        <v>0</v>
      </c>
      <c r="EO139" s="30"/>
      <c r="EP139" s="29"/>
      <c r="ER139" s="26">
        <v>0</v>
      </c>
      <c r="ES139" s="30"/>
      <c r="ET139" s="29"/>
      <c r="EV139" s="26">
        <v>0</v>
      </c>
      <c r="EW139" s="30"/>
      <c r="EZ139" s="26">
        <v>0</v>
      </c>
      <c r="FA139" s="30"/>
      <c r="FB139">
        <v>6</v>
      </c>
      <c r="FC139">
        <v>6</v>
      </c>
      <c r="FD139" s="26">
        <v>0</v>
      </c>
      <c r="FE139" s="30"/>
      <c r="FF139" s="29"/>
      <c r="FI139" s="26">
        <v>0</v>
      </c>
      <c r="FJ139" s="30"/>
      <c r="FK139" s="29"/>
      <c r="FN139" s="26">
        <v>0</v>
      </c>
      <c r="FO139" s="30"/>
      <c r="FR139" s="26">
        <v>0</v>
      </c>
      <c r="FS139" s="30"/>
      <c r="FT139" s="29"/>
      <c r="FW139">
        <v>18</v>
      </c>
      <c r="FX139">
        <v>17</v>
      </c>
      <c r="FY139" s="26">
        <v>1</v>
      </c>
      <c r="FZ139" s="30"/>
      <c r="GA139">
        <v>12</v>
      </c>
      <c r="GB139" s="28">
        <v>9.8189999999999991</v>
      </c>
      <c r="GC139" s="26">
        <v>2.1810000000000009</v>
      </c>
      <c r="GD139" s="30"/>
      <c r="GE139" s="29"/>
      <c r="GG139">
        <v>24</v>
      </c>
      <c r="GH139">
        <v>22</v>
      </c>
      <c r="GI139" s="26">
        <v>2</v>
      </c>
      <c r="GJ139" s="30"/>
      <c r="GO139" s="26">
        <v>0</v>
      </c>
      <c r="GP139" s="30"/>
      <c r="GQ139">
        <v>24</v>
      </c>
      <c r="GR139" s="28">
        <v>25</v>
      </c>
      <c r="GS139" s="26">
        <v>-1</v>
      </c>
      <c r="GT139" s="30"/>
      <c r="GU139" s="29"/>
      <c r="GW139" s="26">
        <v>0</v>
      </c>
      <c r="GX139" s="30"/>
      <c r="GY139" s="29"/>
      <c r="HA139" s="26">
        <v>0</v>
      </c>
      <c r="HB139" s="30"/>
      <c r="HC139">
        <v>18</v>
      </c>
      <c r="HD139">
        <v>16</v>
      </c>
      <c r="HE139" s="26">
        <v>2</v>
      </c>
      <c r="HF139" s="30"/>
      <c r="HG139" s="29"/>
      <c r="HI139" s="26">
        <v>0</v>
      </c>
      <c r="HJ139" s="30"/>
      <c r="HK139" s="32">
        <v>6</v>
      </c>
      <c r="HL139">
        <v>8</v>
      </c>
      <c r="HM139" s="26">
        <v>-2</v>
      </c>
      <c r="HN139" s="30"/>
      <c r="HQ139" s="26">
        <v>0</v>
      </c>
      <c r="HR139" s="33"/>
      <c r="HU139" s="26">
        <v>0</v>
      </c>
      <c r="HV139" s="30"/>
      <c r="HY139" s="26">
        <v>0</v>
      </c>
      <c r="HZ139" s="33"/>
      <c r="ID139" s="30"/>
      <c r="IH139" s="33"/>
      <c r="IL139" s="30"/>
      <c r="IM139" s="31"/>
      <c r="IP139" s="33"/>
      <c r="IQ139" s="27"/>
      <c r="IT139" s="33"/>
      <c r="IX139" s="33"/>
      <c r="IZ139" s="28"/>
      <c r="JB139" s="30"/>
      <c r="JC139" s="27"/>
      <c r="JE139" s="27"/>
      <c r="JH139" s="33"/>
      <c r="JI139" s="28"/>
      <c r="JJ139" s="28"/>
      <c r="JL139" s="33"/>
      <c r="JM139" s="28"/>
      <c r="JN139" s="28"/>
      <c r="JP139" s="33"/>
      <c r="JQ139" s="31"/>
      <c r="JR139" s="28"/>
      <c r="JT139" s="33"/>
    </row>
    <row r="140" spans="1:280" x14ac:dyDescent="0.25">
      <c r="A140" s="26" t="s">
        <v>291</v>
      </c>
      <c r="B140" s="27">
        <v>1</v>
      </c>
      <c r="I140" s="29"/>
      <c r="J140" s="35"/>
      <c r="K140" s="40"/>
      <c r="L140" s="35"/>
      <c r="M140" s="35">
        <f t="shared" si="12"/>
        <v>0</v>
      </c>
      <c r="N140" s="30"/>
      <c r="O140" s="29"/>
      <c r="P140" s="35"/>
      <c r="Q140" s="35"/>
      <c r="R140" s="35"/>
      <c r="S140" s="35">
        <f t="shared" si="13"/>
        <v>0</v>
      </c>
      <c r="T140" s="30"/>
      <c r="U140" s="29"/>
      <c r="V140" s="40"/>
      <c r="W140" s="35"/>
      <c r="X140" s="35"/>
      <c r="Y140" s="35"/>
      <c r="Z140" s="35"/>
      <c r="AA140" s="35">
        <f t="shared" si="14"/>
        <v>0</v>
      </c>
      <c r="AB140" s="30"/>
      <c r="AC140" s="29"/>
      <c r="AD140" s="35"/>
      <c r="AE140" s="35"/>
      <c r="AF140" s="35"/>
      <c r="AG140" s="35">
        <v>0</v>
      </c>
      <c r="AH140" s="30"/>
      <c r="AI140" s="35"/>
      <c r="AM140" s="26">
        <v>0</v>
      </c>
      <c r="AN140" s="30"/>
      <c r="AO140" s="31"/>
      <c r="AS140" s="26">
        <v>0</v>
      </c>
      <c r="AT140" s="30"/>
      <c r="AY140" s="26">
        <v>0</v>
      </c>
      <c r="AZ140" s="30"/>
      <c r="BD140" s="26">
        <v>0</v>
      </c>
      <c r="BE140" s="30"/>
      <c r="BF140" s="29"/>
      <c r="BH140" s="26">
        <v>0</v>
      </c>
      <c r="BI140" s="30"/>
      <c r="BJ140" s="29"/>
      <c r="BL140" s="26">
        <v>0</v>
      </c>
      <c r="BM140" s="30"/>
      <c r="BP140" s="26">
        <v>0</v>
      </c>
      <c r="BQ140" s="30"/>
      <c r="BR140" s="29"/>
      <c r="BT140" s="26">
        <v>0</v>
      </c>
      <c r="BU140" s="30"/>
      <c r="BX140" s="26">
        <v>0</v>
      </c>
      <c r="BY140" s="30"/>
      <c r="BZ140" s="29"/>
      <c r="CB140" s="26">
        <v>0</v>
      </c>
      <c r="CC140" s="30"/>
      <c r="CD140" s="29"/>
      <c r="CF140" s="26">
        <v>0</v>
      </c>
      <c r="CG140" s="30"/>
      <c r="CJ140" s="26">
        <v>0</v>
      </c>
      <c r="CK140" s="30"/>
      <c r="CL140" s="29"/>
      <c r="CP140" s="26">
        <v>0</v>
      </c>
      <c r="CQ140" s="30"/>
      <c r="CR140" s="29"/>
      <c r="CT140" s="26">
        <v>0</v>
      </c>
      <c r="CU140" s="30"/>
      <c r="CZ140" s="26">
        <v>0</v>
      </c>
      <c r="DA140" s="30"/>
      <c r="DD140" s="26">
        <v>0</v>
      </c>
      <c r="DE140" s="30"/>
      <c r="DF140" s="29"/>
      <c r="DH140" s="26">
        <v>0</v>
      </c>
      <c r="DI140" s="30"/>
      <c r="DJ140" s="29"/>
      <c r="DL140" s="26">
        <v>0</v>
      </c>
      <c r="DM140" s="30"/>
      <c r="DP140" s="26">
        <v>0</v>
      </c>
      <c r="DQ140" s="30"/>
      <c r="DR140" s="29"/>
      <c r="DU140" s="26">
        <v>0</v>
      </c>
      <c r="DV140" s="30"/>
      <c r="DW140" s="29"/>
      <c r="EA140" s="26">
        <v>0</v>
      </c>
      <c r="EB140" s="30"/>
      <c r="EC140" s="29"/>
      <c r="EF140" s="26">
        <v>0</v>
      </c>
      <c r="EG140" s="30"/>
      <c r="EJ140" s="26">
        <v>0</v>
      </c>
      <c r="EK140" s="30"/>
      <c r="EL140" s="31"/>
      <c r="EN140" s="26">
        <v>0</v>
      </c>
      <c r="EO140" s="30"/>
      <c r="EP140" s="29"/>
      <c r="ER140" s="26">
        <v>0</v>
      </c>
      <c r="ES140" s="30"/>
      <c r="ET140" s="29"/>
      <c r="EV140" s="26">
        <v>0</v>
      </c>
      <c r="EW140" s="30"/>
      <c r="EZ140" s="26">
        <v>0</v>
      </c>
      <c r="FA140" s="30"/>
      <c r="FD140" s="26">
        <v>0</v>
      </c>
      <c r="FE140" s="30"/>
      <c r="FF140" s="29"/>
      <c r="FI140" s="26">
        <v>0</v>
      </c>
      <c r="FJ140" s="30"/>
      <c r="FK140" s="29"/>
      <c r="FN140" s="26">
        <v>0</v>
      </c>
      <c r="FO140" s="30"/>
      <c r="FR140" s="26">
        <v>0</v>
      </c>
      <c r="FS140" s="30"/>
      <c r="FT140" s="29"/>
      <c r="FY140" s="26">
        <v>0</v>
      </c>
      <c r="FZ140" s="30"/>
      <c r="GC140" s="26">
        <v>0</v>
      </c>
      <c r="GD140" s="30"/>
      <c r="GE140" s="29"/>
      <c r="GI140" s="26">
        <v>0</v>
      </c>
      <c r="GJ140" s="30"/>
      <c r="GO140" s="26">
        <v>0</v>
      </c>
      <c r="GP140" s="30"/>
      <c r="GS140" s="26">
        <v>0</v>
      </c>
      <c r="GT140" s="30"/>
      <c r="GU140" s="29"/>
      <c r="GW140" s="26">
        <v>0</v>
      </c>
      <c r="GX140" s="30"/>
      <c r="GY140" s="29"/>
      <c r="HA140" s="26">
        <v>0</v>
      </c>
      <c r="HB140" s="30"/>
      <c r="HE140" s="26">
        <v>0</v>
      </c>
      <c r="HF140" s="30"/>
      <c r="HG140" s="29"/>
      <c r="HI140" s="26">
        <v>0</v>
      </c>
      <c r="HJ140" s="30"/>
      <c r="HK140" s="29"/>
      <c r="HM140" s="26">
        <v>0</v>
      </c>
      <c r="HN140" s="30"/>
      <c r="HQ140" s="26">
        <v>0</v>
      </c>
      <c r="HR140" s="33"/>
      <c r="HU140" s="26">
        <v>0</v>
      </c>
      <c r="HV140" s="30"/>
      <c r="HY140" s="26">
        <v>0</v>
      </c>
      <c r="HZ140" s="33"/>
      <c r="IC140" s="26">
        <v>0</v>
      </c>
      <c r="ID140" s="30"/>
      <c r="IG140" s="26">
        <v>0</v>
      </c>
      <c r="IH140" s="33"/>
      <c r="IK140" s="26">
        <v>0</v>
      </c>
      <c r="IL140" s="30"/>
      <c r="IM140" s="31"/>
      <c r="IO140" s="26">
        <v>0</v>
      </c>
      <c r="IP140" s="33"/>
      <c r="IS140" s="26">
        <v>0</v>
      </c>
      <c r="IT140" s="33"/>
      <c r="IW140" s="26">
        <v>0</v>
      </c>
      <c r="IX140" s="33"/>
      <c r="JA140" s="26">
        <v>0</v>
      </c>
      <c r="JB140" s="30"/>
      <c r="JC140" s="27"/>
      <c r="JE140" s="27"/>
      <c r="JG140" s="26">
        <v>0</v>
      </c>
      <c r="JH140" s="33"/>
      <c r="JI140" s="28">
        <v>0</v>
      </c>
      <c r="JJ140" s="28">
        <v>0</v>
      </c>
      <c r="JK140" s="26">
        <v>0</v>
      </c>
      <c r="JL140" s="33"/>
      <c r="JM140" s="28">
        <v>0</v>
      </c>
      <c r="JN140" s="28">
        <v>0</v>
      </c>
      <c r="JO140" s="26">
        <v>0</v>
      </c>
      <c r="JP140" s="33"/>
      <c r="JQ140" s="31">
        <v>0</v>
      </c>
      <c r="JR140" s="28">
        <v>0</v>
      </c>
      <c r="JS140" s="26">
        <v>0</v>
      </c>
      <c r="JT140" s="33"/>
    </row>
    <row r="141" spans="1:280" x14ac:dyDescent="0.25">
      <c r="A141" s="26" t="s">
        <v>292</v>
      </c>
      <c r="B141" s="27">
        <v>1</v>
      </c>
      <c r="I141" s="29"/>
      <c r="J141" s="35"/>
      <c r="K141" s="40"/>
      <c r="L141" s="35"/>
      <c r="M141" s="35">
        <f t="shared" si="12"/>
        <v>0</v>
      </c>
      <c r="N141" s="30"/>
      <c r="O141" s="29"/>
      <c r="P141" s="35"/>
      <c r="Q141" s="35"/>
      <c r="R141" s="35"/>
      <c r="S141" s="35">
        <f t="shared" si="13"/>
        <v>0</v>
      </c>
      <c r="T141" s="30"/>
      <c r="U141" s="29"/>
      <c r="V141" s="40"/>
      <c r="W141" s="35"/>
      <c r="X141" s="35"/>
      <c r="Y141" s="35"/>
      <c r="Z141" s="35"/>
      <c r="AA141" s="35">
        <f t="shared" si="14"/>
        <v>0</v>
      </c>
      <c r="AB141" s="30"/>
      <c r="AC141" s="29"/>
      <c r="AD141" s="35"/>
      <c r="AE141" s="35"/>
      <c r="AF141" s="35"/>
      <c r="AG141" s="35">
        <v>0</v>
      </c>
      <c r="AH141" s="30"/>
      <c r="AI141" s="35"/>
      <c r="AM141" s="26">
        <v>0</v>
      </c>
      <c r="AN141" s="30"/>
      <c r="AO141" s="31"/>
      <c r="AS141" s="26">
        <v>0</v>
      </c>
      <c r="AT141" s="30"/>
      <c r="AY141" s="26">
        <v>0</v>
      </c>
      <c r="AZ141" s="30"/>
      <c r="BD141" s="26">
        <v>0</v>
      </c>
      <c r="BE141" s="30"/>
      <c r="BF141" s="29"/>
      <c r="BH141" s="26">
        <v>0</v>
      </c>
      <c r="BI141" s="30"/>
      <c r="BJ141" s="29"/>
      <c r="BL141" s="26">
        <v>0</v>
      </c>
      <c r="BM141" s="30"/>
      <c r="BP141" s="26">
        <v>0</v>
      </c>
      <c r="BQ141" s="30"/>
      <c r="BR141" s="29"/>
      <c r="BT141" s="26">
        <v>0</v>
      </c>
      <c r="BU141" s="30"/>
      <c r="BX141" s="26">
        <v>0</v>
      </c>
      <c r="BY141" s="30"/>
      <c r="BZ141" s="29"/>
      <c r="CB141" s="26">
        <v>0</v>
      </c>
      <c r="CC141" s="30"/>
      <c r="CD141" s="29"/>
      <c r="CF141" s="26">
        <v>0</v>
      </c>
      <c r="CG141" s="30"/>
      <c r="CJ141" s="26">
        <v>0</v>
      </c>
      <c r="CK141" s="30"/>
      <c r="CL141" s="29"/>
      <c r="CP141" s="26">
        <v>0</v>
      </c>
      <c r="CQ141" s="30"/>
      <c r="CR141" s="29"/>
      <c r="CT141" s="26">
        <v>0</v>
      </c>
      <c r="CU141" s="30"/>
      <c r="CZ141" s="26">
        <v>0</v>
      </c>
      <c r="DA141" s="30"/>
      <c r="DD141" s="26">
        <v>0</v>
      </c>
      <c r="DE141" s="30"/>
      <c r="DF141" s="29"/>
      <c r="DH141" s="26">
        <v>0</v>
      </c>
      <c r="DI141" s="30"/>
      <c r="DJ141" s="29"/>
      <c r="DL141" s="26">
        <v>0</v>
      </c>
      <c r="DM141" s="30"/>
      <c r="DP141" s="26">
        <v>0</v>
      </c>
      <c r="DQ141" s="30"/>
      <c r="DR141" s="29"/>
      <c r="DS141">
        <v>39</v>
      </c>
      <c r="DT141">
        <v>40</v>
      </c>
      <c r="DU141" s="26">
        <v>-1</v>
      </c>
      <c r="DV141" s="30"/>
      <c r="DW141" s="29"/>
      <c r="EA141" s="26">
        <v>0</v>
      </c>
      <c r="EB141" s="30"/>
      <c r="EC141" s="29"/>
      <c r="ED141">
        <v>12</v>
      </c>
      <c r="EE141">
        <v>10</v>
      </c>
      <c r="EF141" s="26">
        <v>2</v>
      </c>
      <c r="EG141" s="30"/>
      <c r="EJ141" s="26">
        <v>0</v>
      </c>
      <c r="EK141" s="30"/>
      <c r="EL141" s="31"/>
      <c r="EN141" s="26">
        <v>0</v>
      </c>
      <c r="EO141" s="30"/>
      <c r="EP141" s="29"/>
      <c r="ER141" s="26">
        <v>0</v>
      </c>
      <c r="ES141" s="30"/>
      <c r="ET141" s="29"/>
      <c r="EV141" s="26">
        <v>0</v>
      </c>
      <c r="EW141" s="30"/>
      <c r="EZ141" s="26">
        <v>0</v>
      </c>
      <c r="FA141" s="30"/>
      <c r="FD141" s="26">
        <v>0</v>
      </c>
      <c r="FE141" s="30"/>
      <c r="FF141" s="29"/>
      <c r="FG141">
        <v>103</v>
      </c>
      <c r="FH141">
        <v>100</v>
      </c>
      <c r="FI141" s="26">
        <v>3</v>
      </c>
      <c r="FJ141" s="30"/>
      <c r="FK141" s="29"/>
      <c r="FL141">
        <v>20</v>
      </c>
      <c r="FM141" s="28">
        <v>20</v>
      </c>
      <c r="FN141" s="26">
        <v>0</v>
      </c>
      <c r="FO141" s="30"/>
      <c r="FR141" s="26">
        <v>0</v>
      </c>
      <c r="FS141" s="30"/>
      <c r="FT141" s="31">
        <v>40</v>
      </c>
      <c r="FY141" s="26">
        <v>40</v>
      </c>
      <c r="FZ141" s="30"/>
      <c r="GD141" s="30"/>
      <c r="GE141" s="29"/>
      <c r="GJ141" s="30"/>
      <c r="GP141" s="30"/>
      <c r="GT141" s="30"/>
      <c r="GU141" s="29"/>
      <c r="GX141" s="30"/>
      <c r="GY141" s="29"/>
      <c r="HB141" s="30"/>
      <c r="HF141" s="30"/>
      <c r="HG141" s="29"/>
      <c r="HJ141" s="30"/>
      <c r="HK141" s="29"/>
      <c r="HN141" s="30"/>
      <c r="HR141" s="33"/>
      <c r="HV141" s="30"/>
      <c r="HZ141" s="33"/>
      <c r="ID141" s="30"/>
      <c r="IH141" s="33"/>
      <c r="IL141" s="30"/>
      <c r="IM141" s="31"/>
      <c r="IP141" s="33"/>
      <c r="IT141" s="33"/>
      <c r="IX141" s="33"/>
      <c r="JB141" s="30"/>
      <c r="JC141" s="27"/>
      <c r="JE141" s="27"/>
      <c r="JH141" s="33"/>
      <c r="JI141" s="28"/>
      <c r="JJ141" s="28"/>
      <c r="JL141" s="33"/>
      <c r="JM141" s="28"/>
      <c r="JN141" s="28"/>
      <c r="JP141" s="33"/>
      <c r="JQ141" s="31"/>
      <c r="JR141" s="28"/>
      <c r="JT141" s="33"/>
    </row>
    <row r="142" spans="1:280" x14ac:dyDescent="0.25">
      <c r="A142" s="26" t="s">
        <v>293</v>
      </c>
      <c r="B142" s="27">
        <v>1</v>
      </c>
      <c r="I142" s="29"/>
      <c r="J142" s="35"/>
      <c r="K142" s="40"/>
      <c r="L142" s="35"/>
      <c r="M142" s="35">
        <f t="shared" si="12"/>
        <v>0</v>
      </c>
      <c r="N142" s="30"/>
      <c r="O142" s="29"/>
      <c r="P142" s="35"/>
      <c r="Q142" s="35"/>
      <c r="R142" s="35"/>
      <c r="S142" s="35">
        <f t="shared" si="13"/>
        <v>0</v>
      </c>
      <c r="T142" s="30"/>
      <c r="U142" s="29"/>
      <c r="V142" s="40"/>
      <c r="W142" s="35"/>
      <c r="X142" s="35"/>
      <c r="Y142" s="35"/>
      <c r="Z142" s="35"/>
      <c r="AA142" s="35">
        <f t="shared" si="14"/>
        <v>0</v>
      </c>
      <c r="AB142" s="30"/>
      <c r="AC142" s="29"/>
      <c r="AD142" s="35"/>
      <c r="AE142" s="35"/>
      <c r="AF142" s="35"/>
      <c r="AG142" s="35">
        <v>0</v>
      </c>
      <c r="AH142" s="30"/>
      <c r="AI142" s="35"/>
      <c r="AM142" s="26">
        <v>0</v>
      </c>
      <c r="AN142" s="30"/>
      <c r="AO142" s="31"/>
      <c r="AS142" s="26">
        <v>0</v>
      </c>
      <c r="AT142" s="30"/>
      <c r="AY142" s="26">
        <v>0</v>
      </c>
      <c r="AZ142" s="30"/>
      <c r="BD142" s="26">
        <v>0</v>
      </c>
      <c r="BE142" s="30"/>
      <c r="BF142" s="29"/>
      <c r="BH142" s="26">
        <v>0</v>
      </c>
      <c r="BI142" s="30"/>
      <c r="BJ142" s="29"/>
      <c r="BL142" s="26">
        <v>0</v>
      </c>
      <c r="BM142" s="30"/>
      <c r="BP142" s="26">
        <v>0</v>
      </c>
      <c r="BQ142" s="30"/>
      <c r="BR142" s="29"/>
      <c r="BT142" s="26">
        <v>0</v>
      </c>
      <c r="BU142" s="30"/>
      <c r="BX142" s="26">
        <v>0</v>
      </c>
      <c r="BY142" s="30"/>
      <c r="BZ142" s="29"/>
      <c r="CB142" s="26">
        <v>0</v>
      </c>
      <c r="CC142" s="30"/>
      <c r="CD142" s="29"/>
      <c r="CF142" s="26">
        <v>0</v>
      </c>
      <c r="CG142" s="30"/>
      <c r="CJ142" s="26">
        <v>0</v>
      </c>
      <c r="CK142" s="30"/>
      <c r="CL142" s="29"/>
      <c r="CP142" s="26">
        <v>0</v>
      </c>
      <c r="CQ142" s="30"/>
      <c r="CR142" s="29"/>
      <c r="CT142" s="26">
        <v>0</v>
      </c>
      <c r="CU142" s="30"/>
      <c r="CZ142" s="26">
        <v>0</v>
      </c>
      <c r="DA142" s="30"/>
      <c r="DD142" s="26">
        <v>0</v>
      </c>
      <c r="DE142" s="30"/>
      <c r="DF142" s="29"/>
      <c r="DH142" s="26">
        <v>0</v>
      </c>
      <c r="DI142" s="30"/>
      <c r="DJ142" s="29"/>
      <c r="DL142" s="26">
        <v>0</v>
      </c>
      <c r="DM142" s="30"/>
      <c r="DP142" s="26">
        <v>0</v>
      </c>
      <c r="DQ142" s="30"/>
      <c r="DR142" s="29"/>
      <c r="DU142" s="26">
        <v>0</v>
      </c>
      <c r="DV142" s="30"/>
      <c r="DW142" s="29"/>
      <c r="EA142" s="26">
        <v>0</v>
      </c>
      <c r="EB142" s="30"/>
      <c r="EC142" s="29"/>
      <c r="EF142" s="26">
        <v>0</v>
      </c>
      <c r="EG142" s="30"/>
      <c r="EJ142" s="26">
        <v>0</v>
      </c>
      <c r="EK142" s="30"/>
      <c r="EL142" s="31"/>
      <c r="EN142" s="26">
        <v>0</v>
      </c>
      <c r="EO142" s="30"/>
      <c r="EP142" s="29"/>
      <c r="ER142" s="26">
        <v>0</v>
      </c>
      <c r="ES142" s="30"/>
      <c r="ET142" s="29"/>
      <c r="EV142" s="26">
        <v>0</v>
      </c>
      <c r="EW142" s="30"/>
      <c r="EY142" s="28">
        <v>54.695000000000007</v>
      </c>
      <c r="EZ142" s="25">
        <v>-54.695000000000007</v>
      </c>
      <c r="FA142" s="30">
        <v>54.695000000000007</v>
      </c>
      <c r="FD142" s="26">
        <v>0</v>
      </c>
      <c r="FE142" s="30"/>
      <c r="FF142" s="32">
        <v>40</v>
      </c>
      <c r="FH142">
        <v>40</v>
      </c>
      <c r="FI142" s="26">
        <v>0</v>
      </c>
      <c r="FJ142" s="30"/>
      <c r="FK142" s="29"/>
      <c r="FN142" s="26">
        <v>0</v>
      </c>
      <c r="FO142" s="30"/>
      <c r="FR142" s="26">
        <v>0</v>
      </c>
      <c r="FS142" s="30"/>
      <c r="FT142" s="29"/>
      <c r="FU142" s="28">
        <v>53</v>
      </c>
      <c r="FV142" s="28">
        <v>52</v>
      </c>
      <c r="FY142" s="26">
        <v>1</v>
      </c>
      <c r="FZ142" s="30"/>
      <c r="GC142" s="26">
        <v>0</v>
      </c>
      <c r="GD142" s="30"/>
      <c r="GE142" s="29"/>
      <c r="GJ142" s="30"/>
      <c r="GP142" s="30"/>
      <c r="GT142" s="30"/>
      <c r="GU142" s="29"/>
      <c r="GX142" s="30"/>
      <c r="GY142" s="29"/>
      <c r="HB142" s="30"/>
      <c r="HF142" s="30"/>
      <c r="HG142" s="29"/>
      <c r="HJ142" s="30"/>
      <c r="HK142" s="29"/>
      <c r="HN142" s="30"/>
      <c r="HR142" s="33"/>
      <c r="HV142" s="30"/>
      <c r="HZ142" s="33"/>
      <c r="ID142" s="30"/>
      <c r="IH142" s="33"/>
      <c r="IL142" s="30"/>
      <c r="IM142" s="31"/>
      <c r="IP142" s="33"/>
      <c r="IT142" s="33"/>
      <c r="IX142" s="33"/>
      <c r="JB142" s="30"/>
      <c r="JC142" s="27"/>
      <c r="JE142" s="27"/>
      <c r="JH142" s="33"/>
      <c r="JI142" s="28"/>
      <c r="JJ142" s="28"/>
      <c r="JL142" s="33"/>
      <c r="JM142" s="28"/>
      <c r="JN142" s="28"/>
      <c r="JP142" s="33"/>
      <c r="JQ142" s="31"/>
      <c r="JR142" s="28"/>
      <c r="JT142" s="33"/>
    </row>
    <row r="143" spans="1:280" x14ac:dyDescent="0.25">
      <c r="A143" s="26" t="s">
        <v>294</v>
      </c>
      <c r="B143" s="27">
        <v>1</v>
      </c>
      <c r="I143" s="29"/>
      <c r="J143" s="35"/>
      <c r="K143" s="40"/>
      <c r="L143" s="35"/>
      <c r="M143" s="35">
        <f t="shared" si="12"/>
        <v>0</v>
      </c>
      <c r="N143" s="30"/>
      <c r="O143" s="29"/>
      <c r="P143" s="35"/>
      <c r="Q143" s="35"/>
      <c r="R143" s="35"/>
      <c r="S143" s="35">
        <f t="shared" si="13"/>
        <v>0</v>
      </c>
      <c r="T143" s="30"/>
      <c r="U143" s="29"/>
      <c r="V143" s="40"/>
      <c r="W143" s="35"/>
      <c r="X143" s="35"/>
      <c r="Y143" s="35"/>
      <c r="Z143" s="35"/>
      <c r="AA143" s="35">
        <f t="shared" si="14"/>
        <v>0</v>
      </c>
      <c r="AB143" s="30"/>
      <c r="AC143" s="29"/>
      <c r="AD143" s="35"/>
      <c r="AE143" s="35"/>
      <c r="AF143" s="35"/>
      <c r="AG143" s="35">
        <v>0</v>
      </c>
      <c r="AH143" s="30"/>
      <c r="AI143" s="35"/>
      <c r="AM143" s="26">
        <v>0</v>
      </c>
      <c r="AN143" s="30"/>
      <c r="AO143" s="31"/>
      <c r="AS143" s="26">
        <v>0</v>
      </c>
      <c r="AT143" s="30"/>
      <c r="AY143" s="26">
        <v>0</v>
      </c>
      <c r="AZ143" s="30"/>
      <c r="BD143" s="26">
        <v>0</v>
      </c>
      <c r="BE143" s="30"/>
      <c r="BF143" s="29"/>
      <c r="BH143" s="26">
        <v>0</v>
      </c>
      <c r="BI143" s="30"/>
      <c r="BJ143" s="29"/>
      <c r="BL143" s="26">
        <v>0</v>
      </c>
      <c r="BM143" s="30"/>
      <c r="BP143" s="26">
        <v>0</v>
      </c>
      <c r="BQ143" s="30"/>
      <c r="BR143" s="29"/>
      <c r="BT143" s="26">
        <v>0</v>
      </c>
      <c r="BU143" s="30"/>
      <c r="BX143" s="26">
        <v>0</v>
      </c>
      <c r="BY143" s="30"/>
      <c r="BZ143" s="29"/>
      <c r="CB143" s="26">
        <v>0</v>
      </c>
      <c r="CC143" s="30"/>
      <c r="CD143" s="29"/>
      <c r="CF143" s="26">
        <v>0</v>
      </c>
      <c r="CG143" s="30"/>
      <c r="CJ143" s="26">
        <v>0</v>
      </c>
      <c r="CK143" s="30"/>
      <c r="CL143" s="29"/>
      <c r="CP143" s="26">
        <v>0</v>
      </c>
      <c r="CQ143" s="30"/>
      <c r="CR143" s="29"/>
      <c r="CT143" s="26">
        <v>0</v>
      </c>
      <c r="CU143" s="30"/>
      <c r="CZ143" s="26">
        <v>0</v>
      </c>
      <c r="DA143" s="30"/>
      <c r="DD143" s="26">
        <v>0</v>
      </c>
      <c r="DE143" s="30"/>
      <c r="DF143" s="29"/>
      <c r="DH143" s="26">
        <v>0</v>
      </c>
      <c r="DI143" s="30"/>
      <c r="DJ143" s="29"/>
      <c r="DL143" s="26">
        <v>0</v>
      </c>
      <c r="DM143" s="30"/>
      <c r="DP143" s="26">
        <v>0</v>
      </c>
      <c r="DQ143" s="30"/>
      <c r="DR143" s="29"/>
      <c r="DU143" s="26">
        <v>0</v>
      </c>
      <c r="DV143" s="30"/>
      <c r="DW143" s="29"/>
      <c r="EA143" s="26">
        <v>0</v>
      </c>
      <c r="EB143" s="30"/>
      <c r="EC143" s="29"/>
      <c r="EF143" s="26">
        <v>0</v>
      </c>
      <c r="EG143" s="30"/>
      <c r="EJ143" s="26">
        <v>0</v>
      </c>
      <c r="EK143" s="30"/>
      <c r="EL143" s="31"/>
      <c r="EN143" s="26">
        <v>0</v>
      </c>
      <c r="EO143" s="30"/>
      <c r="EP143" s="29"/>
      <c r="ER143" s="26">
        <v>0</v>
      </c>
      <c r="ES143" s="30"/>
      <c r="ET143" s="29"/>
      <c r="EV143" s="26">
        <v>0</v>
      </c>
      <c r="EW143" s="30"/>
      <c r="EZ143" s="26">
        <v>0</v>
      </c>
      <c r="FA143" s="30"/>
      <c r="FC143">
        <v>8</v>
      </c>
      <c r="FD143" s="26">
        <v>-8</v>
      </c>
      <c r="FE143" s="30"/>
      <c r="FF143" s="29"/>
      <c r="FI143" s="26">
        <v>0</v>
      </c>
      <c r="FJ143" s="30"/>
      <c r="FK143" s="29"/>
      <c r="FM143">
        <v>40</v>
      </c>
      <c r="FN143" s="25">
        <v>-40</v>
      </c>
      <c r="FO143" s="30">
        <v>40</v>
      </c>
      <c r="FR143" s="26">
        <v>0</v>
      </c>
      <c r="FS143" s="30"/>
      <c r="FT143" s="29"/>
      <c r="FV143" s="28">
        <v>52</v>
      </c>
      <c r="FY143" s="25">
        <v>-52</v>
      </c>
      <c r="FZ143" s="30">
        <v>52</v>
      </c>
      <c r="GC143" s="26">
        <v>0</v>
      </c>
      <c r="GD143" s="30"/>
      <c r="GE143" s="29"/>
      <c r="GJ143" s="30"/>
      <c r="GP143" s="30"/>
      <c r="GT143" s="30"/>
      <c r="GU143" s="29"/>
      <c r="GX143" s="30"/>
      <c r="GY143" s="29"/>
      <c r="HB143" s="30"/>
      <c r="HF143" s="30"/>
      <c r="HG143" s="29"/>
      <c r="HJ143" s="30"/>
      <c r="HK143" s="29"/>
      <c r="HN143" s="30"/>
      <c r="HR143" s="33"/>
      <c r="HV143" s="30"/>
      <c r="HZ143" s="33"/>
      <c r="ID143" s="30"/>
      <c r="IH143" s="33"/>
      <c r="IL143" s="30"/>
      <c r="IM143" s="31"/>
      <c r="IP143" s="33"/>
      <c r="IT143" s="33"/>
      <c r="IX143" s="33"/>
      <c r="JB143" s="30"/>
      <c r="JC143" s="27"/>
      <c r="JE143" s="27"/>
      <c r="JH143" s="33"/>
      <c r="JI143" s="28"/>
      <c r="JJ143" s="28"/>
      <c r="JL143" s="33"/>
      <c r="JM143" s="28"/>
      <c r="JN143" s="28"/>
      <c r="JP143" s="33"/>
      <c r="JQ143" s="31"/>
      <c r="JR143" s="28"/>
      <c r="JT143" s="33"/>
    </row>
    <row r="144" spans="1:280" x14ac:dyDescent="0.25">
      <c r="A144" s="26" t="s">
        <v>295</v>
      </c>
      <c r="B144" s="27">
        <v>0.4</v>
      </c>
      <c r="I144" s="29"/>
      <c r="J144" s="35"/>
      <c r="K144" s="40"/>
      <c r="L144" s="35"/>
      <c r="M144" s="35">
        <f t="shared" si="12"/>
        <v>0</v>
      </c>
      <c r="N144" s="30"/>
      <c r="O144" s="29"/>
      <c r="P144" s="35"/>
      <c r="Q144" s="35"/>
      <c r="R144" s="35"/>
      <c r="S144" s="35">
        <f t="shared" si="13"/>
        <v>0</v>
      </c>
      <c r="T144" s="30"/>
      <c r="U144" s="29"/>
      <c r="V144" s="40"/>
      <c r="W144" s="35"/>
      <c r="X144" s="35"/>
      <c r="Y144" s="35"/>
      <c r="Z144" s="35"/>
      <c r="AA144" s="35">
        <f t="shared" si="14"/>
        <v>0</v>
      </c>
      <c r="AB144" s="30"/>
      <c r="AC144" s="29"/>
      <c r="AD144" s="35"/>
      <c r="AE144" s="35"/>
      <c r="AF144" s="35"/>
      <c r="AG144" s="35">
        <v>0</v>
      </c>
      <c r="AH144" s="30"/>
      <c r="AI144" s="35"/>
      <c r="AM144" s="26">
        <v>0</v>
      </c>
      <c r="AN144" s="30"/>
      <c r="AO144" s="31"/>
      <c r="AS144" s="26">
        <v>0</v>
      </c>
      <c r="AT144" s="30"/>
      <c r="AY144" s="26">
        <v>0</v>
      </c>
      <c r="AZ144" s="30"/>
      <c r="BD144" s="26">
        <v>0</v>
      </c>
      <c r="BE144" s="30"/>
      <c r="BF144" s="29"/>
      <c r="BH144" s="26">
        <v>0</v>
      </c>
      <c r="BI144" s="30"/>
      <c r="BJ144" s="29"/>
      <c r="BL144" s="26">
        <v>0</v>
      </c>
      <c r="BM144" s="30"/>
      <c r="BP144" s="26">
        <v>0</v>
      </c>
      <c r="BQ144" s="30"/>
      <c r="BR144" s="29"/>
      <c r="BT144" s="26">
        <v>0</v>
      </c>
      <c r="BU144" s="30"/>
      <c r="BX144" s="26">
        <v>0</v>
      </c>
      <c r="BY144" s="30"/>
      <c r="BZ144" s="29"/>
      <c r="CB144" s="26">
        <v>0</v>
      </c>
      <c r="CC144" s="30"/>
      <c r="CD144" s="29"/>
      <c r="CF144" s="26">
        <v>0</v>
      </c>
      <c r="CG144" s="30"/>
      <c r="CJ144" s="26">
        <v>0</v>
      </c>
      <c r="CK144" s="30"/>
      <c r="CL144" s="29"/>
      <c r="CP144" s="26">
        <v>0</v>
      </c>
      <c r="CQ144" s="30"/>
      <c r="CR144" s="29"/>
      <c r="CT144" s="26">
        <v>0</v>
      </c>
      <c r="CU144" s="30"/>
      <c r="CZ144" s="26">
        <v>0</v>
      </c>
      <c r="DA144" s="30"/>
      <c r="DD144" s="26">
        <v>0</v>
      </c>
      <c r="DE144" s="30"/>
      <c r="DF144" s="29"/>
      <c r="DH144" s="26">
        <v>0</v>
      </c>
      <c r="DI144" s="30"/>
      <c r="DJ144" s="29"/>
      <c r="DL144" s="26">
        <v>0</v>
      </c>
      <c r="DM144" s="30"/>
      <c r="DP144" s="26">
        <v>0</v>
      </c>
      <c r="DQ144" s="30"/>
      <c r="DR144" s="29"/>
      <c r="DU144" s="26">
        <v>0</v>
      </c>
      <c r="DV144" s="30"/>
      <c r="DW144" s="29"/>
      <c r="EA144" s="26">
        <v>0</v>
      </c>
      <c r="EB144" s="30"/>
      <c r="EC144" s="29"/>
      <c r="EF144" s="26">
        <v>0</v>
      </c>
      <c r="EG144" s="30"/>
      <c r="EJ144" s="26">
        <v>0</v>
      </c>
      <c r="EK144" s="30"/>
      <c r="EL144" s="31"/>
      <c r="EN144" s="26">
        <v>0</v>
      </c>
      <c r="EO144" s="30"/>
      <c r="EP144" s="29"/>
      <c r="ER144" s="26">
        <v>0</v>
      </c>
      <c r="ES144" s="30"/>
      <c r="ET144" s="29"/>
      <c r="EV144" s="26">
        <v>0</v>
      </c>
      <c r="EW144" s="30"/>
      <c r="EZ144" s="26">
        <v>0</v>
      </c>
      <c r="FA144" s="30"/>
      <c r="FD144" s="26">
        <v>0</v>
      </c>
      <c r="FE144" s="30"/>
      <c r="FF144" s="29"/>
      <c r="FI144" s="26">
        <v>0</v>
      </c>
      <c r="FJ144" s="30"/>
      <c r="FK144" s="29"/>
      <c r="FN144" s="26">
        <v>0</v>
      </c>
      <c r="FO144" s="30"/>
      <c r="FR144" s="26">
        <v>0</v>
      </c>
      <c r="FS144" s="30"/>
      <c r="FT144" s="29"/>
      <c r="FY144" s="26">
        <v>0</v>
      </c>
      <c r="FZ144" s="30"/>
      <c r="GC144" s="26">
        <v>0</v>
      </c>
      <c r="GD144" s="30"/>
      <c r="GE144" s="29"/>
      <c r="GH144">
        <v>16</v>
      </c>
      <c r="GI144" s="25">
        <v>-16</v>
      </c>
      <c r="GJ144" s="30">
        <v>6.4</v>
      </c>
      <c r="GN144">
        <v>16</v>
      </c>
      <c r="GO144" s="25">
        <v>-16</v>
      </c>
      <c r="GP144" s="30">
        <v>6.4</v>
      </c>
      <c r="GR144" s="28">
        <v>8</v>
      </c>
      <c r="GS144" s="25">
        <v>-8</v>
      </c>
      <c r="GT144" s="30">
        <v>3.2</v>
      </c>
      <c r="GU144" s="29"/>
      <c r="GW144" s="26">
        <v>0</v>
      </c>
      <c r="GX144" s="30"/>
      <c r="GY144" s="29"/>
      <c r="HA144" s="26">
        <v>0</v>
      </c>
      <c r="HB144" s="30"/>
      <c r="HF144" s="30"/>
      <c r="HG144" s="29"/>
      <c r="HJ144" s="30"/>
      <c r="HK144" s="29"/>
      <c r="HN144" s="30"/>
      <c r="HR144" s="33"/>
      <c r="HV144" s="30"/>
      <c r="HZ144" s="33"/>
      <c r="ID144" s="30"/>
      <c r="IH144" s="33"/>
      <c r="IJ144" s="28"/>
      <c r="IL144" s="30"/>
      <c r="IM144" s="31"/>
      <c r="IP144" s="33"/>
      <c r="IT144" s="33"/>
      <c r="IX144" s="33"/>
      <c r="JB144" s="30"/>
      <c r="JC144" s="27"/>
      <c r="JE144" s="27"/>
      <c r="JH144" s="33"/>
      <c r="JI144" s="28"/>
      <c r="JJ144" s="28"/>
      <c r="JL144" s="33"/>
      <c r="JM144" s="28"/>
      <c r="JN144" s="28"/>
      <c r="JP144" s="33"/>
      <c r="JQ144" s="31"/>
      <c r="JR144" s="28"/>
      <c r="JT144" s="33"/>
    </row>
    <row r="145" spans="1:280" x14ac:dyDescent="0.25">
      <c r="A145" s="26" t="s">
        <v>296</v>
      </c>
      <c r="B145" s="27">
        <v>0.41</v>
      </c>
      <c r="I145" s="29"/>
      <c r="J145" s="35"/>
      <c r="K145" s="40"/>
      <c r="L145" s="35"/>
      <c r="M145" s="35">
        <f t="shared" si="12"/>
        <v>0</v>
      </c>
      <c r="N145" s="30"/>
      <c r="O145" s="29"/>
      <c r="P145" s="35"/>
      <c r="Q145" s="35"/>
      <c r="R145" s="35"/>
      <c r="S145" s="35">
        <f t="shared" si="13"/>
        <v>0</v>
      </c>
      <c r="T145" s="30"/>
      <c r="U145" s="29"/>
      <c r="V145" s="40"/>
      <c r="W145" s="35"/>
      <c r="X145" s="35"/>
      <c r="Y145" s="35"/>
      <c r="Z145" s="35"/>
      <c r="AA145" s="35">
        <f t="shared" si="14"/>
        <v>0</v>
      </c>
      <c r="AB145" s="30"/>
      <c r="AC145" s="29"/>
      <c r="AD145" s="35"/>
      <c r="AE145" s="35"/>
      <c r="AF145" s="35"/>
      <c r="AG145" s="35">
        <v>0</v>
      </c>
      <c r="AH145" s="30"/>
      <c r="AI145" s="35"/>
      <c r="AM145" s="26">
        <v>0</v>
      </c>
      <c r="AN145" s="30"/>
      <c r="AO145" s="31"/>
      <c r="AS145" s="26">
        <v>0</v>
      </c>
      <c r="AT145" s="30"/>
      <c r="AY145" s="26">
        <v>0</v>
      </c>
      <c r="AZ145" s="30"/>
      <c r="BD145" s="26">
        <v>0</v>
      </c>
      <c r="BE145" s="30"/>
      <c r="BF145" s="29"/>
      <c r="BH145" s="26">
        <v>0</v>
      </c>
      <c r="BI145" s="30"/>
      <c r="BJ145" s="29"/>
      <c r="BL145" s="26">
        <v>0</v>
      </c>
      <c r="BM145" s="30"/>
      <c r="BP145" s="26">
        <v>0</v>
      </c>
      <c r="BQ145" s="30"/>
      <c r="BR145" s="29"/>
      <c r="BT145" s="26">
        <v>0</v>
      </c>
      <c r="BU145" s="30"/>
      <c r="BX145" s="26">
        <v>0</v>
      </c>
      <c r="BY145" s="30"/>
      <c r="BZ145" s="29"/>
      <c r="CB145" s="26">
        <v>0</v>
      </c>
      <c r="CC145" s="30"/>
      <c r="CD145" s="29"/>
      <c r="CF145" s="26">
        <v>0</v>
      </c>
      <c r="CG145" s="30"/>
      <c r="CJ145" s="26">
        <v>0</v>
      </c>
      <c r="CK145" s="30"/>
      <c r="CL145" s="29"/>
      <c r="CP145" s="26">
        <v>0</v>
      </c>
      <c r="CQ145" s="30"/>
      <c r="CR145" s="29"/>
      <c r="CT145" s="26">
        <v>0</v>
      </c>
      <c r="CU145" s="30"/>
      <c r="CZ145" s="26">
        <v>0</v>
      </c>
      <c r="DA145" s="30"/>
      <c r="DD145" s="26">
        <v>0</v>
      </c>
      <c r="DE145" s="30"/>
      <c r="DF145" s="29"/>
      <c r="DH145" s="26">
        <v>0</v>
      </c>
      <c r="DI145" s="30"/>
      <c r="DJ145" s="29"/>
      <c r="DL145" s="26">
        <v>0</v>
      </c>
      <c r="DM145" s="30"/>
      <c r="DP145" s="26">
        <v>0</v>
      </c>
      <c r="DQ145" s="30"/>
      <c r="DR145" s="29"/>
      <c r="DU145" s="26">
        <v>0</v>
      </c>
      <c r="DV145" s="30"/>
      <c r="DW145" s="29"/>
      <c r="EA145" s="26">
        <v>0</v>
      </c>
      <c r="EB145" s="30"/>
      <c r="EC145" s="29"/>
      <c r="EF145" s="26">
        <v>0</v>
      </c>
      <c r="EG145" s="30"/>
      <c r="EJ145" s="26">
        <v>0</v>
      </c>
      <c r="EK145" s="30"/>
      <c r="EL145" s="31"/>
      <c r="EN145" s="26">
        <v>0</v>
      </c>
      <c r="EO145" s="30"/>
      <c r="EP145" s="29"/>
      <c r="ER145" s="26">
        <v>0</v>
      </c>
      <c r="ES145" s="30"/>
      <c r="ET145" s="29"/>
      <c r="EV145" s="26">
        <v>0</v>
      </c>
      <c r="EW145" s="30"/>
      <c r="EZ145" s="26">
        <v>0</v>
      </c>
      <c r="FA145" s="30"/>
      <c r="FD145" s="26">
        <v>0</v>
      </c>
      <c r="FE145" s="30"/>
      <c r="FF145" s="29"/>
      <c r="FI145" s="26">
        <v>0</v>
      </c>
      <c r="FJ145" s="30"/>
      <c r="FK145" s="29"/>
      <c r="FN145" s="26">
        <v>0</v>
      </c>
      <c r="FO145" s="30"/>
      <c r="FR145" s="26">
        <v>0</v>
      </c>
      <c r="FS145" s="30"/>
      <c r="FT145" s="29"/>
      <c r="FY145" s="26">
        <v>0</v>
      </c>
      <c r="FZ145" s="30"/>
      <c r="GC145" s="26">
        <v>0</v>
      </c>
      <c r="GD145" s="30"/>
      <c r="GE145" s="29"/>
      <c r="GI145" s="26">
        <v>0</v>
      </c>
      <c r="GJ145" s="30"/>
      <c r="GO145" s="26">
        <v>0</v>
      </c>
      <c r="GP145" s="30"/>
      <c r="GS145" s="26">
        <v>0</v>
      </c>
      <c r="GT145" s="30"/>
      <c r="GU145" s="29"/>
      <c r="GW145" s="26">
        <v>0</v>
      </c>
      <c r="GX145" s="30"/>
      <c r="GY145" s="29"/>
      <c r="HA145" s="26">
        <v>0</v>
      </c>
      <c r="HB145" s="30"/>
      <c r="HE145" s="26">
        <v>0</v>
      </c>
      <c r="HF145" s="30"/>
      <c r="HG145" s="29"/>
      <c r="HI145" s="26">
        <v>0</v>
      </c>
      <c r="HJ145" s="30"/>
      <c r="HK145" s="29"/>
      <c r="HM145" s="26">
        <v>0</v>
      </c>
      <c r="HN145" s="30"/>
      <c r="HQ145" s="26">
        <v>0</v>
      </c>
      <c r="HR145" s="33"/>
      <c r="HU145" s="26">
        <v>0</v>
      </c>
      <c r="HV145" s="30"/>
      <c r="HY145" s="26">
        <v>0</v>
      </c>
      <c r="HZ145" s="33"/>
      <c r="IC145" s="26">
        <v>0</v>
      </c>
      <c r="ID145" s="30"/>
      <c r="IG145" s="26">
        <v>0</v>
      </c>
      <c r="IH145" s="33"/>
      <c r="IK145" s="26">
        <v>0</v>
      </c>
      <c r="IL145" s="30"/>
      <c r="IM145" s="31"/>
      <c r="IO145" s="26">
        <v>0</v>
      </c>
      <c r="IP145" s="33"/>
      <c r="IS145" s="26">
        <v>0</v>
      </c>
      <c r="IT145" s="33"/>
      <c r="IW145" s="26">
        <v>0</v>
      </c>
      <c r="IX145" s="33"/>
      <c r="JA145" s="26">
        <v>0</v>
      </c>
      <c r="JB145" s="30"/>
      <c r="JC145" s="27"/>
      <c r="JE145" s="27"/>
      <c r="JG145" s="26">
        <v>0</v>
      </c>
      <c r="JH145" s="33"/>
      <c r="JI145" s="28">
        <v>0</v>
      </c>
      <c r="JJ145" s="28">
        <v>0</v>
      </c>
      <c r="JK145" s="26">
        <v>0</v>
      </c>
      <c r="JL145" s="33"/>
      <c r="JM145" s="28">
        <v>0</v>
      </c>
      <c r="JN145" s="28">
        <v>0</v>
      </c>
      <c r="JO145" s="26">
        <v>0</v>
      </c>
      <c r="JP145" s="33"/>
      <c r="JQ145" s="6">
        <v>110</v>
      </c>
      <c r="JR145" s="28">
        <v>0</v>
      </c>
      <c r="JS145" s="26">
        <v>0</v>
      </c>
      <c r="JT145" s="33"/>
    </row>
    <row r="146" spans="1:280" x14ac:dyDescent="0.25">
      <c r="A146" s="26" t="s">
        <v>297</v>
      </c>
      <c r="B146" s="27">
        <v>0.33</v>
      </c>
      <c r="I146" s="29"/>
      <c r="J146" s="35"/>
      <c r="K146" s="40"/>
      <c r="L146" s="35"/>
      <c r="M146" s="35">
        <f t="shared" si="12"/>
        <v>0</v>
      </c>
      <c r="N146" s="30"/>
      <c r="O146" s="29"/>
      <c r="P146" s="35"/>
      <c r="Q146" s="35"/>
      <c r="R146" s="35"/>
      <c r="S146" s="35">
        <f t="shared" si="13"/>
        <v>0</v>
      </c>
      <c r="T146" s="30"/>
      <c r="U146" s="29"/>
      <c r="V146" s="40"/>
      <c r="W146" s="35"/>
      <c r="X146" s="35"/>
      <c r="Y146" s="35"/>
      <c r="Z146" s="35"/>
      <c r="AA146" s="35">
        <f t="shared" si="14"/>
        <v>0</v>
      </c>
      <c r="AB146" s="30"/>
      <c r="AC146" s="29"/>
      <c r="AD146" s="35"/>
      <c r="AE146" s="35"/>
      <c r="AF146" s="35"/>
      <c r="AG146" s="35">
        <v>0</v>
      </c>
      <c r="AH146" s="30"/>
      <c r="AI146" s="35"/>
      <c r="AM146" s="26">
        <v>0</v>
      </c>
      <c r="AN146" s="30"/>
      <c r="AO146" s="31"/>
      <c r="AS146" s="26">
        <v>0</v>
      </c>
      <c r="AT146" s="30"/>
      <c r="AY146" s="26">
        <v>0</v>
      </c>
      <c r="AZ146" s="30"/>
      <c r="BD146" s="26">
        <v>0</v>
      </c>
      <c r="BE146" s="30"/>
      <c r="BF146" s="29"/>
      <c r="BH146" s="26">
        <v>0</v>
      </c>
      <c r="BI146" s="30"/>
      <c r="BJ146" s="29"/>
      <c r="BL146" s="26">
        <v>0</v>
      </c>
      <c r="BM146" s="30"/>
      <c r="BP146" s="26">
        <v>0</v>
      </c>
      <c r="BQ146" s="30"/>
      <c r="BR146" s="29"/>
      <c r="BT146" s="26">
        <v>0</v>
      </c>
      <c r="BU146" s="30"/>
      <c r="BX146" s="26">
        <v>0</v>
      </c>
      <c r="BY146" s="30"/>
      <c r="BZ146" s="29"/>
      <c r="CB146" s="26">
        <v>0</v>
      </c>
      <c r="CC146" s="30"/>
      <c r="CD146" s="29"/>
      <c r="CF146" s="26">
        <v>0</v>
      </c>
      <c r="CG146" s="30"/>
      <c r="CJ146" s="26">
        <v>0</v>
      </c>
      <c r="CK146" s="30"/>
      <c r="CL146" s="29"/>
      <c r="CP146" s="26">
        <v>0</v>
      </c>
      <c r="CQ146" s="30"/>
      <c r="CR146" s="29"/>
      <c r="CT146" s="26">
        <v>0</v>
      </c>
      <c r="CU146" s="30"/>
      <c r="CZ146" s="26">
        <v>0</v>
      </c>
      <c r="DA146" s="30"/>
      <c r="DD146" s="26">
        <v>0</v>
      </c>
      <c r="DE146" s="30"/>
      <c r="DF146" s="29"/>
      <c r="DH146" s="26">
        <v>0</v>
      </c>
      <c r="DI146" s="30"/>
      <c r="DJ146" s="29"/>
      <c r="DL146" s="26">
        <v>0</v>
      </c>
      <c r="DM146" s="30"/>
      <c r="DP146" s="26">
        <v>0</v>
      </c>
      <c r="DQ146" s="30"/>
      <c r="DR146" s="29"/>
      <c r="DU146" s="26">
        <v>0</v>
      </c>
      <c r="DV146" s="30"/>
      <c r="DW146" s="29"/>
      <c r="EA146" s="26">
        <v>0</v>
      </c>
      <c r="EB146" s="30"/>
      <c r="EC146" s="29"/>
      <c r="EF146" s="26">
        <v>0</v>
      </c>
      <c r="EG146" s="30"/>
      <c r="EJ146" s="26">
        <v>0</v>
      </c>
      <c r="EK146" s="30"/>
      <c r="EL146" s="31"/>
      <c r="EN146" s="26">
        <v>0</v>
      </c>
      <c r="EO146" s="30"/>
      <c r="EP146" s="29"/>
      <c r="ER146" s="26">
        <v>0</v>
      </c>
      <c r="ES146" s="30"/>
      <c r="ET146" s="29"/>
      <c r="EV146" s="26">
        <v>0</v>
      </c>
      <c r="EW146" s="30"/>
      <c r="EZ146" s="26">
        <v>0</v>
      </c>
      <c r="FA146" s="30"/>
      <c r="FD146" s="26">
        <v>0</v>
      </c>
      <c r="FE146" s="30"/>
      <c r="FF146" s="29"/>
      <c r="FI146" s="26">
        <v>0</v>
      </c>
      <c r="FJ146" s="30"/>
      <c r="FK146" s="29"/>
      <c r="FN146" s="26">
        <v>0</v>
      </c>
      <c r="FO146" s="30"/>
      <c r="FR146" s="26">
        <v>0</v>
      </c>
      <c r="FS146" s="30"/>
      <c r="FT146" s="29"/>
      <c r="FY146" s="26">
        <v>0</v>
      </c>
      <c r="FZ146" s="30"/>
      <c r="GC146" s="26">
        <v>0</v>
      </c>
      <c r="GD146" s="30"/>
      <c r="GE146" s="29"/>
      <c r="GI146" s="26">
        <v>0</v>
      </c>
      <c r="GJ146" s="30"/>
      <c r="GM146">
        <v>48</v>
      </c>
      <c r="GN146">
        <v>48</v>
      </c>
      <c r="GO146" s="26">
        <v>0</v>
      </c>
      <c r="GP146" s="30"/>
      <c r="GS146" s="26">
        <v>0</v>
      </c>
      <c r="GT146" s="30"/>
      <c r="GU146" s="29"/>
      <c r="GW146" s="26">
        <v>0</v>
      </c>
      <c r="GX146" s="30"/>
      <c r="GY146" s="32">
        <v>8</v>
      </c>
      <c r="GZ146">
        <v>8</v>
      </c>
      <c r="HA146" s="26">
        <v>0</v>
      </c>
      <c r="HB146" s="30"/>
      <c r="HC146">
        <v>32</v>
      </c>
      <c r="HD146">
        <v>32</v>
      </c>
      <c r="HE146" s="26">
        <v>0</v>
      </c>
      <c r="HF146" s="30"/>
      <c r="HG146" s="32">
        <v>16</v>
      </c>
      <c r="HH146">
        <v>16</v>
      </c>
      <c r="HI146" s="26">
        <v>0</v>
      </c>
      <c r="HJ146" s="30"/>
      <c r="HK146" s="32">
        <v>16</v>
      </c>
      <c r="HL146">
        <v>20</v>
      </c>
      <c r="HM146" s="26">
        <v>-4</v>
      </c>
      <c r="HN146" s="30"/>
      <c r="HO146">
        <v>16</v>
      </c>
      <c r="HP146">
        <v>16</v>
      </c>
      <c r="HQ146" s="26">
        <v>0</v>
      </c>
      <c r="HR146" s="33"/>
      <c r="HU146" s="26">
        <v>0</v>
      </c>
      <c r="HV146" s="30"/>
      <c r="HW146">
        <v>32</v>
      </c>
      <c r="HX146">
        <v>32</v>
      </c>
      <c r="HY146" s="26">
        <v>0</v>
      </c>
      <c r="HZ146" s="33"/>
      <c r="IC146" s="26">
        <v>0</v>
      </c>
      <c r="ID146" s="30"/>
      <c r="IE146">
        <v>8</v>
      </c>
      <c r="IF146">
        <v>8</v>
      </c>
      <c r="IG146" s="26">
        <v>0</v>
      </c>
      <c r="IH146" s="33"/>
      <c r="IK146" s="26">
        <v>0</v>
      </c>
      <c r="IL146" s="30"/>
      <c r="IM146" s="31"/>
      <c r="IO146" s="26">
        <v>0</v>
      </c>
      <c r="IP146" s="33"/>
      <c r="IS146" s="26">
        <v>0</v>
      </c>
      <c r="IT146" s="33"/>
      <c r="IW146" s="26">
        <v>0</v>
      </c>
      <c r="IX146" s="33"/>
      <c r="JA146" s="26">
        <v>0</v>
      </c>
      <c r="JB146" s="30"/>
      <c r="JC146">
        <v>48</v>
      </c>
      <c r="JD146">
        <v>50</v>
      </c>
      <c r="JE146">
        <v>32</v>
      </c>
      <c r="JF146">
        <v>34</v>
      </c>
      <c r="JG146" s="26">
        <v>-4</v>
      </c>
      <c r="JH146" s="33"/>
      <c r="JI146" s="28">
        <v>96</v>
      </c>
      <c r="JJ146" s="28">
        <v>100</v>
      </c>
      <c r="JK146" s="26">
        <v>-4</v>
      </c>
      <c r="JL146" s="33"/>
      <c r="JP146" s="33"/>
      <c r="JQ146" s="31"/>
      <c r="JT146" s="33"/>
    </row>
    <row r="147" spans="1:280" x14ac:dyDescent="0.25">
      <c r="A147" s="26" t="s">
        <v>298</v>
      </c>
      <c r="B147" s="27">
        <v>0.3</v>
      </c>
      <c r="I147" s="29"/>
      <c r="J147" s="35"/>
      <c r="K147" s="40"/>
      <c r="L147" s="35"/>
      <c r="M147" s="35">
        <f t="shared" si="12"/>
        <v>0</v>
      </c>
      <c r="N147" s="30"/>
      <c r="O147" s="29"/>
      <c r="P147" s="35"/>
      <c r="Q147" s="35"/>
      <c r="R147" s="35"/>
      <c r="S147" s="35">
        <f t="shared" si="13"/>
        <v>0</v>
      </c>
      <c r="T147" s="30"/>
      <c r="U147" s="29"/>
      <c r="V147" s="40"/>
      <c r="W147" s="35"/>
      <c r="X147" s="35"/>
      <c r="Y147" s="35"/>
      <c r="Z147" s="35"/>
      <c r="AA147" s="35">
        <f t="shared" si="14"/>
        <v>0</v>
      </c>
      <c r="AB147" s="30"/>
      <c r="AC147" s="29"/>
      <c r="AD147" s="35"/>
      <c r="AE147" s="35"/>
      <c r="AF147" s="35"/>
      <c r="AG147" s="35">
        <v>0</v>
      </c>
      <c r="AH147" s="30"/>
      <c r="AI147" s="35"/>
      <c r="AM147" s="26">
        <v>0</v>
      </c>
      <c r="AN147" s="30"/>
      <c r="AO147" s="31"/>
      <c r="AS147" s="26">
        <v>0</v>
      </c>
      <c r="AT147" s="30"/>
      <c r="AY147" s="26">
        <v>0</v>
      </c>
      <c r="AZ147" s="30"/>
      <c r="BD147" s="26">
        <v>0</v>
      </c>
      <c r="BE147" s="30"/>
      <c r="BF147" s="29"/>
      <c r="BH147" s="26">
        <v>0</v>
      </c>
      <c r="BI147" s="30"/>
      <c r="BJ147" s="29"/>
      <c r="BL147" s="26">
        <v>0</v>
      </c>
      <c r="BM147" s="30"/>
      <c r="BP147" s="26">
        <v>0</v>
      </c>
      <c r="BQ147" s="30"/>
      <c r="BR147" s="29"/>
      <c r="BT147" s="26">
        <v>0</v>
      </c>
      <c r="BU147" s="30"/>
      <c r="BX147" s="26">
        <v>0</v>
      </c>
      <c r="BY147" s="30"/>
      <c r="BZ147" s="29"/>
      <c r="CB147" s="26">
        <v>0</v>
      </c>
      <c r="CC147" s="30"/>
      <c r="CD147" s="29"/>
      <c r="CF147" s="26">
        <v>0</v>
      </c>
      <c r="CG147" s="30"/>
      <c r="CJ147" s="26">
        <v>0</v>
      </c>
      <c r="CK147" s="30"/>
      <c r="CL147" s="29"/>
      <c r="CP147" s="26">
        <v>0</v>
      </c>
      <c r="CQ147" s="30"/>
      <c r="CR147" s="29"/>
      <c r="CT147" s="26">
        <v>0</v>
      </c>
      <c r="CU147" s="30"/>
      <c r="CZ147" s="26">
        <v>0</v>
      </c>
      <c r="DA147" s="30"/>
      <c r="DD147" s="26">
        <v>0</v>
      </c>
      <c r="DE147" s="30"/>
      <c r="DF147" s="29"/>
      <c r="DH147" s="26">
        <v>0</v>
      </c>
      <c r="DI147" s="30"/>
      <c r="DJ147" s="29"/>
      <c r="DL147" s="26">
        <v>0</v>
      </c>
      <c r="DM147" s="30"/>
      <c r="DP147" s="26">
        <v>0</v>
      </c>
      <c r="DQ147" s="30"/>
      <c r="DR147" s="29"/>
      <c r="DU147" s="26">
        <v>0</v>
      </c>
      <c r="DV147" s="30"/>
      <c r="DW147" s="29"/>
      <c r="EA147" s="26">
        <v>0</v>
      </c>
      <c r="EB147" s="30"/>
      <c r="EC147" s="29"/>
      <c r="EF147" s="26">
        <v>0</v>
      </c>
      <c r="EG147" s="30"/>
      <c r="EJ147" s="26">
        <v>0</v>
      </c>
      <c r="EK147" s="30"/>
      <c r="EL147" s="31"/>
      <c r="EN147" s="26">
        <v>0</v>
      </c>
      <c r="EO147" s="30"/>
      <c r="EP147" s="29"/>
      <c r="ER147" s="26">
        <v>0</v>
      </c>
      <c r="ES147" s="30"/>
      <c r="ET147" s="29"/>
      <c r="EV147" s="26">
        <v>0</v>
      </c>
      <c r="EW147" s="30"/>
      <c r="EZ147" s="26">
        <v>0</v>
      </c>
      <c r="FA147" s="30"/>
      <c r="FD147" s="26">
        <v>0</v>
      </c>
      <c r="FE147" s="30"/>
      <c r="FF147" s="29"/>
      <c r="FI147" s="26">
        <v>0</v>
      </c>
      <c r="FJ147" s="30"/>
      <c r="FK147" s="29"/>
      <c r="FN147" s="26">
        <v>0</v>
      </c>
      <c r="FO147" s="30"/>
      <c r="FR147" s="26">
        <v>0</v>
      </c>
      <c r="FS147" s="30"/>
      <c r="FT147" s="29"/>
      <c r="FY147" s="26">
        <v>0</v>
      </c>
      <c r="FZ147" s="30"/>
      <c r="GC147" s="26">
        <v>0</v>
      </c>
      <c r="GD147" s="30"/>
      <c r="GE147" s="29"/>
      <c r="GI147" s="26">
        <v>0</v>
      </c>
      <c r="GJ147" s="30"/>
      <c r="GO147" s="26">
        <v>0</v>
      </c>
      <c r="GP147" s="30"/>
      <c r="GS147" s="26">
        <v>0</v>
      </c>
      <c r="GT147" s="30"/>
      <c r="GU147" s="29"/>
      <c r="GW147" s="26">
        <v>0</v>
      </c>
      <c r="GX147" s="30"/>
      <c r="GY147" s="29"/>
      <c r="HA147" s="26">
        <v>0</v>
      </c>
      <c r="HB147" s="30"/>
      <c r="HE147" s="26">
        <v>0</v>
      </c>
      <c r="HF147" s="30"/>
      <c r="HG147" s="32">
        <v>84</v>
      </c>
      <c r="HH147">
        <v>280</v>
      </c>
      <c r="HI147" s="25">
        <v>-196</v>
      </c>
      <c r="HJ147" s="30">
        <v>58.8</v>
      </c>
      <c r="HK147" s="29"/>
      <c r="HM147" s="26">
        <v>0</v>
      </c>
      <c r="HN147" s="30"/>
      <c r="HQ147" s="26">
        <v>0</v>
      </c>
      <c r="HR147" s="33"/>
      <c r="HS147">
        <v>18</v>
      </c>
      <c r="HT147">
        <v>16</v>
      </c>
      <c r="HU147" s="26">
        <v>2</v>
      </c>
      <c r="HV147" s="30"/>
      <c r="HY147" s="26">
        <v>0</v>
      </c>
      <c r="HZ147" s="33"/>
      <c r="IC147" s="26">
        <v>0</v>
      </c>
      <c r="ID147" s="30"/>
      <c r="IE147">
        <v>30</v>
      </c>
      <c r="IF147">
        <v>31</v>
      </c>
      <c r="IG147" s="26">
        <v>-1</v>
      </c>
      <c r="IH147" s="33"/>
      <c r="IK147" s="26">
        <v>0</v>
      </c>
      <c r="IL147" s="30"/>
      <c r="IM147" s="31"/>
      <c r="IO147" s="26">
        <v>0</v>
      </c>
      <c r="IP147" s="33"/>
      <c r="IQ147">
        <v>30</v>
      </c>
      <c r="IR147">
        <v>33</v>
      </c>
      <c r="IS147" s="26">
        <v>-3</v>
      </c>
      <c r="IT147" s="33"/>
      <c r="IU147">
        <v>24</v>
      </c>
      <c r="IV147">
        <v>25</v>
      </c>
      <c r="IW147" s="26">
        <v>1</v>
      </c>
      <c r="IX147" s="33"/>
      <c r="JA147" s="26">
        <v>0</v>
      </c>
      <c r="JB147" s="30"/>
      <c r="JC147">
        <v>60</v>
      </c>
      <c r="JD147">
        <v>60</v>
      </c>
      <c r="JE147">
        <v>42</v>
      </c>
      <c r="JF147">
        <v>40</v>
      </c>
      <c r="JG147" s="26">
        <v>2</v>
      </c>
      <c r="JH147" s="33"/>
      <c r="JI147" s="28">
        <v>48</v>
      </c>
      <c r="JJ147" s="28">
        <v>50</v>
      </c>
      <c r="JK147" s="26">
        <v>-2</v>
      </c>
      <c r="JL147" s="33"/>
      <c r="JP147" s="33"/>
      <c r="JQ147" s="31"/>
      <c r="JT147" s="33"/>
    </row>
    <row r="148" spans="1:280" x14ac:dyDescent="0.25">
      <c r="A148" s="26" t="s">
        <v>299</v>
      </c>
      <c r="B148" s="27">
        <v>1</v>
      </c>
      <c r="I148" s="29"/>
      <c r="J148" s="35"/>
      <c r="K148" s="40"/>
      <c r="L148" s="35"/>
      <c r="M148" s="35">
        <f t="shared" si="12"/>
        <v>0</v>
      </c>
      <c r="N148" s="30"/>
      <c r="O148" s="29"/>
      <c r="P148" s="35"/>
      <c r="Q148" s="35"/>
      <c r="R148" s="35"/>
      <c r="S148" s="35">
        <f t="shared" si="13"/>
        <v>0</v>
      </c>
      <c r="T148" s="30"/>
      <c r="U148" s="29"/>
      <c r="V148" s="40"/>
      <c r="W148" s="35"/>
      <c r="X148" s="35"/>
      <c r="Y148" s="35"/>
      <c r="Z148" s="35"/>
      <c r="AA148" s="35">
        <f t="shared" si="14"/>
        <v>0</v>
      </c>
      <c r="AB148" s="30"/>
      <c r="AC148" s="29"/>
      <c r="AD148" s="35"/>
      <c r="AE148" s="35"/>
      <c r="AF148" s="35"/>
      <c r="AG148" s="35">
        <v>0</v>
      </c>
      <c r="AH148" s="30"/>
      <c r="AI148" s="35"/>
      <c r="AM148" s="26">
        <v>0</v>
      </c>
      <c r="AN148" s="30"/>
      <c r="AO148" s="31"/>
      <c r="AS148" s="26">
        <v>0</v>
      </c>
      <c r="AT148" s="30"/>
      <c r="AY148" s="26">
        <v>0</v>
      </c>
      <c r="AZ148" s="30"/>
      <c r="BD148" s="26">
        <v>0</v>
      </c>
      <c r="BE148" s="30"/>
      <c r="BF148" s="29"/>
      <c r="BH148" s="26">
        <v>0</v>
      </c>
      <c r="BI148" s="30"/>
      <c r="BJ148" s="29"/>
      <c r="BL148" s="26">
        <v>0</v>
      </c>
      <c r="BM148" s="30"/>
      <c r="BP148" s="26">
        <v>0</v>
      </c>
      <c r="BQ148" s="30"/>
      <c r="BR148" s="29"/>
      <c r="BT148" s="26">
        <v>0</v>
      </c>
      <c r="BU148" s="30"/>
      <c r="BX148" s="26">
        <v>0</v>
      </c>
      <c r="BY148" s="30"/>
      <c r="BZ148" s="29"/>
      <c r="CB148" s="26">
        <v>0</v>
      </c>
      <c r="CC148" s="30"/>
      <c r="CD148" s="29"/>
      <c r="CF148" s="26">
        <v>0</v>
      </c>
      <c r="CG148" s="30"/>
      <c r="CJ148" s="26">
        <v>0</v>
      </c>
      <c r="CK148" s="30"/>
      <c r="CL148" s="29"/>
      <c r="CP148" s="26">
        <v>0</v>
      </c>
      <c r="CQ148" s="30"/>
      <c r="CR148" s="29"/>
      <c r="CT148" s="26">
        <v>0</v>
      </c>
      <c r="CU148" s="30"/>
      <c r="CZ148" s="26">
        <v>0</v>
      </c>
      <c r="DA148" s="30"/>
      <c r="DD148" s="26">
        <v>0</v>
      </c>
      <c r="DE148" s="30"/>
      <c r="DF148" s="29"/>
      <c r="DH148" s="26">
        <v>0</v>
      </c>
      <c r="DI148" s="30"/>
      <c r="DJ148" s="29"/>
      <c r="DL148" s="26">
        <v>0</v>
      </c>
      <c r="DM148" s="30"/>
      <c r="DP148" s="26">
        <v>0</v>
      </c>
      <c r="DQ148" s="30"/>
      <c r="DR148" s="29"/>
      <c r="DU148" s="26">
        <v>0</v>
      </c>
      <c r="DV148" s="30"/>
      <c r="DW148" s="29"/>
      <c r="EA148" s="26">
        <v>0</v>
      </c>
      <c r="EB148" s="30"/>
      <c r="EC148" s="29"/>
      <c r="EF148" s="26">
        <v>0</v>
      </c>
      <c r="EG148" s="30"/>
      <c r="EJ148" s="26">
        <v>0</v>
      </c>
      <c r="EK148" s="30"/>
      <c r="EL148" s="31"/>
      <c r="EN148" s="26">
        <v>0</v>
      </c>
      <c r="EO148" s="30"/>
      <c r="EP148" s="29"/>
      <c r="ER148" s="26">
        <v>0</v>
      </c>
      <c r="ES148" s="30"/>
      <c r="ET148" s="29"/>
      <c r="EV148" s="26">
        <v>0</v>
      </c>
      <c r="EW148" s="30"/>
      <c r="EZ148" s="26">
        <v>0</v>
      </c>
      <c r="FA148" s="30"/>
      <c r="FD148" s="26">
        <v>0</v>
      </c>
      <c r="FE148" s="30"/>
      <c r="FF148" s="29"/>
      <c r="FI148" s="26">
        <v>0</v>
      </c>
      <c r="FJ148" s="30"/>
      <c r="FK148" s="29"/>
      <c r="FN148" s="26">
        <v>0</v>
      </c>
      <c r="FO148" s="30"/>
      <c r="FR148" s="26">
        <v>0</v>
      </c>
      <c r="FS148" s="30"/>
      <c r="FT148" s="29"/>
      <c r="FY148" s="26">
        <v>0</v>
      </c>
      <c r="FZ148" s="30"/>
      <c r="GC148" s="26">
        <v>0</v>
      </c>
      <c r="GD148" s="30"/>
      <c r="GE148" s="29"/>
      <c r="GI148" s="26">
        <v>0</v>
      </c>
      <c r="GJ148" s="30"/>
      <c r="GO148" s="26">
        <v>0</v>
      </c>
      <c r="GP148" s="30"/>
      <c r="GS148" s="26">
        <v>0</v>
      </c>
      <c r="GT148" s="30"/>
      <c r="GU148" s="29"/>
      <c r="GW148" s="26">
        <v>0</v>
      </c>
      <c r="GX148" s="30"/>
      <c r="GY148" s="29"/>
      <c r="HA148" s="26">
        <v>0</v>
      </c>
      <c r="HB148" s="30"/>
      <c r="HE148" s="26">
        <v>0</v>
      </c>
      <c r="HF148" s="30"/>
      <c r="HG148" s="29"/>
      <c r="HI148" s="26">
        <v>0</v>
      </c>
      <c r="HJ148" s="30"/>
      <c r="HK148" s="29"/>
      <c r="HM148" s="26">
        <v>0</v>
      </c>
      <c r="HN148" s="30"/>
      <c r="HQ148" s="26">
        <v>0</v>
      </c>
      <c r="HR148" s="33"/>
      <c r="HU148" s="26">
        <v>0</v>
      </c>
      <c r="HV148" s="30"/>
      <c r="HW148">
        <v>37</v>
      </c>
      <c r="HX148">
        <v>40</v>
      </c>
      <c r="HY148" s="26">
        <v>-3</v>
      </c>
      <c r="HZ148" s="33"/>
      <c r="IA148">
        <v>49</v>
      </c>
      <c r="IB148">
        <v>50</v>
      </c>
      <c r="IC148" s="26">
        <v>-1</v>
      </c>
      <c r="ID148" s="30"/>
      <c r="IE148">
        <v>38</v>
      </c>
      <c r="IF148">
        <v>42</v>
      </c>
      <c r="IG148" s="26">
        <v>-4</v>
      </c>
      <c r="IH148" s="33"/>
      <c r="II148">
        <v>6</v>
      </c>
      <c r="IJ148" s="28">
        <v>8.7494000000000085</v>
      </c>
      <c r="IK148" s="26">
        <v>-2.7494000000000089</v>
      </c>
      <c r="IL148" s="30"/>
      <c r="IM148" s="31"/>
      <c r="IO148" s="26">
        <v>0</v>
      </c>
      <c r="IP148" s="33"/>
      <c r="IQ148">
        <v>31</v>
      </c>
      <c r="IR148">
        <v>33</v>
      </c>
      <c r="IS148" s="26">
        <v>-2</v>
      </c>
      <c r="IT148" s="33"/>
      <c r="IU148">
        <v>62</v>
      </c>
      <c r="IV148">
        <v>62</v>
      </c>
      <c r="IW148" s="26">
        <v>0</v>
      </c>
      <c r="IX148" s="33"/>
      <c r="JA148" s="26">
        <v>0</v>
      </c>
      <c r="JB148" s="30"/>
      <c r="JC148">
        <v>49</v>
      </c>
      <c r="JD148">
        <v>50</v>
      </c>
      <c r="JE148">
        <v>43</v>
      </c>
      <c r="JF148">
        <v>46</v>
      </c>
      <c r="JG148" s="26">
        <v>-4</v>
      </c>
      <c r="JH148" s="33"/>
      <c r="JL148" s="33"/>
      <c r="JP148" s="33"/>
      <c r="JQ148" s="31"/>
      <c r="JT148" s="33"/>
    </row>
    <row r="149" spans="1:280" x14ac:dyDescent="0.25">
      <c r="A149" s="26" t="s">
        <v>300</v>
      </c>
      <c r="B149" s="27">
        <v>1</v>
      </c>
      <c r="I149" s="29"/>
      <c r="J149" s="35"/>
      <c r="K149" s="40"/>
      <c r="L149" s="35"/>
      <c r="M149" s="35">
        <f t="shared" si="12"/>
        <v>0</v>
      </c>
      <c r="N149" s="30"/>
      <c r="O149" s="29"/>
      <c r="P149" s="35"/>
      <c r="Q149" s="35"/>
      <c r="R149" s="35"/>
      <c r="S149" s="35">
        <f t="shared" si="13"/>
        <v>0</v>
      </c>
      <c r="T149" s="30"/>
      <c r="U149" s="29"/>
      <c r="V149" s="40"/>
      <c r="W149" s="35"/>
      <c r="X149" s="35"/>
      <c r="Y149" s="35"/>
      <c r="Z149" s="35"/>
      <c r="AA149" s="35">
        <f t="shared" si="14"/>
        <v>0</v>
      </c>
      <c r="AB149" s="30"/>
      <c r="AC149" s="29"/>
      <c r="AD149" s="35"/>
      <c r="AE149" s="35"/>
      <c r="AF149" s="35"/>
      <c r="AG149" s="35">
        <v>0</v>
      </c>
      <c r="AH149" s="30"/>
      <c r="AI149" s="35"/>
      <c r="AM149" s="26">
        <v>0</v>
      </c>
      <c r="AN149" s="30"/>
      <c r="AO149" s="31"/>
      <c r="AS149" s="26">
        <v>0</v>
      </c>
      <c r="AT149" s="30"/>
      <c r="AY149" s="26">
        <v>0</v>
      </c>
      <c r="AZ149" s="30"/>
      <c r="BD149" s="26">
        <v>0</v>
      </c>
      <c r="BE149" s="30"/>
      <c r="BF149" s="29"/>
      <c r="BH149" s="26">
        <v>0</v>
      </c>
      <c r="BI149" s="30"/>
      <c r="BJ149" s="29"/>
      <c r="BL149" s="26">
        <v>0</v>
      </c>
      <c r="BM149" s="30"/>
      <c r="BP149" s="26">
        <v>0</v>
      </c>
      <c r="BQ149" s="30"/>
      <c r="BR149" s="29"/>
      <c r="BT149" s="26">
        <v>0</v>
      </c>
      <c r="BU149" s="30"/>
      <c r="BX149" s="26">
        <v>0</v>
      </c>
      <c r="BY149" s="30"/>
      <c r="BZ149" s="29"/>
      <c r="CB149" s="26">
        <v>0</v>
      </c>
      <c r="CC149" s="30"/>
      <c r="CD149" s="29"/>
      <c r="CF149" s="26">
        <v>0</v>
      </c>
      <c r="CG149" s="30"/>
      <c r="CJ149" s="26">
        <v>0</v>
      </c>
      <c r="CK149" s="30"/>
      <c r="CL149" s="29"/>
      <c r="CP149" s="26">
        <v>0</v>
      </c>
      <c r="CQ149" s="30"/>
      <c r="CR149" s="29"/>
      <c r="CT149" s="26">
        <v>0</v>
      </c>
      <c r="CU149" s="30"/>
      <c r="CZ149" s="26">
        <v>0</v>
      </c>
      <c r="DA149" s="30"/>
      <c r="DD149" s="26">
        <v>0</v>
      </c>
      <c r="DE149" s="30"/>
      <c r="DF149" s="29"/>
      <c r="DH149" s="26">
        <v>0</v>
      </c>
      <c r="DI149" s="30"/>
      <c r="DJ149" s="29"/>
      <c r="DL149" s="26">
        <v>0</v>
      </c>
      <c r="DM149" s="30"/>
      <c r="DP149" s="26">
        <v>0</v>
      </c>
      <c r="DQ149" s="30"/>
      <c r="DR149" s="29"/>
      <c r="DU149" s="26">
        <v>0</v>
      </c>
      <c r="DV149" s="30"/>
      <c r="DW149" s="29"/>
      <c r="EA149" s="26">
        <v>0</v>
      </c>
      <c r="EB149" s="30"/>
      <c r="EC149" s="29"/>
      <c r="EF149" s="26">
        <v>0</v>
      </c>
      <c r="EG149" s="30"/>
      <c r="EJ149" s="26">
        <v>0</v>
      </c>
      <c r="EK149" s="30"/>
      <c r="EL149" s="31"/>
      <c r="EN149" s="26">
        <v>0</v>
      </c>
      <c r="EO149" s="30"/>
      <c r="EP149" s="29"/>
      <c r="ER149" s="26">
        <v>0</v>
      </c>
      <c r="ES149" s="30"/>
      <c r="ET149" s="29"/>
      <c r="EV149" s="26">
        <v>0</v>
      </c>
      <c r="EW149" s="30"/>
      <c r="EZ149" s="26">
        <v>0</v>
      </c>
      <c r="FA149" s="30"/>
      <c r="FD149" s="26">
        <v>0</v>
      </c>
      <c r="FE149" s="30"/>
      <c r="FF149" s="29"/>
      <c r="FI149" s="26">
        <v>0</v>
      </c>
      <c r="FJ149" s="30"/>
      <c r="FK149" s="29"/>
      <c r="FN149" s="26">
        <v>0</v>
      </c>
      <c r="FO149" s="30"/>
      <c r="FR149" s="26">
        <v>0</v>
      </c>
      <c r="FS149" s="30"/>
      <c r="FT149" s="29"/>
      <c r="FY149" s="26">
        <v>0</v>
      </c>
      <c r="FZ149" s="30"/>
      <c r="GC149" s="26">
        <v>0</v>
      </c>
      <c r="GD149" s="30"/>
      <c r="GE149" s="29"/>
      <c r="GI149" s="26">
        <v>0</v>
      </c>
      <c r="GJ149" s="30"/>
      <c r="GO149" s="26">
        <v>0</v>
      </c>
      <c r="GP149" s="30"/>
      <c r="GS149" s="26">
        <v>0</v>
      </c>
      <c r="GT149" s="30"/>
      <c r="GU149" s="29"/>
      <c r="GW149" s="26">
        <v>0</v>
      </c>
      <c r="GX149" s="30"/>
      <c r="GY149" s="29"/>
      <c r="HA149" s="26">
        <v>0</v>
      </c>
      <c r="HB149" s="30"/>
      <c r="HE149" s="26">
        <v>0</v>
      </c>
      <c r="HF149" s="30"/>
      <c r="HG149" s="29"/>
      <c r="HI149" s="26">
        <v>0</v>
      </c>
      <c r="HJ149" s="30"/>
      <c r="HK149" s="29"/>
      <c r="HM149" s="26">
        <v>0</v>
      </c>
      <c r="HN149" s="30"/>
      <c r="HQ149" s="26">
        <v>0</v>
      </c>
      <c r="HR149" s="33"/>
      <c r="HU149" s="26">
        <v>0</v>
      </c>
      <c r="HV149" s="30"/>
      <c r="HW149">
        <v>18</v>
      </c>
      <c r="HX149">
        <v>20</v>
      </c>
      <c r="HY149" s="26">
        <v>-2</v>
      </c>
      <c r="HZ149" s="33"/>
      <c r="IA149">
        <v>68</v>
      </c>
      <c r="IB149">
        <v>65</v>
      </c>
      <c r="IC149" s="26">
        <v>3</v>
      </c>
      <c r="ID149" s="30"/>
      <c r="IE149">
        <v>6</v>
      </c>
      <c r="IF149">
        <v>8</v>
      </c>
      <c r="IG149" s="26">
        <v>-2</v>
      </c>
      <c r="IH149" s="33"/>
      <c r="II149">
        <v>31</v>
      </c>
      <c r="IJ149" s="28">
        <v>31.628999999999991</v>
      </c>
      <c r="IK149" s="26">
        <v>-0.62899999999999068</v>
      </c>
      <c r="IL149" s="30"/>
      <c r="IM149" s="32">
        <v>12</v>
      </c>
      <c r="IN149" s="28">
        <v>12</v>
      </c>
      <c r="IO149" s="26">
        <v>0</v>
      </c>
      <c r="IP149" s="33"/>
      <c r="IQ149">
        <v>31</v>
      </c>
      <c r="IR149">
        <v>32</v>
      </c>
      <c r="IS149" s="26">
        <v>-1</v>
      </c>
      <c r="IT149" s="33"/>
      <c r="IU149">
        <v>19</v>
      </c>
      <c r="IV149">
        <v>20</v>
      </c>
      <c r="IW149" s="26">
        <v>1</v>
      </c>
      <c r="IX149" s="33"/>
      <c r="JA149" s="26">
        <v>0</v>
      </c>
      <c r="JB149" s="30"/>
      <c r="JC149" s="27"/>
      <c r="JE149" s="12">
        <v>49</v>
      </c>
      <c r="JG149" s="26">
        <v>0</v>
      </c>
      <c r="JH149" s="33"/>
      <c r="JL149" s="33"/>
      <c r="JP149" s="33"/>
      <c r="JQ149" s="31"/>
      <c r="JT149" s="33"/>
    </row>
    <row r="150" spans="1:280" x14ac:dyDescent="0.25">
      <c r="A150" s="26" t="s">
        <v>301</v>
      </c>
      <c r="B150" s="27">
        <v>1</v>
      </c>
      <c r="E150">
        <v>59</v>
      </c>
      <c r="F150">
        <v>58</v>
      </c>
      <c r="I150" s="29"/>
      <c r="J150" s="35"/>
      <c r="K150" s="40"/>
      <c r="L150" s="35"/>
      <c r="M150" s="35">
        <f t="shared" si="12"/>
        <v>0</v>
      </c>
      <c r="N150" s="30"/>
      <c r="O150" s="31">
        <v>40</v>
      </c>
      <c r="P150" s="36">
        <v>39</v>
      </c>
      <c r="Q150" s="36">
        <v>37</v>
      </c>
      <c r="R150" s="36">
        <v>37</v>
      </c>
      <c r="S150" s="35">
        <f t="shared" si="13"/>
        <v>1</v>
      </c>
      <c r="T150" s="30"/>
      <c r="U150" s="29"/>
      <c r="V150" s="40"/>
      <c r="W150" s="35"/>
      <c r="X150" s="36">
        <v>56</v>
      </c>
      <c r="Y150" s="35"/>
      <c r="Z150" s="36">
        <v>56</v>
      </c>
      <c r="AA150" s="35">
        <f t="shared" si="14"/>
        <v>0</v>
      </c>
      <c r="AB150" s="30"/>
      <c r="AC150" s="29"/>
      <c r="AD150" s="35"/>
      <c r="AE150" s="36">
        <v>43</v>
      </c>
      <c r="AF150" s="40">
        <v>44</v>
      </c>
      <c r="AG150" s="35">
        <v>-1</v>
      </c>
      <c r="AH150" s="30"/>
      <c r="AI150" s="35"/>
      <c r="AK150">
        <v>47</v>
      </c>
      <c r="AL150">
        <v>45</v>
      </c>
      <c r="AM150" s="26">
        <v>2</v>
      </c>
      <c r="AN150" s="30"/>
      <c r="AO150" s="31"/>
      <c r="AS150" s="26">
        <v>0</v>
      </c>
      <c r="AT150" s="30"/>
      <c r="AU150">
        <v>31</v>
      </c>
      <c r="AV150">
        <v>30</v>
      </c>
      <c r="AW150">
        <v>31</v>
      </c>
      <c r="AX150">
        <v>30</v>
      </c>
      <c r="AY150" s="26">
        <v>2</v>
      </c>
      <c r="AZ150" s="30"/>
      <c r="BB150">
        <v>13</v>
      </c>
      <c r="BC150">
        <v>12</v>
      </c>
      <c r="BD150" s="26">
        <v>1</v>
      </c>
      <c r="BE150" s="30"/>
      <c r="BF150" s="32">
        <v>47</v>
      </c>
      <c r="BG150">
        <v>43</v>
      </c>
      <c r="BH150" s="26">
        <v>4</v>
      </c>
      <c r="BI150" s="30"/>
      <c r="BJ150" s="32">
        <v>84</v>
      </c>
      <c r="BK150">
        <v>81</v>
      </c>
      <c r="BL150" s="26">
        <v>3</v>
      </c>
      <c r="BM150" s="30"/>
      <c r="BP150" s="26">
        <v>0</v>
      </c>
      <c r="BQ150" s="30"/>
      <c r="BR150" s="32">
        <v>6</v>
      </c>
      <c r="BS150">
        <v>6</v>
      </c>
      <c r="BT150" s="26">
        <v>0</v>
      </c>
      <c r="BU150" s="30"/>
      <c r="BV150">
        <v>101</v>
      </c>
      <c r="BW150">
        <v>94</v>
      </c>
      <c r="BX150" s="26">
        <v>7</v>
      </c>
      <c r="BY150" s="30"/>
      <c r="BZ150" s="29"/>
      <c r="CB150" s="26">
        <v>0</v>
      </c>
      <c r="CC150" s="30"/>
      <c r="CD150" s="32">
        <v>67</v>
      </c>
      <c r="CE150">
        <v>61</v>
      </c>
      <c r="CF150" s="26">
        <v>6</v>
      </c>
      <c r="CG150" s="30"/>
      <c r="CH150">
        <v>47</v>
      </c>
      <c r="CI150">
        <v>45</v>
      </c>
      <c r="CJ150" s="26">
        <v>2</v>
      </c>
      <c r="CK150" s="30"/>
      <c r="CL150" s="32">
        <v>9</v>
      </c>
      <c r="CM150">
        <v>8</v>
      </c>
      <c r="CP150" s="26">
        <v>1</v>
      </c>
      <c r="CQ150" s="30"/>
      <c r="CR150" s="29"/>
      <c r="CT150" s="26">
        <v>0</v>
      </c>
      <c r="CU150" s="30"/>
      <c r="CX150">
        <v>80</v>
      </c>
      <c r="CY150">
        <v>76</v>
      </c>
      <c r="CZ150" s="26">
        <v>4</v>
      </c>
      <c r="DA150" s="30"/>
      <c r="DD150" s="26">
        <v>0</v>
      </c>
      <c r="DE150" s="30"/>
      <c r="DF150" s="29"/>
      <c r="DH150" s="26">
        <v>0</v>
      </c>
      <c r="DI150" s="30"/>
      <c r="DJ150" s="32">
        <v>87</v>
      </c>
      <c r="DK150">
        <v>84</v>
      </c>
      <c r="DL150" s="26">
        <v>3</v>
      </c>
      <c r="DM150" s="30"/>
      <c r="DN150">
        <v>18</v>
      </c>
      <c r="DO150">
        <v>17</v>
      </c>
      <c r="DP150" s="26">
        <v>1</v>
      </c>
      <c r="DQ150" s="30"/>
      <c r="DR150" s="32">
        <v>12</v>
      </c>
      <c r="DT150">
        <v>10</v>
      </c>
      <c r="DU150" s="26">
        <v>2</v>
      </c>
      <c r="DV150" s="30"/>
      <c r="DW150" s="29"/>
      <c r="DY150">
        <v>19</v>
      </c>
      <c r="DZ150">
        <v>18</v>
      </c>
      <c r="EA150" s="26">
        <v>1</v>
      </c>
      <c r="EB150" s="30"/>
      <c r="EC150" s="32">
        <v>60</v>
      </c>
      <c r="EE150">
        <v>56</v>
      </c>
      <c r="EF150" s="26">
        <v>4</v>
      </c>
      <c r="EG150" s="30"/>
      <c r="EJ150" s="26">
        <v>0</v>
      </c>
      <c r="EK150" s="30"/>
      <c r="EL150" s="31"/>
      <c r="EN150" s="26">
        <v>0</v>
      </c>
      <c r="EO150" s="30"/>
      <c r="EP150" s="29"/>
      <c r="ER150" s="26">
        <v>0</v>
      </c>
      <c r="ES150" s="30"/>
      <c r="ET150" s="32">
        <v>74</v>
      </c>
      <c r="EU150">
        <v>70</v>
      </c>
      <c r="EV150" s="26">
        <v>4</v>
      </c>
      <c r="EW150" s="30"/>
      <c r="EZ150" s="26">
        <v>0</v>
      </c>
      <c r="FA150" s="30"/>
      <c r="FB150">
        <v>102</v>
      </c>
      <c r="FC150">
        <v>97</v>
      </c>
      <c r="FD150" s="26">
        <v>5</v>
      </c>
      <c r="FE150" s="30"/>
      <c r="FF150" s="32">
        <v>12</v>
      </c>
      <c r="FH150">
        <v>11</v>
      </c>
      <c r="FI150" s="26">
        <v>1</v>
      </c>
      <c r="FJ150" s="30"/>
      <c r="FK150" s="29"/>
      <c r="FN150" s="26">
        <v>0</v>
      </c>
      <c r="FO150" s="30"/>
      <c r="FR150" s="26">
        <v>0</v>
      </c>
      <c r="FS150" s="30"/>
      <c r="FT150" s="29"/>
      <c r="FU150">
        <v>19</v>
      </c>
      <c r="FV150">
        <v>20</v>
      </c>
      <c r="FW150">
        <v>34</v>
      </c>
      <c r="FX150">
        <v>31</v>
      </c>
      <c r="FY150" s="26">
        <v>2</v>
      </c>
      <c r="FZ150" s="30"/>
      <c r="GA150">
        <v>22</v>
      </c>
      <c r="GB150" s="28">
        <v>19.895799999999991</v>
      </c>
      <c r="GC150" s="26">
        <v>2.104200000000009</v>
      </c>
      <c r="GD150" s="30"/>
      <c r="GE150" s="29"/>
      <c r="GI150" s="26">
        <v>0</v>
      </c>
      <c r="GJ150" s="30"/>
      <c r="GK150">
        <v>62</v>
      </c>
      <c r="GL150">
        <v>60</v>
      </c>
      <c r="GM150">
        <v>74</v>
      </c>
      <c r="GN150">
        <v>70</v>
      </c>
      <c r="GO150" s="26">
        <v>6</v>
      </c>
      <c r="GP150" s="30"/>
      <c r="GQ150">
        <v>6</v>
      </c>
      <c r="GR150" s="28">
        <v>5.1883999999999997</v>
      </c>
      <c r="GS150" s="26">
        <v>0.81160000000000032</v>
      </c>
      <c r="GT150" s="30"/>
      <c r="GU150" s="32">
        <v>13</v>
      </c>
      <c r="GV150">
        <v>10</v>
      </c>
      <c r="GW150" s="26">
        <v>3</v>
      </c>
      <c r="GX150" s="30"/>
      <c r="GY150" s="29"/>
      <c r="HA150" s="26">
        <v>0</v>
      </c>
      <c r="HB150" s="30"/>
      <c r="HC150">
        <v>21</v>
      </c>
      <c r="HD150">
        <v>20</v>
      </c>
      <c r="HE150" s="26">
        <v>1</v>
      </c>
      <c r="HF150" s="30"/>
      <c r="HG150" s="32">
        <v>120</v>
      </c>
      <c r="HH150">
        <v>110</v>
      </c>
      <c r="HI150" s="26">
        <v>10</v>
      </c>
      <c r="HJ150" s="30"/>
      <c r="HK150" s="32">
        <v>3</v>
      </c>
      <c r="HL150">
        <v>3</v>
      </c>
      <c r="HM150" s="26">
        <v>0</v>
      </c>
      <c r="HN150" s="30"/>
      <c r="HO150">
        <v>45</v>
      </c>
      <c r="HP150" s="26">
        <v>40</v>
      </c>
      <c r="HQ150" s="26">
        <v>5</v>
      </c>
      <c r="HR150" s="33"/>
      <c r="HS150">
        <v>65</v>
      </c>
      <c r="HT150" s="28">
        <v>60</v>
      </c>
      <c r="HU150" s="26">
        <v>5</v>
      </c>
      <c r="HV150" s="30"/>
      <c r="HY150" s="26">
        <v>0</v>
      </c>
      <c r="HZ150" s="33"/>
      <c r="ID150" s="30"/>
      <c r="IH150" s="33"/>
      <c r="IL150" s="30"/>
      <c r="IM150" s="32"/>
      <c r="IP150" s="33"/>
      <c r="IT150" s="33"/>
      <c r="IX150" s="33"/>
      <c r="IZ150" s="28"/>
      <c r="JB150" s="30"/>
      <c r="JC150" s="27"/>
      <c r="JH150" s="33"/>
      <c r="JL150" s="33"/>
      <c r="JP150" s="33"/>
      <c r="JQ150" s="31"/>
      <c r="JT150" s="33"/>
    </row>
    <row r="151" spans="1:280" x14ac:dyDescent="0.25">
      <c r="A151" s="26" t="s">
        <v>302</v>
      </c>
      <c r="B151" s="27">
        <v>0.41</v>
      </c>
      <c r="E151">
        <v>44</v>
      </c>
      <c r="F151">
        <v>19</v>
      </c>
      <c r="I151" s="32">
        <v>210</v>
      </c>
      <c r="J151" s="36">
        <v>213</v>
      </c>
      <c r="K151" s="36">
        <v>210</v>
      </c>
      <c r="L151" s="36">
        <v>216</v>
      </c>
      <c r="M151" s="35">
        <f t="shared" si="12"/>
        <v>-9</v>
      </c>
      <c r="N151" s="30"/>
      <c r="O151" s="32">
        <v>120</v>
      </c>
      <c r="P151" s="36">
        <v>124</v>
      </c>
      <c r="Q151" s="36">
        <v>110</v>
      </c>
      <c r="R151" s="36">
        <v>116</v>
      </c>
      <c r="S151" s="35">
        <f t="shared" si="13"/>
        <v>-10</v>
      </c>
      <c r="T151" s="30"/>
      <c r="U151" s="29"/>
      <c r="V151" s="36">
        <v>210</v>
      </c>
      <c r="W151" s="36">
        <v>215</v>
      </c>
      <c r="X151" s="36">
        <v>170</v>
      </c>
      <c r="Y151" s="35"/>
      <c r="Z151" s="36">
        <v>172</v>
      </c>
      <c r="AA151" s="35">
        <f t="shared" si="14"/>
        <v>-7</v>
      </c>
      <c r="AB151" s="30"/>
      <c r="AC151" s="32">
        <v>190</v>
      </c>
      <c r="AD151" s="40">
        <v>190.58823529411771</v>
      </c>
      <c r="AE151" s="36">
        <v>130</v>
      </c>
      <c r="AF151" s="40">
        <v>133.41176470588229</v>
      </c>
      <c r="AG151" s="35">
        <v>-4</v>
      </c>
      <c r="AH151" s="30"/>
      <c r="AI151" s="36">
        <v>160</v>
      </c>
      <c r="AJ151">
        <v>161</v>
      </c>
      <c r="AK151">
        <v>120</v>
      </c>
      <c r="AL151">
        <v>128</v>
      </c>
      <c r="AM151" s="26">
        <v>-9</v>
      </c>
      <c r="AN151" s="30"/>
      <c r="AO151" s="31"/>
      <c r="AS151" s="26">
        <v>0</v>
      </c>
      <c r="AT151" s="30"/>
      <c r="AU151">
        <v>200</v>
      </c>
      <c r="AV151">
        <v>200</v>
      </c>
      <c r="AW151">
        <v>120</v>
      </c>
      <c r="AX151">
        <v>127</v>
      </c>
      <c r="AY151" s="26">
        <v>-7</v>
      </c>
      <c r="AZ151" s="30"/>
      <c r="BB151">
        <v>240</v>
      </c>
      <c r="BC151">
        <v>245</v>
      </c>
      <c r="BD151" s="26">
        <v>-5</v>
      </c>
      <c r="BE151" s="30"/>
      <c r="BF151" s="29"/>
      <c r="BH151" s="26">
        <v>0</v>
      </c>
      <c r="BI151" s="30"/>
      <c r="BJ151" s="32">
        <v>200</v>
      </c>
      <c r="BK151">
        <v>200</v>
      </c>
      <c r="BL151" s="26">
        <v>0</v>
      </c>
      <c r="BM151" s="30"/>
      <c r="BN151">
        <v>370</v>
      </c>
      <c r="BO151">
        <v>373</v>
      </c>
      <c r="BP151" s="26">
        <v>-3</v>
      </c>
      <c r="BQ151" s="30"/>
      <c r="BR151" s="32">
        <v>70</v>
      </c>
      <c r="BS151">
        <v>73</v>
      </c>
      <c r="BT151" s="26">
        <v>-3</v>
      </c>
      <c r="BU151" s="30"/>
      <c r="BV151">
        <v>250</v>
      </c>
      <c r="BW151">
        <v>250</v>
      </c>
      <c r="BX151" s="26">
        <v>0</v>
      </c>
      <c r="BY151" s="30"/>
      <c r="BZ151" s="29"/>
      <c r="CB151" s="26">
        <v>0</v>
      </c>
      <c r="CC151" s="30"/>
      <c r="CD151" s="32">
        <v>240</v>
      </c>
      <c r="CE151">
        <v>240</v>
      </c>
      <c r="CF151" s="26">
        <v>0</v>
      </c>
      <c r="CG151" s="30"/>
      <c r="CJ151" s="26">
        <v>0</v>
      </c>
      <c r="CK151" s="30"/>
      <c r="CL151" s="29"/>
      <c r="CP151" s="26">
        <v>0</v>
      </c>
      <c r="CQ151" s="30"/>
      <c r="CR151" s="32">
        <v>210</v>
      </c>
      <c r="CS151">
        <v>213</v>
      </c>
      <c r="CT151" s="26">
        <v>-3</v>
      </c>
      <c r="CU151" s="30"/>
      <c r="CX151">
        <v>10</v>
      </c>
      <c r="CY151">
        <v>13</v>
      </c>
      <c r="CZ151" s="26">
        <v>-3</v>
      </c>
      <c r="DA151" s="30"/>
      <c r="DB151">
        <v>160</v>
      </c>
      <c r="DC151">
        <v>160</v>
      </c>
      <c r="DD151" s="26">
        <v>0</v>
      </c>
      <c r="DE151" s="30"/>
      <c r="DF151" s="29"/>
      <c r="DH151" s="26">
        <v>0</v>
      </c>
      <c r="DI151" s="30"/>
      <c r="DJ151" s="32">
        <v>80</v>
      </c>
      <c r="DK151">
        <v>83</v>
      </c>
      <c r="DL151" s="26">
        <v>-3</v>
      </c>
      <c r="DM151" s="30"/>
      <c r="DN151">
        <v>100</v>
      </c>
      <c r="DO151">
        <v>98</v>
      </c>
      <c r="DP151" s="26">
        <v>2</v>
      </c>
      <c r="DQ151" s="30"/>
      <c r="DR151" s="32">
        <v>50</v>
      </c>
      <c r="DT151">
        <v>56</v>
      </c>
      <c r="DU151" s="26">
        <v>-6</v>
      </c>
      <c r="DV151" s="30"/>
      <c r="DW151" s="29"/>
      <c r="DY151">
        <v>60</v>
      </c>
      <c r="DZ151">
        <v>58</v>
      </c>
      <c r="EA151" s="26">
        <v>2</v>
      </c>
      <c r="EB151" s="30"/>
      <c r="EC151" s="32">
        <v>80</v>
      </c>
      <c r="EE151">
        <v>86</v>
      </c>
      <c r="EF151" s="26">
        <v>-6</v>
      </c>
      <c r="EG151" s="30"/>
      <c r="EH151">
        <v>100</v>
      </c>
      <c r="EI151" s="26">
        <v>105</v>
      </c>
      <c r="EJ151" s="26">
        <v>-5</v>
      </c>
      <c r="EK151" s="30"/>
      <c r="EL151" s="31"/>
      <c r="EN151" s="26">
        <v>0</v>
      </c>
      <c r="EO151" s="30"/>
      <c r="EP151" s="32">
        <v>30</v>
      </c>
      <c r="EQ151" s="26">
        <v>32.200000000000017</v>
      </c>
      <c r="ER151" s="26">
        <v>-2.2000000000000171</v>
      </c>
      <c r="ES151" s="30"/>
      <c r="ET151" s="32">
        <v>110</v>
      </c>
      <c r="EU151">
        <v>117</v>
      </c>
      <c r="EV151" s="26">
        <v>-7</v>
      </c>
      <c r="EW151" s="30"/>
      <c r="EX151">
        <v>20</v>
      </c>
      <c r="EY151" s="28">
        <v>23</v>
      </c>
      <c r="EZ151" s="26">
        <v>-3</v>
      </c>
      <c r="FA151" s="30"/>
      <c r="FB151">
        <v>100</v>
      </c>
      <c r="FC151">
        <v>100</v>
      </c>
      <c r="FD151" s="26">
        <v>0</v>
      </c>
      <c r="FE151" s="30"/>
      <c r="FF151" s="29"/>
      <c r="FI151" s="26">
        <v>0</v>
      </c>
      <c r="FJ151" s="30"/>
      <c r="FK151" s="32">
        <v>60</v>
      </c>
      <c r="FM151">
        <v>59</v>
      </c>
      <c r="FN151" s="26">
        <v>1</v>
      </c>
      <c r="FO151" s="30"/>
      <c r="FP151">
        <v>40</v>
      </c>
      <c r="FQ151" s="28">
        <v>47.399999999999991</v>
      </c>
      <c r="FR151" s="26">
        <v>-7.3999999999999906</v>
      </c>
      <c r="FS151" s="30"/>
      <c r="FT151" s="29"/>
      <c r="FW151">
        <v>40</v>
      </c>
      <c r="FX151">
        <v>39</v>
      </c>
      <c r="FY151" s="26">
        <v>1</v>
      </c>
      <c r="FZ151" s="30"/>
      <c r="GA151">
        <v>20</v>
      </c>
      <c r="GB151" s="28">
        <v>23.8</v>
      </c>
      <c r="GC151" s="26">
        <v>-3.8000000000000012</v>
      </c>
      <c r="GD151" s="30"/>
      <c r="GE151" s="29"/>
      <c r="GG151">
        <v>10</v>
      </c>
      <c r="GH151">
        <v>8</v>
      </c>
      <c r="GI151" s="26">
        <v>2</v>
      </c>
      <c r="GJ151" s="30"/>
      <c r="GM151">
        <v>60</v>
      </c>
      <c r="GN151">
        <v>60</v>
      </c>
      <c r="GO151" s="26">
        <v>0</v>
      </c>
      <c r="GP151" s="30"/>
      <c r="GQ151">
        <v>10</v>
      </c>
      <c r="GR151" s="28">
        <v>10</v>
      </c>
      <c r="GS151" s="26">
        <v>0</v>
      </c>
      <c r="GT151" s="30"/>
      <c r="GU151" s="32">
        <v>20</v>
      </c>
      <c r="GV151">
        <v>20</v>
      </c>
      <c r="GW151" s="26">
        <v>0</v>
      </c>
      <c r="GX151" s="30"/>
      <c r="GY151" s="32">
        <v>10</v>
      </c>
      <c r="GZ151">
        <v>10</v>
      </c>
      <c r="HA151" s="26">
        <v>0</v>
      </c>
      <c r="HB151" s="30"/>
      <c r="HC151">
        <v>20</v>
      </c>
      <c r="HD151">
        <v>20</v>
      </c>
      <c r="HE151" s="26">
        <v>0</v>
      </c>
      <c r="HF151" s="30"/>
      <c r="HG151" s="32">
        <v>60</v>
      </c>
      <c r="HH151">
        <v>58</v>
      </c>
      <c r="HI151" s="26">
        <v>2</v>
      </c>
      <c r="HJ151" s="30"/>
      <c r="HK151" s="29"/>
      <c r="HM151" s="26">
        <v>0</v>
      </c>
      <c r="HN151" s="30"/>
      <c r="HO151">
        <v>20</v>
      </c>
      <c r="HP151" s="26">
        <v>20</v>
      </c>
      <c r="HQ151" s="26">
        <v>0</v>
      </c>
      <c r="HR151" s="33"/>
      <c r="HS151">
        <v>40</v>
      </c>
      <c r="HT151" s="28">
        <v>40</v>
      </c>
      <c r="HU151" s="26">
        <v>0</v>
      </c>
      <c r="HV151" s="30"/>
      <c r="HY151" s="26">
        <v>0</v>
      </c>
      <c r="HZ151" s="33"/>
      <c r="ID151" s="30"/>
      <c r="IH151" s="33"/>
      <c r="IL151" s="30"/>
      <c r="IM151" s="32"/>
      <c r="IP151" s="33"/>
      <c r="IT151" s="33"/>
      <c r="IX151" s="33"/>
      <c r="IZ151" s="28"/>
      <c r="JB151" s="30"/>
      <c r="JC151" s="27"/>
      <c r="JH151" s="33"/>
      <c r="JL151" s="33"/>
      <c r="JP151" s="33"/>
      <c r="JQ151" s="31"/>
      <c r="JT151" s="33"/>
    </row>
    <row r="152" spans="1:280" x14ac:dyDescent="0.25">
      <c r="A152" s="26" t="s">
        <v>303</v>
      </c>
      <c r="B152" s="27">
        <v>1</v>
      </c>
      <c r="E152">
        <v>25</v>
      </c>
      <c r="I152" s="32">
        <v>154</v>
      </c>
      <c r="J152" s="36">
        <v>151</v>
      </c>
      <c r="K152" s="36">
        <v>155</v>
      </c>
      <c r="L152" s="36">
        <v>152</v>
      </c>
      <c r="M152" s="35">
        <f t="shared" si="12"/>
        <v>6</v>
      </c>
      <c r="N152" s="30"/>
      <c r="O152" s="32">
        <v>62</v>
      </c>
      <c r="P152" s="36">
        <v>65</v>
      </c>
      <c r="Q152" s="36">
        <v>62</v>
      </c>
      <c r="R152" s="36">
        <v>60</v>
      </c>
      <c r="S152" s="35">
        <f t="shared" si="13"/>
        <v>-1</v>
      </c>
      <c r="T152" s="30"/>
      <c r="U152" s="32">
        <v>62</v>
      </c>
      <c r="V152" s="40"/>
      <c r="W152" s="36">
        <v>60</v>
      </c>
      <c r="X152" s="36">
        <v>49</v>
      </c>
      <c r="Y152" s="35"/>
      <c r="Z152" s="36">
        <v>48</v>
      </c>
      <c r="AA152" s="35">
        <f t="shared" si="14"/>
        <v>3</v>
      </c>
      <c r="AB152" s="30"/>
      <c r="AC152" s="29"/>
      <c r="AD152" s="35"/>
      <c r="AE152" s="36">
        <v>93</v>
      </c>
      <c r="AF152" s="40">
        <v>90</v>
      </c>
      <c r="AG152" s="35">
        <v>3</v>
      </c>
      <c r="AH152" s="30"/>
      <c r="AI152" s="36">
        <v>125</v>
      </c>
      <c r="AJ152">
        <v>125</v>
      </c>
      <c r="AK152">
        <v>99</v>
      </c>
      <c r="AL152">
        <v>100</v>
      </c>
      <c r="AM152" s="26">
        <v>-1</v>
      </c>
      <c r="AN152" s="30"/>
      <c r="AO152" s="32">
        <v>62</v>
      </c>
      <c r="AP152">
        <v>60</v>
      </c>
      <c r="AQ152">
        <v>105</v>
      </c>
      <c r="AR152">
        <v>105</v>
      </c>
      <c r="AS152" s="26">
        <v>2</v>
      </c>
      <c r="AT152" s="30"/>
      <c r="AU152">
        <v>80</v>
      </c>
      <c r="AV152">
        <v>78</v>
      </c>
      <c r="AY152" s="26">
        <v>2</v>
      </c>
      <c r="AZ152" s="30"/>
      <c r="BB152">
        <v>149</v>
      </c>
      <c r="BC152">
        <v>147</v>
      </c>
      <c r="BD152" s="26">
        <v>2</v>
      </c>
      <c r="BE152" s="30"/>
      <c r="BF152" s="29"/>
      <c r="BH152" s="26">
        <v>0</v>
      </c>
      <c r="BI152" s="30"/>
      <c r="BJ152" s="32">
        <v>415</v>
      </c>
      <c r="BK152">
        <v>400</v>
      </c>
      <c r="BL152" s="26">
        <v>15</v>
      </c>
      <c r="BM152" s="30"/>
      <c r="BN152">
        <v>237</v>
      </c>
      <c r="BO152">
        <v>228</v>
      </c>
      <c r="BP152" s="26">
        <v>9</v>
      </c>
      <c r="BQ152" s="30"/>
      <c r="BR152" s="32">
        <v>6</v>
      </c>
      <c r="BS152">
        <v>4</v>
      </c>
      <c r="BT152" s="26">
        <v>2</v>
      </c>
      <c r="BU152" s="30"/>
      <c r="BV152">
        <v>267</v>
      </c>
      <c r="BW152">
        <v>260</v>
      </c>
      <c r="BX152" s="26">
        <v>7</v>
      </c>
      <c r="BY152" s="30"/>
      <c r="BZ152" s="32">
        <v>68</v>
      </c>
      <c r="CA152">
        <v>64</v>
      </c>
      <c r="CB152" s="26">
        <v>4</v>
      </c>
      <c r="CC152" s="30"/>
      <c r="CD152" s="32">
        <v>156</v>
      </c>
      <c r="CE152">
        <v>153</v>
      </c>
      <c r="CF152" s="26">
        <v>3</v>
      </c>
      <c r="CG152" s="30"/>
      <c r="CI152">
        <v>30</v>
      </c>
      <c r="CJ152" s="25">
        <v>-30</v>
      </c>
      <c r="CK152" s="30">
        <v>30</v>
      </c>
      <c r="CL152" s="32">
        <v>81</v>
      </c>
      <c r="CM152">
        <v>80</v>
      </c>
      <c r="CN152">
        <v>95</v>
      </c>
      <c r="CO152">
        <v>93</v>
      </c>
      <c r="CP152" s="26">
        <v>3</v>
      </c>
      <c r="CQ152" s="30"/>
      <c r="CR152" s="32">
        <v>37</v>
      </c>
      <c r="CS152">
        <v>39</v>
      </c>
      <c r="CT152" s="26">
        <v>-2</v>
      </c>
      <c r="CU152" s="30"/>
      <c r="CV152">
        <v>49</v>
      </c>
      <c r="CW152">
        <v>50</v>
      </c>
      <c r="CX152">
        <v>125</v>
      </c>
      <c r="CY152">
        <v>120</v>
      </c>
      <c r="CZ152" s="26">
        <v>4</v>
      </c>
      <c r="DA152" s="30"/>
      <c r="DB152">
        <v>37</v>
      </c>
      <c r="DC152">
        <v>38</v>
      </c>
      <c r="DD152" s="26">
        <v>-1</v>
      </c>
      <c r="DE152" s="30"/>
      <c r="DF152" s="32">
        <v>106</v>
      </c>
      <c r="DG152">
        <v>106</v>
      </c>
      <c r="DH152" s="26">
        <v>0</v>
      </c>
      <c r="DI152" s="30"/>
      <c r="DJ152" s="32">
        <v>25</v>
      </c>
      <c r="DK152">
        <v>27</v>
      </c>
      <c r="DL152" s="26">
        <v>-2</v>
      </c>
      <c r="DM152" s="30"/>
      <c r="DN152">
        <v>135</v>
      </c>
      <c r="DO152">
        <v>135</v>
      </c>
      <c r="DP152" s="26">
        <v>0</v>
      </c>
      <c r="DQ152" s="30"/>
      <c r="DR152" s="32">
        <v>19</v>
      </c>
      <c r="DT152">
        <v>16</v>
      </c>
      <c r="DU152" s="26">
        <v>3</v>
      </c>
      <c r="DV152" s="30"/>
      <c r="DW152" s="29"/>
      <c r="DY152">
        <v>74</v>
      </c>
      <c r="DZ152">
        <v>72</v>
      </c>
      <c r="EA152" s="26">
        <v>2</v>
      </c>
      <c r="EB152" s="30"/>
      <c r="EC152" s="32">
        <v>130</v>
      </c>
      <c r="EE152">
        <v>124</v>
      </c>
      <c r="EF152" s="26">
        <v>6</v>
      </c>
      <c r="EG152" s="30"/>
      <c r="EH152">
        <v>63</v>
      </c>
      <c r="EI152" s="26">
        <v>62.457799999999992</v>
      </c>
      <c r="EJ152" s="26">
        <v>0.54220000000000823</v>
      </c>
      <c r="EK152" s="30"/>
      <c r="EL152" s="31"/>
      <c r="EN152" s="26">
        <v>0</v>
      </c>
      <c r="EO152" s="30"/>
      <c r="EP152" s="32">
        <v>114</v>
      </c>
      <c r="EQ152" s="26">
        <v>105.94540000000001</v>
      </c>
      <c r="ER152" s="26">
        <v>8.0545999999999935</v>
      </c>
      <c r="ES152" s="30"/>
      <c r="ET152" s="29"/>
      <c r="EV152" s="26">
        <v>0</v>
      </c>
      <c r="EW152" s="30"/>
      <c r="EZ152" s="26">
        <v>0</v>
      </c>
      <c r="FA152" s="30"/>
      <c r="FB152">
        <v>157</v>
      </c>
      <c r="FC152">
        <v>150</v>
      </c>
      <c r="FD152" s="26">
        <v>7</v>
      </c>
      <c r="FE152" s="30"/>
      <c r="FF152" s="32">
        <v>12</v>
      </c>
      <c r="FH152">
        <v>15</v>
      </c>
      <c r="FI152" s="26">
        <v>-3</v>
      </c>
      <c r="FJ152" s="30"/>
      <c r="FK152" s="29"/>
      <c r="FN152" s="26">
        <v>0</v>
      </c>
      <c r="FO152" s="30"/>
      <c r="FR152" s="26">
        <v>0</v>
      </c>
      <c r="FS152" s="30"/>
      <c r="FT152" s="29"/>
      <c r="FY152" s="26">
        <v>0</v>
      </c>
      <c r="FZ152" s="30"/>
      <c r="GA152">
        <v>87</v>
      </c>
      <c r="GB152" s="28">
        <v>84.713800000000006</v>
      </c>
      <c r="GC152" s="26">
        <v>2.2861999999999938</v>
      </c>
      <c r="GD152" s="30"/>
      <c r="GE152" s="29"/>
      <c r="GI152" s="26">
        <v>0</v>
      </c>
      <c r="GJ152" s="30"/>
      <c r="GO152" s="26">
        <v>0</v>
      </c>
      <c r="GP152" s="30"/>
      <c r="GQ152">
        <v>124</v>
      </c>
      <c r="GR152" s="28">
        <v>120.7676</v>
      </c>
      <c r="GS152" s="26">
        <v>3.2323999999999979</v>
      </c>
      <c r="GT152" s="30"/>
      <c r="GU152" s="32">
        <v>38</v>
      </c>
      <c r="GV152">
        <v>35</v>
      </c>
      <c r="GW152" s="26">
        <v>3</v>
      </c>
      <c r="GX152" s="30"/>
      <c r="GY152" s="32">
        <v>61</v>
      </c>
      <c r="GZ152">
        <v>60</v>
      </c>
      <c r="HA152" s="26">
        <v>1</v>
      </c>
      <c r="HB152" s="30"/>
      <c r="HE152" s="26">
        <v>0</v>
      </c>
      <c r="HF152" s="30"/>
      <c r="HG152" s="32">
        <v>43</v>
      </c>
      <c r="HH152">
        <v>40</v>
      </c>
      <c r="HI152" s="26">
        <v>3</v>
      </c>
      <c r="HJ152" s="30"/>
      <c r="HK152" s="32">
        <v>49</v>
      </c>
      <c r="HL152">
        <v>46</v>
      </c>
      <c r="HM152" s="26">
        <v>3</v>
      </c>
      <c r="HN152" s="30"/>
      <c r="HQ152" s="26">
        <v>0</v>
      </c>
      <c r="HR152" s="33"/>
      <c r="HS152" s="26">
        <v>44</v>
      </c>
      <c r="HT152" s="28">
        <v>40</v>
      </c>
      <c r="HU152" s="26">
        <v>4</v>
      </c>
      <c r="HV152" s="30"/>
      <c r="HY152" s="26">
        <v>0</v>
      </c>
      <c r="HZ152" s="33"/>
      <c r="ID152" s="30"/>
      <c r="IH152" s="33"/>
      <c r="IL152" s="30"/>
      <c r="IM152" s="32"/>
      <c r="IP152" s="33"/>
      <c r="IT152" s="33"/>
      <c r="IX152" s="33"/>
      <c r="IZ152" s="28"/>
      <c r="JB152" s="30"/>
      <c r="JC152" s="27"/>
      <c r="JH152" s="33"/>
      <c r="JL152" s="33"/>
      <c r="JP152" s="33"/>
      <c r="JQ152" s="31"/>
      <c r="JT152" s="33"/>
    </row>
    <row r="153" spans="1:280" x14ac:dyDescent="0.25">
      <c r="A153" s="26" t="s">
        <v>304</v>
      </c>
      <c r="B153" s="27">
        <v>0.35</v>
      </c>
      <c r="I153" s="32">
        <v>120</v>
      </c>
      <c r="J153" s="36">
        <v>121</v>
      </c>
      <c r="K153" s="36">
        <v>120</v>
      </c>
      <c r="L153" s="36">
        <v>122</v>
      </c>
      <c r="M153" s="35">
        <f t="shared" si="12"/>
        <v>-3</v>
      </c>
      <c r="N153" s="30"/>
      <c r="O153" s="32">
        <v>24</v>
      </c>
      <c r="P153" s="36">
        <v>30</v>
      </c>
      <c r="Q153" s="36">
        <v>24</v>
      </c>
      <c r="R153" s="36">
        <v>28</v>
      </c>
      <c r="S153" s="35">
        <f t="shared" si="13"/>
        <v>-10</v>
      </c>
      <c r="T153" s="30"/>
      <c r="U153" s="29"/>
      <c r="V153" s="36">
        <v>8</v>
      </c>
      <c r="W153" s="36">
        <v>4</v>
      </c>
      <c r="X153" s="35"/>
      <c r="Y153" s="35"/>
      <c r="Z153" s="35"/>
      <c r="AA153" s="35">
        <f t="shared" si="14"/>
        <v>4</v>
      </c>
      <c r="AB153" s="30"/>
      <c r="AC153" s="29"/>
      <c r="AD153" s="35"/>
      <c r="AE153" s="36">
        <v>128</v>
      </c>
      <c r="AF153" s="40">
        <v>131</v>
      </c>
      <c r="AG153" s="35">
        <v>-3</v>
      </c>
      <c r="AH153" s="30"/>
      <c r="AI153" s="35"/>
      <c r="AK153">
        <v>32</v>
      </c>
      <c r="AL153">
        <v>39</v>
      </c>
      <c r="AM153" s="26">
        <v>-7</v>
      </c>
      <c r="AN153" s="30"/>
      <c r="AO153" s="31"/>
      <c r="AS153" s="26">
        <v>0</v>
      </c>
      <c r="AT153" s="30"/>
      <c r="AY153" s="26">
        <v>0</v>
      </c>
      <c r="AZ153" s="30"/>
      <c r="BB153">
        <v>136</v>
      </c>
      <c r="BC153">
        <v>138</v>
      </c>
      <c r="BD153" s="26">
        <v>-2</v>
      </c>
      <c r="BE153" s="30"/>
      <c r="BF153" s="32">
        <v>72</v>
      </c>
      <c r="BG153">
        <v>75</v>
      </c>
      <c r="BH153" s="26">
        <v>-3</v>
      </c>
      <c r="BI153" s="30"/>
      <c r="BJ153" s="32">
        <v>64</v>
      </c>
      <c r="BK153">
        <v>73</v>
      </c>
      <c r="BL153" s="26">
        <v>-9</v>
      </c>
      <c r="BM153" s="30"/>
      <c r="BN153">
        <v>8</v>
      </c>
      <c r="BO153">
        <v>8</v>
      </c>
      <c r="BP153" s="26">
        <v>0</v>
      </c>
      <c r="BQ153" s="30"/>
      <c r="BR153" s="32">
        <v>96</v>
      </c>
      <c r="BS153">
        <v>96</v>
      </c>
      <c r="BT153" s="26">
        <v>0</v>
      </c>
      <c r="BU153" s="30"/>
      <c r="BV153">
        <v>16</v>
      </c>
      <c r="BW153">
        <v>15</v>
      </c>
      <c r="BX153" s="26">
        <v>1</v>
      </c>
      <c r="BY153" s="30"/>
      <c r="BZ153" s="32">
        <v>64</v>
      </c>
      <c r="CA153">
        <v>64</v>
      </c>
      <c r="CB153" s="26">
        <v>0</v>
      </c>
      <c r="CC153" s="30"/>
      <c r="CD153" s="29"/>
      <c r="CF153" s="26">
        <v>0</v>
      </c>
      <c r="CG153" s="30"/>
      <c r="CJ153" s="26">
        <v>0</v>
      </c>
      <c r="CK153" s="30"/>
      <c r="CL153" s="32">
        <v>40</v>
      </c>
      <c r="CM153">
        <v>40</v>
      </c>
      <c r="CN153">
        <v>48</v>
      </c>
      <c r="CO153">
        <v>53</v>
      </c>
      <c r="CP153" s="26">
        <v>-5</v>
      </c>
      <c r="CQ153" s="30"/>
      <c r="CR153" s="29"/>
      <c r="CS153">
        <v>19</v>
      </c>
      <c r="CT153" s="25">
        <v>-19</v>
      </c>
      <c r="CU153" s="30">
        <v>6.6499999999999986</v>
      </c>
      <c r="CX153">
        <v>48</v>
      </c>
      <c r="CY153">
        <v>51</v>
      </c>
      <c r="CZ153" s="26">
        <v>-3</v>
      </c>
      <c r="DA153" s="30"/>
      <c r="DB153">
        <v>8</v>
      </c>
      <c r="DC153">
        <v>8</v>
      </c>
      <c r="DD153" s="26">
        <v>0</v>
      </c>
      <c r="DE153" s="30"/>
      <c r="DF153" s="29"/>
      <c r="DH153" s="26">
        <v>0</v>
      </c>
      <c r="DI153" s="30"/>
      <c r="DJ153" s="32">
        <v>64</v>
      </c>
      <c r="DK153">
        <v>64</v>
      </c>
      <c r="DL153" s="26">
        <v>0</v>
      </c>
      <c r="DM153" s="30"/>
      <c r="DP153" s="26">
        <v>0</v>
      </c>
      <c r="DQ153" s="30"/>
      <c r="DR153" s="29"/>
      <c r="DU153" s="26">
        <v>0</v>
      </c>
      <c r="DV153" s="30"/>
      <c r="DW153" s="29"/>
      <c r="DY153">
        <v>64</v>
      </c>
      <c r="DZ153">
        <v>65</v>
      </c>
      <c r="EA153" s="26">
        <v>-1</v>
      </c>
      <c r="EB153" s="30"/>
      <c r="EC153" s="29"/>
      <c r="EF153" s="26">
        <v>0</v>
      </c>
      <c r="EG153" s="30"/>
      <c r="EH153">
        <v>48</v>
      </c>
      <c r="EI153" s="26">
        <v>46.8</v>
      </c>
      <c r="EJ153" s="26">
        <v>1.2000000000000031</v>
      </c>
      <c r="EK153" s="30"/>
      <c r="EL153" s="31"/>
      <c r="EN153" s="26">
        <v>0</v>
      </c>
      <c r="EO153" s="30"/>
      <c r="EP153" s="32">
        <v>8</v>
      </c>
      <c r="EQ153" s="26">
        <v>8</v>
      </c>
      <c r="ER153" s="26">
        <v>0</v>
      </c>
      <c r="ES153" s="30"/>
      <c r="ET153" s="32">
        <v>32</v>
      </c>
      <c r="EU153">
        <v>35</v>
      </c>
      <c r="EV153" s="26">
        <v>-3</v>
      </c>
      <c r="EW153" s="30"/>
      <c r="EZ153" s="26">
        <v>0</v>
      </c>
      <c r="FA153" s="30"/>
      <c r="FB153">
        <v>32</v>
      </c>
      <c r="FC153">
        <v>35</v>
      </c>
      <c r="FD153" s="26">
        <v>-3</v>
      </c>
      <c r="FE153" s="30"/>
      <c r="FF153" s="29"/>
      <c r="FI153" s="26">
        <v>0</v>
      </c>
      <c r="FJ153" s="30"/>
      <c r="FK153" s="29"/>
      <c r="FN153" s="26">
        <v>0</v>
      </c>
      <c r="FO153" s="30"/>
      <c r="FR153" s="26">
        <v>0</v>
      </c>
      <c r="FS153" s="30"/>
      <c r="FT153" s="29"/>
      <c r="FW153">
        <v>16</v>
      </c>
      <c r="FX153">
        <v>17</v>
      </c>
      <c r="FY153" s="26">
        <v>-1</v>
      </c>
      <c r="FZ153" s="30"/>
      <c r="GA153">
        <v>40</v>
      </c>
      <c r="GB153" s="28">
        <v>44.8</v>
      </c>
      <c r="GC153" s="26">
        <v>-4.7999999999999972</v>
      </c>
      <c r="GD153" s="30"/>
      <c r="GE153" s="29"/>
      <c r="GG153">
        <v>16</v>
      </c>
      <c r="GH153">
        <v>21</v>
      </c>
      <c r="GI153" s="26">
        <v>-5</v>
      </c>
      <c r="GJ153" s="30"/>
      <c r="GM153">
        <v>32</v>
      </c>
      <c r="GN153">
        <v>30</v>
      </c>
      <c r="GO153" s="26">
        <v>2</v>
      </c>
      <c r="GP153" s="30"/>
      <c r="GS153" s="26">
        <v>0</v>
      </c>
      <c r="GT153" s="30"/>
      <c r="GU153" s="29"/>
      <c r="GW153" s="26">
        <v>0</v>
      </c>
      <c r="GX153" s="30"/>
      <c r="GY153" s="32">
        <v>40</v>
      </c>
      <c r="GZ153" s="26">
        <v>40</v>
      </c>
      <c r="HA153" s="26">
        <v>0</v>
      </c>
      <c r="HB153" s="30"/>
      <c r="HE153" s="26">
        <v>0</v>
      </c>
      <c r="HF153" s="30"/>
      <c r="HG153" s="32">
        <v>16</v>
      </c>
      <c r="HH153">
        <v>16</v>
      </c>
      <c r="HI153" s="26">
        <v>0</v>
      </c>
      <c r="HJ153" s="30"/>
      <c r="HK153" s="29"/>
      <c r="HN153" s="30"/>
      <c r="HR153" s="33"/>
      <c r="HV153" s="30"/>
      <c r="HZ153" s="33"/>
      <c r="ID153" s="30"/>
      <c r="IH153" s="33"/>
      <c r="IJ153" s="27"/>
      <c r="IL153" s="30"/>
      <c r="IM153" s="32"/>
      <c r="IP153" s="33"/>
      <c r="IS153" s="28"/>
      <c r="IT153" s="33"/>
      <c r="IX153" s="33"/>
      <c r="IZ153" s="28"/>
      <c r="JB153" s="30"/>
      <c r="JC153" s="27"/>
      <c r="JH153" s="33"/>
      <c r="JL153" s="33"/>
      <c r="JP153" s="33"/>
      <c r="JQ153" s="31"/>
      <c r="JT153" s="33"/>
    </row>
    <row r="154" spans="1:280" x14ac:dyDescent="0.25">
      <c r="A154" s="26" t="s">
        <v>305</v>
      </c>
      <c r="B154" s="27">
        <v>1</v>
      </c>
      <c r="I154" s="32">
        <v>62</v>
      </c>
      <c r="J154" s="36">
        <v>60</v>
      </c>
      <c r="K154" s="36">
        <v>62</v>
      </c>
      <c r="L154" s="36">
        <v>60</v>
      </c>
      <c r="M154" s="35">
        <f t="shared" si="12"/>
        <v>4</v>
      </c>
      <c r="N154" s="30"/>
      <c r="O154" s="32">
        <v>68</v>
      </c>
      <c r="P154" s="36">
        <v>67</v>
      </c>
      <c r="Q154" s="36">
        <v>61</v>
      </c>
      <c r="R154" s="36">
        <v>63</v>
      </c>
      <c r="S154" s="35">
        <f t="shared" si="13"/>
        <v>-1</v>
      </c>
      <c r="T154" s="30"/>
      <c r="U154" s="29"/>
      <c r="V154" s="36">
        <v>6</v>
      </c>
      <c r="W154" s="36">
        <v>4</v>
      </c>
      <c r="X154" s="35"/>
      <c r="Y154" s="35"/>
      <c r="Z154" s="35"/>
      <c r="AA154" s="35">
        <f t="shared" si="14"/>
        <v>2</v>
      </c>
      <c r="AB154" s="30"/>
      <c r="AC154" s="29"/>
      <c r="AD154" s="35"/>
      <c r="AE154" s="36">
        <v>37</v>
      </c>
      <c r="AF154" s="40">
        <v>37</v>
      </c>
      <c r="AG154" s="35">
        <v>0</v>
      </c>
      <c r="AH154" s="30"/>
      <c r="AI154" s="35"/>
      <c r="AM154" s="26">
        <v>0</v>
      </c>
      <c r="AN154" s="30"/>
      <c r="AO154" s="32">
        <v>37</v>
      </c>
      <c r="AP154">
        <v>40</v>
      </c>
      <c r="AQ154">
        <v>99</v>
      </c>
      <c r="AR154">
        <v>98</v>
      </c>
      <c r="AS154" s="26">
        <v>-2</v>
      </c>
      <c r="AT154" s="30"/>
      <c r="AY154" s="26">
        <v>0</v>
      </c>
      <c r="AZ154" s="30"/>
      <c r="BB154">
        <v>31</v>
      </c>
      <c r="BC154">
        <v>28</v>
      </c>
      <c r="BD154" s="26">
        <v>3</v>
      </c>
      <c r="BE154" s="30"/>
      <c r="BF154" s="32">
        <v>169</v>
      </c>
      <c r="BG154">
        <v>171</v>
      </c>
      <c r="BH154" s="26">
        <v>-2</v>
      </c>
      <c r="BI154" s="30"/>
      <c r="BJ154" s="29"/>
      <c r="BL154" s="26">
        <v>0</v>
      </c>
      <c r="BM154" s="30"/>
      <c r="BN154">
        <v>111</v>
      </c>
      <c r="BO154">
        <v>110</v>
      </c>
      <c r="BP154" s="26">
        <v>1</v>
      </c>
      <c r="BQ154" s="30"/>
      <c r="BR154" s="32">
        <v>18</v>
      </c>
      <c r="BS154">
        <v>16</v>
      </c>
      <c r="BT154" s="26">
        <v>2</v>
      </c>
      <c r="BU154" s="30"/>
      <c r="BV154">
        <v>85</v>
      </c>
      <c r="BW154">
        <v>82</v>
      </c>
      <c r="BX154" s="26">
        <v>3</v>
      </c>
      <c r="BY154" s="30"/>
      <c r="BZ154" s="29"/>
      <c r="CB154" s="26">
        <v>0</v>
      </c>
      <c r="CC154" s="30"/>
      <c r="CD154" s="32">
        <v>112</v>
      </c>
      <c r="CE154">
        <v>106</v>
      </c>
      <c r="CF154" s="26">
        <v>6</v>
      </c>
      <c r="CG154" s="30"/>
      <c r="CH154">
        <v>31</v>
      </c>
      <c r="CI154">
        <v>32</v>
      </c>
      <c r="CJ154" s="26">
        <v>-1</v>
      </c>
      <c r="CK154" s="30"/>
      <c r="CL154" s="29"/>
      <c r="CP154" s="26">
        <v>0</v>
      </c>
      <c r="CQ154" s="30"/>
      <c r="CR154" s="32">
        <v>117</v>
      </c>
      <c r="CS154">
        <v>112</v>
      </c>
      <c r="CT154" s="26">
        <v>5</v>
      </c>
      <c r="CU154" s="30"/>
      <c r="CX154">
        <v>38</v>
      </c>
      <c r="CY154">
        <v>36</v>
      </c>
      <c r="CZ154" s="26">
        <v>2</v>
      </c>
      <c r="DA154" s="30"/>
      <c r="DD154" s="26">
        <v>0</v>
      </c>
      <c r="DE154" s="30"/>
      <c r="DF154" s="32">
        <v>69</v>
      </c>
      <c r="DG154">
        <v>68</v>
      </c>
      <c r="DH154" s="26">
        <v>1</v>
      </c>
      <c r="DI154" s="30"/>
      <c r="DJ154" s="29"/>
      <c r="DK154">
        <v>87</v>
      </c>
      <c r="DL154" s="25">
        <v>-87</v>
      </c>
      <c r="DM154" s="30">
        <v>87</v>
      </c>
      <c r="DP154" s="26">
        <v>0</v>
      </c>
      <c r="DQ154" s="30"/>
      <c r="DR154" s="32">
        <v>74</v>
      </c>
      <c r="DT154">
        <v>73</v>
      </c>
      <c r="DU154" s="26">
        <v>1</v>
      </c>
      <c r="DV154" s="30"/>
      <c r="DW154" s="29"/>
      <c r="EA154" s="26">
        <v>0</v>
      </c>
      <c r="EB154" s="30"/>
      <c r="EC154" s="32">
        <v>88</v>
      </c>
      <c r="EE154">
        <v>85</v>
      </c>
      <c r="EF154" s="26">
        <v>3</v>
      </c>
      <c r="EG154" s="30"/>
      <c r="EH154">
        <v>36</v>
      </c>
      <c r="EI154" s="26">
        <v>35.914600000000007</v>
      </c>
      <c r="EJ154" s="26">
        <v>8.5399999999992815E-2</v>
      </c>
      <c r="EK154" s="30"/>
      <c r="EL154" s="32">
        <v>24</v>
      </c>
      <c r="EM154" s="26">
        <v>25.658000000000001</v>
      </c>
      <c r="EN154" s="26">
        <v>-1.658000000000001</v>
      </c>
      <c r="EO154" s="30"/>
      <c r="EP154" s="29"/>
      <c r="ER154" s="26">
        <v>0</v>
      </c>
      <c r="ES154" s="30"/>
      <c r="ET154" s="32">
        <v>12</v>
      </c>
      <c r="EU154">
        <v>11</v>
      </c>
      <c r="EV154" s="26">
        <v>1</v>
      </c>
      <c r="EW154" s="30"/>
      <c r="EX154">
        <v>43</v>
      </c>
      <c r="EY154" s="28">
        <v>41.936999999999998</v>
      </c>
      <c r="EZ154" s="26">
        <v>1.0630000000000019</v>
      </c>
      <c r="FA154" s="30"/>
      <c r="FB154">
        <v>44</v>
      </c>
      <c r="FC154">
        <v>45</v>
      </c>
      <c r="FD154" s="26">
        <v>-1</v>
      </c>
      <c r="FE154" s="30"/>
      <c r="FF154" s="29"/>
      <c r="FI154" s="26">
        <v>0</v>
      </c>
      <c r="FJ154" s="30"/>
      <c r="FK154" s="32">
        <v>13</v>
      </c>
      <c r="FM154">
        <v>11</v>
      </c>
      <c r="FN154" s="26">
        <v>2</v>
      </c>
      <c r="FO154" s="30"/>
      <c r="FR154" s="26">
        <v>0</v>
      </c>
      <c r="FS154" s="30"/>
      <c r="FT154" s="29"/>
      <c r="FY154" s="26">
        <v>0</v>
      </c>
      <c r="FZ154" s="30"/>
      <c r="GA154">
        <v>37</v>
      </c>
      <c r="GB154" s="28">
        <v>37.338799999999999</v>
      </c>
      <c r="GC154" s="26">
        <v>-0.3387999999999991</v>
      </c>
      <c r="GD154" s="30"/>
      <c r="GE154" s="29"/>
      <c r="GI154" s="26">
        <v>0</v>
      </c>
      <c r="GJ154" s="30"/>
      <c r="GO154" s="26">
        <v>0</v>
      </c>
      <c r="GP154" s="30"/>
      <c r="GQ154">
        <v>82</v>
      </c>
      <c r="GR154" s="28">
        <v>80</v>
      </c>
      <c r="GS154" s="26">
        <v>2</v>
      </c>
      <c r="GT154" s="30"/>
      <c r="GU154" s="32">
        <v>37</v>
      </c>
      <c r="GV154">
        <v>35</v>
      </c>
      <c r="GW154" s="26">
        <v>2</v>
      </c>
      <c r="GX154" s="30"/>
      <c r="GY154" s="29"/>
      <c r="HA154" s="26">
        <v>0</v>
      </c>
      <c r="HB154" s="30"/>
      <c r="HC154" s="26">
        <v>44</v>
      </c>
      <c r="HD154" s="26">
        <v>40</v>
      </c>
      <c r="HE154" s="26">
        <v>4</v>
      </c>
      <c r="HF154" s="30"/>
      <c r="HG154" s="29"/>
      <c r="HI154" s="26">
        <v>0</v>
      </c>
      <c r="HJ154" s="30"/>
      <c r="HK154" s="29"/>
      <c r="HN154" s="30"/>
      <c r="HR154" s="33"/>
      <c r="HV154" s="30"/>
      <c r="HZ154" s="33"/>
      <c r="ID154" s="30"/>
      <c r="IH154" s="33"/>
      <c r="IJ154" s="27"/>
      <c r="IL154" s="30"/>
      <c r="IM154" s="32"/>
      <c r="IP154" s="33"/>
      <c r="IS154" s="28"/>
      <c r="IT154" s="33"/>
      <c r="IX154" s="33"/>
      <c r="IZ154" s="28"/>
      <c r="JB154" s="30"/>
      <c r="JC154" s="27"/>
      <c r="JH154" s="33"/>
      <c r="JL154" s="33"/>
      <c r="JP154" s="33"/>
      <c r="JQ154" s="31"/>
      <c r="JT154" s="33"/>
    </row>
    <row r="155" spans="1:280" x14ac:dyDescent="0.25">
      <c r="A155" s="26" t="s">
        <v>306</v>
      </c>
      <c r="B155" s="27">
        <v>0.4</v>
      </c>
      <c r="I155" s="29"/>
      <c r="J155" s="35"/>
      <c r="K155" s="40"/>
      <c r="L155" s="35"/>
      <c r="M155" s="35">
        <f t="shared" si="12"/>
        <v>0</v>
      </c>
      <c r="N155" s="30"/>
      <c r="O155" s="29"/>
      <c r="P155" s="35"/>
      <c r="Q155" s="35"/>
      <c r="R155" s="35"/>
      <c r="S155" s="35">
        <f t="shared" si="13"/>
        <v>0</v>
      </c>
      <c r="T155" s="30"/>
      <c r="U155" s="29"/>
      <c r="V155" s="40"/>
      <c r="W155" s="35"/>
      <c r="X155" s="35"/>
      <c r="Y155" s="35"/>
      <c r="Z155" s="35"/>
      <c r="AA155" s="35">
        <f t="shared" si="14"/>
        <v>0</v>
      </c>
      <c r="AB155" s="30"/>
      <c r="AC155" s="29"/>
      <c r="AD155" s="35"/>
      <c r="AE155" s="35"/>
      <c r="AF155" s="35"/>
      <c r="AG155" s="35">
        <v>0</v>
      </c>
      <c r="AH155" s="30"/>
      <c r="AI155" s="35"/>
      <c r="AM155" s="26">
        <v>0</v>
      </c>
      <c r="AN155" s="30"/>
      <c r="AO155" s="31"/>
      <c r="AS155" s="26">
        <v>0</v>
      </c>
      <c r="AT155" s="30"/>
      <c r="AY155" s="26">
        <v>0</v>
      </c>
      <c r="AZ155" s="30"/>
      <c r="BC155">
        <v>455</v>
      </c>
      <c r="BD155" s="26">
        <v>1</v>
      </c>
      <c r="BE155" s="30"/>
      <c r="BF155" s="29"/>
      <c r="BH155" s="26">
        <v>0</v>
      </c>
      <c r="BI155" s="30"/>
      <c r="BJ155" s="32">
        <v>350</v>
      </c>
      <c r="BK155">
        <v>357</v>
      </c>
      <c r="BL155" s="26">
        <v>-7</v>
      </c>
      <c r="BM155" s="30"/>
      <c r="BP155" s="26">
        <v>0</v>
      </c>
      <c r="BQ155" s="30"/>
      <c r="BR155" s="32">
        <v>300</v>
      </c>
      <c r="BS155">
        <v>304</v>
      </c>
      <c r="BT155" s="26">
        <v>-4</v>
      </c>
      <c r="BU155" s="30"/>
      <c r="BV155">
        <v>10</v>
      </c>
      <c r="BW155">
        <v>16</v>
      </c>
      <c r="BX155" s="26">
        <v>-6</v>
      </c>
      <c r="BY155" s="30"/>
      <c r="BZ155" s="32">
        <v>90</v>
      </c>
      <c r="CA155">
        <v>90</v>
      </c>
      <c r="CB155" s="26">
        <v>0</v>
      </c>
      <c r="CC155" s="30"/>
      <c r="CD155" s="32">
        <v>110</v>
      </c>
      <c r="CE155">
        <v>117</v>
      </c>
      <c r="CF155" s="26">
        <v>-7</v>
      </c>
      <c r="CG155" s="30"/>
      <c r="CJ155" s="26">
        <v>0</v>
      </c>
      <c r="CK155" s="30"/>
      <c r="CL155" s="29"/>
      <c r="CM155">
        <v>80</v>
      </c>
      <c r="CN155">
        <v>80</v>
      </c>
      <c r="CO155">
        <v>82</v>
      </c>
      <c r="CP155" s="25">
        <v>-82</v>
      </c>
      <c r="CQ155" s="30">
        <v>81.599999999999994</v>
      </c>
      <c r="CR155" s="32">
        <v>90</v>
      </c>
      <c r="CS155">
        <v>97</v>
      </c>
      <c r="CT155" s="26">
        <v>-7</v>
      </c>
      <c r="CU155" s="30"/>
      <c r="CX155">
        <v>10</v>
      </c>
      <c r="CY155">
        <v>8</v>
      </c>
      <c r="CZ155" s="26">
        <v>2</v>
      </c>
      <c r="DA155" s="30"/>
      <c r="DB155">
        <v>160</v>
      </c>
      <c r="DC155">
        <v>162</v>
      </c>
      <c r="DD155" s="26">
        <v>-2</v>
      </c>
      <c r="DE155" s="30"/>
      <c r="DF155" s="32">
        <v>90</v>
      </c>
      <c r="DG155">
        <v>90</v>
      </c>
      <c r="DH155" s="26">
        <v>0</v>
      </c>
      <c r="DI155" s="30"/>
      <c r="DJ155" s="32">
        <v>10</v>
      </c>
      <c r="DK155">
        <v>8</v>
      </c>
      <c r="DL155" s="26">
        <v>2</v>
      </c>
      <c r="DM155" s="30"/>
      <c r="DN155">
        <v>130</v>
      </c>
      <c r="DO155">
        <v>128</v>
      </c>
      <c r="DP155" s="26">
        <v>2</v>
      </c>
      <c r="DQ155" s="30"/>
      <c r="DR155" s="32">
        <v>40</v>
      </c>
      <c r="DT155">
        <v>38</v>
      </c>
      <c r="DU155" s="26">
        <v>2</v>
      </c>
      <c r="DV155" s="30"/>
      <c r="DW155" s="29"/>
      <c r="EA155" s="26">
        <v>0</v>
      </c>
      <c r="EB155" s="30"/>
      <c r="EC155" s="32">
        <v>160</v>
      </c>
      <c r="EE155">
        <v>162</v>
      </c>
      <c r="EF155" s="26">
        <v>-2</v>
      </c>
      <c r="EG155" s="30"/>
      <c r="EJ155" s="26">
        <v>0</v>
      </c>
      <c r="EK155" s="30"/>
      <c r="EL155" s="32">
        <v>110</v>
      </c>
      <c r="EM155" s="26">
        <v>116</v>
      </c>
      <c r="EN155" s="26">
        <v>-6</v>
      </c>
      <c r="EO155" s="30"/>
      <c r="EP155" s="32">
        <v>10</v>
      </c>
      <c r="EQ155" s="26">
        <v>13.400000000000009</v>
      </c>
      <c r="ER155" s="26">
        <v>-3.4000000000000088</v>
      </c>
      <c r="ES155" s="30"/>
      <c r="ET155" s="29"/>
      <c r="EU155">
        <v>74</v>
      </c>
      <c r="EV155" s="25">
        <v>-74</v>
      </c>
      <c r="EW155" s="33">
        <v>29.6</v>
      </c>
      <c r="EX155">
        <v>90</v>
      </c>
      <c r="EY155" s="28">
        <v>95.200000000000017</v>
      </c>
      <c r="EZ155" s="26">
        <v>-5.2000000000000171</v>
      </c>
      <c r="FA155" s="30"/>
      <c r="FB155">
        <v>70</v>
      </c>
      <c r="FC155">
        <v>77</v>
      </c>
      <c r="FD155" s="26">
        <v>-7</v>
      </c>
      <c r="FE155" s="30"/>
      <c r="FF155" s="29"/>
      <c r="FI155" s="26">
        <v>0</v>
      </c>
      <c r="FJ155" s="30"/>
      <c r="FK155" s="32">
        <v>50</v>
      </c>
      <c r="FM155">
        <v>55</v>
      </c>
      <c r="FN155" s="26">
        <v>-5</v>
      </c>
      <c r="FO155" s="30"/>
      <c r="FP155">
        <v>80</v>
      </c>
      <c r="FQ155" s="28">
        <v>80.200000000000017</v>
      </c>
      <c r="FR155" s="26">
        <v>-0.20000000000001711</v>
      </c>
      <c r="FS155" s="30"/>
      <c r="FT155" s="29"/>
      <c r="FW155">
        <v>30</v>
      </c>
      <c r="FX155">
        <v>30</v>
      </c>
      <c r="FY155" s="26">
        <v>0</v>
      </c>
      <c r="FZ155" s="30"/>
      <c r="GA155">
        <v>70</v>
      </c>
      <c r="GB155" s="28">
        <v>76.400000000000006</v>
      </c>
      <c r="GC155" s="26">
        <v>-6.4000000000000057</v>
      </c>
      <c r="GD155" s="30"/>
      <c r="GE155" s="29"/>
      <c r="GG155">
        <v>40</v>
      </c>
      <c r="GH155">
        <v>44</v>
      </c>
      <c r="GI155" s="26">
        <v>-4</v>
      </c>
      <c r="GJ155" s="30"/>
      <c r="GK155">
        <v>40</v>
      </c>
      <c r="GL155">
        <v>40</v>
      </c>
      <c r="GM155">
        <v>50</v>
      </c>
      <c r="GN155">
        <v>50</v>
      </c>
      <c r="GO155" s="26">
        <v>0</v>
      </c>
      <c r="GP155" s="30"/>
      <c r="GS155" s="26">
        <v>0</v>
      </c>
      <c r="GT155" s="30"/>
      <c r="GU155" s="32">
        <v>40</v>
      </c>
      <c r="GV155">
        <v>38</v>
      </c>
      <c r="GW155" s="26">
        <v>2</v>
      </c>
      <c r="GX155" s="30"/>
      <c r="GY155" s="32">
        <v>70</v>
      </c>
      <c r="GZ155">
        <v>70</v>
      </c>
      <c r="HA155" s="26">
        <v>0</v>
      </c>
      <c r="HB155" s="30"/>
      <c r="HC155">
        <v>20</v>
      </c>
      <c r="HD155">
        <v>20</v>
      </c>
      <c r="HE155" s="26">
        <v>0</v>
      </c>
      <c r="HF155" s="30"/>
      <c r="HG155" s="32">
        <v>60</v>
      </c>
      <c r="HH155">
        <v>64</v>
      </c>
      <c r="HI155" s="26">
        <v>-4</v>
      </c>
      <c r="HJ155" s="30"/>
      <c r="HK155" s="29"/>
      <c r="HM155" s="26">
        <v>0</v>
      </c>
      <c r="HN155" s="30"/>
      <c r="HO155">
        <v>60</v>
      </c>
      <c r="HP155" s="26">
        <v>60</v>
      </c>
      <c r="HQ155" s="26">
        <v>0</v>
      </c>
      <c r="HR155" s="33"/>
      <c r="HS155">
        <v>10</v>
      </c>
      <c r="HT155" s="28">
        <v>8</v>
      </c>
      <c r="HU155" s="26">
        <v>2</v>
      </c>
      <c r="HV155" s="30"/>
      <c r="HY155" s="26">
        <v>0</v>
      </c>
      <c r="HZ155" s="33"/>
      <c r="ID155" s="30"/>
      <c r="IH155" s="33"/>
      <c r="IL155" s="30"/>
      <c r="IM155" s="32"/>
      <c r="IP155" s="33"/>
      <c r="IT155" s="33"/>
      <c r="IX155" s="33"/>
      <c r="IZ155" s="28"/>
      <c r="JB155" s="30"/>
      <c r="JC155" s="27"/>
      <c r="JH155" s="33"/>
      <c r="JL155" s="33"/>
      <c r="JP155" s="33"/>
      <c r="JQ155" s="31"/>
      <c r="JT155" s="33"/>
    </row>
    <row r="156" spans="1:280" x14ac:dyDescent="0.25">
      <c r="A156" s="26" t="s">
        <v>307</v>
      </c>
      <c r="B156" s="27">
        <v>0.41</v>
      </c>
      <c r="E156">
        <v>113</v>
      </c>
      <c r="F156">
        <v>49</v>
      </c>
      <c r="I156" s="32">
        <v>120</v>
      </c>
      <c r="J156" s="36">
        <v>125</v>
      </c>
      <c r="K156" s="36">
        <v>120</v>
      </c>
      <c r="L156" s="36">
        <v>127</v>
      </c>
      <c r="M156" s="35">
        <f t="shared" si="12"/>
        <v>-12</v>
      </c>
      <c r="N156" s="30"/>
      <c r="O156" s="32">
        <v>160</v>
      </c>
      <c r="P156" s="36">
        <v>162</v>
      </c>
      <c r="Q156" s="36">
        <v>150</v>
      </c>
      <c r="R156" s="36">
        <v>151</v>
      </c>
      <c r="S156" s="35">
        <f t="shared" si="13"/>
        <v>-3</v>
      </c>
      <c r="T156" s="30"/>
      <c r="U156" s="29"/>
      <c r="V156" s="36">
        <v>90</v>
      </c>
      <c r="W156" s="36">
        <v>99</v>
      </c>
      <c r="X156" s="35"/>
      <c r="Y156" s="35"/>
      <c r="Z156" s="35"/>
      <c r="AA156" s="35">
        <f t="shared" si="14"/>
        <v>-9</v>
      </c>
      <c r="AB156" s="30"/>
      <c r="AC156" s="32">
        <v>180</v>
      </c>
      <c r="AD156" s="40">
        <v>185.88235294117649</v>
      </c>
      <c r="AE156" s="36">
        <v>130</v>
      </c>
      <c r="AF156" s="40">
        <v>130.11764705882351</v>
      </c>
      <c r="AG156" s="35">
        <v>-6</v>
      </c>
      <c r="AH156" s="30"/>
      <c r="AI156" s="35"/>
      <c r="AM156" s="26">
        <v>0</v>
      </c>
      <c r="AN156" s="30"/>
      <c r="AO156" s="32">
        <v>50</v>
      </c>
      <c r="AP156">
        <v>50</v>
      </c>
      <c r="AQ156">
        <v>100</v>
      </c>
      <c r="AR156">
        <v>108</v>
      </c>
      <c r="AS156" s="26">
        <v>-8</v>
      </c>
      <c r="AT156" s="30"/>
      <c r="AU156">
        <v>100</v>
      </c>
      <c r="AV156">
        <v>100</v>
      </c>
      <c r="AW156">
        <v>80</v>
      </c>
      <c r="AX156">
        <v>80</v>
      </c>
      <c r="AY156" s="26">
        <v>0</v>
      </c>
      <c r="AZ156" s="30"/>
      <c r="BB156">
        <v>220</v>
      </c>
      <c r="BC156">
        <v>221</v>
      </c>
      <c r="BD156" s="26">
        <v>-1</v>
      </c>
      <c r="BE156" s="30"/>
      <c r="BF156" s="32">
        <v>100</v>
      </c>
      <c r="BG156">
        <v>101</v>
      </c>
      <c r="BH156" s="26">
        <v>-1</v>
      </c>
      <c r="BI156" s="30"/>
      <c r="BJ156" s="32">
        <v>350</v>
      </c>
      <c r="BK156">
        <v>354</v>
      </c>
      <c r="BL156" s="26">
        <v>-4</v>
      </c>
      <c r="BM156" s="30"/>
      <c r="BN156">
        <v>80</v>
      </c>
      <c r="BO156">
        <v>86</v>
      </c>
      <c r="BP156" s="26">
        <v>-6</v>
      </c>
      <c r="BQ156" s="30"/>
      <c r="BR156" s="32">
        <v>270</v>
      </c>
      <c r="BS156">
        <v>274</v>
      </c>
      <c r="BT156" s="26">
        <v>-4</v>
      </c>
      <c r="BU156" s="30"/>
      <c r="BX156" s="26">
        <v>0</v>
      </c>
      <c r="BY156" s="30"/>
      <c r="BZ156" s="32">
        <v>250</v>
      </c>
      <c r="CA156">
        <v>252</v>
      </c>
      <c r="CB156" s="26">
        <v>-2</v>
      </c>
      <c r="CC156" s="30"/>
      <c r="CD156" s="32">
        <v>10</v>
      </c>
      <c r="CE156">
        <v>4</v>
      </c>
      <c r="CF156" s="26">
        <v>6</v>
      </c>
      <c r="CG156" s="30"/>
      <c r="CH156">
        <v>60</v>
      </c>
      <c r="CI156">
        <v>66</v>
      </c>
      <c r="CJ156" s="26">
        <v>-6</v>
      </c>
      <c r="CK156" s="30"/>
      <c r="CL156" s="32">
        <v>50</v>
      </c>
      <c r="CM156">
        <v>50</v>
      </c>
      <c r="CN156">
        <v>80</v>
      </c>
      <c r="CO156">
        <v>83</v>
      </c>
      <c r="CP156" s="26">
        <v>-3</v>
      </c>
      <c r="CQ156" s="30"/>
      <c r="CR156" s="32">
        <v>30</v>
      </c>
      <c r="CS156">
        <v>35</v>
      </c>
      <c r="CT156" s="26">
        <v>-5</v>
      </c>
      <c r="CU156" s="30"/>
      <c r="CX156">
        <v>30</v>
      </c>
      <c r="CY156">
        <v>28</v>
      </c>
      <c r="CZ156" s="26">
        <v>2</v>
      </c>
      <c r="DA156" s="30"/>
      <c r="DB156">
        <v>50</v>
      </c>
      <c r="DC156">
        <v>49</v>
      </c>
      <c r="DD156" s="26">
        <v>1</v>
      </c>
      <c r="DE156" s="30"/>
      <c r="DF156" s="32">
        <v>130</v>
      </c>
      <c r="DG156">
        <v>130</v>
      </c>
      <c r="DH156" s="26">
        <v>0</v>
      </c>
      <c r="DI156" s="30"/>
      <c r="DJ156" s="32">
        <v>50</v>
      </c>
      <c r="DK156">
        <v>53</v>
      </c>
      <c r="DL156" s="26">
        <v>-3</v>
      </c>
      <c r="DM156" s="30"/>
      <c r="DP156" s="26">
        <v>0</v>
      </c>
      <c r="DQ156" s="30"/>
      <c r="DR156" s="32">
        <v>80</v>
      </c>
      <c r="DT156">
        <v>81</v>
      </c>
      <c r="DU156" s="26">
        <v>-1</v>
      </c>
      <c r="DV156" s="30"/>
      <c r="DW156" s="29"/>
      <c r="DY156">
        <v>120</v>
      </c>
      <c r="DZ156">
        <v>121</v>
      </c>
      <c r="EA156" s="26">
        <v>-1</v>
      </c>
      <c r="EB156" s="30"/>
      <c r="EC156" s="29"/>
      <c r="EF156" s="26">
        <v>0</v>
      </c>
      <c r="EG156" s="30"/>
      <c r="EH156">
        <v>130</v>
      </c>
      <c r="EI156" s="26">
        <v>131</v>
      </c>
      <c r="EJ156" s="26">
        <v>-1</v>
      </c>
      <c r="EK156" s="30"/>
      <c r="EL156" s="31"/>
      <c r="EN156" s="26">
        <v>0</v>
      </c>
      <c r="EO156" s="30"/>
      <c r="EP156" s="32">
        <v>10</v>
      </c>
      <c r="EQ156" s="26">
        <v>5.2000000000000028</v>
      </c>
      <c r="ER156" s="26">
        <v>4.7999999999999972</v>
      </c>
      <c r="ES156" s="30"/>
      <c r="ET156" s="32">
        <v>90</v>
      </c>
      <c r="EU156">
        <v>94</v>
      </c>
      <c r="EV156" s="26">
        <v>-4</v>
      </c>
      <c r="EW156" s="30"/>
      <c r="EZ156" s="26">
        <v>0</v>
      </c>
      <c r="FA156" s="30"/>
      <c r="FB156">
        <v>90</v>
      </c>
      <c r="FC156">
        <v>94</v>
      </c>
      <c r="FD156" s="26">
        <v>-4</v>
      </c>
      <c r="FE156" s="30"/>
      <c r="FF156" s="32">
        <v>60</v>
      </c>
      <c r="FH156">
        <v>62</v>
      </c>
      <c r="FI156" s="26">
        <v>-2</v>
      </c>
      <c r="FJ156" s="30"/>
      <c r="FK156" s="32">
        <v>30</v>
      </c>
      <c r="FM156">
        <v>34</v>
      </c>
      <c r="FN156" s="26">
        <v>-4</v>
      </c>
      <c r="FO156" s="30"/>
      <c r="FP156">
        <v>40</v>
      </c>
      <c r="FQ156" s="28">
        <v>44</v>
      </c>
      <c r="FR156" s="26">
        <v>-4</v>
      </c>
      <c r="FS156" s="30"/>
      <c r="FT156" s="29"/>
      <c r="FW156">
        <v>10</v>
      </c>
      <c r="FX156">
        <v>15</v>
      </c>
      <c r="FY156" s="26">
        <v>-5</v>
      </c>
      <c r="FZ156" s="30"/>
      <c r="GA156">
        <v>60</v>
      </c>
      <c r="GB156" s="28">
        <v>61</v>
      </c>
      <c r="GC156" s="26">
        <v>-1</v>
      </c>
      <c r="GD156" s="30"/>
      <c r="GE156" s="29"/>
      <c r="GG156">
        <v>20</v>
      </c>
      <c r="GH156">
        <v>26</v>
      </c>
      <c r="GI156" s="26">
        <v>-6</v>
      </c>
      <c r="GJ156" s="30"/>
      <c r="GM156">
        <v>50</v>
      </c>
      <c r="GN156">
        <v>50</v>
      </c>
      <c r="GO156" s="26">
        <v>0</v>
      </c>
      <c r="GP156" s="30"/>
      <c r="GS156" s="26">
        <v>0</v>
      </c>
      <c r="GT156" s="30"/>
      <c r="GU156" s="32">
        <v>20</v>
      </c>
      <c r="GV156">
        <v>20</v>
      </c>
      <c r="GW156" s="26">
        <v>0</v>
      </c>
      <c r="GX156" s="30"/>
      <c r="GY156" s="32">
        <v>10</v>
      </c>
      <c r="GZ156">
        <v>10</v>
      </c>
      <c r="HA156" s="26">
        <v>0</v>
      </c>
      <c r="HB156" s="30"/>
      <c r="HC156">
        <v>20</v>
      </c>
      <c r="HD156">
        <v>20</v>
      </c>
      <c r="HE156" s="26">
        <v>0</v>
      </c>
      <c r="HF156" s="30"/>
      <c r="HG156" s="32">
        <v>50</v>
      </c>
      <c r="HH156">
        <v>50</v>
      </c>
      <c r="HI156" s="26">
        <v>0</v>
      </c>
      <c r="HJ156" s="30"/>
      <c r="HK156" s="29"/>
      <c r="HM156" s="26">
        <v>0</v>
      </c>
      <c r="HN156" s="30"/>
      <c r="HO156">
        <v>20</v>
      </c>
      <c r="HP156" s="26">
        <v>20</v>
      </c>
      <c r="HQ156" s="26">
        <v>0</v>
      </c>
      <c r="HR156" s="33"/>
      <c r="HS156">
        <v>20</v>
      </c>
      <c r="HT156" s="28">
        <v>20</v>
      </c>
      <c r="HU156" s="26">
        <v>0</v>
      </c>
      <c r="HV156" s="30"/>
      <c r="HY156" s="26">
        <v>0</v>
      </c>
      <c r="HZ156" s="33"/>
      <c r="ID156" s="30"/>
      <c r="IH156" s="33"/>
      <c r="IL156" s="30"/>
      <c r="IM156" s="32"/>
      <c r="IP156" s="33"/>
      <c r="IT156" s="33"/>
      <c r="IX156" s="33"/>
      <c r="IZ156" s="28"/>
      <c r="JB156" s="30"/>
      <c r="JC156" s="27"/>
      <c r="JH156" s="33"/>
      <c r="JL156" s="33"/>
      <c r="JP156" s="33"/>
      <c r="JQ156" s="31"/>
      <c r="JT156" s="33"/>
    </row>
    <row r="157" spans="1:280" x14ac:dyDescent="0.25">
      <c r="A157" s="26" t="s">
        <v>308</v>
      </c>
      <c r="B157" s="27">
        <v>1</v>
      </c>
      <c r="E157">
        <v>34</v>
      </c>
      <c r="F157">
        <v>14</v>
      </c>
      <c r="I157" s="29"/>
      <c r="J157" s="35"/>
      <c r="K157" s="36">
        <v>13</v>
      </c>
      <c r="L157" s="36">
        <v>12</v>
      </c>
      <c r="M157" s="35">
        <f t="shared" si="12"/>
        <v>1</v>
      </c>
      <c r="N157" s="30"/>
      <c r="O157" s="32">
        <v>213</v>
      </c>
      <c r="P157" s="36">
        <v>207</v>
      </c>
      <c r="Q157" s="36">
        <v>200</v>
      </c>
      <c r="R157" s="36">
        <v>193</v>
      </c>
      <c r="S157" s="35">
        <f t="shared" si="13"/>
        <v>13</v>
      </c>
      <c r="T157" s="30"/>
      <c r="U157" s="32">
        <v>36</v>
      </c>
      <c r="V157" s="40"/>
      <c r="W157" s="36">
        <v>38</v>
      </c>
      <c r="X157" s="35"/>
      <c r="Y157" s="35"/>
      <c r="Z157" s="35"/>
      <c r="AA157" s="35">
        <f t="shared" si="14"/>
        <v>-2</v>
      </c>
      <c r="AB157" s="30"/>
      <c r="AC157" s="29"/>
      <c r="AD157" s="35"/>
      <c r="AE157" s="36">
        <v>137</v>
      </c>
      <c r="AF157" s="40">
        <v>132</v>
      </c>
      <c r="AG157" s="35">
        <v>5</v>
      </c>
      <c r="AH157" s="30"/>
      <c r="AI157" s="36">
        <v>111</v>
      </c>
      <c r="AJ157">
        <v>109</v>
      </c>
      <c r="AK157">
        <v>86</v>
      </c>
      <c r="AL157">
        <v>88</v>
      </c>
      <c r="AM157" s="26">
        <v>0</v>
      </c>
      <c r="AN157" s="30"/>
      <c r="AO157" s="31"/>
      <c r="AS157" s="26">
        <v>0</v>
      </c>
      <c r="AT157" s="30"/>
      <c r="AU157">
        <v>157</v>
      </c>
      <c r="AV157">
        <v>150</v>
      </c>
      <c r="AW157">
        <v>124</v>
      </c>
      <c r="AX157">
        <v>125</v>
      </c>
      <c r="AY157" s="26">
        <v>6</v>
      </c>
      <c r="AZ157" s="30"/>
      <c r="BD157" s="26">
        <v>0</v>
      </c>
      <c r="BE157" s="30"/>
      <c r="BF157" s="32">
        <v>365</v>
      </c>
      <c r="BG157">
        <v>351</v>
      </c>
      <c r="BH157" s="26">
        <v>14</v>
      </c>
      <c r="BI157" s="30"/>
      <c r="BJ157" s="29"/>
      <c r="BL157" s="26">
        <v>0</v>
      </c>
      <c r="BM157" s="30"/>
      <c r="BN157">
        <v>226</v>
      </c>
      <c r="BO157">
        <v>223</v>
      </c>
      <c r="BP157" s="26">
        <v>3</v>
      </c>
      <c r="BQ157" s="30"/>
      <c r="BR157" s="32">
        <v>251</v>
      </c>
      <c r="BS157">
        <v>238</v>
      </c>
      <c r="BT157" s="26">
        <v>13</v>
      </c>
      <c r="BU157" s="30"/>
      <c r="BX157" s="26">
        <v>0</v>
      </c>
      <c r="BY157" s="30"/>
      <c r="BZ157" s="32">
        <v>295</v>
      </c>
      <c r="CA157">
        <v>285</v>
      </c>
      <c r="CB157" s="26">
        <v>10</v>
      </c>
      <c r="CC157" s="30"/>
      <c r="CD157" s="29"/>
      <c r="CF157" s="26">
        <v>0</v>
      </c>
      <c r="CG157" s="30"/>
      <c r="CJ157" s="26">
        <v>0</v>
      </c>
      <c r="CK157" s="30"/>
      <c r="CL157" s="32">
        <v>145</v>
      </c>
      <c r="CM157">
        <v>140</v>
      </c>
      <c r="CN157">
        <v>143</v>
      </c>
      <c r="CO157">
        <v>141</v>
      </c>
      <c r="CP157" s="26">
        <v>7</v>
      </c>
      <c r="CQ157" s="30"/>
      <c r="CR157" s="29"/>
      <c r="CT157" s="26">
        <v>0</v>
      </c>
      <c r="CU157" s="30"/>
      <c r="CX157">
        <v>220</v>
      </c>
      <c r="CY157">
        <v>208</v>
      </c>
      <c r="CZ157" s="26">
        <v>12</v>
      </c>
      <c r="DA157" s="30"/>
      <c r="DD157" s="26">
        <v>0</v>
      </c>
      <c r="DE157" s="30"/>
      <c r="DF157" s="29"/>
      <c r="DH157" s="26">
        <v>0</v>
      </c>
      <c r="DI157" s="30"/>
      <c r="DJ157" s="32">
        <v>163</v>
      </c>
      <c r="DK157">
        <v>156</v>
      </c>
      <c r="DL157" s="26">
        <v>7</v>
      </c>
      <c r="DM157" s="30"/>
      <c r="DP157" s="26">
        <v>0</v>
      </c>
      <c r="DQ157" s="30"/>
      <c r="DR157" s="32">
        <v>44</v>
      </c>
      <c r="DT157">
        <v>67</v>
      </c>
      <c r="DU157" s="25">
        <v>-23</v>
      </c>
      <c r="DV157" s="30">
        <v>23</v>
      </c>
      <c r="DW157" s="29"/>
      <c r="DY157">
        <v>100</v>
      </c>
      <c r="DZ157">
        <v>97</v>
      </c>
      <c r="EA157" s="26">
        <v>3</v>
      </c>
      <c r="EB157" s="30"/>
      <c r="EC157" s="29"/>
      <c r="EF157" s="26">
        <v>0</v>
      </c>
      <c r="EG157" s="30"/>
      <c r="EH157">
        <v>111</v>
      </c>
      <c r="EI157" s="26">
        <v>110.8314</v>
      </c>
      <c r="EJ157" s="26">
        <v>0.16859999999999789</v>
      </c>
      <c r="EK157" s="30"/>
      <c r="EL157" s="31"/>
      <c r="EN157" s="26">
        <v>0</v>
      </c>
      <c r="EO157" s="30"/>
      <c r="EP157" s="32">
        <v>19</v>
      </c>
      <c r="EQ157" s="26">
        <v>17.182600000000001</v>
      </c>
      <c r="ER157" s="26">
        <v>1.817399999999999</v>
      </c>
      <c r="ES157" s="30"/>
      <c r="ET157" s="32">
        <v>89</v>
      </c>
      <c r="EU157">
        <v>83</v>
      </c>
      <c r="EV157" s="26">
        <v>6</v>
      </c>
      <c r="EW157" s="30"/>
      <c r="EZ157" s="26">
        <v>0</v>
      </c>
      <c r="FA157" s="30"/>
      <c r="FB157">
        <v>118</v>
      </c>
      <c r="FC157">
        <v>116</v>
      </c>
      <c r="FD157" s="26">
        <v>2</v>
      </c>
      <c r="FE157" s="30"/>
      <c r="FF157" s="32">
        <v>44</v>
      </c>
      <c r="FH157">
        <v>45</v>
      </c>
      <c r="FI157" s="26">
        <v>-1</v>
      </c>
      <c r="FJ157" s="30"/>
      <c r="FK157" s="29"/>
      <c r="FN157" s="26">
        <v>0</v>
      </c>
      <c r="FO157" s="30"/>
      <c r="FR157" s="26">
        <v>0</v>
      </c>
      <c r="FS157" s="30"/>
      <c r="FT157" s="29"/>
      <c r="FU157">
        <v>50</v>
      </c>
      <c r="FV157">
        <v>50</v>
      </c>
      <c r="FW157">
        <v>56</v>
      </c>
      <c r="FX157">
        <v>53</v>
      </c>
      <c r="FY157" s="26">
        <v>3</v>
      </c>
      <c r="FZ157" s="30"/>
      <c r="GC157" s="26">
        <v>0</v>
      </c>
      <c r="GD157" s="30"/>
      <c r="GE157" s="29"/>
      <c r="GI157" s="26">
        <v>0</v>
      </c>
      <c r="GJ157" s="30"/>
      <c r="GO157" s="26">
        <v>0</v>
      </c>
      <c r="GP157" s="30"/>
      <c r="GS157" s="26">
        <v>0</v>
      </c>
      <c r="GT157" s="30"/>
      <c r="GU157" s="32">
        <v>69</v>
      </c>
      <c r="GV157">
        <v>65</v>
      </c>
      <c r="GW157" s="26">
        <v>4</v>
      </c>
      <c r="GX157" s="30"/>
      <c r="GY157" s="32">
        <v>75</v>
      </c>
      <c r="GZ157">
        <v>72</v>
      </c>
      <c r="HA157" s="26">
        <v>3</v>
      </c>
      <c r="HB157" s="30"/>
      <c r="HC157">
        <v>31</v>
      </c>
      <c r="HD157">
        <v>30</v>
      </c>
      <c r="HE157" s="26">
        <v>1</v>
      </c>
      <c r="HF157" s="30"/>
      <c r="HG157" s="32">
        <v>50</v>
      </c>
      <c r="HH157">
        <v>50</v>
      </c>
      <c r="HI157" s="26">
        <v>0</v>
      </c>
      <c r="HJ157" s="30"/>
      <c r="HK157" s="32">
        <v>50</v>
      </c>
      <c r="HL157">
        <v>51</v>
      </c>
      <c r="HM157" s="26">
        <v>-1</v>
      </c>
      <c r="HN157" s="30"/>
      <c r="HO157">
        <v>19</v>
      </c>
      <c r="HP157" s="26">
        <v>20</v>
      </c>
      <c r="HQ157" s="26">
        <v>-1</v>
      </c>
      <c r="HR157" s="33"/>
      <c r="HS157">
        <v>44</v>
      </c>
      <c r="HT157" s="28">
        <v>40</v>
      </c>
      <c r="HU157" s="26">
        <v>4</v>
      </c>
      <c r="HV157" s="30"/>
      <c r="HY157" s="26">
        <v>0</v>
      </c>
      <c r="HZ157" s="33"/>
      <c r="ID157" s="30"/>
      <c r="IH157" s="33"/>
      <c r="IL157" s="30"/>
      <c r="IM157" s="32"/>
      <c r="IP157" s="33"/>
      <c r="IT157" s="33"/>
      <c r="IX157" s="33"/>
      <c r="IZ157" s="28"/>
      <c r="JB157" s="30"/>
      <c r="JC157" s="27"/>
      <c r="JH157" s="33"/>
      <c r="JL157" s="33"/>
      <c r="JP157" s="33"/>
      <c r="JQ157" s="31"/>
      <c r="JT157" s="33"/>
    </row>
    <row r="158" spans="1:280" x14ac:dyDescent="0.25">
      <c r="A158" s="26" t="s">
        <v>309</v>
      </c>
      <c r="B158" s="27">
        <v>0.35</v>
      </c>
      <c r="E158">
        <v>61</v>
      </c>
      <c r="F158">
        <v>60</v>
      </c>
      <c r="I158" s="29"/>
      <c r="J158" s="35"/>
      <c r="K158" s="40"/>
      <c r="L158" s="35"/>
      <c r="M158" s="35">
        <f t="shared" si="12"/>
        <v>0</v>
      </c>
      <c r="N158" s="30"/>
      <c r="O158" s="32">
        <v>60</v>
      </c>
      <c r="P158" s="36">
        <v>63</v>
      </c>
      <c r="Q158" s="36">
        <v>54</v>
      </c>
      <c r="R158" s="36">
        <v>59</v>
      </c>
      <c r="S158" s="35">
        <f t="shared" si="13"/>
        <v>-8</v>
      </c>
      <c r="T158" s="30"/>
      <c r="U158" s="29"/>
      <c r="V158" s="36">
        <v>18</v>
      </c>
      <c r="W158" s="36">
        <v>20</v>
      </c>
      <c r="X158" s="35"/>
      <c r="Y158" s="35"/>
      <c r="Z158" s="35"/>
      <c r="AA158" s="35">
        <f t="shared" si="14"/>
        <v>-2</v>
      </c>
      <c r="AB158" s="30"/>
      <c r="AC158" s="29"/>
      <c r="AD158" s="35"/>
      <c r="AE158" s="35"/>
      <c r="AF158" s="35"/>
      <c r="AG158" s="35">
        <v>0</v>
      </c>
      <c r="AH158" s="30"/>
      <c r="AI158" s="36">
        <v>72</v>
      </c>
      <c r="AJ158">
        <v>72</v>
      </c>
      <c r="AK158">
        <v>54</v>
      </c>
      <c r="AL158">
        <v>57</v>
      </c>
      <c r="AM158" s="26">
        <v>-3</v>
      </c>
      <c r="AN158" s="30"/>
      <c r="AO158" s="31"/>
      <c r="AQ158">
        <v>6</v>
      </c>
      <c r="AR158">
        <v>6</v>
      </c>
      <c r="AS158" s="26">
        <v>0</v>
      </c>
      <c r="AT158" s="30"/>
      <c r="AY158" s="26">
        <v>0</v>
      </c>
      <c r="AZ158" s="30"/>
      <c r="BB158">
        <v>138</v>
      </c>
      <c r="BC158">
        <v>140</v>
      </c>
      <c r="BD158" s="26">
        <v>-2</v>
      </c>
      <c r="BE158" s="30"/>
      <c r="BF158" s="32">
        <v>54</v>
      </c>
      <c r="BG158">
        <v>52</v>
      </c>
      <c r="BH158" s="26">
        <v>2</v>
      </c>
      <c r="BI158" s="30"/>
      <c r="BJ158" s="32">
        <v>84</v>
      </c>
      <c r="BK158">
        <v>83</v>
      </c>
      <c r="BL158" s="26">
        <v>1</v>
      </c>
      <c r="BM158" s="30"/>
      <c r="BN158">
        <v>60</v>
      </c>
      <c r="BO158">
        <v>59</v>
      </c>
      <c r="BP158" s="26">
        <v>1</v>
      </c>
      <c r="BQ158" s="30"/>
      <c r="BR158" s="32">
        <v>36</v>
      </c>
      <c r="BS158">
        <v>37</v>
      </c>
      <c r="BT158" s="26">
        <v>-1</v>
      </c>
      <c r="BU158" s="30"/>
      <c r="BV158">
        <v>48</v>
      </c>
      <c r="BW158">
        <v>46</v>
      </c>
      <c r="BX158" s="26">
        <v>2</v>
      </c>
      <c r="BY158" s="30"/>
      <c r="BZ158" s="29"/>
      <c r="CB158" s="26">
        <v>0</v>
      </c>
      <c r="CC158" s="30"/>
      <c r="CD158" s="32">
        <v>54</v>
      </c>
      <c r="CE158">
        <v>55</v>
      </c>
      <c r="CF158" s="26">
        <v>-1</v>
      </c>
      <c r="CG158" s="30"/>
      <c r="CI158">
        <v>9</v>
      </c>
      <c r="CJ158" s="25">
        <v>-9</v>
      </c>
      <c r="CK158" s="30">
        <v>3.15</v>
      </c>
      <c r="CL158" s="32">
        <v>24</v>
      </c>
      <c r="CM158">
        <v>24</v>
      </c>
      <c r="CN158">
        <v>18</v>
      </c>
      <c r="CO158">
        <v>27</v>
      </c>
      <c r="CP158" s="26">
        <v>-9</v>
      </c>
      <c r="CQ158" s="30"/>
      <c r="CR158" s="29"/>
      <c r="CT158" s="26">
        <v>0</v>
      </c>
      <c r="CU158" s="30"/>
      <c r="CX158">
        <v>54</v>
      </c>
      <c r="CY158">
        <v>53</v>
      </c>
      <c r="CZ158" s="26">
        <v>1</v>
      </c>
      <c r="DA158" s="30"/>
      <c r="DB158">
        <v>18</v>
      </c>
      <c r="DC158">
        <v>16</v>
      </c>
      <c r="DD158" s="26">
        <v>2</v>
      </c>
      <c r="DE158" s="30"/>
      <c r="DF158" s="29"/>
      <c r="DH158" s="26">
        <v>0</v>
      </c>
      <c r="DI158" s="30"/>
      <c r="DJ158" s="29"/>
      <c r="DL158" s="26">
        <v>0</v>
      </c>
      <c r="DM158" s="30"/>
      <c r="DN158">
        <v>48</v>
      </c>
      <c r="DO158">
        <v>48</v>
      </c>
      <c r="DP158" s="26">
        <v>0</v>
      </c>
      <c r="DQ158" s="30"/>
      <c r="DR158" s="32">
        <v>12</v>
      </c>
      <c r="DT158">
        <v>10</v>
      </c>
      <c r="DU158" s="26">
        <v>2</v>
      </c>
      <c r="DV158" s="30"/>
      <c r="DW158" s="29"/>
      <c r="EA158" s="26">
        <v>0</v>
      </c>
      <c r="EB158" s="30"/>
      <c r="EC158" s="32">
        <v>72</v>
      </c>
      <c r="EE158">
        <v>70</v>
      </c>
      <c r="EF158" s="26">
        <v>2</v>
      </c>
      <c r="EG158" s="30"/>
      <c r="EJ158" s="26">
        <v>0</v>
      </c>
      <c r="EK158" s="30"/>
      <c r="EL158" s="32">
        <v>42</v>
      </c>
      <c r="EM158" s="26">
        <v>45</v>
      </c>
      <c r="EN158" s="26">
        <v>-3</v>
      </c>
      <c r="EO158" s="30"/>
      <c r="EP158" s="29"/>
      <c r="ER158" s="26">
        <v>0</v>
      </c>
      <c r="ES158" s="30"/>
      <c r="ET158" s="29"/>
      <c r="EV158" s="26">
        <v>0</v>
      </c>
      <c r="EW158" s="30"/>
      <c r="EZ158" s="26">
        <v>0</v>
      </c>
      <c r="FA158" s="30"/>
      <c r="FB158">
        <v>66</v>
      </c>
      <c r="FC158">
        <v>66</v>
      </c>
      <c r="FD158" s="26">
        <v>0</v>
      </c>
      <c r="FE158" s="30"/>
      <c r="FF158" s="29"/>
      <c r="FI158" s="26">
        <v>0</v>
      </c>
      <c r="FJ158" s="30"/>
      <c r="FK158" s="32">
        <v>30</v>
      </c>
      <c r="FM158">
        <v>32</v>
      </c>
      <c r="FN158" s="26">
        <v>-2</v>
      </c>
      <c r="FO158" s="30"/>
      <c r="FP158">
        <v>54</v>
      </c>
      <c r="FQ158" s="28">
        <v>53</v>
      </c>
      <c r="FR158" s="26">
        <v>1</v>
      </c>
      <c r="FS158" s="30"/>
      <c r="FT158" s="29"/>
      <c r="FY158" s="26">
        <v>0</v>
      </c>
      <c r="FZ158" s="30"/>
      <c r="GA158">
        <v>54</v>
      </c>
      <c r="GB158" s="28">
        <v>52</v>
      </c>
      <c r="GC158" s="26">
        <v>2</v>
      </c>
      <c r="GD158" s="30"/>
      <c r="GE158" s="29"/>
      <c r="GG158">
        <v>12</v>
      </c>
      <c r="GH158">
        <v>10</v>
      </c>
      <c r="GI158" s="26">
        <v>2</v>
      </c>
      <c r="GJ158" s="30"/>
      <c r="GM158">
        <v>12</v>
      </c>
      <c r="GN158">
        <v>11</v>
      </c>
      <c r="GO158" s="26">
        <v>1</v>
      </c>
      <c r="GP158" s="30"/>
      <c r="GQ158">
        <v>24</v>
      </c>
      <c r="GR158" s="28">
        <v>24</v>
      </c>
      <c r="GS158" s="26">
        <v>0</v>
      </c>
      <c r="GT158" s="30"/>
      <c r="GU158" s="32">
        <v>24</v>
      </c>
      <c r="GV158">
        <v>26</v>
      </c>
      <c r="GW158" s="26">
        <v>-2</v>
      </c>
      <c r="GX158" s="30"/>
      <c r="GY158" s="29"/>
      <c r="HA158" s="26">
        <v>0</v>
      </c>
      <c r="HB158" s="30"/>
      <c r="HC158">
        <v>36</v>
      </c>
      <c r="HD158">
        <v>37</v>
      </c>
      <c r="HE158" s="26">
        <v>-1</v>
      </c>
      <c r="HF158" s="30"/>
      <c r="HG158" s="32">
        <v>12</v>
      </c>
      <c r="HH158">
        <v>10</v>
      </c>
      <c r="HI158" s="26">
        <v>2</v>
      </c>
      <c r="HJ158" s="30"/>
      <c r="HK158" s="29"/>
      <c r="HM158" s="26">
        <v>0</v>
      </c>
      <c r="HN158" s="30"/>
      <c r="HO158">
        <v>24</v>
      </c>
      <c r="HP158" s="26">
        <v>24</v>
      </c>
      <c r="HQ158" s="26">
        <v>0</v>
      </c>
      <c r="HR158" s="33"/>
      <c r="HS158">
        <v>12</v>
      </c>
      <c r="HT158" s="28">
        <v>10</v>
      </c>
      <c r="HU158" s="26">
        <v>2</v>
      </c>
      <c r="HV158" s="30"/>
      <c r="HY158" s="26">
        <v>0</v>
      </c>
      <c r="HZ158" s="33"/>
      <c r="ID158" s="30"/>
      <c r="IH158" s="33"/>
      <c r="IL158" s="30"/>
      <c r="IM158" s="32"/>
      <c r="IP158" s="33"/>
      <c r="IT158" s="33"/>
      <c r="IX158" s="33"/>
      <c r="IZ158" s="28"/>
      <c r="JB158" s="30"/>
      <c r="JC158" s="27"/>
      <c r="JH158" s="33"/>
      <c r="JL158" s="33"/>
      <c r="JP158" s="33"/>
      <c r="JQ158" s="31"/>
      <c r="JT158" s="33"/>
    </row>
    <row r="159" spans="1:280" x14ac:dyDescent="0.25">
      <c r="A159" s="26" t="s">
        <v>310</v>
      </c>
      <c r="B159" s="27">
        <v>0.14000000000000001</v>
      </c>
      <c r="I159" s="29"/>
      <c r="J159" s="35"/>
      <c r="K159" s="40"/>
      <c r="L159" s="35"/>
      <c r="M159" s="35">
        <f t="shared" si="12"/>
        <v>0</v>
      </c>
      <c r="N159" s="30"/>
      <c r="O159" s="32">
        <v>70</v>
      </c>
      <c r="P159" s="36">
        <v>74</v>
      </c>
      <c r="Q159" s="36">
        <v>70</v>
      </c>
      <c r="R159" s="36">
        <v>70</v>
      </c>
      <c r="S159" s="35">
        <f t="shared" si="13"/>
        <v>-4</v>
      </c>
      <c r="T159" s="30"/>
      <c r="U159" s="29"/>
      <c r="V159" s="40"/>
      <c r="W159" s="35"/>
      <c r="X159" s="35"/>
      <c r="Y159" s="35"/>
      <c r="Z159" s="35"/>
      <c r="AA159" s="35">
        <f t="shared" si="14"/>
        <v>0</v>
      </c>
      <c r="AB159" s="30"/>
      <c r="AC159" s="29"/>
      <c r="AD159" s="35"/>
      <c r="AE159" s="35"/>
      <c r="AF159" s="35"/>
      <c r="AG159" s="35">
        <v>0</v>
      </c>
      <c r="AH159" s="30"/>
      <c r="AI159" s="35"/>
      <c r="AM159" s="26">
        <v>0</v>
      </c>
      <c r="AN159" s="30"/>
      <c r="AO159" s="31"/>
      <c r="AS159" s="26">
        <v>0</v>
      </c>
      <c r="AT159" s="30"/>
      <c r="AY159" s="26">
        <v>0</v>
      </c>
      <c r="AZ159" s="30"/>
      <c r="BB159">
        <v>190</v>
      </c>
      <c r="BC159">
        <v>195</v>
      </c>
      <c r="BD159" s="26">
        <v>-5</v>
      </c>
      <c r="BE159" s="30"/>
      <c r="BF159" s="29"/>
      <c r="BH159" s="26">
        <v>0</v>
      </c>
      <c r="BI159" s="30"/>
      <c r="BJ159" s="32">
        <v>130</v>
      </c>
      <c r="BK159">
        <v>131</v>
      </c>
      <c r="BL159" s="26">
        <v>-1</v>
      </c>
      <c r="BM159" s="30"/>
      <c r="BP159" s="26">
        <v>0</v>
      </c>
      <c r="BQ159" s="30"/>
      <c r="BR159" s="32">
        <v>70</v>
      </c>
      <c r="BS159">
        <v>70</v>
      </c>
      <c r="BT159" s="26">
        <v>0</v>
      </c>
      <c r="BU159" s="30"/>
      <c r="BV159">
        <v>10</v>
      </c>
      <c r="BW159">
        <v>10</v>
      </c>
      <c r="BX159" s="26">
        <v>0</v>
      </c>
      <c r="BY159" s="30"/>
      <c r="BZ159" s="32">
        <v>40</v>
      </c>
      <c r="CA159">
        <v>43</v>
      </c>
      <c r="CB159" s="26">
        <v>-3</v>
      </c>
      <c r="CC159" s="30"/>
      <c r="CD159" s="29"/>
      <c r="CF159" s="26">
        <v>0</v>
      </c>
      <c r="CG159" s="30"/>
      <c r="CJ159" s="26">
        <v>0</v>
      </c>
      <c r="CK159" s="30"/>
      <c r="CL159" s="29"/>
      <c r="CM159">
        <v>24</v>
      </c>
      <c r="CN159">
        <v>30</v>
      </c>
      <c r="CO159">
        <v>32</v>
      </c>
      <c r="CP159" s="25">
        <v>-26</v>
      </c>
      <c r="CQ159" s="30">
        <v>25.86</v>
      </c>
      <c r="CR159" s="29"/>
      <c r="CT159" s="26">
        <v>0</v>
      </c>
      <c r="CU159" s="30"/>
      <c r="CX159">
        <v>50</v>
      </c>
      <c r="CY159">
        <v>48</v>
      </c>
      <c r="CZ159" s="26">
        <v>2</v>
      </c>
      <c r="DA159" s="30"/>
      <c r="DD159" s="26">
        <v>0</v>
      </c>
      <c r="DE159" s="30"/>
      <c r="DF159" s="29"/>
      <c r="DH159" s="26">
        <v>0</v>
      </c>
      <c r="DI159" s="30"/>
      <c r="DJ159" s="29">
        <v>30</v>
      </c>
      <c r="DK159" s="26">
        <v>30</v>
      </c>
      <c r="DL159" s="26">
        <v>0</v>
      </c>
      <c r="DM159" s="30"/>
      <c r="DP159" s="26">
        <v>0</v>
      </c>
      <c r="DQ159" s="30"/>
      <c r="DR159" s="29"/>
      <c r="DU159" s="26">
        <v>0</v>
      </c>
      <c r="DV159" s="30"/>
      <c r="DW159" s="29"/>
      <c r="EA159" s="26">
        <v>0</v>
      </c>
      <c r="EB159" s="30"/>
      <c r="EC159" s="29"/>
      <c r="EG159" s="33"/>
      <c r="EK159" s="30"/>
      <c r="EL159" s="32"/>
      <c r="EO159" s="30"/>
      <c r="EP159" s="29"/>
      <c r="ES159" s="30"/>
      <c r="ET159" s="29"/>
      <c r="EW159" s="30"/>
      <c r="FA159" s="30"/>
      <c r="FE159" s="30"/>
      <c r="FF159" s="29"/>
      <c r="FJ159" s="30"/>
      <c r="FK159" s="32"/>
      <c r="FO159" s="30"/>
      <c r="FS159" s="30"/>
      <c r="FT159" s="29"/>
      <c r="FZ159" s="30"/>
      <c r="GD159" s="30"/>
      <c r="GE159" s="29"/>
      <c r="GJ159" s="30"/>
      <c r="GP159" s="30"/>
      <c r="GR159" s="28"/>
      <c r="GT159" s="30"/>
      <c r="GU159" s="32"/>
      <c r="GX159" s="30"/>
      <c r="GY159" s="29"/>
      <c r="HB159" s="30"/>
      <c r="HF159" s="30"/>
      <c r="HG159" s="32"/>
      <c r="HJ159" s="30"/>
      <c r="HK159" s="29"/>
      <c r="HN159" s="30"/>
      <c r="HR159" s="33"/>
      <c r="HT159" s="28"/>
      <c r="HV159" s="30"/>
      <c r="HZ159" s="33"/>
      <c r="ID159" s="30"/>
      <c r="IH159" s="33"/>
      <c r="IL159" s="30"/>
      <c r="IM159" s="32"/>
      <c r="IP159" s="33"/>
      <c r="IT159" s="33"/>
      <c r="IX159" s="33"/>
      <c r="IZ159" s="28"/>
      <c r="JB159" s="30"/>
      <c r="JC159" s="27"/>
      <c r="JH159" s="33"/>
      <c r="JL159" s="33"/>
      <c r="JP159" s="33"/>
      <c r="JQ159" s="31"/>
      <c r="JT159" s="33"/>
    </row>
    <row r="160" spans="1:280" x14ac:dyDescent="0.25">
      <c r="A160" s="26" t="s">
        <v>311</v>
      </c>
      <c r="B160" s="27">
        <v>0.18</v>
      </c>
      <c r="E160">
        <v>153</v>
      </c>
      <c r="F160">
        <v>154</v>
      </c>
      <c r="I160" s="29"/>
      <c r="J160" s="35"/>
      <c r="K160" s="40"/>
      <c r="L160" s="35"/>
      <c r="M160" s="35">
        <f t="shared" si="12"/>
        <v>0</v>
      </c>
      <c r="N160" s="30"/>
      <c r="O160" s="32">
        <v>50</v>
      </c>
      <c r="P160" s="36">
        <v>51</v>
      </c>
      <c r="Q160" s="36">
        <v>40</v>
      </c>
      <c r="R160" s="36">
        <v>48</v>
      </c>
      <c r="S160" s="35">
        <f t="shared" si="13"/>
        <v>-9</v>
      </c>
      <c r="T160" s="30"/>
      <c r="U160" s="29"/>
      <c r="V160" s="36">
        <v>100</v>
      </c>
      <c r="W160" s="36">
        <v>101</v>
      </c>
      <c r="X160" s="35"/>
      <c r="Y160" s="36">
        <v>80</v>
      </c>
      <c r="Z160" s="36">
        <v>80</v>
      </c>
      <c r="AA160" s="35">
        <f t="shared" si="14"/>
        <v>-1</v>
      </c>
      <c r="AB160" s="30"/>
      <c r="AC160" s="29"/>
      <c r="AD160" s="35"/>
      <c r="AE160" s="36">
        <v>40</v>
      </c>
      <c r="AF160" s="40">
        <v>44</v>
      </c>
      <c r="AG160" s="35">
        <v>-4</v>
      </c>
      <c r="AH160" s="30"/>
      <c r="AI160" s="36">
        <v>70</v>
      </c>
      <c r="AJ160">
        <v>76</v>
      </c>
      <c r="AK160">
        <v>60</v>
      </c>
      <c r="AL160">
        <v>61</v>
      </c>
      <c r="AM160" s="26">
        <v>-7</v>
      </c>
      <c r="AN160" s="30"/>
      <c r="AO160" s="31"/>
      <c r="AQ160">
        <v>40</v>
      </c>
      <c r="AR160">
        <v>44</v>
      </c>
      <c r="AS160" s="26">
        <v>-4</v>
      </c>
      <c r="AT160" s="30"/>
      <c r="AU160">
        <v>40</v>
      </c>
      <c r="AV160">
        <v>40</v>
      </c>
      <c r="AW160">
        <v>60</v>
      </c>
      <c r="AX160">
        <v>67</v>
      </c>
      <c r="AY160" s="26">
        <v>-7</v>
      </c>
      <c r="AZ160" s="30"/>
      <c r="BD160" s="26">
        <v>0</v>
      </c>
      <c r="BE160" s="30"/>
      <c r="BF160" s="32">
        <v>220</v>
      </c>
      <c r="BG160">
        <v>224</v>
      </c>
      <c r="BH160" s="26">
        <v>-4</v>
      </c>
      <c r="BI160" s="30"/>
      <c r="BJ160" s="29"/>
      <c r="BL160" s="26">
        <v>0</v>
      </c>
      <c r="BM160" s="30"/>
      <c r="BN160">
        <v>150</v>
      </c>
      <c r="BO160">
        <v>153</v>
      </c>
      <c r="BP160" s="26">
        <v>-3</v>
      </c>
      <c r="BQ160" s="30"/>
      <c r="BR160" s="29"/>
      <c r="BT160" s="26">
        <v>0</v>
      </c>
      <c r="BU160" s="30"/>
      <c r="BV160">
        <v>100</v>
      </c>
      <c r="BW160">
        <v>100</v>
      </c>
      <c r="BX160" s="26">
        <v>0</v>
      </c>
      <c r="BY160" s="30"/>
      <c r="BZ160" s="29"/>
      <c r="CB160" s="26">
        <v>0</v>
      </c>
      <c r="CC160" s="30"/>
      <c r="CD160" s="32">
        <v>60</v>
      </c>
      <c r="CE160">
        <v>59</v>
      </c>
      <c r="CF160" s="26">
        <v>1</v>
      </c>
      <c r="CG160" s="30"/>
      <c r="CJ160" s="26">
        <v>0</v>
      </c>
      <c r="CK160" s="30"/>
      <c r="CL160" s="29"/>
      <c r="CP160" s="26">
        <v>0</v>
      </c>
      <c r="CQ160" s="30"/>
      <c r="CR160" s="32">
        <v>50</v>
      </c>
      <c r="CS160">
        <v>49</v>
      </c>
      <c r="CT160" s="26">
        <v>1</v>
      </c>
      <c r="CU160" s="30"/>
      <c r="CZ160" s="26">
        <v>0</v>
      </c>
      <c r="DA160" s="30"/>
      <c r="DD160" s="26">
        <v>0</v>
      </c>
      <c r="DE160" s="30"/>
      <c r="DF160" s="32">
        <v>50</v>
      </c>
      <c r="DG160">
        <v>49</v>
      </c>
      <c r="DH160" s="26">
        <v>1</v>
      </c>
      <c r="DI160" s="30"/>
      <c r="DJ160" s="29"/>
      <c r="DL160" s="26">
        <v>0</v>
      </c>
      <c r="DM160" s="30"/>
      <c r="DP160" s="26">
        <v>0</v>
      </c>
      <c r="DQ160" s="30"/>
      <c r="DR160" s="32">
        <v>30</v>
      </c>
      <c r="DT160">
        <v>35</v>
      </c>
      <c r="DU160" s="26">
        <v>-5</v>
      </c>
      <c r="DV160" s="30"/>
      <c r="DW160" s="29"/>
      <c r="EA160" s="26">
        <v>0</v>
      </c>
      <c r="EB160" s="30"/>
      <c r="EC160" s="32">
        <v>30</v>
      </c>
      <c r="EE160">
        <v>34</v>
      </c>
      <c r="EF160" s="26">
        <v>-4</v>
      </c>
      <c r="EG160" s="30"/>
      <c r="EJ160" s="26">
        <v>0</v>
      </c>
      <c r="EK160" s="30"/>
      <c r="EL160" s="31"/>
      <c r="EN160" s="26">
        <v>0</v>
      </c>
      <c r="EO160" s="30"/>
      <c r="EP160" s="32">
        <v>10</v>
      </c>
      <c r="EQ160" s="26">
        <v>6</v>
      </c>
      <c r="ER160" s="26">
        <v>4</v>
      </c>
      <c r="ES160" s="30"/>
      <c r="ET160" s="32">
        <v>20</v>
      </c>
      <c r="EU160">
        <v>18</v>
      </c>
      <c r="EV160" s="26">
        <v>2</v>
      </c>
      <c r="EW160" s="30"/>
      <c r="EX160">
        <v>10</v>
      </c>
      <c r="EY160" s="28">
        <v>14.2</v>
      </c>
      <c r="EZ160" s="26">
        <v>-4.1999999999999993</v>
      </c>
      <c r="FA160" s="30"/>
      <c r="FB160">
        <v>10</v>
      </c>
      <c r="FC160">
        <v>15</v>
      </c>
      <c r="FD160" s="26">
        <v>-5</v>
      </c>
      <c r="FE160" s="30"/>
      <c r="FF160" s="32">
        <v>10</v>
      </c>
      <c r="FH160">
        <v>14</v>
      </c>
      <c r="FI160" s="26">
        <v>-4</v>
      </c>
      <c r="FJ160" s="30"/>
      <c r="FK160" s="32">
        <v>10</v>
      </c>
      <c r="FM160">
        <v>8</v>
      </c>
      <c r="FN160" s="26">
        <v>2</v>
      </c>
      <c r="FO160" s="30"/>
      <c r="FR160" s="26">
        <v>0</v>
      </c>
      <c r="FS160" s="30"/>
      <c r="FT160" s="29"/>
      <c r="FY160" s="26">
        <v>0</v>
      </c>
      <c r="FZ160" s="30"/>
      <c r="GA160">
        <v>30</v>
      </c>
      <c r="GB160" s="28">
        <v>35.4</v>
      </c>
      <c r="GC160" s="26">
        <v>-5.3999999999999986</v>
      </c>
      <c r="GD160" s="30"/>
      <c r="GE160" s="29"/>
      <c r="GI160" s="26">
        <v>0</v>
      </c>
      <c r="GJ160" s="30"/>
      <c r="GM160">
        <v>10</v>
      </c>
      <c r="GN160">
        <v>13</v>
      </c>
      <c r="GO160" s="26">
        <v>-3</v>
      </c>
      <c r="GP160" s="30"/>
      <c r="GS160" s="26">
        <v>0</v>
      </c>
      <c r="GT160" s="30"/>
      <c r="GU160" s="32">
        <v>40</v>
      </c>
      <c r="GV160">
        <v>40</v>
      </c>
      <c r="GW160" s="26">
        <v>0</v>
      </c>
      <c r="GX160" s="30"/>
      <c r="GY160" s="29"/>
      <c r="HA160" s="26">
        <v>0</v>
      </c>
      <c r="HB160" s="30"/>
      <c r="HE160" s="26">
        <v>0</v>
      </c>
      <c r="HF160" s="30"/>
      <c r="HG160" s="29"/>
      <c r="HI160" s="26">
        <v>0</v>
      </c>
      <c r="HJ160" s="30"/>
      <c r="HK160" s="32">
        <v>10</v>
      </c>
      <c r="HL160">
        <v>10</v>
      </c>
      <c r="HM160" s="26">
        <v>0</v>
      </c>
      <c r="HN160" s="30"/>
      <c r="HQ160" s="26">
        <v>0</v>
      </c>
      <c r="HR160" s="33"/>
      <c r="HU160" s="26">
        <v>0</v>
      </c>
      <c r="HV160" s="30"/>
      <c r="HW160">
        <v>20</v>
      </c>
      <c r="HX160" s="26">
        <v>20</v>
      </c>
      <c r="HY160" s="26">
        <v>0</v>
      </c>
      <c r="HZ160" s="33"/>
      <c r="IA160">
        <v>20</v>
      </c>
      <c r="IB160">
        <v>20</v>
      </c>
      <c r="IC160" s="26">
        <v>0</v>
      </c>
      <c r="ID160" s="30"/>
      <c r="IH160" s="34"/>
      <c r="IL160" s="30"/>
      <c r="IM160" s="32"/>
      <c r="IP160" s="33"/>
      <c r="IT160" s="33"/>
      <c r="IX160" s="33"/>
      <c r="JB160" s="30"/>
      <c r="JC160" s="27"/>
      <c r="JH160" s="33"/>
      <c r="JL160" s="33"/>
      <c r="JP160" s="33"/>
      <c r="JQ160" s="31"/>
      <c r="JT160" s="33"/>
    </row>
    <row r="161" spans="1:280" x14ac:dyDescent="0.25">
      <c r="A161" s="26" t="s">
        <v>312</v>
      </c>
      <c r="B161" s="27">
        <v>1</v>
      </c>
      <c r="I161" s="29"/>
      <c r="J161" s="35"/>
      <c r="K161" s="40"/>
      <c r="L161" s="35"/>
      <c r="M161" s="35">
        <f t="shared" si="12"/>
        <v>0</v>
      </c>
      <c r="N161" s="30"/>
      <c r="O161" s="29"/>
      <c r="P161" s="35"/>
      <c r="Q161" s="35"/>
      <c r="R161" s="35"/>
      <c r="S161" s="35">
        <f t="shared" si="13"/>
        <v>0</v>
      </c>
      <c r="T161" s="30"/>
      <c r="U161" s="29"/>
      <c r="V161" s="40"/>
      <c r="W161" s="35"/>
      <c r="X161" s="35"/>
      <c r="Y161" s="35"/>
      <c r="Z161" s="35"/>
      <c r="AA161" s="35">
        <f t="shared" si="14"/>
        <v>0</v>
      </c>
      <c r="AB161" s="30"/>
      <c r="AC161" s="29"/>
      <c r="AD161" s="35"/>
      <c r="AE161" s="35"/>
      <c r="AF161" s="35"/>
      <c r="AG161" s="35">
        <v>0</v>
      </c>
      <c r="AH161" s="30"/>
      <c r="AI161" s="35"/>
      <c r="AM161" s="26">
        <v>0</v>
      </c>
      <c r="AN161" s="30"/>
      <c r="AO161" s="31"/>
      <c r="AS161" s="26">
        <v>0</v>
      </c>
      <c r="AT161" s="30"/>
      <c r="AY161" s="26">
        <v>0</v>
      </c>
      <c r="AZ161" s="30"/>
      <c r="BD161" s="26">
        <v>0</v>
      </c>
      <c r="BE161" s="30"/>
      <c r="BF161" s="29"/>
      <c r="BH161" s="26">
        <v>0</v>
      </c>
      <c r="BI161" s="30"/>
      <c r="BJ161" s="29"/>
      <c r="BL161" s="26">
        <v>0</v>
      </c>
      <c r="BM161" s="30"/>
      <c r="BP161" s="26">
        <v>0</v>
      </c>
      <c r="BQ161" s="30"/>
      <c r="BR161" s="29"/>
      <c r="BT161" s="26">
        <v>0</v>
      </c>
      <c r="BU161" s="30"/>
      <c r="BX161" s="26">
        <v>0</v>
      </c>
      <c r="BY161" s="30"/>
      <c r="BZ161" s="29"/>
      <c r="CB161" s="26">
        <v>0</v>
      </c>
      <c r="CC161" s="30"/>
      <c r="CD161" s="29"/>
      <c r="CF161" s="26">
        <v>0</v>
      </c>
      <c r="CG161" s="30"/>
      <c r="CJ161" s="26">
        <v>0</v>
      </c>
      <c r="CK161" s="30"/>
      <c r="CL161" s="29"/>
      <c r="CP161" s="26">
        <v>0</v>
      </c>
      <c r="CQ161" s="30"/>
      <c r="CR161" s="29"/>
      <c r="CT161" s="26">
        <v>0</v>
      </c>
      <c r="CU161" s="30"/>
      <c r="CZ161" s="26">
        <v>0</v>
      </c>
      <c r="DA161" s="30"/>
      <c r="DD161" s="26">
        <v>0</v>
      </c>
      <c r="DE161" s="30"/>
      <c r="DF161" s="29"/>
      <c r="DH161" s="26">
        <v>0</v>
      </c>
      <c r="DI161" s="30"/>
      <c r="DJ161" s="29"/>
      <c r="DL161" s="26">
        <v>0</v>
      </c>
      <c r="DM161" s="30"/>
      <c r="DO161">
        <v>8</v>
      </c>
      <c r="DP161" s="25">
        <v>-8</v>
      </c>
      <c r="DQ161" s="30">
        <v>8</v>
      </c>
      <c r="DR161" s="29"/>
      <c r="DU161" s="26">
        <v>0</v>
      </c>
      <c r="DV161" s="30"/>
      <c r="DW161" s="29"/>
      <c r="DZ161">
        <v>33</v>
      </c>
      <c r="EA161" s="25">
        <v>-33</v>
      </c>
      <c r="EB161" s="30">
        <v>33</v>
      </c>
      <c r="EC161" s="29"/>
      <c r="EF161" s="26">
        <v>0</v>
      </c>
      <c r="EG161" s="30"/>
      <c r="EJ161" s="26">
        <v>0</v>
      </c>
      <c r="EK161" s="30"/>
      <c r="EL161" s="32">
        <v>24</v>
      </c>
      <c r="EM161" s="26">
        <v>24.22</v>
      </c>
      <c r="EN161" s="26">
        <v>-0.21999999999999889</v>
      </c>
      <c r="EO161" s="30"/>
      <c r="EP161" s="29"/>
      <c r="EQ161" s="26">
        <v>50.449800000000003</v>
      </c>
      <c r="ER161" s="25">
        <v>-50.449800000000003</v>
      </c>
      <c r="ES161" s="30">
        <v>50.449800000000003</v>
      </c>
      <c r="ET161" s="29"/>
      <c r="EV161" s="26">
        <v>0</v>
      </c>
      <c r="EW161" s="30"/>
      <c r="EX161">
        <v>41</v>
      </c>
      <c r="EY161" s="28">
        <v>39.878</v>
      </c>
      <c r="EZ161" s="26">
        <v>1.1220000000000001</v>
      </c>
      <c r="FA161" s="30"/>
      <c r="FC161">
        <v>4</v>
      </c>
      <c r="FD161" s="25">
        <v>-4</v>
      </c>
      <c r="FE161" s="30">
        <v>4</v>
      </c>
      <c r="FF161" s="29"/>
      <c r="FI161" s="26">
        <v>0</v>
      </c>
      <c r="FJ161" s="30"/>
      <c r="FK161" s="29"/>
      <c r="FN161" s="26">
        <v>0</v>
      </c>
      <c r="FO161" s="30"/>
      <c r="FP161">
        <v>32</v>
      </c>
      <c r="FQ161" s="28">
        <v>31.859200000000001</v>
      </c>
      <c r="FR161" s="26">
        <v>0.1407999999999987</v>
      </c>
      <c r="FS161" s="30"/>
      <c r="FT161" s="29"/>
      <c r="FY161" s="26">
        <v>0</v>
      </c>
      <c r="FZ161" s="30"/>
      <c r="GA161">
        <v>20</v>
      </c>
      <c r="GB161" s="28">
        <v>21.08919999999998</v>
      </c>
      <c r="GC161" s="26">
        <v>-1.08919999999998</v>
      </c>
      <c r="GD161" s="30"/>
      <c r="GE161" s="29"/>
      <c r="GG161">
        <v>16</v>
      </c>
      <c r="GH161">
        <v>14</v>
      </c>
      <c r="GI161" s="26">
        <v>2</v>
      </c>
      <c r="GJ161" s="30"/>
      <c r="GK161">
        <v>33</v>
      </c>
      <c r="GL161">
        <v>30</v>
      </c>
      <c r="GM161">
        <v>32</v>
      </c>
      <c r="GN161">
        <v>30</v>
      </c>
      <c r="GO161" s="26">
        <v>5</v>
      </c>
      <c r="GP161" s="30"/>
      <c r="GS161" s="26">
        <v>0</v>
      </c>
      <c r="GT161" s="30"/>
      <c r="GU161" s="29"/>
      <c r="GW161" s="26">
        <v>0</v>
      </c>
      <c r="GX161" s="30"/>
      <c r="GY161" s="32">
        <v>49</v>
      </c>
      <c r="GZ161" s="26">
        <v>50</v>
      </c>
      <c r="HA161" s="26">
        <v>-1</v>
      </c>
      <c r="HB161" s="30"/>
      <c r="HE161" s="26">
        <v>0</v>
      </c>
      <c r="HF161" s="30"/>
      <c r="HG161" s="29"/>
      <c r="HI161" s="26">
        <v>0</v>
      </c>
      <c r="HJ161" s="30"/>
      <c r="HK161" s="29"/>
      <c r="HN161" s="30"/>
      <c r="HR161" s="33"/>
      <c r="HV161" s="30"/>
      <c r="HZ161" s="33"/>
      <c r="ID161" s="30"/>
      <c r="IH161" s="34"/>
      <c r="IL161" s="30"/>
      <c r="IM161" s="32"/>
      <c r="IP161" s="33"/>
      <c r="IQ161" s="28"/>
      <c r="IT161" s="33"/>
      <c r="IX161" s="33"/>
      <c r="JB161" s="30"/>
      <c r="JC161" s="27"/>
      <c r="JH161" s="33"/>
      <c r="JL161" s="33"/>
      <c r="JP161" s="33"/>
      <c r="JQ161" s="31"/>
      <c r="JT161" s="33"/>
    </row>
    <row r="162" spans="1:280" x14ac:dyDescent="0.25">
      <c r="A162" s="26" t="s">
        <v>313</v>
      </c>
      <c r="B162" s="27">
        <v>0.4</v>
      </c>
      <c r="I162" s="29"/>
      <c r="J162" s="35"/>
      <c r="K162" s="40"/>
      <c r="L162" s="35"/>
      <c r="M162" s="35">
        <f t="shared" si="12"/>
        <v>0</v>
      </c>
      <c r="N162" s="30"/>
      <c r="O162" s="29"/>
      <c r="P162" s="35"/>
      <c r="Q162" s="35"/>
      <c r="R162" s="35"/>
      <c r="S162" s="35">
        <f t="shared" si="13"/>
        <v>0</v>
      </c>
      <c r="T162" s="30"/>
      <c r="U162" s="29"/>
      <c r="V162" s="40"/>
      <c r="W162" s="35"/>
      <c r="X162" s="35"/>
      <c r="Y162" s="35"/>
      <c r="Z162" s="35"/>
      <c r="AA162" s="35">
        <f t="shared" si="14"/>
        <v>0</v>
      </c>
      <c r="AB162" s="30"/>
      <c r="AC162" s="29"/>
      <c r="AD162" s="35"/>
      <c r="AE162" s="35"/>
      <c r="AF162" s="35"/>
      <c r="AG162" s="35">
        <v>0</v>
      </c>
      <c r="AH162" s="30"/>
      <c r="AI162" s="35"/>
      <c r="AM162" s="26">
        <v>0</v>
      </c>
      <c r="AN162" s="30"/>
      <c r="AO162" s="31"/>
      <c r="AS162" s="26">
        <v>0</v>
      </c>
      <c r="AT162" s="30"/>
      <c r="AY162" s="26">
        <v>0</v>
      </c>
      <c r="AZ162" s="30"/>
      <c r="BC162">
        <v>16</v>
      </c>
      <c r="BD162" s="25">
        <v>-16</v>
      </c>
      <c r="BE162" s="30">
        <v>6.4</v>
      </c>
      <c r="BF162" s="29"/>
      <c r="BG162">
        <v>32</v>
      </c>
      <c r="BH162" s="25">
        <v>-32</v>
      </c>
      <c r="BI162" s="30">
        <v>12.8</v>
      </c>
      <c r="BJ162" s="29"/>
      <c r="BK162">
        <v>8</v>
      </c>
      <c r="BL162" s="25">
        <v>-8</v>
      </c>
      <c r="BM162" s="30">
        <v>3.2</v>
      </c>
      <c r="BO162">
        <v>35</v>
      </c>
      <c r="BP162" s="25">
        <v>-35</v>
      </c>
      <c r="BQ162" s="30">
        <v>14</v>
      </c>
      <c r="BR162" s="29"/>
      <c r="BS162">
        <v>38</v>
      </c>
      <c r="BT162" s="25">
        <v>-38</v>
      </c>
      <c r="BU162" s="30">
        <v>15.2</v>
      </c>
      <c r="BV162">
        <v>16</v>
      </c>
      <c r="BW162">
        <v>15</v>
      </c>
      <c r="BX162" s="26">
        <v>1</v>
      </c>
      <c r="BY162" s="30"/>
      <c r="BZ162" s="29"/>
      <c r="CB162" s="26">
        <v>0</v>
      </c>
      <c r="CC162" s="30"/>
      <c r="CD162" s="32">
        <v>32</v>
      </c>
      <c r="CE162">
        <v>30</v>
      </c>
      <c r="CF162" s="26">
        <v>2</v>
      </c>
      <c r="CG162" s="30"/>
      <c r="CJ162" s="26">
        <v>0</v>
      </c>
      <c r="CK162" s="30"/>
      <c r="CL162" s="29"/>
      <c r="CN162">
        <v>8</v>
      </c>
      <c r="CO162">
        <v>8</v>
      </c>
      <c r="CP162" s="26">
        <v>0</v>
      </c>
      <c r="CQ162" s="30"/>
      <c r="CR162" s="32">
        <v>16</v>
      </c>
      <c r="CS162">
        <v>18</v>
      </c>
      <c r="CT162" s="26">
        <v>-2</v>
      </c>
      <c r="CU162" s="30"/>
      <c r="CZ162" s="26">
        <v>0</v>
      </c>
      <c r="DA162" s="30"/>
      <c r="DB162">
        <v>8</v>
      </c>
      <c r="DC162">
        <v>9</v>
      </c>
      <c r="DD162" s="26">
        <v>-1</v>
      </c>
      <c r="DE162" s="30"/>
      <c r="DF162" s="29"/>
      <c r="DH162" s="26">
        <v>0</v>
      </c>
      <c r="DI162" s="30"/>
      <c r="DJ162" s="32">
        <v>8</v>
      </c>
      <c r="DK162">
        <v>8</v>
      </c>
      <c r="DL162" s="26">
        <v>0</v>
      </c>
      <c r="DM162" s="30"/>
      <c r="DP162" s="26">
        <v>0</v>
      </c>
      <c r="DQ162" s="30"/>
      <c r="DR162" s="29"/>
      <c r="DU162" s="26">
        <v>0</v>
      </c>
      <c r="DV162" s="30"/>
      <c r="DW162" s="29"/>
      <c r="DY162">
        <v>8</v>
      </c>
      <c r="DZ162">
        <v>12</v>
      </c>
      <c r="EA162" s="26">
        <v>-4</v>
      </c>
      <c r="EB162" s="30"/>
      <c r="EC162" s="32">
        <v>8</v>
      </c>
      <c r="EE162">
        <v>8</v>
      </c>
      <c r="EF162" s="26">
        <v>0</v>
      </c>
      <c r="EG162" s="30"/>
      <c r="EH162">
        <v>8</v>
      </c>
      <c r="EI162" s="26">
        <v>10.8</v>
      </c>
      <c r="EJ162" s="26">
        <v>-2.8000000000000012</v>
      </c>
      <c r="EK162" s="30"/>
      <c r="EL162" s="31"/>
      <c r="EN162" s="26">
        <v>0</v>
      </c>
      <c r="EO162" s="30"/>
      <c r="EP162" s="32">
        <v>8</v>
      </c>
      <c r="EQ162" s="26">
        <v>7.4</v>
      </c>
      <c r="ER162" s="26">
        <v>0.59999999999999964</v>
      </c>
      <c r="ES162" s="30"/>
      <c r="ET162" s="29"/>
      <c r="EV162" s="26">
        <v>0</v>
      </c>
      <c r="EW162" s="30"/>
      <c r="EZ162" s="26">
        <v>0</v>
      </c>
      <c r="FA162" s="30"/>
      <c r="FB162">
        <v>8</v>
      </c>
      <c r="FC162">
        <v>8</v>
      </c>
      <c r="FD162" s="26">
        <v>0</v>
      </c>
      <c r="FE162" s="30"/>
      <c r="FF162" s="29"/>
      <c r="FI162" s="26">
        <v>0</v>
      </c>
      <c r="FJ162" s="30"/>
      <c r="FK162" s="32">
        <v>8</v>
      </c>
      <c r="FM162">
        <v>12</v>
      </c>
      <c r="FN162" s="26">
        <v>-4</v>
      </c>
      <c r="FO162" s="30"/>
      <c r="FR162" s="26">
        <v>0</v>
      </c>
      <c r="FS162" s="30"/>
      <c r="FT162" s="29"/>
      <c r="FW162">
        <v>8</v>
      </c>
      <c r="FX162">
        <v>6</v>
      </c>
      <c r="FY162" s="26">
        <v>2</v>
      </c>
      <c r="FZ162" s="30"/>
      <c r="GC162" s="26">
        <v>0</v>
      </c>
      <c r="GD162" s="30"/>
      <c r="GE162" s="29"/>
      <c r="GI162" s="26">
        <v>0</v>
      </c>
      <c r="GJ162" s="30"/>
      <c r="GO162" s="26">
        <v>0</v>
      </c>
      <c r="GP162" s="30"/>
      <c r="GS162" s="26">
        <v>0</v>
      </c>
      <c r="GT162" s="30"/>
      <c r="GU162" s="29"/>
      <c r="GW162" s="26">
        <v>0</v>
      </c>
      <c r="GX162" s="30"/>
      <c r="GY162" s="32">
        <v>16</v>
      </c>
      <c r="GZ162">
        <v>16</v>
      </c>
      <c r="HA162" s="26">
        <v>0</v>
      </c>
      <c r="HB162" s="30"/>
      <c r="HC162">
        <v>32</v>
      </c>
      <c r="HD162" s="26">
        <v>32</v>
      </c>
      <c r="HE162" s="26">
        <v>0</v>
      </c>
      <c r="HF162" s="30"/>
      <c r="HG162" s="29"/>
      <c r="HI162" s="26">
        <v>0</v>
      </c>
      <c r="HJ162" s="30"/>
      <c r="HK162" s="29"/>
      <c r="HN162" s="30"/>
      <c r="HR162" s="33"/>
      <c r="HV162" s="30"/>
      <c r="HZ162" s="33"/>
      <c r="ID162" s="30"/>
      <c r="IH162" s="34"/>
      <c r="IL162" s="30"/>
      <c r="IM162" s="32"/>
      <c r="IP162" s="33"/>
      <c r="IT162" s="33"/>
      <c r="IX162" s="33"/>
      <c r="JB162" s="30"/>
      <c r="JC162" s="27"/>
      <c r="JH162" s="33"/>
      <c r="JL162" s="33"/>
      <c r="JP162" s="33"/>
      <c r="JQ162" s="31"/>
      <c r="JT162" s="33"/>
    </row>
    <row r="163" spans="1:280" x14ac:dyDescent="0.25">
      <c r="A163" s="26" t="s">
        <v>314</v>
      </c>
      <c r="B163" s="27">
        <v>1</v>
      </c>
      <c r="I163" s="29"/>
      <c r="J163" s="35"/>
      <c r="K163" s="40"/>
      <c r="L163" s="35"/>
      <c r="M163" s="35">
        <f t="shared" si="12"/>
        <v>0</v>
      </c>
      <c r="N163" s="30"/>
      <c r="O163" s="29"/>
      <c r="P163" s="35"/>
      <c r="Q163" s="35"/>
      <c r="R163" s="35"/>
      <c r="S163" s="35">
        <f t="shared" si="13"/>
        <v>0</v>
      </c>
      <c r="T163" s="30"/>
      <c r="U163" s="29"/>
      <c r="V163" s="40"/>
      <c r="W163" s="35"/>
      <c r="X163" s="35"/>
      <c r="Y163" s="35"/>
      <c r="Z163" s="35"/>
      <c r="AA163" s="35">
        <f t="shared" si="14"/>
        <v>0</v>
      </c>
      <c r="AB163" s="30"/>
      <c r="AC163" s="29"/>
      <c r="AD163" s="35"/>
      <c r="AE163" s="35"/>
      <c r="AF163" s="35"/>
      <c r="AG163" s="35">
        <v>0</v>
      </c>
      <c r="AH163" s="30"/>
      <c r="AI163" s="35"/>
      <c r="AM163" s="26">
        <v>0</v>
      </c>
      <c r="AN163" s="30"/>
      <c r="AO163" s="31"/>
      <c r="AS163" s="26">
        <v>0</v>
      </c>
      <c r="AT163" s="30"/>
      <c r="AY163" s="26">
        <v>0</v>
      </c>
      <c r="AZ163" s="30"/>
      <c r="BD163" s="26">
        <v>0</v>
      </c>
      <c r="BE163" s="30"/>
      <c r="BF163" s="29"/>
      <c r="BH163" s="26">
        <v>0</v>
      </c>
      <c r="BI163" s="30"/>
      <c r="BJ163" s="29"/>
      <c r="BL163" s="26">
        <v>0</v>
      </c>
      <c r="BM163" s="30"/>
      <c r="BP163" s="26">
        <v>0</v>
      </c>
      <c r="BQ163" s="30"/>
      <c r="BR163" s="29"/>
      <c r="BT163" s="26">
        <v>0</v>
      </c>
      <c r="BU163" s="30"/>
      <c r="BX163" s="26">
        <v>0</v>
      </c>
      <c r="BY163" s="30"/>
      <c r="BZ163" s="29"/>
      <c r="CB163" s="26">
        <v>0</v>
      </c>
      <c r="CC163" s="30"/>
      <c r="CD163" s="29"/>
      <c r="CF163" s="26">
        <v>0</v>
      </c>
      <c r="CG163" s="30"/>
      <c r="CJ163" s="26">
        <v>0</v>
      </c>
      <c r="CK163" s="30"/>
      <c r="CL163" s="29"/>
      <c r="CP163" s="26">
        <v>0</v>
      </c>
      <c r="CQ163" s="30"/>
      <c r="CR163" s="29"/>
      <c r="CT163" s="26">
        <v>0</v>
      </c>
      <c r="CU163" s="30"/>
      <c r="CZ163" s="26">
        <v>0</v>
      </c>
      <c r="DA163" s="30"/>
      <c r="DD163" s="26">
        <v>0</v>
      </c>
      <c r="DE163" s="30"/>
      <c r="DF163" s="29"/>
      <c r="DH163" s="26">
        <v>0</v>
      </c>
      <c r="DI163" s="30"/>
      <c r="DJ163" s="29"/>
      <c r="DL163" s="26">
        <v>0</v>
      </c>
      <c r="DM163" s="30"/>
      <c r="DP163" s="26">
        <v>0</v>
      </c>
      <c r="DQ163" s="30"/>
      <c r="DR163" s="29"/>
      <c r="DU163" s="26">
        <v>0</v>
      </c>
      <c r="DV163" s="30"/>
      <c r="DW163" s="29"/>
      <c r="EA163" s="26">
        <v>0</v>
      </c>
      <c r="EB163" s="30"/>
      <c r="EC163" s="29"/>
      <c r="EF163" s="26">
        <v>0</v>
      </c>
      <c r="EG163" s="30"/>
      <c r="EJ163" s="26">
        <v>0</v>
      </c>
      <c r="EK163" s="30"/>
      <c r="EL163" s="31"/>
      <c r="EN163" s="26">
        <v>0</v>
      </c>
      <c r="EO163" s="30"/>
      <c r="EP163" s="29"/>
      <c r="ER163" s="26">
        <v>0</v>
      </c>
      <c r="ES163" s="30"/>
      <c r="ET163" s="29"/>
      <c r="EV163" s="26">
        <v>0</v>
      </c>
      <c r="EW163" s="30"/>
      <c r="EZ163" s="26">
        <v>0</v>
      </c>
      <c r="FA163" s="30"/>
      <c r="FD163" s="26">
        <v>0</v>
      </c>
      <c r="FE163" s="30"/>
      <c r="FF163" s="29"/>
      <c r="FI163" s="26">
        <v>0</v>
      </c>
      <c r="FJ163" s="30"/>
      <c r="FK163" s="29"/>
      <c r="FN163" s="26">
        <v>0</v>
      </c>
      <c r="FO163" s="30"/>
      <c r="FR163" s="26">
        <v>0</v>
      </c>
      <c r="FS163" s="30"/>
      <c r="FT163" s="29"/>
      <c r="FY163" s="26">
        <v>0</v>
      </c>
      <c r="FZ163" s="30"/>
      <c r="GC163" s="26">
        <v>0</v>
      </c>
      <c r="GD163" s="30"/>
      <c r="GE163" s="29"/>
      <c r="GI163" s="26">
        <v>0</v>
      </c>
      <c r="GJ163" s="30"/>
      <c r="GO163" s="26">
        <v>0</v>
      </c>
      <c r="GP163" s="30"/>
      <c r="GS163" s="26">
        <v>0</v>
      </c>
      <c r="GT163" s="30"/>
      <c r="GU163" s="32">
        <v>5</v>
      </c>
      <c r="GV163">
        <v>4</v>
      </c>
      <c r="GW163" s="26">
        <v>1</v>
      </c>
      <c r="GX163" s="30"/>
      <c r="GY163" s="32">
        <v>10</v>
      </c>
      <c r="GZ163">
        <v>8</v>
      </c>
      <c r="HA163" s="26">
        <v>2</v>
      </c>
      <c r="HB163" s="30"/>
      <c r="HE163" s="26">
        <v>0</v>
      </c>
      <c r="HF163" s="30"/>
      <c r="HG163" s="29"/>
      <c r="HI163" s="26">
        <v>0</v>
      </c>
      <c r="HJ163" s="30"/>
      <c r="HK163" s="29"/>
      <c r="HN163" s="30"/>
      <c r="HR163" s="33"/>
      <c r="HV163" s="30"/>
      <c r="HZ163" s="33"/>
      <c r="IA163" s="27"/>
      <c r="ID163" s="30"/>
      <c r="IH163" s="34"/>
      <c r="IL163" s="30"/>
      <c r="IM163" s="32"/>
      <c r="IP163" s="33"/>
      <c r="IQ163" s="28"/>
      <c r="IT163" s="33"/>
      <c r="IX163" s="33"/>
      <c r="JB163" s="30"/>
      <c r="JC163" s="27"/>
      <c r="JH163" s="33"/>
      <c r="JL163" s="33"/>
      <c r="JP163" s="33"/>
      <c r="JQ163" s="31"/>
      <c r="JT163" s="33"/>
    </row>
    <row r="164" spans="1:280" x14ac:dyDescent="0.25">
      <c r="A164" s="26" t="s">
        <v>315</v>
      </c>
      <c r="B164" s="27">
        <v>0.84</v>
      </c>
      <c r="I164" s="29"/>
      <c r="J164" s="35"/>
      <c r="K164" s="40"/>
      <c r="L164" s="35"/>
      <c r="M164" s="35">
        <f t="shared" si="12"/>
        <v>0</v>
      </c>
      <c r="N164" s="30"/>
      <c r="O164" s="29"/>
      <c r="P164" s="35"/>
      <c r="Q164" s="35"/>
      <c r="R164" s="35"/>
      <c r="S164" s="35">
        <f t="shared" si="13"/>
        <v>0</v>
      </c>
      <c r="T164" s="30"/>
      <c r="U164" s="29"/>
      <c r="V164" s="40"/>
      <c r="W164" s="35"/>
      <c r="X164" s="35"/>
      <c r="Y164" s="35"/>
      <c r="Z164" s="35"/>
      <c r="AA164" s="35">
        <f t="shared" si="14"/>
        <v>0</v>
      </c>
      <c r="AB164" s="30"/>
      <c r="AC164" s="29"/>
      <c r="AD164" s="35"/>
      <c r="AE164" s="35"/>
      <c r="AF164" s="35"/>
      <c r="AG164" s="35">
        <v>0</v>
      </c>
      <c r="AH164" s="30"/>
      <c r="AI164" s="35"/>
      <c r="AM164" s="26">
        <v>0</v>
      </c>
      <c r="AN164" s="30"/>
      <c r="AO164" s="31"/>
      <c r="AS164" s="26">
        <v>0</v>
      </c>
      <c r="AT164" s="30"/>
      <c r="AY164" s="26">
        <v>0</v>
      </c>
      <c r="AZ164" s="30"/>
      <c r="BD164" s="26">
        <v>0</v>
      </c>
      <c r="BE164" s="30"/>
      <c r="BF164" s="29"/>
      <c r="BH164" s="26">
        <v>0</v>
      </c>
      <c r="BI164" s="30"/>
      <c r="BJ164" s="29"/>
      <c r="BL164" s="26">
        <v>0</v>
      </c>
      <c r="BM164" s="30"/>
      <c r="BP164" s="26">
        <v>0</v>
      </c>
      <c r="BQ164" s="30"/>
      <c r="BR164" s="29"/>
      <c r="BT164" s="26">
        <v>0</v>
      </c>
      <c r="BU164" s="30"/>
      <c r="BX164" s="26">
        <v>0</v>
      </c>
      <c r="BY164" s="30"/>
      <c r="BZ164" s="29"/>
      <c r="CB164" s="26">
        <v>0</v>
      </c>
      <c r="CC164" s="30"/>
      <c r="CD164" s="29"/>
      <c r="CF164" s="26">
        <v>0</v>
      </c>
      <c r="CG164" s="30"/>
      <c r="CJ164" s="26">
        <v>0</v>
      </c>
      <c r="CK164" s="30"/>
      <c r="CL164" s="29"/>
      <c r="CP164" s="26">
        <v>0</v>
      </c>
      <c r="CQ164" s="30"/>
      <c r="CR164" s="29"/>
      <c r="CT164" s="26">
        <v>0</v>
      </c>
      <c r="CU164" s="30"/>
      <c r="CZ164" s="26">
        <v>0</v>
      </c>
      <c r="DA164" s="30"/>
      <c r="DD164" s="26">
        <v>0</v>
      </c>
      <c r="DE164" s="30"/>
      <c r="DF164" s="29"/>
      <c r="DH164" s="26">
        <v>0</v>
      </c>
      <c r="DI164" s="30"/>
      <c r="DJ164" s="29"/>
      <c r="DL164" s="26">
        <v>0</v>
      </c>
      <c r="DM164" s="30"/>
      <c r="DP164" s="26">
        <v>0</v>
      </c>
      <c r="DQ164" s="30"/>
      <c r="DR164" s="29"/>
      <c r="DU164" s="26">
        <v>0</v>
      </c>
      <c r="DV164" s="30"/>
      <c r="DW164" s="29"/>
      <c r="EA164" s="26">
        <v>0</v>
      </c>
      <c r="EB164" s="30"/>
      <c r="EC164" s="29"/>
      <c r="EF164" s="26">
        <v>0</v>
      </c>
      <c r="EG164" s="30"/>
      <c r="EJ164" s="26">
        <v>0</v>
      </c>
      <c r="EK164" s="30"/>
      <c r="EL164" s="31"/>
      <c r="EN164" s="26">
        <v>0</v>
      </c>
      <c r="EO164" s="30"/>
      <c r="EP164" s="29"/>
      <c r="ER164" s="26">
        <v>0</v>
      </c>
      <c r="ES164" s="30"/>
      <c r="ET164" s="29"/>
      <c r="EV164" s="26">
        <v>0</v>
      </c>
      <c r="EW164" s="30"/>
      <c r="EZ164" s="26">
        <v>0</v>
      </c>
      <c r="FA164" s="30"/>
      <c r="FD164" s="26">
        <v>0</v>
      </c>
      <c r="FE164" s="30"/>
      <c r="FF164" s="29"/>
      <c r="FI164" s="26">
        <v>0</v>
      </c>
      <c r="FJ164" s="30"/>
      <c r="FK164" s="29"/>
      <c r="FN164" s="26">
        <v>0</v>
      </c>
      <c r="FO164" s="30"/>
      <c r="FR164" s="26">
        <v>0</v>
      </c>
      <c r="FS164" s="30"/>
      <c r="FT164" s="29"/>
      <c r="FY164" s="26">
        <v>0</v>
      </c>
      <c r="FZ164" s="30"/>
      <c r="GC164" s="26">
        <v>0</v>
      </c>
      <c r="GD164" s="30"/>
      <c r="GE164" s="29"/>
      <c r="GH164">
        <v>6</v>
      </c>
      <c r="GI164" s="25">
        <v>-6</v>
      </c>
      <c r="GJ164" s="30">
        <v>5.04</v>
      </c>
      <c r="GN164">
        <v>6</v>
      </c>
      <c r="GO164" s="25">
        <v>-6</v>
      </c>
      <c r="GP164" s="30">
        <v>5.04</v>
      </c>
      <c r="GR164" s="28">
        <v>6</v>
      </c>
      <c r="GS164" s="25">
        <v>-6</v>
      </c>
      <c r="GT164" s="30">
        <v>5.04</v>
      </c>
      <c r="GU164" s="29"/>
      <c r="GW164" s="26">
        <v>0</v>
      </c>
      <c r="GX164" s="30"/>
      <c r="GY164" s="29"/>
      <c r="HA164" s="26">
        <v>0</v>
      </c>
      <c r="HB164" s="30"/>
      <c r="HF164" s="30"/>
      <c r="HG164" s="29"/>
      <c r="HJ164" s="30"/>
      <c r="HK164" s="29"/>
      <c r="HN164" s="30"/>
      <c r="HR164" s="33"/>
      <c r="HV164" s="30"/>
      <c r="HZ164" s="33"/>
      <c r="IA164" s="27"/>
      <c r="ID164" s="30"/>
      <c r="IH164" s="34"/>
      <c r="IL164" s="30"/>
      <c r="IM164" s="32"/>
      <c r="IP164" s="33"/>
      <c r="IQ164" s="28"/>
      <c r="IT164" s="33"/>
      <c r="IX164" s="33"/>
      <c r="JB164" s="30"/>
      <c r="JC164" s="27"/>
      <c r="JH164" s="33"/>
      <c r="JL164" s="33"/>
      <c r="JP164" s="33"/>
      <c r="JQ164" s="31"/>
      <c r="JT164" s="33"/>
    </row>
    <row r="165" spans="1:280" x14ac:dyDescent="0.25">
      <c r="A165" s="26" t="s">
        <v>316</v>
      </c>
      <c r="B165" s="27">
        <v>0.84</v>
      </c>
      <c r="I165" s="29"/>
      <c r="J165" s="35"/>
      <c r="K165" s="40"/>
      <c r="L165" s="35"/>
      <c r="M165" s="35">
        <f t="shared" si="12"/>
        <v>0</v>
      </c>
      <c r="N165" s="30"/>
      <c r="O165" s="29"/>
      <c r="P165" s="35"/>
      <c r="Q165" s="35"/>
      <c r="R165" s="35"/>
      <c r="S165" s="35">
        <f t="shared" si="13"/>
        <v>0</v>
      </c>
      <c r="T165" s="30"/>
      <c r="U165" s="29"/>
      <c r="V165" s="40"/>
      <c r="W165" s="35"/>
      <c r="X165" s="35"/>
      <c r="Y165" s="35"/>
      <c r="Z165" s="35"/>
      <c r="AA165" s="35">
        <f t="shared" si="14"/>
        <v>0</v>
      </c>
      <c r="AB165" s="30"/>
      <c r="AC165" s="29"/>
      <c r="AD165" s="35"/>
      <c r="AE165" s="35"/>
      <c r="AF165" s="35"/>
      <c r="AG165" s="35">
        <v>0</v>
      </c>
      <c r="AH165" s="30"/>
      <c r="AI165" s="35"/>
      <c r="AM165" s="26">
        <v>0</v>
      </c>
      <c r="AN165" s="30"/>
      <c r="AO165" s="31"/>
      <c r="AS165" s="26">
        <v>0</v>
      </c>
      <c r="AT165" s="30"/>
      <c r="AY165" s="26">
        <v>0</v>
      </c>
      <c r="AZ165" s="30"/>
      <c r="BD165" s="26">
        <v>0</v>
      </c>
      <c r="BE165" s="30"/>
      <c r="BF165" s="29"/>
      <c r="BH165" s="26">
        <v>0</v>
      </c>
      <c r="BI165" s="30"/>
      <c r="BJ165" s="29"/>
      <c r="BL165" s="26">
        <v>0</v>
      </c>
      <c r="BM165" s="30"/>
      <c r="BP165" s="26">
        <v>0</v>
      </c>
      <c r="BQ165" s="30"/>
      <c r="BR165" s="29"/>
      <c r="BT165" s="26">
        <v>0</v>
      </c>
      <c r="BU165" s="30"/>
      <c r="BX165" s="26">
        <v>0</v>
      </c>
      <c r="BY165" s="30"/>
      <c r="BZ165" s="29"/>
      <c r="CB165" s="26">
        <v>0</v>
      </c>
      <c r="CC165" s="30"/>
      <c r="CD165" s="29"/>
      <c r="CF165" s="26">
        <v>0</v>
      </c>
      <c r="CG165" s="30"/>
      <c r="CJ165" s="26">
        <v>0</v>
      </c>
      <c r="CK165" s="30"/>
      <c r="CL165" s="29"/>
      <c r="CP165" s="26">
        <v>0</v>
      </c>
      <c r="CQ165" s="30"/>
      <c r="CR165" s="29"/>
      <c r="CT165" s="26">
        <v>0</v>
      </c>
      <c r="CU165" s="30"/>
      <c r="CZ165" s="26">
        <v>0</v>
      </c>
      <c r="DA165" s="30"/>
      <c r="DD165" s="26">
        <v>0</v>
      </c>
      <c r="DE165" s="30"/>
      <c r="DF165" s="29"/>
      <c r="DH165" s="26">
        <v>0</v>
      </c>
      <c r="DI165" s="30"/>
      <c r="DJ165" s="29"/>
      <c r="DL165" s="26">
        <v>0</v>
      </c>
      <c r="DM165" s="30"/>
      <c r="DP165" s="26">
        <v>0</v>
      </c>
      <c r="DQ165" s="30"/>
      <c r="DR165" s="29"/>
      <c r="DU165" s="26">
        <v>0</v>
      </c>
      <c r="DV165" s="30"/>
      <c r="DW165" s="29"/>
      <c r="EA165" s="26">
        <v>0</v>
      </c>
      <c r="EB165" s="30"/>
      <c r="EC165" s="29"/>
      <c r="EF165" s="26">
        <v>0</v>
      </c>
      <c r="EG165" s="30"/>
      <c r="EJ165" s="26">
        <v>0</v>
      </c>
      <c r="EK165" s="30"/>
      <c r="EL165" s="31"/>
      <c r="EN165" s="26">
        <v>0</v>
      </c>
      <c r="EO165" s="30"/>
      <c r="EP165" s="29"/>
      <c r="ER165" s="26">
        <v>0</v>
      </c>
      <c r="ES165" s="30"/>
      <c r="ET165" s="29"/>
      <c r="EV165" s="26">
        <v>0</v>
      </c>
      <c r="EW165" s="30"/>
      <c r="EZ165" s="26">
        <v>0</v>
      </c>
      <c r="FA165" s="30"/>
      <c r="FD165" s="26">
        <v>0</v>
      </c>
      <c r="FE165" s="30"/>
      <c r="FF165" s="29"/>
      <c r="FI165" s="26">
        <v>0</v>
      </c>
      <c r="FJ165" s="30"/>
      <c r="FK165" s="29"/>
      <c r="FN165" s="26">
        <v>0</v>
      </c>
      <c r="FO165" s="30"/>
      <c r="FR165" s="26">
        <v>0</v>
      </c>
      <c r="FS165" s="30"/>
      <c r="FT165" s="29"/>
      <c r="FY165" s="26">
        <v>0</v>
      </c>
      <c r="FZ165" s="30"/>
      <c r="GC165" s="26">
        <v>0</v>
      </c>
      <c r="GD165" s="30"/>
      <c r="GE165" s="29"/>
      <c r="GI165" s="26">
        <v>0</v>
      </c>
      <c r="GJ165" s="30"/>
      <c r="GO165" s="26">
        <v>0</v>
      </c>
      <c r="GP165" s="30"/>
      <c r="GS165" s="26">
        <v>0</v>
      </c>
      <c r="GT165" s="30"/>
      <c r="GU165" s="29"/>
      <c r="GW165" s="26">
        <v>0</v>
      </c>
      <c r="GX165" s="30"/>
      <c r="GY165" s="29"/>
      <c r="HA165" s="26">
        <v>0</v>
      </c>
      <c r="HB165" s="30"/>
      <c r="HC165" s="26">
        <v>12</v>
      </c>
      <c r="HD165" s="26">
        <v>15</v>
      </c>
      <c r="HE165" s="26">
        <v>-3</v>
      </c>
      <c r="HF165" s="30"/>
      <c r="HG165" s="29"/>
      <c r="HI165" s="26">
        <v>0</v>
      </c>
      <c r="HJ165" s="30"/>
      <c r="HK165" s="29"/>
      <c r="HN165" s="30"/>
      <c r="HR165" s="33"/>
      <c r="HV165" s="30"/>
      <c r="HZ165" s="33"/>
      <c r="ID165" s="30"/>
      <c r="IH165" s="34"/>
      <c r="IL165" s="30"/>
      <c r="IM165" s="32"/>
      <c r="IP165" s="33"/>
      <c r="IT165" s="33"/>
      <c r="IX165" s="33"/>
      <c r="JB165" s="30"/>
      <c r="JC165" s="27"/>
      <c r="JH165" s="33"/>
      <c r="JL165" s="33"/>
      <c r="JP165" s="33"/>
      <c r="JQ165" s="31"/>
      <c r="JT165" s="33"/>
    </row>
    <row r="166" spans="1:280" x14ac:dyDescent="0.25">
      <c r="A166" s="26" t="s">
        <v>317</v>
      </c>
      <c r="B166" s="27">
        <v>0.35</v>
      </c>
      <c r="E166">
        <v>148</v>
      </c>
      <c r="F166">
        <v>148</v>
      </c>
      <c r="I166" s="32">
        <v>64</v>
      </c>
      <c r="J166" s="36">
        <v>70</v>
      </c>
      <c r="K166" s="36">
        <v>64</v>
      </c>
      <c r="L166" s="36">
        <v>71</v>
      </c>
      <c r="M166" s="35">
        <f t="shared" si="12"/>
        <v>-13</v>
      </c>
      <c r="N166" s="30"/>
      <c r="O166" s="32">
        <v>184</v>
      </c>
      <c r="P166" s="36">
        <v>184</v>
      </c>
      <c r="Q166" s="36">
        <v>160</v>
      </c>
      <c r="R166" s="36">
        <v>173</v>
      </c>
      <c r="S166" s="41">
        <f t="shared" si="13"/>
        <v>-13</v>
      </c>
      <c r="T166" s="30">
        <f>-1*S166*B166</f>
        <v>4.55</v>
      </c>
      <c r="U166" s="29"/>
      <c r="V166" s="40"/>
      <c r="W166" s="35"/>
      <c r="X166" s="35"/>
      <c r="Y166" s="35"/>
      <c r="Z166" s="35"/>
      <c r="AA166" s="35">
        <f t="shared" si="14"/>
        <v>0</v>
      </c>
      <c r="AB166" s="30"/>
      <c r="AC166" s="32">
        <v>152</v>
      </c>
      <c r="AD166" s="40">
        <v>156.47058823529409</v>
      </c>
      <c r="AE166" s="36">
        <v>104</v>
      </c>
      <c r="AF166" s="40">
        <v>109.5294117647059</v>
      </c>
      <c r="AG166" s="35">
        <v>-9.9999999999999858</v>
      </c>
      <c r="AH166" s="30"/>
      <c r="AI166" s="36">
        <v>144</v>
      </c>
      <c r="AJ166">
        <v>144</v>
      </c>
      <c r="AK166">
        <v>112</v>
      </c>
      <c r="AL166">
        <v>115</v>
      </c>
      <c r="AM166" s="26">
        <v>-3</v>
      </c>
      <c r="AN166" s="30"/>
      <c r="AO166" s="31"/>
      <c r="AS166" s="26">
        <v>0</v>
      </c>
      <c r="AT166" s="30"/>
      <c r="AU166">
        <v>56</v>
      </c>
      <c r="AV166">
        <v>60</v>
      </c>
      <c r="AW166">
        <v>136</v>
      </c>
      <c r="AX166">
        <v>142</v>
      </c>
      <c r="AY166" s="26">
        <v>-10</v>
      </c>
      <c r="AZ166" s="30"/>
      <c r="BB166">
        <v>264</v>
      </c>
      <c r="BC166">
        <v>265</v>
      </c>
      <c r="BD166" s="26">
        <v>-1</v>
      </c>
      <c r="BE166" s="30"/>
      <c r="BF166" s="29"/>
      <c r="BH166" s="26">
        <v>0</v>
      </c>
      <c r="BI166" s="30"/>
      <c r="BJ166" s="32">
        <v>168</v>
      </c>
      <c r="BK166">
        <v>172</v>
      </c>
      <c r="BL166" s="26">
        <v>-4</v>
      </c>
      <c r="BM166" s="30"/>
      <c r="BN166">
        <v>208</v>
      </c>
      <c r="BO166">
        <v>212</v>
      </c>
      <c r="BP166" s="26">
        <v>-4</v>
      </c>
      <c r="BQ166" s="30"/>
      <c r="BR166" s="32">
        <v>16</v>
      </c>
      <c r="BS166">
        <v>20</v>
      </c>
      <c r="BT166" s="26">
        <v>-4</v>
      </c>
      <c r="BU166" s="30"/>
      <c r="BV166">
        <v>216</v>
      </c>
      <c r="BW166">
        <v>220</v>
      </c>
      <c r="BX166" s="26">
        <v>-4</v>
      </c>
      <c r="BY166" s="30"/>
      <c r="BZ166" s="32">
        <v>8</v>
      </c>
      <c r="CA166">
        <v>11</v>
      </c>
      <c r="CB166" s="26">
        <v>-3</v>
      </c>
      <c r="CC166" s="30"/>
      <c r="CD166" s="32">
        <v>200</v>
      </c>
      <c r="CE166">
        <v>200</v>
      </c>
      <c r="CF166" s="26">
        <v>0</v>
      </c>
      <c r="CG166" s="30"/>
      <c r="CJ166" s="26">
        <v>0</v>
      </c>
      <c r="CK166" s="30"/>
      <c r="CL166" s="32">
        <v>56</v>
      </c>
      <c r="CM166">
        <v>60</v>
      </c>
      <c r="CN166">
        <v>56</v>
      </c>
      <c r="CO166">
        <v>68</v>
      </c>
      <c r="CP166" s="25">
        <v>-16</v>
      </c>
      <c r="CQ166" s="30">
        <v>15.65</v>
      </c>
      <c r="CR166" s="32">
        <v>96</v>
      </c>
      <c r="CS166">
        <v>101</v>
      </c>
      <c r="CT166" s="26">
        <v>-5</v>
      </c>
      <c r="CU166" s="30"/>
      <c r="CX166">
        <v>64</v>
      </c>
      <c r="CY166">
        <v>62</v>
      </c>
      <c r="CZ166" s="26">
        <v>2</v>
      </c>
      <c r="DA166" s="30"/>
      <c r="DD166" s="26">
        <v>0</v>
      </c>
      <c r="DE166" s="30"/>
      <c r="DF166" s="32">
        <v>120</v>
      </c>
      <c r="DG166">
        <v>123</v>
      </c>
      <c r="DH166" s="26">
        <v>-3</v>
      </c>
      <c r="DI166" s="30"/>
      <c r="DJ166" s="32">
        <v>32</v>
      </c>
      <c r="DK166">
        <v>34</v>
      </c>
      <c r="DL166" s="26">
        <v>-2</v>
      </c>
      <c r="DM166" s="30"/>
      <c r="DP166" s="26">
        <v>0</v>
      </c>
      <c r="DQ166" s="30"/>
      <c r="DR166" s="29"/>
      <c r="DU166" s="26">
        <v>0</v>
      </c>
      <c r="DV166" s="30"/>
      <c r="DW166" s="29"/>
      <c r="DY166">
        <v>56</v>
      </c>
      <c r="DZ166">
        <v>57</v>
      </c>
      <c r="EA166" s="26">
        <v>-1</v>
      </c>
      <c r="EB166" s="30"/>
      <c r="EC166" s="32">
        <v>128</v>
      </c>
      <c r="EE166">
        <v>126</v>
      </c>
      <c r="EF166" s="26">
        <v>2</v>
      </c>
      <c r="EG166" s="30"/>
      <c r="EH166">
        <v>72</v>
      </c>
      <c r="EI166" s="26">
        <v>73.200000000000017</v>
      </c>
      <c r="EJ166" s="26">
        <v>-1.2000000000000171</v>
      </c>
      <c r="EK166" s="30"/>
      <c r="EL166" s="32">
        <v>32</v>
      </c>
      <c r="EM166" s="26">
        <v>32</v>
      </c>
      <c r="EN166" s="26">
        <v>0</v>
      </c>
      <c r="EO166" s="30"/>
      <c r="EP166" s="32">
        <v>48</v>
      </c>
      <c r="EQ166" s="26">
        <v>48.400000000000013</v>
      </c>
      <c r="ER166" s="26">
        <v>-0.40000000000001279</v>
      </c>
      <c r="ES166" s="30"/>
      <c r="ET166" s="32">
        <v>48</v>
      </c>
      <c r="EU166">
        <v>47</v>
      </c>
      <c r="EV166" s="26">
        <v>1</v>
      </c>
      <c r="EW166" s="30"/>
      <c r="EX166">
        <v>64</v>
      </c>
      <c r="EY166" s="28">
        <v>62.599999999999987</v>
      </c>
      <c r="EZ166" s="26">
        <v>1.400000000000013</v>
      </c>
      <c r="FA166" s="30"/>
      <c r="FB166">
        <v>40</v>
      </c>
      <c r="FC166">
        <v>45</v>
      </c>
      <c r="FD166" s="26">
        <v>-5</v>
      </c>
      <c r="FE166" s="30"/>
      <c r="FF166" s="32">
        <v>16</v>
      </c>
      <c r="FH166">
        <v>20</v>
      </c>
      <c r="FI166" s="26">
        <v>-4</v>
      </c>
      <c r="FJ166" s="30"/>
      <c r="FK166" s="32">
        <v>160</v>
      </c>
      <c r="FM166">
        <v>163</v>
      </c>
      <c r="FN166" s="26">
        <v>-3</v>
      </c>
      <c r="FO166" s="30"/>
      <c r="FP166">
        <v>16</v>
      </c>
      <c r="FQ166" s="28">
        <v>19.200000000000021</v>
      </c>
      <c r="FR166" s="26">
        <v>-3.200000000000021</v>
      </c>
      <c r="FS166" s="30"/>
      <c r="FT166" s="29"/>
      <c r="FW166">
        <v>80</v>
      </c>
      <c r="FX166">
        <v>78</v>
      </c>
      <c r="FY166" s="26">
        <v>2</v>
      </c>
      <c r="FZ166" s="30"/>
      <c r="GA166">
        <v>88</v>
      </c>
      <c r="GB166" s="28">
        <v>93</v>
      </c>
      <c r="GC166" s="26">
        <v>-5</v>
      </c>
      <c r="GD166" s="30"/>
      <c r="GE166" s="29"/>
      <c r="GI166" s="26">
        <v>0</v>
      </c>
      <c r="GJ166" s="30"/>
      <c r="GM166">
        <v>136</v>
      </c>
      <c r="GN166" s="26">
        <v>140</v>
      </c>
      <c r="GO166" s="26">
        <v>-4</v>
      </c>
      <c r="GP166" s="30"/>
      <c r="GS166" s="26">
        <v>0</v>
      </c>
      <c r="GT166" s="30"/>
      <c r="GU166" s="32">
        <v>40</v>
      </c>
      <c r="GV166">
        <v>40</v>
      </c>
      <c r="GW166" s="26">
        <v>0</v>
      </c>
      <c r="GX166" s="30"/>
      <c r="GY166" s="32">
        <v>56</v>
      </c>
      <c r="GZ166" s="26">
        <v>60</v>
      </c>
      <c r="HA166" s="26">
        <v>-4</v>
      </c>
      <c r="HB166" s="30"/>
      <c r="HE166" s="26">
        <v>0</v>
      </c>
      <c r="HF166" s="30"/>
      <c r="HG166" s="29"/>
      <c r="HI166" s="26">
        <v>0</v>
      </c>
      <c r="HJ166" s="30"/>
      <c r="HK166" s="29"/>
      <c r="HN166" s="30"/>
      <c r="HR166" s="33"/>
      <c r="HV166" s="30"/>
      <c r="HZ166" s="33"/>
      <c r="IA166" s="27"/>
      <c r="ID166" s="30"/>
      <c r="IH166" s="34"/>
      <c r="IL166" s="30"/>
      <c r="IM166" s="32"/>
      <c r="IP166" s="33"/>
      <c r="IQ166" s="28"/>
      <c r="IT166" s="33"/>
      <c r="IX166" s="33"/>
      <c r="JB166" s="30"/>
      <c r="JC166" s="27"/>
      <c r="JH166" s="33"/>
      <c r="JL166" s="33"/>
      <c r="JP166" s="33"/>
      <c r="JQ166" s="31"/>
      <c r="JT166" s="33"/>
    </row>
    <row r="167" spans="1:280" x14ac:dyDescent="0.25">
      <c r="A167" s="26" t="s">
        <v>318</v>
      </c>
      <c r="B167" s="27">
        <v>1</v>
      </c>
      <c r="E167">
        <v>214</v>
      </c>
      <c r="F167">
        <v>213</v>
      </c>
      <c r="I167" s="29"/>
      <c r="J167" s="35"/>
      <c r="K167" s="36">
        <v>17</v>
      </c>
      <c r="L167" s="36">
        <v>20</v>
      </c>
      <c r="M167" s="35">
        <f t="shared" si="12"/>
        <v>-3</v>
      </c>
      <c r="N167" s="30"/>
      <c r="O167" s="32">
        <v>202</v>
      </c>
      <c r="P167" s="36">
        <v>205</v>
      </c>
      <c r="Q167" s="36">
        <v>192</v>
      </c>
      <c r="R167" s="36">
        <v>191</v>
      </c>
      <c r="S167" s="35">
        <f t="shared" si="13"/>
        <v>-2</v>
      </c>
      <c r="T167" s="30"/>
      <c r="U167" s="32">
        <v>79</v>
      </c>
      <c r="V167" s="40"/>
      <c r="W167" s="36">
        <v>78</v>
      </c>
      <c r="X167" s="35"/>
      <c r="Y167" s="35"/>
      <c r="Z167" s="35"/>
      <c r="AA167" s="35">
        <f t="shared" si="14"/>
        <v>1</v>
      </c>
      <c r="AB167" s="30"/>
      <c r="AC167" s="32">
        <v>172</v>
      </c>
      <c r="AD167" s="40">
        <v>167.64705882352939</v>
      </c>
      <c r="AE167" s="36">
        <v>120</v>
      </c>
      <c r="AF167" s="40">
        <v>117.35294117647059</v>
      </c>
      <c r="AG167" s="35">
        <v>7.0000000000000142</v>
      </c>
      <c r="AH167" s="30"/>
      <c r="AI167" s="36">
        <v>159</v>
      </c>
      <c r="AJ167">
        <v>158</v>
      </c>
      <c r="AK167">
        <v>124</v>
      </c>
      <c r="AL167">
        <v>126</v>
      </c>
      <c r="AM167" s="26">
        <v>-1</v>
      </c>
      <c r="AN167" s="30"/>
      <c r="AO167" s="31"/>
      <c r="AS167" s="26">
        <v>0</v>
      </c>
      <c r="AT167" s="30"/>
      <c r="AU167">
        <v>79</v>
      </c>
      <c r="AV167">
        <v>80</v>
      </c>
      <c r="AW167">
        <v>140</v>
      </c>
      <c r="AX167">
        <v>144</v>
      </c>
      <c r="AY167" s="26">
        <v>-5</v>
      </c>
      <c r="AZ167" s="30"/>
      <c r="BB167">
        <v>135</v>
      </c>
      <c r="BC167">
        <v>134</v>
      </c>
      <c r="BD167" s="26">
        <v>1</v>
      </c>
      <c r="BE167" s="30"/>
      <c r="BF167" s="32">
        <v>292</v>
      </c>
      <c r="BG167">
        <v>291</v>
      </c>
      <c r="BH167" s="26">
        <v>1</v>
      </c>
      <c r="BI167" s="30"/>
      <c r="BJ167" s="32">
        <v>79</v>
      </c>
      <c r="BK167">
        <v>80</v>
      </c>
      <c r="BL167" s="26">
        <v>-1</v>
      </c>
      <c r="BM167" s="30"/>
      <c r="BN167">
        <v>192</v>
      </c>
      <c r="BO167">
        <v>188</v>
      </c>
      <c r="BP167" s="26">
        <v>4</v>
      </c>
      <c r="BQ167" s="30"/>
      <c r="BR167" s="32">
        <v>205</v>
      </c>
      <c r="BS167">
        <v>209</v>
      </c>
      <c r="BT167" s="25">
        <v>-4</v>
      </c>
      <c r="BU167" s="30">
        <v>4</v>
      </c>
      <c r="BV167">
        <v>164</v>
      </c>
      <c r="BW167">
        <v>161</v>
      </c>
      <c r="BX167" s="26">
        <v>3</v>
      </c>
      <c r="BY167" s="30"/>
      <c r="BZ167" s="32">
        <v>186</v>
      </c>
      <c r="CA167">
        <v>186</v>
      </c>
      <c r="CB167" s="26">
        <v>0</v>
      </c>
      <c r="CC167" s="30"/>
      <c r="CD167" s="32">
        <v>163</v>
      </c>
      <c r="CE167">
        <v>164</v>
      </c>
      <c r="CF167" s="26">
        <v>-1</v>
      </c>
      <c r="CG167" s="30"/>
      <c r="CJ167" s="26">
        <v>0</v>
      </c>
      <c r="CK167" s="30"/>
      <c r="CL167" s="32">
        <v>162</v>
      </c>
      <c r="CM167">
        <v>160</v>
      </c>
      <c r="CN167">
        <v>150</v>
      </c>
      <c r="CO167">
        <v>149</v>
      </c>
      <c r="CP167" s="26">
        <v>3</v>
      </c>
      <c r="CQ167" s="30"/>
      <c r="CR167" s="29"/>
      <c r="CT167" s="26">
        <v>0</v>
      </c>
      <c r="CU167" s="30"/>
      <c r="CV167">
        <v>101</v>
      </c>
      <c r="CW167">
        <v>100</v>
      </c>
      <c r="CX167">
        <v>230</v>
      </c>
      <c r="CY167">
        <v>231</v>
      </c>
      <c r="CZ167" s="26">
        <v>0</v>
      </c>
      <c r="DA167" s="30"/>
      <c r="DB167">
        <v>56</v>
      </c>
      <c r="DC167">
        <v>58</v>
      </c>
      <c r="DD167" s="26">
        <v>-2</v>
      </c>
      <c r="DE167" s="30"/>
      <c r="DF167" s="29"/>
      <c r="DH167" s="26">
        <v>0</v>
      </c>
      <c r="DI167" s="30"/>
      <c r="DJ167" s="32">
        <v>156</v>
      </c>
      <c r="DK167">
        <v>158</v>
      </c>
      <c r="DL167" s="26">
        <v>-2</v>
      </c>
      <c r="DM167" s="30"/>
      <c r="DN167">
        <v>169</v>
      </c>
      <c r="DO167">
        <v>170</v>
      </c>
      <c r="DP167" s="26">
        <v>-1</v>
      </c>
      <c r="DQ167" s="30"/>
      <c r="DR167" s="32">
        <v>62</v>
      </c>
      <c r="DT167">
        <v>63</v>
      </c>
      <c r="DU167" s="26">
        <v>-1</v>
      </c>
      <c r="DV167" s="30"/>
      <c r="DW167" s="29"/>
      <c r="DY167">
        <v>204</v>
      </c>
      <c r="DZ167">
        <v>195</v>
      </c>
      <c r="EA167" s="26">
        <v>9</v>
      </c>
      <c r="EB167" s="30"/>
      <c r="EC167" s="32">
        <v>56</v>
      </c>
      <c r="EE167">
        <v>55</v>
      </c>
      <c r="EF167" s="26">
        <v>1</v>
      </c>
      <c r="EG167" s="30"/>
      <c r="EH167">
        <v>118</v>
      </c>
      <c r="EI167" s="26">
        <v>117.9328</v>
      </c>
      <c r="EJ167" s="26">
        <v>6.7199999999999704E-2</v>
      </c>
      <c r="EK167" s="30"/>
      <c r="EL167" s="32">
        <v>57</v>
      </c>
      <c r="EM167" s="26">
        <v>56.322000000000017</v>
      </c>
      <c r="EN167" s="26">
        <v>0.67799999999998306</v>
      </c>
      <c r="EO167" s="30"/>
      <c r="EP167" s="32">
        <v>11</v>
      </c>
      <c r="EQ167" s="26">
        <v>12.433199999999999</v>
      </c>
      <c r="ER167" s="26">
        <v>-1.4331999999999989</v>
      </c>
      <c r="ES167" s="30"/>
      <c r="ET167" s="32">
        <v>62</v>
      </c>
      <c r="EU167">
        <v>60</v>
      </c>
      <c r="EV167" s="26">
        <v>2</v>
      </c>
      <c r="EW167" s="30"/>
      <c r="EX167">
        <v>107</v>
      </c>
      <c r="EY167" s="28">
        <v>104.83880000000001</v>
      </c>
      <c r="EZ167" s="26">
        <v>2.1611999999999938</v>
      </c>
      <c r="FA167" s="30"/>
      <c r="FB167">
        <v>73</v>
      </c>
      <c r="FC167">
        <v>73</v>
      </c>
      <c r="FD167" s="26">
        <v>0</v>
      </c>
      <c r="FE167" s="30"/>
      <c r="FF167" s="32">
        <v>68</v>
      </c>
      <c r="FH167">
        <v>65</v>
      </c>
      <c r="FI167" s="26">
        <v>3</v>
      </c>
      <c r="FJ167" s="30"/>
      <c r="FK167" s="32">
        <v>84</v>
      </c>
      <c r="FM167">
        <v>83</v>
      </c>
      <c r="FN167" s="26">
        <v>1</v>
      </c>
      <c r="FO167" s="30"/>
      <c r="FR167" s="26">
        <v>0</v>
      </c>
      <c r="FS167" s="30"/>
      <c r="FT167" s="29"/>
      <c r="FU167">
        <v>101</v>
      </c>
      <c r="FV167">
        <v>100</v>
      </c>
      <c r="FW167">
        <v>101</v>
      </c>
      <c r="FX167">
        <v>101</v>
      </c>
      <c r="FY167" s="26">
        <v>1</v>
      </c>
      <c r="FZ167" s="30"/>
      <c r="GA167">
        <v>22</v>
      </c>
      <c r="GB167" s="28">
        <v>24.472999999999999</v>
      </c>
      <c r="GC167" s="26">
        <v>-2.472999999999999</v>
      </c>
      <c r="GD167" s="30"/>
      <c r="GE167" s="32">
        <v>61</v>
      </c>
      <c r="GF167">
        <v>60</v>
      </c>
      <c r="GG167">
        <v>107</v>
      </c>
      <c r="GH167">
        <v>104</v>
      </c>
      <c r="GI167" s="26">
        <v>4</v>
      </c>
      <c r="GJ167" s="30"/>
      <c r="GM167">
        <v>34</v>
      </c>
      <c r="GN167">
        <v>36</v>
      </c>
      <c r="GO167" s="26">
        <v>-2</v>
      </c>
      <c r="GP167" s="30"/>
      <c r="GS167" s="26">
        <v>0</v>
      </c>
      <c r="GT167" s="30"/>
      <c r="GU167" s="32">
        <v>129</v>
      </c>
      <c r="GV167">
        <v>130</v>
      </c>
      <c r="GW167" s="26">
        <v>-1</v>
      </c>
      <c r="GX167" s="30"/>
      <c r="GY167" s="32">
        <v>39</v>
      </c>
      <c r="GZ167">
        <v>40</v>
      </c>
      <c r="HA167" s="26">
        <v>-1</v>
      </c>
      <c r="HB167" s="30"/>
      <c r="HC167" s="26">
        <v>117</v>
      </c>
      <c r="HD167" s="26">
        <v>120</v>
      </c>
      <c r="HE167" s="26">
        <v>-3</v>
      </c>
      <c r="HF167" s="30"/>
      <c r="HG167" s="29"/>
      <c r="HI167" s="26">
        <v>0</v>
      </c>
      <c r="HJ167" s="30"/>
      <c r="HK167" s="29"/>
      <c r="HN167" s="30"/>
      <c r="HR167" s="33"/>
      <c r="HV167" s="30"/>
      <c r="HZ167" s="33"/>
      <c r="ID167" s="30"/>
      <c r="IH167" s="34"/>
      <c r="II167" s="27"/>
      <c r="IL167" s="30"/>
      <c r="IM167" s="32"/>
      <c r="IP167" s="33"/>
      <c r="IR167" s="28"/>
      <c r="IT167" s="33"/>
      <c r="IX167" s="33"/>
      <c r="JB167" s="30"/>
      <c r="JC167" s="27"/>
      <c r="JH167" s="33"/>
      <c r="JL167" s="33"/>
      <c r="JP167" s="33"/>
      <c r="JQ167" s="31"/>
      <c r="JT167" s="33"/>
    </row>
    <row r="168" spans="1:280" x14ac:dyDescent="0.25">
      <c r="A168" s="26" t="s">
        <v>319</v>
      </c>
      <c r="B168" s="27">
        <v>0.35</v>
      </c>
      <c r="E168">
        <v>247</v>
      </c>
      <c r="F168">
        <v>246</v>
      </c>
      <c r="I168" s="29"/>
      <c r="J168" s="35"/>
      <c r="K168" s="40"/>
      <c r="L168" s="35"/>
      <c r="M168" s="35">
        <f t="shared" si="12"/>
        <v>0</v>
      </c>
      <c r="N168" s="30"/>
      <c r="O168" s="32">
        <v>120</v>
      </c>
      <c r="P168" s="36">
        <v>133</v>
      </c>
      <c r="Q168" s="36">
        <v>120</v>
      </c>
      <c r="R168" s="36">
        <v>124</v>
      </c>
      <c r="S168" s="41">
        <f t="shared" si="13"/>
        <v>-17</v>
      </c>
      <c r="T168" s="30">
        <f>-1*S168*B168</f>
        <v>5.9499999999999993</v>
      </c>
      <c r="U168" s="32">
        <v>192</v>
      </c>
      <c r="V168" s="40"/>
      <c r="W168" s="36">
        <v>192</v>
      </c>
      <c r="X168" s="36">
        <v>152</v>
      </c>
      <c r="Y168" s="35"/>
      <c r="Z168" s="36">
        <v>153</v>
      </c>
      <c r="AA168" s="35">
        <f t="shared" si="14"/>
        <v>-1</v>
      </c>
      <c r="AB168" s="30"/>
      <c r="AC168" s="32">
        <v>152</v>
      </c>
      <c r="AD168" s="40">
        <v>154.70588235294119</v>
      </c>
      <c r="AE168" s="36">
        <v>96</v>
      </c>
      <c r="AF168" s="40">
        <v>108.2941176470588</v>
      </c>
      <c r="AG168" s="41">
        <v>-14.999999999999989</v>
      </c>
      <c r="AH168" s="30">
        <v>5.2499999999999947</v>
      </c>
      <c r="AI168" s="36">
        <v>120</v>
      </c>
      <c r="AJ168">
        <v>124</v>
      </c>
      <c r="AK168">
        <v>96</v>
      </c>
      <c r="AL168">
        <v>100</v>
      </c>
      <c r="AM168" s="26">
        <v>-8</v>
      </c>
      <c r="AN168" s="30"/>
      <c r="AO168" s="32">
        <v>40</v>
      </c>
      <c r="AP168">
        <v>40</v>
      </c>
      <c r="AQ168">
        <v>120</v>
      </c>
      <c r="AR168">
        <v>122</v>
      </c>
      <c r="AS168" s="26">
        <v>-2</v>
      </c>
      <c r="AT168" s="30"/>
      <c r="AU168">
        <v>120</v>
      </c>
      <c r="AV168">
        <v>120</v>
      </c>
      <c r="AW168">
        <v>168</v>
      </c>
      <c r="AX168">
        <v>171</v>
      </c>
      <c r="AY168" s="26">
        <v>-3</v>
      </c>
      <c r="AZ168" s="30"/>
      <c r="BA168">
        <v>16</v>
      </c>
      <c r="BB168">
        <v>88</v>
      </c>
      <c r="BC168">
        <v>89</v>
      </c>
      <c r="BD168" s="26">
        <v>15</v>
      </c>
      <c r="BE168" s="30"/>
      <c r="BF168" s="32">
        <v>280</v>
      </c>
      <c r="BG168">
        <v>300</v>
      </c>
      <c r="BH168" s="25">
        <v>-20</v>
      </c>
      <c r="BI168" s="30">
        <v>7</v>
      </c>
      <c r="BJ168" s="32">
        <v>344</v>
      </c>
      <c r="BK168">
        <v>344</v>
      </c>
      <c r="BL168" s="26">
        <v>0</v>
      </c>
      <c r="BM168" s="30"/>
      <c r="BN168">
        <v>32</v>
      </c>
      <c r="BO168">
        <v>30</v>
      </c>
      <c r="BP168" s="26">
        <v>2</v>
      </c>
      <c r="BQ168" s="30"/>
      <c r="BR168" s="32">
        <v>456</v>
      </c>
      <c r="BS168">
        <v>461</v>
      </c>
      <c r="BT168" s="26">
        <v>-5</v>
      </c>
      <c r="BU168" s="30"/>
      <c r="BX168" s="26">
        <v>0</v>
      </c>
      <c r="BY168" s="30"/>
      <c r="BZ168" s="32">
        <v>280</v>
      </c>
      <c r="CA168">
        <v>284</v>
      </c>
      <c r="CB168" s="26">
        <v>-4</v>
      </c>
      <c r="CC168" s="30"/>
      <c r="CD168" s="32">
        <v>248</v>
      </c>
      <c r="CE168">
        <v>246</v>
      </c>
      <c r="CF168" s="26">
        <v>2</v>
      </c>
      <c r="CG168" s="30"/>
      <c r="CH168">
        <v>8</v>
      </c>
      <c r="CI168">
        <v>5</v>
      </c>
      <c r="CJ168" s="26">
        <v>3</v>
      </c>
      <c r="CK168" s="30"/>
      <c r="CL168" s="32">
        <v>96</v>
      </c>
      <c r="CM168">
        <v>96</v>
      </c>
      <c r="CP168" s="26">
        <v>0</v>
      </c>
      <c r="CQ168" s="30"/>
      <c r="CR168" s="32">
        <v>296</v>
      </c>
      <c r="CS168">
        <v>301</v>
      </c>
      <c r="CT168" s="26">
        <v>-5</v>
      </c>
      <c r="CU168" s="30"/>
      <c r="CX168">
        <v>224</v>
      </c>
      <c r="CY168">
        <v>224</v>
      </c>
      <c r="CZ168" s="26">
        <v>0</v>
      </c>
      <c r="DA168" s="30"/>
      <c r="DB168">
        <v>128</v>
      </c>
      <c r="DC168">
        <v>131</v>
      </c>
      <c r="DD168" s="26">
        <v>-3</v>
      </c>
      <c r="DE168" s="30"/>
      <c r="DF168" s="32">
        <v>160</v>
      </c>
      <c r="DG168">
        <v>161</v>
      </c>
      <c r="DH168" s="26">
        <v>-1</v>
      </c>
      <c r="DI168" s="30"/>
      <c r="DJ168" s="32">
        <v>144</v>
      </c>
      <c r="DK168">
        <v>148</v>
      </c>
      <c r="DL168" s="26">
        <v>-4</v>
      </c>
      <c r="DM168" s="30"/>
      <c r="DN168">
        <v>32</v>
      </c>
      <c r="DO168">
        <v>33</v>
      </c>
      <c r="DP168" s="26">
        <v>-1</v>
      </c>
      <c r="DQ168" s="30"/>
      <c r="DR168" s="32">
        <v>192</v>
      </c>
      <c r="DT168">
        <v>195</v>
      </c>
      <c r="DU168" s="26">
        <v>-3</v>
      </c>
      <c r="DV168" s="30"/>
      <c r="DW168" s="29"/>
      <c r="DY168">
        <v>56</v>
      </c>
      <c r="DZ168">
        <v>54</v>
      </c>
      <c r="EA168" s="26">
        <v>2</v>
      </c>
      <c r="EB168" s="30"/>
      <c r="EC168" s="32">
        <v>224</v>
      </c>
      <c r="EE168">
        <v>223</v>
      </c>
      <c r="EF168" s="26">
        <v>1</v>
      </c>
      <c r="EG168" s="30"/>
      <c r="EH168">
        <v>144</v>
      </c>
      <c r="EI168" s="26">
        <v>145.6</v>
      </c>
      <c r="EJ168" s="26">
        <v>-1.5999999999999941</v>
      </c>
      <c r="EK168" s="30"/>
      <c r="EL168" s="32">
        <v>48</v>
      </c>
      <c r="EM168" s="26">
        <v>46</v>
      </c>
      <c r="EN168" s="26">
        <v>2</v>
      </c>
      <c r="EO168" s="30"/>
      <c r="EP168" s="32">
        <v>184</v>
      </c>
      <c r="EQ168" s="26">
        <v>182.2</v>
      </c>
      <c r="ER168" s="26">
        <v>1.8000000000000109</v>
      </c>
      <c r="ES168" s="30"/>
      <c r="ET168" s="32">
        <v>16</v>
      </c>
      <c r="EU168">
        <v>17</v>
      </c>
      <c r="EV168" s="26">
        <v>-1</v>
      </c>
      <c r="EW168" s="30"/>
      <c r="EX168">
        <v>136</v>
      </c>
      <c r="EY168" s="28">
        <v>140.80000000000001</v>
      </c>
      <c r="EZ168" s="26">
        <v>-4.8000000000000114</v>
      </c>
      <c r="FA168" s="30"/>
      <c r="FB168">
        <v>72</v>
      </c>
      <c r="FC168">
        <v>75</v>
      </c>
      <c r="FD168" s="26">
        <v>-3</v>
      </c>
      <c r="FE168" s="30"/>
      <c r="FF168" s="32">
        <v>32</v>
      </c>
      <c r="FH168">
        <v>30</v>
      </c>
      <c r="FI168" s="26">
        <v>2</v>
      </c>
      <c r="FJ168" s="30"/>
      <c r="FK168" s="32">
        <v>48</v>
      </c>
      <c r="FM168">
        <v>51</v>
      </c>
      <c r="FN168" s="26">
        <v>-3</v>
      </c>
      <c r="FO168" s="30"/>
      <c r="FP168">
        <v>152</v>
      </c>
      <c r="FQ168" s="28">
        <v>153</v>
      </c>
      <c r="FR168" s="26">
        <v>-1</v>
      </c>
      <c r="FS168" s="30"/>
      <c r="FT168" s="29"/>
      <c r="FW168">
        <v>48</v>
      </c>
      <c r="FX168">
        <v>48</v>
      </c>
      <c r="FY168" s="26">
        <v>0</v>
      </c>
      <c r="FZ168" s="30"/>
      <c r="GC168" s="26">
        <v>0</v>
      </c>
      <c r="GD168" s="30"/>
      <c r="GE168" s="29"/>
      <c r="GG168">
        <v>144</v>
      </c>
      <c r="GH168">
        <v>146</v>
      </c>
      <c r="GI168" s="26">
        <v>-2</v>
      </c>
      <c r="GJ168" s="30"/>
      <c r="GO168" s="26">
        <v>0</v>
      </c>
      <c r="GP168" s="30"/>
      <c r="GQ168">
        <v>96</v>
      </c>
      <c r="GR168" s="28">
        <v>100</v>
      </c>
      <c r="GS168" s="26">
        <v>-4</v>
      </c>
      <c r="GT168" s="30"/>
      <c r="GU168" s="32">
        <v>72</v>
      </c>
      <c r="GV168">
        <v>70</v>
      </c>
      <c r="GW168" s="26">
        <v>2</v>
      </c>
      <c r="GX168" s="30"/>
      <c r="GY168" s="32">
        <v>32</v>
      </c>
      <c r="GZ168">
        <v>30</v>
      </c>
      <c r="HA168" s="26">
        <v>2</v>
      </c>
      <c r="HB168" s="30"/>
      <c r="HC168" s="26">
        <v>48</v>
      </c>
      <c r="HD168" s="26">
        <v>50</v>
      </c>
      <c r="HE168" s="26">
        <v>-2</v>
      </c>
      <c r="HF168" s="30"/>
      <c r="HG168" s="29"/>
      <c r="HI168" s="26">
        <v>0</v>
      </c>
      <c r="HJ168" s="30"/>
      <c r="HK168" s="29"/>
      <c r="HN168" s="30"/>
      <c r="HR168" s="33"/>
      <c r="HV168" s="30"/>
      <c r="HZ168" s="33"/>
      <c r="ID168" s="30"/>
      <c r="IH168" s="34"/>
      <c r="II168" s="27"/>
      <c r="IL168" s="30"/>
      <c r="IM168" s="32"/>
      <c r="IP168" s="33"/>
      <c r="IR168" s="28"/>
      <c r="IT168" s="33"/>
      <c r="IX168" s="33"/>
      <c r="JB168" s="30"/>
      <c r="JC168" s="27"/>
      <c r="JH168" s="33"/>
      <c r="JL168" s="33"/>
      <c r="JP168" s="33"/>
      <c r="JQ168" s="31"/>
      <c r="JT168" s="33"/>
    </row>
    <row r="169" spans="1:280" x14ac:dyDescent="0.25">
      <c r="A169" s="26" t="s">
        <v>320</v>
      </c>
      <c r="B169" s="27">
        <v>0.28000000000000003</v>
      </c>
      <c r="I169" s="29"/>
      <c r="J169" s="35"/>
      <c r="K169" s="40"/>
      <c r="L169" s="35"/>
      <c r="M169" s="35">
        <f t="shared" si="12"/>
        <v>0</v>
      </c>
      <c r="N169" s="30"/>
      <c r="O169" s="29"/>
      <c r="P169" s="35"/>
      <c r="Q169" s="35"/>
      <c r="R169" s="35"/>
      <c r="S169" s="35">
        <f t="shared" si="13"/>
        <v>0</v>
      </c>
      <c r="T169" s="30"/>
      <c r="U169" s="29"/>
      <c r="V169" s="40"/>
      <c r="W169" s="35"/>
      <c r="X169" s="35"/>
      <c r="Y169" s="35"/>
      <c r="Z169" s="35"/>
      <c r="AA169" s="35">
        <f t="shared" si="14"/>
        <v>0</v>
      </c>
      <c r="AB169" s="30"/>
      <c r="AC169" s="29"/>
      <c r="AD169" s="35"/>
      <c r="AE169" s="35"/>
      <c r="AF169" s="35"/>
      <c r="AG169" s="35">
        <v>0</v>
      </c>
      <c r="AH169" s="30"/>
      <c r="AI169" s="35"/>
      <c r="AM169" s="26">
        <v>0</v>
      </c>
      <c r="AN169" s="30"/>
      <c r="AO169" s="31"/>
      <c r="AS169" s="26">
        <v>0</v>
      </c>
      <c r="AT169" s="30"/>
      <c r="AY169" s="26">
        <v>0</v>
      </c>
      <c r="AZ169" s="30"/>
      <c r="BD169" s="26">
        <v>0</v>
      </c>
      <c r="BE169" s="30"/>
      <c r="BF169" s="29"/>
      <c r="BH169" s="26">
        <v>0</v>
      </c>
      <c r="BI169" s="30"/>
      <c r="BJ169" s="29"/>
      <c r="BL169" s="26">
        <v>0</v>
      </c>
      <c r="BM169" s="30"/>
      <c r="BP169" s="26">
        <v>0</v>
      </c>
      <c r="BQ169" s="30"/>
      <c r="BR169" s="29"/>
      <c r="BT169" s="26">
        <v>0</v>
      </c>
      <c r="BU169" s="30"/>
      <c r="BX169" s="26">
        <v>0</v>
      </c>
      <c r="BY169" s="30"/>
      <c r="BZ169" s="29"/>
      <c r="CB169" s="26">
        <v>0</v>
      </c>
      <c r="CC169" s="30"/>
      <c r="CD169" s="29"/>
      <c r="CF169" s="26">
        <v>0</v>
      </c>
      <c r="CG169" s="30"/>
      <c r="CJ169" s="26">
        <v>0</v>
      </c>
      <c r="CK169" s="30"/>
      <c r="CL169" s="29"/>
      <c r="CP169" s="26">
        <v>0</v>
      </c>
      <c r="CQ169" s="30"/>
      <c r="CR169" s="29"/>
      <c r="CT169" s="26">
        <v>0</v>
      </c>
      <c r="CU169" s="30"/>
      <c r="CZ169" s="26">
        <v>0</v>
      </c>
      <c r="DA169" s="30"/>
      <c r="DD169" s="26">
        <v>0</v>
      </c>
      <c r="DE169" s="30"/>
      <c r="DF169" s="29"/>
      <c r="DH169" s="26">
        <v>0</v>
      </c>
      <c r="DI169" s="30"/>
      <c r="DJ169" s="29"/>
      <c r="DL169" s="26">
        <v>0</v>
      </c>
      <c r="DM169" s="30"/>
      <c r="DP169" s="26">
        <v>0</v>
      </c>
      <c r="DQ169" s="30"/>
      <c r="DR169" s="29"/>
      <c r="DU169" s="26">
        <v>0</v>
      </c>
      <c r="DV169" s="30"/>
      <c r="DW169" s="29"/>
      <c r="EA169" s="26">
        <v>0</v>
      </c>
      <c r="EB169" s="30"/>
      <c r="EC169" s="29"/>
      <c r="EF169" s="26">
        <v>0</v>
      </c>
      <c r="EG169" s="30"/>
      <c r="EJ169" s="26">
        <v>0</v>
      </c>
      <c r="EK169" s="30"/>
      <c r="EL169" s="31"/>
      <c r="EN169" s="26">
        <v>0</v>
      </c>
      <c r="EO169" s="30"/>
      <c r="EP169" s="29"/>
      <c r="ER169" s="26">
        <v>0</v>
      </c>
      <c r="ES169" s="30"/>
      <c r="ET169" s="29"/>
      <c r="EV169" s="26">
        <v>0</v>
      </c>
      <c r="EW169" s="30"/>
      <c r="EZ169" s="26">
        <v>0</v>
      </c>
      <c r="FA169" s="30"/>
      <c r="FD169" s="26">
        <v>0</v>
      </c>
      <c r="FE169" s="30"/>
      <c r="FF169" s="29"/>
      <c r="FI169" s="26">
        <v>0</v>
      </c>
      <c r="FJ169" s="30"/>
      <c r="FK169" s="29"/>
      <c r="FN169" s="26">
        <v>0</v>
      </c>
      <c r="FO169" s="30"/>
      <c r="FR169" s="26">
        <v>0</v>
      </c>
      <c r="FS169" s="30"/>
      <c r="FT169" s="29"/>
      <c r="FX169">
        <v>34</v>
      </c>
      <c r="FY169" s="26">
        <v>-2</v>
      </c>
      <c r="FZ169" s="30"/>
      <c r="GC169" s="26">
        <v>0</v>
      </c>
      <c r="GD169" s="30"/>
      <c r="GE169" s="29"/>
      <c r="GI169" s="26">
        <v>0</v>
      </c>
      <c r="GJ169" s="30"/>
      <c r="GM169">
        <v>32</v>
      </c>
      <c r="GN169">
        <v>30</v>
      </c>
      <c r="GO169" s="26">
        <v>2</v>
      </c>
      <c r="GP169" s="30"/>
      <c r="GS169" s="26">
        <v>0</v>
      </c>
      <c r="GT169" s="30"/>
      <c r="GU169" s="32">
        <v>16</v>
      </c>
      <c r="GV169">
        <v>16</v>
      </c>
      <c r="GW169" s="26">
        <v>0</v>
      </c>
      <c r="GX169" s="30"/>
      <c r="GY169" s="29"/>
      <c r="GZ169" s="19">
        <v>24</v>
      </c>
      <c r="HA169" s="26">
        <v>-24</v>
      </c>
      <c r="HB169" s="30">
        <v>6.7200000000000006</v>
      </c>
      <c r="HC169" s="26">
        <v>16</v>
      </c>
      <c r="HD169" s="26">
        <v>16</v>
      </c>
      <c r="HE169" s="26">
        <v>0</v>
      </c>
      <c r="HF169" s="30"/>
      <c r="HG169" s="29"/>
      <c r="HI169" s="26">
        <v>0</v>
      </c>
      <c r="HJ169" s="30"/>
      <c r="HK169" s="29"/>
      <c r="HN169" s="30"/>
      <c r="HR169" s="33"/>
      <c r="HV169" s="30"/>
      <c r="HZ169" s="33"/>
      <c r="ID169" s="30"/>
      <c r="IH169" s="34"/>
      <c r="II169" s="27"/>
      <c r="IL169" s="30"/>
      <c r="IM169" s="32"/>
      <c r="IP169" s="33"/>
      <c r="IR169" s="28"/>
      <c r="IT169" s="33"/>
      <c r="IX169" s="33"/>
      <c r="JB169" s="30"/>
      <c r="JC169" s="27"/>
      <c r="JH169" s="33"/>
      <c r="JL169" s="33"/>
      <c r="JP169" s="33"/>
      <c r="JQ169" s="31"/>
      <c r="JT169" s="33"/>
    </row>
    <row r="170" spans="1:280" x14ac:dyDescent="0.25">
      <c r="A170" s="26" t="s">
        <v>321</v>
      </c>
      <c r="B170" s="27">
        <v>0.3</v>
      </c>
      <c r="E170">
        <v>42</v>
      </c>
      <c r="F170">
        <v>43</v>
      </c>
      <c r="I170" s="29"/>
      <c r="J170" s="35"/>
      <c r="K170" s="40"/>
      <c r="L170" s="35"/>
      <c r="M170" s="35">
        <f t="shared" si="12"/>
        <v>0</v>
      </c>
      <c r="N170" s="30"/>
      <c r="O170" s="29"/>
      <c r="P170" s="35"/>
      <c r="Q170" s="35"/>
      <c r="R170" s="35"/>
      <c r="S170" s="35">
        <f t="shared" si="13"/>
        <v>0</v>
      </c>
      <c r="T170" s="30"/>
      <c r="U170" s="29"/>
      <c r="V170" s="36">
        <v>18</v>
      </c>
      <c r="W170" s="36">
        <v>23</v>
      </c>
      <c r="X170" s="35"/>
      <c r="Y170" s="35"/>
      <c r="Z170" s="35"/>
      <c r="AA170" s="35">
        <f t="shared" si="14"/>
        <v>-5</v>
      </c>
      <c r="AB170" s="30"/>
      <c r="AC170" s="29"/>
      <c r="AD170" s="35"/>
      <c r="AE170" s="35"/>
      <c r="AF170" s="35"/>
      <c r="AG170" s="35">
        <v>0</v>
      </c>
      <c r="AH170" s="30"/>
      <c r="AI170" s="36">
        <v>54</v>
      </c>
      <c r="AJ170">
        <v>58</v>
      </c>
      <c r="AK170">
        <v>42</v>
      </c>
      <c r="AL170">
        <v>46</v>
      </c>
      <c r="AM170" s="26">
        <v>-8</v>
      </c>
      <c r="AN170" s="30"/>
      <c r="AO170" s="31"/>
      <c r="AS170" s="26">
        <v>0</v>
      </c>
      <c r="AT170" s="30"/>
      <c r="AY170" s="26">
        <v>0</v>
      </c>
      <c r="AZ170" s="30"/>
      <c r="BB170">
        <v>84</v>
      </c>
      <c r="BC170">
        <v>86</v>
      </c>
      <c r="BD170" s="26">
        <v>-2</v>
      </c>
      <c r="BE170" s="30"/>
      <c r="BF170" s="29"/>
      <c r="BH170" s="26">
        <v>0</v>
      </c>
      <c r="BI170" s="30"/>
      <c r="BJ170" s="32">
        <v>72</v>
      </c>
      <c r="BK170">
        <v>72</v>
      </c>
      <c r="BL170" s="26">
        <v>0</v>
      </c>
      <c r="BM170" s="30"/>
      <c r="BN170">
        <v>24</v>
      </c>
      <c r="BO170">
        <v>24</v>
      </c>
      <c r="BP170" s="26">
        <v>0</v>
      </c>
      <c r="BQ170" s="30"/>
      <c r="BR170" s="32">
        <v>24</v>
      </c>
      <c r="BS170">
        <v>27</v>
      </c>
      <c r="BT170" s="26">
        <v>-3</v>
      </c>
      <c r="BU170" s="30"/>
      <c r="BV170">
        <v>12</v>
      </c>
      <c r="BW170">
        <v>10</v>
      </c>
      <c r="BX170" s="26">
        <v>2</v>
      </c>
      <c r="BY170" s="30"/>
      <c r="BZ170" s="32">
        <v>42</v>
      </c>
      <c r="CA170">
        <v>43</v>
      </c>
      <c r="CB170" s="26">
        <v>-1</v>
      </c>
      <c r="CC170" s="30"/>
      <c r="CD170" s="29"/>
      <c r="CF170" s="26">
        <v>0</v>
      </c>
      <c r="CG170" s="30"/>
      <c r="CH170">
        <v>42</v>
      </c>
      <c r="CI170">
        <v>41</v>
      </c>
      <c r="CJ170" s="26">
        <v>1</v>
      </c>
      <c r="CK170" s="30"/>
      <c r="CL170" s="32">
        <v>6</v>
      </c>
      <c r="CM170">
        <v>6</v>
      </c>
      <c r="CP170" s="26">
        <v>0</v>
      </c>
      <c r="CQ170" s="30"/>
      <c r="CR170" s="32">
        <v>6</v>
      </c>
      <c r="CS170">
        <v>8</v>
      </c>
      <c r="CT170" s="26">
        <v>-2</v>
      </c>
      <c r="CU170" s="30"/>
      <c r="CX170">
        <v>12</v>
      </c>
      <c r="CY170">
        <v>15</v>
      </c>
      <c r="CZ170" s="26">
        <v>-3</v>
      </c>
      <c r="DA170" s="30"/>
      <c r="DB170">
        <v>30</v>
      </c>
      <c r="DC170">
        <v>30</v>
      </c>
      <c r="DD170" s="26">
        <v>0</v>
      </c>
      <c r="DE170" s="30"/>
      <c r="DF170" s="29"/>
      <c r="DH170" s="26">
        <v>0</v>
      </c>
      <c r="DI170" s="30"/>
      <c r="DJ170" s="32">
        <v>18</v>
      </c>
      <c r="DK170">
        <v>20</v>
      </c>
      <c r="DL170" s="26">
        <v>-2</v>
      </c>
      <c r="DM170" s="30"/>
      <c r="DN170">
        <v>30</v>
      </c>
      <c r="DO170">
        <v>30</v>
      </c>
      <c r="DP170" s="26">
        <v>0</v>
      </c>
      <c r="DQ170" s="30"/>
      <c r="DR170" s="29"/>
      <c r="DU170" s="26">
        <v>0</v>
      </c>
      <c r="DV170" s="30"/>
      <c r="DW170" s="29"/>
      <c r="EA170" s="26">
        <v>0</v>
      </c>
      <c r="EB170" s="30"/>
      <c r="EC170" s="32">
        <v>12</v>
      </c>
      <c r="EE170">
        <v>11</v>
      </c>
      <c r="EF170" s="26">
        <v>1</v>
      </c>
      <c r="EG170" s="30"/>
      <c r="EJ170" s="26">
        <v>0</v>
      </c>
      <c r="EK170" s="30"/>
      <c r="EL170" s="31"/>
      <c r="EN170" s="26">
        <v>0</v>
      </c>
      <c r="EO170" s="30"/>
      <c r="EP170" s="29"/>
      <c r="ER170" s="26">
        <v>0</v>
      </c>
      <c r="ES170" s="30"/>
      <c r="ET170" s="32">
        <v>42</v>
      </c>
      <c r="EU170">
        <v>41</v>
      </c>
      <c r="EV170" s="26">
        <v>1</v>
      </c>
      <c r="EW170" s="30"/>
      <c r="EX170">
        <v>18</v>
      </c>
      <c r="EY170" s="28">
        <v>19.2</v>
      </c>
      <c r="EZ170" s="26">
        <v>-1.1999999999999991</v>
      </c>
      <c r="FA170" s="30"/>
      <c r="FD170" s="26">
        <v>0</v>
      </c>
      <c r="FE170" s="30"/>
      <c r="FF170" s="32">
        <v>72</v>
      </c>
      <c r="FH170">
        <v>72</v>
      </c>
      <c r="FI170" s="26">
        <v>0</v>
      </c>
      <c r="FJ170" s="30"/>
      <c r="FK170" s="29"/>
      <c r="FN170" s="26">
        <v>0</v>
      </c>
      <c r="FO170" s="30"/>
      <c r="FR170" s="26">
        <v>0</v>
      </c>
      <c r="FS170" s="30"/>
      <c r="FT170" s="29"/>
      <c r="FU170" s="28">
        <v>42</v>
      </c>
      <c r="FV170" s="28">
        <v>42</v>
      </c>
      <c r="FY170" s="26">
        <v>0</v>
      </c>
      <c r="FZ170" s="30"/>
      <c r="GC170" s="26">
        <v>0</v>
      </c>
      <c r="GD170" s="30"/>
      <c r="GE170" s="29"/>
      <c r="GJ170" s="30"/>
      <c r="GP170" s="30"/>
      <c r="GT170" s="30"/>
      <c r="GU170" s="32"/>
      <c r="GX170" s="30"/>
      <c r="GY170" s="29"/>
      <c r="HB170" s="30"/>
      <c r="HF170" s="30"/>
      <c r="HG170" s="29"/>
      <c r="HJ170" s="30"/>
      <c r="HK170" s="29"/>
      <c r="HN170" s="30"/>
      <c r="HP170" s="27"/>
      <c r="HR170" s="33"/>
      <c r="HV170" s="30"/>
      <c r="HY170" s="28"/>
      <c r="HZ170" s="33"/>
      <c r="ID170" s="30"/>
      <c r="IH170" s="34"/>
      <c r="II170" s="27"/>
      <c r="IL170" s="30"/>
      <c r="IM170" s="32"/>
      <c r="IP170" s="33"/>
      <c r="IR170" s="28"/>
      <c r="IT170" s="33"/>
      <c r="IX170" s="33"/>
      <c r="JB170" s="30"/>
      <c r="JC170" s="27"/>
      <c r="JH170" s="33"/>
      <c r="JL170" s="33"/>
      <c r="JP170" s="33"/>
      <c r="JQ170" s="31"/>
      <c r="JT170" s="33"/>
    </row>
    <row r="171" spans="1:280" x14ac:dyDescent="0.25">
      <c r="A171" s="26" t="s">
        <v>322</v>
      </c>
      <c r="B171" s="27">
        <v>0.18</v>
      </c>
      <c r="I171" s="29"/>
      <c r="J171" s="35"/>
      <c r="K171" s="40"/>
      <c r="L171" s="35"/>
      <c r="M171" s="35">
        <f t="shared" si="12"/>
        <v>0</v>
      </c>
      <c r="N171" s="30"/>
      <c r="O171" s="29"/>
      <c r="P171" s="35"/>
      <c r="Q171" s="35"/>
      <c r="R171" s="35"/>
      <c r="S171" s="35">
        <f t="shared" si="13"/>
        <v>0</v>
      </c>
      <c r="T171" s="30"/>
      <c r="U171" s="29"/>
      <c r="V171" s="40"/>
      <c r="W171" s="35"/>
      <c r="X171" s="35"/>
      <c r="Y171" s="35"/>
      <c r="Z171" s="35"/>
      <c r="AA171" s="35">
        <f t="shared" si="14"/>
        <v>0</v>
      </c>
      <c r="AB171" s="30"/>
      <c r="AC171" s="29"/>
      <c r="AD171" s="35"/>
      <c r="AE171" s="35"/>
      <c r="AF171" s="35"/>
      <c r="AG171" s="35">
        <v>0</v>
      </c>
      <c r="AH171" s="30"/>
      <c r="AI171" s="35"/>
      <c r="AM171" s="26">
        <v>0</v>
      </c>
      <c r="AN171" s="30"/>
      <c r="AO171" s="31"/>
      <c r="AS171" s="26">
        <v>0</v>
      </c>
      <c r="AT171" s="30"/>
      <c r="AY171" s="26">
        <v>0</v>
      </c>
      <c r="AZ171" s="30"/>
      <c r="BD171" s="26">
        <v>0</v>
      </c>
      <c r="BE171" s="30"/>
      <c r="BF171" s="29"/>
      <c r="BH171" s="26">
        <v>0</v>
      </c>
      <c r="BI171" s="30"/>
      <c r="BJ171" s="29"/>
      <c r="BL171" s="26">
        <v>0</v>
      </c>
      <c r="BM171" s="30"/>
      <c r="BP171" s="26">
        <v>0</v>
      </c>
      <c r="BQ171" s="30"/>
      <c r="BR171" s="29"/>
      <c r="BT171" s="26">
        <v>0</v>
      </c>
      <c r="BU171" s="30"/>
      <c r="BW171">
        <v>20</v>
      </c>
      <c r="BX171" s="25">
        <v>-20</v>
      </c>
      <c r="BY171" s="30">
        <v>3.6</v>
      </c>
      <c r="BZ171" s="29"/>
      <c r="CA171">
        <v>20</v>
      </c>
      <c r="CB171" s="25">
        <v>-20</v>
      </c>
      <c r="CC171" s="30">
        <v>3.6</v>
      </c>
      <c r="CD171" s="29"/>
      <c r="CE171">
        <v>20</v>
      </c>
      <c r="CF171" s="25">
        <v>-20</v>
      </c>
      <c r="CG171" s="30">
        <v>3.6</v>
      </c>
      <c r="CJ171" s="26">
        <v>0</v>
      </c>
      <c r="CK171" s="30"/>
      <c r="CL171" s="29"/>
      <c r="CO171">
        <v>20</v>
      </c>
      <c r="CP171" s="25">
        <v>-20</v>
      </c>
      <c r="CQ171" s="30">
        <v>19.82</v>
      </c>
      <c r="CR171" s="32">
        <v>16</v>
      </c>
      <c r="CS171">
        <v>20</v>
      </c>
      <c r="CT171" s="26">
        <v>-4</v>
      </c>
      <c r="CU171" s="30"/>
      <c r="CY171">
        <v>20</v>
      </c>
      <c r="CZ171" s="25">
        <v>-20</v>
      </c>
      <c r="DA171" s="30">
        <v>3.6</v>
      </c>
      <c r="DD171" s="26">
        <v>0</v>
      </c>
      <c r="DE171" s="30"/>
      <c r="DF171" s="29"/>
      <c r="DG171">
        <v>10</v>
      </c>
      <c r="DH171" s="25">
        <v>-10</v>
      </c>
      <c r="DI171" s="30">
        <v>1.8</v>
      </c>
      <c r="DJ171" s="29"/>
      <c r="DL171" s="26">
        <v>0</v>
      </c>
      <c r="DM171" s="30"/>
      <c r="DN171">
        <v>8</v>
      </c>
      <c r="DO171">
        <v>10</v>
      </c>
      <c r="DP171" s="26">
        <v>-2</v>
      </c>
      <c r="DQ171" s="30"/>
      <c r="DR171" s="29"/>
      <c r="DT171">
        <v>12</v>
      </c>
      <c r="DU171" s="25">
        <v>-12</v>
      </c>
      <c r="DV171" s="30">
        <v>2.16</v>
      </c>
      <c r="DW171" s="29"/>
      <c r="DZ171">
        <v>10</v>
      </c>
      <c r="EA171" s="25">
        <v>-10</v>
      </c>
      <c r="EB171" s="30">
        <v>1.8</v>
      </c>
      <c r="EC171" s="29"/>
      <c r="EF171" s="26">
        <v>0</v>
      </c>
      <c r="EG171" s="30"/>
      <c r="EI171" s="26">
        <v>7</v>
      </c>
      <c r="EJ171" s="26">
        <v>-7</v>
      </c>
      <c r="EK171" s="30"/>
      <c r="EL171" s="31"/>
      <c r="EN171" s="26">
        <v>0</v>
      </c>
      <c r="EO171" s="30"/>
      <c r="EP171" s="29"/>
      <c r="ER171" s="26">
        <v>0</v>
      </c>
      <c r="ES171" s="30"/>
      <c r="ET171" s="29">
        <v>24</v>
      </c>
      <c r="EU171">
        <v>50</v>
      </c>
      <c r="EV171" s="25">
        <v>-26</v>
      </c>
      <c r="EW171" s="33">
        <v>4.68</v>
      </c>
      <c r="EZ171" s="26">
        <v>0</v>
      </c>
      <c r="FA171" s="30"/>
      <c r="FD171" s="26">
        <v>0</v>
      </c>
      <c r="FE171" s="30"/>
      <c r="FF171" s="29"/>
      <c r="FI171" s="26">
        <v>0</v>
      </c>
      <c r="FJ171" s="30"/>
      <c r="FK171" s="29"/>
      <c r="FN171" s="26">
        <v>0</v>
      </c>
      <c r="FO171" s="30"/>
      <c r="FS171" s="30"/>
      <c r="FT171" s="29"/>
      <c r="FZ171" s="30"/>
      <c r="GD171" s="30"/>
      <c r="GE171" s="29"/>
      <c r="GJ171" s="30"/>
      <c r="GP171" s="30"/>
      <c r="GT171" s="30"/>
      <c r="GU171" s="32"/>
      <c r="GX171" s="30"/>
      <c r="GY171" s="29"/>
      <c r="HB171" s="30"/>
      <c r="HC171" s="27"/>
      <c r="HE171" s="27"/>
      <c r="HF171" s="30"/>
      <c r="HG171" s="29"/>
      <c r="HJ171" s="30"/>
      <c r="HK171" s="29"/>
      <c r="HL171" s="28"/>
      <c r="HN171" s="30"/>
      <c r="HP171" s="27"/>
      <c r="HR171" s="33"/>
      <c r="HV171" s="30"/>
      <c r="HY171" s="28"/>
      <c r="HZ171" s="33"/>
      <c r="ID171" s="30"/>
      <c r="IH171" s="34"/>
      <c r="II171" s="27"/>
      <c r="IL171" s="30"/>
      <c r="IM171" s="32"/>
      <c r="IP171" s="33"/>
      <c r="IR171" s="28"/>
      <c r="IT171" s="33"/>
      <c r="IX171" s="33"/>
      <c r="JB171" s="30"/>
      <c r="JC171" s="27"/>
      <c r="JH171" s="33"/>
      <c r="JL171" s="33"/>
      <c r="JP171" s="33"/>
      <c r="JQ171" s="31"/>
      <c r="JT171" s="33"/>
    </row>
    <row r="172" spans="1:280" x14ac:dyDescent="0.25">
      <c r="A172" s="26" t="s">
        <v>323</v>
      </c>
      <c r="B172" s="27">
        <v>0.3</v>
      </c>
      <c r="E172">
        <v>43</v>
      </c>
      <c r="F172">
        <v>19</v>
      </c>
      <c r="I172" s="32">
        <v>16</v>
      </c>
      <c r="J172" s="36">
        <v>21</v>
      </c>
      <c r="K172" s="36">
        <v>16</v>
      </c>
      <c r="L172" s="36">
        <v>21</v>
      </c>
      <c r="M172" s="35">
        <f t="shared" si="12"/>
        <v>-10</v>
      </c>
      <c r="N172" s="30"/>
      <c r="O172" s="32">
        <v>56</v>
      </c>
      <c r="P172" s="36">
        <v>56</v>
      </c>
      <c r="Q172" s="36">
        <v>48</v>
      </c>
      <c r="R172" s="36">
        <v>52</v>
      </c>
      <c r="S172" s="35">
        <f t="shared" si="13"/>
        <v>-4</v>
      </c>
      <c r="T172" s="30"/>
      <c r="U172" s="29"/>
      <c r="V172" s="36">
        <v>8</v>
      </c>
      <c r="W172" s="36">
        <v>10</v>
      </c>
      <c r="X172" s="35"/>
      <c r="Y172" s="35"/>
      <c r="Z172" s="35"/>
      <c r="AA172" s="35">
        <f t="shared" si="14"/>
        <v>-2</v>
      </c>
      <c r="AB172" s="30"/>
      <c r="AC172" s="29"/>
      <c r="AD172" s="35"/>
      <c r="AE172" s="36">
        <v>80</v>
      </c>
      <c r="AF172" s="40">
        <v>86</v>
      </c>
      <c r="AG172" s="35">
        <v>-6</v>
      </c>
      <c r="AH172" s="30"/>
      <c r="AI172" s="36">
        <v>8</v>
      </c>
      <c r="AJ172">
        <v>15</v>
      </c>
      <c r="AM172" s="26">
        <v>-7</v>
      </c>
      <c r="AN172" s="30"/>
      <c r="AO172" s="31"/>
      <c r="AQ172">
        <v>40</v>
      </c>
      <c r="AR172">
        <v>41</v>
      </c>
      <c r="AS172" s="26">
        <v>-1</v>
      </c>
      <c r="AT172" s="30"/>
      <c r="AW172">
        <v>64</v>
      </c>
      <c r="AX172">
        <v>64</v>
      </c>
      <c r="AY172" s="26">
        <v>0</v>
      </c>
      <c r="AZ172" s="30"/>
      <c r="BD172" s="26">
        <v>0</v>
      </c>
      <c r="BE172" s="30"/>
      <c r="BF172" s="32">
        <v>104</v>
      </c>
      <c r="BG172">
        <v>108</v>
      </c>
      <c r="BH172" s="26">
        <v>-4</v>
      </c>
      <c r="BI172" s="30"/>
      <c r="BJ172" s="32">
        <v>32</v>
      </c>
      <c r="BK172">
        <v>31</v>
      </c>
      <c r="BL172" s="26">
        <v>1</v>
      </c>
      <c r="BM172" s="30"/>
      <c r="BN172">
        <v>8</v>
      </c>
      <c r="BO172">
        <v>8</v>
      </c>
      <c r="BP172" s="26">
        <v>0</v>
      </c>
      <c r="BQ172" s="30"/>
      <c r="BR172" s="32">
        <v>72</v>
      </c>
      <c r="BS172">
        <v>73</v>
      </c>
      <c r="BT172" s="26">
        <v>-1</v>
      </c>
      <c r="BU172" s="30"/>
      <c r="BV172">
        <v>16</v>
      </c>
      <c r="BW172">
        <v>16</v>
      </c>
      <c r="BX172" s="26">
        <v>0</v>
      </c>
      <c r="BY172" s="30"/>
      <c r="BZ172" s="32">
        <v>48</v>
      </c>
      <c r="CA172">
        <v>52</v>
      </c>
      <c r="CB172" s="26">
        <v>-4</v>
      </c>
      <c r="CC172" s="30"/>
      <c r="CD172" s="32">
        <v>8</v>
      </c>
      <c r="CE172">
        <v>8</v>
      </c>
      <c r="CF172" s="26">
        <v>0</v>
      </c>
      <c r="CG172" s="30"/>
      <c r="CH172">
        <v>32</v>
      </c>
      <c r="CI172">
        <v>32</v>
      </c>
      <c r="CJ172" s="26">
        <v>0</v>
      </c>
      <c r="CK172" s="30"/>
      <c r="CL172" s="29"/>
      <c r="CP172" s="26">
        <v>0</v>
      </c>
      <c r="CQ172" s="30"/>
      <c r="CR172" s="29"/>
      <c r="CS172">
        <v>28</v>
      </c>
      <c r="CT172" s="25">
        <v>-28</v>
      </c>
      <c r="CU172" s="30">
        <v>8.4</v>
      </c>
      <c r="CX172">
        <v>8</v>
      </c>
      <c r="CY172">
        <v>8</v>
      </c>
      <c r="CZ172" s="26">
        <v>0</v>
      </c>
      <c r="DA172" s="30"/>
      <c r="DD172" s="26">
        <v>0</v>
      </c>
      <c r="DE172" s="30"/>
      <c r="DF172" s="29"/>
      <c r="DH172" s="26">
        <v>0</v>
      </c>
      <c r="DI172" s="30"/>
      <c r="DJ172" s="29">
        <v>32</v>
      </c>
      <c r="DK172" s="26">
        <v>32</v>
      </c>
      <c r="DL172" s="26">
        <v>0</v>
      </c>
      <c r="DM172" s="30"/>
      <c r="DP172" s="26">
        <v>0</v>
      </c>
      <c r="DQ172" s="30"/>
      <c r="DR172" s="29"/>
      <c r="DU172" s="26">
        <v>0</v>
      </c>
      <c r="DV172" s="30"/>
      <c r="DW172" s="29"/>
      <c r="EA172" s="26">
        <v>0</v>
      </c>
      <c r="EB172" s="30"/>
      <c r="EC172" s="29"/>
      <c r="EG172" s="33"/>
      <c r="EK172" s="30"/>
      <c r="EL172" s="31"/>
      <c r="EO172" s="30"/>
      <c r="EP172" s="29"/>
      <c r="ES172" s="30"/>
      <c r="ET172" s="29"/>
      <c r="EW172" s="33"/>
      <c r="FA172" s="30"/>
      <c r="FE172" s="30"/>
      <c r="FF172" s="29"/>
      <c r="FJ172" s="30"/>
      <c r="FK172" s="29"/>
      <c r="FO172" s="30"/>
      <c r="FS172" s="30"/>
      <c r="FT172" s="29"/>
      <c r="FZ172" s="30"/>
      <c r="GD172" s="30"/>
      <c r="GE172" s="29"/>
      <c r="GH172" s="27"/>
      <c r="GJ172" s="30"/>
      <c r="GO172" s="28"/>
      <c r="GP172" s="30"/>
      <c r="GQ172" s="28"/>
      <c r="GS172" s="28"/>
      <c r="GT172" s="30"/>
      <c r="GU172" s="32"/>
      <c r="GX172" s="30"/>
      <c r="GY172" s="29"/>
      <c r="HB172" s="30"/>
      <c r="HC172" s="27"/>
      <c r="HE172" s="27"/>
      <c r="HF172" s="30"/>
      <c r="HG172" s="29"/>
      <c r="HJ172" s="30"/>
      <c r="HK172" s="29"/>
      <c r="HL172" s="28"/>
      <c r="HN172" s="30"/>
      <c r="HP172" s="27"/>
      <c r="HR172" s="33"/>
      <c r="HV172" s="30"/>
      <c r="HY172" s="28"/>
      <c r="HZ172" s="33"/>
      <c r="ID172" s="30"/>
      <c r="IH172" s="34"/>
      <c r="II172" s="27"/>
      <c r="IL172" s="30"/>
      <c r="IM172" s="32"/>
      <c r="IP172" s="33"/>
      <c r="IR172" s="28"/>
      <c r="IT172" s="33"/>
      <c r="IX172" s="33"/>
      <c r="JB172" s="30"/>
      <c r="JC172" s="27"/>
      <c r="JH172" s="33"/>
      <c r="JL172" s="33"/>
      <c r="JP172" s="33"/>
      <c r="JQ172" s="31"/>
      <c r="JT172" s="33"/>
    </row>
    <row r="173" spans="1:280" x14ac:dyDescent="0.25">
      <c r="A173" s="26" t="s">
        <v>324</v>
      </c>
      <c r="B173" s="27">
        <v>0.28000000000000003</v>
      </c>
      <c r="E173">
        <v>88</v>
      </c>
      <c r="F173">
        <v>88</v>
      </c>
      <c r="I173" s="29"/>
      <c r="J173" s="35"/>
      <c r="K173" s="36">
        <v>24</v>
      </c>
      <c r="L173" s="36">
        <v>27</v>
      </c>
      <c r="M173" s="35">
        <f t="shared" si="12"/>
        <v>-3</v>
      </c>
      <c r="N173" s="30"/>
      <c r="O173" s="32">
        <v>112</v>
      </c>
      <c r="P173" s="36">
        <v>118</v>
      </c>
      <c r="Q173" s="36">
        <v>104</v>
      </c>
      <c r="R173" s="36">
        <v>111</v>
      </c>
      <c r="S173" s="35">
        <f t="shared" si="13"/>
        <v>-13</v>
      </c>
      <c r="T173" s="30"/>
      <c r="U173" s="29"/>
      <c r="V173" s="40"/>
      <c r="W173" s="35"/>
      <c r="X173" s="35"/>
      <c r="Y173" s="35"/>
      <c r="Z173" s="35"/>
      <c r="AA173" s="35">
        <f t="shared" si="14"/>
        <v>0</v>
      </c>
      <c r="AB173" s="30"/>
      <c r="AC173" s="29"/>
      <c r="AD173" s="35"/>
      <c r="AE173" s="36">
        <v>80</v>
      </c>
      <c r="AF173" s="40">
        <v>87</v>
      </c>
      <c r="AG173" s="35">
        <v>-7</v>
      </c>
      <c r="AH173" s="30"/>
      <c r="AI173" s="36">
        <v>88</v>
      </c>
      <c r="AJ173">
        <v>95</v>
      </c>
      <c r="AK173">
        <v>72</v>
      </c>
      <c r="AL173">
        <v>76</v>
      </c>
      <c r="AM173" s="26">
        <v>-11</v>
      </c>
      <c r="AN173" s="30"/>
      <c r="AO173" s="31"/>
      <c r="AQ173">
        <v>56</v>
      </c>
      <c r="AR173">
        <v>56</v>
      </c>
      <c r="AS173" s="26">
        <v>0</v>
      </c>
      <c r="AT173" s="30"/>
      <c r="AU173">
        <v>48</v>
      </c>
      <c r="AV173">
        <v>50</v>
      </c>
      <c r="AW173">
        <v>64</v>
      </c>
      <c r="AX173">
        <v>75</v>
      </c>
      <c r="AY173" s="25">
        <v>-13</v>
      </c>
      <c r="AZ173" s="30">
        <v>3.640000000000001</v>
      </c>
      <c r="BB173">
        <v>96</v>
      </c>
      <c r="BC173">
        <v>95</v>
      </c>
      <c r="BD173" s="26">
        <v>1</v>
      </c>
      <c r="BE173" s="30"/>
      <c r="BF173" s="32">
        <v>16</v>
      </c>
      <c r="BG173">
        <v>20</v>
      </c>
      <c r="BH173" s="26">
        <v>-4</v>
      </c>
      <c r="BI173" s="30"/>
      <c r="BJ173" s="32">
        <v>120</v>
      </c>
      <c r="BK173">
        <v>120</v>
      </c>
      <c r="BL173" s="26">
        <v>0</v>
      </c>
      <c r="BM173" s="30"/>
      <c r="BP173" s="26">
        <v>0</v>
      </c>
      <c r="BQ173" s="30"/>
      <c r="BR173" s="32">
        <v>112</v>
      </c>
      <c r="BS173">
        <v>112</v>
      </c>
      <c r="BT173" s="26">
        <v>0</v>
      </c>
      <c r="BU173" s="30"/>
      <c r="BX173" s="26">
        <v>0</v>
      </c>
      <c r="BY173" s="30"/>
      <c r="BZ173" s="32">
        <v>96</v>
      </c>
      <c r="CA173">
        <v>99</v>
      </c>
      <c r="CB173" s="26">
        <v>-3</v>
      </c>
      <c r="CC173" s="30"/>
      <c r="CD173" s="32">
        <v>16</v>
      </c>
      <c r="CE173">
        <v>16</v>
      </c>
      <c r="CF173" s="26">
        <v>0</v>
      </c>
      <c r="CG173" s="30"/>
      <c r="CJ173" s="26">
        <v>0</v>
      </c>
      <c r="CK173" s="30"/>
      <c r="CL173" s="32">
        <v>40</v>
      </c>
      <c r="CM173">
        <v>40</v>
      </c>
      <c r="CN173">
        <v>40</v>
      </c>
      <c r="CO173">
        <v>40</v>
      </c>
      <c r="CP173" s="26">
        <v>0</v>
      </c>
      <c r="CQ173" s="30"/>
      <c r="CR173" s="29"/>
      <c r="CT173" s="26">
        <v>0</v>
      </c>
      <c r="CU173" s="30"/>
      <c r="CX173">
        <v>16</v>
      </c>
      <c r="CY173">
        <v>20</v>
      </c>
      <c r="CZ173" s="26">
        <v>-4</v>
      </c>
      <c r="DA173" s="30"/>
      <c r="DB173">
        <v>32</v>
      </c>
      <c r="DC173">
        <v>36</v>
      </c>
      <c r="DD173" s="26">
        <v>-4</v>
      </c>
      <c r="DE173" s="30"/>
      <c r="DF173" s="29"/>
      <c r="DH173" s="26">
        <v>0</v>
      </c>
      <c r="DI173" s="30"/>
      <c r="DJ173" s="32">
        <v>16</v>
      </c>
      <c r="DK173">
        <v>15</v>
      </c>
      <c r="DL173" s="26">
        <v>1</v>
      </c>
      <c r="DM173" s="30"/>
      <c r="DN173">
        <v>32</v>
      </c>
      <c r="DO173">
        <v>33</v>
      </c>
      <c r="DP173" s="26">
        <v>-1</v>
      </c>
      <c r="DQ173" s="30"/>
      <c r="DR173" s="29"/>
      <c r="DU173" s="26">
        <v>0</v>
      </c>
      <c r="DV173" s="30"/>
      <c r="DW173" s="29"/>
      <c r="EA173" s="26">
        <v>0</v>
      </c>
      <c r="EB173" s="30"/>
      <c r="EC173" s="32">
        <v>40</v>
      </c>
      <c r="EE173">
        <v>43</v>
      </c>
      <c r="EF173" s="26">
        <v>-3</v>
      </c>
      <c r="EG173" s="30"/>
      <c r="EH173">
        <v>8</v>
      </c>
      <c r="EI173" s="26">
        <v>6.6000000000000014</v>
      </c>
      <c r="EJ173" s="26">
        <v>1.399999999999999</v>
      </c>
      <c r="EK173" s="30"/>
      <c r="EL173" s="32">
        <v>24</v>
      </c>
      <c r="EM173" s="26">
        <v>24</v>
      </c>
      <c r="EN173" s="26">
        <v>0</v>
      </c>
      <c r="EO173" s="30"/>
      <c r="EP173" s="32">
        <v>8</v>
      </c>
      <c r="EQ173" s="26">
        <v>8</v>
      </c>
      <c r="ER173" s="26">
        <v>0</v>
      </c>
      <c r="ES173" s="30"/>
      <c r="ET173" s="32">
        <v>16</v>
      </c>
      <c r="EU173">
        <v>18</v>
      </c>
      <c r="EV173" s="26">
        <v>-2</v>
      </c>
      <c r="EW173" s="30"/>
      <c r="EX173">
        <v>8</v>
      </c>
      <c r="EY173" s="28">
        <v>11.4</v>
      </c>
      <c r="EZ173" s="26">
        <v>-3.4</v>
      </c>
      <c r="FA173" s="30"/>
      <c r="FB173">
        <v>16</v>
      </c>
      <c r="FC173">
        <v>21</v>
      </c>
      <c r="FD173" s="26">
        <v>-5</v>
      </c>
      <c r="FE173" s="30"/>
      <c r="FF173" s="32">
        <v>16</v>
      </c>
      <c r="FH173">
        <v>18</v>
      </c>
      <c r="FI173" s="26">
        <v>-2</v>
      </c>
      <c r="FJ173" s="30"/>
      <c r="FK173" s="32">
        <v>24</v>
      </c>
      <c r="FM173">
        <v>24</v>
      </c>
      <c r="FN173" s="26">
        <v>0</v>
      </c>
      <c r="FO173" s="30"/>
      <c r="FR173" s="26">
        <v>0</v>
      </c>
      <c r="FS173" s="30"/>
      <c r="FT173" s="29"/>
      <c r="FW173" s="28">
        <v>32</v>
      </c>
      <c r="FY173" s="26">
        <v>0</v>
      </c>
      <c r="FZ173" s="30"/>
      <c r="GC173" s="26">
        <v>0</v>
      </c>
      <c r="GD173" s="30"/>
      <c r="GE173" s="29"/>
      <c r="GJ173" s="30"/>
      <c r="GP173" s="30"/>
      <c r="GT173" s="30"/>
      <c r="GU173" s="32"/>
      <c r="GX173" s="30"/>
      <c r="GY173" s="29"/>
      <c r="HB173" s="30"/>
      <c r="HF173" s="30"/>
      <c r="HG173" s="29"/>
      <c r="HJ173" s="30"/>
      <c r="HK173" s="29"/>
      <c r="HN173" s="30"/>
      <c r="HP173" s="27"/>
      <c r="HR173" s="33"/>
      <c r="HV173" s="30"/>
      <c r="HY173" s="28"/>
      <c r="HZ173" s="33"/>
      <c r="ID173" s="30"/>
      <c r="IH173" s="34"/>
      <c r="II173" s="27"/>
      <c r="IL173" s="30"/>
      <c r="IM173" s="32"/>
      <c r="IP173" s="33"/>
      <c r="IR173" s="28"/>
      <c r="IT173" s="33"/>
      <c r="IX173" s="33"/>
      <c r="JB173" s="30"/>
      <c r="JC173" s="27"/>
      <c r="JH173" s="33"/>
      <c r="JL173" s="33"/>
      <c r="JP173" s="33"/>
      <c r="JQ173" s="31"/>
      <c r="JT173" s="33"/>
    </row>
    <row r="174" spans="1:280" x14ac:dyDescent="0.25">
      <c r="A174" s="26" t="s">
        <v>325</v>
      </c>
      <c r="B174" s="27">
        <v>0.28000000000000003</v>
      </c>
      <c r="E174">
        <v>15</v>
      </c>
      <c r="I174" s="32">
        <v>120</v>
      </c>
      <c r="J174" s="36">
        <v>122</v>
      </c>
      <c r="K174" s="36">
        <v>120</v>
      </c>
      <c r="L174" s="36">
        <v>124</v>
      </c>
      <c r="M174" s="35">
        <f t="shared" si="12"/>
        <v>-6</v>
      </c>
      <c r="N174" s="30"/>
      <c r="O174" s="32">
        <v>176</v>
      </c>
      <c r="P174" s="36">
        <v>180</v>
      </c>
      <c r="Q174" s="36">
        <v>168</v>
      </c>
      <c r="R174" s="36">
        <v>168</v>
      </c>
      <c r="S174" s="35">
        <f t="shared" si="13"/>
        <v>-4</v>
      </c>
      <c r="T174" s="30"/>
      <c r="U174" s="29"/>
      <c r="V174" s="40"/>
      <c r="W174" s="35"/>
      <c r="X174" s="35"/>
      <c r="Y174" s="35"/>
      <c r="Z174" s="35"/>
      <c r="AA174" s="35">
        <f t="shared" si="14"/>
        <v>0</v>
      </c>
      <c r="AB174" s="30"/>
      <c r="AC174" s="32">
        <v>176</v>
      </c>
      <c r="AD174" s="40">
        <v>188.2352941176471</v>
      </c>
      <c r="AE174" s="36">
        <v>120</v>
      </c>
      <c r="AF174" s="40">
        <v>131.7647058823529</v>
      </c>
      <c r="AG174" s="41">
        <v>-24</v>
      </c>
      <c r="AH174" s="30">
        <v>6.7200000000000006</v>
      </c>
      <c r="AI174" s="36">
        <v>136</v>
      </c>
      <c r="AJ174">
        <v>138</v>
      </c>
      <c r="AK174">
        <v>8</v>
      </c>
      <c r="AL174">
        <v>111</v>
      </c>
      <c r="AM174" s="25">
        <v>-105</v>
      </c>
      <c r="AN174" s="30">
        <v>29.4</v>
      </c>
      <c r="AO174" s="31"/>
      <c r="AS174" s="26">
        <v>0</v>
      </c>
      <c r="AT174" s="30"/>
      <c r="AU174">
        <v>120</v>
      </c>
      <c r="AV174">
        <v>120</v>
      </c>
      <c r="AW174">
        <v>224</v>
      </c>
      <c r="AX174">
        <v>228</v>
      </c>
      <c r="AY174" s="26">
        <v>-4</v>
      </c>
      <c r="AZ174" s="30"/>
      <c r="BB174">
        <v>160</v>
      </c>
      <c r="BC174">
        <v>158</v>
      </c>
      <c r="BD174" s="26">
        <v>2</v>
      </c>
      <c r="BE174" s="30"/>
      <c r="BF174" s="29"/>
      <c r="BG174">
        <v>171</v>
      </c>
      <c r="BH174" s="25">
        <v>-171</v>
      </c>
      <c r="BI174" s="30">
        <v>47.88</v>
      </c>
      <c r="BJ174" s="32">
        <v>256</v>
      </c>
      <c r="BK174">
        <v>256</v>
      </c>
      <c r="BL174" s="26">
        <v>0</v>
      </c>
      <c r="BM174" s="30"/>
      <c r="BN174">
        <v>48</v>
      </c>
      <c r="BO174">
        <v>50</v>
      </c>
      <c r="BP174" s="26">
        <v>-2</v>
      </c>
      <c r="BQ174" s="30"/>
      <c r="BR174" s="32">
        <v>336</v>
      </c>
      <c r="BS174">
        <v>337</v>
      </c>
      <c r="BT174" s="26">
        <v>-1</v>
      </c>
      <c r="BU174" s="30"/>
      <c r="BV174">
        <v>48</v>
      </c>
      <c r="BW174">
        <v>49</v>
      </c>
      <c r="BX174" s="26">
        <v>-1</v>
      </c>
      <c r="BY174" s="30"/>
      <c r="BZ174" s="32">
        <v>112</v>
      </c>
      <c r="CA174">
        <v>112</v>
      </c>
      <c r="CB174" s="26">
        <v>0</v>
      </c>
      <c r="CC174" s="30"/>
      <c r="CD174" s="32">
        <v>200</v>
      </c>
      <c r="CE174">
        <v>202</v>
      </c>
      <c r="CF174" s="26">
        <v>-2</v>
      </c>
      <c r="CG174" s="30"/>
      <c r="CH174">
        <v>48</v>
      </c>
      <c r="CI174">
        <v>46</v>
      </c>
      <c r="CJ174" s="26">
        <v>2</v>
      </c>
      <c r="CK174" s="30"/>
      <c r="CL174" s="32">
        <v>56</v>
      </c>
      <c r="CM174">
        <v>60</v>
      </c>
      <c r="CN174">
        <v>64</v>
      </c>
      <c r="CO174">
        <v>68</v>
      </c>
      <c r="CP174" s="26">
        <v>-8</v>
      </c>
      <c r="CQ174" s="30"/>
      <c r="CR174" s="29"/>
      <c r="CT174" s="26">
        <v>0</v>
      </c>
      <c r="CU174" s="30"/>
      <c r="CX174">
        <v>176</v>
      </c>
      <c r="CY174">
        <v>178</v>
      </c>
      <c r="CZ174" s="26">
        <v>-2</v>
      </c>
      <c r="DA174" s="30"/>
      <c r="DB174">
        <v>32</v>
      </c>
      <c r="DC174">
        <v>36</v>
      </c>
      <c r="DD174" s="26">
        <v>-4</v>
      </c>
      <c r="DE174" s="30"/>
      <c r="DF174" s="32">
        <v>144</v>
      </c>
      <c r="DG174">
        <v>146</v>
      </c>
      <c r="DH174" s="26">
        <v>-2</v>
      </c>
      <c r="DI174" s="30"/>
      <c r="DJ174" s="32">
        <v>96</v>
      </c>
      <c r="DK174">
        <v>95</v>
      </c>
      <c r="DL174" s="26">
        <v>1</v>
      </c>
      <c r="DM174" s="30"/>
      <c r="DN174">
        <v>88</v>
      </c>
      <c r="DO174">
        <v>92</v>
      </c>
      <c r="DP174" s="26">
        <v>-4</v>
      </c>
      <c r="DQ174" s="30"/>
      <c r="DR174" s="29"/>
      <c r="DU174" s="26">
        <v>0</v>
      </c>
      <c r="DV174" s="30"/>
      <c r="DW174" s="29"/>
      <c r="DY174">
        <v>112</v>
      </c>
      <c r="DZ174">
        <v>117</v>
      </c>
      <c r="EA174" s="26">
        <v>-5</v>
      </c>
      <c r="EB174" s="30"/>
      <c r="EC174" s="32">
        <v>136</v>
      </c>
      <c r="EE174">
        <v>141</v>
      </c>
      <c r="EF174" s="26">
        <v>-5</v>
      </c>
      <c r="EG174" s="30"/>
      <c r="EH174">
        <v>104</v>
      </c>
      <c r="EI174" s="26">
        <v>105.8</v>
      </c>
      <c r="EJ174" s="26">
        <v>-1.7999999999999969</v>
      </c>
      <c r="EK174" s="30"/>
      <c r="EL174" s="32">
        <v>16</v>
      </c>
      <c r="EM174" s="26">
        <v>20</v>
      </c>
      <c r="EN174" s="26">
        <v>-4</v>
      </c>
      <c r="EO174" s="30"/>
      <c r="EP174" s="32">
        <v>56</v>
      </c>
      <c r="EQ174" s="26">
        <v>59.400000000000013</v>
      </c>
      <c r="ER174" s="26">
        <v>-3.4000000000000128</v>
      </c>
      <c r="ES174" s="30"/>
      <c r="ET174" s="32">
        <v>16</v>
      </c>
      <c r="EU174">
        <v>16</v>
      </c>
      <c r="EV174" s="26">
        <v>0</v>
      </c>
      <c r="EW174" s="30"/>
      <c r="EX174">
        <v>120</v>
      </c>
      <c r="EY174" s="28">
        <v>124.8</v>
      </c>
      <c r="EZ174" s="26">
        <v>-4.7999999999999972</v>
      </c>
      <c r="FA174" s="30"/>
      <c r="FB174">
        <v>88</v>
      </c>
      <c r="FC174">
        <v>101</v>
      </c>
      <c r="FD174" s="25">
        <v>-13</v>
      </c>
      <c r="FE174" s="30">
        <v>3.640000000000001</v>
      </c>
      <c r="FF174" s="29"/>
      <c r="FI174" s="26">
        <v>0</v>
      </c>
      <c r="FJ174" s="30"/>
      <c r="FK174" s="32">
        <v>64</v>
      </c>
      <c r="FN174" s="26">
        <v>0</v>
      </c>
      <c r="FO174" s="30"/>
      <c r="FP174" s="28">
        <v>192</v>
      </c>
      <c r="FR174" s="26">
        <v>0</v>
      </c>
      <c r="FS174" s="30"/>
      <c r="FT174" s="29"/>
      <c r="FY174" s="26">
        <v>0</v>
      </c>
      <c r="FZ174" s="30"/>
      <c r="GD174" s="30"/>
      <c r="GE174" s="29"/>
      <c r="GJ174" s="30"/>
      <c r="GP174" s="30"/>
      <c r="GT174" s="30"/>
      <c r="GU174" s="32"/>
      <c r="GX174" s="30"/>
      <c r="GY174" s="29"/>
      <c r="HB174" s="30"/>
      <c r="HF174" s="30"/>
      <c r="HG174" s="29"/>
      <c r="HI174" s="27"/>
      <c r="HJ174" s="30"/>
      <c r="HK174" s="29"/>
      <c r="HN174" s="30"/>
      <c r="HP174" s="27"/>
      <c r="HR174" s="33"/>
      <c r="HV174" s="30"/>
      <c r="HY174" s="28"/>
      <c r="HZ174" s="33"/>
      <c r="ID174" s="30"/>
      <c r="IH174" s="34"/>
      <c r="II174" s="27"/>
      <c r="IL174" s="30"/>
      <c r="IM174" s="32"/>
      <c r="IP174" s="33"/>
      <c r="IR174" s="28"/>
      <c r="IT174" s="33"/>
      <c r="IX174" s="33"/>
      <c r="JB174" s="30"/>
      <c r="JC174" s="27"/>
      <c r="JH174" s="33"/>
      <c r="JL174" s="33"/>
      <c r="JP174" s="33"/>
      <c r="JQ174" s="31"/>
      <c r="JT174" s="33"/>
    </row>
    <row r="175" spans="1:280" x14ac:dyDescent="0.25">
      <c r="A175" s="26" t="s">
        <v>326</v>
      </c>
      <c r="B175" s="27">
        <v>0.28000000000000003</v>
      </c>
      <c r="E175">
        <v>99</v>
      </c>
      <c r="F175">
        <v>42</v>
      </c>
      <c r="I175" s="32">
        <v>120</v>
      </c>
      <c r="J175" s="36">
        <v>120</v>
      </c>
      <c r="K175" s="36">
        <v>120</v>
      </c>
      <c r="L175" s="36">
        <v>122</v>
      </c>
      <c r="M175" s="35">
        <f t="shared" si="12"/>
        <v>-2</v>
      </c>
      <c r="N175" s="30"/>
      <c r="O175" s="32">
        <v>48</v>
      </c>
      <c r="P175" s="36">
        <v>53</v>
      </c>
      <c r="Q175" s="36">
        <v>48</v>
      </c>
      <c r="R175" s="36">
        <v>50</v>
      </c>
      <c r="S175" s="35">
        <f t="shared" si="13"/>
        <v>-7</v>
      </c>
      <c r="T175" s="30"/>
      <c r="U175" s="29"/>
      <c r="V175" s="36">
        <v>72</v>
      </c>
      <c r="W175" s="36">
        <v>73</v>
      </c>
      <c r="X175" s="36">
        <v>56</v>
      </c>
      <c r="Y175" s="35"/>
      <c r="Z175" s="36">
        <v>59</v>
      </c>
      <c r="AA175" s="35">
        <f t="shared" si="14"/>
        <v>-4</v>
      </c>
      <c r="AB175" s="30"/>
      <c r="AC175" s="29"/>
      <c r="AD175" s="35"/>
      <c r="AE175" s="36">
        <v>152</v>
      </c>
      <c r="AF175" s="40">
        <v>153</v>
      </c>
      <c r="AG175" s="35">
        <v>-1</v>
      </c>
      <c r="AH175" s="30"/>
      <c r="AI175" s="36">
        <v>64</v>
      </c>
      <c r="AJ175">
        <v>65</v>
      </c>
      <c r="AK175">
        <v>48</v>
      </c>
      <c r="AL175">
        <v>52</v>
      </c>
      <c r="AM175" s="26">
        <v>-5</v>
      </c>
      <c r="AN175" s="30"/>
      <c r="AO175" s="31"/>
      <c r="AQ175">
        <v>120</v>
      </c>
      <c r="AR175">
        <v>123</v>
      </c>
      <c r="AS175" s="26">
        <v>-3</v>
      </c>
      <c r="AT175" s="30"/>
      <c r="AW175">
        <v>80</v>
      </c>
      <c r="AX175">
        <v>74</v>
      </c>
      <c r="AY175" s="26">
        <v>6</v>
      </c>
      <c r="AZ175" s="30"/>
      <c r="BB175">
        <v>56</v>
      </c>
      <c r="BC175">
        <v>58</v>
      </c>
      <c r="BD175" s="26">
        <v>-2</v>
      </c>
      <c r="BE175" s="30"/>
      <c r="BF175" s="32">
        <v>216</v>
      </c>
      <c r="BG175">
        <v>214</v>
      </c>
      <c r="BH175" s="26">
        <v>2</v>
      </c>
      <c r="BI175" s="30"/>
      <c r="BJ175" s="32">
        <v>112</v>
      </c>
      <c r="BK175">
        <v>113</v>
      </c>
      <c r="BL175" s="26">
        <v>-1</v>
      </c>
      <c r="BM175" s="30"/>
      <c r="BN175">
        <v>32</v>
      </c>
      <c r="BO175">
        <v>30</v>
      </c>
      <c r="BP175" s="26">
        <v>2</v>
      </c>
      <c r="BQ175" s="30"/>
      <c r="BR175" s="32">
        <v>216</v>
      </c>
      <c r="BS175">
        <v>217</v>
      </c>
      <c r="BT175" s="26">
        <v>-1</v>
      </c>
      <c r="BU175" s="30"/>
      <c r="BV175">
        <v>8</v>
      </c>
      <c r="BW175">
        <v>8</v>
      </c>
      <c r="BX175" s="26">
        <v>0</v>
      </c>
      <c r="BY175" s="30"/>
      <c r="BZ175" s="32">
        <v>144</v>
      </c>
      <c r="CA175">
        <v>143</v>
      </c>
      <c r="CB175" s="26">
        <v>1</v>
      </c>
      <c r="CC175" s="30"/>
      <c r="CD175" s="32">
        <v>72</v>
      </c>
      <c r="CE175">
        <v>73</v>
      </c>
      <c r="CF175" s="26">
        <v>-1</v>
      </c>
      <c r="CG175" s="30"/>
      <c r="CH175">
        <v>24</v>
      </c>
      <c r="CI175">
        <v>22</v>
      </c>
      <c r="CJ175" s="26">
        <v>2</v>
      </c>
      <c r="CK175" s="30"/>
      <c r="CL175" s="29"/>
      <c r="CM175">
        <v>60</v>
      </c>
      <c r="CN175">
        <v>64</v>
      </c>
      <c r="CO175">
        <v>69</v>
      </c>
      <c r="CP175" s="25">
        <v>-65</v>
      </c>
      <c r="CQ175" s="30">
        <v>64.72</v>
      </c>
      <c r="CR175" s="32">
        <v>8</v>
      </c>
      <c r="CS175">
        <v>8</v>
      </c>
      <c r="CT175" s="26">
        <v>0</v>
      </c>
      <c r="CU175" s="30"/>
      <c r="CX175">
        <v>56</v>
      </c>
      <c r="CY175">
        <v>55</v>
      </c>
      <c r="CZ175" s="26">
        <v>1</v>
      </c>
      <c r="DA175" s="30"/>
      <c r="DB175">
        <v>112</v>
      </c>
      <c r="DC175">
        <v>112</v>
      </c>
      <c r="DD175" s="26">
        <v>0</v>
      </c>
      <c r="DE175" s="30"/>
      <c r="DF175" s="32">
        <v>72</v>
      </c>
      <c r="DG175">
        <v>75</v>
      </c>
      <c r="DH175" s="26">
        <v>-3</v>
      </c>
      <c r="DI175" s="30"/>
      <c r="DJ175" s="32">
        <v>40</v>
      </c>
      <c r="DK175">
        <v>40</v>
      </c>
      <c r="DL175" s="26">
        <v>0</v>
      </c>
      <c r="DM175" s="30"/>
      <c r="DN175">
        <v>88</v>
      </c>
      <c r="DO175">
        <v>86</v>
      </c>
      <c r="DP175" s="26">
        <v>2</v>
      </c>
      <c r="DQ175" s="30"/>
      <c r="DR175" s="29"/>
      <c r="DU175" s="26">
        <v>0</v>
      </c>
      <c r="DV175" s="30"/>
      <c r="DW175" s="29"/>
      <c r="DY175">
        <v>80</v>
      </c>
      <c r="DZ175">
        <v>85</v>
      </c>
      <c r="EA175" s="26">
        <v>-5</v>
      </c>
      <c r="EB175" s="30"/>
      <c r="EC175" s="32">
        <v>88</v>
      </c>
      <c r="EE175">
        <v>90</v>
      </c>
      <c r="EF175" s="26">
        <v>-2</v>
      </c>
      <c r="EG175" s="30"/>
      <c r="EH175">
        <v>64</v>
      </c>
      <c r="EI175" s="26">
        <v>64.600000000000009</v>
      </c>
      <c r="EJ175" s="26">
        <v>-0.60000000000000853</v>
      </c>
      <c r="EK175" s="30"/>
      <c r="EL175" s="32">
        <v>56</v>
      </c>
      <c r="EM175" s="26">
        <v>55</v>
      </c>
      <c r="EN175" s="26">
        <v>1</v>
      </c>
      <c r="EO175" s="30"/>
      <c r="EP175" s="32">
        <v>8</v>
      </c>
      <c r="EQ175" s="26">
        <v>34.399999999999991</v>
      </c>
      <c r="ER175" s="25">
        <v>-26.399999999999991</v>
      </c>
      <c r="ES175" s="30">
        <v>7.3919999999999986</v>
      </c>
      <c r="ET175" s="29"/>
      <c r="EV175" s="26">
        <v>0</v>
      </c>
      <c r="EW175" s="30"/>
      <c r="EX175">
        <v>24</v>
      </c>
      <c r="EY175" s="28">
        <v>23.399999999999991</v>
      </c>
      <c r="EZ175" s="26">
        <v>0.60000000000000853</v>
      </c>
      <c r="FA175" s="30"/>
      <c r="FB175">
        <v>72</v>
      </c>
      <c r="FC175">
        <v>73</v>
      </c>
      <c r="FD175" s="26">
        <v>-1</v>
      </c>
      <c r="FE175" s="30"/>
      <c r="FF175" s="32">
        <v>40</v>
      </c>
      <c r="FH175">
        <v>40</v>
      </c>
      <c r="FI175" s="26">
        <v>0</v>
      </c>
      <c r="FJ175" s="30"/>
      <c r="FK175" s="32">
        <v>80</v>
      </c>
      <c r="FM175">
        <v>78</v>
      </c>
      <c r="FN175" s="26">
        <v>2</v>
      </c>
      <c r="FO175" s="30"/>
      <c r="FR175" s="26">
        <v>0</v>
      </c>
      <c r="FS175" s="30"/>
      <c r="FT175" s="29"/>
      <c r="FW175" s="28">
        <v>64</v>
      </c>
      <c r="FY175" s="26">
        <v>0</v>
      </c>
      <c r="FZ175" s="30"/>
      <c r="GC175" s="26">
        <v>0</v>
      </c>
      <c r="GD175" s="30"/>
      <c r="GE175" s="29"/>
      <c r="GJ175" s="30"/>
      <c r="GP175" s="30"/>
      <c r="GT175" s="30"/>
      <c r="GU175" s="32"/>
      <c r="GX175" s="30"/>
      <c r="GY175" s="29"/>
      <c r="HB175" s="30"/>
      <c r="HF175" s="30"/>
      <c r="HG175" s="29"/>
      <c r="HJ175" s="30"/>
      <c r="HK175" s="29"/>
      <c r="HN175" s="30"/>
      <c r="HP175" s="27"/>
      <c r="HR175" s="33"/>
      <c r="HV175" s="30"/>
      <c r="HY175" s="28"/>
      <c r="HZ175" s="33"/>
      <c r="ID175" s="30"/>
      <c r="IH175" s="34"/>
      <c r="II175" s="27"/>
      <c r="IL175" s="30"/>
      <c r="IM175" s="32"/>
      <c r="IP175" s="33"/>
      <c r="IR175" s="28"/>
      <c r="IT175" s="33"/>
      <c r="IX175" s="33"/>
      <c r="JB175" s="30"/>
      <c r="JC175" s="27"/>
      <c r="JH175" s="33"/>
      <c r="JL175" s="33"/>
      <c r="JP175" s="33"/>
      <c r="JQ175" s="31"/>
      <c r="JT175" s="33"/>
    </row>
    <row r="176" spans="1:280" x14ac:dyDescent="0.25">
      <c r="A176" s="26" t="s">
        <v>327</v>
      </c>
      <c r="B176" s="27">
        <v>0.28000000000000003</v>
      </c>
      <c r="E176">
        <v>252</v>
      </c>
      <c r="F176">
        <v>253</v>
      </c>
      <c r="I176" s="32">
        <v>16</v>
      </c>
      <c r="J176" s="36">
        <v>21</v>
      </c>
      <c r="K176" s="36">
        <v>16</v>
      </c>
      <c r="L176" s="36">
        <v>21</v>
      </c>
      <c r="M176" s="35">
        <f t="shared" si="12"/>
        <v>-10</v>
      </c>
      <c r="N176" s="30"/>
      <c r="O176" s="32">
        <v>240</v>
      </c>
      <c r="P176" s="36">
        <v>241</v>
      </c>
      <c r="Q176" s="36">
        <v>224</v>
      </c>
      <c r="R176" s="36">
        <v>226</v>
      </c>
      <c r="S176" s="35">
        <f t="shared" si="13"/>
        <v>-3</v>
      </c>
      <c r="T176" s="30"/>
      <c r="U176" s="29"/>
      <c r="V176" s="36">
        <v>96</v>
      </c>
      <c r="W176" s="36">
        <v>103</v>
      </c>
      <c r="X176" s="36">
        <v>80</v>
      </c>
      <c r="Y176" s="35"/>
      <c r="Z176" s="36">
        <v>82</v>
      </c>
      <c r="AA176" s="35">
        <f t="shared" si="14"/>
        <v>-9</v>
      </c>
      <c r="AB176" s="30"/>
      <c r="AC176" s="32">
        <v>96</v>
      </c>
      <c r="AD176" s="40">
        <v>103</v>
      </c>
      <c r="AE176" s="35"/>
      <c r="AF176" s="35"/>
      <c r="AG176" s="35">
        <v>-7</v>
      </c>
      <c r="AH176" s="30"/>
      <c r="AI176" s="36">
        <v>232</v>
      </c>
      <c r="AJ176">
        <v>236</v>
      </c>
      <c r="AK176">
        <v>184</v>
      </c>
      <c r="AL176">
        <v>189</v>
      </c>
      <c r="AM176" s="26">
        <v>-9</v>
      </c>
      <c r="AN176" s="30"/>
      <c r="AO176" s="31"/>
      <c r="AQ176">
        <v>104</v>
      </c>
      <c r="AR176">
        <v>104</v>
      </c>
      <c r="AS176" s="26">
        <v>0</v>
      </c>
      <c r="AT176" s="30"/>
      <c r="AU176">
        <v>96</v>
      </c>
      <c r="AV176">
        <v>100</v>
      </c>
      <c r="AW176">
        <v>152</v>
      </c>
      <c r="AX176">
        <v>144</v>
      </c>
      <c r="AY176" s="26">
        <v>4</v>
      </c>
      <c r="AZ176" s="30"/>
      <c r="BB176">
        <v>200</v>
      </c>
      <c r="BC176">
        <v>205</v>
      </c>
      <c r="BD176" s="26">
        <v>-5</v>
      </c>
      <c r="BE176" s="30"/>
      <c r="BF176" s="32">
        <v>112</v>
      </c>
      <c r="BG176">
        <v>114</v>
      </c>
      <c r="BH176" s="26">
        <v>-2</v>
      </c>
      <c r="BI176" s="30"/>
      <c r="BJ176" s="32">
        <v>168</v>
      </c>
      <c r="BK176">
        <v>177</v>
      </c>
      <c r="BL176" s="26">
        <v>-9</v>
      </c>
      <c r="BM176" s="30"/>
      <c r="BN176">
        <v>208</v>
      </c>
      <c r="BO176">
        <v>210</v>
      </c>
      <c r="BP176" s="26">
        <v>-2</v>
      </c>
      <c r="BQ176" s="30"/>
      <c r="BR176" s="29"/>
      <c r="BT176" s="26">
        <v>0</v>
      </c>
      <c r="BU176" s="30"/>
      <c r="BV176">
        <v>232</v>
      </c>
      <c r="BW176">
        <v>234</v>
      </c>
      <c r="BX176" s="26">
        <v>-2</v>
      </c>
      <c r="BY176" s="30"/>
      <c r="BZ176" s="29"/>
      <c r="CB176" s="26">
        <v>0</v>
      </c>
      <c r="CC176" s="30"/>
      <c r="CD176" s="32">
        <v>128</v>
      </c>
      <c r="CE176">
        <v>131</v>
      </c>
      <c r="CF176" s="26">
        <v>-3</v>
      </c>
      <c r="CG176" s="30"/>
      <c r="CJ176" s="26">
        <v>0</v>
      </c>
      <c r="CK176" s="30"/>
      <c r="CL176" s="29"/>
      <c r="CP176" s="26">
        <v>0</v>
      </c>
      <c r="CQ176" s="30"/>
      <c r="CR176" s="32">
        <v>96</v>
      </c>
      <c r="CS176">
        <v>95</v>
      </c>
      <c r="CT176" s="26">
        <v>1</v>
      </c>
      <c r="CU176" s="30"/>
      <c r="CZ176" s="26">
        <v>0</v>
      </c>
      <c r="DA176" s="30"/>
      <c r="DB176">
        <v>8</v>
      </c>
      <c r="DC176">
        <v>8</v>
      </c>
      <c r="DD176" s="26">
        <v>0</v>
      </c>
      <c r="DE176" s="30"/>
      <c r="DF176" s="32">
        <v>48</v>
      </c>
      <c r="DG176">
        <v>50</v>
      </c>
      <c r="DH176" s="26">
        <v>-2</v>
      </c>
      <c r="DI176" s="30"/>
      <c r="DJ176" s="29"/>
      <c r="DL176" s="26">
        <v>0</v>
      </c>
      <c r="DM176" s="30"/>
      <c r="DN176">
        <v>48</v>
      </c>
      <c r="DO176">
        <v>52</v>
      </c>
      <c r="DP176" s="26">
        <v>-4</v>
      </c>
      <c r="DQ176" s="30"/>
      <c r="DR176" s="29"/>
      <c r="DU176" s="26">
        <v>0</v>
      </c>
      <c r="DV176" s="30"/>
      <c r="DW176" s="29"/>
      <c r="DY176">
        <v>72</v>
      </c>
      <c r="DZ176">
        <v>70</v>
      </c>
      <c r="EA176" s="26">
        <v>2</v>
      </c>
      <c r="EB176" s="30"/>
      <c r="EC176" s="32">
        <v>56</v>
      </c>
      <c r="EE176">
        <v>56</v>
      </c>
      <c r="EF176" s="26">
        <v>0</v>
      </c>
      <c r="EG176" s="30"/>
      <c r="EH176">
        <v>48</v>
      </c>
      <c r="EI176" s="26">
        <v>48.600000000000009</v>
      </c>
      <c r="EJ176" s="26">
        <v>-0.60000000000000853</v>
      </c>
      <c r="EK176" s="30"/>
      <c r="EL176" s="32">
        <v>40</v>
      </c>
      <c r="EM176" s="26">
        <v>44</v>
      </c>
      <c r="EN176" s="26">
        <v>-4</v>
      </c>
      <c r="EO176" s="30"/>
      <c r="EP176" s="29"/>
      <c r="ER176" s="26">
        <v>0</v>
      </c>
      <c r="ES176" s="30"/>
      <c r="ET176" s="32">
        <v>24</v>
      </c>
      <c r="EU176">
        <v>26</v>
      </c>
      <c r="EV176" s="26">
        <v>-2</v>
      </c>
      <c r="EW176" s="30"/>
      <c r="EZ176" s="26">
        <v>0</v>
      </c>
      <c r="FA176" s="30"/>
      <c r="FD176" s="26">
        <v>0</v>
      </c>
      <c r="FE176" s="30"/>
      <c r="FF176" s="32">
        <v>48</v>
      </c>
      <c r="FH176">
        <v>49</v>
      </c>
      <c r="FI176" s="26">
        <v>-1</v>
      </c>
      <c r="FJ176" s="30"/>
      <c r="FK176" s="32">
        <v>48</v>
      </c>
      <c r="FM176">
        <v>48</v>
      </c>
      <c r="FN176" s="26">
        <v>0</v>
      </c>
      <c r="FO176" s="30"/>
      <c r="FR176" s="26">
        <v>0</v>
      </c>
      <c r="FS176" s="30"/>
      <c r="FT176" s="29"/>
      <c r="FW176">
        <v>40</v>
      </c>
      <c r="FY176" s="26">
        <v>0</v>
      </c>
      <c r="FZ176" s="30"/>
      <c r="GA176" s="22">
        <v>32</v>
      </c>
      <c r="GC176" s="26">
        <v>0</v>
      </c>
      <c r="GD176" s="30"/>
      <c r="GE176" s="29"/>
      <c r="GJ176" s="30"/>
      <c r="GP176" s="30"/>
      <c r="GT176" s="30"/>
      <c r="GU176" s="32"/>
      <c r="GX176" s="30"/>
      <c r="GY176" s="29"/>
      <c r="HB176" s="30"/>
      <c r="HF176" s="30"/>
      <c r="HG176" s="29"/>
      <c r="HJ176" s="30"/>
      <c r="HK176" s="29"/>
      <c r="HN176" s="30"/>
      <c r="HP176" s="27"/>
      <c r="HR176" s="33"/>
      <c r="HV176" s="30"/>
      <c r="HY176" s="28"/>
      <c r="HZ176" s="33"/>
      <c r="ID176" s="30"/>
      <c r="IH176" s="34"/>
      <c r="II176" s="27"/>
      <c r="IL176" s="30"/>
      <c r="IM176" s="32"/>
      <c r="IP176" s="33"/>
      <c r="IR176" s="28"/>
      <c r="IT176" s="33"/>
      <c r="IX176" s="33"/>
      <c r="JB176" s="30"/>
      <c r="JC176" s="27"/>
      <c r="JH176" s="33"/>
      <c r="JL176" s="33"/>
      <c r="JP176" s="33"/>
      <c r="JQ176" s="31"/>
      <c r="JT176" s="33"/>
    </row>
    <row r="177" spans="1:280" x14ac:dyDescent="0.25">
      <c r="A177" s="26" t="s">
        <v>328</v>
      </c>
      <c r="B177" s="27">
        <v>0.4</v>
      </c>
      <c r="E177">
        <v>89</v>
      </c>
      <c r="F177">
        <v>90</v>
      </c>
      <c r="I177" s="29"/>
      <c r="J177" s="35"/>
      <c r="K177" s="40"/>
      <c r="L177" s="35"/>
      <c r="M177" s="35">
        <f t="shared" si="12"/>
        <v>0</v>
      </c>
      <c r="N177" s="30"/>
      <c r="O177" s="32">
        <v>78</v>
      </c>
      <c r="P177" s="36">
        <v>83</v>
      </c>
      <c r="Q177" s="36">
        <v>72</v>
      </c>
      <c r="R177" s="36">
        <v>77</v>
      </c>
      <c r="S177" s="35">
        <f t="shared" si="13"/>
        <v>-10</v>
      </c>
      <c r="T177" s="30"/>
      <c r="U177" s="29"/>
      <c r="V177" s="36">
        <v>42</v>
      </c>
      <c r="W177" s="36">
        <v>42</v>
      </c>
      <c r="X177" s="35"/>
      <c r="Y177" s="35"/>
      <c r="Z177" s="35"/>
      <c r="AA177" s="35">
        <f t="shared" si="14"/>
        <v>0</v>
      </c>
      <c r="AB177" s="30"/>
      <c r="AC177" s="29"/>
      <c r="AD177" s="35"/>
      <c r="AE177" s="36">
        <v>84</v>
      </c>
      <c r="AF177" s="40">
        <v>84</v>
      </c>
      <c r="AG177" s="35">
        <v>0</v>
      </c>
      <c r="AH177" s="30"/>
      <c r="AI177" s="35"/>
      <c r="AK177">
        <v>24</v>
      </c>
      <c r="AL177">
        <v>24</v>
      </c>
      <c r="AM177" s="26">
        <v>0</v>
      </c>
      <c r="AN177" s="30"/>
      <c r="AO177" s="31"/>
      <c r="AQ177">
        <v>60</v>
      </c>
      <c r="AR177">
        <v>60</v>
      </c>
      <c r="AS177" s="26">
        <v>0</v>
      </c>
      <c r="AT177" s="30"/>
      <c r="AY177" s="26">
        <v>0</v>
      </c>
      <c r="AZ177" s="30"/>
      <c r="BB177">
        <v>456</v>
      </c>
      <c r="BD177" s="26">
        <v>0</v>
      </c>
      <c r="BE177" s="30"/>
      <c r="BF177" s="29"/>
      <c r="BH177" s="26">
        <v>0</v>
      </c>
      <c r="BI177" s="30"/>
      <c r="BJ177" s="29"/>
      <c r="BL177" s="26">
        <v>0</v>
      </c>
      <c r="BM177" s="30"/>
      <c r="BQ177" s="30"/>
      <c r="BR177" s="29"/>
      <c r="BU177" s="30"/>
      <c r="BY177" s="30"/>
      <c r="BZ177" s="29"/>
      <c r="CC177" s="30"/>
      <c r="CD177" s="32"/>
      <c r="CG177" s="30"/>
      <c r="CK177" s="30"/>
      <c r="CL177" s="29"/>
      <c r="CQ177" s="30"/>
      <c r="CR177" s="32"/>
      <c r="CU177" s="30"/>
      <c r="DA177" s="30"/>
      <c r="DE177" s="30"/>
      <c r="DF177" s="32"/>
      <c r="DI177" s="30"/>
      <c r="DJ177" s="29"/>
      <c r="DM177" s="30"/>
      <c r="DQ177" s="30"/>
      <c r="DR177" s="29"/>
      <c r="DV177" s="30"/>
      <c r="DW177" s="29"/>
      <c r="EB177" s="30"/>
      <c r="EC177" s="32"/>
      <c r="EG177" s="30"/>
      <c r="EK177" s="30"/>
      <c r="EL177" s="32"/>
      <c r="EO177" s="30"/>
      <c r="EP177" s="29"/>
      <c r="ES177" s="30"/>
      <c r="ET177" s="32"/>
      <c r="EW177" s="30"/>
      <c r="FA177" s="30"/>
      <c r="FC177" s="28"/>
      <c r="FE177" s="30"/>
      <c r="FF177" s="32"/>
      <c r="FJ177" s="30"/>
      <c r="FK177" s="32"/>
      <c r="FO177" s="30"/>
      <c r="FS177" s="30"/>
      <c r="FT177" s="29"/>
      <c r="FZ177" s="30"/>
      <c r="GD177" s="30"/>
      <c r="GE177" s="29"/>
      <c r="GJ177" s="30"/>
      <c r="GP177" s="30"/>
      <c r="GT177" s="30"/>
      <c r="GU177" s="32"/>
      <c r="GX177" s="30"/>
      <c r="GY177" s="29"/>
      <c r="HB177" s="30"/>
      <c r="HF177" s="30"/>
      <c r="HG177" s="29"/>
      <c r="HJ177" s="30"/>
      <c r="HK177" s="29"/>
      <c r="HN177" s="30"/>
      <c r="HP177" s="27"/>
      <c r="HR177" s="33"/>
      <c r="HV177" s="30"/>
      <c r="HY177" s="28"/>
      <c r="HZ177" s="33"/>
      <c r="ID177" s="30"/>
      <c r="IH177" s="34"/>
      <c r="II177" s="27"/>
      <c r="IL177" s="30"/>
      <c r="IM177" s="32"/>
      <c r="IP177" s="33"/>
      <c r="IR177" s="28"/>
      <c r="IT177" s="33"/>
      <c r="IX177" s="33"/>
      <c r="JB177" s="30"/>
      <c r="JC177" s="27"/>
      <c r="JH177" s="33"/>
      <c r="JL177" s="33"/>
      <c r="JP177" s="33"/>
      <c r="JQ177" s="31"/>
      <c r="JT177" s="33"/>
    </row>
    <row r="178" spans="1:280" x14ac:dyDescent="0.25">
      <c r="A178" s="26" t="s">
        <v>329</v>
      </c>
      <c r="B178" s="27">
        <v>0.33</v>
      </c>
      <c r="I178" s="29"/>
      <c r="J178" s="35"/>
      <c r="K178" s="40"/>
      <c r="L178" s="35"/>
      <c r="M178" s="35">
        <f t="shared" si="12"/>
        <v>0</v>
      </c>
      <c r="N178" s="30"/>
      <c r="O178" s="29"/>
      <c r="P178" s="35"/>
      <c r="Q178" s="35"/>
      <c r="R178" s="35"/>
      <c r="S178" s="35">
        <f t="shared" si="13"/>
        <v>0</v>
      </c>
      <c r="T178" s="30"/>
      <c r="U178" s="29"/>
      <c r="V178" s="40"/>
      <c r="W178" s="35"/>
      <c r="X178" s="35"/>
      <c r="Y178" s="35"/>
      <c r="Z178" s="35"/>
      <c r="AA178" s="35">
        <f t="shared" si="14"/>
        <v>0</v>
      </c>
      <c r="AB178" s="30"/>
      <c r="AC178" s="29"/>
      <c r="AD178" s="35"/>
      <c r="AE178" s="35"/>
      <c r="AF178" s="35"/>
      <c r="AG178" s="35">
        <v>0</v>
      </c>
      <c r="AH178" s="30"/>
      <c r="AI178" s="35"/>
      <c r="AM178" s="26">
        <v>0</v>
      </c>
      <c r="AN178" s="30"/>
      <c r="AO178" s="31"/>
      <c r="AS178" s="26">
        <v>0</v>
      </c>
      <c r="AT178" s="30"/>
      <c r="AY178" s="26">
        <v>0</v>
      </c>
      <c r="AZ178" s="30"/>
      <c r="BD178" s="26">
        <v>0</v>
      </c>
      <c r="BE178" s="30"/>
      <c r="BF178" s="29"/>
      <c r="BH178" s="26">
        <v>0</v>
      </c>
      <c r="BI178" s="30"/>
      <c r="BJ178" s="29"/>
      <c r="BL178" s="26">
        <v>0</v>
      </c>
      <c r="BM178" s="30"/>
      <c r="BP178" s="26">
        <v>0</v>
      </c>
      <c r="BQ178" s="30"/>
      <c r="BR178" s="29"/>
      <c r="BT178" s="26">
        <v>0</v>
      </c>
      <c r="BU178" s="30"/>
      <c r="BX178" s="26">
        <v>0</v>
      </c>
      <c r="BY178" s="30"/>
      <c r="BZ178" s="29"/>
      <c r="CB178" s="26">
        <v>0</v>
      </c>
      <c r="CC178" s="30"/>
      <c r="CD178" s="29"/>
      <c r="CF178" s="26">
        <v>0</v>
      </c>
      <c r="CG178" s="30"/>
      <c r="CJ178" s="26">
        <v>0</v>
      </c>
      <c r="CK178" s="30"/>
      <c r="CL178" s="29"/>
      <c r="CP178" s="26">
        <v>0</v>
      </c>
      <c r="CQ178" s="30"/>
      <c r="CR178" s="29"/>
      <c r="CT178" s="26">
        <v>0</v>
      </c>
      <c r="CU178" s="30"/>
      <c r="CZ178" s="26">
        <v>0</v>
      </c>
      <c r="DA178" s="30"/>
      <c r="DD178" s="26">
        <v>0</v>
      </c>
      <c r="DE178" s="30"/>
      <c r="DF178" s="29"/>
      <c r="DH178" s="26">
        <v>0</v>
      </c>
      <c r="DI178" s="30"/>
      <c r="DJ178" s="29"/>
      <c r="DL178" s="26">
        <v>0</v>
      </c>
      <c r="DM178" s="30"/>
      <c r="DP178" s="26">
        <v>0</v>
      </c>
      <c r="DQ178" s="30"/>
      <c r="DR178" s="32">
        <v>24</v>
      </c>
      <c r="DT178">
        <v>22</v>
      </c>
      <c r="DU178" s="26">
        <v>2</v>
      </c>
      <c r="DV178" s="30"/>
      <c r="DW178" s="29"/>
      <c r="EA178" s="26">
        <v>0</v>
      </c>
      <c r="EB178" s="30"/>
      <c r="EC178" s="32">
        <v>24</v>
      </c>
      <c r="EE178">
        <v>28</v>
      </c>
      <c r="EF178" s="26">
        <v>-4</v>
      </c>
      <c r="EG178" s="30"/>
      <c r="EJ178" s="26">
        <v>0</v>
      </c>
      <c r="EK178" s="30"/>
      <c r="EL178" s="32">
        <v>8</v>
      </c>
      <c r="EM178" s="26">
        <v>8</v>
      </c>
      <c r="EN178" s="26">
        <v>0</v>
      </c>
      <c r="EO178" s="30"/>
      <c r="EP178" s="29"/>
      <c r="ER178" s="26">
        <v>0</v>
      </c>
      <c r="ES178" s="30"/>
      <c r="ET178" s="32">
        <v>16</v>
      </c>
      <c r="EU178">
        <v>16</v>
      </c>
      <c r="EV178" s="26">
        <v>0</v>
      </c>
      <c r="EW178" s="30"/>
      <c r="EX178">
        <v>8</v>
      </c>
      <c r="EY178" s="28">
        <v>13</v>
      </c>
      <c r="EZ178" s="26">
        <v>-5</v>
      </c>
      <c r="FA178" s="30"/>
      <c r="FD178" s="26">
        <v>0</v>
      </c>
      <c r="FE178" s="30"/>
      <c r="FF178" s="32">
        <v>16</v>
      </c>
      <c r="FH178">
        <v>17</v>
      </c>
      <c r="FI178" s="26">
        <v>-1</v>
      </c>
      <c r="FJ178" s="30"/>
      <c r="FK178" s="29"/>
      <c r="FN178" s="26">
        <v>0</v>
      </c>
      <c r="FO178" s="33"/>
      <c r="FS178" s="30"/>
      <c r="FT178" s="29"/>
      <c r="FZ178" s="30"/>
      <c r="GD178" s="30"/>
      <c r="GE178" s="29"/>
      <c r="GJ178" s="30"/>
      <c r="GP178" s="30"/>
      <c r="GT178" s="30"/>
      <c r="GU178" s="32"/>
      <c r="GX178" s="30"/>
      <c r="GY178" s="29"/>
      <c r="HA178" s="27"/>
      <c r="HB178" s="30"/>
      <c r="HF178" s="30"/>
      <c r="HG178" s="29"/>
      <c r="HH178" s="27"/>
      <c r="HJ178" s="30"/>
      <c r="HK178" s="29"/>
      <c r="HN178" s="30"/>
      <c r="HP178" s="27"/>
      <c r="HQ178" s="28"/>
      <c r="HR178" s="33"/>
      <c r="HV178" s="30"/>
      <c r="HY178" s="28"/>
      <c r="HZ178" s="33"/>
      <c r="ID178" s="30"/>
      <c r="IH178" s="34"/>
      <c r="II178" s="27"/>
      <c r="IL178" s="30"/>
      <c r="IM178" s="32"/>
      <c r="IP178" s="33"/>
      <c r="IR178" s="28"/>
      <c r="IT178" s="33"/>
      <c r="IX178" s="33"/>
      <c r="JB178" s="30"/>
      <c r="JC178" s="27"/>
      <c r="JH178" s="33"/>
      <c r="JL178" s="33"/>
      <c r="JP178" s="33"/>
      <c r="JQ178" s="31"/>
      <c r="JT178" s="33"/>
    </row>
    <row r="179" spans="1:280" x14ac:dyDescent="0.25">
      <c r="A179" s="26" t="s">
        <v>330</v>
      </c>
      <c r="B179" s="27">
        <v>0.3</v>
      </c>
      <c r="I179" s="32">
        <v>84</v>
      </c>
      <c r="J179" s="36">
        <v>84</v>
      </c>
      <c r="K179" s="36">
        <v>84</v>
      </c>
      <c r="L179" s="36">
        <v>85</v>
      </c>
      <c r="M179" s="35">
        <f t="shared" si="12"/>
        <v>-1</v>
      </c>
      <c r="N179" s="30"/>
      <c r="O179" s="32">
        <v>35</v>
      </c>
      <c r="P179" s="36">
        <v>36</v>
      </c>
      <c r="Q179" s="36">
        <v>21</v>
      </c>
      <c r="R179" s="36">
        <v>33</v>
      </c>
      <c r="S179" s="35">
        <f t="shared" si="13"/>
        <v>-13</v>
      </c>
      <c r="T179" s="30"/>
      <c r="U179" s="29"/>
      <c r="V179" s="40"/>
      <c r="W179" s="35"/>
      <c r="X179" s="35"/>
      <c r="Y179" s="36">
        <v>56</v>
      </c>
      <c r="Z179" s="36">
        <v>62</v>
      </c>
      <c r="AA179" s="35">
        <f t="shared" si="14"/>
        <v>-6</v>
      </c>
      <c r="AB179" s="30"/>
      <c r="AC179" s="29"/>
      <c r="AD179" s="35"/>
      <c r="AE179" s="36">
        <v>119</v>
      </c>
      <c r="AF179" s="40">
        <v>119</v>
      </c>
      <c r="AG179" s="35">
        <v>0</v>
      </c>
      <c r="AH179" s="30"/>
      <c r="AI179" s="35"/>
      <c r="AK179">
        <v>42</v>
      </c>
      <c r="AL179">
        <v>45</v>
      </c>
      <c r="AM179" s="26">
        <v>-3</v>
      </c>
      <c r="AN179" s="30"/>
      <c r="AO179" s="31"/>
      <c r="AS179" s="26">
        <v>0</v>
      </c>
      <c r="AT179" s="30"/>
      <c r="AW179">
        <v>77</v>
      </c>
      <c r="AX179">
        <v>83</v>
      </c>
      <c r="AY179" s="26">
        <v>-6</v>
      </c>
      <c r="AZ179" s="30"/>
      <c r="BB179">
        <v>21</v>
      </c>
      <c r="BC179">
        <v>21</v>
      </c>
      <c r="BD179" s="26">
        <v>0</v>
      </c>
      <c r="BE179" s="30"/>
      <c r="BF179" s="32">
        <v>133</v>
      </c>
      <c r="BG179">
        <v>134</v>
      </c>
      <c r="BH179" s="26">
        <v>-1</v>
      </c>
      <c r="BI179" s="30"/>
      <c r="BJ179" s="29"/>
      <c r="BL179" s="26">
        <v>0</v>
      </c>
      <c r="BM179" s="30"/>
      <c r="BN179">
        <v>126</v>
      </c>
      <c r="BO179">
        <v>125</v>
      </c>
      <c r="BP179" s="26">
        <v>1</v>
      </c>
      <c r="BQ179" s="30"/>
      <c r="BR179" s="32">
        <v>91</v>
      </c>
      <c r="BS179">
        <v>89</v>
      </c>
      <c r="BT179" s="26">
        <v>2</v>
      </c>
      <c r="BU179" s="30"/>
      <c r="BX179" s="26">
        <v>0</v>
      </c>
      <c r="BY179" s="30"/>
      <c r="BZ179" s="32">
        <v>133</v>
      </c>
      <c r="CA179">
        <v>132</v>
      </c>
      <c r="CB179" s="26">
        <v>1</v>
      </c>
      <c r="CC179" s="30"/>
      <c r="CD179" s="29"/>
      <c r="CF179" s="26">
        <v>0</v>
      </c>
      <c r="CG179" s="30"/>
      <c r="CH179">
        <v>84</v>
      </c>
      <c r="CI179">
        <v>84</v>
      </c>
      <c r="CJ179" s="26">
        <v>0</v>
      </c>
      <c r="CK179" s="30"/>
      <c r="CL179" s="32">
        <v>14</v>
      </c>
      <c r="CM179">
        <v>14</v>
      </c>
      <c r="CN179">
        <v>21</v>
      </c>
      <c r="CO179">
        <v>21</v>
      </c>
      <c r="CP179" s="26">
        <v>0</v>
      </c>
      <c r="CQ179" s="30"/>
      <c r="CR179" s="32">
        <v>7</v>
      </c>
      <c r="CS179">
        <v>7</v>
      </c>
      <c r="CT179" s="26">
        <v>0</v>
      </c>
      <c r="CU179" s="30"/>
      <c r="CX179">
        <v>70</v>
      </c>
      <c r="CY179">
        <v>70</v>
      </c>
      <c r="CZ179" s="26">
        <v>0</v>
      </c>
      <c r="DA179" s="30"/>
      <c r="DD179" s="26">
        <v>0</v>
      </c>
      <c r="DE179" s="30"/>
      <c r="DF179" s="32">
        <v>56</v>
      </c>
      <c r="DG179">
        <v>59</v>
      </c>
      <c r="DH179" s="26">
        <v>-3</v>
      </c>
      <c r="DI179" s="30"/>
      <c r="DJ179" s="32">
        <v>28</v>
      </c>
      <c r="DK179">
        <v>28</v>
      </c>
      <c r="DL179" s="26">
        <v>0</v>
      </c>
      <c r="DM179" s="30"/>
      <c r="DN179">
        <v>14</v>
      </c>
      <c r="DO179">
        <v>18</v>
      </c>
      <c r="DP179" s="26">
        <v>-4</v>
      </c>
      <c r="DQ179" s="30"/>
      <c r="DR179" s="32">
        <v>42</v>
      </c>
      <c r="DT179">
        <v>41</v>
      </c>
      <c r="DU179" s="26">
        <v>1</v>
      </c>
      <c r="DV179" s="30"/>
      <c r="DW179" s="29"/>
      <c r="DY179">
        <v>7</v>
      </c>
      <c r="DZ179">
        <v>10</v>
      </c>
      <c r="EA179" s="26">
        <v>-3</v>
      </c>
      <c r="EB179" s="30"/>
      <c r="EC179" s="32">
        <v>49</v>
      </c>
      <c r="EE179" s="26">
        <v>48</v>
      </c>
      <c r="EF179" s="26">
        <v>1</v>
      </c>
      <c r="EG179" s="30"/>
      <c r="EJ179" s="26">
        <v>0</v>
      </c>
      <c r="EK179" s="30"/>
      <c r="EL179" s="31"/>
      <c r="EN179" s="26">
        <v>0</v>
      </c>
      <c r="EO179" s="30"/>
      <c r="EP179" s="29"/>
      <c r="ER179" s="26">
        <v>0</v>
      </c>
      <c r="ES179" s="30"/>
      <c r="ET179" s="29">
        <v>98</v>
      </c>
      <c r="EU179">
        <v>100</v>
      </c>
      <c r="EV179" s="26">
        <v>-2</v>
      </c>
      <c r="EW179" s="30"/>
      <c r="EZ179" s="26">
        <v>0</v>
      </c>
      <c r="FA179" s="30"/>
      <c r="FD179" s="26">
        <v>0</v>
      </c>
      <c r="FE179" s="30"/>
      <c r="FF179" s="29"/>
      <c r="FI179" s="26">
        <v>0</v>
      </c>
      <c r="FJ179" s="30"/>
      <c r="FK179" s="29"/>
      <c r="FN179" s="26">
        <v>0</v>
      </c>
      <c r="FO179" s="33"/>
      <c r="FS179" s="30"/>
      <c r="FT179" s="29"/>
      <c r="FZ179" s="30"/>
      <c r="GD179" s="30"/>
      <c r="GE179" s="29"/>
      <c r="GJ179" s="30"/>
      <c r="GP179" s="30"/>
      <c r="GT179" s="30"/>
      <c r="GU179" s="32"/>
      <c r="GX179" s="30"/>
      <c r="GY179" s="29"/>
      <c r="HA179" s="27"/>
      <c r="HB179" s="30"/>
      <c r="HF179" s="30"/>
      <c r="HG179" s="29"/>
      <c r="HH179" s="27"/>
      <c r="HJ179" s="30"/>
      <c r="HK179" s="29"/>
      <c r="HN179" s="30"/>
      <c r="HP179" s="27"/>
      <c r="HQ179" s="28"/>
      <c r="HR179" s="33"/>
      <c r="HV179" s="30"/>
      <c r="HY179" s="28"/>
      <c r="HZ179" s="33"/>
      <c r="ID179" s="30"/>
      <c r="IH179" s="34"/>
      <c r="II179" s="27"/>
      <c r="IL179" s="30"/>
      <c r="IM179" s="32"/>
      <c r="IP179" s="33"/>
      <c r="IR179" s="28"/>
      <c r="IT179" s="33"/>
      <c r="IX179" s="33"/>
      <c r="JB179" s="30"/>
      <c r="JC179" s="27"/>
      <c r="JH179" s="33"/>
      <c r="JL179" s="33"/>
      <c r="JP179" s="33"/>
      <c r="JQ179" s="31"/>
      <c r="JT179" s="33"/>
    </row>
    <row r="180" spans="1:280" x14ac:dyDescent="0.25">
      <c r="A180" s="26" t="s">
        <v>331</v>
      </c>
      <c r="B180" s="27">
        <v>1</v>
      </c>
      <c r="I180" s="29"/>
      <c r="J180" s="35"/>
      <c r="K180" s="36">
        <v>19</v>
      </c>
      <c r="L180" s="36">
        <v>20</v>
      </c>
      <c r="M180" s="35">
        <f t="shared" si="12"/>
        <v>-1</v>
      </c>
      <c r="N180" s="30"/>
      <c r="O180" s="29"/>
      <c r="P180" s="35"/>
      <c r="Q180" s="36">
        <v>4</v>
      </c>
      <c r="R180" s="36">
        <v>6</v>
      </c>
      <c r="S180" s="35">
        <f t="shared" si="13"/>
        <v>-2</v>
      </c>
      <c r="T180" s="30"/>
      <c r="U180" s="29"/>
      <c r="V180" s="40"/>
      <c r="W180" s="35"/>
      <c r="X180" s="35"/>
      <c r="Y180" s="35"/>
      <c r="Z180" s="36">
        <v>6</v>
      </c>
      <c r="AA180" s="41">
        <f t="shared" si="14"/>
        <v>-6</v>
      </c>
      <c r="AB180" s="30">
        <f>-1*AA180*B180</f>
        <v>6</v>
      </c>
      <c r="AC180" s="29"/>
      <c r="AD180" s="35"/>
      <c r="AE180" s="35"/>
      <c r="AF180" s="35"/>
      <c r="AG180" s="35">
        <v>0</v>
      </c>
      <c r="AH180" s="30"/>
      <c r="AI180" s="35"/>
      <c r="AL180">
        <v>4</v>
      </c>
      <c r="AM180" s="26">
        <v>-4</v>
      </c>
      <c r="AN180" s="30"/>
      <c r="AO180" s="31"/>
      <c r="AS180" s="26">
        <v>0</v>
      </c>
      <c r="AT180" s="30"/>
      <c r="AY180" s="26">
        <v>0</v>
      </c>
      <c r="AZ180" s="30"/>
      <c r="BB180">
        <v>23</v>
      </c>
      <c r="BD180" s="26">
        <v>23</v>
      </c>
      <c r="BE180" s="30"/>
      <c r="BF180" s="29"/>
      <c r="BH180" s="26">
        <v>0</v>
      </c>
      <c r="BI180" s="30"/>
      <c r="BJ180" s="29"/>
      <c r="BL180" s="26">
        <v>0</v>
      </c>
      <c r="BM180" s="30"/>
      <c r="BQ180" s="30"/>
      <c r="BR180" s="32"/>
      <c r="BU180" s="30"/>
      <c r="BY180" s="30"/>
      <c r="BZ180" s="32"/>
      <c r="CC180" s="30"/>
      <c r="CD180" s="29"/>
      <c r="CG180" s="30"/>
      <c r="CK180" s="30"/>
      <c r="CL180" s="32"/>
      <c r="CQ180" s="30"/>
      <c r="CR180" s="32"/>
      <c r="CU180" s="30"/>
      <c r="DA180" s="30"/>
      <c r="DE180" s="30"/>
      <c r="DF180" s="32"/>
      <c r="DI180" s="30"/>
      <c r="DJ180" s="32"/>
      <c r="DM180" s="30"/>
      <c r="DQ180" s="30"/>
      <c r="DR180" s="32"/>
      <c r="DV180" s="30"/>
      <c r="DW180" s="29"/>
      <c r="EB180" s="30"/>
      <c r="EC180" s="32"/>
      <c r="EG180" s="30"/>
      <c r="EK180" s="30"/>
      <c r="EL180" s="31"/>
      <c r="EO180" s="30"/>
      <c r="EP180" s="29"/>
      <c r="ES180" s="30"/>
      <c r="ET180" s="29"/>
      <c r="EW180" s="30"/>
      <c r="FA180" s="30"/>
      <c r="FE180" s="30"/>
      <c r="FF180" s="29"/>
      <c r="FJ180" s="30"/>
      <c r="FK180" s="29"/>
      <c r="FO180" s="33"/>
      <c r="FS180" s="30"/>
      <c r="FT180" s="29"/>
      <c r="FZ180" s="30"/>
      <c r="GD180" s="30"/>
      <c r="GE180" s="29"/>
      <c r="GJ180" s="30"/>
      <c r="GP180" s="30"/>
      <c r="GT180" s="30"/>
      <c r="GU180" s="32"/>
      <c r="GX180" s="30"/>
      <c r="GY180" s="29"/>
      <c r="HA180" s="27"/>
      <c r="HB180" s="30"/>
      <c r="HF180" s="30"/>
      <c r="HG180" s="29"/>
      <c r="HH180" s="27"/>
      <c r="HJ180" s="30"/>
      <c r="HK180" s="29"/>
      <c r="HN180" s="30"/>
      <c r="HP180" s="27"/>
      <c r="HQ180" s="28"/>
      <c r="HR180" s="33"/>
      <c r="HV180" s="30"/>
      <c r="HY180" s="28"/>
      <c r="HZ180" s="33"/>
      <c r="ID180" s="30"/>
      <c r="IH180" s="34"/>
      <c r="II180" s="27"/>
      <c r="IL180" s="30"/>
      <c r="IM180" s="32"/>
      <c r="IP180" s="33"/>
      <c r="IR180" s="28"/>
      <c r="IT180" s="33"/>
      <c r="IX180" s="33"/>
      <c r="JB180" s="30"/>
      <c r="JC180" s="27"/>
      <c r="JH180" s="33"/>
      <c r="JL180" s="33"/>
      <c r="JP180" s="33"/>
      <c r="JQ180" s="31"/>
      <c r="JT180" s="33"/>
    </row>
    <row r="181" spans="1:280" x14ac:dyDescent="0.25">
      <c r="A181" s="26" t="s">
        <v>332</v>
      </c>
      <c r="B181" s="27">
        <v>0.25</v>
      </c>
      <c r="I181" s="29"/>
      <c r="J181" s="35"/>
      <c r="K181" s="40"/>
      <c r="L181" s="35"/>
      <c r="M181" s="35">
        <f t="shared" si="12"/>
        <v>0</v>
      </c>
      <c r="N181" s="30"/>
      <c r="O181" s="29"/>
      <c r="P181" s="35"/>
      <c r="Q181" s="35"/>
      <c r="R181" s="35"/>
      <c r="S181" s="35">
        <f t="shared" si="13"/>
        <v>0</v>
      </c>
      <c r="T181" s="30"/>
      <c r="U181" s="29"/>
      <c r="V181" s="40"/>
      <c r="W181" s="35"/>
      <c r="X181" s="35"/>
      <c r="Y181" s="35"/>
      <c r="Z181" s="35"/>
      <c r="AA181" s="35">
        <f t="shared" si="14"/>
        <v>0</v>
      </c>
      <c r="AB181" s="30"/>
      <c r="AC181" s="29"/>
      <c r="AD181" s="35"/>
      <c r="AE181" s="35"/>
      <c r="AF181" s="35"/>
      <c r="AG181" s="35">
        <v>0</v>
      </c>
      <c r="AH181" s="30"/>
      <c r="AI181" s="35"/>
      <c r="AM181" s="26">
        <v>0</v>
      </c>
      <c r="AN181" s="30"/>
      <c r="AO181" s="31"/>
      <c r="AS181" s="26">
        <v>0</v>
      </c>
      <c r="AT181" s="30"/>
      <c r="AY181" s="26">
        <v>0</v>
      </c>
      <c r="AZ181" s="30"/>
      <c r="BD181" s="26">
        <v>0</v>
      </c>
      <c r="BE181" s="30"/>
      <c r="BF181" s="29"/>
      <c r="BH181" s="26">
        <v>0</v>
      </c>
      <c r="BI181" s="30"/>
      <c r="BJ181" s="29"/>
      <c r="BL181" s="26">
        <v>0</v>
      </c>
      <c r="BM181" s="30"/>
      <c r="BP181" s="26">
        <v>0</v>
      </c>
      <c r="BQ181" s="30"/>
      <c r="BR181" s="29"/>
      <c r="BT181" s="26">
        <v>0</v>
      </c>
      <c r="BU181" s="30"/>
      <c r="BX181" s="26">
        <v>0</v>
      </c>
      <c r="BY181" s="30"/>
      <c r="BZ181" s="29"/>
      <c r="CB181" s="26">
        <v>0</v>
      </c>
      <c r="CC181" s="30"/>
      <c r="CD181" s="29"/>
      <c r="CF181" s="26">
        <v>0</v>
      </c>
      <c r="CG181" s="30"/>
      <c r="CJ181" s="26">
        <v>0</v>
      </c>
      <c r="CK181" s="30"/>
      <c r="CL181" s="32">
        <v>16</v>
      </c>
      <c r="CP181" s="26">
        <v>16</v>
      </c>
      <c r="CQ181" s="30"/>
      <c r="CR181" s="29"/>
      <c r="CT181" s="26">
        <v>0</v>
      </c>
      <c r="CU181" s="30"/>
      <c r="DA181" s="30"/>
      <c r="DE181" s="30"/>
      <c r="DF181" s="32"/>
      <c r="DI181" s="30"/>
      <c r="DJ181" s="32"/>
      <c r="DM181" s="30"/>
      <c r="DQ181" s="30"/>
      <c r="DR181" s="32"/>
      <c r="DV181" s="30"/>
      <c r="DW181" s="29"/>
      <c r="EB181" s="30"/>
      <c r="EC181" s="32"/>
      <c r="EG181" s="30"/>
      <c r="EK181" s="30"/>
      <c r="EL181" s="31"/>
      <c r="EO181" s="30"/>
      <c r="EP181" s="29"/>
      <c r="ES181" s="30"/>
      <c r="ET181" s="29"/>
      <c r="EW181" s="30"/>
      <c r="FA181" s="30"/>
      <c r="FE181" s="30"/>
      <c r="FF181" s="29"/>
      <c r="FJ181" s="30"/>
      <c r="FK181" s="29"/>
      <c r="FO181" s="33"/>
      <c r="FS181" s="30"/>
      <c r="FT181" s="29"/>
      <c r="FX181" s="28"/>
      <c r="FZ181" s="30"/>
      <c r="GD181" s="30"/>
      <c r="GE181" s="29"/>
      <c r="GJ181" s="30"/>
      <c r="GP181" s="30"/>
      <c r="GT181" s="30"/>
      <c r="GU181" s="32"/>
      <c r="GX181" s="30"/>
      <c r="GY181" s="29"/>
      <c r="HA181" s="27"/>
      <c r="HB181" s="30"/>
      <c r="HF181" s="30"/>
      <c r="HG181" s="29"/>
      <c r="HH181" s="27"/>
      <c r="HJ181" s="30"/>
      <c r="HK181" s="29"/>
      <c r="HN181" s="30"/>
      <c r="HP181" s="27"/>
      <c r="HQ181" s="28"/>
      <c r="HR181" s="33"/>
      <c r="HV181" s="30"/>
      <c r="HY181" s="28"/>
      <c r="HZ181" s="33"/>
      <c r="ID181" s="30"/>
      <c r="IH181" s="34"/>
      <c r="II181" s="27"/>
      <c r="IL181" s="30"/>
      <c r="IM181" s="32"/>
      <c r="IP181" s="33"/>
      <c r="IR181" s="28"/>
      <c r="IT181" s="33"/>
      <c r="IX181" s="33"/>
      <c r="JB181" s="30"/>
      <c r="JC181" s="27"/>
      <c r="JH181" s="33"/>
      <c r="JL181" s="33"/>
      <c r="JP181" s="33"/>
      <c r="JQ181" s="31"/>
      <c r="JT181" s="33"/>
    </row>
    <row r="182" spans="1:280" x14ac:dyDescent="0.25">
      <c r="A182" s="26" t="s">
        <v>333</v>
      </c>
      <c r="B182" s="27">
        <v>0.4</v>
      </c>
      <c r="E182">
        <v>29</v>
      </c>
      <c r="F182">
        <v>30</v>
      </c>
      <c r="I182" s="29"/>
      <c r="J182" s="35"/>
      <c r="K182" s="40"/>
      <c r="L182" s="35"/>
      <c r="M182" s="35">
        <f t="shared" si="12"/>
        <v>0</v>
      </c>
      <c r="N182" s="30"/>
      <c r="O182" s="29"/>
      <c r="P182" s="35"/>
      <c r="Q182" s="36">
        <v>24</v>
      </c>
      <c r="R182" s="36">
        <v>36</v>
      </c>
      <c r="S182" s="41">
        <f t="shared" si="13"/>
        <v>-12</v>
      </c>
      <c r="T182" s="30">
        <f>-1*S182*B182</f>
        <v>4.8000000000000007</v>
      </c>
      <c r="U182" s="29"/>
      <c r="V182" s="40"/>
      <c r="W182" s="35"/>
      <c r="X182" s="35"/>
      <c r="Y182" s="36">
        <v>32</v>
      </c>
      <c r="Z182" s="36">
        <v>34</v>
      </c>
      <c r="AA182" s="35">
        <f t="shared" si="14"/>
        <v>-2</v>
      </c>
      <c r="AB182" s="30"/>
      <c r="AC182" s="29"/>
      <c r="AD182" s="35"/>
      <c r="AE182" s="35"/>
      <c r="AF182" s="35"/>
      <c r="AG182" s="35">
        <v>0</v>
      </c>
      <c r="AH182" s="30"/>
      <c r="AI182" s="35"/>
      <c r="AM182" s="26">
        <v>0</v>
      </c>
      <c r="AN182" s="30"/>
      <c r="AO182" s="31"/>
      <c r="AQ182">
        <v>56</v>
      </c>
      <c r="AR182">
        <v>60</v>
      </c>
      <c r="AS182" s="26">
        <v>-4</v>
      </c>
      <c r="AT182" s="30"/>
      <c r="AY182" s="26">
        <v>0</v>
      </c>
      <c r="AZ182" s="30"/>
      <c r="BD182" s="26">
        <v>0</v>
      </c>
      <c r="BE182" s="30"/>
      <c r="BF182" s="32">
        <v>48</v>
      </c>
      <c r="BH182" s="26">
        <v>0</v>
      </c>
      <c r="BI182" s="30"/>
      <c r="BJ182" s="29">
        <v>8</v>
      </c>
      <c r="BL182" s="26">
        <v>0</v>
      </c>
      <c r="BM182" s="30"/>
      <c r="BQ182" s="30"/>
      <c r="BR182" s="29"/>
      <c r="BU182" s="30"/>
      <c r="BY182" s="30"/>
      <c r="BZ182" s="29"/>
      <c r="CC182" s="30"/>
      <c r="CD182" s="29"/>
      <c r="CG182" s="30"/>
      <c r="CK182" s="30"/>
      <c r="CL182" s="32"/>
      <c r="CQ182" s="30"/>
      <c r="CR182" s="29"/>
      <c r="CU182" s="30"/>
      <c r="DA182" s="30"/>
      <c r="DE182" s="30"/>
      <c r="DF182" s="32"/>
      <c r="DI182" s="30"/>
      <c r="DJ182" s="32"/>
      <c r="DM182" s="30"/>
      <c r="DQ182" s="30"/>
      <c r="DR182" s="32"/>
      <c r="DV182" s="30"/>
      <c r="DW182" s="29"/>
      <c r="EB182" s="30"/>
      <c r="EC182" s="32"/>
      <c r="EG182" s="30"/>
      <c r="EK182" s="30"/>
      <c r="EL182" s="31"/>
      <c r="EO182" s="30"/>
      <c r="EP182" s="29"/>
      <c r="ES182" s="30"/>
      <c r="ET182" s="29"/>
      <c r="EW182" s="30"/>
      <c r="EX182" s="27"/>
      <c r="FA182" s="30"/>
      <c r="FE182" s="30"/>
      <c r="FF182" s="29"/>
      <c r="FG182" s="28"/>
      <c r="FJ182" s="30"/>
      <c r="FK182" s="29"/>
      <c r="FO182" s="33"/>
      <c r="FS182" s="30"/>
      <c r="FT182" s="29"/>
      <c r="FX182" s="28"/>
      <c r="FZ182" s="30"/>
      <c r="GD182" s="30"/>
      <c r="GE182" s="29"/>
      <c r="GJ182" s="30"/>
      <c r="GP182" s="30"/>
      <c r="GT182" s="30"/>
      <c r="GU182" s="32"/>
      <c r="GX182" s="30"/>
      <c r="GY182" s="29"/>
      <c r="HA182" s="27"/>
      <c r="HB182" s="30"/>
      <c r="HF182" s="30"/>
      <c r="HG182" s="29"/>
      <c r="HH182" s="27"/>
      <c r="HJ182" s="30"/>
      <c r="HK182" s="29"/>
      <c r="HN182" s="30"/>
      <c r="HP182" s="27"/>
      <c r="HQ182" s="28"/>
      <c r="HR182" s="33"/>
      <c r="HV182" s="30"/>
      <c r="HY182" s="28"/>
      <c r="HZ182" s="33"/>
      <c r="ID182" s="30"/>
      <c r="IH182" s="34"/>
      <c r="II182" s="27"/>
      <c r="IL182" s="30"/>
      <c r="IM182" s="32"/>
      <c r="IP182" s="33"/>
      <c r="IR182" s="28"/>
      <c r="IT182" s="33"/>
      <c r="IX182" s="33"/>
      <c r="JB182" s="30"/>
      <c r="JC182" s="27"/>
      <c r="JH182" s="33"/>
      <c r="JL182" s="33"/>
      <c r="JP182" s="33"/>
      <c r="JQ182" s="31"/>
      <c r="JT182" s="33"/>
    </row>
    <row r="183" spans="1:280" x14ac:dyDescent="0.25">
      <c r="A183" s="26" t="s">
        <v>334</v>
      </c>
      <c r="B183" s="27">
        <v>0.12</v>
      </c>
      <c r="E183">
        <v>29</v>
      </c>
      <c r="F183">
        <v>13</v>
      </c>
      <c r="I183" s="32">
        <v>24</v>
      </c>
      <c r="J183" s="36">
        <v>29</v>
      </c>
      <c r="K183" s="36">
        <v>24</v>
      </c>
      <c r="L183" s="36">
        <v>30</v>
      </c>
      <c r="M183" s="35">
        <f t="shared" si="12"/>
        <v>-11</v>
      </c>
      <c r="N183" s="30"/>
      <c r="O183" s="32">
        <v>32</v>
      </c>
      <c r="P183" s="36">
        <v>34</v>
      </c>
      <c r="Q183" s="36">
        <v>32</v>
      </c>
      <c r="R183" s="36">
        <v>32</v>
      </c>
      <c r="S183" s="35">
        <f t="shared" si="13"/>
        <v>-2</v>
      </c>
      <c r="T183" s="30"/>
      <c r="U183" s="29"/>
      <c r="V183" s="40"/>
      <c r="W183" s="35"/>
      <c r="X183" s="35"/>
      <c r="Y183" s="35"/>
      <c r="Z183" s="35"/>
      <c r="AA183" s="35">
        <f t="shared" si="14"/>
        <v>0</v>
      </c>
      <c r="AB183" s="30"/>
      <c r="AC183" s="29"/>
      <c r="AD183" s="35"/>
      <c r="AE183" s="40">
        <v>64</v>
      </c>
      <c r="AF183" s="35"/>
      <c r="AG183" s="35">
        <v>0</v>
      </c>
      <c r="AH183" s="30"/>
      <c r="AI183" s="35"/>
      <c r="AN183" s="30"/>
      <c r="AO183" s="31"/>
      <c r="AT183" s="30"/>
      <c r="AZ183" s="30"/>
      <c r="BE183" s="30"/>
      <c r="BF183" s="32"/>
      <c r="BI183" s="30"/>
      <c r="BJ183" s="29"/>
      <c r="BM183" s="30"/>
      <c r="BQ183" s="30"/>
      <c r="BR183" s="29"/>
      <c r="BU183" s="30"/>
      <c r="BY183" s="30"/>
      <c r="BZ183" s="29"/>
      <c r="CC183" s="30"/>
      <c r="CD183" s="29"/>
      <c r="CG183" s="30"/>
      <c r="CK183" s="30"/>
      <c r="CL183" s="32"/>
      <c r="CQ183" s="30"/>
      <c r="CR183" s="29"/>
      <c r="CU183" s="30"/>
      <c r="DA183" s="30"/>
      <c r="DE183" s="30"/>
      <c r="DF183" s="32"/>
      <c r="DI183" s="30"/>
      <c r="DJ183" s="32"/>
      <c r="DM183" s="30"/>
      <c r="DQ183" s="30"/>
      <c r="DR183" s="32"/>
      <c r="DV183" s="30"/>
      <c r="DW183" s="29"/>
      <c r="DY183" s="26"/>
      <c r="EB183" s="30"/>
      <c r="EC183" s="32"/>
      <c r="EF183" s="27"/>
      <c r="EG183" s="30"/>
      <c r="EH183" s="27"/>
      <c r="EI183" s="28"/>
      <c r="EK183" s="30"/>
      <c r="EL183" s="31"/>
      <c r="EO183" s="30"/>
      <c r="EP183" s="29"/>
      <c r="EQ183" s="28"/>
      <c r="ES183" s="30"/>
      <c r="ET183" s="29"/>
      <c r="EW183" s="30"/>
      <c r="EX183" s="27"/>
      <c r="FA183" s="30"/>
      <c r="FE183" s="30"/>
      <c r="FF183" s="29"/>
      <c r="FG183" s="28"/>
      <c r="FJ183" s="30"/>
      <c r="FK183" s="29"/>
      <c r="FO183" s="33"/>
      <c r="FS183" s="30"/>
      <c r="FT183" s="29"/>
      <c r="FX183" s="28"/>
      <c r="FZ183" s="30"/>
      <c r="GD183" s="30"/>
      <c r="GE183" s="29"/>
      <c r="GJ183" s="30"/>
      <c r="GP183" s="30"/>
      <c r="GT183" s="30"/>
      <c r="GU183" s="32"/>
      <c r="GX183" s="30"/>
      <c r="GY183" s="29"/>
      <c r="HA183" s="27"/>
      <c r="HB183" s="30"/>
      <c r="HF183" s="30"/>
      <c r="HG183" s="29"/>
      <c r="HH183" s="27"/>
      <c r="HJ183" s="30"/>
      <c r="HK183" s="29"/>
      <c r="HN183" s="30"/>
      <c r="HP183" s="27"/>
      <c r="HQ183" s="28"/>
      <c r="HR183" s="33"/>
      <c r="HV183" s="30"/>
      <c r="HY183" s="28"/>
      <c r="HZ183" s="33"/>
      <c r="ID183" s="30"/>
      <c r="IH183" s="34"/>
      <c r="II183" s="27"/>
      <c r="IL183" s="30"/>
      <c r="IM183" s="32"/>
      <c r="IP183" s="33"/>
      <c r="IR183" s="28"/>
      <c r="IT183" s="33"/>
      <c r="IX183" s="33"/>
      <c r="JB183" s="30"/>
      <c r="JC183" s="27"/>
      <c r="JH183" s="33"/>
      <c r="JL183" s="33"/>
      <c r="JP183" s="33"/>
      <c r="JQ183" s="31"/>
      <c r="JT183" s="33"/>
    </row>
    <row r="184" spans="1:280" ht="15.75" customHeight="1" thickBot="1" x14ac:dyDescent="0.3">
      <c r="A184" s="26" t="s">
        <v>335</v>
      </c>
      <c r="B184" s="27">
        <v>0.18</v>
      </c>
      <c r="I184" s="18"/>
      <c r="J184" s="9"/>
      <c r="K184" s="8"/>
      <c r="L184" s="9"/>
      <c r="M184" s="9">
        <f t="shared" si="12"/>
        <v>0</v>
      </c>
      <c r="N184" s="14"/>
      <c r="O184" s="18"/>
      <c r="P184" s="9"/>
      <c r="Q184" s="9"/>
      <c r="R184" s="9"/>
      <c r="S184" s="9">
        <f t="shared" si="13"/>
        <v>0</v>
      </c>
      <c r="T184" s="14"/>
      <c r="U184" s="18"/>
      <c r="V184" s="8"/>
      <c r="W184" s="9"/>
      <c r="X184" s="9"/>
      <c r="Y184" s="9"/>
      <c r="Z184" s="9"/>
      <c r="AA184" s="9">
        <f t="shared" si="14"/>
        <v>0</v>
      </c>
      <c r="AB184" s="14"/>
      <c r="AC184" s="18"/>
      <c r="AD184" s="9"/>
      <c r="AE184" s="9"/>
      <c r="AF184" s="9"/>
      <c r="AG184" s="9">
        <v>0</v>
      </c>
      <c r="AH184" s="14"/>
      <c r="AI184" s="9"/>
      <c r="AJ184" s="9"/>
      <c r="AK184" s="9"/>
      <c r="AL184" s="9"/>
      <c r="AM184" s="9">
        <v>0</v>
      </c>
      <c r="AN184" s="14"/>
      <c r="AO184" s="7"/>
      <c r="AP184" s="9"/>
      <c r="AQ184" s="9"/>
      <c r="AR184" s="9"/>
      <c r="AS184" s="9">
        <v>0</v>
      </c>
      <c r="AT184" s="14"/>
      <c r="AU184" s="9"/>
      <c r="AV184" s="9"/>
      <c r="AW184" s="9"/>
      <c r="AX184" s="9"/>
      <c r="AY184" s="9">
        <v>0</v>
      </c>
      <c r="AZ184" s="14"/>
      <c r="BA184" s="9"/>
      <c r="BB184" s="9"/>
      <c r="BC184" s="9"/>
      <c r="BD184" s="9">
        <v>0</v>
      </c>
      <c r="BE184" s="14"/>
      <c r="BF184" s="18"/>
      <c r="BG184" s="9"/>
      <c r="BH184" s="9">
        <v>0</v>
      </c>
      <c r="BI184" s="14"/>
      <c r="BJ184" s="18"/>
      <c r="BK184" s="9"/>
      <c r="BL184" s="9">
        <v>0</v>
      </c>
      <c r="BM184" s="14"/>
      <c r="BN184" s="9"/>
      <c r="BO184" s="9"/>
      <c r="BP184" s="9">
        <v>0</v>
      </c>
      <c r="BQ184" s="14"/>
      <c r="BR184" s="18"/>
      <c r="BS184" s="9"/>
      <c r="BT184" s="9">
        <v>0</v>
      </c>
      <c r="BU184" s="14"/>
      <c r="BV184" s="9"/>
      <c r="BW184" s="9"/>
      <c r="BX184" s="9">
        <v>0</v>
      </c>
      <c r="BY184" s="14"/>
      <c r="BZ184" s="18"/>
      <c r="CA184" s="9"/>
      <c r="CB184" s="9">
        <v>0</v>
      </c>
      <c r="CC184" s="14"/>
      <c r="CD184" s="18"/>
      <c r="CE184" s="9"/>
      <c r="CF184" s="9">
        <v>0</v>
      </c>
      <c r="CG184" s="14"/>
      <c r="CH184" s="9"/>
      <c r="CI184" s="9"/>
      <c r="CJ184" s="9">
        <v>0</v>
      </c>
      <c r="CK184" s="14"/>
      <c r="CL184" s="18"/>
      <c r="CM184" s="9"/>
      <c r="CN184" s="9"/>
      <c r="CO184" s="9"/>
      <c r="CP184" s="9">
        <v>0</v>
      </c>
      <c r="CQ184" s="14"/>
      <c r="CR184" s="18"/>
      <c r="CS184" s="9"/>
      <c r="CT184" s="9">
        <v>0</v>
      </c>
      <c r="CU184" s="14"/>
      <c r="CV184" s="9"/>
      <c r="CW184" s="9"/>
      <c r="CX184" s="9"/>
      <c r="CY184" s="9"/>
      <c r="CZ184" s="9">
        <v>0</v>
      </c>
      <c r="DA184" s="14"/>
      <c r="DB184" s="9"/>
      <c r="DC184" s="9"/>
      <c r="DD184" s="9">
        <v>0</v>
      </c>
      <c r="DE184" s="14"/>
      <c r="DF184" s="18"/>
      <c r="DG184" s="9"/>
      <c r="DH184" s="9">
        <v>0</v>
      </c>
      <c r="DI184" s="14"/>
      <c r="DJ184" s="18"/>
      <c r="DK184" s="9"/>
      <c r="DL184" s="9">
        <v>0</v>
      </c>
      <c r="DM184" s="14"/>
      <c r="DN184" s="9"/>
      <c r="DO184" s="9"/>
      <c r="DP184" s="9">
        <v>0</v>
      </c>
      <c r="DQ184" s="14"/>
      <c r="DR184" s="18"/>
      <c r="DS184" s="9"/>
      <c r="DT184" s="9"/>
      <c r="DU184" s="9">
        <v>0</v>
      </c>
      <c r="DV184" s="14"/>
      <c r="DW184" s="18"/>
      <c r="DX184" s="9"/>
      <c r="DY184" s="9"/>
      <c r="DZ184" s="9"/>
      <c r="EA184" s="9">
        <v>0</v>
      </c>
      <c r="EB184" s="14"/>
      <c r="EC184" s="18"/>
      <c r="ED184" s="9"/>
      <c r="EE184" s="9"/>
      <c r="EF184" s="9">
        <v>0</v>
      </c>
      <c r="EG184" s="14"/>
      <c r="EH184" s="9"/>
      <c r="EI184" s="9"/>
      <c r="EJ184" s="9">
        <v>0</v>
      </c>
      <c r="EK184" s="14"/>
      <c r="EL184" s="7"/>
      <c r="EM184" s="9"/>
      <c r="EN184" s="9">
        <v>0</v>
      </c>
      <c r="EO184" s="14"/>
      <c r="EP184" s="18"/>
      <c r="EQ184" s="9"/>
      <c r="ER184" s="9">
        <v>0</v>
      </c>
      <c r="ES184" s="14"/>
      <c r="ET184" s="18"/>
      <c r="EU184" s="9"/>
      <c r="EV184" s="9">
        <v>0</v>
      </c>
      <c r="EW184" s="14"/>
      <c r="EX184" s="9"/>
      <c r="EY184" s="9"/>
      <c r="EZ184" s="9">
        <v>0</v>
      </c>
      <c r="FA184" s="14"/>
      <c r="FB184" s="9"/>
      <c r="FC184" s="9"/>
      <c r="FD184" s="9">
        <v>0</v>
      </c>
      <c r="FE184" s="14"/>
      <c r="FF184" s="18"/>
      <c r="FG184" s="9"/>
      <c r="FH184" s="9"/>
      <c r="FI184" s="9">
        <v>0</v>
      </c>
      <c r="FJ184" s="14"/>
      <c r="FK184" s="18"/>
      <c r="FL184" s="9"/>
      <c r="FM184" s="9"/>
      <c r="FN184" s="9">
        <v>0</v>
      </c>
      <c r="FO184" s="14"/>
      <c r="FP184" s="8"/>
      <c r="FQ184" s="9"/>
      <c r="FR184" s="9">
        <v>0</v>
      </c>
      <c r="FS184" s="14"/>
      <c r="FT184" s="18"/>
      <c r="FU184" s="8"/>
      <c r="FV184" s="9"/>
      <c r="FW184" s="9"/>
      <c r="FX184" s="9"/>
      <c r="FY184" s="9">
        <v>0</v>
      </c>
      <c r="FZ184" s="14"/>
      <c r="GA184" s="9"/>
      <c r="GB184" s="9"/>
      <c r="GC184" s="9">
        <v>0</v>
      </c>
      <c r="GD184" s="14"/>
      <c r="GE184" s="18"/>
      <c r="GF184" s="9"/>
      <c r="GG184" s="9"/>
      <c r="GH184" s="9"/>
      <c r="GI184" s="9">
        <v>0</v>
      </c>
      <c r="GJ184" s="14"/>
      <c r="GK184" s="9"/>
      <c r="GL184" s="9"/>
      <c r="GM184" s="9"/>
      <c r="GN184" s="9"/>
      <c r="GO184" s="9">
        <v>0</v>
      </c>
      <c r="GP184" s="14"/>
      <c r="GQ184" s="9"/>
      <c r="GR184" s="9"/>
      <c r="GS184" s="9">
        <v>0</v>
      </c>
      <c r="GT184" s="14"/>
      <c r="GU184" s="18"/>
      <c r="GV184" s="9"/>
      <c r="GW184" s="9">
        <v>0</v>
      </c>
      <c r="GX184" s="14"/>
      <c r="GY184" s="18"/>
      <c r="GZ184" s="9"/>
      <c r="HA184" s="9">
        <v>0</v>
      </c>
      <c r="HB184" s="14"/>
      <c r="HC184" s="9"/>
      <c r="HD184" s="9"/>
      <c r="HE184" s="9">
        <v>0</v>
      </c>
      <c r="HF184" s="14"/>
      <c r="HG184" s="18"/>
      <c r="HH184" s="9"/>
      <c r="HI184" s="9">
        <v>0</v>
      </c>
      <c r="HJ184" s="14"/>
      <c r="HK184" s="18"/>
      <c r="HL184" s="9"/>
      <c r="HM184" s="9">
        <v>0</v>
      </c>
      <c r="HN184" s="14"/>
      <c r="HO184" s="9"/>
      <c r="HP184" s="9"/>
      <c r="HQ184" s="9">
        <v>0</v>
      </c>
      <c r="HR184" s="10"/>
      <c r="HS184" s="9"/>
      <c r="HT184" s="8"/>
      <c r="HU184" s="9">
        <v>0</v>
      </c>
      <c r="HV184" s="14"/>
      <c r="HW184" s="8"/>
      <c r="HX184" s="15"/>
      <c r="HY184" s="9">
        <v>0</v>
      </c>
      <c r="HZ184" s="10"/>
      <c r="IA184" s="8"/>
      <c r="IB184" s="15"/>
      <c r="IC184" s="9">
        <v>0</v>
      </c>
      <c r="ID184" s="14"/>
      <c r="IE184" s="9"/>
      <c r="IF184" s="9"/>
      <c r="IG184" s="9">
        <v>0</v>
      </c>
      <c r="IH184" s="10"/>
      <c r="II184" s="15"/>
      <c r="IJ184" s="8"/>
      <c r="IK184" s="9">
        <v>0</v>
      </c>
      <c r="IL184" s="14"/>
      <c r="IM184" s="7"/>
      <c r="IN184" s="15"/>
      <c r="IO184" s="9">
        <v>0</v>
      </c>
      <c r="IP184" s="10"/>
      <c r="IQ184" s="8"/>
      <c r="IR184" s="15"/>
      <c r="IS184" s="9">
        <v>0</v>
      </c>
      <c r="IT184" s="10"/>
      <c r="IU184" s="8"/>
      <c r="IV184" s="8"/>
      <c r="IW184" s="9">
        <v>0</v>
      </c>
      <c r="IX184" s="10"/>
      <c r="IY184" s="9"/>
      <c r="IZ184" s="8"/>
      <c r="JA184" s="9">
        <v>0</v>
      </c>
      <c r="JB184" s="14"/>
      <c r="JC184" s="13">
        <v>40</v>
      </c>
      <c r="JD184" s="13">
        <v>40</v>
      </c>
      <c r="JE184" s="13">
        <v>30</v>
      </c>
      <c r="JF184" s="13">
        <v>32</v>
      </c>
      <c r="JG184" s="9">
        <v>-2</v>
      </c>
      <c r="JH184" s="10"/>
      <c r="JI184" s="8">
        <v>30</v>
      </c>
      <c r="JJ184" s="8">
        <v>30</v>
      </c>
      <c r="JK184" s="9">
        <v>0</v>
      </c>
      <c r="JL184" s="10"/>
      <c r="JM184" s="8">
        <v>0</v>
      </c>
      <c r="JN184" s="8">
        <v>0</v>
      </c>
      <c r="JO184" s="9">
        <v>0</v>
      </c>
      <c r="JP184" s="10"/>
      <c r="JQ184" s="7">
        <v>0</v>
      </c>
      <c r="JR184" s="8">
        <v>0</v>
      </c>
      <c r="JS184" s="9">
        <v>0</v>
      </c>
      <c r="JT184" s="10"/>
    </row>
  </sheetData>
  <autoFilter ref="A1:DY184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2025-12-30T11:06:28Z</dcterms:modified>
</cp:coreProperties>
</file>