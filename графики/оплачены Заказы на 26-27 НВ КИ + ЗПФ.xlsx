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15FAE48-0875-4DDC-98DE-7958408FD2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И" sheetId="1" r:id="rId1"/>
    <sheet name="ЗПФ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E6" i="2" s="1"/>
  <c r="E3" i="2"/>
  <c r="E27" i="1" l="1"/>
  <c r="E24" i="1"/>
  <c r="E20" i="1"/>
  <c r="E17" i="1"/>
  <c r="E29" i="1" s="1"/>
  <c r="E15" i="1"/>
  <c r="E10" i="1"/>
  <c r="E28" i="1" l="1"/>
  <c r="D27" i="1"/>
  <c r="D24" i="1"/>
  <c r="D20" i="1"/>
  <c r="D15" i="1"/>
  <c r="D10" i="1"/>
  <c r="D17" i="1" l="1"/>
  <c r="D6" i="1"/>
  <c r="D3" i="1"/>
</calcChain>
</file>

<file path=xl/sharedStrings.xml><?xml version="1.0" encoding="utf-8"?>
<sst xmlns="http://schemas.openxmlformats.org/spreadsheetml/2006/main" count="189" uniqueCount="71">
  <si>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</si>
  <si>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</si>
  <si>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</si>
  <si>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</si>
  <si>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</si>
  <si>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</si>
  <si>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</si>
  <si>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</si>
  <si>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</si>
  <si>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</si>
  <si>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</si>
  <si>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</si>
  <si>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6320577</t>
  </si>
  <si>
    <t>Блокировано</t>
  </si>
  <si>
    <t>10:00:00</t>
  </si>
  <si>
    <t>Да</t>
  </si>
  <si>
    <t>Нет</t>
  </si>
  <si>
    <t>6320579</t>
  </si>
  <si>
    <t>11:00:00</t>
  </si>
  <si>
    <t>13:00:00</t>
  </si>
  <si>
    <t>6320582</t>
  </si>
  <si>
    <t>Фин.контроль пройден</t>
  </si>
  <si>
    <t>00:10:00</t>
  </si>
  <si>
    <t>12:00:00</t>
  </si>
  <si>
    <t>6320586</t>
  </si>
  <si>
    <t>Предложение</t>
  </si>
  <si>
    <t>Открыто</t>
  </si>
  <si>
    <t>6320589</t>
  </si>
  <si>
    <t>6320603</t>
  </si>
  <si>
    <t>6320604</t>
  </si>
  <si>
    <t>6320605</t>
  </si>
  <si>
    <t>6320608</t>
  </si>
  <si>
    <t>6320651</t>
  </si>
  <si>
    <t>Итого:</t>
  </si>
  <si>
    <t>TSO001124310</t>
  </si>
  <si>
    <t>Луганск</t>
  </si>
  <si>
    <t>TSO001124208</t>
  </si>
  <si>
    <t>Донецк</t>
  </si>
  <si>
    <t>TSO001124687</t>
  </si>
  <si>
    <t>TSO001126458</t>
  </si>
  <si>
    <t>TSO001126470</t>
  </si>
  <si>
    <t>TSO001126497</t>
  </si>
  <si>
    <t>TSO001127060</t>
  </si>
  <si>
    <t>TSO001127051</t>
  </si>
  <si>
    <t>Мелитополь</t>
  </si>
  <si>
    <t>TSO001127055</t>
  </si>
  <si>
    <t>Бердянск</t>
  </si>
  <si>
    <t>TSO001126469</t>
  </si>
  <si>
    <t>TSO001126456</t>
  </si>
  <si>
    <t>TSO001127052</t>
  </si>
  <si>
    <t>Мариуполь</t>
  </si>
  <si>
    <t>30 паллет</t>
  </si>
  <si>
    <t>догружаем сырами</t>
  </si>
  <si>
    <t>TSO001126457</t>
  </si>
  <si>
    <t>TSO001126471</t>
  </si>
  <si>
    <t>ЛП</t>
  </si>
  <si>
    <t>сегодня отправили</t>
  </si>
  <si>
    <t>ВСЕ ЗАБИРАЕМ 27,09,26</t>
  </si>
  <si>
    <t>Сочи</t>
  </si>
  <si>
    <t>TSO001126498</t>
  </si>
  <si>
    <t>TSO001126499</t>
  </si>
  <si>
    <t>Симферополь</t>
  </si>
  <si>
    <t>TSO001127083</t>
  </si>
  <si>
    <t>Архив</t>
  </si>
  <si>
    <t>Итого чтобы все машины уехали на выходных</t>
  </si>
  <si>
    <t>6320998</t>
  </si>
  <si>
    <t>TSO001126318</t>
  </si>
  <si>
    <t>TSO001126324</t>
  </si>
  <si>
    <t>Итого чтобы все машины уехали</t>
  </si>
  <si>
    <t>6321528</t>
  </si>
  <si>
    <t>6321539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</si>
</sst>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93">
    <xf numFmtId="0" fontId="0" fillId="0" borderId="0" xfId="0"/>
    <xf numFmtId="0" fontId="0" fillId="34" borderId="0" xfId="0" applyFill="1"/>
    <xf numFmtId="0" fontId="18" fillId="0" borderId="10" xfId="42" applyBorder="1"/>
    <xf numFmtId="0" fontId="18" fillId="34" borderId="10" xfId="42" applyFill="1" applyBorder="1"/>
    <xf numFmtId="14" fontId="18" fillId="0" borderId="10" xfId="42" applyNumberFormat="1" applyBorder="1"/>
    <xf numFmtId="0" fontId="19" fillId="0" borderId="11" xfId="42" applyFont="1" applyBorder="1" applyAlignment="1">
      <alignment horizontal="center" vertical="center" wrapText="1"/>
    </xf>
    <xf numFmtId="0" fontId="19" fillId="0" borderId="11" xfId="42" quotePrefix="1" applyFont="1" applyBorder="1" applyAlignment="1">
      <alignment horizontal="center" vertical="center" wrapText="1"/>
    </xf>
    <xf numFmtId="0" fontId="18" fillId="0" borderId="14" xfId="42" applyBorder="1"/>
    <xf numFmtId="0" fontId="0" fillId="0" borderId="15" xfId="0" applyBorder="1"/>
    <xf numFmtId="0" fontId="18" fillId="0" borderId="15" xfId="42" applyBorder="1"/>
    <xf numFmtId="0" fontId="18" fillId="33" borderId="15" xfId="42" applyFill="1" applyBorder="1"/>
    <xf numFmtId="14" fontId="18" fillId="0" borderId="15" xfId="42" applyNumberFormat="1" applyBorder="1"/>
    <xf numFmtId="0" fontId="0" fillId="0" borderId="16" xfId="0" applyBorder="1"/>
    <xf numFmtId="0" fontId="0" fillId="0" borderId="17" xfId="0" applyBorder="1"/>
    <xf numFmtId="0" fontId="18" fillId="33" borderId="12" xfId="42" applyFill="1" applyBorder="1"/>
    <xf numFmtId="0" fontId="18" fillId="0" borderId="12" xfId="42" applyBorder="1"/>
    <xf numFmtId="14" fontId="18" fillId="0" borderId="12" xfId="42" applyNumberFormat="1" applyBorder="1"/>
    <xf numFmtId="0" fontId="18" fillId="0" borderId="19" xfId="42" applyBorder="1"/>
    <xf numFmtId="0" fontId="0" fillId="0" borderId="20" xfId="0" applyBorder="1"/>
    <xf numFmtId="0" fontId="18" fillId="0" borderId="20" xfId="42" applyBorder="1"/>
    <xf numFmtId="0" fontId="18" fillId="33" borderId="20" xfId="42" applyFill="1" applyBorder="1"/>
    <xf numFmtId="14" fontId="18" fillId="0" borderId="20" xfId="42" applyNumberFormat="1" applyBorder="1"/>
    <xf numFmtId="0" fontId="0" fillId="0" borderId="22" xfId="0" applyBorder="1"/>
    <xf numFmtId="0" fontId="18" fillId="0" borderId="23" xfId="42" applyBorder="1"/>
    <xf numFmtId="0" fontId="0" fillId="0" borderId="24" xfId="0" applyBorder="1"/>
    <xf numFmtId="0" fontId="18" fillId="0" borderId="24" xfId="42" applyBorder="1"/>
    <xf numFmtId="0" fontId="18" fillId="33" borderId="24" xfId="42" applyFill="1" applyBorder="1"/>
    <xf numFmtId="14" fontId="18" fillId="0" borderId="24" xfId="42" applyNumberFormat="1" applyBorder="1"/>
    <xf numFmtId="0" fontId="0" fillId="0" borderId="26" xfId="0" applyBorder="1"/>
    <xf numFmtId="0" fontId="18" fillId="34" borderId="20" xfId="42" applyFill="1" applyBorder="1"/>
    <xf numFmtId="0" fontId="0" fillId="0" borderId="21" xfId="0" applyBorder="1"/>
    <xf numFmtId="0" fontId="18" fillId="35" borderId="27" xfId="42" applyFill="1" applyBorder="1"/>
    <xf numFmtId="0" fontId="0" fillId="0" borderId="28" xfId="0" applyBorder="1"/>
    <xf numFmtId="0" fontId="18" fillId="34" borderId="24" xfId="42" applyFill="1" applyBorder="1"/>
    <xf numFmtId="0" fontId="0" fillId="0" borderId="25" xfId="0" applyBorder="1"/>
    <xf numFmtId="0" fontId="18" fillId="34" borderId="12" xfId="42" applyFill="1" applyBorder="1"/>
    <xf numFmtId="0" fontId="18" fillId="0" borderId="27" xfId="42" applyBorder="1"/>
    <xf numFmtId="0" fontId="18" fillId="35" borderId="23" xfId="42" applyFill="1" applyBorder="1"/>
    <xf numFmtId="0" fontId="18" fillId="35" borderId="19" xfId="42" applyFill="1" applyBorder="1"/>
    <xf numFmtId="0" fontId="0" fillId="0" borderId="12" xfId="0" applyBorder="1"/>
    <xf numFmtId="164" fontId="0" fillId="0" borderId="0" xfId="0" applyNumberFormat="1"/>
    <xf numFmtId="164" fontId="19" fillId="0" borderId="11" xfId="42" applyNumberFormat="1" applyFont="1" applyBorder="1" applyAlignment="1">
      <alignment horizontal="center" vertical="center" wrapText="1"/>
    </xf>
    <xf numFmtId="164" fontId="18" fillId="0" borderId="15" xfId="42" applyNumberFormat="1" applyBorder="1"/>
    <xf numFmtId="164" fontId="18" fillId="0" borderId="12" xfId="42" applyNumberFormat="1" applyBorder="1"/>
    <xf numFmtId="164" fontId="18" fillId="0" borderId="20" xfId="42" applyNumberFormat="1" applyBorder="1"/>
    <xf numFmtId="164" fontId="18" fillId="0" borderId="24" xfId="42" applyNumberFormat="1" applyBorder="1"/>
    <xf numFmtId="164" fontId="18" fillId="0" borderId="10" xfId="42" applyNumberFormat="1" applyBorder="1"/>
    <xf numFmtId="0" fontId="18" fillId="36" borderId="10" xfId="42" applyFill="1" applyBorder="1"/>
    <xf numFmtId="164" fontId="0" fillId="0" borderId="10" xfId="0" applyNumberFormat="1" applyBorder="1"/>
    <xf numFmtId="164" fontId="0" fillId="0" borderId="20" xfId="0" applyNumberFormat="1" applyBorder="1"/>
    <xf numFmtId="164" fontId="19" fillId="34" borderId="12" xfId="42" applyNumberFormat="1" applyFont="1" applyFill="1" applyBorder="1"/>
    <xf numFmtId="164" fontId="16" fillId="34" borderId="12" xfId="0" applyNumberFormat="1" applyFont="1" applyFill="1" applyBorder="1"/>
    <xf numFmtId="0" fontId="18" fillId="0" borderId="29" xfId="42" applyBorder="1"/>
    <xf numFmtId="0" fontId="18" fillId="0" borderId="11" xfId="42" applyBorder="1"/>
    <xf numFmtId="164" fontId="18" fillId="0" borderId="11" xfId="42" applyNumberFormat="1" applyBorder="1"/>
    <xf numFmtId="0" fontId="18" fillId="34" borderId="11" xfId="42" applyFill="1" applyBorder="1"/>
    <xf numFmtId="14" fontId="18" fillId="0" borderId="11" xfId="42" applyNumberFormat="1" applyBorder="1"/>
    <xf numFmtId="0" fontId="0" fillId="34" borderId="10" xfId="0" applyFill="1" applyBorder="1"/>
    <xf numFmtId="164" fontId="16" fillId="34" borderId="10" xfId="0" applyNumberFormat="1" applyFont="1" applyFill="1" applyBorder="1"/>
    <xf numFmtId="0" fontId="0" fillId="0" borderId="10" xfId="0" applyBorder="1"/>
    <xf numFmtId="164" fontId="16" fillId="34" borderId="0" xfId="0" applyNumberFormat="1" applyFont="1" applyFill="1"/>
    <xf numFmtId="0" fontId="18" fillId="0" borderId="35" xfId="42" applyBorder="1"/>
    <xf numFmtId="164" fontId="18" fillId="0" borderId="31" xfId="42" applyNumberFormat="1" applyBorder="1"/>
    <xf numFmtId="0" fontId="16" fillId="34" borderId="10" xfId="0" applyFont="1" applyFill="1" applyBorder="1"/>
    <xf numFmtId="164" fontId="19" fillId="34" borderId="31" xfId="42" applyNumberFormat="1" applyFont="1" applyFill="1" applyBorder="1"/>
    <xf numFmtId="0" fontId="19" fillId="34" borderId="31" xfId="42" applyFont="1" applyFill="1" applyBorder="1"/>
    <xf numFmtId="164" fontId="18" fillId="0" borderId="35" xfId="42" applyNumberFormat="1" applyBorder="1"/>
    <xf numFmtId="0" fontId="16" fillId="34" borderId="0" xfId="0" applyFont="1" applyFill="1"/>
    <xf numFmtId="0" fontId="19" fillId="0" borderId="31" xfId="42" applyFont="1" applyBorder="1" applyAlignment="1">
      <alignment horizontal="center" vertical="center" wrapText="1"/>
    </xf>
    <xf numFmtId="0" fontId="19" fillId="0" borderId="31" xfId="42" quotePrefix="1" applyFont="1" applyBorder="1" applyAlignment="1">
      <alignment horizontal="center" vertical="center" wrapText="1"/>
    </xf>
    <xf numFmtId="0" fontId="18" fillId="0" borderId="31" xfId="42" applyBorder="1"/>
    <xf numFmtId="14" fontId="18" fillId="0" borderId="31" xfId="42" applyNumberFormat="1" applyBorder="1"/>
    <xf numFmtId="0" fontId="18" fillId="37" borderId="24" xfId="42" applyFill="1" applyBorder="1"/>
    <xf numFmtId="0" fontId="18" fillId="37" borderId="15" xfId="42" applyFill="1" applyBorder="1"/>
    <xf numFmtId="0" fontId="18" fillId="0" borderId="36" xfId="42" applyBorder="1"/>
    <xf numFmtId="0" fontId="18" fillId="0" borderId="37" xfId="42" applyBorder="1"/>
    <xf numFmtId="0" fontId="18" fillId="33" borderId="13" xfId="42" applyFill="1" applyBorder="1" applyAlignment="1">
      <alignment horizontal="center"/>
    </xf>
    <xf numFmtId="0" fontId="18" fillId="33" borderId="0" xfId="42" applyFill="1" applyAlignment="1">
      <alignment horizontal="center"/>
    </xf>
    <xf numFmtId="0" fontId="18" fillId="33" borderId="18" xfId="42" applyFill="1" applyBorder="1" applyAlignment="1">
      <alignment horizontal="center"/>
    </xf>
    <xf numFmtId="0" fontId="18" fillId="34" borderId="13" xfId="42" applyFill="1" applyBorder="1" applyAlignment="1">
      <alignment horizontal="center"/>
    </xf>
    <xf numFmtId="0" fontId="18" fillId="34" borderId="0" xfId="42" applyFill="1" applyAlignment="1">
      <alignment horizontal="center"/>
    </xf>
    <xf numFmtId="0" fontId="18" fillId="34" borderId="18" xfId="42" applyFill="1" applyBorder="1" applyAlignment="1">
      <alignment horizontal="center"/>
    </xf>
    <xf numFmtId="0" fontId="16" fillId="34" borderId="30" xfId="0" applyFont="1" applyFill="1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8" fillId="34" borderId="10" xfId="42" applyFill="1" applyBorder="1" applyAlignment="1">
      <alignment horizontal="center"/>
    </xf>
    <xf numFmtId="0" fontId="19" fillId="34" borderId="32" xfId="42" applyFont="1" applyFill="1" applyBorder="1" applyAlignment="1">
      <alignment horizontal="center"/>
    </xf>
    <xf numFmtId="0" fontId="19" fillId="34" borderId="33" xfId="42" applyFont="1" applyFill="1" applyBorder="1" applyAlignment="1">
      <alignment horizontal="center"/>
    </xf>
    <xf numFmtId="0" fontId="19" fillId="34" borderId="34" xfId="42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zoomScale="85" zoomScaleNormal="85" workbookViewId="0">
      <selection activeCell="L40" sqref="L40"/>
    </sheetView>
  </sheetViews>
  <sheetFormatPr defaultRowHeight="15" x14ac:dyDescent="0.25"/>
  <cols>
    <col min="2" max="2" width="18.140625" customWidth="1"/>
    <col min="3" max="3" width="11.5703125" bestFit="1" customWidth="1"/>
    <col min="4" max="4" width="9.42578125" customWidth="1"/>
    <col min="5" max="5" width="14.5703125" style="40" bestFit="1" customWidth="1"/>
    <col min="6" max="6" width="13" bestFit="1" customWidth="1"/>
    <col min="7" max="7" width="21.140625" bestFit="1" customWidth="1"/>
    <col min="8" max="8" width="12" customWidth="1"/>
    <col min="12" max="12" width="12.140625" customWidth="1"/>
    <col min="13" max="13" width="10.140625" bestFit="1" customWidth="1"/>
    <col min="14" max="14" width="18.85546875" bestFit="1" customWidth="1"/>
    <col min="15" max="15" width="6.7109375" customWidth="1"/>
  </cols>
  <sheetData>
    <row r="1" spans="1:15" ht="45.75" thickBot="1" x14ac:dyDescent="0.3">
      <c r="A1" s="5" t="s">
        <v>0</v>
      </c>
      <c r="B1" s="6" t="s">
        <v>1</v>
      </c>
      <c r="C1" s="5" t="s">
        <v>2</v>
      </c>
      <c r="D1" s="5" t="s">
        <v>3</v>
      </c>
      <c r="E1" s="4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5" ht="15.75" hidden="1" thickBot="1" x14ac:dyDescent="0.3">
      <c r="A2" s="7" t="s">
        <v>20</v>
      </c>
      <c r="B2" s="8" t="s">
        <v>34</v>
      </c>
      <c r="C2" s="8" t="s">
        <v>35</v>
      </c>
      <c r="D2" s="9">
        <v>16833.14</v>
      </c>
      <c r="E2" s="42">
        <v>4124407.95</v>
      </c>
      <c r="F2" s="9" t="s">
        <v>0</v>
      </c>
      <c r="G2" s="10" t="s">
        <v>21</v>
      </c>
      <c r="H2" s="11">
        <v>46290</v>
      </c>
      <c r="I2" s="9" t="s">
        <v>22</v>
      </c>
      <c r="J2" s="9" t="s">
        <v>15</v>
      </c>
      <c r="K2" s="9" t="s">
        <v>16</v>
      </c>
      <c r="L2" s="9" t="s">
        <v>16</v>
      </c>
      <c r="M2" s="12" t="s">
        <v>51</v>
      </c>
      <c r="N2" s="12" t="s">
        <v>52</v>
      </c>
      <c r="O2" s="13">
        <v>22.09</v>
      </c>
    </row>
    <row r="3" spans="1:15" ht="24" hidden="1" customHeight="1" thickBot="1" x14ac:dyDescent="0.3">
      <c r="A3" s="76" t="s">
        <v>33</v>
      </c>
      <c r="B3" s="77"/>
      <c r="C3" s="78"/>
      <c r="D3" s="14">
        <f>SUM(D2)</f>
        <v>16833.14</v>
      </c>
      <c r="E3" s="43"/>
      <c r="F3" s="15"/>
      <c r="G3" s="15"/>
      <c r="H3" s="16"/>
      <c r="I3" s="15"/>
      <c r="J3" s="15"/>
      <c r="K3" s="15"/>
      <c r="L3" s="15"/>
    </row>
    <row r="4" spans="1:15" hidden="1" x14ac:dyDescent="0.25">
      <c r="A4" s="17" t="s">
        <v>30</v>
      </c>
      <c r="B4" s="18" t="s">
        <v>36</v>
      </c>
      <c r="C4" s="18" t="s">
        <v>37</v>
      </c>
      <c r="D4" s="19">
        <v>14922.56</v>
      </c>
      <c r="E4" s="44">
        <v>3808639.15</v>
      </c>
      <c r="F4" s="19" t="s">
        <v>0</v>
      </c>
      <c r="G4" s="20" t="s">
        <v>21</v>
      </c>
      <c r="H4" s="21">
        <v>46290</v>
      </c>
      <c r="I4" s="19" t="s">
        <v>22</v>
      </c>
      <c r="J4" s="19" t="s">
        <v>15</v>
      </c>
      <c r="K4" s="19" t="s">
        <v>16</v>
      </c>
      <c r="L4" s="19" t="s">
        <v>16</v>
      </c>
      <c r="M4" s="83" t="s">
        <v>51</v>
      </c>
      <c r="N4" s="83" t="s">
        <v>52</v>
      </c>
      <c r="O4" s="22">
        <v>21.09</v>
      </c>
    </row>
    <row r="5" spans="1:15" ht="15.75" hidden="1" thickBot="1" x14ac:dyDescent="0.3">
      <c r="A5" s="23" t="s">
        <v>32</v>
      </c>
      <c r="B5" s="24" t="s">
        <v>38</v>
      </c>
      <c r="C5" s="24" t="s">
        <v>37</v>
      </c>
      <c r="D5" s="25">
        <v>1905</v>
      </c>
      <c r="E5" s="45">
        <v>304648.95</v>
      </c>
      <c r="F5" s="25" t="s">
        <v>0</v>
      </c>
      <c r="G5" s="26" t="s">
        <v>21</v>
      </c>
      <c r="H5" s="27">
        <v>46290</v>
      </c>
      <c r="I5" s="25" t="s">
        <v>22</v>
      </c>
      <c r="J5" s="25" t="s">
        <v>15</v>
      </c>
      <c r="K5" s="25" t="s">
        <v>16</v>
      </c>
      <c r="L5" s="25" t="s">
        <v>16</v>
      </c>
      <c r="M5" s="84"/>
      <c r="N5" s="84"/>
      <c r="O5" s="28">
        <v>21.09</v>
      </c>
    </row>
    <row r="6" spans="1:15" ht="24" hidden="1" customHeight="1" thickBot="1" x14ac:dyDescent="0.3">
      <c r="A6" s="76" t="s">
        <v>33</v>
      </c>
      <c r="B6" s="77"/>
      <c r="C6" s="78"/>
      <c r="D6" s="14">
        <f>SUM(D4:D5)</f>
        <v>16827.559999999998</v>
      </c>
      <c r="E6" s="43"/>
      <c r="F6" s="15"/>
      <c r="G6" s="15"/>
      <c r="H6" s="16"/>
      <c r="I6" s="15"/>
      <c r="J6" s="15"/>
      <c r="K6" s="15"/>
      <c r="L6" s="15"/>
    </row>
    <row r="7" spans="1:15" hidden="1" x14ac:dyDescent="0.25">
      <c r="A7" s="17" t="s">
        <v>12</v>
      </c>
      <c r="B7" s="19" t="s">
        <v>39</v>
      </c>
      <c r="C7" s="19" t="s">
        <v>35</v>
      </c>
      <c r="D7" s="19">
        <v>8135.28</v>
      </c>
      <c r="E7" s="44">
        <v>1957741.51</v>
      </c>
      <c r="F7" s="19" t="s">
        <v>0</v>
      </c>
      <c r="G7" s="29" t="s">
        <v>13</v>
      </c>
      <c r="H7" s="21">
        <v>46291</v>
      </c>
      <c r="I7" s="19" t="s">
        <v>14</v>
      </c>
      <c r="J7" s="19" t="s">
        <v>15</v>
      </c>
      <c r="K7" s="19" t="s">
        <v>16</v>
      </c>
      <c r="L7" s="19" t="s">
        <v>16</v>
      </c>
      <c r="M7" s="30"/>
      <c r="N7" s="30"/>
      <c r="O7" s="22">
        <v>26.09</v>
      </c>
    </row>
    <row r="8" spans="1:15" hidden="1" x14ac:dyDescent="0.25">
      <c r="A8" s="36">
        <v>6320575</v>
      </c>
      <c r="B8" s="2" t="s">
        <v>53</v>
      </c>
      <c r="C8" s="2" t="s">
        <v>35</v>
      </c>
      <c r="D8" s="2">
        <v>917.64</v>
      </c>
      <c r="E8" s="40">
        <v>210851.50999999998</v>
      </c>
      <c r="F8" s="2" t="s">
        <v>0</v>
      </c>
      <c r="G8" s="47" t="s">
        <v>63</v>
      </c>
      <c r="H8" s="4"/>
      <c r="I8" s="2"/>
      <c r="J8" s="2"/>
      <c r="K8" s="2"/>
      <c r="L8" s="2"/>
      <c r="O8" s="32">
        <v>26.09</v>
      </c>
    </row>
    <row r="9" spans="1:15" ht="15.75" hidden="1" thickBot="1" x14ac:dyDescent="0.3">
      <c r="A9" s="23" t="s">
        <v>29</v>
      </c>
      <c r="B9" s="25" t="s">
        <v>48</v>
      </c>
      <c r="C9" s="25" t="s">
        <v>35</v>
      </c>
      <c r="D9" s="25">
        <v>8643.5400000000009</v>
      </c>
      <c r="E9" s="45">
        <v>2186079.06</v>
      </c>
      <c r="F9" s="25" t="s">
        <v>0</v>
      </c>
      <c r="G9" s="33" t="s">
        <v>13</v>
      </c>
      <c r="H9" s="27">
        <v>46291</v>
      </c>
      <c r="I9" s="25" t="s">
        <v>14</v>
      </c>
      <c r="J9" s="25" t="s">
        <v>15</v>
      </c>
      <c r="K9" s="25" t="s">
        <v>16</v>
      </c>
      <c r="L9" s="25" t="s">
        <v>16</v>
      </c>
      <c r="M9" s="34"/>
      <c r="N9" s="34"/>
      <c r="O9" s="28">
        <v>26.09</v>
      </c>
    </row>
    <row r="10" spans="1:15" ht="24" hidden="1" customHeight="1" thickBot="1" x14ac:dyDescent="0.3">
      <c r="A10" s="79" t="s">
        <v>33</v>
      </c>
      <c r="B10" s="80"/>
      <c r="C10" s="81"/>
      <c r="D10" s="35">
        <f>SUM(D7:D9)</f>
        <v>17696.46</v>
      </c>
      <c r="E10" s="50">
        <f>SUM(E7:E9)</f>
        <v>4354672.08</v>
      </c>
      <c r="F10" s="15"/>
      <c r="G10" s="15"/>
      <c r="H10" s="16"/>
      <c r="I10" s="15"/>
      <c r="J10" s="15"/>
      <c r="K10" s="15"/>
      <c r="L10" s="15"/>
    </row>
    <row r="11" spans="1:15" hidden="1" x14ac:dyDescent="0.25">
      <c r="A11" s="17" t="s">
        <v>17</v>
      </c>
      <c r="B11" s="19" t="s">
        <v>40</v>
      </c>
      <c r="C11" s="19" t="s">
        <v>37</v>
      </c>
      <c r="D11" s="19">
        <v>2218.1999999999998</v>
      </c>
      <c r="E11" s="44">
        <v>524159.06</v>
      </c>
      <c r="F11" s="19" t="s">
        <v>0</v>
      </c>
      <c r="G11" s="29" t="s">
        <v>13</v>
      </c>
      <c r="H11" s="21">
        <v>46291</v>
      </c>
      <c r="I11" s="19" t="s">
        <v>18</v>
      </c>
      <c r="J11" s="19" t="s">
        <v>15</v>
      </c>
      <c r="K11" s="19" t="s">
        <v>16</v>
      </c>
      <c r="L11" s="19" t="s">
        <v>16</v>
      </c>
      <c r="M11" s="30"/>
      <c r="N11" s="85" t="s">
        <v>57</v>
      </c>
      <c r="O11" s="22">
        <v>26.09</v>
      </c>
    </row>
    <row r="12" spans="1:15" hidden="1" x14ac:dyDescent="0.25">
      <c r="A12" s="36" t="s">
        <v>28</v>
      </c>
      <c r="B12" s="2" t="s">
        <v>47</v>
      </c>
      <c r="C12" s="2" t="s">
        <v>37</v>
      </c>
      <c r="D12" s="2">
        <v>10534.85</v>
      </c>
      <c r="E12" s="46">
        <v>2469301.84</v>
      </c>
      <c r="F12" s="2" t="s">
        <v>0</v>
      </c>
      <c r="G12" s="3" t="s">
        <v>13</v>
      </c>
      <c r="H12" s="4">
        <v>46291</v>
      </c>
      <c r="I12" s="2" t="s">
        <v>18</v>
      </c>
      <c r="J12" s="2" t="s">
        <v>15</v>
      </c>
      <c r="K12" s="2" t="s">
        <v>16</v>
      </c>
      <c r="L12" s="2" t="s">
        <v>16</v>
      </c>
      <c r="N12" s="86"/>
      <c r="O12" s="32">
        <v>26.09</v>
      </c>
    </row>
    <row r="13" spans="1:15" ht="15" hidden="1" customHeight="1" x14ac:dyDescent="0.25">
      <c r="A13" s="31">
        <v>6319842</v>
      </c>
      <c r="B13" s="2" t="s">
        <v>54</v>
      </c>
      <c r="C13" s="2" t="s">
        <v>58</v>
      </c>
      <c r="D13" s="2">
        <v>920.1</v>
      </c>
      <c r="E13" s="40">
        <v>291005.73999999993</v>
      </c>
      <c r="F13" s="2" t="s">
        <v>0</v>
      </c>
      <c r="G13" s="47" t="s">
        <v>63</v>
      </c>
      <c r="H13" s="4"/>
      <c r="I13" s="2"/>
      <c r="J13" s="2"/>
      <c r="K13" s="2"/>
      <c r="L13" s="2"/>
      <c r="N13" s="86"/>
      <c r="O13" s="32">
        <v>26.09</v>
      </c>
    </row>
    <row r="14" spans="1:15" ht="14.1" hidden="1" customHeight="1" thickBot="1" x14ac:dyDescent="0.3">
      <c r="A14" s="37" t="s">
        <v>55</v>
      </c>
      <c r="B14" s="25" t="s">
        <v>56</v>
      </c>
      <c r="C14" s="25" t="s">
        <v>58</v>
      </c>
      <c r="D14" s="25">
        <v>3755.04</v>
      </c>
      <c r="E14" s="45">
        <v>984233.1</v>
      </c>
      <c r="F14" s="25"/>
      <c r="G14" s="33"/>
      <c r="H14" s="27"/>
      <c r="I14" s="25"/>
      <c r="J14" s="25"/>
      <c r="K14" s="25"/>
      <c r="L14" s="25"/>
      <c r="M14" s="34"/>
      <c r="N14" s="87"/>
      <c r="O14" s="28">
        <v>27.09</v>
      </c>
    </row>
    <row r="15" spans="1:15" ht="24" hidden="1" customHeight="1" thickBot="1" x14ac:dyDescent="0.3">
      <c r="A15" s="79" t="s">
        <v>33</v>
      </c>
      <c r="B15" s="80"/>
      <c r="C15" s="81"/>
      <c r="D15" s="35">
        <f>SUM(D11:D14)</f>
        <v>17428.189999999999</v>
      </c>
      <c r="E15" s="50">
        <f>SUM(E11:E12)</f>
        <v>2993460.9</v>
      </c>
      <c r="F15" s="15"/>
      <c r="G15" s="15"/>
      <c r="H15" s="16"/>
      <c r="I15" s="15"/>
      <c r="J15" s="15"/>
      <c r="K15" s="15"/>
      <c r="L15" s="15"/>
    </row>
    <row r="16" spans="1:15" ht="15.75" thickBot="1" x14ac:dyDescent="0.3">
      <c r="A16" s="75" t="s">
        <v>69</v>
      </c>
      <c r="B16" s="73" t="s">
        <v>42</v>
      </c>
      <c r="C16" s="9" t="s">
        <v>37</v>
      </c>
      <c r="D16" s="9">
        <v>17596.78</v>
      </c>
      <c r="E16" s="42">
        <v>3874349.11</v>
      </c>
      <c r="F16" s="74" t="s">
        <v>25</v>
      </c>
      <c r="G16" s="74" t="s">
        <v>26</v>
      </c>
      <c r="H16" s="11">
        <v>46292</v>
      </c>
      <c r="I16" s="9" t="s">
        <v>23</v>
      </c>
      <c r="J16" s="9" t="s">
        <v>15</v>
      </c>
      <c r="K16" s="9" t="s">
        <v>16</v>
      </c>
      <c r="L16" s="9" t="s">
        <v>16</v>
      </c>
      <c r="M16" s="12"/>
      <c r="N16" s="12"/>
      <c r="O16" s="13">
        <v>27.09</v>
      </c>
    </row>
    <row r="17" spans="1:15" ht="24" customHeight="1" x14ac:dyDescent="0.25">
      <c r="A17" s="79" t="s">
        <v>33</v>
      </c>
      <c r="B17" s="80"/>
      <c r="C17" s="81"/>
      <c r="D17" s="35">
        <f>SUM(D16)</f>
        <v>17596.78</v>
      </c>
      <c r="E17" s="50">
        <f>SUM(E16)</f>
        <v>3874349.11</v>
      </c>
      <c r="F17" s="15"/>
      <c r="G17" s="15"/>
      <c r="H17" s="16"/>
      <c r="I17" s="15"/>
      <c r="J17" s="15"/>
      <c r="K17" s="15"/>
      <c r="L17" s="15"/>
    </row>
    <row r="18" spans="1:15" hidden="1" x14ac:dyDescent="0.25">
      <c r="A18" s="17" t="s">
        <v>24</v>
      </c>
      <c r="B18" s="19" t="s">
        <v>43</v>
      </c>
      <c r="C18" s="19" t="s">
        <v>44</v>
      </c>
      <c r="D18" s="19">
        <v>13916.16</v>
      </c>
      <c r="E18" s="44">
        <v>3131303.19</v>
      </c>
      <c r="F18" s="19" t="s">
        <v>25</v>
      </c>
      <c r="G18" s="29" t="s">
        <v>26</v>
      </c>
      <c r="H18" s="21">
        <v>46292</v>
      </c>
      <c r="I18" s="19" t="s">
        <v>14</v>
      </c>
      <c r="J18" s="19" t="s">
        <v>15</v>
      </c>
      <c r="K18" s="19" t="s">
        <v>16</v>
      </c>
      <c r="L18" s="19" t="s">
        <v>16</v>
      </c>
      <c r="M18" s="30"/>
      <c r="N18" s="30"/>
      <c r="O18" s="22">
        <v>27.09</v>
      </c>
    </row>
    <row r="19" spans="1:15" ht="15.75" hidden="1" thickBot="1" x14ac:dyDescent="0.3">
      <c r="A19" s="23" t="s">
        <v>31</v>
      </c>
      <c r="B19" s="25" t="s">
        <v>49</v>
      </c>
      <c r="C19" s="25" t="s">
        <v>50</v>
      </c>
      <c r="D19" s="25">
        <v>3931.3</v>
      </c>
      <c r="E19" s="45">
        <v>984233.1</v>
      </c>
      <c r="F19" s="25" t="s">
        <v>25</v>
      </c>
      <c r="G19" s="33" t="s">
        <v>26</v>
      </c>
      <c r="H19" s="27">
        <v>46292</v>
      </c>
      <c r="I19" s="25" t="s">
        <v>14</v>
      </c>
      <c r="J19" s="25" t="s">
        <v>15</v>
      </c>
      <c r="K19" s="25" t="s">
        <v>16</v>
      </c>
      <c r="L19" s="25" t="s">
        <v>16</v>
      </c>
      <c r="M19" s="34"/>
      <c r="N19" s="34"/>
      <c r="O19" s="28">
        <v>27.09</v>
      </c>
    </row>
    <row r="20" spans="1:15" ht="24" hidden="1" customHeight="1" x14ac:dyDescent="0.25">
      <c r="A20" s="79" t="s">
        <v>33</v>
      </c>
      <c r="B20" s="80"/>
      <c r="C20" s="81"/>
      <c r="D20" s="35">
        <f>SUM(D18:D19)</f>
        <v>17847.46</v>
      </c>
      <c r="E20" s="50">
        <f>SUM(E18:E19)</f>
        <v>4115536.29</v>
      </c>
      <c r="F20" s="15"/>
      <c r="G20" s="15"/>
      <c r="H20" s="16"/>
      <c r="I20" s="15"/>
      <c r="J20" s="15"/>
      <c r="K20" s="15"/>
      <c r="L20" s="15"/>
    </row>
    <row r="21" spans="1:15" ht="15.75" hidden="1" thickBot="1" x14ac:dyDescent="0.3">
      <c r="A21" s="38">
        <v>6319858</v>
      </c>
      <c r="B21" s="19" t="s">
        <v>59</v>
      </c>
      <c r="C21" s="19" t="s">
        <v>58</v>
      </c>
      <c r="D21" s="19">
        <v>2503.7999999999997</v>
      </c>
      <c r="E21" s="49">
        <v>480779.52000000002</v>
      </c>
      <c r="F21" s="19" t="s">
        <v>0</v>
      </c>
      <c r="G21" s="20" t="s">
        <v>21</v>
      </c>
      <c r="H21" s="21"/>
      <c r="I21" s="19"/>
      <c r="J21" s="19"/>
      <c r="K21" s="19"/>
      <c r="L21" s="19"/>
      <c r="M21" s="30"/>
      <c r="N21" s="30"/>
      <c r="O21" s="22">
        <v>26.09</v>
      </c>
    </row>
    <row r="22" spans="1:15" hidden="1" x14ac:dyDescent="0.25">
      <c r="A22" s="31">
        <v>6319864</v>
      </c>
      <c r="B22" s="2" t="s">
        <v>60</v>
      </c>
      <c r="C22" s="2" t="s">
        <v>58</v>
      </c>
      <c r="D22" s="2">
        <v>5722.3</v>
      </c>
      <c r="E22" s="48">
        <v>1260992.3699999999</v>
      </c>
      <c r="F22" s="19" t="s">
        <v>0</v>
      </c>
      <c r="G22" s="20" t="s">
        <v>21</v>
      </c>
      <c r="H22" s="4"/>
      <c r="I22" s="2"/>
      <c r="J22" s="2"/>
      <c r="K22" s="2"/>
      <c r="L22" s="2"/>
      <c r="O22" s="32">
        <v>26.09</v>
      </c>
    </row>
    <row r="23" spans="1:15" ht="15.75" thickBot="1" x14ac:dyDescent="0.3">
      <c r="A23" s="75" t="s">
        <v>70</v>
      </c>
      <c r="B23" s="72" t="s">
        <v>41</v>
      </c>
      <c r="C23" s="25" t="s">
        <v>35</v>
      </c>
      <c r="D23" s="25">
        <v>9038.06</v>
      </c>
      <c r="E23" s="45">
        <v>2341273</v>
      </c>
      <c r="F23" s="74" t="s">
        <v>25</v>
      </c>
      <c r="G23" s="74" t="s">
        <v>26</v>
      </c>
      <c r="H23" s="27">
        <v>46291</v>
      </c>
      <c r="I23" s="25" t="s">
        <v>19</v>
      </c>
      <c r="J23" s="25" t="s">
        <v>15</v>
      </c>
      <c r="K23" s="25" t="s">
        <v>16</v>
      </c>
      <c r="L23" s="25" t="s">
        <v>16</v>
      </c>
      <c r="M23" s="34"/>
      <c r="N23" s="34"/>
      <c r="O23" s="28">
        <v>26.09</v>
      </c>
    </row>
    <row r="24" spans="1:15" ht="24" customHeight="1" x14ac:dyDescent="0.25">
      <c r="A24" s="79" t="s">
        <v>33</v>
      </c>
      <c r="B24" s="80"/>
      <c r="C24" s="81"/>
      <c r="D24" s="1">
        <f>SUM(D21:D23)</f>
        <v>17264.16</v>
      </c>
      <c r="E24" s="51">
        <f>SUM(E23)</f>
        <v>2341273</v>
      </c>
      <c r="F24" s="39"/>
      <c r="G24" s="39"/>
      <c r="H24" s="39"/>
      <c r="I24" s="39"/>
      <c r="J24" s="39"/>
      <c r="K24" s="39"/>
      <c r="L24" s="39"/>
    </row>
    <row r="25" spans="1:15" hidden="1" x14ac:dyDescent="0.25">
      <c r="A25" s="38">
        <v>6320666</v>
      </c>
      <c r="B25" s="19" t="s">
        <v>62</v>
      </c>
      <c r="C25" s="19" t="s">
        <v>61</v>
      </c>
      <c r="D25" s="19">
        <v>12165.6</v>
      </c>
      <c r="E25" s="40">
        <v>2668761.6400000006</v>
      </c>
      <c r="F25" s="19" t="s">
        <v>0</v>
      </c>
      <c r="G25" s="29" t="s">
        <v>13</v>
      </c>
      <c r="H25" s="21"/>
      <c r="I25" s="19"/>
      <c r="J25" s="19"/>
      <c r="K25" s="19"/>
      <c r="L25" s="19"/>
      <c r="M25" s="30"/>
      <c r="N25" s="30"/>
      <c r="O25" s="22">
        <v>27.09</v>
      </c>
    </row>
    <row r="26" spans="1:15" hidden="1" x14ac:dyDescent="0.25">
      <c r="A26" s="52" t="s">
        <v>27</v>
      </c>
      <c r="B26" s="53" t="s">
        <v>45</v>
      </c>
      <c r="C26" s="53" t="s">
        <v>46</v>
      </c>
      <c r="D26" s="53">
        <v>5466.94</v>
      </c>
      <c r="E26" s="54">
        <v>1326191.97</v>
      </c>
      <c r="F26" s="53" t="s">
        <v>25</v>
      </c>
      <c r="G26" s="55" t="s">
        <v>26</v>
      </c>
      <c r="H26" s="56">
        <v>46292</v>
      </c>
      <c r="I26" s="53" t="s">
        <v>18</v>
      </c>
      <c r="J26" s="53" t="s">
        <v>15</v>
      </c>
      <c r="K26" s="53" t="s">
        <v>16</v>
      </c>
      <c r="L26" s="53" t="s">
        <v>16</v>
      </c>
      <c r="O26" s="32">
        <v>27.09</v>
      </c>
    </row>
    <row r="27" spans="1:15" ht="24" hidden="1" customHeight="1" x14ac:dyDescent="0.25">
      <c r="A27" s="88" t="s">
        <v>33</v>
      </c>
      <c r="B27" s="88"/>
      <c r="C27" s="88"/>
      <c r="D27" s="57">
        <f>SUM(D25:D26)</f>
        <v>17632.54</v>
      </c>
      <c r="E27" s="58">
        <f>SUM(E26)</f>
        <v>1326191.97</v>
      </c>
      <c r="F27" s="59"/>
      <c r="G27" s="59"/>
      <c r="H27" s="59"/>
      <c r="I27" s="59"/>
      <c r="J27" s="59"/>
      <c r="K27" s="59"/>
      <c r="L27" s="59"/>
      <c r="M27" s="59"/>
      <c r="N27" s="59"/>
      <c r="O27" s="59"/>
    </row>
    <row r="28" spans="1:15" hidden="1" x14ac:dyDescent="0.25">
      <c r="A28" s="82" t="s">
        <v>64</v>
      </c>
      <c r="B28" s="82"/>
      <c r="C28" s="82"/>
      <c r="D28" s="82"/>
      <c r="E28" s="60">
        <f>SUM(E27,E24,E20,E17,E15,E10)</f>
        <v>19005483.350000001</v>
      </c>
    </row>
    <row r="29" spans="1:15" x14ac:dyDescent="0.25">
      <c r="E29" s="40">
        <f>SUM(E17,E24)</f>
        <v>6215622.1099999994</v>
      </c>
    </row>
  </sheetData>
  <mergeCells count="12">
    <mergeCell ref="A28:D28"/>
    <mergeCell ref="M4:M5"/>
    <mergeCell ref="N4:N5"/>
    <mergeCell ref="N11:N14"/>
    <mergeCell ref="A24:C24"/>
    <mergeCell ref="A27:C27"/>
    <mergeCell ref="A3:C3"/>
    <mergeCell ref="A6:C6"/>
    <mergeCell ref="A10:C10"/>
    <mergeCell ref="A15:C15"/>
    <mergeCell ref="A20:C20"/>
    <mergeCell ref="A17:C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F11" sqref="F11"/>
    </sheetView>
  </sheetViews>
  <sheetFormatPr defaultRowHeight="15" x14ac:dyDescent="0.25"/>
  <cols>
    <col min="2" max="2" width="13.140625" bestFit="1" customWidth="1"/>
    <col min="3" max="3" width="11.5703125" bestFit="1" customWidth="1"/>
    <col min="5" max="5" width="12.5703125" bestFit="1" customWidth="1"/>
    <col min="8" max="8" width="9.85546875" bestFit="1" customWidth="1"/>
  </cols>
  <sheetData>
    <row r="1" spans="1:12" ht="60" x14ac:dyDescent="0.25">
      <c r="A1" s="68" t="s">
        <v>0</v>
      </c>
      <c r="B1" s="69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</row>
    <row r="2" spans="1:12" x14ac:dyDescent="0.25">
      <c r="A2" s="70">
        <v>6321700</v>
      </c>
      <c r="B2" s="70" t="s">
        <v>66</v>
      </c>
      <c r="C2" s="70" t="s">
        <v>37</v>
      </c>
      <c r="D2" s="70">
        <v>12383.24</v>
      </c>
      <c r="E2" s="62">
        <v>3742567.76</v>
      </c>
      <c r="F2" s="70" t="s">
        <v>0</v>
      </c>
      <c r="G2" s="70" t="s">
        <v>21</v>
      </c>
      <c r="H2" s="71">
        <v>46290</v>
      </c>
      <c r="I2" s="70" t="s">
        <v>14</v>
      </c>
      <c r="J2" s="70" t="s">
        <v>15</v>
      </c>
      <c r="K2" s="70" t="s">
        <v>16</v>
      </c>
      <c r="L2" s="70" t="s">
        <v>16</v>
      </c>
    </row>
    <row r="3" spans="1:12" x14ac:dyDescent="0.25">
      <c r="A3" s="89" t="s">
        <v>33</v>
      </c>
      <c r="B3" s="90"/>
      <c r="C3" s="91"/>
      <c r="D3" s="65"/>
      <c r="E3" s="64">
        <f>SUM(E2)</f>
        <v>3742567.76</v>
      </c>
      <c r="F3" s="70"/>
      <c r="G3" s="70"/>
      <c r="H3" s="71"/>
      <c r="I3" s="70"/>
      <c r="J3" s="70"/>
      <c r="K3" s="70"/>
      <c r="L3" s="70"/>
    </row>
    <row r="4" spans="1:12" hidden="1" x14ac:dyDescent="0.25">
      <c r="A4" s="61" t="s">
        <v>65</v>
      </c>
      <c r="B4" s="61" t="s">
        <v>67</v>
      </c>
      <c r="C4" s="61" t="s">
        <v>44</v>
      </c>
      <c r="D4" s="61">
        <v>11730.6</v>
      </c>
      <c r="E4" s="66">
        <v>3447759.48</v>
      </c>
      <c r="F4" s="70" t="s">
        <v>0</v>
      </c>
      <c r="G4" s="70" t="s">
        <v>13</v>
      </c>
      <c r="H4" s="71">
        <v>46290</v>
      </c>
      <c r="I4" s="70" t="s">
        <v>18</v>
      </c>
      <c r="J4" s="70" t="s">
        <v>15</v>
      </c>
      <c r="K4" s="70" t="s">
        <v>16</v>
      </c>
      <c r="L4" s="70" t="s">
        <v>16</v>
      </c>
    </row>
    <row r="5" spans="1:12" hidden="1" x14ac:dyDescent="0.25">
      <c r="A5" s="92" t="s">
        <v>33</v>
      </c>
      <c r="B5" s="92"/>
      <c r="C5" s="92"/>
      <c r="D5" s="63"/>
      <c r="E5" s="58">
        <f>SUM(E4)</f>
        <v>3447759.48</v>
      </c>
    </row>
    <row r="6" spans="1:12" hidden="1" x14ac:dyDescent="0.25">
      <c r="A6" s="82" t="s">
        <v>68</v>
      </c>
      <c r="B6" s="82"/>
      <c r="C6" s="82"/>
      <c r="D6" s="67"/>
      <c r="E6" s="60">
        <f>SUM(E5,E3)</f>
        <v>7190327.2400000002</v>
      </c>
    </row>
  </sheetData>
  <mergeCells count="3">
    <mergeCell ref="A3:C3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</cp:lastModifiedBy>
  <dcterms:created xsi:type="dcterms:W3CDTF">2026-09-25T08:55:11Z</dcterms:created>
  <dcterms:modified xsi:type="dcterms:W3CDTF">2026-09-26T06:41:45Z</dcterms:modified>
</cp:coreProperties>
</file>