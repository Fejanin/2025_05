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графики\"/>
    </mc:Choice>
  </mc:AlternateContent>
  <xr:revisionPtr revIDLastSave="0" documentId="13_ncr:1_{34D5AE2A-A185-4B18-A766-21F298B1117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Лист1!$A$8:$H$244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6" i="1" l="1"/>
  <c r="E232" i="1" l="1"/>
  <c r="G226" i="1" l="1"/>
  <c r="F226" i="1"/>
  <c r="G224" i="1"/>
  <c r="G234" i="1" s="1"/>
  <c r="F224" i="1"/>
  <c r="F234" i="1" s="1"/>
  <c r="G223" i="1"/>
  <c r="G233" i="1" s="1"/>
  <c r="F223" i="1"/>
  <c r="F233" i="1" s="1"/>
  <c r="G222" i="1"/>
  <c r="G232" i="1" s="1"/>
  <c r="F222" i="1"/>
  <c r="F232" i="1" s="1"/>
  <c r="D226" i="1"/>
  <c r="C226" i="1"/>
  <c r="C236" i="1" s="1"/>
  <c r="C244" i="1" s="1"/>
  <c r="D225" i="1"/>
  <c r="D235" i="1" s="1"/>
  <c r="C225" i="1"/>
  <c r="C235" i="1" s="1"/>
  <c r="D224" i="1"/>
  <c r="D234" i="1" s="1"/>
  <c r="C224" i="1"/>
  <c r="C234" i="1" s="1"/>
  <c r="D223" i="1"/>
  <c r="C223" i="1"/>
  <c r="C233" i="1" s="1"/>
  <c r="D222" i="1"/>
  <c r="D232" i="1" s="1"/>
  <c r="C222" i="1"/>
  <c r="C232" i="1" s="1"/>
  <c r="E194" i="1" l="1"/>
  <c r="E174" i="1" l="1"/>
  <c r="E168" i="1" l="1"/>
  <c r="E164" i="1" l="1"/>
  <c r="E159" i="1" l="1"/>
  <c r="D139" i="1" l="1"/>
  <c r="D151" i="1" s="1"/>
  <c r="D161" i="1" s="1"/>
  <c r="D171" i="1" s="1"/>
  <c r="D181" i="1" s="1"/>
  <c r="D191" i="1" s="1"/>
  <c r="G134" i="1"/>
  <c r="G146" i="1" s="1"/>
  <c r="G157" i="1" s="1"/>
  <c r="G167" i="1" s="1"/>
  <c r="G177" i="1" s="1"/>
  <c r="G187" i="1" s="1"/>
  <c r="G197" i="1" s="1"/>
  <c r="F134" i="1"/>
  <c r="F146" i="1" s="1"/>
  <c r="F157" i="1" s="1"/>
  <c r="F167" i="1" s="1"/>
  <c r="F177" i="1" s="1"/>
  <c r="F187" i="1" s="1"/>
  <c r="F197" i="1" s="1"/>
  <c r="G132" i="1"/>
  <c r="G144" i="1" s="1"/>
  <c r="F132" i="1"/>
  <c r="F144" i="1" s="1"/>
  <c r="D132" i="1"/>
  <c r="D144" i="1" s="1"/>
  <c r="C132" i="1"/>
  <c r="C144" i="1" s="1"/>
  <c r="G131" i="1"/>
  <c r="G143" i="1" s="1"/>
  <c r="G155" i="1" s="1"/>
  <c r="G165" i="1" s="1"/>
  <c r="G175" i="1" s="1"/>
  <c r="G185" i="1" s="1"/>
  <c r="G195" i="1" s="1"/>
  <c r="G205" i="1" s="1"/>
  <c r="F131" i="1"/>
  <c r="F143" i="1" s="1"/>
  <c r="F155" i="1" s="1"/>
  <c r="F165" i="1" s="1"/>
  <c r="F175" i="1" s="1"/>
  <c r="F185" i="1" s="1"/>
  <c r="F195" i="1" s="1"/>
  <c r="F205" i="1" s="1"/>
  <c r="G130" i="1"/>
  <c r="G142" i="1" s="1"/>
  <c r="G154" i="1" s="1"/>
  <c r="G164" i="1" s="1"/>
  <c r="G174" i="1" s="1"/>
  <c r="G184" i="1" s="1"/>
  <c r="G194" i="1" s="1"/>
  <c r="G204" i="1" s="1"/>
  <c r="F130" i="1"/>
  <c r="F142" i="1" s="1"/>
  <c r="F154" i="1" s="1"/>
  <c r="F164" i="1" s="1"/>
  <c r="F174" i="1" s="1"/>
  <c r="F184" i="1" s="1"/>
  <c r="F194" i="1" s="1"/>
  <c r="F204" i="1" s="1"/>
  <c r="G129" i="1"/>
  <c r="G141" i="1" s="1"/>
  <c r="G153" i="1" s="1"/>
  <c r="G163" i="1" s="1"/>
  <c r="G173" i="1" s="1"/>
  <c r="G183" i="1" s="1"/>
  <c r="G193" i="1" s="1"/>
  <c r="G203" i="1" s="1"/>
  <c r="F129" i="1"/>
  <c r="F141" i="1" s="1"/>
  <c r="F153" i="1" s="1"/>
  <c r="F163" i="1" s="1"/>
  <c r="F173" i="1" s="1"/>
  <c r="F183" i="1" s="1"/>
  <c r="F193" i="1" s="1"/>
  <c r="F203" i="1" s="1"/>
  <c r="D129" i="1"/>
  <c r="D141" i="1" s="1"/>
  <c r="D153" i="1" s="1"/>
  <c r="D163" i="1" s="1"/>
  <c r="D173" i="1" s="1"/>
  <c r="D183" i="1" s="1"/>
  <c r="D193" i="1" s="1"/>
  <c r="D203" i="1" s="1"/>
  <c r="C129" i="1"/>
  <c r="C141" i="1" s="1"/>
  <c r="C153" i="1" s="1"/>
  <c r="C163" i="1" s="1"/>
  <c r="C173" i="1" s="1"/>
  <c r="C183" i="1" s="1"/>
  <c r="C193" i="1" s="1"/>
  <c r="C203" i="1" s="1"/>
  <c r="G127" i="1"/>
  <c r="G139" i="1" s="1"/>
  <c r="G151" i="1" s="1"/>
  <c r="G161" i="1" s="1"/>
  <c r="G171" i="1" s="1"/>
  <c r="G181" i="1" s="1"/>
  <c r="G191" i="1" s="1"/>
  <c r="F127" i="1"/>
  <c r="F139" i="1" s="1"/>
  <c r="F151" i="1" s="1"/>
  <c r="F161" i="1" s="1"/>
  <c r="F171" i="1" s="1"/>
  <c r="F181" i="1" s="1"/>
  <c r="F191" i="1" s="1"/>
  <c r="D118" i="1" l="1"/>
  <c r="D130" i="1" s="1"/>
  <c r="D142" i="1" s="1"/>
  <c r="D154" i="1" s="1"/>
  <c r="D164" i="1" s="1"/>
  <c r="D174" i="1" s="1"/>
  <c r="D184" i="1" s="1"/>
  <c r="D194" i="1" s="1"/>
  <c r="D204" i="1" s="1"/>
  <c r="C115" i="1"/>
  <c r="C127" i="1" s="1"/>
  <c r="C139" i="1" s="1"/>
  <c r="C151" i="1" s="1"/>
  <c r="C161" i="1" s="1"/>
  <c r="C171" i="1" s="1"/>
  <c r="C181" i="1" s="1"/>
  <c r="C191" i="1" s="1"/>
  <c r="C201" i="1" s="1"/>
  <c r="D113" i="1" l="1"/>
  <c r="D125" i="1" s="1"/>
  <c r="D137" i="1" s="1"/>
  <c r="D149" i="1" s="1"/>
  <c r="D160" i="1" s="1"/>
  <c r="D170" i="1" s="1"/>
  <c r="D180" i="1" s="1"/>
  <c r="D190" i="1" s="1"/>
  <c r="D200" i="1" s="1"/>
  <c r="D210" i="1" s="1"/>
  <c r="D220" i="1" s="1"/>
  <c r="D230" i="1" s="1"/>
  <c r="D240" i="1" s="1"/>
  <c r="G114" i="1"/>
  <c r="G126" i="1" s="1"/>
  <c r="G138" i="1" s="1"/>
  <c r="G150" i="1" s="1"/>
  <c r="G160" i="1" s="1"/>
  <c r="G170" i="1" s="1"/>
  <c r="G180" i="1" s="1"/>
  <c r="G190" i="1" s="1"/>
  <c r="G200" i="1" s="1"/>
  <c r="G210" i="1" s="1"/>
  <c r="G220" i="1" s="1"/>
  <c r="G230" i="1" s="1"/>
  <c r="G240" i="1" s="1"/>
  <c r="F114" i="1"/>
  <c r="F126" i="1" s="1"/>
  <c r="F138" i="1" s="1"/>
  <c r="F150" i="1" s="1"/>
  <c r="F160" i="1" s="1"/>
  <c r="F170" i="1" s="1"/>
  <c r="F180" i="1" s="1"/>
  <c r="F190" i="1" s="1"/>
  <c r="F200" i="1" s="1"/>
  <c r="F210" i="1" s="1"/>
  <c r="F220" i="1" s="1"/>
  <c r="F230" i="1" s="1"/>
  <c r="F240" i="1" s="1"/>
  <c r="F112" i="1"/>
  <c r="F124" i="1" s="1"/>
  <c r="F136" i="1" s="1"/>
  <c r="F148" i="1" s="1"/>
  <c r="F159" i="1" s="1"/>
  <c r="F169" i="1" s="1"/>
  <c r="F179" i="1" s="1"/>
  <c r="F189" i="1" s="1"/>
  <c r="F199" i="1" s="1"/>
  <c r="F209" i="1" s="1"/>
  <c r="F219" i="1" s="1"/>
  <c r="F229" i="1" s="1"/>
  <c r="F239" i="1" s="1"/>
  <c r="G108" i="1" l="1"/>
  <c r="F108" i="1"/>
  <c r="G81" i="1" l="1"/>
  <c r="G93" i="1" s="1"/>
  <c r="G105" i="1" s="1"/>
  <c r="F81" i="1"/>
  <c r="F93" i="1" s="1"/>
  <c r="F105" i="1" s="1"/>
  <c r="C84" i="1"/>
  <c r="G76" i="1" l="1"/>
  <c r="G88" i="1" s="1"/>
  <c r="G100" i="1" s="1"/>
  <c r="G112" i="1" s="1"/>
  <c r="G124" i="1" s="1"/>
  <c r="G136" i="1" s="1"/>
  <c r="G148" i="1" s="1"/>
  <c r="G159" i="1" s="1"/>
  <c r="G169" i="1" s="1"/>
  <c r="G179" i="1" s="1"/>
  <c r="G189" i="1" s="1"/>
  <c r="G199" i="1" s="1"/>
  <c r="G209" i="1" s="1"/>
  <c r="G219" i="1" s="1"/>
  <c r="G229" i="1" s="1"/>
  <c r="G239" i="1" s="1"/>
  <c r="F76" i="1"/>
  <c r="G71" i="1" l="1"/>
  <c r="G83" i="1" s="1"/>
  <c r="G95" i="1" s="1"/>
  <c r="G107" i="1" s="1"/>
  <c r="F71" i="1"/>
  <c r="F83" i="1" s="1"/>
  <c r="F95" i="1" s="1"/>
  <c r="F107" i="1" s="1"/>
  <c r="D71" i="1"/>
  <c r="D83" i="1" s="1"/>
  <c r="D95" i="1" s="1"/>
  <c r="D107" i="1" s="1"/>
  <c r="C71" i="1"/>
  <c r="C83" i="1" s="1"/>
  <c r="C95" i="1" s="1"/>
  <c r="C107" i="1" s="1"/>
  <c r="G70" i="1"/>
  <c r="G82" i="1" s="1"/>
  <c r="G94" i="1" s="1"/>
  <c r="G106" i="1" s="1"/>
  <c r="F70" i="1"/>
  <c r="F82" i="1" s="1"/>
  <c r="F94" i="1" s="1"/>
  <c r="F106" i="1" s="1"/>
  <c r="D70" i="1"/>
  <c r="C70" i="1"/>
  <c r="C82" i="1" s="1"/>
  <c r="C94" i="1" s="1"/>
  <c r="C106" i="1" s="1"/>
  <c r="D69" i="1"/>
  <c r="D81" i="1" s="1"/>
  <c r="D93" i="1" s="1"/>
  <c r="D105" i="1" s="1"/>
  <c r="D112" i="1" s="1"/>
  <c r="D124" i="1" s="1"/>
  <c r="D136" i="1" s="1"/>
  <c r="D148" i="1" s="1"/>
  <c r="D159" i="1" s="1"/>
  <c r="D169" i="1" s="1"/>
  <c r="D179" i="1" s="1"/>
  <c r="D189" i="1" s="1"/>
  <c r="D199" i="1" s="1"/>
  <c r="D209" i="1" s="1"/>
  <c r="D219" i="1" s="1"/>
  <c r="D229" i="1" s="1"/>
  <c r="D239" i="1" s="1"/>
  <c r="C69" i="1"/>
  <c r="C81" i="1" s="1"/>
  <c r="C93" i="1" s="1"/>
  <c r="C105" i="1" s="1"/>
  <c r="C112" i="1" s="1"/>
  <c r="C124" i="1" s="1"/>
  <c r="C136" i="1" s="1"/>
  <c r="C148" i="1" s="1"/>
  <c r="C159" i="1" s="1"/>
  <c r="C169" i="1" s="1"/>
  <c r="C179" i="1" s="1"/>
  <c r="C189" i="1" s="1"/>
  <c r="C199" i="1" s="1"/>
  <c r="C209" i="1" s="1"/>
  <c r="C219" i="1" s="1"/>
  <c r="C229" i="1" s="1"/>
  <c r="C239" i="1" s="1"/>
  <c r="G68" i="1"/>
  <c r="G80" i="1" s="1"/>
  <c r="G92" i="1" s="1"/>
  <c r="G104" i="1" s="1"/>
  <c r="F68" i="1"/>
  <c r="F80" i="1" s="1"/>
  <c r="F92" i="1" s="1"/>
  <c r="F104" i="1" s="1"/>
  <c r="D68" i="1"/>
  <c r="D80" i="1" s="1"/>
  <c r="D92" i="1" s="1"/>
  <c r="D104" i="1" s="1"/>
  <c r="D111" i="1" s="1"/>
  <c r="D123" i="1" s="1"/>
  <c r="D135" i="1" s="1"/>
  <c r="D147" i="1" s="1"/>
  <c r="D158" i="1" s="1"/>
  <c r="D168" i="1" s="1"/>
  <c r="D178" i="1" s="1"/>
  <c r="D188" i="1" s="1"/>
  <c r="D198" i="1" s="1"/>
  <c r="D208" i="1" s="1"/>
  <c r="D218" i="1" s="1"/>
  <c r="D228" i="1" s="1"/>
  <c r="C68" i="1"/>
  <c r="C80" i="1" s="1"/>
  <c r="C92" i="1" s="1"/>
  <c r="C104" i="1" s="1"/>
  <c r="C111" i="1" s="1"/>
  <c r="C123" i="1" s="1"/>
  <c r="C135" i="1" s="1"/>
  <c r="C147" i="1" s="1"/>
  <c r="C158" i="1" s="1"/>
  <c r="C168" i="1" s="1"/>
  <c r="C178" i="1" s="1"/>
  <c r="C188" i="1" s="1"/>
  <c r="C198" i="1" s="1"/>
  <c r="C208" i="1" s="1"/>
  <c r="C218" i="1" s="1"/>
  <c r="C228" i="1" s="1"/>
  <c r="C238" i="1" s="1"/>
  <c r="G67" i="1"/>
  <c r="G79" i="1" s="1"/>
  <c r="G91" i="1" s="1"/>
  <c r="F67" i="1"/>
  <c r="F79" i="1" s="1"/>
  <c r="F91" i="1" s="1"/>
  <c r="D67" i="1"/>
  <c r="D79" i="1" s="1"/>
  <c r="D91" i="1" s="1"/>
  <c r="D103" i="1" s="1"/>
  <c r="D110" i="1" s="1"/>
  <c r="D122" i="1" s="1"/>
  <c r="D134" i="1" s="1"/>
  <c r="D146" i="1" s="1"/>
  <c r="D157" i="1" s="1"/>
  <c r="D167" i="1" s="1"/>
  <c r="D177" i="1" s="1"/>
  <c r="D187" i="1" s="1"/>
  <c r="D197" i="1" s="1"/>
  <c r="C67" i="1"/>
  <c r="C79" i="1" s="1"/>
  <c r="C91" i="1" s="1"/>
  <c r="C103" i="1" s="1"/>
  <c r="C110" i="1" s="1"/>
  <c r="C122" i="1" s="1"/>
  <c r="C134" i="1" s="1"/>
  <c r="C146" i="1" s="1"/>
  <c r="C157" i="1" s="1"/>
  <c r="C167" i="1" s="1"/>
  <c r="C177" i="1" s="1"/>
  <c r="C187" i="1" s="1"/>
  <c r="C197" i="1" s="1"/>
  <c r="G40" i="1"/>
  <c r="F40" i="1"/>
  <c r="D40" i="1"/>
  <c r="D47" i="1" s="1"/>
  <c r="C40" i="1"/>
  <c r="C47" i="1" s="1"/>
  <c r="D38" i="1"/>
  <c r="D45" i="1" s="1"/>
  <c r="D50" i="1" s="1"/>
  <c r="D62" i="1" s="1"/>
  <c r="D74" i="1" s="1"/>
  <c r="D86" i="1" s="1"/>
  <c r="D98" i="1" s="1"/>
  <c r="A27" i="1"/>
  <c r="D114" i="1" l="1"/>
  <c r="D126" i="1" s="1"/>
  <c r="D138" i="1" s="1"/>
  <c r="D150" i="1" s="1"/>
  <c r="D119" i="1"/>
  <c r="D131" i="1" s="1"/>
  <c r="D143" i="1" s="1"/>
  <c r="D155" i="1" s="1"/>
  <c r="D165" i="1" s="1"/>
  <c r="D175" i="1" s="1"/>
  <c r="D185" i="1" s="1"/>
  <c r="D195" i="1" s="1"/>
  <c r="D205" i="1" s="1"/>
  <c r="C113" i="1"/>
  <c r="C125" i="1" s="1"/>
  <c r="C137" i="1" s="1"/>
  <c r="C149" i="1" s="1"/>
  <c r="C160" i="1" s="1"/>
  <c r="C170" i="1" s="1"/>
  <c r="C180" i="1" s="1"/>
  <c r="C190" i="1" s="1"/>
  <c r="C200" i="1" s="1"/>
  <c r="C210" i="1" s="1"/>
  <c r="C220" i="1" s="1"/>
  <c r="C230" i="1" s="1"/>
  <c r="C240" i="1" s="1"/>
  <c r="C118" i="1"/>
  <c r="C130" i="1" s="1"/>
  <c r="C142" i="1" s="1"/>
  <c r="C154" i="1" s="1"/>
  <c r="C164" i="1" s="1"/>
  <c r="C174" i="1" s="1"/>
  <c r="C184" i="1" s="1"/>
  <c r="C194" i="1" s="1"/>
  <c r="C204" i="1" s="1"/>
  <c r="C114" i="1"/>
  <c r="C126" i="1" s="1"/>
  <c r="C138" i="1" s="1"/>
  <c r="C150" i="1" s="1"/>
  <c r="C119" i="1"/>
  <c r="C131" i="1" s="1"/>
  <c r="C143" i="1" s="1"/>
  <c r="C155" i="1" s="1"/>
  <c r="C165" i="1" s="1"/>
  <c r="C175" i="1" s="1"/>
  <c r="C185" i="1" s="1"/>
  <c r="C195" i="1" s="1"/>
  <c r="C205" i="1" s="1"/>
  <c r="A28" i="1"/>
  <c r="A29" i="1" s="1"/>
  <c r="A30" i="1" s="1"/>
  <c r="D24" i="1"/>
  <c r="D19" i="1"/>
  <c r="D25" i="1" s="1"/>
  <c r="D31" i="1" s="1"/>
  <c r="D39" i="1" s="1"/>
  <c r="D46" i="1" s="1"/>
  <c r="D53" i="1" s="1"/>
  <c r="D65" i="1" s="1"/>
  <c r="D77" i="1" s="1"/>
  <c r="D89" i="1" s="1"/>
  <c r="D101" i="1" s="1"/>
  <c r="C19" i="1"/>
  <c r="C25" i="1" s="1"/>
  <c r="C31" i="1" s="1"/>
  <c r="C39" i="1" s="1"/>
  <c r="C46" i="1" s="1"/>
  <c r="C53" i="1" s="1"/>
  <c r="C65" i="1" s="1"/>
  <c r="C77" i="1" s="1"/>
  <c r="C89" i="1" s="1"/>
  <c r="C101" i="1" s="1"/>
  <c r="C18" i="1"/>
  <c r="C24" i="1" s="1"/>
  <c r="C30" i="1" s="1"/>
  <c r="C38" i="1" s="1"/>
  <c r="C45" i="1" s="1"/>
  <c r="C50" i="1" s="1"/>
  <c r="C62" i="1" s="1"/>
  <c r="C74" i="1" s="1"/>
  <c r="C86" i="1" s="1"/>
  <c r="C98" i="1" s="1"/>
  <c r="D17" i="1"/>
  <c r="D23" i="1" s="1"/>
  <c r="D29" i="1" s="1"/>
  <c r="D37" i="1" s="1"/>
  <c r="D44" i="1" s="1"/>
  <c r="D52" i="1" s="1"/>
  <c r="D64" i="1" s="1"/>
  <c r="D76" i="1" s="1"/>
  <c r="D88" i="1" s="1"/>
  <c r="D100" i="1" s="1"/>
  <c r="C17" i="1"/>
  <c r="C23" i="1" s="1"/>
  <c r="C29" i="1" s="1"/>
  <c r="C37" i="1" s="1"/>
  <c r="C44" i="1" s="1"/>
  <c r="C52" i="1" s="1"/>
  <c r="C64" i="1" s="1"/>
  <c r="C76" i="1" s="1"/>
  <c r="C88" i="1" s="1"/>
  <c r="C100" i="1" s="1"/>
  <c r="D16" i="1"/>
  <c r="D22" i="1" s="1"/>
  <c r="D28" i="1" s="1"/>
  <c r="D36" i="1" s="1"/>
  <c r="D43" i="1" s="1"/>
  <c r="D51" i="1" s="1"/>
  <c r="D63" i="1" s="1"/>
  <c r="D75" i="1" s="1"/>
  <c r="D87" i="1" s="1"/>
  <c r="D99" i="1" s="1"/>
  <c r="C16" i="1"/>
  <c r="C22" i="1" s="1"/>
  <c r="C28" i="1" s="1"/>
  <c r="C36" i="1" s="1"/>
  <c r="C43" i="1" s="1"/>
  <c r="C51" i="1" s="1"/>
  <c r="C63" i="1" s="1"/>
  <c r="C75" i="1" s="1"/>
  <c r="C87" i="1" s="1"/>
  <c r="C99" i="1" s="1"/>
  <c r="D15" i="1"/>
  <c r="D21" i="1" s="1"/>
  <c r="D27" i="1" s="1"/>
  <c r="D35" i="1" s="1"/>
  <c r="D42" i="1" s="1"/>
  <c r="C15" i="1"/>
  <c r="C21" i="1" s="1"/>
  <c r="C27" i="1" s="1"/>
  <c r="C35" i="1" s="1"/>
  <c r="C42" i="1" s="1"/>
  <c r="G19" i="1"/>
  <c r="G25" i="1" s="1"/>
  <c r="G18" i="1"/>
  <c r="G24" i="1" s="1"/>
  <c r="G17" i="1"/>
  <c r="G23" i="1" s="1"/>
  <c r="G29" i="1" s="1"/>
  <c r="G37" i="1" s="1"/>
  <c r="G44" i="1" s="1"/>
  <c r="G16" i="1"/>
  <c r="G22" i="1" s="1"/>
  <c r="G28" i="1" s="1"/>
  <c r="G36" i="1" s="1"/>
  <c r="G43" i="1" s="1"/>
  <c r="G51" i="1" s="1"/>
  <c r="G63" i="1" s="1"/>
  <c r="G75" i="1" s="1"/>
  <c r="G87" i="1" s="1"/>
  <c r="G99" i="1" s="1"/>
  <c r="G111" i="1" s="1"/>
  <c r="G123" i="1" s="1"/>
  <c r="G135" i="1" s="1"/>
  <c r="G147" i="1" s="1"/>
  <c r="G158" i="1" s="1"/>
  <c r="G168" i="1" s="1"/>
  <c r="G178" i="1" s="1"/>
  <c r="G188" i="1" s="1"/>
  <c r="G198" i="1" s="1"/>
  <c r="G208" i="1" s="1"/>
  <c r="G218" i="1" s="1"/>
  <c r="G228" i="1" s="1"/>
  <c r="G15" i="1"/>
  <c r="G21" i="1" s="1"/>
  <c r="G27" i="1" s="1"/>
  <c r="G35" i="1" s="1"/>
  <c r="G42" i="1" s="1"/>
  <c r="F19" i="1"/>
  <c r="F25" i="1" s="1"/>
  <c r="F18" i="1"/>
  <c r="F24" i="1" s="1"/>
  <c r="F17" i="1"/>
  <c r="F23" i="1" s="1"/>
  <c r="F29" i="1" s="1"/>
  <c r="F37" i="1" s="1"/>
  <c r="F44" i="1" s="1"/>
  <c r="F16" i="1"/>
  <c r="F22" i="1" s="1"/>
  <c r="F28" i="1" s="1"/>
  <c r="F36" i="1" s="1"/>
  <c r="F43" i="1" s="1"/>
  <c r="F51" i="1" s="1"/>
  <c r="F63" i="1" s="1"/>
  <c r="F75" i="1" s="1"/>
  <c r="F87" i="1" s="1"/>
  <c r="F99" i="1" s="1"/>
  <c r="F111" i="1" s="1"/>
  <c r="F123" i="1" s="1"/>
  <c r="F135" i="1" s="1"/>
  <c r="F147" i="1" s="1"/>
  <c r="F158" i="1" s="1"/>
  <c r="F168" i="1" s="1"/>
  <c r="F178" i="1" s="1"/>
  <c r="F188" i="1" s="1"/>
  <c r="F198" i="1" s="1"/>
  <c r="F208" i="1" s="1"/>
  <c r="F218" i="1" s="1"/>
  <c r="F228" i="1" s="1"/>
  <c r="F15" i="1"/>
  <c r="F21" i="1" s="1"/>
  <c r="F27" i="1" s="1"/>
  <c r="F35" i="1" s="1"/>
  <c r="F42" i="1" s="1"/>
  <c r="A31" i="1" l="1"/>
  <c r="A32" i="1" s="1"/>
  <c r="G31" i="1"/>
  <c r="G39" i="1" s="1"/>
  <c r="G46" i="1" s="1"/>
  <c r="G53" i="1" s="1"/>
  <c r="G65" i="1" s="1"/>
  <c r="G77" i="1" s="1"/>
  <c r="G89" i="1" s="1"/>
  <c r="G101" i="1" s="1"/>
  <c r="G113" i="1" s="1"/>
  <c r="G125" i="1" s="1"/>
  <c r="G137" i="1" s="1"/>
  <c r="G149" i="1" s="1"/>
  <c r="G30" i="1"/>
  <c r="G38" i="1" s="1"/>
  <c r="G45" i="1" s="1"/>
  <c r="G50" i="1" s="1"/>
  <c r="G62" i="1" s="1"/>
  <c r="G74" i="1" s="1"/>
  <c r="G86" i="1" s="1"/>
  <c r="G98" i="1" s="1"/>
  <c r="F30" i="1"/>
  <c r="F38" i="1" s="1"/>
  <c r="F45" i="1" s="1"/>
  <c r="F50" i="1" s="1"/>
  <c r="F62" i="1" s="1"/>
  <c r="F74" i="1" s="1"/>
  <c r="F86" i="1" s="1"/>
  <c r="F98" i="1" s="1"/>
  <c r="F31" i="1"/>
  <c r="F39" i="1" s="1"/>
  <c r="F46" i="1" s="1"/>
  <c r="F53" i="1" s="1"/>
  <c r="F65" i="1" s="1"/>
  <c r="F77" i="1" s="1"/>
  <c r="F89" i="1" s="1"/>
  <c r="F101" i="1" s="1"/>
  <c r="F113" i="1" s="1"/>
  <c r="F125" i="1" s="1"/>
  <c r="F137" i="1" s="1"/>
  <c r="F149" i="1" s="1"/>
  <c r="A33" i="1" l="1"/>
  <c r="A35" i="1" s="1"/>
  <c r="A36" i="1" s="1"/>
  <c r="A37" i="1" l="1"/>
  <c r="A38" i="1" s="1"/>
  <c r="A39" i="1" s="1"/>
  <c r="A40" i="1" s="1"/>
  <c r="A42" i="1" s="1"/>
  <c r="A43" i="1" l="1"/>
  <c r="A44" i="1" l="1"/>
  <c r="A45" i="1" l="1"/>
  <c r="A46" i="1" l="1"/>
  <c r="A47" i="1" s="1"/>
  <c r="A48" i="1" s="1"/>
  <c r="A50" i="1" l="1"/>
  <c r="A51" i="1" l="1"/>
  <c r="A52" i="1" l="1"/>
  <c r="A53" i="1" l="1"/>
  <c r="A55" i="1" l="1"/>
  <c r="A56" i="1" l="1"/>
  <c r="A57" i="1" l="1"/>
  <c r="A58" i="1" l="1"/>
  <c r="A59" i="1" l="1"/>
  <c r="A60" i="1" l="1"/>
  <c r="A62" i="1" s="1"/>
  <c r="A63" i="1" l="1"/>
  <c r="A64" i="1" l="1"/>
  <c r="A65" i="1" s="1"/>
  <c r="A67" i="1" s="1"/>
  <c r="A68" i="1" l="1"/>
  <c r="A69" i="1" s="1"/>
  <c r="A70" i="1" l="1"/>
  <c r="A71" i="1" l="1"/>
  <c r="A72" i="1" l="1"/>
  <c r="A74" i="1" s="1"/>
  <c r="A75" i="1" l="1"/>
  <c r="A76" i="1" l="1"/>
  <c r="A77" i="1" l="1"/>
  <c r="A79" i="1" l="1"/>
  <c r="A80" i="1" l="1"/>
  <c r="A81" i="1" s="1"/>
  <c r="A82" i="1" l="1"/>
  <c r="A83" i="1" l="1"/>
  <c r="A84" i="1" l="1"/>
  <c r="A86" i="1" l="1"/>
  <c r="A87" i="1" l="1"/>
  <c r="A88" i="1" l="1"/>
  <c r="A89" i="1" l="1"/>
  <c r="A91" i="1" s="1"/>
  <c r="A92" i="1" l="1"/>
  <c r="A93" i="1" s="1"/>
  <c r="A94" i="1" s="1"/>
  <c r="A95" i="1" l="1"/>
  <c r="A96" i="1" s="1"/>
  <c r="A98" i="1" l="1"/>
  <c r="A99" i="1" l="1"/>
  <c r="A100" i="1" s="1"/>
  <c r="A101" i="1" l="1"/>
  <c r="A103" i="1" s="1"/>
  <c r="A104" i="1" l="1"/>
  <c r="A105" i="1" s="1"/>
  <c r="A106" i="1" l="1"/>
  <c r="A107" i="1" s="1"/>
  <c r="A108" i="1" l="1"/>
  <c r="A110" i="1" s="1"/>
  <c r="A111" i="1" l="1"/>
  <c r="A112" i="1" l="1"/>
  <c r="A113" i="1" l="1"/>
  <c r="A114" i="1" s="1"/>
  <c r="A115" i="1" l="1"/>
  <c r="A117" i="1" l="1"/>
  <c r="A118" i="1" s="1"/>
  <c r="A119" i="1" l="1"/>
  <c r="A120" i="1" l="1"/>
  <c r="A122" i="1" l="1"/>
  <c r="A123" i="1" s="1"/>
  <c r="A124" i="1" l="1"/>
  <c r="A125" i="1" l="1"/>
  <c r="A126" i="1" l="1"/>
  <c r="A127" i="1" l="1"/>
  <c r="A129" i="1" l="1"/>
  <c r="A130" i="1" l="1"/>
  <c r="A131" i="1" l="1"/>
  <c r="A132" i="1" l="1"/>
  <c r="A134" i="1" l="1"/>
  <c r="A135" i="1" l="1"/>
  <c r="A136" i="1" l="1"/>
  <c r="A137" i="1" s="1"/>
  <c r="A138" i="1" l="1"/>
  <c r="A139" i="1" s="1"/>
  <c r="A141" i="1" s="1"/>
  <c r="A142" i="1" l="1"/>
  <c r="A143" i="1" s="1"/>
  <c r="A144" i="1" l="1"/>
  <c r="A146" i="1" l="1"/>
  <c r="A147" i="1" l="1"/>
  <c r="A148" i="1" l="1"/>
  <c r="A149" i="1" l="1"/>
  <c r="A150" i="1" l="1"/>
  <c r="A151" i="1" l="1"/>
  <c r="A153" i="1" l="1"/>
  <c r="A154" i="1" l="1"/>
  <c r="A155" i="1" s="1"/>
  <c r="A157" i="1" l="1"/>
  <c r="A158" i="1" l="1"/>
  <c r="A159" i="1" l="1"/>
  <c r="A160" i="1" l="1"/>
  <c r="A161" i="1" l="1"/>
  <c r="A163" i="1" l="1"/>
  <c r="A164" i="1" l="1"/>
  <c r="A165" i="1" l="1"/>
  <c r="A167" i="1" l="1"/>
  <c r="A168" i="1" s="1"/>
  <c r="A169" i="1" l="1"/>
  <c r="A170" i="1" s="1"/>
  <c r="A171" i="1" l="1"/>
  <c r="A173" i="1" l="1"/>
  <c r="A174" i="1" s="1"/>
  <c r="A175" i="1" l="1"/>
  <c r="A177" i="1" l="1"/>
  <c r="A178" i="1" s="1"/>
  <c r="A179" i="1" l="1"/>
  <c r="A180" i="1" s="1"/>
  <c r="A181" i="1" l="1"/>
  <c r="A183" i="1" l="1"/>
  <c r="A184" i="1" l="1"/>
  <c r="A185" i="1" s="1"/>
  <c r="A187" i="1" l="1"/>
  <c r="A188" i="1" l="1"/>
  <c r="A189" i="1" l="1"/>
  <c r="A190" i="1" s="1"/>
  <c r="A191" i="1" s="1"/>
  <c r="A193" i="1" l="1"/>
  <c r="A194" i="1" l="1"/>
  <c r="A195" i="1" l="1"/>
  <c r="A197" i="1" s="1"/>
  <c r="A198" i="1" l="1"/>
  <c r="A199" i="1" s="1"/>
  <c r="A200" i="1" s="1"/>
  <c r="A201" i="1" l="1"/>
  <c r="A203" i="1" s="1"/>
  <c r="A204" i="1" l="1"/>
  <c r="A205" i="1" l="1"/>
  <c r="A206" i="1" s="1"/>
  <c r="A208" i="1" l="1"/>
  <c r="A209" i="1" l="1"/>
  <c r="A210" i="1" l="1"/>
  <c r="A212" i="1" l="1"/>
  <c r="A213" i="1" l="1"/>
  <c r="A214" i="1" l="1"/>
  <c r="A215" i="1" l="1"/>
  <c r="A216" i="1" l="1"/>
  <c r="A218" i="1" l="1"/>
  <c r="A219" i="1" l="1"/>
  <c r="A220" i="1" l="1"/>
  <c r="A222" i="1" l="1"/>
  <c r="A223" i="1" l="1"/>
  <c r="A224" i="1" l="1"/>
  <c r="A225" i="1" l="1"/>
  <c r="A226" i="1" l="1"/>
  <c r="A228" i="1" l="1"/>
  <c r="A229" i="1" l="1"/>
  <c r="A230" i="1" l="1"/>
  <c r="A232" i="1" l="1"/>
  <c r="A233" i="1" l="1"/>
  <c r="A234" i="1" l="1"/>
  <c r="A235" i="1" l="1"/>
  <c r="A236" i="1" s="1"/>
  <c r="A238" i="1" l="1"/>
  <c r="A239" i="1" l="1"/>
  <c r="A240" i="1" l="1"/>
  <c r="A242" i="1" l="1"/>
  <c r="A243" i="1" l="1"/>
  <c r="A244" i="1" s="1"/>
  <c r="A246" i="1" l="1"/>
  <c r="A247" i="1" l="1"/>
  <c r="A248" i="1" l="1"/>
  <c r="A250" i="1" s="1"/>
  <c r="A251" i="1" s="1"/>
  <c r="A252" i="1" l="1"/>
  <c r="A253" i="1" s="1"/>
  <c r="A254" i="1" s="1"/>
  <c r="A256" i="1" l="1"/>
  <c r="A257" i="1" s="1"/>
  <c r="A258" i="1" l="1"/>
  <c r="A259" i="1" s="1"/>
</calcChain>
</file>

<file path=xl/sharedStrings.xml><?xml version="1.0" encoding="utf-8"?>
<sst xmlns="http://schemas.openxmlformats.org/spreadsheetml/2006/main" count="378" uniqueCount="80">
  <si>
    <t>Контракт</t>
  </si>
  <si>
    <t>День подачи заказа</t>
  </si>
  <si>
    <t>День расчета</t>
  </si>
  <si>
    <t>День отгрузки</t>
  </si>
  <si>
    <t>День подачи авто</t>
  </si>
  <si>
    <t>ПОКОМ</t>
  </si>
  <si>
    <t>Останкино</t>
  </si>
  <si>
    <t>пятница</t>
  </si>
  <si>
    <t>четверг</t>
  </si>
  <si>
    <t>вторник</t>
  </si>
  <si>
    <t>понедельник</t>
  </si>
  <si>
    <t>среда (следующая неделя)</t>
  </si>
  <si>
    <t>вторник (следующая неделя)</t>
  </si>
  <si>
    <t>понедельник (следующая неделя)</t>
  </si>
  <si>
    <t>№ п/п</t>
  </si>
  <si>
    <t>Мираторг КИ</t>
  </si>
  <si>
    <t>Комментарии</t>
  </si>
  <si>
    <t>Останкино КИ</t>
  </si>
  <si>
    <t>ПОКОМ КИ</t>
  </si>
  <si>
    <t>Мираторг ЗПФ</t>
  </si>
  <si>
    <t>ПОКОМ ЗПФ</t>
  </si>
  <si>
    <t>ВЕС, кг</t>
  </si>
  <si>
    <t>отгрузка на месте</t>
  </si>
  <si>
    <t>ТАШКЕНТ (UZ)</t>
  </si>
  <si>
    <t>отмена (было 255кг)</t>
  </si>
  <si>
    <t>скрыть</t>
  </si>
  <si>
    <t>Черкизово</t>
  </si>
  <si>
    <t>понедельник (+10 дней)</t>
  </si>
  <si>
    <t>пропускаем</t>
  </si>
  <si>
    <t>вне плана</t>
  </si>
  <si>
    <t>перенос на 21,04,25</t>
  </si>
  <si>
    <t>+ заказ от 08,04,25</t>
  </si>
  <si>
    <t>понедельник (раз в две недели)</t>
  </si>
  <si>
    <t>четверг (раз в две недели)</t>
  </si>
  <si>
    <t>доставка от поставщика (до конца недели)</t>
  </si>
  <si>
    <t>Гудкову и Шувалову в копию / отгрузка на месте</t>
  </si>
  <si>
    <t>отказ</t>
  </si>
  <si>
    <t>проверять список рассылки!!!</t>
  </si>
  <si>
    <r>
      <rPr>
        <b/>
        <sz val="11"/>
        <color rgb="FFFF0000"/>
        <rFont val="Calibri"/>
        <family val="2"/>
        <charset val="204"/>
        <scheme val="minor"/>
      </rPr>
      <t>проверять рассылку!!!</t>
    </r>
    <r>
      <rPr>
        <sz val="11"/>
        <color theme="1"/>
        <rFont val="Calibri"/>
        <family val="2"/>
        <scheme val="minor"/>
      </rPr>
      <t xml:space="preserve"> / отгрузка на месте</t>
    </r>
  </si>
  <si>
    <t>дозаказ не приняли</t>
  </si>
  <si>
    <t>первый заказ 11,06,25 / корректировка 16,06,25</t>
  </si>
  <si>
    <t>16,06,25</t>
  </si>
  <si>
    <t>Отмена (1709кг)</t>
  </si>
  <si>
    <r>
      <rPr>
        <sz val="11"/>
        <rFont val="Calibri"/>
        <family val="2"/>
        <charset val="204"/>
        <scheme val="minor"/>
      </rPr>
      <t xml:space="preserve">смещение заказа с 30,06,25 на 07,07,25 + сделать дозаказ 01,07,25 / </t>
    </r>
    <r>
      <rPr>
        <b/>
        <sz val="11"/>
        <color rgb="FFFF0000"/>
        <rFont val="Calibri"/>
        <family val="2"/>
        <charset val="204"/>
        <scheme val="minor"/>
      </rPr>
      <t>добавить Шувалову в рассылку, при отправке на завод</t>
    </r>
  </si>
  <si>
    <r>
      <rPr>
        <sz val="11"/>
        <rFont val="Calibri"/>
        <family val="2"/>
        <charset val="204"/>
        <scheme val="minor"/>
      </rPr>
      <t xml:space="preserve">смещение заказа с 30,06,25 на 06,07,25 + сделать дозаказ 01,07,25 / </t>
    </r>
    <r>
      <rPr>
        <b/>
        <sz val="11"/>
        <color rgb="FFFF0000"/>
        <rFont val="Calibri"/>
        <family val="2"/>
        <charset val="204"/>
        <scheme val="minor"/>
      </rPr>
      <t>добавить Шувалову в рассылку, при отправке на завод</t>
    </r>
  </si>
  <si>
    <t>04,08,25 была корректировка</t>
  </si>
  <si>
    <t>18,08,25 была корректировка</t>
  </si>
  <si>
    <t>расчет не делаем</t>
  </si>
  <si>
    <t>01,09,25 была корректировка</t>
  </si>
  <si>
    <t>02,09,25 сделан дозаказ на 900кг</t>
  </si>
  <si>
    <t>03,09,25 сделан дозаказ на 571кг</t>
  </si>
  <si>
    <t>11,09,25 сделан дозаказ на 194кг</t>
  </si>
  <si>
    <t>15,09,25 была корректировка</t>
  </si>
  <si>
    <t>22,09,25 дозаказ на сертификацию 10кг</t>
  </si>
  <si>
    <t>25,09,25 была корректировка</t>
  </si>
  <si>
    <t>29,09,25 корректировка</t>
  </si>
  <si>
    <t>13,10,25 корректировка</t>
  </si>
  <si>
    <t>16,10,25 дозаказали 470кг</t>
  </si>
  <si>
    <t>27,10,25 отмена прошлых заказов (отпрален новый)</t>
  </si>
  <si>
    <t>27,10,25 отправлен исправленный заказ</t>
  </si>
  <si>
    <t>30,10,25 корректировка заказа</t>
  </si>
  <si>
    <t>заказ отправили 05,11,25</t>
  </si>
  <si>
    <t>13,11,25 корректировка заказа</t>
  </si>
  <si>
    <t>отгрузка на месте; 24,11,25 был дозаказ</t>
  </si>
  <si>
    <t>27,11,25 корректировка заказа</t>
  </si>
  <si>
    <t>04,12,25 корректировка заказа</t>
  </si>
  <si>
    <t>заказ отправили 11,12,25</t>
  </si>
  <si>
    <t>отгрузка на месте / заказ отправили без расчета / корректировка 16,12,25</t>
  </si>
  <si>
    <t>сделан заказ на 25,12,25 ориентировочно</t>
  </si>
  <si>
    <t>11,12,25 будет корректировка + новинки</t>
  </si>
  <si>
    <t>сделан заказ на 26,12,25 ориентировочно</t>
  </si>
  <si>
    <t>отгрузка на месте / под клиента (после НГ нет склада)</t>
  </si>
  <si>
    <t>по потребности</t>
  </si>
  <si>
    <t>не заказывали</t>
  </si>
  <si>
    <t>еще не отправляли</t>
  </si>
  <si>
    <t>без расчета</t>
  </si>
  <si>
    <t>погрузки на 14,01,26 не будет (письмо от Шуваловой)</t>
  </si>
  <si>
    <t>07,01,26 сделали дозаказ</t>
  </si>
  <si>
    <t>Шувалова перенсла погрузку с 19,01 на 26,01</t>
  </si>
  <si>
    <t>отмена + перенос на следующую неделю (Шувалова)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</si>
</sst>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64" fontId="0" fillId="3" borderId="1" xfId="0" applyNumberForma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64" fontId="0" fillId="4" borderId="1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4" fontId="0" fillId="5" borderId="1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4" fontId="0" fillId="7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164" fontId="0" fillId="8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164" fontId="1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4" fontId="16" fillId="2" borderId="5" xfId="0" applyNumberFormat="1" applyFont="1" applyFill="1" applyBorder="1" applyAlignment="1">
      <alignment horizontal="center" vertical="center" wrapText="1"/>
    </xf>
    <xf numFmtId="164" fontId="16" fillId="2" borderId="7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1" fontId="15" fillId="2" borderId="6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259"/>
  <sheetViews>
    <sheetView tabSelected="1" zoomScaleNormal="100" workbookViewId="0">
      <pane ySplit="8" topLeftCell="A9" activePane="bottomLeft" state="frozen"/>
      <selection pane="bottomLeft" activeCell="J261" sqref="J261"/>
    </sheetView>
  </sheetViews>
  <sheetFormatPr defaultRowHeight="15" x14ac:dyDescent="0.25"/>
  <cols>
    <col min="1" max="1" width="7.140625" style="3" customWidth="1"/>
    <col min="2" max="2" width="14.7109375" style="8" customWidth="1"/>
    <col min="3" max="3" width="18.42578125" style="7" customWidth="1"/>
    <col min="4" max="4" width="19.140625" style="7" bestFit="1" customWidth="1"/>
    <col min="5" max="5" width="8" style="5" customWidth="1"/>
    <col min="6" max="6" width="24.42578125" style="7" customWidth="1"/>
    <col min="7" max="7" width="17.42578125" style="7" bestFit="1" customWidth="1"/>
    <col min="8" max="8" width="41.140625" style="11" customWidth="1"/>
    <col min="9" max="16384" width="9.140625" style="8"/>
  </cols>
  <sheetData>
    <row r="1" spans="1:8" x14ac:dyDescent="0.25">
      <c r="A1" s="65" t="s">
        <v>23</v>
      </c>
      <c r="B1" s="66"/>
      <c r="C1" s="66"/>
      <c r="D1" s="66"/>
      <c r="E1" s="67"/>
      <c r="F1" s="66"/>
      <c r="G1" s="66"/>
      <c r="H1" s="68"/>
    </row>
    <row r="2" spans="1:8" x14ac:dyDescent="0.25">
      <c r="A2" s="69" t="s">
        <v>14</v>
      </c>
      <c r="B2" s="44" t="s">
        <v>0</v>
      </c>
      <c r="C2" s="45" t="s">
        <v>2</v>
      </c>
      <c r="D2" s="45" t="s">
        <v>1</v>
      </c>
      <c r="E2" s="46" t="s">
        <v>21</v>
      </c>
      <c r="F2" s="45" t="s">
        <v>3</v>
      </c>
      <c r="G2" s="45" t="s">
        <v>4</v>
      </c>
      <c r="H2" s="72" t="s">
        <v>16</v>
      </c>
    </row>
    <row r="3" spans="1:8" x14ac:dyDescent="0.25">
      <c r="A3" s="70"/>
      <c r="B3" s="44" t="s">
        <v>5</v>
      </c>
      <c r="C3" s="45" t="s">
        <v>8</v>
      </c>
      <c r="D3" s="45" t="s">
        <v>7</v>
      </c>
      <c r="E3" s="46"/>
      <c r="F3" s="45" t="s">
        <v>11</v>
      </c>
      <c r="G3" s="45" t="s">
        <v>8</v>
      </c>
      <c r="H3" s="73"/>
    </row>
    <row r="4" spans="1:8" ht="25.5" x14ac:dyDescent="0.25">
      <c r="A4" s="70"/>
      <c r="B4" s="44" t="s">
        <v>6</v>
      </c>
      <c r="C4" s="45" t="s">
        <v>10</v>
      </c>
      <c r="D4" s="45" t="s">
        <v>9</v>
      </c>
      <c r="E4" s="46"/>
      <c r="F4" s="45" t="s">
        <v>12</v>
      </c>
      <c r="G4" s="45" t="s">
        <v>9</v>
      </c>
      <c r="H4" s="73"/>
    </row>
    <row r="5" spans="1:8" x14ac:dyDescent="0.25">
      <c r="A5" s="70"/>
      <c r="B5" s="44" t="s">
        <v>19</v>
      </c>
      <c r="C5" s="45" t="s">
        <v>10</v>
      </c>
      <c r="D5" s="45" t="s">
        <v>9</v>
      </c>
      <c r="E5" s="46"/>
      <c r="F5" s="63" t="s">
        <v>34</v>
      </c>
      <c r="G5" s="64"/>
      <c r="H5" s="73"/>
    </row>
    <row r="6" spans="1:8" ht="25.5" x14ac:dyDescent="0.25">
      <c r="A6" s="70"/>
      <c r="B6" s="44" t="s">
        <v>15</v>
      </c>
      <c r="C6" s="45" t="s">
        <v>32</v>
      </c>
      <c r="D6" s="45" t="s">
        <v>9</v>
      </c>
      <c r="E6" s="46"/>
      <c r="F6" s="45" t="s">
        <v>13</v>
      </c>
      <c r="G6" s="45" t="s">
        <v>10</v>
      </c>
      <c r="H6" s="73"/>
    </row>
    <row r="7" spans="1:8" ht="25.5" x14ac:dyDescent="0.25">
      <c r="A7" s="71"/>
      <c r="B7" s="44" t="s">
        <v>26</v>
      </c>
      <c r="C7" s="45" t="s">
        <v>33</v>
      </c>
      <c r="D7" s="45" t="s">
        <v>7</v>
      </c>
      <c r="E7" s="46"/>
      <c r="F7" s="45" t="s">
        <v>27</v>
      </c>
      <c r="G7" s="45" t="s">
        <v>10</v>
      </c>
      <c r="H7" s="74"/>
    </row>
    <row r="8" spans="1:8" x14ac:dyDescent="0.25">
      <c r="A8" s="47">
        <v>1</v>
      </c>
      <c r="B8" s="47">
        <v>2</v>
      </c>
      <c r="C8" s="47">
        <v>3</v>
      </c>
      <c r="D8" s="47">
        <v>4</v>
      </c>
      <c r="E8" s="48">
        <v>5</v>
      </c>
      <c r="F8" s="47">
        <v>6</v>
      </c>
      <c r="G8" s="47">
        <v>7</v>
      </c>
      <c r="H8" s="49">
        <v>8</v>
      </c>
    </row>
    <row r="9" spans="1:8" customFormat="1" hidden="1" x14ac:dyDescent="0.25">
      <c r="A9" s="2">
        <v>1</v>
      </c>
      <c r="B9" s="1" t="s">
        <v>15</v>
      </c>
      <c r="C9" s="6">
        <v>45726</v>
      </c>
      <c r="D9" s="6">
        <v>45727</v>
      </c>
      <c r="E9" s="4">
        <v>0</v>
      </c>
      <c r="F9" s="6">
        <v>45733</v>
      </c>
      <c r="G9" s="6">
        <v>45733</v>
      </c>
      <c r="H9" s="1"/>
    </row>
    <row r="10" spans="1:8" customFormat="1" hidden="1" x14ac:dyDescent="0.25">
      <c r="A10" s="2">
        <v>2</v>
      </c>
      <c r="B10" s="1" t="s">
        <v>17</v>
      </c>
      <c r="C10" s="6">
        <v>45726</v>
      </c>
      <c r="D10" s="6">
        <v>45727</v>
      </c>
      <c r="E10" s="4">
        <v>1965</v>
      </c>
      <c r="F10" s="6">
        <v>45734</v>
      </c>
      <c r="G10" s="6">
        <v>45734</v>
      </c>
      <c r="H10" s="1"/>
    </row>
    <row r="11" spans="1:8" customFormat="1" hidden="1" x14ac:dyDescent="0.25">
      <c r="A11" s="2">
        <v>3</v>
      </c>
      <c r="B11" s="1" t="s">
        <v>18</v>
      </c>
      <c r="C11" s="6">
        <v>45729</v>
      </c>
      <c r="D11" s="6">
        <v>45730</v>
      </c>
      <c r="E11" s="4">
        <v>5777</v>
      </c>
      <c r="F11" s="6">
        <v>45735</v>
      </c>
      <c r="G11" s="6">
        <v>45736</v>
      </c>
      <c r="H11" s="1"/>
    </row>
    <row r="12" spans="1:8" customFormat="1" hidden="1" x14ac:dyDescent="0.25">
      <c r="A12" s="2">
        <v>4</v>
      </c>
      <c r="B12" s="1" t="s">
        <v>19</v>
      </c>
      <c r="C12" s="6">
        <v>45726</v>
      </c>
      <c r="D12" s="6">
        <v>45727</v>
      </c>
      <c r="E12" s="4">
        <v>1300</v>
      </c>
      <c r="F12" s="6"/>
      <c r="G12" s="6"/>
      <c r="H12" s="1" t="s">
        <v>22</v>
      </c>
    </row>
    <row r="13" spans="1:8" customFormat="1" hidden="1" x14ac:dyDescent="0.25">
      <c r="A13" s="2">
        <v>5</v>
      </c>
      <c r="B13" s="1" t="s">
        <v>20</v>
      </c>
      <c r="C13" s="6">
        <v>45729</v>
      </c>
      <c r="D13" s="6">
        <v>45730</v>
      </c>
      <c r="E13" s="4"/>
      <c r="F13" s="6"/>
      <c r="G13" s="6"/>
      <c r="H13" s="1"/>
    </row>
    <row r="14" spans="1:8" customFormat="1" hidden="1" x14ac:dyDescent="0.25">
      <c r="A14" s="58" t="s">
        <v>25</v>
      </c>
      <c r="B14" s="59"/>
      <c r="C14" s="59"/>
      <c r="D14" s="59"/>
      <c r="E14" s="59"/>
      <c r="F14" s="59"/>
      <c r="G14" s="59"/>
      <c r="H14" s="61"/>
    </row>
    <row r="15" spans="1:8" hidden="1" x14ac:dyDescent="0.25">
      <c r="A15" s="2">
        <v>6</v>
      </c>
      <c r="B15" s="9" t="s">
        <v>15</v>
      </c>
      <c r="C15" s="6">
        <f t="shared" ref="C15:D15" si="0">IFERROR(IF(C9,C9+7,""),"")</f>
        <v>45733</v>
      </c>
      <c r="D15" s="6">
        <f t="shared" si="0"/>
        <v>45734</v>
      </c>
      <c r="E15" s="4">
        <v>0</v>
      </c>
      <c r="F15" s="6">
        <f t="shared" ref="F15:G19" si="1">IFERROR(IF(F9,F9+7,""),"")</f>
        <v>45740</v>
      </c>
      <c r="G15" s="6">
        <f t="shared" si="1"/>
        <v>45740</v>
      </c>
      <c r="H15" s="10" t="s">
        <v>24</v>
      </c>
    </row>
    <row r="16" spans="1:8" hidden="1" x14ac:dyDescent="0.25">
      <c r="A16" s="2">
        <v>7</v>
      </c>
      <c r="B16" s="9" t="s">
        <v>17</v>
      </c>
      <c r="C16" s="6">
        <f t="shared" ref="C16:D16" si="2">IFERROR(IF(C10,C10+7,""),"")</f>
        <v>45733</v>
      </c>
      <c r="D16" s="6">
        <f t="shared" si="2"/>
        <v>45734</v>
      </c>
      <c r="E16" s="4">
        <v>1515</v>
      </c>
      <c r="F16" s="6">
        <f t="shared" si="1"/>
        <v>45741</v>
      </c>
      <c r="G16" s="6">
        <f t="shared" si="1"/>
        <v>45741</v>
      </c>
      <c r="H16" s="10"/>
    </row>
    <row r="17" spans="1:8" hidden="1" x14ac:dyDescent="0.25">
      <c r="A17" s="2">
        <v>8</v>
      </c>
      <c r="B17" s="9" t="s">
        <v>18</v>
      </c>
      <c r="C17" s="6">
        <f t="shared" ref="C17:D17" si="3">IFERROR(IF(C11,C11+7,""),"")</f>
        <v>45736</v>
      </c>
      <c r="D17" s="6">
        <f t="shared" si="3"/>
        <v>45737</v>
      </c>
      <c r="E17" s="4">
        <v>6000</v>
      </c>
      <c r="F17" s="6">
        <f t="shared" si="1"/>
        <v>45742</v>
      </c>
      <c r="G17" s="6">
        <f t="shared" si="1"/>
        <v>45743</v>
      </c>
      <c r="H17" s="10"/>
    </row>
    <row r="18" spans="1:8" hidden="1" x14ac:dyDescent="0.25">
      <c r="A18" s="2">
        <v>9</v>
      </c>
      <c r="B18" s="9" t="s">
        <v>19</v>
      </c>
      <c r="C18" s="6">
        <f t="shared" ref="C18" si="4">IFERROR(IF(C12,C12+7,""),"")</f>
        <v>45733</v>
      </c>
      <c r="D18" s="6">
        <v>45733</v>
      </c>
      <c r="E18" s="4">
        <v>567</v>
      </c>
      <c r="F18" s="6" t="str">
        <f t="shared" si="1"/>
        <v/>
      </c>
      <c r="G18" s="6" t="str">
        <f t="shared" si="1"/>
        <v/>
      </c>
      <c r="H18" s="10" t="s">
        <v>22</v>
      </c>
    </row>
    <row r="19" spans="1:8" hidden="1" x14ac:dyDescent="0.25">
      <c r="A19" s="2">
        <v>10</v>
      </c>
      <c r="B19" s="9" t="s">
        <v>20</v>
      </c>
      <c r="C19" s="6">
        <f t="shared" ref="C19:D19" si="5">IFERROR(IF(C13,C13+7,""),"")</f>
        <v>45736</v>
      </c>
      <c r="D19" s="6">
        <f t="shared" si="5"/>
        <v>45737</v>
      </c>
      <c r="E19" s="4"/>
      <c r="F19" s="6" t="str">
        <f t="shared" si="1"/>
        <v/>
      </c>
      <c r="G19" s="6" t="str">
        <f t="shared" si="1"/>
        <v/>
      </c>
      <c r="H19" s="10"/>
    </row>
    <row r="20" spans="1:8" hidden="1" x14ac:dyDescent="0.25">
      <c r="A20" s="58" t="s">
        <v>25</v>
      </c>
      <c r="B20" s="59"/>
      <c r="C20" s="59"/>
      <c r="D20" s="59"/>
      <c r="E20" s="60"/>
      <c r="F20" s="59"/>
      <c r="G20" s="59"/>
      <c r="H20" s="62"/>
    </row>
    <row r="21" spans="1:8" hidden="1" x14ac:dyDescent="0.25">
      <c r="A21" s="2">
        <v>11</v>
      </c>
      <c r="B21" s="9" t="s">
        <v>15</v>
      </c>
      <c r="C21" s="6">
        <f t="shared" ref="C21:D21" si="6">IFERROR(IF(C15,C15+7,""),"")</f>
        <v>45740</v>
      </c>
      <c r="D21" s="6">
        <f t="shared" si="6"/>
        <v>45741</v>
      </c>
      <c r="E21" s="4">
        <v>556</v>
      </c>
      <c r="F21" s="6">
        <f t="shared" ref="F21:G21" si="7">IFERROR(IF(F15,F15+7,""),"")</f>
        <v>45747</v>
      </c>
      <c r="G21" s="6">
        <f t="shared" si="7"/>
        <v>45747</v>
      </c>
      <c r="H21" s="10"/>
    </row>
    <row r="22" spans="1:8" hidden="1" x14ac:dyDescent="0.25">
      <c r="A22" s="2">
        <v>12</v>
      </c>
      <c r="B22" s="9" t="s">
        <v>17</v>
      </c>
      <c r="C22" s="6">
        <f>IFERROR(IF(C16,C16+7,""),"")</f>
        <v>45740</v>
      </c>
      <c r="D22" s="6">
        <f t="shared" ref="D22" si="8">IFERROR(IF(D16,D16+7,""),"")</f>
        <v>45741</v>
      </c>
      <c r="E22" s="4">
        <v>610</v>
      </c>
      <c r="F22" s="6">
        <f t="shared" ref="F22:G22" si="9">IFERROR(IF(F16,F16+7,""),"")</f>
        <v>45748</v>
      </c>
      <c r="G22" s="6">
        <f t="shared" si="9"/>
        <v>45748</v>
      </c>
      <c r="H22" s="10"/>
    </row>
    <row r="23" spans="1:8" hidden="1" x14ac:dyDescent="0.25">
      <c r="A23" s="2">
        <v>13</v>
      </c>
      <c r="B23" s="9" t="s">
        <v>18</v>
      </c>
      <c r="C23" s="6">
        <f>IFERROR(IF(C17,C17+7,""),"")</f>
        <v>45743</v>
      </c>
      <c r="D23" s="6">
        <f t="shared" ref="D23" si="10">IFERROR(IF(D17,D17+7,""),"")</f>
        <v>45744</v>
      </c>
      <c r="E23" s="4">
        <v>6730</v>
      </c>
      <c r="F23" s="6">
        <f t="shared" ref="F23:G23" si="11">IFERROR(IF(F17,F17+7,""),"")</f>
        <v>45749</v>
      </c>
      <c r="G23" s="6">
        <f t="shared" si="11"/>
        <v>45750</v>
      </c>
      <c r="H23" s="10"/>
    </row>
    <row r="24" spans="1:8" hidden="1" x14ac:dyDescent="0.25">
      <c r="A24" s="2">
        <v>14</v>
      </c>
      <c r="B24" s="9" t="s">
        <v>19</v>
      </c>
      <c r="C24" s="6">
        <f>IFERROR(IF(C18,C18+7,""),"")</f>
        <v>45740</v>
      </c>
      <c r="D24" s="6">
        <f t="shared" ref="D24" si="12">IFERROR(IF(D18,D18+7,""),"")</f>
        <v>45740</v>
      </c>
      <c r="E24" s="4">
        <v>726</v>
      </c>
      <c r="F24" s="6" t="str">
        <f t="shared" ref="F24:G24" si="13">IFERROR(IF(F18,F18+7,""),"")</f>
        <v/>
      </c>
      <c r="G24" s="6" t="str">
        <f t="shared" si="13"/>
        <v/>
      </c>
      <c r="H24" s="10" t="s">
        <v>22</v>
      </c>
    </row>
    <row r="25" spans="1:8" hidden="1" x14ac:dyDescent="0.25">
      <c r="A25" s="2">
        <v>15</v>
      </c>
      <c r="B25" s="9" t="s">
        <v>20</v>
      </c>
      <c r="C25" s="6">
        <f>IFERROR(IF(C19,C19+7,""),"")</f>
        <v>45743</v>
      </c>
      <c r="D25" s="6">
        <f>IFERROR(IF(D19,D19+7,""),"")</f>
        <v>45744</v>
      </c>
      <c r="E25" s="4"/>
      <c r="F25" s="6" t="str">
        <f t="shared" ref="F25:G25" si="14">IFERROR(IF(F19,F19+7,""),"")</f>
        <v/>
      </c>
      <c r="G25" s="6" t="str">
        <f t="shared" si="14"/>
        <v/>
      </c>
      <c r="H25" s="10"/>
    </row>
    <row r="26" spans="1:8" hidden="1" x14ac:dyDescent="0.25">
      <c r="A26" s="58" t="s">
        <v>25</v>
      </c>
      <c r="B26" s="59"/>
      <c r="C26" s="59"/>
      <c r="D26" s="59"/>
      <c r="E26" s="60"/>
      <c r="F26" s="59"/>
      <c r="G26" s="59"/>
      <c r="H26" s="62"/>
    </row>
    <row r="27" spans="1:8" hidden="1" x14ac:dyDescent="0.25">
      <c r="A27" s="2">
        <f>MAX(A15:A26)+1</f>
        <v>16</v>
      </c>
      <c r="B27" s="9" t="s">
        <v>15</v>
      </c>
      <c r="C27" s="6">
        <f>IFERROR(IF(C21,C21+7,""),"")</f>
        <v>45747</v>
      </c>
      <c r="D27" s="6">
        <f t="shared" ref="D27" si="15">IFERROR(IF(D21,D21+7,""),"")</f>
        <v>45748</v>
      </c>
      <c r="E27" s="4">
        <v>0</v>
      </c>
      <c r="F27" s="6">
        <f t="shared" ref="F27:G27" si="16">IFERROR(IF(F21,F21+7,""),"")</f>
        <v>45754</v>
      </c>
      <c r="G27" s="6">
        <f t="shared" si="16"/>
        <v>45754</v>
      </c>
      <c r="H27" s="10" t="s">
        <v>28</v>
      </c>
    </row>
    <row r="28" spans="1:8" hidden="1" x14ac:dyDescent="0.25">
      <c r="A28" s="2">
        <f t="shared" ref="A28:A32" si="17">MAX(A16:A27)+1</f>
        <v>17</v>
      </c>
      <c r="B28" s="9" t="s">
        <v>17</v>
      </c>
      <c r="C28" s="6">
        <f>IFERROR(IF(C22,C22+7,""),"")</f>
        <v>45747</v>
      </c>
      <c r="D28" s="6">
        <f t="shared" ref="D28" si="18">IFERROR(IF(D22,D22+7,""),"")</f>
        <v>45748</v>
      </c>
      <c r="E28" s="4">
        <v>2015</v>
      </c>
      <c r="F28" s="6">
        <f t="shared" ref="F28:G28" si="19">IFERROR(IF(F22,F22+7,""),"")</f>
        <v>45755</v>
      </c>
      <c r="G28" s="6">
        <f t="shared" si="19"/>
        <v>45755</v>
      </c>
      <c r="H28" s="10"/>
    </row>
    <row r="29" spans="1:8" hidden="1" x14ac:dyDescent="0.25">
      <c r="A29" s="2">
        <f t="shared" si="17"/>
        <v>18</v>
      </c>
      <c r="B29" s="9" t="s">
        <v>18</v>
      </c>
      <c r="C29" s="6">
        <f>IFERROR(IF(C23,C23+7,""),"")</f>
        <v>45750</v>
      </c>
      <c r="D29" s="6">
        <f t="shared" ref="D29" si="20">IFERROR(IF(D23,D23+7,""),"")</f>
        <v>45751</v>
      </c>
      <c r="E29" s="4">
        <v>8030</v>
      </c>
      <c r="F29" s="6">
        <f t="shared" ref="F29:G29" si="21">IFERROR(IF(F23,F23+7,""),"")</f>
        <v>45756</v>
      </c>
      <c r="G29" s="6">
        <f t="shared" si="21"/>
        <v>45757</v>
      </c>
      <c r="H29" s="10"/>
    </row>
    <row r="30" spans="1:8" hidden="1" x14ac:dyDescent="0.25">
      <c r="A30" s="2">
        <f t="shared" si="17"/>
        <v>19</v>
      </c>
      <c r="B30" s="9" t="s">
        <v>19</v>
      </c>
      <c r="C30" s="6">
        <f>IFERROR(IF(C24,C24+7,""),"")</f>
        <v>45747</v>
      </c>
      <c r="D30" s="6">
        <v>45748</v>
      </c>
      <c r="E30" s="4">
        <v>186</v>
      </c>
      <c r="F30" s="6" t="str">
        <f t="shared" ref="F30:G30" si="22">IFERROR(IF(F24,F24+7,""),"")</f>
        <v/>
      </c>
      <c r="G30" s="6" t="str">
        <f t="shared" si="22"/>
        <v/>
      </c>
      <c r="H30" s="10" t="s">
        <v>22</v>
      </c>
    </row>
    <row r="31" spans="1:8" hidden="1" x14ac:dyDescent="0.25">
      <c r="A31" s="2">
        <f t="shared" si="17"/>
        <v>20</v>
      </c>
      <c r="B31" s="9" t="s">
        <v>20</v>
      </c>
      <c r="C31" s="6">
        <f>IFERROR(IF(C25,C25+7,""),"")</f>
        <v>45750</v>
      </c>
      <c r="D31" s="6">
        <f>IFERROR(IF(D25,D25+7,""),"")</f>
        <v>45751</v>
      </c>
      <c r="E31" s="4"/>
      <c r="F31" s="6" t="str">
        <f t="shared" ref="F31:G31" si="23">IFERROR(IF(F24,F24+7,""),"")</f>
        <v/>
      </c>
      <c r="G31" s="6" t="str">
        <f t="shared" si="23"/>
        <v/>
      </c>
      <c r="H31" s="10"/>
    </row>
    <row r="32" spans="1:8" hidden="1" x14ac:dyDescent="0.25">
      <c r="A32" s="2">
        <f t="shared" si="17"/>
        <v>21</v>
      </c>
      <c r="B32" s="9" t="s">
        <v>26</v>
      </c>
      <c r="C32" s="6">
        <v>45748</v>
      </c>
      <c r="D32" s="6">
        <v>45749</v>
      </c>
      <c r="E32" s="4">
        <v>1107</v>
      </c>
      <c r="F32" s="6">
        <v>45754</v>
      </c>
      <c r="G32" s="6">
        <v>45754</v>
      </c>
      <c r="H32" s="10" t="s">
        <v>29</v>
      </c>
    </row>
    <row r="33" spans="1:8" hidden="1" x14ac:dyDescent="0.25">
      <c r="A33" s="2">
        <f>MAX(A20:A32)+1</f>
        <v>22</v>
      </c>
      <c r="B33" s="9" t="s">
        <v>26</v>
      </c>
      <c r="C33" s="6">
        <v>45750</v>
      </c>
      <c r="D33" s="6">
        <v>45751</v>
      </c>
      <c r="E33" s="4">
        <v>1429</v>
      </c>
      <c r="F33" s="6">
        <v>45761</v>
      </c>
      <c r="G33" s="6">
        <v>45761</v>
      </c>
      <c r="H33" s="10"/>
    </row>
    <row r="34" spans="1:8" hidden="1" x14ac:dyDescent="0.25">
      <c r="A34" s="58" t="s">
        <v>25</v>
      </c>
      <c r="B34" s="59"/>
      <c r="C34" s="59"/>
      <c r="D34" s="59"/>
      <c r="E34" s="60"/>
      <c r="F34" s="59"/>
      <c r="G34" s="59"/>
      <c r="H34" s="62"/>
    </row>
    <row r="35" spans="1:8" hidden="1" x14ac:dyDescent="0.25">
      <c r="A35" s="2">
        <f t="shared" ref="A35:A40" si="24">MAX(A22:A34)+1</f>
        <v>23</v>
      </c>
      <c r="B35" s="9" t="s">
        <v>15</v>
      </c>
      <c r="C35" s="6">
        <f>IFERROR(IF(C27,C27+7,""),"")</f>
        <v>45754</v>
      </c>
      <c r="D35" s="6">
        <f>IFERROR(IF(D27,D27+7,""),"")</f>
        <v>45755</v>
      </c>
      <c r="E35" s="4">
        <v>784</v>
      </c>
      <c r="F35" s="6">
        <f t="shared" ref="F35:G35" si="25">IFERROR(IF(F27,F27+7,""),"")</f>
        <v>45761</v>
      </c>
      <c r="G35" s="6">
        <f t="shared" si="25"/>
        <v>45761</v>
      </c>
      <c r="H35" s="10" t="s">
        <v>30</v>
      </c>
    </row>
    <row r="36" spans="1:8" hidden="1" x14ac:dyDescent="0.25">
      <c r="A36" s="2">
        <f t="shared" si="24"/>
        <v>24</v>
      </c>
      <c r="B36" s="9" t="s">
        <v>17</v>
      </c>
      <c r="C36" s="6">
        <f t="shared" ref="C36" si="26">IFERROR(IF(C28,C28+7,""),"")</f>
        <v>45754</v>
      </c>
      <c r="D36" s="6">
        <f>IFERROR(IF(D28,D28+7,""),"")</f>
        <v>45755</v>
      </c>
      <c r="E36" s="4">
        <v>2365</v>
      </c>
      <c r="F36" s="6">
        <f t="shared" ref="F36:G36" si="27">IFERROR(IF(F28,F28+7,""),"")</f>
        <v>45762</v>
      </c>
      <c r="G36" s="6">
        <f t="shared" si="27"/>
        <v>45762</v>
      </c>
      <c r="H36" s="10"/>
    </row>
    <row r="37" spans="1:8" hidden="1" x14ac:dyDescent="0.25">
      <c r="A37" s="2">
        <f t="shared" si="24"/>
        <v>25</v>
      </c>
      <c r="B37" s="9" t="s">
        <v>18</v>
      </c>
      <c r="C37" s="6">
        <f t="shared" ref="C37" si="28">IFERROR(IF(C29,C29+7,""),"")</f>
        <v>45757</v>
      </c>
      <c r="D37" s="6">
        <f>IFERROR(IF(D29,D29+7,""),"")</f>
        <v>45758</v>
      </c>
      <c r="E37" s="4">
        <v>9630</v>
      </c>
      <c r="F37" s="6">
        <f t="shared" ref="F37:G37" si="29">IFERROR(IF(F29,F29+7,""),"")</f>
        <v>45763</v>
      </c>
      <c r="G37" s="6">
        <f t="shared" si="29"/>
        <v>45764</v>
      </c>
      <c r="H37" s="10"/>
    </row>
    <row r="38" spans="1:8" hidden="1" x14ac:dyDescent="0.25">
      <c r="A38" s="2">
        <f t="shared" si="24"/>
        <v>26</v>
      </c>
      <c r="B38" s="9" t="s">
        <v>19</v>
      </c>
      <c r="C38" s="6">
        <f t="shared" ref="C38" si="30">IFERROR(IF(C30,C30+7,""),"")</f>
        <v>45754</v>
      </c>
      <c r="D38" s="6">
        <f>IFERROR(IF(D30,D30+7,""),"")</f>
        <v>45755</v>
      </c>
      <c r="E38" s="4">
        <v>562</v>
      </c>
      <c r="F38" s="6" t="str">
        <f t="shared" ref="F38:G38" si="31">IFERROR(IF(F30,F30+7,""),"")</f>
        <v/>
      </c>
      <c r="G38" s="6" t="str">
        <f t="shared" si="31"/>
        <v/>
      </c>
      <c r="H38" s="10" t="s">
        <v>22</v>
      </c>
    </row>
    <row r="39" spans="1:8" hidden="1" x14ac:dyDescent="0.25">
      <c r="A39" s="2">
        <f t="shared" si="24"/>
        <v>27</v>
      </c>
      <c r="B39" s="9" t="s">
        <v>20</v>
      </c>
      <c r="C39" s="6">
        <f t="shared" ref="C39" si="32">IFERROR(IF(C31,C31+7,""),"")</f>
        <v>45757</v>
      </c>
      <c r="D39" s="6">
        <f>IFERROR(IF(D31,D31+7,""),"")</f>
        <v>45758</v>
      </c>
      <c r="E39" s="4">
        <v>0</v>
      </c>
      <c r="F39" s="6" t="str">
        <f t="shared" ref="F39:G39" si="33">IFERROR(IF(F31,F31+7,""),"")</f>
        <v/>
      </c>
      <c r="G39" s="6" t="str">
        <f t="shared" si="33"/>
        <v/>
      </c>
      <c r="H39" s="10" t="s">
        <v>28</v>
      </c>
    </row>
    <row r="40" spans="1:8" hidden="1" x14ac:dyDescent="0.25">
      <c r="A40" s="2">
        <f t="shared" si="24"/>
        <v>28</v>
      </c>
      <c r="B40" s="9" t="s">
        <v>26</v>
      </c>
      <c r="C40" s="6">
        <f t="shared" ref="C40" si="34">IFERROR(IF(C33,C33+7,""),"")</f>
        <v>45757</v>
      </c>
      <c r="D40" s="6">
        <f t="shared" ref="D40:D47" si="35">IFERROR(IF(D33,D33+7,""),"")</f>
        <v>45758</v>
      </c>
      <c r="E40" s="4">
        <v>0</v>
      </c>
      <c r="F40" s="6">
        <f t="shared" ref="F40:G40" si="36">IFERROR(IF(F33,F33+7,""),"")</f>
        <v>45768</v>
      </c>
      <c r="G40" s="6">
        <f t="shared" si="36"/>
        <v>45768</v>
      </c>
      <c r="H40" s="10" t="s">
        <v>28</v>
      </c>
    </row>
    <row r="41" spans="1:8" hidden="1" x14ac:dyDescent="0.25">
      <c r="A41" s="58" t="s">
        <v>25</v>
      </c>
      <c r="B41" s="59"/>
      <c r="C41" s="59"/>
      <c r="D41" s="59"/>
      <c r="E41" s="60"/>
      <c r="F41" s="59"/>
      <c r="G41" s="59"/>
      <c r="H41" s="62"/>
    </row>
    <row r="42" spans="1:8" hidden="1" x14ac:dyDescent="0.25">
      <c r="A42" s="2">
        <f>MAX(A29:A41)+1</f>
        <v>29</v>
      </c>
      <c r="B42" s="9" t="s">
        <v>15</v>
      </c>
      <c r="C42" s="6">
        <f>IFERROR(IF(C35,C35+7,""),"")</f>
        <v>45761</v>
      </c>
      <c r="D42" s="6">
        <f t="shared" si="35"/>
        <v>45762</v>
      </c>
      <c r="E42" s="4">
        <v>1383</v>
      </c>
      <c r="F42" s="6">
        <f t="shared" ref="F42:G42" si="37">IFERROR(IF(F35,F35+7,""),"")</f>
        <v>45768</v>
      </c>
      <c r="G42" s="6">
        <f t="shared" si="37"/>
        <v>45768</v>
      </c>
      <c r="H42" s="12" t="s">
        <v>31</v>
      </c>
    </row>
    <row r="43" spans="1:8" hidden="1" x14ac:dyDescent="0.25">
      <c r="A43" s="2">
        <f>MAX(A30:A42)+1</f>
        <v>30</v>
      </c>
      <c r="B43" s="9" t="s">
        <v>17</v>
      </c>
      <c r="C43" s="6">
        <f t="shared" ref="C43" si="38">IFERROR(IF(C36,C36+7,""),"")</f>
        <v>45761</v>
      </c>
      <c r="D43" s="6">
        <f t="shared" si="35"/>
        <v>45762</v>
      </c>
      <c r="E43" s="4">
        <v>2490</v>
      </c>
      <c r="F43" s="6">
        <f t="shared" ref="F43:G43" si="39">IFERROR(IF(F36,F36+7,""),"")</f>
        <v>45769</v>
      </c>
      <c r="G43" s="6">
        <f t="shared" si="39"/>
        <v>45769</v>
      </c>
      <c r="H43" s="10"/>
    </row>
    <row r="44" spans="1:8" hidden="1" x14ac:dyDescent="0.25">
      <c r="A44" s="2">
        <f>MAX(A31:A43)+1</f>
        <v>31</v>
      </c>
      <c r="B44" s="9" t="s">
        <v>18</v>
      </c>
      <c r="C44" s="6">
        <f t="shared" ref="C44" si="40">IFERROR(IF(C37,C37+7,""),"")</f>
        <v>45764</v>
      </c>
      <c r="D44" s="6">
        <f t="shared" si="35"/>
        <v>45765</v>
      </c>
      <c r="E44" s="4">
        <v>10210</v>
      </c>
      <c r="F44" s="6">
        <f t="shared" ref="F44:G44" si="41">IFERROR(IF(F37,F37+7,""),"")</f>
        <v>45770</v>
      </c>
      <c r="G44" s="6">
        <f t="shared" si="41"/>
        <v>45771</v>
      </c>
      <c r="H44" s="10"/>
    </row>
    <row r="45" spans="1:8" ht="30" hidden="1" x14ac:dyDescent="0.25">
      <c r="A45" s="2">
        <f t="shared" ref="A45:A48" si="42">MAX(A33:A44)+1</f>
        <v>32</v>
      </c>
      <c r="B45" s="9" t="s">
        <v>19</v>
      </c>
      <c r="C45" s="6">
        <f t="shared" ref="C45" si="43">IFERROR(IF(C38,C38+7,""),"")</f>
        <v>45761</v>
      </c>
      <c r="D45" s="6">
        <f t="shared" si="35"/>
        <v>45762</v>
      </c>
      <c r="E45" s="4">
        <v>486</v>
      </c>
      <c r="F45" s="6" t="str">
        <f t="shared" ref="F45:G45" si="44">IFERROR(IF(F38,F38+7,""),"")</f>
        <v/>
      </c>
      <c r="G45" s="6" t="str">
        <f t="shared" si="44"/>
        <v/>
      </c>
      <c r="H45" s="10" t="s">
        <v>35</v>
      </c>
    </row>
    <row r="46" spans="1:8" hidden="1" x14ac:dyDescent="0.25">
      <c r="A46" s="2">
        <f t="shared" si="42"/>
        <v>33</v>
      </c>
      <c r="B46" s="9" t="s">
        <v>20</v>
      </c>
      <c r="C46" s="6">
        <f t="shared" ref="C46" si="45">IFERROR(IF(C39,C39+7,""),"")</f>
        <v>45764</v>
      </c>
      <c r="D46" s="6">
        <f t="shared" si="35"/>
        <v>45765</v>
      </c>
      <c r="E46" s="4"/>
      <c r="F46" s="6" t="str">
        <f t="shared" ref="F46:G46" si="46">IFERROR(IF(F39,F39+7,""),"")</f>
        <v/>
      </c>
      <c r="G46" s="6" t="str">
        <f t="shared" si="46"/>
        <v/>
      </c>
      <c r="H46" s="10"/>
    </row>
    <row r="47" spans="1:8" hidden="1" x14ac:dyDescent="0.25">
      <c r="A47" s="2">
        <f t="shared" si="42"/>
        <v>34</v>
      </c>
      <c r="B47" s="9" t="s">
        <v>26</v>
      </c>
      <c r="C47" s="6">
        <f t="shared" ref="C47" si="47">IFERROR(IF(C40,C40+7,""),"")</f>
        <v>45764</v>
      </c>
      <c r="D47" s="6">
        <f t="shared" si="35"/>
        <v>45765</v>
      </c>
      <c r="E47" s="4">
        <v>1502</v>
      </c>
      <c r="F47" s="6">
        <v>45774</v>
      </c>
      <c r="G47" s="6">
        <v>45774</v>
      </c>
      <c r="H47" s="12"/>
    </row>
    <row r="48" spans="1:8" hidden="1" x14ac:dyDescent="0.25">
      <c r="A48" s="2">
        <f t="shared" si="42"/>
        <v>35</v>
      </c>
      <c r="B48" s="9" t="s">
        <v>26</v>
      </c>
      <c r="C48" s="6">
        <v>45765</v>
      </c>
      <c r="D48" s="6">
        <v>45765</v>
      </c>
      <c r="E48" s="4">
        <v>426</v>
      </c>
      <c r="F48" s="6">
        <v>45774</v>
      </c>
      <c r="G48" s="6">
        <v>45774</v>
      </c>
      <c r="H48" s="12"/>
    </row>
    <row r="49" spans="1:8" hidden="1" x14ac:dyDescent="0.25">
      <c r="A49" s="58" t="s">
        <v>25</v>
      </c>
      <c r="B49" s="59"/>
      <c r="C49" s="59"/>
      <c r="D49" s="59"/>
      <c r="E49" s="60"/>
      <c r="F49" s="59"/>
      <c r="G49" s="59"/>
      <c r="H49" s="62"/>
    </row>
    <row r="50" spans="1:8" ht="30" hidden="1" x14ac:dyDescent="0.25">
      <c r="A50" s="2">
        <f>MAX(A37:A49)+1</f>
        <v>36</v>
      </c>
      <c r="B50" s="9" t="s">
        <v>19</v>
      </c>
      <c r="C50" s="6">
        <f>IFERROR(IF(C45,C45+7,""),"")</f>
        <v>45768</v>
      </c>
      <c r="D50" s="6">
        <f>IFERROR(IF(D45,D45+7,""),"")</f>
        <v>45769</v>
      </c>
      <c r="E50" s="4"/>
      <c r="F50" s="6" t="str">
        <f t="shared" ref="F50:G50" si="48">IFERROR(IF(F45,F45+7,""),"")</f>
        <v/>
      </c>
      <c r="G50" s="6" t="str">
        <f t="shared" si="48"/>
        <v/>
      </c>
      <c r="H50" s="10" t="s">
        <v>35</v>
      </c>
    </row>
    <row r="51" spans="1:8" hidden="1" x14ac:dyDescent="0.25">
      <c r="A51" s="2">
        <f>MAX(A38:A50)+1</f>
        <v>37</v>
      </c>
      <c r="B51" s="9" t="s">
        <v>17</v>
      </c>
      <c r="C51" s="6">
        <f t="shared" ref="C51:D52" si="49">IFERROR(IF(C43,C43+7,""),"")</f>
        <v>45768</v>
      </c>
      <c r="D51" s="6">
        <f t="shared" si="49"/>
        <v>45769</v>
      </c>
      <c r="E51" s="4">
        <v>3415</v>
      </c>
      <c r="F51" s="6">
        <f t="shared" ref="F51:G51" si="50">IFERROR(IF(F43,F43+7,""),"")</f>
        <v>45776</v>
      </c>
      <c r="G51" s="6">
        <f t="shared" si="50"/>
        <v>45776</v>
      </c>
      <c r="H51" s="10"/>
    </row>
    <row r="52" spans="1:8" hidden="1" x14ac:dyDescent="0.25">
      <c r="A52" s="2">
        <f>MAX(A39:A51)+1</f>
        <v>38</v>
      </c>
      <c r="B52" s="9" t="s">
        <v>18</v>
      </c>
      <c r="C52" s="6">
        <f t="shared" si="49"/>
        <v>45771</v>
      </c>
      <c r="D52" s="6">
        <f t="shared" si="49"/>
        <v>45772</v>
      </c>
      <c r="E52" s="4">
        <v>11540</v>
      </c>
      <c r="F52" s="6">
        <v>45775</v>
      </c>
      <c r="G52" s="6">
        <v>45776</v>
      </c>
      <c r="H52" s="10"/>
    </row>
    <row r="53" spans="1:8" hidden="1" x14ac:dyDescent="0.25">
      <c r="A53" s="2">
        <f>MAX(A40:A52)+1</f>
        <v>39</v>
      </c>
      <c r="B53" s="9" t="s">
        <v>20</v>
      </c>
      <c r="C53" s="6">
        <f>IFERROR(IF(C46,C46+7,""),"")</f>
        <v>45771</v>
      </c>
      <c r="D53" s="6">
        <f>IFERROR(IF(D46,D46+7,""),"")</f>
        <v>45772</v>
      </c>
      <c r="E53" s="4"/>
      <c r="F53" s="6" t="str">
        <f>IFERROR(IF(F46,F46+7,""),"")</f>
        <v/>
      </c>
      <c r="G53" s="6" t="str">
        <f>IFERROR(IF(G46,G46+7,""),"")</f>
        <v/>
      </c>
      <c r="H53" s="10"/>
    </row>
    <row r="54" spans="1:8" hidden="1" x14ac:dyDescent="0.25">
      <c r="A54" s="58" t="s">
        <v>25</v>
      </c>
      <c r="B54" s="59"/>
      <c r="C54" s="59"/>
      <c r="D54" s="59"/>
      <c r="E54" s="60"/>
      <c r="F54" s="59"/>
      <c r="G54" s="59"/>
      <c r="H54" s="62"/>
    </row>
    <row r="55" spans="1:8" hidden="1" x14ac:dyDescent="0.25">
      <c r="A55" s="2">
        <f t="shared" ref="A55:A60" si="51">MAX(A42:A54)+1</f>
        <v>40</v>
      </c>
      <c r="B55" s="9" t="s">
        <v>15</v>
      </c>
      <c r="C55" s="6">
        <v>45775</v>
      </c>
      <c r="D55" s="6">
        <v>45776</v>
      </c>
      <c r="E55" s="4">
        <v>0</v>
      </c>
      <c r="F55" s="6">
        <v>45782</v>
      </c>
      <c r="G55" s="6">
        <v>45782</v>
      </c>
      <c r="H55" s="10" t="s">
        <v>36</v>
      </c>
    </row>
    <row r="56" spans="1:8" hidden="1" x14ac:dyDescent="0.25">
      <c r="A56" s="2">
        <f t="shared" si="51"/>
        <v>41</v>
      </c>
      <c r="B56" s="9" t="s">
        <v>17</v>
      </c>
      <c r="C56" s="6">
        <v>45775</v>
      </c>
      <c r="D56" s="6">
        <v>45776</v>
      </c>
      <c r="E56" s="4">
        <v>2992</v>
      </c>
      <c r="F56" s="6">
        <v>45783</v>
      </c>
      <c r="G56" s="6">
        <v>45783</v>
      </c>
      <c r="H56" s="10"/>
    </row>
    <row r="57" spans="1:8" hidden="1" x14ac:dyDescent="0.25">
      <c r="A57" s="2">
        <f t="shared" si="51"/>
        <v>42</v>
      </c>
      <c r="B57" s="9" t="s">
        <v>18</v>
      </c>
      <c r="C57" s="6">
        <v>45778</v>
      </c>
      <c r="D57" s="6">
        <v>45779</v>
      </c>
      <c r="E57" s="4">
        <v>10900</v>
      </c>
      <c r="F57" s="6">
        <v>45782</v>
      </c>
      <c r="G57" s="6">
        <v>45783</v>
      </c>
      <c r="H57" s="10"/>
    </row>
    <row r="58" spans="1:8" ht="30" hidden="1" x14ac:dyDescent="0.25">
      <c r="A58" s="2">
        <f t="shared" si="51"/>
        <v>43</v>
      </c>
      <c r="B58" s="9" t="s">
        <v>19</v>
      </c>
      <c r="C58" s="6">
        <v>45775</v>
      </c>
      <c r="D58" s="6">
        <v>45778</v>
      </c>
      <c r="E58" s="4">
        <v>244</v>
      </c>
      <c r="F58" s="6"/>
      <c r="G58" s="6"/>
      <c r="H58" s="10" t="s">
        <v>35</v>
      </c>
    </row>
    <row r="59" spans="1:8" hidden="1" x14ac:dyDescent="0.25">
      <c r="A59" s="2">
        <f t="shared" si="51"/>
        <v>44</v>
      </c>
      <c r="B59" s="9" t="s">
        <v>20</v>
      </c>
      <c r="C59" s="6">
        <v>45778</v>
      </c>
      <c r="D59" s="6">
        <v>45779</v>
      </c>
      <c r="E59" s="4"/>
      <c r="F59" s="6"/>
      <c r="G59" s="6"/>
      <c r="H59" s="10"/>
    </row>
    <row r="60" spans="1:8" hidden="1" x14ac:dyDescent="0.25">
      <c r="A60" s="2">
        <f t="shared" si="51"/>
        <v>45</v>
      </c>
      <c r="B60" s="9" t="s">
        <v>26</v>
      </c>
      <c r="C60" s="6">
        <v>45779</v>
      </c>
      <c r="D60" s="6">
        <v>45782</v>
      </c>
      <c r="E60" s="4">
        <v>1732</v>
      </c>
      <c r="F60" s="6">
        <v>45789</v>
      </c>
      <c r="G60" s="6">
        <v>45789</v>
      </c>
      <c r="H60" s="13" t="s">
        <v>37</v>
      </c>
    </row>
    <row r="61" spans="1:8" hidden="1" x14ac:dyDescent="0.25">
      <c r="A61" s="58" t="s">
        <v>25</v>
      </c>
      <c r="B61" s="59"/>
      <c r="C61" s="59"/>
      <c r="D61" s="59"/>
      <c r="E61" s="59"/>
      <c r="F61" s="59"/>
      <c r="G61" s="59"/>
      <c r="H61" s="61"/>
    </row>
    <row r="62" spans="1:8" ht="30" hidden="1" x14ac:dyDescent="0.25">
      <c r="A62" s="2">
        <f t="shared" ref="A62:A120" si="52">MAX(A50:A61)+1</f>
        <v>46</v>
      </c>
      <c r="B62" s="9" t="s">
        <v>19</v>
      </c>
      <c r="C62" s="6">
        <f>IFERROR(IF(C50,C50+14,""),"")</f>
        <v>45782</v>
      </c>
      <c r="D62" s="6">
        <f>IFERROR(IF(D50,D50+14,""),"")</f>
        <v>45783</v>
      </c>
      <c r="E62" s="4"/>
      <c r="F62" s="6" t="str">
        <f t="shared" ref="F62:G62" si="53">IFERROR(IF(F50,F50+14,""),"")</f>
        <v/>
      </c>
      <c r="G62" s="6" t="str">
        <f t="shared" si="53"/>
        <v/>
      </c>
      <c r="H62" s="10" t="s">
        <v>35</v>
      </c>
    </row>
    <row r="63" spans="1:8" hidden="1" x14ac:dyDescent="0.25">
      <c r="A63" s="2">
        <f t="shared" si="52"/>
        <v>47</v>
      </c>
      <c r="B63" s="9" t="s">
        <v>17</v>
      </c>
      <c r="C63" s="6">
        <f t="shared" ref="C63:D63" si="54">IFERROR(IF(C51,C51+14,""),"")</f>
        <v>45782</v>
      </c>
      <c r="D63" s="6">
        <f t="shared" si="54"/>
        <v>45783</v>
      </c>
      <c r="E63" s="4">
        <v>2356</v>
      </c>
      <c r="F63" s="6">
        <f t="shared" ref="F63:G63" si="55">IFERROR(IF(F51,F51+14,""),"")</f>
        <v>45790</v>
      </c>
      <c r="G63" s="6">
        <f t="shared" si="55"/>
        <v>45790</v>
      </c>
      <c r="H63" s="10"/>
    </row>
    <row r="64" spans="1:8" hidden="1" x14ac:dyDescent="0.25">
      <c r="A64" s="2">
        <f t="shared" si="52"/>
        <v>48</v>
      </c>
      <c r="B64" s="9" t="s">
        <v>18</v>
      </c>
      <c r="C64" s="6">
        <f t="shared" ref="C64:D64" si="56">IFERROR(IF(C52,C52+14,""),"")</f>
        <v>45785</v>
      </c>
      <c r="D64" s="6">
        <f t="shared" si="56"/>
        <v>45786</v>
      </c>
      <c r="E64" s="4">
        <v>8800</v>
      </c>
      <c r="F64" s="6">
        <v>45791</v>
      </c>
      <c r="G64" s="6">
        <v>45792</v>
      </c>
      <c r="H64" s="10"/>
    </row>
    <row r="65" spans="1:8" hidden="1" x14ac:dyDescent="0.25">
      <c r="A65" s="2">
        <f t="shared" si="52"/>
        <v>49</v>
      </c>
      <c r="B65" s="9" t="s">
        <v>20</v>
      </c>
      <c r="C65" s="6">
        <f t="shared" ref="C65:D65" si="57">IFERROR(IF(C53,C53+14,""),"")</f>
        <v>45785</v>
      </c>
      <c r="D65" s="6">
        <f t="shared" si="57"/>
        <v>45786</v>
      </c>
      <c r="E65" s="4"/>
      <c r="F65" s="6" t="str">
        <f t="shared" ref="F65:G65" si="58">IFERROR(IF(F53,F53+14,""),"")</f>
        <v/>
      </c>
      <c r="G65" s="6" t="str">
        <f t="shared" si="58"/>
        <v/>
      </c>
      <c r="H65" s="10"/>
    </row>
    <row r="66" spans="1:8" hidden="1" x14ac:dyDescent="0.25">
      <c r="A66" s="58" t="s">
        <v>25</v>
      </c>
      <c r="B66" s="59"/>
      <c r="C66" s="59"/>
      <c r="D66" s="59"/>
      <c r="E66" s="59"/>
      <c r="F66" s="59"/>
      <c r="G66" s="59"/>
      <c r="H66" s="61"/>
    </row>
    <row r="67" spans="1:8" hidden="1" x14ac:dyDescent="0.25">
      <c r="A67" s="2">
        <f t="shared" si="52"/>
        <v>50</v>
      </c>
      <c r="B67" s="9" t="s">
        <v>15</v>
      </c>
      <c r="C67" s="6">
        <f>IFERROR(IF(C55,C55+14,""),"")</f>
        <v>45789</v>
      </c>
      <c r="D67" s="6">
        <f t="shared" ref="D67:G67" si="59">IFERROR(IF(D55,D55+14,""),"")</f>
        <v>45790</v>
      </c>
      <c r="E67" s="4">
        <v>2785</v>
      </c>
      <c r="F67" s="6">
        <f t="shared" si="59"/>
        <v>45796</v>
      </c>
      <c r="G67" s="6">
        <f t="shared" si="59"/>
        <v>45796</v>
      </c>
      <c r="H67" s="10"/>
    </row>
    <row r="68" spans="1:8" hidden="1" x14ac:dyDescent="0.25">
      <c r="A68" s="2">
        <f t="shared" si="52"/>
        <v>51</v>
      </c>
      <c r="B68" s="9" t="s">
        <v>17</v>
      </c>
      <c r="C68" s="6">
        <f t="shared" ref="C68:G68" si="60">IFERROR(IF(C56,C56+14,""),"")</f>
        <v>45789</v>
      </c>
      <c r="D68" s="6">
        <f t="shared" si="60"/>
        <v>45790</v>
      </c>
      <c r="E68" s="4">
        <v>1975</v>
      </c>
      <c r="F68" s="6">
        <f t="shared" si="60"/>
        <v>45797</v>
      </c>
      <c r="G68" s="6">
        <f t="shared" si="60"/>
        <v>45797</v>
      </c>
      <c r="H68" s="10" t="s">
        <v>39</v>
      </c>
    </row>
    <row r="69" spans="1:8" hidden="1" x14ac:dyDescent="0.25">
      <c r="A69" s="2">
        <f t="shared" si="52"/>
        <v>52</v>
      </c>
      <c r="B69" s="9" t="s">
        <v>18</v>
      </c>
      <c r="C69" s="6">
        <f t="shared" ref="C69:D69" si="61">IFERROR(IF(C57,C57+14,""),"")</f>
        <v>45792</v>
      </c>
      <c r="D69" s="6">
        <f t="shared" si="61"/>
        <v>45793</v>
      </c>
      <c r="E69" s="4">
        <v>4300</v>
      </c>
      <c r="F69" s="6">
        <v>45798</v>
      </c>
      <c r="G69" s="6">
        <v>45799</v>
      </c>
      <c r="H69" s="10"/>
    </row>
    <row r="70" spans="1:8" hidden="1" x14ac:dyDescent="0.25">
      <c r="A70" s="2">
        <f t="shared" si="52"/>
        <v>53</v>
      </c>
      <c r="B70" s="9" t="s">
        <v>19</v>
      </c>
      <c r="C70" s="6">
        <f t="shared" ref="C70:G70" si="62">IFERROR(IF(C58,C58+14,""),"")</f>
        <v>45789</v>
      </c>
      <c r="D70" s="6">
        <f t="shared" si="62"/>
        <v>45792</v>
      </c>
      <c r="E70" s="4">
        <v>165</v>
      </c>
      <c r="F70" s="6" t="str">
        <f t="shared" si="62"/>
        <v/>
      </c>
      <c r="G70" s="6" t="str">
        <f t="shared" si="62"/>
        <v/>
      </c>
      <c r="H70" s="14" t="s">
        <v>38</v>
      </c>
    </row>
    <row r="71" spans="1:8" hidden="1" x14ac:dyDescent="0.25">
      <c r="A71" s="2">
        <f t="shared" si="52"/>
        <v>54</v>
      </c>
      <c r="B71" s="9" t="s">
        <v>20</v>
      </c>
      <c r="C71" s="6">
        <f t="shared" ref="C71:G71" si="63">IFERROR(IF(C59,C59+14,""),"")</f>
        <v>45792</v>
      </c>
      <c r="D71" s="6">
        <f t="shared" si="63"/>
        <v>45793</v>
      </c>
      <c r="E71" s="4"/>
      <c r="F71" s="6" t="str">
        <f t="shared" si="63"/>
        <v/>
      </c>
      <c r="G71" s="6" t="str">
        <f t="shared" si="63"/>
        <v/>
      </c>
      <c r="H71" s="10"/>
    </row>
    <row r="72" spans="1:8" hidden="1" x14ac:dyDescent="0.25">
      <c r="A72" s="2">
        <f t="shared" si="52"/>
        <v>55</v>
      </c>
      <c r="B72" s="9" t="s">
        <v>26</v>
      </c>
      <c r="C72" s="6">
        <v>45792</v>
      </c>
      <c r="D72" s="6">
        <v>45793</v>
      </c>
      <c r="E72" s="4">
        <v>3105</v>
      </c>
      <c r="F72" s="6">
        <v>45798</v>
      </c>
      <c r="G72" s="6">
        <v>45798</v>
      </c>
      <c r="H72" s="13" t="s">
        <v>37</v>
      </c>
    </row>
    <row r="73" spans="1:8" hidden="1" x14ac:dyDescent="0.25">
      <c r="A73" s="58" t="s">
        <v>25</v>
      </c>
      <c r="B73" s="59"/>
      <c r="C73" s="59"/>
      <c r="D73" s="59"/>
      <c r="E73" s="59"/>
      <c r="F73" s="59"/>
      <c r="G73" s="59"/>
      <c r="H73" s="61"/>
    </row>
    <row r="74" spans="1:8" hidden="1" x14ac:dyDescent="0.25">
      <c r="A74" s="2">
        <f t="shared" si="52"/>
        <v>56</v>
      </c>
      <c r="B74" s="9" t="s">
        <v>19</v>
      </c>
      <c r="C74" s="6">
        <f>IFERROR(IF(C62,C62+14,""),"")</f>
        <v>45796</v>
      </c>
      <c r="D74" s="6">
        <f>IFERROR(IF(D62,D62+14,""),"")</f>
        <v>45797</v>
      </c>
      <c r="E74" s="4">
        <v>359</v>
      </c>
      <c r="F74" s="6" t="str">
        <f t="shared" ref="F74:G74" si="64">IFERROR(IF(F62,F62+14,""),"")</f>
        <v/>
      </c>
      <c r="G74" s="6" t="str">
        <f t="shared" si="64"/>
        <v/>
      </c>
      <c r="H74" s="14" t="s">
        <v>38</v>
      </c>
    </row>
    <row r="75" spans="1:8" hidden="1" x14ac:dyDescent="0.25">
      <c r="A75" s="2">
        <f t="shared" si="52"/>
        <v>57</v>
      </c>
      <c r="B75" s="9" t="s">
        <v>17</v>
      </c>
      <c r="C75" s="6">
        <f t="shared" ref="C75:D75" si="65">IFERROR(IF(C63,C63+14,""),"")</f>
        <v>45796</v>
      </c>
      <c r="D75" s="6">
        <f t="shared" si="65"/>
        <v>45797</v>
      </c>
      <c r="E75" s="4">
        <v>2344</v>
      </c>
      <c r="F75" s="6">
        <f t="shared" ref="F75:G75" si="66">IFERROR(IF(F63,F63+14,""),"")</f>
        <v>45804</v>
      </c>
      <c r="G75" s="6">
        <f t="shared" si="66"/>
        <v>45804</v>
      </c>
      <c r="H75" s="10"/>
    </row>
    <row r="76" spans="1:8" hidden="1" x14ac:dyDescent="0.25">
      <c r="A76" s="2">
        <f t="shared" si="52"/>
        <v>58</v>
      </c>
      <c r="B76" s="9" t="s">
        <v>18</v>
      </c>
      <c r="C76" s="6">
        <f>IFERROR(IF(C64,C64+14,""),"")</f>
        <v>45799</v>
      </c>
      <c r="D76" s="6">
        <f t="shared" ref="D76:G76" si="67">IFERROR(IF(D64,D64+14,""),"")</f>
        <v>45800</v>
      </c>
      <c r="E76" s="4">
        <v>6480</v>
      </c>
      <c r="F76" s="6">
        <f t="shared" si="67"/>
        <v>45805</v>
      </c>
      <c r="G76" s="6">
        <f t="shared" si="67"/>
        <v>45806</v>
      </c>
      <c r="H76" s="10"/>
    </row>
    <row r="77" spans="1:8" hidden="1" x14ac:dyDescent="0.25">
      <c r="A77" s="2">
        <f t="shared" si="52"/>
        <v>59</v>
      </c>
      <c r="B77" s="9" t="s">
        <v>20</v>
      </c>
      <c r="C77" s="6">
        <f t="shared" ref="C77:D77" si="68">IFERROR(IF(C65,C65+14,""),"")</f>
        <v>45799</v>
      </c>
      <c r="D77" s="6">
        <f t="shared" si="68"/>
        <v>45800</v>
      </c>
      <c r="E77" s="4"/>
      <c r="F77" s="6" t="str">
        <f t="shared" ref="F77:G77" si="69">IFERROR(IF(F65,F65+14,""),"")</f>
        <v/>
      </c>
      <c r="G77" s="6" t="str">
        <f t="shared" si="69"/>
        <v/>
      </c>
      <c r="H77" s="10"/>
    </row>
    <row r="78" spans="1:8" hidden="1" x14ac:dyDescent="0.25">
      <c r="A78" s="58" t="s">
        <v>25</v>
      </c>
      <c r="B78" s="59"/>
      <c r="C78" s="59"/>
      <c r="D78" s="59"/>
      <c r="E78" s="59"/>
      <c r="F78" s="59"/>
      <c r="G78" s="59"/>
      <c r="H78" s="61"/>
    </row>
    <row r="79" spans="1:8" hidden="1" x14ac:dyDescent="0.25">
      <c r="A79" s="2">
        <f t="shared" si="52"/>
        <v>60</v>
      </c>
      <c r="B79" s="9" t="s">
        <v>15</v>
      </c>
      <c r="C79" s="6">
        <f>IFERROR(IF(C67,C67+14,""),"")</f>
        <v>45803</v>
      </c>
      <c r="D79" s="6">
        <f t="shared" ref="D79" si="70">IFERROR(IF(D67,D67+14,""),"")</f>
        <v>45804</v>
      </c>
      <c r="E79" s="4">
        <v>1795</v>
      </c>
      <c r="F79" s="6">
        <f t="shared" ref="F79:G79" si="71">IFERROR(IF(F67,F67+14,""),"")</f>
        <v>45810</v>
      </c>
      <c r="G79" s="6">
        <f t="shared" si="71"/>
        <v>45810</v>
      </c>
      <c r="H79" s="10"/>
    </row>
    <row r="80" spans="1:8" hidden="1" x14ac:dyDescent="0.25">
      <c r="A80" s="2">
        <f t="shared" si="52"/>
        <v>61</v>
      </c>
      <c r="B80" s="9" t="s">
        <v>17</v>
      </c>
      <c r="C80" s="6">
        <f t="shared" ref="C80:D80" si="72">IFERROR(IF(C68,C68+14,""),"")</f>
        <v>45803</v>
      </c>
      <c r="D80" s="6">
        <f t="shared" si="72"/>
        <v>45804</v>
      </c>
      <c r="E80" s="4">
        <v>2212</v>
      </c>
      <c r="F80" s="6">
        <f t="shared" ref="F80:G81" si="73">IFERROR(IF(F68,F68+14,""),"")</f>
        <v>45811</v>
      </c>
      <c r="G80" s="6">
        <f t="shared" si="73"/>
        <v>45811</v>
      </c>
      <c r="H80" s="10"/>
    </row>
    <row r="81" spans="1:8" hidden="1" x14ac:dyDescent="0.25">
      <c r="A81" s="2">
        <f t="shared" si="52"/>
        <v>62</v>
      </c>
      <c r="B81" s="9" t="s">
        <v>18</v>
      </c>
      <c r="C81" s="6">
        <f t="shared" ref="C81:D81" si="74">IFERROR(IF(C69,C69+14,""),"")</f>
        <v>45806</v>
      </c>
      <c r="D81" s="6">
        <f t="shared" si="74"/>
        <v>45807</v>
      </c>
      <c r="E81" s="4">
        <v>5400</v>
      </c>
      <c r="F81" s="6">
        <f t="shared" si="73"/>
        <v>45812</v>
      </c>
      <c r="G81" s="6">
        <f t="shared" si="73"/>
        <v>45813</v>
      </c>
      <c r="H81" s="10"/>
    </row>
    <row r="82" spans="1:8" hidden="1" x14ac:dyDescent="0.25">
      <c r="A82" s="2">
        <f t="shared" si="52"/>
        <v>63</v>
      </c>
      <c r="B82" s="9" t="s">
        <v>19</v>
      </c>
      <c r="C82" s="6">
        <f t="shared" ref="C82" si="75">IFERROR(IF(C70,C70+14,""),"")</f>
        <v>45803</v>
      </c>
      <c r="D82" s="6">
        <v>45804</v>
      </c>
      <c r="E82" s="4">
        <v>0</v>
      </c>
      <c r="F82" s="6" t="str">
        <f t="shared" ref="F82:G82" si="76">IFERROR(IF(F70,F70+14,""),"")</f>
        <v/>
      </c>
      <c r="G82" s="6" t="str">
        <f t="shared" si="76"/>
        <v/>
      </c>
      <c r="H82" s="16" t="s">
        <v>38</v>
      </c>
    </row>
    <row r="83" spans="1:8" hidden="1" x14ac:dyDescent="0.25">
      <c r="A83" s="2">
        <f t="shared" si="52"/>
        <v>64</v>
      </c>
      <c r="B83" s="9" t="s">
        <v>20</v>
      </c>
      <c r="C83" s="6">
        <f t="shared" ref="C83:D84" si="77">IFERROR(IF(C71,C71+14,""),"")</f>
        <v>45806</v>
      </c>
      <c r="D83" s="6">
        <f t="shared" si="77"/>
        <v>45807</v>
      </c>
      <c r="E83" s="4"/>
      <c r="F83" s="6" t="str">
        <f t="shared" ref="F83:G83" si="78">IFERROR(IF(F71,F71+14,""),"")</f>
        <v/>
      </c>
      <c r="G83" s="6" t="str">
        <f t="shared" si="78"/>
        <v/>
      </c>
      <c r="H83" s="10"/>
    </row>
    <row r="84" spans="1:8" hidden="1" x14ac:dyDescent="0.25">
      <c r="A84" s="2">
        <f t="shared" si="52"/>
        <v>65</v>
      </c>
      <c r="B84" s="9" t="s">
        <v>26</v>
      </c>
      <c r="C84" s="6">
        <f t="shared" si="77"/>
        <v>45806</v>
      </c>
      <c r="D84" s="15">
        <v>45811</v>
      </c>
      <c r="E84" s="4">
        <v>1297</v>
      </c>
      <c r="F84" s="15">
        <v>45816</v>
      </c>
      <c r="G84" s="15">
        <v>45816</v>
      </c>
      <c r="H84" s="13" t="s">
        <v>37</v>
      </c>
    </row>
    <row r="85" spans="1:8" hidden="1" x14ac:dyDescent="0.25">
      <c r="A85" s="58" t="s">
        <v>25</v>
      </c>
      <c r="B85" s="59"/>
      <c r="C85" s="59"/>
      <c r="D85" s="59"/>
      <c r="E85" s="59"/>
      <c r="F85" s="59"/>
      <c r="G85" s="59"/>
      <c r="H85" s="61"/>
    </row>
    <row r="86" spans="1:8" hidden="1" x14ac:dyDescent="0.25">
      <c r="A86" s="2">
        <f t="shared" si="52"/>
        <v>66</v>
      </c>
      <c r="B86" s="9" t="s">
        <v>19</v>
      </c>
      <c r="C86" s="6">
        <f>IFERROR(IF(C74,C74+14,""),"")</f>
        <v>45810</v>
      </c>
      <c r="D86" s="6">
        <f t="shared" ref="D86:D89" si="79">IFERROR(IF(D74,D74+14,""),"")</f>
        <v>45811</v>
      </c>
      <c r="E86" s="4">
        <v>0</v>
      </c>
      <c r="F86" s="6" t="str">
        <f t="shared" ref="F86:G86" si="80">IFERROR(IF(F74,F74+14,""),"")</f>
        <v/>
      </c>
      <c r="G86" s="6" t="str">
        <f t="shared" si="80"/>
        <v/>
      </c>
      <c r="H86" s="14" t="s">
        <v>22</v>
      </c>
    </row>
    <row r="87" spans="1:8" hidden="1" x14ac:dyDescent="0.25">
      <c r="A87" s="2">
        <f t="shared" si="52"/>
        <v>67</v>
      </c>
      <c r="B87" s="9" t="s">
        <v>17</v>
      </c>
      <c r="C87" s="6">
        <f t="shared" ref="C87" si="81">IFERROR(IF(C75,C75+14,""),"")</f>
        <v>45810</v>
      </c>
      <c r="D87" s="6">
        <f t="shared" si="79"/>
        <v>45811</v>
      </c>
      <c r="E87" s="4">
        <v>2262</v>
      </c>
      <c r="F87" s="6">
        <f t="shared" ref="F87:G87" si="82">IFERROR(IF(F75,F75+14,""),"")</f>
        <v>45818</v>
      </c>
      <c r="G87" s="6">
        <f t="shared" si="82"/>
        <v>45818</v>
      </c>
      <c r="H87" s="10"/>
    </row>
    <row r="88" spans="1:8" hidden="1" x14ac:dyDescent="0.25">
      <c r="A88" s="2">
        <f t="shared" si="52"/>
        <v>68</v>
      </c>
      <c r="B88" s="9" t="s">
        <v>18</v>
      </c>
      <c r="C88" s="6">
        <f t="shared" ref="C88" si="83">IFERROR(IF(C76,C76+14,""),"")</f>
        <v>45813</v>
      </c>
      <c r="D88" s="6">
        <f t="shared" si="79"/>
        <v>45814</v>
      </c>
      <c r="E88" s="4">
        <v>10050</v>
      </c>
      <c r="F88" s="15">
        <v>45817</v>
      </c>
      <c r="G88" s="6">
        <f t="shared" ref="G88" si="84">IFERROR(IF(G76,G76+14,""),"")</f>
        <v>45820</v>
      </c>
      <c r="H88" s="10"/>
    </row>
    <row r="89" spans="1:8" hidden="1" x14ac:dyDescent="0.25">
      <c r="A89" s="2">
        <f t="shared" si="52"/>
        <v>69</v>
      </c>
      <c r="B89" s="9" t="s">
        <v>20</v>
      </c>
      <c r="C89" s="6">
        <f t="shared" ref="C89" si="85">IFERROR(IF(C77,C77+14,""),"")</f>
        <v>45813</v>
      </c>
      <c r="D89" s="6">
        <f t="shared" si="79"/>
        <v>45814</v>
      </c>
      <c r="E89" s="4"/>
      <c r="F89" s="6" t="str">
        <f t="shared" ref="F89:G89" si="86">IFERROR(IF(F77,F77+14,""),"")</f>
        <v/>
      </c>
      <c r="G89" s="6" t="str">
        <f t="shared" si="86"/>
        <v/>
      </c>
      <c r="H89" s="10"/>
    </row>
    <row r="90" spans="1:8" hidden="1" x14ac:dyDescent="0.25">
      <c r="A90" s="58" t="s">
        <v>25</v>
      </c>
      <c r="B90" s="59"/>
      <c r="C90" s="59"/>
      <c r="D90" s="59"/>
      <c r="E90" s="59"/>
      <c r="F90" s="59"/>
      <c r="G90" s="59"/>
      <c r="H90" s="61"/>
    </row>
    <row r="91" spans="1:8" hidden="1" x14ac:dyDescent="0.25">
      <c r="A91" s="2">
        <f t="shared" si="52"/>
        <v>70</v>
      </c>
      <c r="B91" s="9" t="s">
        <v>15</v>
      </c>
      <c r="C91" s="6">
        <f>IFERROR(IF(C79,C79+14,""),"")</f>
        <v>45817</v>
      </c>
      <c r="D91" s="6">
        <f t="shared" ref="D91" si="87">IFERROR(IF(D79,D79+14,""),"")</f>
        <v>45818</v>
      </c>
      <c r="E91" s="4">
        <v>1618</v>
      </c>
      <c r="F91" s="6">
        <f t="shared" ref="F91:G91" si="88">IFERROR(IF(F79,F79+14,""),"")</f>
        <v>45824</v>
      </c>
      <c r="G91" s="6">
        <f t="shared" si="88"/>
        <v>45824</v>
      </c>
      <c r="H91" s="10"/>
    </row>
    <row r="92" spans="1:8" hidden="1" x14ac:dyDescent="0.25">
      <c r="A92" s="2">
        <f t="shared" si="52"/>
        <v>71</v>
      </c>
      <c r="B92" s="9" t="s">
        <v>17</v>
      </c>
      <c r="C92" s="6">
        <f t="shared" ref="C92:D92" si="89">IFERROR(IF(C80,C80+14,""),"")</f>
        <v>45817</v>
      </c>
      <c r="D92" s="6">
        <f t="shared" si="89"/>
        <v>45818</v>
      </c>
      <c r="E92" s="4">
        <v>1850</v>
      </c>
      <c r="F92" s="6">
        <f t="shared" ref="F92:G92" si="90">IFERROR(IF(F80,F80+14,""),"")</f>
        <v>45825</v>
      </c>
      <c r="G92" s="6">
        <f t="shared" si="90"/>
        <v>45825</v>
      </c>
      <c r="H92" s="10"/>
    </row>
    <row r="93" spans="1:8" hidden="1" x14ac:dyDescent="0.25">
      <c r="A93" s="2">
        <f t="shared" si="52"/>
        <v>72</v>
      </c>
      <c r="B93" s="9" t="s">
        <v>18</v>
      </c>
      <c r="C93" s="6">
        <f t="shared" ref="C93:D94" si="91">IFERROR(IF(C81,C81+14,""),"")</f>
        <v>45820</v>
      </c>
      <c r="D93" s="6">
        <f t="shared" si="91"/>
        <v>45821</v>
      </c>
      <c r="E93" s="4">
        <v>6260</v>
      </c>
      <c r="F93" s="6">
        <f t="shared" ref="F93:G93" si="92">IFERROR(IF(F81,F81+14,""),"")</f>
        <v>45826</v>
      </c>
      <c r="G93" s="6">
        <f t="shared" si="92"/>
        <v>45827</v>
      </c>
      <c r="H93" s="10"/>
    </row>
    <row r="94" spans="1:8" hidden="1" x14ac:dyDescent="0.25">
      <c r="A94" s="2">
        <f t="shared" si="52"/>
        <v>73</v>
      </c>
      <c r="B94" s="9" t="s">
        <v>19</v>
      </c>
      <c r="C94" s="6">
        <f t="shared" si="91"/>
        <v>45817</v>
      </c>
      <c r="D94" s="15">
        <v>45820</v>
      </c>
      <c r="E94" s="4">
        <v>489</v>
      </c>
      <c r="F94" s="6" t="str">
        <f t="shared" ref="F94:G94" si="93">IFERROR(IF(F82,F82+14,""),"")</f>
        <v/>
      </c>
      <c r="G94" s="6" t="str">
        <f t="shared" si="93"/>
        <v/>
      </c>
      <c r="H94" s="10" t="s">
        <v>22</v>
      </c>
    </row>
    <row r="95" spans="1:8" hidden="1" x14ac:dyDescent="0.25">
      <c r="A95" s="2">
        <f t="shared" si="52"/>
        <v>74</v>
      </c>
      <c r="B95" s="9" t="s">
        <v>20</v>
      </c>
      <c r="C95" s="6">
        <f t="shared" ref="C95:D95" si="94">IFERROR(IF(C83,C83+14,""),"")</f>
        <v>45820</v>
      </c>
      <c r="D95" s="6">
        <f t="shared" si="94"/>
        <v>45821</v>
      </c>
      <c r="E95" s="4"/>
      <c r="F95" s="6" t="str">
        <f t="shared" ref="F95:G95" si="95">IFERROR(IF(F83,F83+14,""),"")</f>
        <v/>
      </c>
      <c r="G95" s="6" t="str">
        <f t="shared" si="95"/>
        <v/>
      </c>
      <c r="H95" s="10"/>
    </row>
    <row r="96" spans="1:8" ht="30" hidden="1" x14ac:dyDescent="0.25">
      <c r="A96" s="2">
        <f t="shared" si="52"/>
        <v>75</v>
      </c>
      <c r="B96" s="9" t="s">
        <v>26</v>
      </c>
      <c r="C96" s="15">
        <v>45818</v>
      </c>
      <c r="D96" s="15" t="s">
        <v>41</v>
      </c>
      <c r="E96" s="4">
        <v>1058</v>
      </c>
      <c r="F96" s="6">
        <v>45831</v>
      </c>
      <c r="G96" s="6">
        <v>45831</v>
      </c>
      <c r="H96" s="17" t="s">
        <v>40</v>
      </c>
    </row>
    <row r="97" spans="1:8" hidden="1" x14ac:dyDescent="0.25">
      <c r="A97" s="58" t="s">
        <v>25</v>
      </c>
      <c r="B97" s="59"/>
      <c r="C97" s="59"/>
      <c r="D97" s="59"/>
      <c r="E97" s="59"/>
      <c r="F97" s="59"/>
      <c r="G97" s="59"/>
      <c r="H97" s="61"/>
    </row>
    <row r="98" spans="1:8" hidden="1" x14ac:dyDescent="0.25">
      <c r="A98" s="2">
        <f t="shared" si="52"/>
        <v>76</v>
      </c>
      <c r="B98" s="9" t="s">
        <v>19</v>
      </c>
      <c r="C98" s="6">
        <f>IFERROR(IF(C86,C86+14,""),"")</f>
        <v>45824</v>
      </c>
      <c r="D98" s="6">
        <f t="shared" ref="D98:D101" si="96">IFERROR(IF(D86,D86+14,""),"")</f>
        <v>45825</v>
      </c>
      <c r="E98" s="4"/>
      <c r="F98" s="6" t="str">
        <f t="shared" ref="F98:G98" si="97">IFERROR(IF(F86,F86+14,""),"")</f>
        <v/>
      </c>
      <c r="G98" s="6" t="str">
        <f t="shared" si="97"/>
        <v/>
      </c>
      <c r="H98" s="14" t="s">
        <v>22</v>
      </c>
    </row>
    <row r="99" spans="1:8" hidden="1" x14ac:dyDescent="0.25">
      <c r="A99" s="2">
        <f t="shared" si="52"/>
        <v>77</v>
      </c>
      <c r="B99" s="9" t="s">
        <v>17</v>
      </c>
      <c r="C99" s="6">
        <f t="shared" ref="C99:C101" si="98">IFERROR(IF(C87,C87+14,""),"")</f>
        <v>45824</v>
      </c>
      <c r="D99" s="6">
        <f t="shared" si="96"/>
        <v>45825</v>
      </c>
      <c r="E99" s="4">
        <v>2220</v>
      </c>
      <c r="F99" s="6">
        <f t="shared" ref="F99:G100" si="99">IFERROR(IF(F87,F87+14,""),"")</f>
        <v>45832</v>
      </c>
      <c r="G99" s="6">
        <f t="shared" si="99"/>
        <v>45832</v>
      </c>
      <c r="H99" s="10"/>
    </row>
    <row r="100" spans="1:8" hidden="1" x14ac:dyDescent="0.25">
      <c r="A100" s="2">
        <f t="shared" si="52"/>
        <v>78</v>
      </c>
      <c r="B100" s="9" t="s">
        <v>18</v>
      </c>
      <c r="C100" s="6">
        <f t="shared" si="98"/>
        <v>45827</v>
      </c>
      <c r="D100" s="6">
        <f t="shared" si="96"/>
        <v>45828</v>
      </c>
      <c r="E100" s="4">
        <v>4200</v>
      </c>
      <c r="F100" s="6">
        <v>45833</v>
      </c>
      <c r="G100" s="6">
        <f t="shared" si="99"/>
        <v>45834</v>
      </c>
      <c r="H100" s="10"/>
    </row>
    <row r="101" spans="1:8" hidden="1" x14ac:dyDescent="0.25">
      <c r="A101" s="2">
        <f t="shared" si="52"/>
        <v>79</v>
      </c>
      <c r="B101" s="9" t="s">
        <v>20</v>
      </c>
      <c r="C101" s="6">
        <f t="shared" si="98"/>
        <v>45827</v>
      </c>
      <c r="D101" s="6">
        <f t="shared" si="96"/>
        <v>45828</v>
      </c>
      <c r="E101" s="4"/>
      <c r="F101" s="6" t="str">
        <f t="shared" ref="F101:G101" si="100">IFERROR(IF(F89,F89+14,""),"")</f>
        <v/>
      </c>
      <c r="G101" s="6" t="str">
        <f t="shared" si="100"/>
        <v/>
      </c>
      <c r="H101" s="10"/>
    </row>
    <row r="102" spans="1:8" hidden="1" x14ac:dyDescent="0.25">
      <c r="A102" s="58" t="s">
        <v>25</v>
      </c>
      <c r="B102" s="59"/>
      <c r="C102" s="59"/>
      <c r="D102" s="59"/>
      <c r="E102" s="59"/>
      <c r="F102" s="59"/>
      <c r="G102" s="59"/>
      <c r="H102" s="61"/>
    </row>
    <row r="103" spans="1:8" ht="60" hidden="1" x14ac:dyDescent="0.25">
      <c r="A103" s="2">
        <f t="shared" si="52"/>
        <v>80</v>
      </c>
      <c r="B103" s="9" t="s">
        <v>15</v>
      </c>
      <c r="C103" s="6">
        <f>IFERROR(IF(C91,C91+14,""),"")</f>
        <v>45831</v>
      </c>
      <c r="D103" s="6">
        <f t="shared" ref="D103" si="101">IFERROR(IF(D91,D91+14,""),"")</f>
        <v>45832</v>
      </c>
      <c r="E103" s="4">
        <v>599</v>
      </c>
      <c r="F103" s="15">
        <v>45844</v>
      </c>
      <c r="G103" s="15">
        <v>45844</v>
      </c>
      <c r="H103" s="13" t="s">
        <v>43</v>
      </c>
    </row>
    <row r="104" spans="1:8" hidden="1" x14ac:dyDescent="0.25">
      <c r="A104" s="2">
        <f t="shared" si="52"/>
        <v>81</v>
      </c>
      <c r="B104" s="9" t="s">
        <v>17</v>
      </c>
      <c r="C104" s="6">
        <f t="shared" ref="C104:D104" si="102">IFERROR(IF(C92,C92+14,""),"")</f>
        <v>45831</v>
      </c>
      <c r="D104" s="6">
        <f t="shared" si="102"/>
        <v>45832</v>
      </c>
      <c r="E104" s="4">
        <v>0</v>
      </c>
      <c r="F104" s="6">
        <f t="shared" ref="F104:G104" si="103">IFERROR(IF(F92,F92+14,""),"")</f>
        <v>45839</v>
      </c>
      <c r="G104" s="6">
        <f t="shared" si="103"/>
        <v>45839</v>
      </c>
      <c r="H104" s="10" t="s">
        <v>42</v>
      </c>
    </row>
    <row r="105" spans="1:8" hidden="1" x14ac:dyDescent="0.25">
      <c r="A105" s="2">
        <f t="shared" si="52"/>
        <v>82</v>
      </c>
      <c r="B105" s="9" t="s">
        <v>18</v>
      </c>
      <c r="C105" s="6">
        <f t="shared" ref="C105:D105" si="104">IFERROR(IF(C93,C93+14,""),"")</f>
        <v>45834</v>
      </c>
      <c r="D105" s="6">
        <f t="shared" si="104"/>
        <v>45835</v>
      </c>
      <c r="E105" s="4">
        <v>0</v>
      </c>
      <c r="F105" s="6">
        <f t="shared" ref="F105:G105" si="105">IFERROR(IF(F93,F93+14,""),"")</f>
        <v>45840</v>
      </c>
      <c r="G105" s="6">
        <f t="shared" si="105"/>
        <v>45841</v>
      </c>
      <c r="H105" s="10" t="s">
        <v>28</v>
      </c>
    </row>
    <row r="106" spans="1:8" hidden="1" x14ac:dyDescent="0.25">
      <c r="A106" s="2">
        <f t="shared" si="52"/>
        <v>83</v>
      </c>
      <c r="B106" s="9" t="s">
        <v>19</v>
      </c>
      <c r="C106" s="6">
        <f t="shared" ref="C106" si="106">IFERROR(IF(C94,C94+14,""),"")</f>
        <v>45831</v>
      </c>
      <c r="D106" s="18">
        <v>45832</v>
      </c>
      <c r="E106" s="4">
        <v>149</v>
      </c>
      <c r="F106" s="6" t="str">
        <f t="shared" ref="F106:G106" si="107">IFERROR(IF(F94,F94+14,""),"")</f>
        <v/>
      </c>
      <c r="G106" s="6" t="str">
        <f t="shared" si="107"/>
        <v/>
      </c>
      <c r="H106" s="10" t="s">
        <v>22</v>
      </c>
    </row>
    <row r="107" spans="1:8" hidden="1" x14ac:dyDescent="0.25">
      <c r="A107" s="2">
        <f t="shared" si="52"/>
        <v>84</v>
      </c>
      <c r="B107" s="9" t="s">
        <v>20</v>
      </c>
      <c r="C107" s="6">
        <f t="shared" ref="C107:D107" si="108">IFERROR(IF(C95,C95+14,""),"")</f>
        <v>45834</v>
      </c>
      <c r="D107" s="6">
        <f t="shared" si="108"/>
        <v>45835</v>
      </c>
      <c r="E107" s="4"/>
      <c r="F107" s="6" t="str">
        <f t="shared" ref="F107:G108" si="109">IFERROR(IF(F95,F95+14,""),"")</f>
        <v/>
      </c>
      <c r="G107" s="6" t="str">
        <f t="shared" si="109"/>
        <v/>
      </c>
      <c r="H107" s="10"/>
    </row>
    <row r="108" spans="1:8" hidden="1" x14ac:dyDescent="0.25">
      <c r="A108" s="2">
        <f t="shared" si="52"/>
        <v>85</v>
      </c>
      <c r="B108" s="9" t="s">
        <v>26</v>
      </c>
      <c r="C108" s="18">
        <v>45834</v>
      </c>
      <c r="D108" s="15">
        <v>45839</v>
      </c>
      <c r="E108" s="4">
        <v>1399</v>
      </c>
      <c r="F108" s="6">
        <f t="shared" si="109"/>
        <v>45845</v>
      </c>
      <c r="G108" s="6">
        <f t="shared" si="109"/>
        <v>45845</v>
      </c>
      <c r="H108" s="17"/>
    </row>
    <row r="109" spans="1:8" hidden="1" x14ac:dyDescent="0.25">
      <c r="A109" s="58" t="s">
        <v>25</v>
      </c>
      <c r="B109" s="59"/>
      <c r="C109" s="59"/>
      <c r="D109" s="59"/>
      <c r="E109" s="59"/>
      <c r="F109" s="59"/>
      <c r="G109" s="59"/>
      <c r="H109" s="61"/>
    </row>
    <row r="110" spans="1:8" ht="60" hidden="1" x14ac:dyDescent="0.25">
      <c r="A110" s="2">
        <f t="shared" si="52"/>
        <v>86</v>
      </c>
      <c r="B110" s="9" t="s">
        <v>15</v>
      </c>
      <c r="C110" s="6">
        <f>IFERROR(IF(C103,C103+7,""),"")</f>
        <v>45838</v>
      </c>
      <c r="D110" s="15">
        <f>IFERROR(IF(D103,D103+7,""),"")</f>
        <v>45839</v>
      </c>
      <c r="E110" s="4">
        <v>239</v>
      </c>
      <c r="F110" s="15">
        <v>45844</v>
      </c>
      <c r="G110" s="15">
        <v>45844</v>
      </c>
      <c r="H110" s="13" t="s">
        <v>44</v>
      </c>
    </row>
    <row r="111" spans="1:8" hidden="1" x14ac:dyDescent="0.25">
      <c r="A111" s="2">
        <f t="shared" si="52"/>
        <v>87</v>
      </c>
      <c r="B111" s="9" t="s">
        <v>17</v>
      </c>
      <c r="C111" s="6">
        <f t="shared" ref="C111:D111" si="110">IFERROR(IF(C104,C104+7,""),"")</f>
        <v>45838</v>
      </c>
      <c r="D111" s="6">
        <f t="shared" si="110"/>
        <v>45839</v>
      </c>
      <c r="E111" s="4">
        <v>2505</v>
      </c>
      <c r="F111" s="6">
        <f t="shared" ref="F111:G111" si="111">IFERROR(IF(F99,F99+14,""),"")</f>
        <v>45846</v>
      </c>
      <c r="G111" s="6">
        <f t="shared" si="111"/>
        <v>45846</v>
      </c>
      <c r="H111" s="10"/>
    </row>
    <row r="112" spans="1:8" hidden="1" x14ac:dyDescent="0.25">
      <c r="A112" s="2">
        <f t="shared" si="52"/>
        <v>88</v>
      </c>
      <c r="B112" s="9" t="s">
        <v>18</v>
      </c>
      <c r="C112" s="6">
        <f t="shared" ref="C112:D112" si="112">IFERROR(IF(C105,C105+7,""),"")</f>
        <v>45841</v>
      </c>
      <c r="D112" s="6">
        <f t="shared" si="112"/>
        <v>45842</v>
      </c>
      <c r="E112" s="4">
        <v>9750</v>
      </c>
      <c r="F112" s="6">
        <f t="shared" ref="F112:G112" si="113">IFERROR(IF(F100,F100+14,""),"")</f>
        <v>45847</v>
      </c>
      <c r="G112" s="6">
        <f t="shared" si="113"/>
        <v>45848</v>
      </c>
      <c r="H112" s="10"/>
    </row>
    <row r="113" spans="1:8" hidden="1" x14ac:dyDescent="0.25">
      <c r="A113" s="2">
        <f t="shared" si="52"/>
        <v>89</v>
      </c>
      <c r="B113" s="9" t="s">
        <v>19</v>
      </c>
      <c r="C113" s="6">
        <f t="shared" ref="C113:D113" si="114">IFERROR(IF(C106,C106+7,""),"")</f>
        <v>45838</v>
      </c>
      <c r="D113" s="6">
        <f t="shared" si="114"/>
        <v>45839</v>
      </c>
      <c r="E113" s="4">
        <v>212</v>
      </c>
      <c r="F113" s="6" t="str">
        <f t="shared" ref="F113:G113" si="115">IFERROR(IF(F101,F101+14,""),"")</f>
        <v/>
      </c>
      <c r="G113" s="6" t="str">
        <f t="shared" si="115"/>
        <v/>
      </c>
      <c r="H113" s="10" t="s">
        <v>22</v>
      </c>
    </row>
    <row r="114" spans="1:8" hidden="1" x14ac:dyDescent="0.25">
      <c r="A114" s="2">
        <f t="shared" si="52"/>
        <v>90</v>
      </c>
      <c r="B114" s="9" t="s">
        <v>20</v>
      </c>
      <c r="C114" s="6">
        <f t="shared" ref="C114:D115" si="116">IFERROR(IF(C107,C107+7,""),"")</f>
        <v>45841</v>
      </c>
      <c r="D114" s="6">
        <f t="shared" si="116"/>
        <v>45842</v>
      </c>
      <c r="E114" s="4"/>
      <c r="F114" s="6" t="str">
        <f t="shared" ref="F114:G114" si="117">IFERROR(IF(F102,F102+14,""),"")</f>
        <v/>
      </c>
      <c r="G114" s="6" t="str">
        <f t="shared" si="117"/>
        <v/>
      </c>
      <c r="H114" s="10"/>
    </row>
    <row r="115" spans="1:8" hidden="1" x14ac:dyDescent="0.25">
      <c r="A115" s="2">
        <f t="shared" si="52"/>
        <v>91</v>
      </c>
      <c r="B115" s="9" t="s">
        <v>26</v>
      </c>
      <c r="C115" s="6">
        <f t="shared" si="116"/>
        <v>45841</v>
      </c>
      <c r="D115" s="15">
        <v>45845</v>
      </c>
      <c r="E115" s="4">
        <v>1714</v>
      </c>
      <c r="F115" s="6">
        <v>45852</v>
      </c>
      <c r="G115" s="6">
        <v>45852</v>
      </c>
      <c r="H115" s="10"/>
    </row>
    <row r="116" spans="1:8" hidden="1" x14ac:dyDescent="0.25">
      <c r="A116" s="58" t="s">
        <v>25</v>
      </c>
      <c r="B116" s="59"/>
      <c r="C116" s="59"/>
      <c r="D116" s="59"/>
      <c r="E116" s="59"/>
      <c r="F116" s="59"/>
      <c r="G116" s="59"/>
      <c r="H116" s="61"/>
    </row>
    <row r="117" spans="1:8" hidden="1" x14ac:dyDescent="0.25">
      <c r="A117" s="2">
        <f t="shared" si="52"/>
        <v>92</v>
      </c>
      <c r="B117" s="9" t="s">
        <v>19</v>
      </c>
      <c r="C117" s="6">
        <v>45845</v>
      </c>
      <c r="D117" s="6">
        <v>45846</v>
      </c>
      <c r="E117" s="4">
        <v>185</v>
      </c>
      <c r="F117" s="6"/>
      <c r="G117" s="6"/>
      <c r="H117" s="14" t="s">
        <v>22</v>
      </c>
    </row>
    <row r="118" spans="1:8" hidden="1" x14ac:dyDescent="0.25">
      <c r="A118" s="2">
        <f t="shared" si="52"/>
        <v>93</v>
      </c>
      <c r="B118" s="9" t="s">
        <v>17</v>
      </c>
      <c r="C118" s="6">
        <f t="shared" ref="C118:C119" si="118">IFERROR(IF(C106,C106+14,""),"")</f>
        <v>45845</v>
      </c>
      <c r="D118" s="6">
        <f t="shared" ref="D118:D119" si="119">IFERROR(IF(D106,D106+14,""),"")</f>
        <v>45846</v>
      </c>
      <c r="E118" s="4">
        <v>3265</v>
      </c>
      <c r="F118" s="6">
        <v>45853</v>
      </c>
      <c r="G118" s="6">
        <v>45853</v>
      </c>
      <c r="H118" s="10"/>
    </row>
    <row r="119" spans="1:8" hidden="1" x14ac:dyDescent="0.25">
      <c r="A119" s="2">
        <f t="shared" si="52"/>
        <v>94</v>
      </c>
      <c r="B119" s="9" t="s">
        <v>18</v>
      </c>
      <c r="C119" s="6">
        <f t="shared" si="118"/>
        <v>45848</v>
      </c>
      <c r="D119" s="6">
        <f t="shared" si="119"/>
        <v>45849</v>
      </c>
      <c r="E119" s="4">
        <v>9500</v>
      </c>
      <c r="F119" s="6">
        <v>45854</v>
      </c>
      <c r="G119" s="6">
        <v>45855</v>
      </c>
      <c r="H119" s="10"/>
    </row>
    <row r="120" spans="1:8" hidden="1" x14ac:dyDescent="0.25">
      <c r="A120" s="2">
        <f t="shared" si="52"/>
        <v>95</v>
      </c>
      <c r="B120" s="9" t="s">
        <v>20</v>
      </c>
      <c r="C120" s="6">
        <v>45848</v>
      </c>
      <c r="D120" s="6">
        <v>45849</v>
      </c>
      <c r="E120" s="4"/>
      <c r="F120" s="6"/>
      <c r="G120" s="6"/>
      <c r="H120" s="10"/>
    </row>
    <row r="121" spans="1:8" hidden="1" x14ac:dyDescent="0.25">
      <c r="A121" s="58" t="s">
        <v>25</v>
      </c>
      <c r="B121" s="59"/>
      <c r="C121" s="59"/>
      <c r="D121" s="59"/>
      <c r="E121" s="59"/>
      <c r="F121" s="59"/>
      <c r="G121" s="59"/>
      <c r="H121" s="61"/>
    </row>
    <row r="122" spans="1:8" hidden="1" x14ac:dyDescent="0.25">
      <c r="A122" s="2">
        <f t="shared" ref="A122:A127" si="120">MAX(A110:A121)+1</f>
        <v>96</v>
      </c>
      <c r="B122" s="9" t="s">
        <v>15</v>
      </c>
      <c r="C122" s="6">
        <f>IFERROR(IF(C110,C110+14,""),"")</f>
        <v>45852</v>
      </c>
      <c r="D122" s="6">
        <f t="shared" ref="D122:D126" si="121">IFERROR(IF(D110,D110+14,""),"")</f>
        <v>45853</v>
      </c>
      <c r="E122" s="4">
        <v>1560</v>
      </c>
      <c r="F122" s="6">
        <v>45859</v>
      </c>
      <c r="G122" s="6">
        <v>45859</v>
      </c>
      <c r="H122" s="13"/>
    </row>
    <row r="123" spans="1:8" hidden="1" x14ac:dyDescent="0.25">
      <c r="A123" s="2">
        <f t="shared" si="120"/>
        <v>97</v>
      </c>
      <c r="B123" s="9" t="s">
        <v>17</v>
      </c>
      <c r="C123" s="6">
        <f t="shared" ref="C123:C126" si="122">IFERROR(IF(C111,C111+14,""),"")</f>
        <v>45852</v>
      </c>
      <c r="D123" s="6">
        <f t="shared" si="121"/>
        <v>45853</v>
      </c>
      <c r="E123" s="4">
        <v>2300</v>
      </c>
      <c r="F123" s="6">
        <f t="shared" ref="F123:G127" si="123">IFERROR(IF(F111,F111+14,""),"")</f>
        <v>45860</v>
      </c>
      <c r="G123" s="6">
        <f t="shared" si="123"/>
        <v>45860</v>
      </c>
      <c r="H123" s="10"/>
    </row>
    <row r="124" spans="1:8" hidden="1" x14ac:dyDescent="0.25">
      <c r="A124" s="2">
        <f t="shared" si="120"/>
        <v>98</v>
      </c>
      <c r="B124" s="9" t="s">
        <v>18</v>
      </c>
      <c r="C124" s="6">
        <f t="shared" si="122"/>
        <v>45855</v>
      </c>
      <c r="D124" s="6">
        <f t="shared" si="121"/>
        <v>45856</v>
      </c>
      <c r="E124" s="4">
        <v>9000</v>
      </c>
      <c r="F124" s="6">
        <f t="shared" si="123"/>
        <v>45861</v>
      </c>
      <c r="G124" s="6">
        <f t="shared" si="123"/>
        <v>45862</v>
      </c>
      <c r="H124" s="10"/>
    </row>
    <row r="125" spans="1:8" hidden="1" x14ac:dyDescent="0.25">
      <c r="A125" s="2">
        <f t="shared" si="120"/>
        <v>99</v>
      </c>
      <c r="B125" s="9" t="s">
        <v>19</v>
      </c>
      <c r="C125" s="6">
        <f t="shared" si="122"/>
        <v>45852</v>
      </c>
      <c r="D125" s="6">
        <f t="shared" si="121"/>
        <v>45853</v>
      </c>
      <c r="E125" s="4">
        <v>241</v>
      </c>
      <c r="F125" s="6" t="str">
        <f t="shared" si="123"/>
        <v/>
      </c>
      <c r="G125" s="6" t="str">
        <f t="shared" si="123"/>
        <v/>
      </c>
      <c r="H125" s="10" t="s">
        <v>22</v>
      </c>
    </row>
    <row r="126" spans="1:8" hidden="1" x14ac:dyDescent="0.25">
      <c r="A126" s="2">
        <f t="shared" si="120"/>
        <v>100</v>
      </c>
      <c r="B126" s="9" t="s">
        <v>20</v>
      </c>
      <c r="C126" s="6">
        <f t="shared" si="122"/>
        <v>45855</v>
      </c>
      <c r="D126" s="6">
        <f t="shared" si="121"/>
        <v>45856</v>
      </c>
      <c r="E126" s="4"/>
      <c r="F126" s="6" t="str">
        <f t="shared" si="123"/>
        <v/>
      </c>
      <c r="G126" s="6" t="str">
        <f t="shared" si="123"/>
        <v/>
      </c>
      <c r="H126" s="10"/>
    </row>
    <row r="127" spans="1:8" hidden="1" x14ac:dyDescent="0.25">
      <c r="A127" s="2">
        <f t="shared" si="120"/>
        <v>101</v>
      </c>
      <c r="B127" s="9" t="s">
        <v>26</v>
      </c>
      <c r="C127" s="6">
        <f>IFERROR(IF(C115,C115+14,""),"")</f>
        <v>45855</v>
      </c>
      <c r="D127" s="20">
        <v>45856</v>
      </c>
      <c r="E127" s="4">
        <v>1044</v>
      </c>
      <c r="F127" s="6">
        <f t="shared" si="123"/>
        <v>45866</v>
      </c>
      <c r="G127" s="6">
        <f t="shared" si="123"/>
        <v>45866</v>
      </c>
      <c r="H127" s="10"/>
    </row>
    <row r="128" spans="1:8" hidden="1" x14ac:dyDescent="0.25">
      <c r="A128" s="58" t="s">
        <v>25</v>
      </c>
      <c r="B128" s="59"/>
      <c r="C128" s="59"/>
      <c r="D128" s="59"/>
      <c r="E128" s="59"/>
      <c r="F128" s="59"/>
      <c r="G128" s="59"/>
      <c r="H128" s="61"/>
    </row>
    <row r="129" spans="1:8" hidden="1" x14ac:dyDescent="0.25">
      <c r="A129" s="2">
        <f t="shared" ref="A129:A132" si="124">MAX(A117:A128)+1</f>
        <v>102</v>
      </c>
      <c r="B129" s="9" t="s">
        <v>19</v>
      </c>
      <c r="C129" s="6">
        <f>IFERROR(IF(C117,C117+14,""),"")</f>
        <v>45859</v>
      </c>
      <c r="D129" s="6">
        <f t="shared" ref="D129:D132" si="125">IFERROR(IF(D117,D117+14,""),"")</f>
        <v>45860</v>
      </c>
      <c r="E129" s="4">
        <v>0</v>
      </c>
      <c r="F129" s="6" t="str">
        <f t="shared" ref="F129:G132" si="126">IFERROR(IF(F117,F117+14,""),"")</f>
        <v/>
      </c>
      <c r="G129" s="6" t="str">
        <f t="shared" si="126"/>
        <v/>
      </c>
      <c r="H129" s="19" t="s">
        <v>22</v>
      </c>
    </row>
    <row r="130" spans="1:8" hidden="1" x14ac:dyDescent="0.25">
      <c r="A130" s="2">
        <f t="shared" si="124"/>
        <v>103</v>
      </c>
      <c r="B130" s="9" t="s">
        <v>17</v>
      </c>
      <c r="C130" s="6">
        <f t="shared" ref="C130:C132" si="127">IFERROR(IF(C118,C118+14,""),"")</f>
        <v>45859</v>
      </c>
      <c r="D130" s="6">
        <f t="shared" si="125"/>
        <v>45860</v>
      </c>
      <c r="E130" s="4">
        <v>2880</v>
      </c>
      <c r="F130" s="6">
        <f t="shared" si="126"/>
        <v>45867</v>
      </c>
      <c r="G130" s="6">
        <f t="shared" si="126"/>
        <v>45867</v>
      </c>
      <c r="H130" s="10"/>
    </row>
    <row r="131" spans="1:8" hidden="1" x14ac:dyDescent="0.25">
      <c r="A131" s="2">
        <f t="shared" si="124"/>
        <v>104</v>
      </c>
      <c r="B131" s="9" t="s">
        <v>18</v>
      </c>
      <c r="C131" s="6">
        <f t="shared" si="127"/>
        <v>45862</v>
      </c>
      <c r="D131" s="6">
        <f t="shared" si="125"/>
        <v>45863</v>
      </c>
      <c r="E131" s="4">
        <v>9080</v>
      </c>
      <c r="F131" s="6">
        <f t="shared" si="126"/>
        <v>45868</v>
      </c>
      <c r="G131" s="6">
        <f t="shared" si="126"/>
        <v>45869</v>
      </c>
      <c r="H131" s="10"/>
    </row>
    <row r="132" spans="1:8" hidden="1" x14ac:dyDescent="0.25">
      <c r="A132" s="2">
        <f t="shared" si="124"/>
        <v>105</v>
      </c>
      <c r="B132" s="9" t="s">
        <v>20</v>
      </c>
      <c r="C132" s="6">
        <f t="shared" si="127"/>
        <v>45862</v>
      </c>
      <c r="D132" s="6">
        <f t="shared" si="125"/>
        <v>45863</v>
      </c>
      <c r="E132" s="4"/>
      <c r="F132" s="6" t="str">
        <f t="shared" si="126"/>
        <v/>
      </c>
      <c r="G132" s="6" t="str">
        <f t="shared" si="126"/>
        <v/>
      </c>
      <c r="H132" s="10"/>
    </row>
    <row r="133" spans="1:8" hidden="1" x14ac:dyDescent="0.25">
      <c r="A133" s="58" t="s">
        <v>25</v>
      </c>
      <c r="B133" s="59"/>
      <c r="C133" s="59"/>
      <c r="D133" s="59"/>
      <c r="E133" s="59"/>
      <c r="F133" s="59"/>
      <c r="G133" s="59"/>
      <c r="H133" s="61"/>
    </row>
    <row r="134" spans="1:8" hidden="1" x14ac:dyDescent="0.25">
      <c r="A134" s="2">
        <f t="shared" ref="A134:A139" si="128">MAX(A122:A133)+1</f>
        <v>106</v>
      </c>
      <c r="B134" s="9" t="s">
        <v>15</v>
      </c>
      <c r="C134" s="6">
        <f>IFERROR(IF(C122,C122+14,""),"")</f>
        <v>45866</v>
      </c>
      <c r="D134" s="6">
        <f t="shared" ref="D134:D138" si="129">IFERROR(IF(D122,D122+14,""),"")</f>
        <v>45867</v>
      </c>
      <c r="E134" s="4">
        <v>1967</v>
      </c>
      <c r="F134" s="6">
        <f t="shared" ref="F134:G139" si="130">IFERROR(IF(F122,F122+14,""),"")</f>
        <v>45873</v>
      </c>
      <c r="G134" s="6">
        <f t="shared" si="130"/>
        <v>45873</v>
      </c>
      <c r="H134" s="13"/>
    </row>
    <row r="135" spans="1:8" hidden="1" x14ac:dyDescent="0.25">
      <c r="A135" s="2">
        <f t="shared" si="128"/>
        <v>107</v>
      </c>
      <c r="B135" s="9" t="s">
        <v>17</v>
      </c>
      <c r="C135" s="6">
        <f t="shared" ref="C135:C139" si="131">IFERROR(IF(C123,C123+14,""),"")</f>
        <v>45866</v>
      </c>
      <c r="D135" s="6">
        <f t="shared" si="129"/>
        <v>45867</v>
      </c>
      <c r="E135" s="4">
        <v>3000</v>
      </c>
      <c r="F135" s="6">
        <f t="shared" si="130"/>
        <v>45874</v>
      </c>
      <c r="G135" s="6">
        <f t="shared" si="130"/>
        <v>45874</v>
      </c>
      <c r="H135" s="10"/>
    </row>
    <row r="136" spans="1:8" hidden="1" x14ac:dyDescent="0.25">
      <c r="A136" s="2">
        <f t="shared" si="128"/>
        <v>108</v>
      </c>
      <c r="B136" s="9" t="s">
        <v>18</v>
      </c>
      <c r="C136" s="6">
        <f t="shared" si="131"/>
        <v>45869</v>
      </c>
      <c r="D136" s="6">
        <f t="shared" si="129"/>
        <v>45870</v>
      </c>
      <c r="E136" s="4">
        <v>8400</v>
      </c>
      <c r="F136" s="6">
        <f t="shared" si="130"/>
        <v>45875</v>
      </c>
      <c r="G136" s="6">
        <f t="shared" si="130"/>
        <v>45876</v>
      </c>
      <c r="H136" s="10"/>
    </row>
    <row r="137" spans="1:8" hidden="1" x14ac:dyDescent="0.25">
      <c r="A137" s="2">
        <f t="shared" si="128"/>
        <v>109</v>
      </c>
      <c r="B137" s="9" t="s">
        <v>19</v>
      </c>
      <c r="C137" s="6">
        <f t="shared" si="131"/>
        <v>45866</v>
      </c>
      <c r="D137" s="6">
        <f t="shared" si="129"/>
        <v>45867</v>
      </c>
      <c r="E137" s="4">
        <v>263</v>
      </c>
      <c r="F137" s="6" t="str">
        <f t="shared" si="130"/>
        <v/>
      </c>
      <c r="G137" s="6" t="str">
        <f t="shared" si="130"/>
        <v/>
      </c>
      <c r="H137" s="10" t="s">
        <v>22</v>
      </c>
    </row>
    <row r="138" spans="1:8" hidden="1" x14ac:dyDescent="0.25">
      <c r="A138" s="2">
        <f t="shared" si="128"/>
        <v>110</v>
      </c>
      <c r="B138" s="9" t="s">
        <v>20</v>
      </c>
      <c r="C138" s="6">
        <f t="shared" si="131"/>
        <v>45869</v>
      </c>
      <c r="D138" s="6">
        <f t="shared" si="129"/>
        <v>45870</v>
      </c>
      <c r="E138" s="4"/>
      <c r="F138" s="6" t="str">
        <f t="shared" si="130"/>
        <v/>
      </c>
      <c r="G138" s="6" t="str">
        <f t="shared" si="130"/>
        <v/>
      </c>
      <c r="H138" s="10"/>
    </row>
    <row r="139" spans="1:8" hidden="1" x14ac:dyDescent="0.25">
      <c r="A139" s="2">
        <f t="shared" si="128"/>
        <v>111</v>
      </c>
      <c r="B139" s="9" t="s">
        <v>26</v>
      </c>
      <c r="C139" s="6">
        <f t="shared" si="131"/>
        <v>45869</v>
      </c>
      <c r="D139" s="6">
        <f>IFERROR(IF(D127,D127+14,""),"")</f>
        <v>45870</v>
      </c>
      <c r="E139" s="4">
        <v>2601</v>
      </c>
      <c r="F139" s="6">
        <f t="shared" si="130"/>
        <v>45880</v>
      </c>
      <c r="G139" s="6">
        <f t="shared" si="130"/>
        <v>45880</v>
      </c>
      <c r="H139" s="21" t="s">
        <v>45</v>
      </c>
    </row>
    <row r="140" spans="1:8" hidden="1" x14ac:dyDescent="0.25">
      <c r="A140" s="58" t="s">
        <v>25</v>
      </c>
      <c r="B140" s="59"/>
      <c r="C140" s="59"/>
      <c r="D140" s="59"/>
      <c r="E140" s="59"/>
      <c r="F140" s="59"/>
      <c r="G140" s="59"/>
      <c r="H140" s="61"/>
    </row>
    <row r="141" spans="1:8" hidden="1" x14ac:dyDescent="0.25">
      <c r="A141" s="2">
        <f t="shared" ref="A141:A144" si="132">MAX(A129:A140)+1</f>
        <v>112</v>
      </c>
      <c r="B141" s="9" t="s">
        <v>19</v>
      </c>
      <c r="C141" s="6">
        <f>IFERROR(IF(C129,C129+14,""),"")</f>
        <v>45873</v>
      </c>
      <c r="D141" s="6">
        <f t="shared" ref="D141:D144" si="133">IFERROR(IF(D129,D129+14,""),"")</f>
        <v>45874</v>
      </c>
      <c r="E141" s="4">
        <v>195</v>
      </c>
      <c r="F141" s="6" t="str">
        <f t="shared" ref="F141:G141" si="134">IFERROR(IF(F129,F129+14,""),"")</f>
        <v/>
      </c>
      <c r="G141" s="6" t="str">
        <f t="shared" si="134"/>
        <v/>
      </c>
      <c r="H141" s="19" t="s">
        <v>22</v>
      </c>
    </row>
    <row r="142" spans="1:8" hidden="1" x14ac:dyDescent="0.25">
      <c r="A142" s="2">
        <f t="shared" si="132"/>
        <v>113</v>
      </c>
      <c r="B142" s="9" t="s">
        <v>17</v>
      </c>
      <c r="C142" s="6">
        <f t="shared" ref="C142:C144" si="135">IFERROR(IF(C130,C130+14,""),"")</f>
        <v>45873</v>
      </c>
      <c r="D142" s="6">
        <f t="shared" si="133"/>
        <v>45874</v>
      </c>
      <c r="E142" s="4">
        <v>2704</v>
      </c>
      <c r="F142" s="6">
        <f t="shared" ref="F142:G142" si="136">IFERROR(IF(F130,F130+14,""),"")</f>
        <v>45881</v>
      </c>
      <c r="G142" s="6">
        <f t="shared" si="136"/>
        <v>45881</v>
      </c>
      <c r="H142" s="10"/>
    </row>
    <row r="143" spans="1:8" hidden="1" x14ac:dyDescent="0.25">
      <c r="A143" s="2">
        <f t="shared" si="132"/>
        <v>114</v>
      </c>
      <c r="B143" s="9" t="s">
        <v>18</v>
      </c>
      <c r="C143" s="6">
        <f t="shared" si="135"/>
        <v>45876</v>
      </c>
      <c r="D143" s="6">
        <f t="shared" si="133"/>
        <v>45877</v>
      </c>
      <c r="E143" s="4">
        <v>5700</v>
      </c>
      <c r="F143" s="6">
        <f t="shared" ref="F143:G143" si="137">IFERROR(IF(F131,F131+14,""),"")</f>
        <v>45882</v>
      </c>
      <c r="G143" s="6">
        <f t="shared" si="137"/>
        <v>45883</v>
      </c>
      <c r="H143" s="10"/>
    </row>
    <row r="144" spans="1:8" hidden="1" x14ac:dyDescent="0.25">
      <c r="A144" s="2">
        <f t="shared" si="132"/>
        <v>115</v>
      </c>
      <c r="B144" s="9" t="s">
        <v>20</v>
      </c>
      <c r="C144" s="6">
        <f t="shared" si="135"/>
        <v>45876</v>
      </c>
      <c r="D144" s="6">
        <f t="shared" si="133"/>
        <v>45877</v>
      </c>
      <c r="E144" s="4"/>
      <c r="F144" s="6" t="str">
        <f t="shared" ref="F144:G144" si="138">IFERROR(IF(F132,F132+14,""),"")</f>
        <v/>
      </c>
      <c r="G144" s="6" t="str">
        <f t="shared" si="138"/>
        <v/>
      </c>
      <c r="H144" s="10"/>
    </row>
    <row r="145" spans="1:8" hidden="1" x14ac:dyDescent="0.25">
      <c r="A145" s="58" t="s">
        <v>25</v>
      </c>
      <c r="B145" s="59"/>
      <c r="C145" s="59"/>
      <c r="D145" s="59"/>
      <c r="E145" s="60"/>
      <c r="F145" s="59"/>
      <c r="G145" s="59"/>
      <c r="H145" s="61"/>
    </row>
    <row r="146" spans="1:8" hidden="1" x14ac:dyDescent="0.25">
      <c r="A146" s="2">
        <f t="shared" ref="A146:A151" si="139">MAX(A134:A145)+1</f>
        <v>116</v>
      </c>
      <c r="B146" s="9" t="s">
        <v>15</v>
      </c>
      <c r="C146" s="6">
        <f>IFERROR(IF(C134,C134+14,""),"")</f>
        <v>45880</v>
      </c>
      <c r="D146" s="6">
        <f t="shared" ref="D146:D150" si="140">IFERROR(IF(D134,D134+14,""),"")</f>
        <v>45881</v>
      </c>
      <c r="E146" s="4">
        <v>1608</v>
      </c>
      <c r="F146" s="6">
        <f t="shared" ref="F146:G146" si="141">IFERROR(IF(F134,F134+14,""),"")</f>
        <v>45887</v>
      </c>
      <c r="G146" s="6">
        <f t="shared" si="141"/>
        <v>45887</v>
      </c>
      <c r="H146" s="13"/>
    </row>
    <row r="147" spans="1:8" hidden="1" x14ac:dyDescent="0.25">
      <c r="A147" s="2">
        <f t="shared" si="139"/>
        <v>117</v>
      </c>
      <c r="B147" s="9" t="s">
        <v>17</v>
      </c>
      <c r="C147" s="6">
        <f t="shared" ref="C147:C151" si="142">IFERROR(IF(C135,C135+14,""),"")</f>
        <v>45880</v>
      </c>
      <c r="D147" s="6">
        <f t="shared" si="140"/>
        <v>45881</v>
      </c>
      <c r="E147" s="4">
        <v>3676</v>
      </c>
      <c r="F147" s="6">
        <f t="shared" ref="F147:G147" si="143">IFERROR(IF(F135,F135+14,""),"")</f>
        <v>45888</v>
      </c>
      <c r="G147" s="6">
        <f t="shared" si="143"/>
        <v>45888</v>
      </c>
      <c r="H147" s="10"/>
    </row>
    <row r="148" spans="1:8" hidden="1" x14ac:dyDescent="0.25">
      <c r="A148" s="2">
        <f t="shared" si="139"/>
        <v>118</v>
      </c>
      <c r="B148" s="9" t="s">
        <v>18</v>
      </c>
      <c r="C148" s="6">
        <f t="shared" si="142"/>
        <v>45883</v>
      </c>
      <c r="D148" s="6">
        <f t="shared" si="140"/>
        <v>45884</v>
      </c>
      <c r="E148" s="4">
        <v>5900</v>
      </c>
      <c r="F148" s="6">
        <f t="shared" ref="F148:G148" si="144">IFERROR(IF(F136,F136+14,""),"")</f>
        <v>45889</v>
      </c>
      <c r="G148" s="6">
        <f t="shared" si="144"/>
        <v>45890</v>
      </c>
      <c r="H148" s="10"/>
    </row>
    <row r="149" spans="1:8" hidden="1" x14ac:dyDescent="0.25">
      <c r="A149" s="2">
        <f t="shared" si="139"/>
        <v>119</v>
      </c>
      <c r="B149" s="9" t="s">
        <v>19</v>
      </c>
      <c r="C149" s="6">
        <f t="shared" si="142"/>
        <v>45880</v>
      </c>
      <c r="D149" s="6">
        <f t="shared" si="140"/>
        <v>45881</v>
      </c>
      <c r="E149" s="4"/>
      <c r="F149" s="6" t="str">
        <f t="shared" ref="F149:G149" si="145">IFERROR(IF(F137,F137+14,""),"")</f>
        <v/>
      </c>
      <c r="G149" s="6" t="str">
        <f t="shared" si="145"/>
        <v/>
      </c>
      <c r="H149" s="10" t="s">
        <v>22</v>
      </c>
    </row>
    <row r="150" spans="1:8" hidden="1" x14ac:dyDescent="0.25">
      <c r="A150" s="23">
        <f t="shared" si="139"/>
        <v>120</v>
      </c>
      <c r="B150" s="24" t="s">
        <v>20</v>
      </c>
      <c r="C150" s="20">
        <f t="shared" si="142"/>
        <v>45883</v>
      </c>
      <c r="D150" s="20">
        <f t="shared" si="140"/>
        <v>45884</v>
      </c>
      <c r="E150" s="25"/>
      <c r="F150" s="20" t="str">
        <f t="shared" ref="F150:G150" si="146">IFERROR(IF(F138,F138+14,""),"")</f>
        <v/>
      </c>
      <c r="G150" s="20" t="str">
        <f t="shared" si="146"/>
        <v/>
      </c>
      <c r="H150" s="26" t="s">
        <v>47</v>
      </c>
    </row>
    <row r="151" spans="1:8" hidden="1" x14ac:dyDescent="0.25">
      <c r="A151" s="2">
        <f t="shared" si="139"/>
        <v>121</v>
      </c>
      <c r="B151" s="9" t="s">
        <v>26</v>
      </c>
      <c r="C151" s="6">
        <f t="shared" si="142"/>
        <v>45883</v>
      </c>
      <c r="D151" s="6">
        <f>IFERROR(IF(D139,D139+14,""),"")</f>
        <v>45884</v>
      </c>
      <c r="E151" s="4">
        <v>2794</v>
      </c>
      <c r="F151" s="6">
        <f t="shared" ref="F151:G151" si="147">IFERROR(IF(F139,F139+14,""),"")</f>
        <v>45894</v>
      </c>
      <c r="G151" s="6">
        <f t="shared" si="147"/>
        <v>45894</v>
      </c>
      <c r="H151" s="22" t="s">
        <v>46</v>
      </c>
    </row>
    <row r="152" spans="1:8" hidden="1" x14ac:dyDescent="0.25">
      <c r="A152" s="58" t="s">
        <v>25</v>
      </c>
      <c r="B152" s="59"/>
      <c r="C152" s="59"/>
      <c r="D152" s="59"/>
      <c r="E152" s="60"/>
      <c r="F152" s="59"/>
      <c r="G152" s="59"/>
      <c r="H152" s="61"/>
    </row>
    <row r="153" spans="1:8" hidden="1" x14ac:dyDescent="0.25">
      <c r="A153" s="2">
        <f t="shared" ref="A153:A155" si="148">MAX(A141:A152)+1</f>
        <v>122</v>
      </c>
      <c r="B153" s="9" t="s">
        <v>19</v>
      </c>
      <c r="C153" s="6">
        <f>IFERROR(IF(C141,C141+14,""),"")</f>
        <v>45887</v>
      </c>
      <c r="D153" s="6">
        <f t="shared" ref="D153:D155" si="149">IFERROR(IF(D141,D141+14,""),"")</f>
        <v>45888</v>
      </c>
      <c r="E153" s="4"/>
      <c r="F153" s="6" t="str">
        <f t="shared" ref="F153:G153" si="150">IFERROR(IF(F141,F141+14,""),"")</f>
        <v/>
      </c>
      <c r="G153" s="6" t="str">
        <f t="shared" si="150"/>
        <v/>
      </c>
      <c r="H153" s="19" t="s">
        <v>22</v>
      </c>
    </row>
    <row r="154" spans="1:8" hidden="1" x14ac:dyDescent="0.25">
      <c r="A154" s="2">
        <f t="shared" si="148"/>
        <v>123</v>
      </c>
      <c r="B154" s="9" t="s">
        <v>17</v>
      </c>
      <c r="C154" s="6">
        <f t="shared" ref="C154:C155" si="151">IFERROR(IF(C142,C142+14,""),"")</f>
        <v>45887</v>
      </c>
      <c r="D154" s="6">
        <f t="shared" si="149"/>
        <v>45888</v>
      </c>
      <c r="E154" s="4">
        <v>3656</v>
      </c>
      <c r="F154" s="6">
        <f t="shared" ref="F154:G154" si="152">IFERROR(IF(F142,F142+14,""),"")</f>
        <v>45895</v>
      </c>
      <c r="G154" s="6">
        <f t="shared" si="152"/>
        <v>45895</v>
      </c>
      <c r="H154" s="10"/>
    </row>
    <row r="155" spans="1:8" hidden="1" x14ac:dyDescent="0.25">
      <c r="A155" s="2">
        <f t="shared" si="148"/>
        <v>124</v>
      </c>
      <c r="B155" s="9" t="s">
        <v>18</v>
      </c>
      <c r="C155" s="6">
        <f t="shared" si="151"/>
        <v>45890</v>
      </c>
      <c r="D155" s="6">
        <f t="shared" si="149"/>
        <v>45891</v>
      </c>
      <c r="E155" s="4">
        <v>8700</v>
      </c>
      <c r="F155" s="6">
        <f t="shared" ref="F155:G155" si="153">IFERROR(IF(F143,F143+14,""),"")</f>
        <v>45896</v>
      </c>
      <c r="G155" s="6">
        <f t="shared" si="153"/>
        <v>45897</v>
      </c>
      <c r="H155" s="10"/>
    </row>
    <row r="156" spans="1:8" hidden="1" x14ac:dyDescent="0.25">
      <c r="A156" s="58" t="s">
        <v>25</v>
      </c>
      <c r="B156" s="59"/>
      <c r="C156" s="59"/>
      <c r="D156" s="59"/>
      <c r="E156" s="60"/>
      <c r="F156" s="59"/>
      <c r="G156" s="59"/>
      <c r="H156" s="61"/>
    </row>
    <row r="157" spans="1:8" hidden="1" x14ac:dyDescent="0.25">
      <c r="A157" s="2">
        <f t="shared" ref="A157:A160" si="154">MAX(A145:A156)+1</f>
        <v>125</v>
      </c>
      <c r="B157" s="9" t="s">
        <v>15</v>
      </c>
      <c r="C157" s="6">
        <f>IFERROR(IF(C146,C146+14,""),"")</f>
        <v>45894</v>
      </c>
      <c r="D157" s="6">
        <f>IFERROR(IF(D146,D146+14,""),"")</f>
        <v>45895</v>
      </c>
      <c r="E157" s="4">
        <v>2221</v>
      </c>
      <c r="F157" s="6">
        <f t="shared" ref="F157:G157" si="155">IFERROR(IF(F146,F146+14,""),"")</f>
        <v>45901</v>
      </c>
      <c r="G157" s="6">
        <f t="shared" si="155"/>
        <v>45901</v>
      </c>
      <c r="H157" s="13"/>
    </row>
    <row r="158" spans="1:8" hidden="1" x14ac:dyDescent="0.25">
      <c r="A158" s="2">
        <f t="shared" si="154"/>
        <v>126</v>
      </c>
      <c r="B158" s="9" t="s">
        <v>17</v>
      </c>
      <c r="C158" s="6">
        <f>IFERROR(IF(C147,C147+14,""),"")</f>
        <v>45894</v>
      </c>
      <c r="D158" s="6">
        <f t="shared" ref="D158:D160" si="156">IFERROR(IF(D147,D147+14,""),"")</f>
        <v>45895</v>
      </c>
      <c r="E158" s="4">
        <v>2566</v>
      </c>
      <c r="F158" s="6">
        <f t="shared" ref="F158:G158" si="157">IFERROR(IF(F147,F147+14,""),"")</f>
        <v>45902</v>
      </c>
      <c r="G158" s="6">
        <f t="shared" si="157"/>
        <v>45902</v>
      </c>
      <c r="H158" s="10"/>
    </row>
    <row r="159" spans="1:8" hidden="1" x14ac:dyDescent="0.25">
      <c r="A159" s="2">
        <f t="shared" si="154"/>
        <v>127</v>
      </c>
      <c r="B159" s="9" t="s">
        <v>18</v>
      </c>
      <c r="C159" s="6">
        <f>IFERROR(IF(C148,C148+14,""),"")</f>
        <v>45897</v>
      </c>
      <c r="D159" s="6">
        <f t="shared" si="156"/>
        <v>45898</v>
      </c>
      <c r="E159" s="4">
        <f>4000+900</f>
        <v>4900</v>
      </c>
      <c r="F159" s="6">
        <f t="shared" ref="F159:G159" si="158">IFERROR(IF(F148,F148+14,""),"")</f>
        <v>45903</v>
      </c>
      <c r="G159" s="6">
        <f t="shared" si="158"/>
        <v>45904</v>
      </c>
      <c r="H159" s="10" t="s">
        <v>49</v>
      </c>
    </row>
    <row r="160" spans="1:8" hidden="1" x14ac:dyDescent="0.25">
      <c r="A160" s="2">
        <f t="shared" si="154"/>
        <v>128</v>
      </c>
      <c r="B160" s="9" t="s">
        <v>19</v>
      </c>
      <c r="C160" s="6">
        <f>IFERROR(IF(C149,C149+14,""),"")</f>
        <v>45894</v>
      </c>
      <c r="D160" s="6">
        <f t="shared" si="156"/>
        <v>45895</v>
      </c>
      <c r="E160" s="4"/>
      <c r="F160" s="6" t="str">
        <f t="shared" ref="F160:G160" si="159">IFERROR(IF(F150,F150+14,""),"")</f>
        <v/>
      </c>
      <c r="G160" s="6" t="str">
        <f t="shared" si="159"/>
        <v/>
      </c>
      <c r="H160" s="10" t="s">
        <v>22</v>
      </c>
    </row>
    <row r="161" spans="1:8" hidden="1" x14ac:dyDescent="0.25">
      <c r="A161" s="2">
        <f>MAX(A150:A160)+1</f>
        <v>129</v>
      </c>
      <c r="B161" s="9" t="s">
        <v>26</v>
      </c>
      <c r="C161" s="6">
        <f>IFERROR(IF(C151,C151+14,""),"")</f>
        <v>45897</v>
      </c>
      <c r="D161" s="6">
        <f>IFERROR(IF(D151,D151+14,""),"")</f>
        <v>45898</v>
      </c>
      <c r="E161" s="4">
        <v>3212</v>
      </c>
      <c r="F161" s="6">
        <f t="shared" ref="F161:G161" si="160">IFERROR(IF(F151,F151+14,""),"")</f>
        <v>45908</v>
      </c>
      <c r="G161" s="6">
        <f t="shared" si="160"/>
        <v>45908</v>
      </c>
      <c r="H161" s="27" t="s">
        <v>48</v>
      </c>
    </row>
    <row r="162" spans="1:8" hidden="1" x14ac:dyDescent="0.25">
      <c r="A162" s="58" t="s">
        <v>25</v>
      </c>
      <c r="B162" s="59"/>
      <c r="C162" s="59"/>
      <c r="D162" s="59"/>
      <c r="E162" s="60"/>
      <c r="F162" s="59"/>
      <c r="G162" s="59"/>
      <c r="H162" s="61"/>
    </row>
    <row r="163" spans="1:8" hidden="1" x14ac:dyDescent="0.25">
      <c r="A163" s="2">
        <f t="shared" ref="A163:A165" si="161">MAX(A151:A162)+1</f>
        <v>130</v>
      </c>
      <c r="B163" s="9" t="s">
        <v>19</v>
      </c>
      <c r="C163" s="6">
        <f>IFERROR(IF(C153,C153+14,""),"")</f>
        <v>45901</v>
      </c>
      <c r="D163" s="6">
        <f t="shared" ref="D163:G163" si="162">IFERROR(IF(D153,D153+14,""),"")</f>
        <v>45902</v>
      </c>
      <c r="E163" s="4">
        <v>321</v>
      </c>
      <c r="F163" s="6" t="str">
        <f t="shared" si="162"/>
        <v/>
      </c>
      <c r="G163" s="6" t="str">
        <f t="shared" si="162"/>
        <v/>
      </c>
      <c r="H163" s="19" t="s">
        <v>22</v>
      </c>
    </row>
    <row r="164" spans="1:8" hidden="1" x14ac:dyDescent="0.25">
      <c r="A164" s="2">
        <f t="shared" si="161"/>
        <v>131</v>
      </c>
      <c r="B164" s="9" t="s">
        <v>17</v>
      </c>
      <c r="C164" s="6">
        <f t="shared" ref="C164:G164" si="163">IFERROR(IF(C154,C154+14,""),"")</f>
        <v>45901</v>
      </c>
      <c r="D164" s="6">
        <f t="shared" si="163"/>
        <v>45902</v>
      </c>
      <c r="E164" s="4">
        <f>1966+571</f>
        <v>2537</v>
      </c>
      <c r="F164" s="6">
        <f t="shared" si="163"/>
        <v>45909</v>
      </c>
      <c r="G164" s="6">
        <f t="shared" si="163"/>
        <v>45909</v>
      </c>
      <c r="H164" s="10" t="s">
        <v>50</v>
      </c>
    </row>
    <row r="165" spans="1:8" hidden="1" x14ac:dyDescent="0.25">
      <c r="A165" s="2">
        <f t="shared" si="161"/>
        <v>132</v>
      </c>
      <c r="B165" s="9" t="s">
        <v>18</v>
      </c>
      <c r="C165" s="6">
        <f t="shared" ref="C165:G165" si="164">IFERROR(IF(C155,C155+14,""),"")</f>
        <v>45904</v>
      </c>
      <c r="D165" s="6">
        <f t="shared" si="164"/>
        <v>45905</v>
      </c>
      <c r="E165" s="4">
        <v>5330</v>
      </c>
      <c r="F165" s="6">
        <f t="shared" si="164"/>
        <v>45910</v>
      </c>
      <c r="G165" s="6">
        <f t="shared" si="164"/>
        <v>45911</v>
      </c>
      <c r="H165" s="10"/>
    </row>
    <row r="166" spans="1:8" hidden="1" x14ac:dyDescent="0.25">
      <c r="A166" s="58" t="s">
        <v>25</v>
      </c>
      <c r="B166" s="59"/>
      <c r="C166" s="59"/>
      <c r="D166" s="59"/>
      <c r="E166" s="60"/>
      <c r="F166" s="59"/>
      <c r="G166" s="59"/>
      <c r="H166" s="61"/>
    </row>
    <row r="167" spans="1:8" hidden="1" x14ac:dyDescent="0.25">
      <c r="A167" s="2">
        <f t="shared" ref="A167:A170" si="165">MAX(A155:A166)+1</f>
        <v>133</v>
      </c>
      <c r="B167" s="9" t="s">
        <v>15</v>
      </c>
      <c r="C167" s="6">
        <f>IFERROR(IF(C157,C157+14,""),"")</f>
        <v>45908</v>
      </c>
      <c r="D167" s="6">
        <f t="shared" ref="D167:D171" si="166">IFERROR(IF(D157,D157+14,""),"")</f>
        <v>45909</v>
      </c>
      <c r="E167" s="4">
        <v>3057</v>
      </c>
      <c r="F167" s="6">
        <f t="shared" ref="F167:G167" si="167">IFERROR(IF(F157,F157+14,""),"")</f>
        <v>45915</v>
      </c>
      <c r="G167" s="6">
        <f t="shared" si="167"/>
        <v>45915</v>
      </c>
      <c r="H167" s="13"/>
    </row>
    <row r="168" spans="1:8" hidden="1" x14ac:dyDescent="0.25">
      <c r="A168" s="2">
        <f t="shared" si="165"/>
        <v>134</v>
      </c>
      <c r="B168" s="9" t="s">
        <v>17</v>
      </c>
      <c r="C168" s="6">
        <f t="shared" ref="C168" si="168">IFERROR(IF(C158,C158+14,""),"")</f>
        <v>45908</v>
      </c>
      <c r="D168" s="6">
        <f t="shared" si="166"/>
        <v>45909</v>
      </c>
      <c r="E168" s="4">
        <f>3002+194</f>
        <v>3196</v>
      </c>
      <c r="F168" s="6">
        <f t="shared" ref="F168:G168" si="169">IFERROR(IF(F158,F158+14,""),"")</f>
        <v>45916</v>
      </c>
      <c r="G168" s="6">
        <f t="shared" si="169"/>
        <v>45916</v>
      </c>
      <c r="H168" s="10" t="s">
        <v>51</v>
      </c>
    </row>
    <row r="169" spans="1:8" hidden="1" x14ac:dyDescent="0.25">
      <c r="A169" s="2">
        <f t="shared" si="165"/>
        <v>135</v>
      </c>
      <c r="B169" s="9" t="s">
        <v>18</v>
      </c>
      <c r="C169" s="6">
        <f t="shared" ref="C169" si="170">IFERROR(IF(C159,C159+14,""),"")</f>
        <v>45911</v>
      </c>
      <c r="D169" s="6">
        <f t="shared" si="166"/>
        <v>45912</v>
      </c>
      <c r="E169" s="4">
        <v>7770</v>
      </c>
      <c r="F169" s="6">
        <f t="shared" ref="F169:G169" si="171">IFERROR(IF(F159,F159+14,""),"")</f>
        <v>45917</v>
      </c>
      <c r="G169" s="6">
        <f t="shared" si="171"/>
        <v>45918</v>
      </c>
      <c r="H169" s="10"/>
    </row>
    <row r="170" spans="1:8" hidden="1" x14ac:dyDescent="0.25">
      <c r="A170" s="2">
        <f t="shared" si="165"/>
        <v>136</v>
      </c>
      <c r="B170" s="9" t="s">
        <v>19</v>
      </c>
      <c r="C170" s="6">
        <f t="shared" ref="C170" si="172">IFERROR(IF(C160,C160+14,""),"")</f>
        <v>45908</v>
      </c>
      <c r="D170" s="6">
        <f t="shared" si="166"/>
        <v>45909</v>
      </c>
      <c r="E170" s="4"/>
      <c r="F170" s="6" t="str">
        <f t="shared" ref="F170:G170" si="173">IFERROR(IF(F160,F160+14,""),"")</f>
        <v/>
      </c>
      <c r="G170" s="6" t="str">
        <f t="shared" si="173"/>
        <v/>
      </c>
      <c r="H170" s="10" t="s">
        <v>22</v>
      </c>
    </row>
    <row r="171" spans="1:8" hidden="1" x14ac:dyDescent="0.25">
      <c r="A171" s="2">
        <f>MAX(A160:A170)+1</f>
        <v>137</v>
      </c>
      <c r="B171" s="9" t="s">
        <v>26</v>
      </c>
      <c r="C171" s="6">
        <f t="shared" ref="C171" si="174">IFERROR(IF(C161,C161+14,""),"")</f>
        <v>45911</v>
      </c>
      <c r="D171" s="6">
        <f t="shared" si="166"/>
        <v>45912</v>
      </c>
      <c r="E171" s="4">
        <v>2481</v>
      </c>
      <c r="F171" s="6">
        <f t="shared" ref="F171:G171" si="175">IFERROR(IF(F161,F161+14,""),"")</f>
        <v>45922</v>
      </c>
      <c r="G171" s="6">
        <f t="shared" si="175"/>
        <v>45922</v>
      </c>
      <c r="H171" s="28" t="s">
        <v>52</v>
      </c>
    </row>
    <row r="172" spans="1:8" hidden="1" x14ac:dyDescent="0.25">
      <c r="A172" s="58" t="s">
        <v>25</v>
      </c>
      <c r="B172" s="59"/>
      <c r="C172" s="59"/>
      <c r="D172" s="59"/>
      <c r="E172" s="60"/>
      <c r="F172" s="59"/>
      <c r="G172" s="59"/>
      <c r="H172" s="61"/>
    </row>
    <row r="173" spans="1:8" hidden="1" x14ac:dyDescent="0.25">
      <c r="A173" s="2">
        <f t="shared" ref="A173:A175" si="176">MAX(A161:A172)+1</f>
        <v>138</v>
      </c>
      <c r="B173" s="9" t="s">
        <v>19</v>
      </c>
      <c r="C173" s="6">
        <f>IFERROR(IF(C163,C163+14,""),"")</f>
        <v>45915</v>
      </c>
      <c r="D173" s="6">
        <f t="shared" ref="D173" si="177">IFERROR(IF(D163,D163+14,""),"")</f>
        <v>45916</v>
      </c>
      <c r="E173" s="4">
        <v>216</v>
      </c>
      <c r="F173" s="6" t="str">
        <f t="shared" ref="F173:G173" si="178">IFERROR(IF(F163,F163+14,""),"")</f>
        <v/>
      </c>
      <c r="G173" s="6" t="str">
        <f t="shared" si="178"/>
        <v/>
      </c>
      <c r="H173" s="19" t="s">
        <v>22</v>
      </c>
    </row>
    <row r="174" spans="1:8" hidden="1" x14ac:dyDescent="0.25">
      <c r="A174" s="2">
        <f t="shared" si="176"/>
        <v>139</v>
      </c>
      <c r="B174" s="9" t="s">
        <v>17</v>
      </c>
      <c r="C174" s="6">
        <f t="shared" ref="C174:D174" si="179">IFERROR(IF(C164,C164+14,""),"")</f>
        <v>45915</v>
      </c>
      <c r="D174" s="6">
        <f t="shared" si="179"/>
        <v>45916</v>
      </c>
      <c r="E174" s="4">
        <f>2855+10</f>
        <v>2865</v>
      </c>
      <c r="F174" s="6">
        <f t="shared" ref="F174:G174" si="180">IFERROR(IF(F164,F164+14,""),"")</f>
        <v>45923</v>
      </c>
      <c r="G174" s="6">
        <f t="shared" si="180"/>
        <v>45923</v>
      </c>
      <c r="H174" s="10" t="s">
        <v>53</v>
      </c>
    </row>
    <row r="175" spans="1:8" hidden="1" x14ac:dyDescent="0.25">
      <c r="A175" s="2">
        <f t="shared" si="176"/>
        <v>140</v>
      </c>
      <c r="B175" s="9" t="s">
        <v>18</v>
      </c>
      <c r="C175" s="6">
        <f t="shared" ref="C175:D175" si="181">IFERROR(IF(C165,C165+14,""),"")</f>
        <v>45918</v>
      </c>
      <c r="D175" s="6">
        <f t="shared" si="181"/>
        <v>45919</v>
      </c>
      <c r="E175" s="4">
        <v>5700</v>
      </c>
      <c r="F175" s="6">
        <f t="shared" ref="F175:G175" si="182">IFERROR(IF(F165,F165+14,""),"")</f>
        <v>45924</v>
      </c>
      <c r="G175" s="6">
        <f t="shared" si="182"/>
        <v>45925</v>
      </c>
      <c r="H175" s="10"/>
    </row>
    <row r="176" spans="1:8" hidden="1" x14ac:dyDescent="0.25">
      <c r="A176" s="58" t="s">
        <v>25</v>
      </c>
      <c r="B176" s="59"/>
      <c r="C176" s="59"/>
      <c r="D176" s="59"/>
      <c r="E176" s="60"/>
      <c r="F176" s="59"/>
      <c r="G176" s="59"/>
      <c r="H176" s="61"/>
    </row>
    <row r="177" spans="1:8" hidden="1" x14ac:dyDescent="0.25">
      <c r="A177" s="2">
        <f t="shared" ref="A177:A180" si="183">MAX(A165:A176)+1</f>
        <v>141</v>
      </c>
      <c r="B177" s="9" t="s">
        <v>15</v>
      </c>
      <c r="C177" s="6">
        <f>IFERROR(IF(C167,C167+14,""),"")</f>
        <v>45922</v>
      </c>
      <c r="D177" s="6">
        <f t="shared" ref="D177:D181" si="184">IFERROR(IF(D167,D167+14,""),"")</f>
        <v>45923</v>
      </c>
      <c r="E177" s="4">
        <v>885</v>
      </c>
      <c r="F177" s="6">
        <f t="shared" ref="F177:G177" si="185">IFERROR(IF(F167,F167+14,""),"")</f>
        <v>45929</v>
      </c>
      <c r="G177" s="6">
        <f t="shared" si="185"/>
        <v>45929</v>
      </c>
      <c r="H177" s="17" t="s">
        <v>54</v>
      </c>
    </row>
    <row r="178" spans="1:8" hidden="1" x14ac:dyDescent="0.25">
      <c r="A178" s="2">
        <f t="shared" si="183"/>
        <v>142</v>
      </c>
      <c r="B178" s="9" t="s">
        <v>17</v>
      </c>
      <c r="C178" s="6">
        <f t="shared" ref="C178:C181" si="186">IFERROR(IF(C168,C168+14,""),"")</f>
        <v>45922</v>
      </c>
      <c r="D178" s="6">
        <f t="shared" si="184"/>
        <v>45923</v>
      </c>
      <c r="E178" s="4">
        <v>3452</v>
      </c>
      <c r="F178" s="6">
        <f t="shared" ref="F178:G178" si="187">IFERROR(IF(F168,F168+14,""),"")</f>
        <v>45930</v>
      </c>
      <c r="G178" s="6">
        <f t="shared" si="187"/>
        <v>45930</v>
      </c>
      <c r="H178" s="10"/>
    </row>
    <row r="179" spans="1:8" hidden="1" x14ac:dyDescent="0.25">
      <c r="A179" s="2">
        <f t="shared" si="183"/>
        <v>143</v>
      </c>
      <c r="B179" s="9" t="s">
        <v>18</v>
      </c>
      <c r="C179" s="6">
        <f t="shared" si="186"/>
        <v>45925</v>
      </c>
      <c r="D179" s="6">
        <f t="shared" si="184"/>
        <v>45926</v>
      </c>
      <c r="E179" s="4">
        <v>7270</v>
      </c>
      <c r="F179" s="6">
        <f t="shared" ref="F179:G179" si="188">IFERROR(IF(F169,F169+14,""),"")</f>
        <v>45931</v>
      </c>
      <c r="G179" s="6">
        <f t="shared" si="188"/>
        <v>45932</v>
      </c>
      <c r="H179" s="10"/>
    </row>
    <row r="180" spans="1:8" hidden="1" x14ac:dyDescent="0.25">
      <c r="A180" s="2">
        <f t="shared" si="183"/>
        <v>144</v>
      </c>
      <c r="B180" s="9" t="s">
        <v>19</v>
      </c>
      <c r="C180" s="6">
        <f t="shared" si="186"/>
        <v>45922</v>
      </c>
      <c r="D180" s="6">
        <f t="shared" si="184"/>
        <v>45923</v>
      </c>
      <c r="E180" s="4">
        <v>170</v>
      </c>
      <c r="F180" s="6" t="str">
        <f t="shared" ref="F180:G180" si="189">IFERROR(IF(F170,F170+14,""),"")</f>
        <v/>
      </c>
      <c r="G180" s="6" t="str">
        <f t="shared" si="189"/>
        <v/>
      </c>
      <c r="H180" s="10" t="s">
        <v>22</v>
      </c>
    </row>
    <row r="181" spans="1:8" hidden="1" x14ac:dyDescent="0.25">
      <c r="A181" s="2">
        <f>MAX(A170:A180)+1</f>
        <v>145</v>
      </c>
      <c r="B181" s="9" t="s">
        <v>26</v>
      </c>
      <c r="C181" s="6">
        <f t="shared" si="186"/>
        <v>45925</v>
      </c>
      <c r="D181" s="6">
        <f t="shared" si="184"/>
        <v>45926</v>
      </c>
      <c r="E181" s="4">
        <v>1572</v>
      </c>
      <c r="F181" s="6">
        <f t="shared" ref="F181:G181" si="190">IFERROR(IF(F171,F171+14,""),"")</f>
        <v>45936</v>
      </c>
      <c r="G181" s="6">
        <f t="shared" si="190"/>
        <v>45936</v>
      </c>
      <c r="H181" s="29" t="s">
        <v>55</v>
      </c>
    </row>
    <row r="182" spans="1:8" hidden="1" x14ac:dyDescent="0.25">
      <c r="A182" s="58" t="s">
        <v>25</v>
      </c>
      <c r="B182" s="59"/>
      <c r="C182" s="59"/>
      <c r="D182" s="59"/>
      <c r="E182" s="60"/>
      <c r="F182" s="59"/>
      <c r="G182" s="59"/>
      <c r="H182" s="61"/>
    </row>
    <row r="183" spans="1:8" hidden="1" x14ac:dyDescent="0.25">
      <c r="A183" s="2">
        <f t="shared" ref="A183:A185" si="191">MAX(A171:A182)+1</f>
        <v>146</v>
      </c>
      <c r="B183" s="9" t="s">
        <v>19</v>
      </c>
      <c r="C183" s="6">
        <f>IFERROR(IF(C173,C173+14,""),"")</f>
        <v>45929</v>
      </c>
      <c r="D183" s="6">
        <f t="shared" ref="D183" si="192">IFERROR(IF(D173,D173+14,""),"")</f>
        <v>45930</v>
      </c>
      <c r="E183" s="4">
        <v>639</v>
      </c>
      <c r="F183" s="6" t="str">
        <f t="shared" ref="F183:G183" si="193">IFERROR(IF(F173,F173+14,""),"")</f>
        <v/>
      </c>
      <c r="G183" s="6" t="str">
        <f t="shared" si="193"/>
        <v/>
      </c>
      <c r="H183" s="19" t="s">
        <v>22</v>
      </c>
    </row>
    <row r="184" spans="1:8" hidden="1" x14ac:dyDescent="0.25">
      <c r="A184" s="2">
        <f t="shared" si="191"/>
        <v>147</v>
      </c>
      <c r="B184" s="9" t="s">
        <v>17</v>
      </c>
      <c r="C184" s="6">
        <f t="shared" ref="C184:D184" si="194">IFERROR(IF(C174,C174+14,""),"")</f>
        <v>45929</v>
      </c>
      <c r="D184" s="6">
        <f t="shared" si="194"/>
        <v>45930</v>
      </c>
      <c r="E184" s="4">
        <v>3226</v>
      </c>
      <c r="F184" s="6">
        <f t="shared" ref="F184:G184" si="195">IFERROR(IF(F174,F174+14,""),"")</f>
        <v>45937</v>
      </c>
      <c r="G184" s="6">
        <f t="shared" si="195"/>
        <v>45937</v>
      </c>
      <c r="H184" s="10"/>
    </row>
    <row r="185" spans="1:8" hidden="1" x14ac:dyDescent="0.25">
      <c r="A185" s="2">
        <f t="shared" si="191"/>
        <v>148</v>
      </c>
      <c r="B185" s="9" t="s">
        <v>18</v>
      </c>
      <c r="C185" s="6">
        <f t="shared" ref="C185:D185" si="196">IFERROR(IF(C175,C175+14,""),"")</f>
        <v>45932</v>
      </c>
      <c r="D185" s="6">
        <f t="shared" si="196"/>
        <v>45933</v>
      </c>
      <c r="E185" s="4">
        <v>8325</v>
      </c>
      <c r="F185" s="6">
        <f t="shared" ref="F185:G185" si="197">IFERROR(IF(F175,F175+14,""),"")</f>
        <v>45938</v>
      </c>
      <c r="G185" s="6">
        <f t="shared" si="197"/>
        <v>45939</v>
      </c>
      <c r="H185" s="10"/>
    </row>
    <row r="186" spans="1:8" hidden="1" x14ac:dyDescent="0.25">
      <c r="A186" s="58" t="s">
        <v>25</v>
      </c>
      <c r="B186" s="59"/>
      <c r="C186" s="59"/>
      <c r="D186" s="59"/>
      <c r="E186" s="60"/>
      <c r="F186" s="59"/>
      <c r="G186" s="59"/>
      <c r="H186" s="61"/>
    </row>
    <row r="187" spans="1:8" hidden="1" x14ac:dyDescent="0.25">
      <c r="A187" s="2">
        <f t="shared" ref="A187:A190" si="198">MAX(A175:A186)+1</f>
        <v>149</v>
      </c>
      <c r="B187" s="9" t="s">
        <v>15</v>
      </c>
      <c r="C187" s="6">
        <f>IFERROR(IF(C177,C177+14,""),"")</f>
        <v>45936</v>
      </c>
      <c r="D187" s="6">
        <f t="shared" ref="D187:D191" si="199">IFERROR(IF(D177,D177+14,""),"")</f>
        <v>45937</v>
      </c>
      <c r="E187" s="4">
        <v>702</v>
      </c>
      <c r="F187" s="6">
        <f t="shared" ref="F187:G187" si="200">IFERROR(IF(F177,F177+14,""),"")</f>
        <v>45943</v>
      </c>
      <c r="G187" s="6">
        <f t="shared" si="200"/>
        <v>45943</v>
      </c>
      <c r="H187" s="17"/>
    </row>
    <row r="188" spans="1:8" hidden="1" x14ac:dyDescent="0.25">
      <c r="A188" s="2">
        <f t="shared" si="198"/>
        <v>150</v>
      </c>
      <c r="B188" s="9" t="s">
        <v>17</v>
      </c>
      <c r="C188" s="6">
        <f t="shared" ref="C188:C191" si="201">IFERROR(IF(C178,C178+14,""),"")</f>
        <v>45936</v>
      </c>
      <c r="D188" s="6">
        <f t="shared" si="199"/>
        <v>45937</v>
      </c>
      <c r="E188" s="4">
        <v>4926</v>
      </c>
      <c r="F188" s="6">
        <f t="shared" ref="F188:G188" si="202">IFERROR(IF(F178,F178+14,""),"")</f>
        <v>45944</v>
      </c>
      <c r="G188" s="6">
        <f t="shared" si="202"/>
        <v>45944</v>
      </c>
      <c r="H188" s="10"/>
    </row>
    <row r="189" spans="1:8" hidden="1" x14ac:dyDescent="0.25">
      <c r="A189" s="2">
        <f t="shared" si="198"/>
        <v>151</v>
      </c>
      <c r="B189" s="9" t="s">
        <v>18</v>
      </c>
      <c r="C189" s="6">
        <f t="shared" si="201"/>
        <v>45939</v>
      </c>
      <c r="D189" s="6">
        <f t="shared" si="199"/>
        <v>45940</v>
      </c>
      <c r="E189" s="4">
        <v>7490</v>
      </c>
      <c r="F189" s="6">
        <f t="shared" ref="F189:G189" si="203">IFERROR(IF(F179,F179+14,""),"")</f>
        <v>45945</v>
      </c>
      <c r="G189" s="6">
        <f t="shared" si="203"/>
        <v>45946</v>
      </c>
      <c r="H189" s="10"/>
    </row>
    <row r="190" spans="1:8" hidden="1" x14ac:dyDescent="0.25">
      <c r="A190" s="2">
        <f t="shared" si="198"/>
        <v>152</v>
      </c>
      <c r="B190" s="9" t="s">
        <v>19</v>
      </c>
      <c r="C190" s="6">
        <f t="shared" si="201"/>
        <v>45936</v>
      </c>
      <c r="D190" s="6">
        <f t="shared" si="199"/>
        <v>45937</v>
      </c>
      <c r="E190" s="4">
        <v>522</v>
      </c>
      <c r="F190" s="6" t="str">
        <f t="shared" ref="F190:G190" si="204">IFERROR(IF(F180,F180+14,""),"")</f>
        <v/>
      </c>
      <c r="G190" s="6" t="str">
        <f t="shared" si="204"/>
        <v/>
      </c>
      <c r="H190" s="10" t="s">
        <v>22</v>
      </c>
    </row>
    <row r="191" spans="1:8" hidden="1" x14ac:dyDescent="0.25">
      <c r="A191" s="2">
        <f>MAX(A180:A190)+1</f>
        <v>153</v>
      </c>
      <c r="B191" s="9" t="s">
        <v>26</v>
      </c>
      <c r="C191" s="6">
        <f t="shared" si="201"/>
        <v>45939</v>
      </c>
      <c r="D191" s="6">
        <f t="shared" si="199"/>
        <v>45940</v>
      </c>
      <c r="E191" s="4">
        <v>1206</v>
      </c>
      <c r="F191" s="6">
        <f t="shared" ref="F191:G191" si="205">IFERROR(IF(F181,F181+14,""),"")</f>
        <v>45950</v>
      </c>
      <c r="G191" s="6">
        <f t="shared" si="205"/>
        <v>45950</v>
      </c>
      <c r="H191" s="30" t="s">
        <v>56</v>
      </c>
    </row>
    <row r="192" spans="1:8" hidden="1" x14ac:dyDescent="0.25">
      <c r="A192" s="58" t="s">
        <v>25</v>
      </c>
      <c r="B192" s="59"/>
      <c r="C192" s="59"/>
      <c r="D192" s="59"/>
      <c r="E192" s="60"/>
      <c r="F192" s="59"/>
      <c r="G192" s="59"/>
      <c r="H192" s="61"/>
    </row>
    <row r="193" spans="1:8" hidden="1" x14ac:dyDescent="0.25">
      <c r="A193" s="2">
        <f t="shared" ref="A193:A195" si="206">MAX(A181:A192)+1</f>
        <v>154</v>
      </c>
      <c r="B193" s="9" t="s">
        <v>19</v>
      </c>
      <c r="C193" s="6">
        <f>IFERROR(IF(C183,C183+14,""),"")</f>
        <v>45943</v>
      </c>
      <c r="D193" s="6">
        <f t="shared" ref="D193" si="207">IFERROR(IF(D183,D183+14,""),"")</f>
        <v>45944</v>
      </c>
      <c r="E193" s="4">
        <v>476</v>
      </c>
      <c r="F193" s="6" t="str">
        <f t="shared" ref="F193:G193" si="208">IFERROR(IF(F183,F183+14,""),"")</f>
        <v/>
      </c>
      <c r="G193" s="6" t="str">
        <f t="shared" si="208"/>
        <v/>
      </c>
      <c r="H193" s="19" t="s">
        <v>22</v>
      </c>
    </row>
    <row r="194" spans="1:8" hidden="1" x14ac:dyDescent="0.25">
      <c r="A194" s="2">
        <f t="shared" si="206"/>
        <v>155</v>
      </c>
      <c r="B194" s="9" t="s">
        <v>17</v>
      </c>
      <c r="C194" s="6">
        <f t="shared" ref="C194:D194" si="209">IFERROR(IF(C184,C184+14,""),"")</f>
        <v>45943</v>
      </c>
      <c r="D194" s="6">
        <f t="shared" si="209"/>
        <v>45944</v>
      </c>
      <c r="E194" s="4">
        <f>2795+470</f>
        <v>3265</v>
      </c>
      <c r="F194" s="6">
        <f t="shared" ref="F194:G194" si="210">IFERROR(IF(F184,F184+14,""),"")</f>
        <v>45951</v>
      </c>
      <c r="G194" s="6">
        <f t="shared" si="210"/>
        <v>45951</v>
      </c>
      <c r="H194" s="10" t="s">
        <v>57</v>
      </c>
    </row>
    <row r="195" spans="1:8" hidden="1" x14ac:dyDescent="0.25">
      <c r="A195" s="2">
        <f t="shared" si="206"/>
        <v>156</v>
      </c>
      <c r="B195" s="9" t="s">
        <v>18</v>
      </c>
      <c r="C195" s="6">
        <f t="shared" ref="C195:D195" si="211">IFERROR(IF(C185,C185+14,""),"")</f>
        <v>45946</v>
      </c>
      <c r="D195" s="6">
        <f t="shared" si="211"/>
        <v>45947</v>
      </c>
      <c r="E195" s="4">
        <v>6931</v>
      </c>
      <c r="F195" s="6">
        <f t="shared" ref="F195:G195" si="212">IFERROR(IF(F185,F185+14,""),"")</f>
        <v>45952</v>
      </c>
      <c r="G195" s="6">
        <f t="shared" si="212"/>
        <v>45953</v>
      </c>
      <c r="H195" s="10"/>
    </row>
    <row r="196" spans="1:8" hidden="1" x14ac:dyDescent="0.25">
      <c r="A196" s="58" t="s">
        <v>25</v>
      </c>
      <c r="B196" s="59"/>
      <c r="C196" s="59"/>
      <c r="D196" s="59"/>
      <c r="E196" s="60"/>
      <c r="F196" s="59"/>
      <c r="G196" s="59"/>
      <c r="H196" s="61"/>
    </row>
    <row r="197" spans="1:8" ht="30" hidden="1" x14ac:dyDescent="0.25">
      <c r="A197" s="2">
        <f t="shared" ref="A197:A200" si="213">MAX(A185:A196)+1</f>
        <v>157</v>
      </c>
      <c r="B197" s="9" t="s">
        <v>15</v>
      </c>
      <c r="C197" s="6">
        <f>IFERROR(IF(C187,C187+14,""),"")</f>
        <v>45950</v>
      </c>
      <c r="D197" s="6">
        <f t="shared" ref="D197:D200" si="214">IFERROR(IF(D187,D187+14,""),"")</f>
        <v>45951</v>
      </c>
      <c r="E197" s="4">
        <v>404</v>
      </c>
      <c r="F197" s="6">
        <f t="shared" ref="F197:G197" si="215">IFERROR(IF(F187,F187+14,""),"")</f>
        <v>45957</v>
      </c>
      <c r="G197" s="6">
        <f t="shared" si="215"/>
        <v>45957</v>
      </c>
      <c r="H197" s="17" t="s">
        <v>58</v>
      </c>
    </row>
    <row r="198" spans="1:8" hidden="1" x14ac:dyDescent="0.25">
      <c r="A198" s="2">
        <f t="shared" si="213"/>
        <v>158</v>
      </c>
      <c r="B198" s="9" t="s">
        <v>17</v>
      </c>
      <c r="C198" s="6">
        <f t="shared" ref="C198:C201" si="216">IFERROR(IF(C188,C188+14,""),"")</f>
        <v>45950</v>
      </c>
      <c r="D198" s="6">
        <f t="shared" si="214"/>
        <v>45951</v>
      </c>
      <c r="E198" s="4">
        <v>2729</v>
      </c>
      <c r="F198" s="6">
        <f t="shared" ref="F198:G198" si="217">IFERROR(IF(F188,F188+14,""),"")</f>
        <v>45958</v>
      </c>
      <c r="G198" s="6">
        <f t="shared" si="217"/>
        <v>45958</v>
      </c>
      <c r="H198" s="10"/>
    </row>
    <row r="199" spans="1:8" hidden="1" x14ac:dyDescent="0.25">
      <c r="A199" s="2">
        <f t="shared" si="213"/>
        <v>159</v>
      </c>
      <c r="B199" s="9" t="s">
        <v>18</v>
      </c>
      <c r="C199" s="6">
        <f t="shared" si="216"/>
        <v>45953</v>
      </c>
      <c r="D199" s="6">
        <f t="shared" si="214"/>
        <v>45954</v>
      </c>
      <c r="E199" s="4">
        <v>6595</v>
      </c>
      <c r="F199" s="6">
        <f t="shared" ref="F199:G199" si="218">IFERROR(IF(F189,F189+14,""),"")</f>
        <v>45959</v>
      </c>
      <c r="G199" s="6">
        <f t="shared" si="218"/>
        <v>45960</v>
      </c>
      <c r="H199" s="10" t="s">
        <v>59</v>
      </c>
    </row>
    <row r="200" spans="1:8" hidden="1" x14ac:dyDescent="0.25">
      <c r="A200" s="2">
        <f t="shared" si="213"/>
        <v>160</v>
      </c>
      <c r="B200" s="9" t="s">
        <v>19</v>
      </c>
      <c r="C200" s="6">
        <f t="shared" si="216"/>
        <v>45950</v>
      </c>
      <c r="D200" s="6">
        <f t="shared" si="214"/>
        <v>45951</v>
      </c>
      <c r="E200" s="4">
        <v>436</v>
      </c>
      <c r="F200" s="6" t="str">
        <f t="shared" ref="F200:G200" si="219">IFERROR(IF(F190,F190+14,""),"")</f>
        <v/>
      </c>
      <c r="G200" s="6" t="str">
        <f t="shared" si="219"/>
        <v/>
      </c>
      <c r="H200" s="10" t="s">
        <v>22</v>
      </c>
    </row>
    <row r="201" spans="1:8" hidden="1" x14ac:dyDescent="0.25">
      <c r="A201" s="2">
        <f>MAX(A190:A200)+1</f>
        <v>161</v>
      </c>
      <c r="B201" s="9" t="s">
        <v>26</v>
      </c>
      <c r="C201" s="6">
        <f t="shared" si="216"/>
        <v>45953</v>
      </c>
      <c r="D201" s="31">
        <v>45952</v>
      </c>
      <c r="E201" s="32">
        <v>638</v>
      </c>
      <c r="F201" s="31">
        <v>45956</v>
      </c>
      <c r="G201" s="31">
        <v>45956</v>
      </c>
      <c r="H201" s="30"/>
    </row>
    <row r="202" spans="1:8" hidden="1" x14ac:dyDescent="0.25">
      <c r="A202" s="58" t="s">
        <v>25</v>
      </c>
      <c r="B202" s="59"/>
      <c r="C202" s="59"/>
      <c r="D202" s="59"/>
      <c r="E202" s="60"/>
      <c r="F202" s="59"/>
      <c r="G202" s="59"/>
      <c r="H202" s="61"/>
    </row>
    <row r="203" spans="1:8" hidden="1" x14ac:dyDescent="0.25">
      <c r="A203" s="2">
        <f t="shared" ref="A203:A206" si="220">MAX(A191:A202)+1</f>
        <v>162</v>
      </c>
      <c r="B203" s="9" t="s">
        <v>19</v>
      </c>
      <c r="C203" s="6">
        <f>IFERROR(IF(C193,C193+14,""),"")</f>
        <v>45957</v>
      </c>
      <c r="D203" s="6">
        <f t="shared" ref="D203" si="221">IFERROR(IF(D193,D193+14,""),"")</f>
        <v>45958</v>
      </c>
      <c r="E203" s="4">
        <v>696</v>
      </c>
      <c r="F203" s="6" t="str">
        <f t="shared" ref="F203:G203" si="222">IFERROR(IF(F193,F193+14,""),"")</f>
        <v/>
      </c>
      <c r="G203" s="6" t="str">
        <f t="shared" si="222"/>
        <v/>
      </c>
      <c r="H203" s="19" t="s">
        <v>22</v>
      </c>
    </row>
    <row r="204" spans="1:8" hidden="1" x14ac:dyDescent="0.25">
      <c r="A204" s="2">
        <f t="shared" si="220"/>
        <v>163</v>
      </c>
      <c r="B204" s="9" t="s">
        <v>17</v>
      </c>
      <c r="C204" s="6">
        <f t="shared" ref="C204:D204" si="223">IFERROR(IF(C194,C194+14,""),"")</f>
        <v>45957</v>
      </c>
      <c r="D204" s="6">
        <f t="shared" si="223"/>
        <v>45958</v>
      </c>
      <c r="E204" s="4">
        <v>2343</v>
      </c>
      <c r="F204" s="6">
        <f t="shared" ref="F204:G204" si="224">IFERROR(IF(F194,F194+14,""),"")</f>
        <v>45965</v>
      </c>
      <c r="G204" s="6">
        <f t="shared" si="224"/>
        <v>45965</v>
      </c>
      <c r="H204" s="10" t="s">
        <v>60</v>
      </c>
    </row>
    <row r="205" spans="1:8" hidden="1" x14ac:dyDescent="0.25">
      <c r="A205" s="2">
        <f t="shared" si="220"/>
        <v>164</v>
      </c>
      <c r="B205" s="9" t="s">
        <v>18</v>
      </c>
      <c r="C205" s="6">
        <f t="shared" ref="C205:D205" si="225">IFERROR(IF(C195,C195+14,""),"")</f>
        <v>45960</v>
      </c>
      <c r="D205" s="6">
        <f t="shared" si="225"/>
        <v>45961</v>
      </c>
      <c r="E205" s="4">
        <v>6895</v>
      </c>
      <c r="F205" s="6">
        <f t="shared" ref="F205:G205" si="226">IFERROR(IF(F195,F195+14,""),"")</f>
        <v>45966</v>
      </c>
      <c r="G205" s="6">
        <f t="shared" si="226"/>
        <v>45967</v>
      </c>
      <c r="H205" s="10"/>
    </row>
    <row r="206" spans="1:8" hidden="1" x14ac:dyDescent="0.25">
      <c r="A206" s="2">
        <f t="shared" si="220"/>
        <v>165</v>
      </c>
      <c r="B206" s="33" t="s">
        <v>26</v>
      </c>
      <c r="C206" s="34">
        <v>45960</v>
      </c>
      <c r="D206" s="34">
        <v>45961</v>
      </c>
      <c r="E206" s="35">
        <v>533</v>
      </c>
      <c r="F206" s="34">
        <v>45971</v>
      </c>
      <c r="G206" s="34">
        <v>45971</v>
      </c>
      <c r="H206" s="10"/>
    </row>
    <row r="207" spans="1:8" hidden="1" x14ac:dyDescent="0.25">
      <c r="A207" s="58" t="s">
        <v>25</v>
      </c>
      <c r="B207" s="59"/>
      <c r="C207" s="59"/>
      <c r="D207" s="59"/>
      <c r="E207" s="60"/>
      <c r="F207" s="59"/>
      <c r="G207" s="59"/>
      <c r="H207" s="61"/>
    </row>
    <row r="208" spans="1:8" hidden="1" x14ac:dyDescent="0.25">
      <c r="A208" s="2">
        <f>MAX(A196:A207)+1</f>
        <v>166</v>
      </c>
      <c r="B208" s="9" t="s">
        <v>17</v>
      </c>
      <c r="C208" s="6">
        <f t="shared" ref="C208:D210" si="227">IFERROR(IF(C198,C198+14,""),"")</f>
        <v>45964</v>
      </c>
      <c r="D208" s="6">
        <f t="shared" si="227"/>
        <v>45965</v>
      </c>
      <c r="E208" s="4">
        <v>2664</v>
      </c>
      <c r="F208" s="6">
        <f t="shared" ref="F208:G208" si="228">IFERROR(IF(F198,F198+14,""),"")</f>
        <v>45972</v>
      </c>
      <c r="G208" s="6">
        <f t="shared" si="228"/>
        <v>45972</v>
      </c>
      <c r="H208" s="10" t="s">
        <v>61</v>
      </c>
    </row>
    <row r="209" spans="1:8" hidden="1" x14ac:dyDescent="0.25">
      <c r="A209" s="2">
        <f>MAX(A197:A208)+1</f>
        <v>167</v>
      </c>
      <c r="B209" s="9" t="s">
        <v>18</v>
      </c>
      <c r="C209" s="6">
        <f t="shared" si="227"/>
        <v>45967</v>
      </c>
      <c r="D209" s="6">
        <f t="shared" si="227"/>
        <v>45968</v>
      </c>
      <c r="E209" s="4">
        <v>8095</v>
      </c>
      <c r="F209" s="6">
        <f t="shared" ref="F209:G209" si="229">IFERROR(IF(F199,F199+14,""),"")</f>
        <v>45973</v>
      </c>
      <c r="G209" s="6">
        <f t="shared" si="229"/>
        <v>45974</v>
      </c>
      <c r="H209" s="10"/>
    </row>
    <row r="210" spans="1:8" hidden="1" x14ac:dyDescent="0.25">
      <c r="A210" s="2">
        <f>MAX(A198:A209)+1</f>
        <v>168</v>
      </c>
      <c r="B210" s="9" t="s">
        <v>19</v>
      </c>
      <c r="C210" s="6">
        <f t="shared" si="227"/>
        <v>45964</v>
      </c>
      <c r="D210" s="6">
        <f t="shared" si="227"/>
        <v>45965</v>
      </c>
      <c r="E210" s="4">
        <v>1181</v>
      </c>
      <c r="F210" s="6" t="str">
        <f t="shared" ref="F210:G210" si="230">IFERROR(IF(F200,F200+14,""),"")</f>
        <v/>
      </c>
      <c r="G210" s="6" t="str">
        <f t="shared" si="230"/>
        <v/>
      </c>
      <c r="H210" s="10" t="s">
        <v>22</v>
      </c>
    </row>
    <row r="211" spans="1:8" hidden="1" x14ac:dyDescent="0.25">
      <c r="A211" s="58" t="s">
        <v>25</v>
      </c>
      <c r="B211" s="59"/>
      <c r="C211" s="59"/>
      <c r="D211" s="59"/>
      <c r="E211" s="60"/>
      <c r="F211" s="59"/>
      <c r="G211" s="59"/>
      <c r="H211" s="61"/>
    </row>
    <row r="212" spans="1:8" hidden="1" x14ac:dyDescent="0.25">
      <c r="A212" s="2">
        <f t="shared" ref="A212:A215" si="231">MAX(A200:A211)+1</f>
        <v>169</v>
      </c>
      <c r="B212" s="33" t="s">
        <v>15</v>
      </c>
      <c r="C212" s="34">
        <v>45971</v>
      </c>
      <c r="D212" s="34">
        <v>45972</v>
      </c>
      <c r="E212" s="35">
        <v>1033</v>
      </c>
      <c r="F212" s="34">
        <v>45978</v>
      </c>
      <c r="G212" s="34">
        <v>45978</v>
      </c>
      <c r="H212" s="17"/>
    </row>
    <row r="213" spans="1:8" hidden="1" x14ac:dyDescent="0.25">
      <c r="A213" s="2">
        <f t="shared" si="231"/>
        <v>170</v>
      </c>
      <c r="B213" s="9" t="s">
        <v>17</v>
      </c>
      <c r="C213" s="6">
        <v>45971</v>
      </c>
      <c r="D213" s="6">
        <v>45972</v>
      </c>
      <c r="E213" s="4">
        <v>2911</v>
      </c>
      <c r="F213" s="6">
        <v>45979</v>
      </c>
      <c r="G213" s="6">
        <v>45979</v>
      </c>
      <c r="H213" s="10" t="s">
        <v>62</v>
      </c>
    </row>
    <row r="214" spans="1:8" hidden="1" x14ac:dyDescent="0.25">
      <c r="A214" s="2">
        <f t="shared" si="231"/>
        <v>171</v>
      </c>
      <c r="B214" s="9" t="s">
        <v>18</v>
      </c>
      <c r="C214" s="6">
        <v>45974</v>
      </c>
      <c r="D214" s="6">
        <v>45975</v>
      </c>
      <c r="E214" s="4">
        <v>4772</v>
      </c>
      <c r="F214" s="6">
        <v>45980</v>
      </c>
      <c r="G214" s="6">
        <v>45981</v>
      </c>
      <c r="H214" s="10"/>
    </row>
    <row r="215" spans="1:8" hidden="1" x14ac:dyDescent="0.25">
      <c r="A215" s="2">
        <f t="shared" si="231"/>
        <v>172</v>
      </c>
      <c r="B215" s="9" t="s">
        <v>19</v>
      </c>
      <c r="C215" s="6">
        <v>45971</v>
      </c>
      <c r="D215" s="6">
        <v>45972</v>
      </c>
      <c r="E215" s="4">
        <v>422</v>
      </c>
      <c r="F215" s="6"/>
      <c r="G215" s="6"/>
      <c r="H215" s="10" t="s">
        <v>22</v>
      </c>
    </row>
    <row r="216" spans="1:8" hidden="1" x14ac:dyDescent="0.25">
      <c r="A216" s="2">
        <f>MAX(A205:A215)+1</f>
        <v>173</v>
      </c>
      <c r="B216" s="9" t="s">
        <v>26</v>
      </c>
      <c r="C216" s="6">
        <v>45974</v>
      </c>
      <c r="D216" s="6">
        <v>45975</v>
      </c>
      <c r="E216" s="37">
        <v>987</v>
      </c>
      <c r="F216" s="36">
        <v>45985</v>
      </c>
      <c r="G216" s="36">
        <v>45985</v>
      </c>
      <c r="H216" s="30"/>
    </row>
    <row r="217" spans="1:8" hidden="1" x14ac:dyDescent="0.25">
      <c r="A217" s="58" t="s">
        <v>25</v>
      </c>
      <c r="B217" s="59"/>
      <c r="C217" s="59"/>
      <c r="D217" s="59"/>
      <c r="E217" s="60"/>
      <c r="F217" s="59"/>
      <c r="G217" s="59"/>
      <c r="H217" s="61"/>
    </row>
    <row r="218" spans="1:8" hidden="1" x14ac:dyDescent="0.25">
      <c r="A218" s="2">
        <f>MAX(A206:A217)+1</f>
        <v>174</v>
      </c>
      <c r="B218" s="9" t="s">
        <v>17</v>
      </c>
      <c r="C218" s="6">
        <f t="shared" ref="C218:D218" si="232">IFERROR(IF(C208,C208+14,""),"")</f>
        <v>45978</v>
      </c>
      <c r="D218" s="6">
        <f t="shared" si="232"/>
        <v>45979</v>
      </c>
      <c r="E218" s="4">
        <v>3270</v>
      </c>
      <c r="F218" s="6">
        <f t="shared" ref="F218:G218" si="233">IFERROR(IF(F208,F208+14,""),"")</f>
        <v>45986</v>
      </c>
      <c r="G218" s="6">
        <f t="shared" si="233"/>
        <v>45986</v>
      </c>
      <c r="H218" s="10"/>
    </row>
    <row r="219" spans="1:8" hidden="1" x14ac:dyDescent="0.25">
      <c r="A219" s="2">
        <f>MAX(A207:A218)+1</f>
        <v>175</v>
      </c>
      <c r="B219" s="9" t="s">
        <v>18</v>
      </c>
      <c r="C219" s="6">
        <f t="shared" ref="C219:D219" si="234">IFERROR(IF(C209,C209+14,""),"")</f>
        <v>45981</v>
      </c>
      <c r="D219" s="6">
        <f t="shared" si="234"/>
        <v>45982</v>
      </c>
      <c r="E219" s="4">
        <v>6957</v>
      </c>
      <c r="F219" s="6">
        <f t="shared" ref="F219:G219" si="235">IFERROR(IF(F209,F209+14,""),"")</f>
        <v>45987</v>
      </c>
      <c r="G219" s="6">
        <f t="shared" si="235"/>
        <v>45988</v>
      </c>
      <c r="H219" s="10"/>
    </row>
    <row r="220" spans="1:8" hidden="1" x14ac:dyDescent="0.25">
      <c r="A220" s="2">
        <f>MAX(A208:A219)+1</f>
        <v>176</v>
      </c>
      <c r="B220" s="9" t="s">
        <v>19</v>
      </c>
      <c r="C220" s="6">
        <f t="shared" ref="C220:D220" si="236">IFERROR(IF(C210,C210+14,""),"")</f>
        <v>45978</v>
      </c>
      <c r="D220" s="6">
        <f t="shared" si="236"/>
        <v>45979</v>
      </c>
      <c r="E220" s="4">
        <v>1627</v>
      </c>
      <c r="F220" s="6" t="str">
        <f t="shared" ref="F220:G220" si="237">IFERROR(IF(F210,F210+14,""),"")</f>
        <v/>
      </c>
      <c r="G220" s="6" t="str">
        <f t="shared" si="237"/>
        <v/>
      </c>
      <c r="H220" s="10" t="s">
        <v>63</v>
      </c>
    </row>
    <row r="221" spans="1:8" hidden="1" x14ac:dyDescent="0.25">
      <c r="A221" s="58" t="s">
        <v>25</v>
      </c>
      <c r="B221" s="59"/>
      <c r="C221" s="59"/>
      <c r="D221" s="59"/>
      <c r="E221" s="60"/>
      <c r="F221" s="59"/>
      <c r="G221" s="59"/>
      <c r="H221" s="61"/>
    </row>
    <row r="222" spans="1:8" hidden="1" x14ac:dyDescent="0.25">
      <c r="A222" s="2">
        <f t="shared" ref="A222:A225" si="238">MAX(A210:A221)+1</f>
        <v>177</v>
      </c>
      <c r="B222" s="38" t="s">
        <v>15</v>
      </c>
      <c r="C222" s="36">
        <f>IFERROR(IF(C212,C212+14,""),"")</f>
        <v>45985</v>
      </c>
      <c r="D222" s="36">
        <f t="shared" ref="D222:D226" si="239">IFERROR(IF(D212,D212+14,""),"")</f>
        <v>45986</v>
      </c>
      <c r="E222" s="37">
        <v>1614</v>
      </c>
      <c r="F222" s="36">
        <f t="shared" ref="F222:G222" si="240">IFERROR(IF(F212,F212+14,""),"")</f>
        <v>45992</v>
      </c>
      <c r="G222" s="36">
        <f t="shared" si="240"/>
        <v>45992</v>
      </c>
      <c r="H222" s="17"/>
    </row>
    <row r="223" spans="1:8" hidden="1" x14ac:dyDescent="0.25">
      <c r="A223" s="2">
        <f t="shared" si="238"/>
        <v>178</v>
      </c>
      <c r="B223" s="9" t="s">
        <v>17</v>
      </c>
      <c r="C223" s="36">
        <f t="shared" ref="C223" si="241">IFERROR(IF(C213,C213+14,""),"")</f>
        <v>45985</v>
      </c>
      <c r="D223" s="36">
        <f t="shared" si="239"/>
        <v>45986</v>
      </c>
      <c r="E223" s="4">
        <v>4562</v>
      </c>
      <c r="F223" s="36">
        <f t="shared" ref="F223:G223" si="242">IFERROR(IF(F213,F213+14,""),"")</f>
        <v>45993</v>
      </c>
      <c r="G223" s="36">
        <f t="shared" si="242"/>
        <v>45993</v>
      </c>
      <c r="H223" s="10" t="s">
        <v>64</v>
      </c>
    </row>
    <row r="224" spans="1:8" hidden="1" x14ac:dyDescent="0.25">
      <c r="A224" s="2">
        <f t="shared" si="238"/>
        <v>179</v>
      </c>
      <c r="B224" s="9" t="s">
        <v>18</v>
      </c>
      <c r="C224" s="36">
        <f t="shared" ref="C224" si="243">IFERROR(IF(C214,C214+14,""),"")</f>
        <v>45988</v>
      </c>
      <c r="D224" s="36">
        <f t="shared" si="239"/>
        <v>45989</v>
      </c>
      <c r="E224" s="4">
        <v>6290</v>
      </c>
      <c r="F224" s="36">
        <f t="shared" ref="F224:G224" si="244">IFERROR(IF(F214,F214+14,""),"")</f>
        <v>45994</v>
      </c>
      <c r="G224" s="36">
        <f t="shared" si="244"/>
        <v>45995</v>
      </c>
      <c r="H224" s="10"/>
    </row>
    <row r="225" spans="1:8" hidden="1" x14ac:dyDescent="0.25">
      <c r="A225" s="2">
        <f t="shared" si="238"/>
        <v>180</v>
      </c>
      <c r="B225" s="9" t="s">
        <v>19</v>
      </c>
      <c r="C225" s="36">
        <f t="shared" ref="C225" si="245">IFERROR(IF(C215,C215+14,""),"")</f>
        <v>45985</v>
      </c>
      <c r="D225" s="36">
        <f t="shared" si="239"/>
        <v>45986</v>
      </c>
      <c r="E225" s="4"/>
      <c r="F225" s="36"/>
      <c r="G225" s="36"/>
      <c r="H225" s="10" t="s">
        <v>22</v>
      </c>
    </row>
    <row r="226" spans="1:8" hidden="1" x14ac:dyDescent="0.25">
      <c r="A226" s="2">
        <f>MAX(A215:A225)+1</f>
        <v>181</v>
      </c>
      <c r="B226" s="9" t="s">
        <v>26</v>
      </c>
      <c r="C226" s="36">
        <f t="shared" ref="C226" si="246">IFERROR(IF(C216,C216+14,""),"")</f>
        <v>45988</v>
      </c>
      <c r="D226" s="36">
        <f t="shared" si="239"/>
        <v>45989</v>
      </c>
      <c r="E226" s="37">
        <v>2026</v>
      </c>
      <c r="F226" s="36">
        <f t="shared" ref="F226:G226" si="247">IFERROR(IF(F216,F216+14,""),"")</f>
        <v>45999</v>
      </c>
      <c r="G226" s="36">
        <f t="shared" si="247"/>
        <v>45999</v>
      </c>
      <c r="H226" s="30"/>
    </row>
    <row r="227" spans="1:8" hidden="1" x14ac:dyDescent="0.25">
      <c r="A227" s="58" t="s">
        <v>25</v>
      </c>
      <c r="B227" s="59"/>
      <c r="C227" s="59"/>
      <c r="D227" s="59"/>
      <c r="E227" s="60"/>
      <c r="F227" s="59"/>
      <c r="G227" s="59"/>
      <c r="H227" s="61"/>
    </row>
    <row r="228" spans="1:8" hidden="1" x14ac:dyDescent="0.25">
      <c r="A228" s="2">
        <f>MAX(A216:A227)+1</f>
        <v>182</v>
      </c>
      <c r="B228" s="9" t="s">
        <v>17</v>
      </c>
      <c r="C228" s="6">
        <f>IFERROR(IF(C218,C218+14,""),"")</f>
        <v>45992</v>
      </c>
      <c r="D228" s="6">
        <f t="shared" ref="D228" si="248">IFERROR(IF(D218,D218+14,""),"")</f>
        <v>45993</v>
      </c>
      <c r="E228" s="4">
        <v>4874</v>
      </c>
      <c r="F228" s="6">
        <f t="shared" ref="F228:G228" si="249">IFERROR(IF(F218,F218+14,""),"")</f>
        <v>46000</v>
      </c>
      <c r="G228" s="6">
        <f t="shared" si="249"/>
        <v>46000</v>
      </c>
      <c r="H228" s="10" t="s">
        <v>65</v>
      </c>
    </row>
    <row r="229" spans="1:8" hidden="1" x14ac:dyDescent="0.25">
      <c r="A229" s="2">
        <f>MAX(A217:A228)+1</f>
        <v>183</v>
      </c>
      <c r="B229" s="9" t="s">
        <v>18</v>
      </c>
      <c r="C229" s="6">
        <f t="shared" ref="C229:D229" si="250">IFERROR(IF(C219,C219+14,""),"")</f>
        <v>45995</v>
      </c>
      <c r="D229" s="6">
        <f t="shared" si="250"/>
        <v>45996</v>
      </c>
      <c r="E229" s="4">
        <v>4992</v>
      </c>
      <c r="F229" s="6">
        <f t="shared" ref="F229:G229" si="251">IFERROR(IF(F219,F219+14,""),"")</f>
        <v>46001</v>
      </c>
      <c r="G229" s="6">
        <f t="shared" si="251"/>
        <v>46002</v>
      </c>
      <c r="H229" s="10"/>
    </row>
    <row r="230" spans="1:8" hidden="1" x14ac:dyDescent="0.25">
      <c r="A230" s="2">
        <f>MAX(A218:A229)+1</f>
        <v>184</v>
      </c>
      <c r="B230" s="9" t="s">
        <v>19</v>
      </c>
      <c r="C230" s="6">
        <f t="shared" ref="C230:D230" si="252">IFERROR(IF(C220,C220+14,""),"")</f>
        <v>45992</v>
      </c>
      <c r="D230" s="6">
        <f t="shared" si="252"/>
        <v>45993</v>
      </c>
      <c r="E230" s="4">
        <v>820</v>
      </c>
      <c r="F230" s="6" t="str">
        <f t="shared" ref="F230:G230" si="253">IFERROR(IF(F220,F220+14,""),"")</f>
        <v/>
      </c>
      <c r="G230" s="6" t="str">
        <f t="shared" si="253"/>
        <v/>
      </c>
      <c r="H230" s="10" t="s">
        <v>22</v>
      </c>
    </row>
    <row r="231" spans="1:8" hidden="1" x14ac:dyDescent="0.25">
      <c r="A231" s="58" t="s">
        <v>25</v>
      </c>
      <c r="B231" s="59"/>
      <c r="C231" s="59"/>
      <c r="D231" s="59"/>
      <c r="E231" s="60"/>
      <c r="F231" s="59"/>
      <c r="G231" s="59"/>
      <c r="H231" s="61"/>
    </row>
    <row r="232" spans="1:8" hidden="1" x14ac:dyDescent="0.25">
      <c r="A232" s="2">
        <f t="shared" ref="A232:A235" si="254">MAX(A220:A231)+1</f>
        <v>185</v>
      </c>
      <c r="B232" s="38" t="s">
        <v>15</v>
      </c>
      <c r="C232" s="36">
        <f>IFERROR(IF(C222,C222+14,""),"")</f>
        <v>45999</v>
      </c>
      <c r="D232" s="36">
        <f t="shared" ref="D232:D235" si="255">IFERROR(IF(D222,D222+14,""),"")</f>
        <v>46000</v>
      </c>
      <c r="E232" s="37">
        <f>2421+144</f>
        <v>2565</v>
      </c>
      <c r="F232" s="36">
        <f t="shared" ref="F232:G232" si="256">IFERROR(IF(F222,F222+14,""),"")</f>
        <v>46006</v>
      </c>
      <c r="G232" s="36">
        <f t="shared" si="256"/>
        <v>46006</v>
      </c>
      <c r="H232" s="17" t="s">
        <v>69</v>
      </c>
    </row>
    <row r="233" spans="1:8" hidden="1" x14ac:dyDescent="0.25">
      <c r="A233" s="2">
        <f t="shared" si="254"/>
        <v>186</v>
      </c>
      <c r="B233" s="9" t="s">
        <v>17</v>
      </c>
      <c r="C233" s="36">
        <f t="shared" ref="C233:C236" si="257">IFERROR(IF(C223,C223+14,""),"")</f>
        <v>45999</v>
      </c>
      <c r="D233" s="36">
        <v>46002</v>
      </c>
      <c r="E233" s="4">
        <v>3333</v>
      </c>
      <c r="F233" s="36">
        <f t="shared" ref="F233:G233" si="258">IFERROR(IF(F223,F223+14,""),"")</f>
        <v>46007</v>
      </c>
      <c r="G233" s="36">
        <f t="shared" si="258"/>
        <v>46007</v>
      </c>
      <c r="H233" s="10" t="s">
        <v>66</v>
      </c>
    </row>
    <row r="234" spans="1:8" hidden="1" x14ac:dyDescent="0.25">
      <c r="A234" s="2">
        <f t="shared" si="254"/>
        <v>187</v>
      </c>
      <c r="B234" s="9" t="s">
        <v>18</v>
      </c>
      <c r="C234" s="36">
        <f t="shared" si="257"/>
        <v>46002</v>
      </c>
      <c r="D234" s="36">
        <f t="shared" si="255"/>
        <v>46003</v>
      </c>
      <c r="E234" s="4">
        <v>11027</v>
      </c>
      <c r="F234" s="36">
        <f t="shared" ref="F234:G234" si="259">IFERROR(IF(F224,F224+14,""),"")</f>
        <v>46008</v>
      </c>
      <c r="G234" s="36">
        <f t="shared" si="259"/>
        <v>46009</v>
      </c>
      <c r="H234" s="10"/>
    </row>
    <row r="235" spans="1:8" hidden="1" x14ac:dyDescent="0.25">
      <c r="A235" s="2">
        <f t="shared" si="254"/>
        <v>188</v>
      </c>
      <c r="B235" s="9" t="s">
        <v>19</v>
      </c>
      <c r="C235" s="36">
        <f t="shared" si="257"/>
        <v>45999</v>
      </c>
      <c r="D235" s="36">
        <f t="shared" si="255"/>
        <v>46000</v>
      </c>
      <c r="E235" s="4"/>
      <c r="F235" s="36"/>
      <c r="G235" s="36"/>
      <c r="H235" s="10" t="s">
        <v>22</v>
      </c>
    </row>
    <row r="236" spans="1:8" hidden="1" x14ac:dyDescent="0.25">
      <c r="A236" s="39">
        <f>MAX(A225:A235)+1</f>
        <v>189</v>
      </c>
      <c r="B236" s="38" t="s">
        <v>26</v>
      </c>
      <c r="C236" s="36">
        <f t="shared" si="257"/>
        <v>46002</v>
      </c>
      <c r="D236" s="36">
        <v>46008</v>
      </c>
      <c r="E236" s="37">
        <v>1287</v>
      </c>
      <c r="F236" s="36">
        <v>46016</v>
      </c>
      <c r="G236" s="36">
        <v>46016</v>
      </c>
      <c r="H236" s="43" t="s">
        <v>68</v>
      </c>
    </row>
    <row r="237" spans="1:8" hidden="1" x14ac:dyDescent="0.25">
      <c r="A237" s="75" t="s">
        <v>25</v>
      </c>
      <c r="B237" s="76"/>
      <c r="C237" s="76"/>
      <c r="D237" s="76"/>
      <c r="E237" s="76"/>
      <c r="F237" s="76"/>
      <c r="G237" s="76"/>
      <c r="H237" s="77"/>
    </row>
    <row r="238" spans="1:8" hidden="1" x14ac:dyDescent="0.25">
      <c r="A238" s="39">
        <f>MAX(A226:A237)+1</f>
        <v>190</v>
      </c>
      <c r="B238" s="38" t="s">
        <v>17</v>
      </c>
      <c r="C238" s="36">
        <f>IFERROR(IF(C228,C228+14,""),"")</f>
        <v>46006</v>
      </c>
      <c r="D238" s="36">
        <v>46010</v>
      </c>
      <c r="E238" s="37">
        <v>2870</v>
      </c>
      <c r="F238" s="36">
        <v>46017</v>
      </c>
      <c r="G238" s="36">
        <v>46017</v>
      </c>
      <c r="H238" s="43" t="s">
        <v>70</v>
      </c>
    </row>
    <row r="239" spans="1:8" hidden="1" x14ac:dyDescent="0.25">
      <c r="A239" s="23">
        <f>MAX(A227:A238)+1</f>
        <v>191</v>
      </c>
      <c r="B239" s="24" t="s">
        <v>18</v>
      </c>
      <c r="C239" s="20">
        <f t="shared" ref="C239:D240" si="260">IFERROR(IF(C229,C229+14,""),"")</f>
        <v>46009</v>
      </c>
      <c r="D239" s="20">
        <f t="shared" si="260"/>
        <v>46010</v>
      </c>
      <c r="E239" s="25"/>
      <c r="F239" s="20">
        <f t="shared" ref="F239:G239" si="261">IFERROR(IF(F229,F229+14,""),"")</f>
        <v>46015</v>
      </c>
      <c r="G239" s="20">
        <f t="shared" si="261"/>
        <v>46016</v>
      </c>
      <c r="H239" s="42" t="s">
        <v>73</v>
      </c>
    </row>
    <row r="240" spans="1:8" ht="30" hidden="1" x14ac:dyDescent="0.25">
      <c r="A240" s="39">
        <f>MAX(A228:A239)+1</f>
        <v>192</v>
      </c>
      <c r="B240" s="38" t="s">
        <v>19</v>
      </c>
      <c r="C240" s="36">
        <f t="shared" ref="C240" si="262">IFERROR(IF(C230,C230+14,""),"")</f>
        <v>46006</v>
      </c>
      <c r="D240" s="36">
        <f t="shared" si="260"/>
        <v>46007</v>
      </c>
      <c r="E240" s="37">
        <v>175</v>
      </c>
      <c r="F240" s="36" t="str">
        <f t="shared" ref="F240:G240" si="263">IFERROR(IF(F230,F230+14,""),"")</f>
        <v/>
      </c>
      <c r="G240" s="36" t="str">
        <f t="shared" si="263"/>
        <v/>
      </c>
      <c r="H240" s="40" t="s">
        <v>67</v>
      </c>
    </row>
    <row r="241" spans="1:8" hidden="1" x14ac:dyDescent="0.25">
      <c r="A241" s="75" t="s">
        <v>25</v>
      </c>
      <c r="B241" s="76"/>
      <c r="C241" s="76"/>
      <c r="D241" s="76"/>
      <c r="E241" s="78"/>
      <c r="F241" s="76"/>
      <c r="G241" s="76"/>
      <c r="H241" s="77"/>
    </row>
    <row r="242" spans="1:8" x14ac:dyDescent="0.25">
      <c r="A242" s="39">
        <f>MAX(A232:A241)+1</f>
        <v>193</v>
      </c>
      <c r="B242" s="38" t="s">
        <v>18</v>
      </c>
      <c r="C242" s="36">
        <v>46013</v>
      </c>
      <c r="D242" s="41">
        <v>46015</v>
      </c>
      <c r="E242" s="37">
        <v>8039</v>
      </c>
      <c r="F242" s="36">
        <v>46020</v>
      </c>
      <c r="G242" s="36">
        <v>46020</v>
      </c>
      <c r="H242" s="43" t="s">
        <v>74</v>
      </c>
    </row>
    <row r="243" spans="1:8" ht="30" x14ac:dyDescent="0.25">
      <c r="A243" s="2">
        <f>MAX(A233:A242)+1</f>
        <v>194</v>
      </c>
      <c r="B243" s="9" t="s">
        <v>19</v>
      </c>
      <c r="C243" s="36" t="s">
        <v>72</v>
      </c>
      <c r="D243" s="36" t="s">
        <v>72</v>
      </c>
      <c r="E243" s="4"/>
      <c r="F243" s="36"/>
      <c r="G243" s="36"/>
      <c r="H243" s="10" t="s">
        <v>71</v>
      </c>
    </row>
    <row r="244" spans="1:8" x14ac:dyDescent="0.25">
      <c r="A244" s="39">
        <f>MAX(A235:A243)+1</f>
        <v>195</v>
      </c>
      <c r="B244" s="38" t="s">
        <v>26</v>
      </c>
      <c r="C244" s="36">
        <f>IFERROR(IF(C236,C236+14,""),"")</f>
        <v>46016</v>
      </c>
      <c r="D244" s="36">
        <v>46017</v>
      </c>
      <c r="E244" s="37">
        <v>3133</v>
      </c>
      <c r="F244" s="36">
        <v>46034</v>
      </c>
      <c r="G244" s="36">
        <v>46034</v>
      </c>
      <c r="H244" s="40"/>
    </row>
    <row r="245" spans="1:8" x14ac:dyDescent="0.25">
      <c r="A245" s="75"/>
      <c r="B245" s="76"/>
      <c r="C245" s="76"/>
      <c r="D245" s="76"/>
      <c r="E245" s="76"/>
      <c r="F245" s="76"/>
      <c r="G245" s="76"/>
      <c r="H245" s="77"/>
    </row>
    <row r="246" spans="1:8" x14ac:dyDescent="0.25">
      <c r="A246" s="39">
        <f>MAX(A235:A245)+1</f>
        <v>196</v>
      </c>
      <c r="B246" s="38" t="s">
        <v>17</v>
      </c>
      <c r="C246" s="57">
        <v>46020</v>
      </c>
      <c r="D246" s="36">
        <v>46027</v>
      </c>
      <c r="E246" s="37">
        <f>4728+2633</f>
        <v>7361</v>
      </c>
      <c r="F246" s="36">
        <v>46034</v>
      </c>
      <c r="G246" s="36">
        <v>46034</v>
      </c>
      <c r="H246" s="56" t="s">
        <v>77</v>
      </c>
    </row>
    <row r="247" spans="1:8" x14ac:dyDescent="0.25">
      <c r="A247" s="2">
        <f>MAX(A236:A246)+1</f>
        <v>197</v>
      </c>
      <c r="B247" s="9" t="s">
        <v>15</v>
      </c>
      <c r="C247" s="50" t="s">
        <v>75</v>
      </c>
      <c r="D247" s="36">
        <v>46027</v>
      </c>
      <c r="E247" s="37">
        <v>2856</v>
      </c>
      <c r="F247" s="36">
        <v>46035</v>
      </c>
      <c r="G247" s="36">
        <v>46035</v>
      </c>
      <c r="H247" s="43"/>
    </row>
    <row r="248" spans="1:8" ht="30" x14ac:dyDescent="0.25">
      <c r="A248" s="51">
        <f>MAX(A236:A247)+1</f>
        <v>198</v>
      </c>
      <c r="B248" s="52" t="s">
        <v>18</v>
      </c>
      <c r="C248" s="53">
        <v>46030</v>
      </c>
      <c r="D248" s="53">
        <v>46031</v>
      </c>
      <c r="E248" s="54"/>
      <c r="F248" s="53">
        <v>46036</v>
      </c>
      <c r="G248" s="53">
        <v>46037</v>
      </c>
      <c r="H248" s="55" t="s">
        <v>76</v>
      </c>
    </row>
    <row r="249" spans="1:8" x14ac:dyDescent="0.25">
      <c r="A249" s="58"/>
      <c r="B249" s="59"/>
      <c r="C249" s="59"/>
      <c r="D249" s="59"/>
      <c r="E249" s="59"/>
      <c r="F249" s="59"/>
      <c r="G249" s="59"/>
      <c r="H249" s="61"/>
    </row>
    <row r="250" spans="1:8" x14ac:dyDescent="0.25">
      <c r="A250" s="2">
        <f>MAX(A238:A249)+1</f>
        <v>199</v>
      </c>
      <c r="B250" s="9" t="s">
        <v>17</v>
      </c>
      <c r="C250" s="36">
        <v>46034</v>
      </c>
      <c r="D250" s="36">
        <v>46035</v>
      </c>
      <c r="E250" s="37">
        <v>2943</v>
      </c>
      <c r="F250" s="36">
        <v>46042</v>
      </c>
      <c r="G250" s="36">
        <v>46042</v>
      </c>
      <c r="H250" s="10"/>
    </row>
    <row r="251" spans="1:8" ht="30" x14ac:dyDescent="0.25">
      <c r="A251" s="2">
        <f t="shared" ref="A251:A254" si="264">MAX(A239:A250)+1</f>
        <v>200</v>
      </c>
      <c r="B251" s="38" t="s">
        <v>15</v>
      </c>
      <c r="C251" s="36">
        <v>46034</v>
      </c>
      <c r="D251" s="36">
        <v>46035</v>
      </c>
      <c r="E251" s="37">
        <v>2085</v>
      </c>
      <c r="F251" s="15">
        <v>46048</v>
      </c>
      <c r="G251" s="36">
        <v>46048</v>
      </c>
      <c r="H251" s="17" t="s">
        <v>78</v>
      </c>
    </row>
    <row r="252" spans="1:8" ht="30" x14ac:dyDescent="0.25">
      <c r="A252" s="2">
        <f t="shared" si="264"/>
        <v>201</v>
      </c>
      <c r="B252" s="9" t="s">
        <v>19</v>
      </c>
      <c r="C252" s="36" t="s">
        <v>72</v>
      </c>
      <c r="D252" s="36">
        <v>46035</v>
      </c>
      <c r="E252" s="37">
        <v>1307</v>
      </c>
      <c r="F252" s="36"/>
      <c r="G252" s="36"/>
      <c r="H252" s="10" t="s">
        <v>71</v>
      </c>
    </row>
    <row r="253" spans="1:8" x14ac:dyDescent="0.25">
      <c r="A253" s="2">
        <f t="shared" si="264"/>
        <v>202</v>
      </c>
      <c r="B253" s="9" t="s">
        <v>18</v>
      </c>
      <c r="C253" s="36">
        <v>46037</v>
      </c>
      <c r="D253" s="36">
        <v>46038</v>
      </c>
      <c r="E253" s="37">
        <v>11471</v>
      </c>
      <c r="F253" s="36">
        <v>46043</v>
      </c>
      <c r="G253" s="36">
        <v>46044</v>
      </c>
      <c r="H253" s="10"/>
    </row>
    <row r="254" spans="1:8" ht="30" x14ac:dyDescent="0.25">
      <c r="A254" s="51">
        <f t="shared" si="264"/>
        <v>203</v>
      </c>
      <c r="B254" s="52" t="s">
        <v>26</v>
      </c>
      <c r="C254" s="79" t="s">
        <v>75</v>
      </c>
      <c r="D254" s="53">
        <v>46036</v>
      </c>
      <c r="E254" s="54"/>
      <c r="F254" s="53">
        <v>46041</v>
      </c>
      <c r="G254" s="53">
        <v>46041</v>
      </c>
      <c r="H254" s="55" t="s">
        <v>79</v>
      </c>
    </row>
    <row r="255" spans="1:8" x14ac:dyDescent="0.25">
      <c r="A255" s="58"/>
      <c r="B255" s="59"/>
      <c r="C255" s="59"/>
      <c r="D255" s="59"/>
      <c r="E255" s="59"/>
      <c r="F255" s="59"/>
      <c r="G255" s="59"/>
      <c r="H255" s="61"/>
    </row>
    <row r="256" spans="1:8" x14ac:dyDescent="0.25">
      <c r="A256" s="2">
        <f>MAX(A244:A255)+1</f>
        <v>204</v>
      </c>
      <c r="B256" s="9" t="s">
        <v>17</v>
      </c>
      <c r="C256" s="36">
        <v>46041</v>
      </c>
      <c r="D256" s="36">
        <v>46042</v>
      </c>
      <c r="E256" s="37"/>
      <c r="F256" s="36">
        <v>46042</v>
      </c>
      <c r="G256" s="36">
        <v>46042</v>
      </c>
      <c r="H256" s="10"/>
    </row>
    <row r="257" spans="1:8" x14ac:dyDescent="0.25">
      <c r="A257" s="2">
        <f>MAX(A246:A256)+1</f>
        <v>205</v>
      </c>
      <c r="B257" s="9" t="s">
        <v>19</v>
      </c>
      <c r="C257" s="36">
        <v>46041</v>
      </c>
      <c r="D257" s="36">
        <v>46042</v>
      </c>
      <c r="E257" s="37"/>
      <c r="F257" s="36"/>
      <c r="G257" s="36"/>
      <c r="H257" s="10" t="s">
        <v>22</v>
      </c>
    </row>
    <row r="258" spans="1:8" x14ac:dyDescent="0.25">
      <c r="A258" s="2">
        <f>MAX(A247:A257)+1</f>
        <v>206</v>
      </c>
      <c r="B258" s="9" t="s">
        <v>18</v>
      </c>
      <c r="C258" s="36">
        <v>46044</v>
      </c>
      <c r="D258" s="36">
        <v>46045</v>
      </c>
      <c r="E258" s="37"/>
      <c r="F258" s="36">
        <v>46050</v>
      </c>
      <c r="G258" s="36">
        <v>46051</v>
      </c>
      <c r="H258" s="10"/>
    </row>
    <row r="259" spans="1:8" x14ac:dyDescent="0.25">
      <c r="A259" s="2">
        <f>MAX(A248:A258)+1</f>
        <v>207</v>
      </c>
      <c r="B259" s="9" t="s">
        <v>26</v>
      </c>
      <c r="C259" s="36">
        <v>46044</v>
      </c>
      <c r="D259" s="36">
        <v>46045</v>
      </c>
      <c r="E259" s="37"/>
      <c r="F259" s="36">
        <v>46055</v>
      </c>
      <c r="G259" s="36">
        <v>46056</v>
      </c>
      <c r="H259" s="10"/>
    </row>
  </sheetData>
  <autoFilter ref="A8:H244" xr:uid="{9D5F3532-A341-428E-AFDB-DF9AAA83E1F5}">
    <filterColumn colId="0">
      <filters>
        <filter val="193"/>
        <filter val="194"/>
        <filter val="195"/>
      </filters>
    </filterColumn>
  </autoFilter>
  <mergeCells count="48">
    <mergeCell ref="A255:H255"/>
    <mergeCell ref="A249:H249"/>
    <mergeCell ref="A152:H152"/>
    <mergeCell ref="A202:H202"/>
    <mergeCell ref="A245:H245"/>
    <mergeCell ref="A241:H241"/>
    <mergeCell ref="A196:H196"/>
    <mergeCell ref="A192:H192"/>
    <mergeCell ref="A221:H221"/>
    <mergeCell ref="A211:H211"/>
    <mergeCell ref="A217:H217"/>
    <mergeCell ref="A237:H237"/>
    <mergeCell ref="A231:H231"/>
    <mergeCell ref="A227:H227"/>
    <mergeCell ref="A116:H116"/>
    <mergeCell ref="A145:H145"/>
    <mergeCell ref="A97:H97"/>
    <mergeCell ref="A121:H121"/>
    <mergeCell ref="A102:H102"/>
    <mergeCell ref="A1:H1"/>
    <mergeCell ref="A2:A7"/>
    <mergeCell ref="H2:H7"/>
    <mergeCell ref="A14:H14"/>
    <mergeCell ref="A20:H20"/>
    <mergeCell ref="A26:H26"/>
    <mergeCell ref="A41:H41"/>
    <mergeCell ref="F5:G5"/>
    <mergeCell ref="A66:H66"/>
    <mergeCell ref="A61:H61"/>
    <mergeCell ref="A54:H54"/>
    <mergeCell ref="A49:H49"/>
    <mergeCell ref="A34:H34"/>
    <mergeCell ref="A207:H207"/>
    <mergeCell ref="A73:H73"/>
    <mergeCell ref="A156:H156"/>
    <mergeCell ref="A186:H186"/>
    <mergeCell ref="A182:H182"/>
    <mergeCell ref="A176:H176"/>
    <mergeCell ref="A172:H172"/>
    <mergeCell ref="A166:H166"/>
    <mergeCell ref="A90:H90"/>
    <mergeCell ref="A85:H85"/>
    <mergeCell ref="A128:H128"/>
    <mergeCell ref="A133:H133"/>
    <mergeCell ref="A140:H140"/>
    <mergeCell ref="A109:H109"/>
    <mergeCell ref="A162:H162"/>
    <mergeCell ref="A78:H78"/>
  </mergeCells>
  <pageMargins left="0.51181102362204722" right="0.51181102362204722" top="0.35433070866141736" bottom="0.35433070866141736" header="0.31496062992125984" footer="0.31496062992125984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2026-01-14T13:05:54Z</cp:lastPrinted>
  <dcterms:created xsi:type="dcterms:W3CDTF">2015-06-05T18:19:34Z</dcterms:created>
  <dcterms:modified xsi:type="dcterms:W3CDTF">2026-01-19T11:11:05Z</dcterms:modified>
</cp:coreProperties>
</file>