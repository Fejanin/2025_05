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83B065D7-5758-4C59-8B63-A21A7267756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Лист1!$A$8:$H$230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32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C244" i="1" s="1"/>
  <c r="D225" i="1"/>
  <c r="D235" i="1" s="1"/>
  <c r="D243" i="1" s="1"/>
  <c r="C225" i="1"/>
  <c r="C235" i="1" s="1"/>
  <c r="C243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D24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l="1"/>
  <c r="A234" i="1" l="1"/>
  <c r="A235" i="1" s="1"/>
  <c r="A236" i="1" l="1"/>
  <c r="A238" i="1" l="1"/>
  <c r="A239" i="1"/>
  <c r="A240" i="1" s="1"/>
  <c r="A242" i="1" l="1"/>
  <c r="A243" i="1" s="1"/>
  <c r="A244" i="1" l="1"/>
</calcChain>
</file>

<file path=xl/sharedStrings.xml><?xml version="1.0" encoding="utf-8"?>
<sst xmlns="http://schemas.openxmlformats.org/spreadsheetml/2006/main" count="350" uniqueCount="72">
  <si>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</si>
  <si>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</si>
  <si>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</si>
  <si>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</si>
  <si>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</si>
  <si>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</si>
  <si>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</si>
  <si>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</si>
  <si>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</si>
  <si>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</si>
  <si>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</si>
  <si>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</si>
  <si>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</si>
  <si>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</si>
  <si>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</si>
  <si>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</si>
  <si>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</si>
  <si>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</si>
  <si>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</si>
  <si>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</si>
  <si>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</si>
  <si>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</si>
  <si>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</si>
  <si>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</si>
  <si>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</si>
  <si>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</si>
  <si>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</si>
  <si>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</si>
  <si>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</si>
  <si>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</si>
  <si>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</si>
  <si>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</si>
  <si>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</si>
  <si>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</si>
  <si>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</si>
  <si>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</si>
  <si>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</si>
  <si>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</si>
  <si>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</si>
  <si>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</si>
  <si>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</si>
  <si>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</si>
  <si>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</si>
  <si>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</si>
  <si>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</si>
  <si>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</si>
  <si>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</si>
  <si>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</si>
  <si>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</si>
  <si>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</si>
  <si>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</si>
  <si>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</si>
  <si>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</si>
  <si>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</si>
  <si>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</si>
  <si>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</si>
  <si>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</si>
  <si>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</si>
  <si>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</si>
  <si>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</si>
  <si>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</si>
  <si>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</si>
  <si>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</si>
  <si>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</si>
  <si>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</si>
  <si>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</si>
  <si>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</si>
  <si>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</si>
  <si>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</si>
  <si>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</si>
  <si>
    <t>сделан заказ на 26,12,25 ориентировочно</t>
  </si>
  <si>
    <t>отгрузка на месте / под клиента (после НГ нет склада)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</si>
</sst>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45"/>
  <sheetViews>
    <sheetView tabSelected="1" zoomScaleNormal="100" workbookViewId="0">
      <pane ySplit="8" topLeftCell="A9" activePane="bottomLeft" state="frozen"/>
      <selection pane="bottomLeft" activeCell="K238" sqref="K238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6.85546875" style="16" customWidth="1"/>
    <col min="9" max="16384" width="9.140625" style="12"/>
  </cols>
  <sheetData>
    <row r="1" spans="1:8" x14ac:dyDescent="0.25">
      <c r="A1" s="49" t="s">
        <v>23</v>
      </c>
      <c r="B1" s="50"/>
      <c r="C1" s="50"/>
      <c r="D1" s="50"/>
      <c r="E1" s="51"/>
      <c r="F1" s="50"/>
      <c r="G1" s="50"/>
      <c r="H1" s="52"/>
    </row>
    <row r="2" spans="1:8" x14ac:dyDescent="0.25">
      <c r="A2" s="53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6" t="s">
        <v>16</v>
      </c>
    </row>
    <row r="3" spans="1:8" x14ac:dyDescent="0.25">
      <c r="A3" s="54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7"/>
    </row>
    <row r="4" spans="1:8" x14ac:dyDescent="0.25">
      <c r="A4" s="54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7"/>
    </row>
    <row r="5" spans="1:8" x14ac:dyDescent="0.25">
      <c r="A5" s="54"/>
      <c r="B5" s="13" t="s">
        <v>19</v>
      </c>
      <c r="C5" s="7" t="s">
        <v>10</v>
      </c>
      <c r="D5" s="7" t="s">
        <v>9</v>
      </c>
      <c r="E5" s="4"/>
      <c r="F5" s="60" t="s">
        <v>34</v>
      </c>
      <c r="G5" s="61"/>
      <c r="H5" s="57"/>
    </row>
    <row r="6" spans="1:8" ht="30" x14ac:dyDescent="0.25">
      <c r="A6" s="54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7"/>
    </row>
    <row r="7" spans="1:8" ht="30" x14ac:dyDescent="0.25">
      <c r="A7" s="55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8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8"/>
      <c r="F20" s="46"/>
      <c r="G20" s="46"/>
      <c r="H20" s="5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8"/>
      <c r="F26" s="46"/>
      <c r="G26" s="46"/>
      <c r="H26" s="5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8"/>
      <c r="F34" s="46"/>
      <c r="G34" s="46"/>
      <c r="H34" s="5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8"/>
      <c r="F41" s="46"/>
      <c r="G41" s="46"/>
      <c r="H41" s="5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30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8"/>
      <c r="F49" s="46"/>
      <c r="G49" s="46"/>
      <c r="H49" s="59"/>
    </row>
    <row r="50" spans="1:8" ht="30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8"/>
      <c r="F54" s="46"/>
      <c r="G54" s="46"/>
      <c r="H54" s="5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30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7"/>
    </row>
    <row r="62" spans="1:8" ht="30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30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7"/>
    </row>
    <row r="74" spans="1:8" ht="30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30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30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7"/>
    </row>
    <row r="103" spans="1:8" ht="7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7"/>
    </row>
    <row r="110" spans="1:8" ht="7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8"/>
      <c r="F145" s="46"/>
      <c r="G145" s="46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8"/>
      <c r="F152" s="46"/>
      <c r="G152" s="46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8"/>
      <c r="F156" s="46"/>
      <c r="G156" s="46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8"/>
      <c r="F162" s="46"/>
      <c r="G162" s="46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8"/>
      <c r="F166" s="46"/>
      <c r="G166" s="46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8"/>
      <c r="F172" s="46"/>
      <c r="G172" s="46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8"/>
      <c r="F176" s="46"/>
      <c r="G176" s="46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8"/>
      <c r="F182" s="46"/>
      <c r="G182" s="46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8"/>
      <c r="F186" s="46"/>
      <c r="G186" s="46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8"/>
      <c r="F192" s="46"/>
      <c r="G192" s="46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8"/>
      <c r="F196" s="46"/>
      <c r="G196" s="46"/>
      <c r="H196" s="47"/>
    </row>
    <row r="197" spans="1:8" ht="30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8"/>
      <c r="F202" s="46"/>
      <c r="G202" s="46"/>
      <c r="H202" s="47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8"/>
      <c r="F207" s="46"/>
      <c r="G207" s="46"/>
      <c r="H207" s="47"/>
    </row>
    <row r="208" spans="1:8" hidden="1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hidden="1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hidden="1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hidden="1" x14ac:dyDescent="0.25">
      <c r="A211" s="45" t="s">
        <v>25</v>
      </c>
      <c r="B211" s="46"/>
      <c r="C211" s="46"/>
      <c r="D211" s="46"/>
      <c r="E211" s="48"/>
      <c r="F211" s="46"/>
      <c r="G211" s="46"/>
      <c r="H211" s="47"/>
    </row>
    <row r="212" spans="1:8" hidden="1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hidden="1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hidden="1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hidden="1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hidden="1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hidden="1" x14ac:dyDescent="0.25">
      <c r="A217" s="45" t="s">
        <v>25</v>
      </c>
      <c r="B217" s="46"/>
      <c r="C217" s="46"/>
      <c r="D217" s="46"/>
      <c r="E217" s="48"/>
      <c r="F217" s="46"/>
      <c r="G217" s="46"/>
      <c r="H217" s="47"/>
    </row>
    <row r="218" spans="1:8" hidden="1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hidden="1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hidden="1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hidden="1" x14ac:dyDescent="0.25">
      <c r="A221" s="45" t="s">
        <v>25</v>
      </c>
      <c r="B221" s="46"/>
      <c r="C221" s="46"/>
      <c r="D221" s="46"/>
      <c r="E221" s="48"/>
      <c r="F221" s="46"/>
      <c r="G221" s="46"/>
      <c r="H221" s="47"/>
    </row>
    <row r="222" spans="1:8" hidden="1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hidden="1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hidden="1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hidden="1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hidden="1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hidden="1" x14ac:dyDescent="0.25">
      <c r="A227" s="45" t="s">
        <v>25</v>
      </c>
      <c r="B227" s="46"/>
      <c r="C227" s="46"/>
      <c r="D227" s="46"/>
      <c r="E227" s="48"/>
      <c r="F227" s="46"/>
      <c r="G227" s="46"/>
      <c r="H227" s="47"/>
    </row>
    <row r="228" spans="1:8" ht="30" x14ac:dyDescent="0.25">
      <c r="A228" s="2">
        <f>MAX(A216:A227)+1</f>
        <v>182</v>
      </c>
      <c r="B228" s="14" t="s">
        <v>17</v>
      </c>
      <c r="C228" s="8">
        <f>IFERROR(IF(C218,C218+14,""),"")</f>
        <v>45992</v>
      </c>
      <c r="D228" s="8">
        <f t="shared" ref="D228" si="248">IFERROR(IF(D218,D218+14,""),"")</f>
        <v>45993</v>
      </c>
      <c r="E228" s="5">
        <v>4874</v>
      </c>
      <c r="F228" s="8">
        <f t="shared" ref="F228:G228" si="249">IFERROR(IF(F218,F218+14,""),"")</f>
        <v>46000</v>
      </c>
      <c r="G228" s="8">
        <f t="shared" si="249"/>
        <v>46000</v>
      </c>
      <c r="H228" s="15" t="s">
        <v>65</v>
      </c>
    </row>
    <row r="229" spans="1:8" x14ac:dyDescent="0.25">
      <c r="A229" s="2">
        <f>MAX(A217:A228)+1</f>
        <v>183</v>
      </c>
      <c r="B229" s="14" t="s">
        <v>18</v>
      </c>
      <c r="C229" s="8">
        <f t="shared" ref="C229:D229" si="250">IFERROR(IF(C219,C219+14,""),"")</f>
        <v>45995</v>
      </c>
      <c r="D229" s="8">
        <f t="shared" si="250"/>
        <v>45996</v>
      </c>
      <c r="E229" s="5">
        <v>4992</v>
      </c>
      <c r="F229" s="8">
        <f t="shared" ref="F229:G229" si="251">IFERROR(IF(F219,F219+14,""),"")</f>
        <v>46001</v>
      </c>
      <c r="G229" s="8">
        <f t="shared" si="251"/>
        <v>46002</v>
      </c>
      <c r="H229" s="15"/>
    </row>
    <row r="230" spans="1:8" x14ac:dyDescent="0.25">
      <c r="A230" s="2">
        <f>MAX(A218:A229)+1</f>
        <v>184</v>
      </c>
      <c r="B230" s="14" t="s">
        <v>19</v>
      </c>
      <c r="C230" s="8">
        <f t="shared" ref="C230:D230" si="252">IFERROR(IF(C220,C220+14,""),"")</f>
        <v>45992</v>
      </c>
      <c r="D230" s="8">
        <f t="shared" si="252"/>
        <v>45993</v>
      </c>
      <c r="E230" s="5">
        <v>820</v>
      </c>
      <c r="F230" s="8" t="str">
        <f t="shared" ref="F230:G230" si="253">IFERROR(IF(F220,F220+14,""),"")</f>
        <v/>
      </c>
      <c r="G230" s="8" t="str">
        <f t="shared" si="253"/>
        <v/>
      </c>
      <c r="H230" s="15" t="s">
        <v>22</v>
      </c>
    </row>
    <row r="231" spans="1:8" x14ac:dyDescent="0.25">
      <c r="A231" s="45"/>
      <c r="B231" s="46"/>
      <c r="C231" s="46"/>
      <c r="D231" s="46"/>
      <c r="E231" s="48"/>
      <c r="F231" s="46"/>
      <c r="G231" s="46"/>
      <c r="H231" s="47"/>
    </row>
    <row r="232" spans="1:8" ht="30" x14ac:dyDescent="0.25">
      <c r="A232" s="2">
        <f t="shared" ref="A232:A235" si="254">MAX(A220:A231)+1</f>
        <v>185</v>
      </c>
      <c r="B232" s="44" t="s">
        <v>15</v>
      </c>
      <c r="C232" s="42">
        <f>IFERROR(IF(C222,C222+14,""),"")</f>
        <v>45999</v>
      </c>
      <c r="D232" s="42">
        <f t="shared" ref="D232:D235" si="255">IFERROR(IF(D222,D222+14,""),"")</f>
        <v>46000</v>
      </c>
      <c r="E232" s="43">
        <f>2421+144</f>
        <v>2565</v>
      </c>
      <c r="F232" s="42">
        <f t="shared" ref="F232:G232" si="256">IFERROR(IF(F222,F222+14,""),"")</f>
        <v>46006</v>
      </c>
      <c r="G232" s="42">
        <f t="shared" si="256"/>
        <v>46006</v>
      </c>
      <c r="H232" s="23" t="s">
        <v>69</v>
      </c>
    </row>
    <row r="233" spans="1:8" x14ac:dyDescent="0.25">
      <c r="A233" s="2">
        <f t="shared" si="254"/>
        <v>186</v>
      </c>
      <c r="B233" s="14" t="s">
        <v>17</v>
      </c>
      <c r="C233" s="42">
        <f t="shared" ref="C233:C236" si="257">IFERROR(IF(C223,C223+14,""),"")</f>
        <v>45999</v>
      </c>
      <c r="D233" s="40">
        <v>46002</v>
      </c>
      <c r="E233" s="5">
        <v>3333</v>
      </c>
      <c r="F233" s="42">
        <f t="shared" ref="F233:G233" si="258">IFERROR(IF(F223,F223+14,""),"")</f>
        <v>46007</v>
      </c>
      <c r="G233" s="42">
        <f t="shared" si="258"/>
        <v>46007</v>
      </c>
      <c r="H233" s="15" t="s">
        <v>66</v>
      </c>
    </row>
    <row r="234" spans="1:8" x14ac:dyDescent="0.25">
      <c r="A234" s="2">
        <f t="shared" si="254"/>
        <v>187</v>
      </c>
      <c r="B234" s="14" t="s">
        <v>18</v>
      </c>
      <c r="C234" s="42">
        <f t="shared" si="257"/>
        <v>46002</v>
      </c>
      <c r="D234" s="42">
        <f t="shared" si="255"/>
        <v>46003</v>
      </c>
      <c r="E234" s="5">
        <v>11027</v>
      </c>
      <c r="F234" s="42">
        <f t="shared" ref="F234:G234" si="259">IFERROR(IF(F224,F224+14,""),"")</f>
        <v>46008</v>
      </c>
      <c r="G234" s="42">
        <f t="shared" si="259"/>
        <v>46009</v>
      </c>
      <c r="H234" s="15"/>
    </row>
    <row r="235" spans="1:8" x14ac:dyDescent="0.25">
      <c r="A235" s="2">
        <f t="shared" si="254"/>
        <v>188</v>
      </c>
      <c r="B235" s="14" t="s">
        <v>19</v>
      </c>
      <c r="C235" s="42">
        <f t="shared" si="257"/>
        <v>45999</v>
      </c>
      <c r="D235" s="42">
        <f t="shared" si="255"/>
        <v>46000</v>
      </c>
      <c r="E235" s="5"/>
      <c r="F235" s="42"/>
      <c r="G235" s="42"/>
      <c r="H235" s="15" t="s">
        <v>22</v>
      </c>
    </row>
    <row r="236" spans="1:8" ht="30" x14ac:dyDescent="0.25">
      <c r="A236" s="2">
        <f>MAX(A225:A235)+1</f>
        <v>189</v>
      </c>
      <c r="B236" s="14" t="s">
        <v>26</v>
      </c>
      <c r="C236" s="42">
        <f t="shared" si="257"/>
        <v>46002</v>
      </c>
      <c r="D236" s="40">
        <v>46008</v>
      </c>
      <c r="E236" s="43">
        <v>1287</v>
      </c>
      <c r="F236" s="40">
        <v>46016</v>
      </c>
      <c r="G236" s="40">
        <v>46016</v>
      </c>
      <c r="H236" s="15" t="s">
        <v>68</v>
      </c>
    </row>
    <row r="237" spans="1:8" x14ac:dyDescent="0.25">
      <c r="A237" s="45"/>
      <c r="B237" s="46"/>
      <c r="C237" s="46"/>
      <c r="D237" s="46"/>
      <c r="E237" s="46"/>
      <c r="F237" s="46"/>
      <c r="G237" s="46"/>
      <c r="H237" s="47"/>
    </row>
    <row r="238" spans="1:8" ht="30" x14ac:dyDescent="0.25">
      <c r="A238" s="2">
        <f>MAX(A226:A237)+1</f>
        <v>190</v>
      </c>
      <c r="B238" s="14" t="s">
        <v>17</v>
      </c>
      <c r="C238" s="8">
        <f>IFERROR(IF(C228,C228+14,""),"")</f>
        <v>46006</v>
      </c>
      <c r="D238" s="40">
        <v>46010</v>
      </c>
      <c r="E238" s="5">
        <v>2870</v>
      </c>
      <c r="F238" s="40">
        <v>46017</v>
      </c>
      <c r="G238" s="40">
        <v>46017</v>
      </c>
      <c r="H238" s="15" t="s">
        <v>70</v>
      </c>
    </row>
    <row r="239" spans="1:8" x14ac:dyDescent="0.25">
      <c r="A239" s="2">
        <f>MAX(A227:A238)+1</f>
        <v>191</v>
      </c>
      <c r="B239" s="14" t="s">
        <v>18</v>
      </c>
      <c r="C239" s="8">
        <f t="shared" ref="C239:D240" si="260">IFERROR(IF(C229,C229+14,""),"")</f>
        <v>46009</v>
      </c>
      <c r="D239" s="8">
        <f t="shared" si="260"/>
        <v>46010</v>
      </c>
      <c r="E239" s="5"/>
      <c r="F239" s="8">
        <f t="shared" ref="F239:G239" si="261">IFERROR(IF(F229,F229+14,""),"")</f>
        <v>46015</v>
      </c>
      <c r="G239" s="8">
        <f t="shared" si="261"/>
        <v>46016</v>
      </c>
      <c r="H239" s="15"/>
    </row>
    <row r="240" spans="1:8" ht="45" x14ac:dyDescent="0.25">
      <c r="A240" s="2">
        <f>MAX(A228:A239)+1</f>
        <v>192</v>
      </c>
      <c r="B240" s="14" t="s">
        <v>19</v>
      </c>
      <c r="C240" s="8">
        <f t="shared" ref="C240" si="262">IFERROR(IF(C230,C230+14,""),"")</f>
        <v>46006</v>
      </c>
      <c r="D240" s="8">
        <f t="shared" si="260"/>
        <v>46007</v>
      </c>
      <c r="E240" s="5">
        <v>175</v>
      </c>
      <c r="F240" s="8" t="str">
        <f t="shared" ref="F240:G240" si="263">IFERROR(IF(F230,F230+14,""),"")</f>
        <v/>
      </c>
      <c r="G240" s="8" t="str">
        <f t="shared" si="263"/>
        <v/>
      </c>
      <c r="H240" s="15" t="s">
        <v>67</v>
      </c>
    </row>
    <row r="241" spans="1:8" x14ac:dyDescent="0.25">
      <c r="A241" s="45"/>
      <c r="B241" s="46"/>
      <c r="C241" s="46"/>
      <c r="D241" s="46"/>
      <c r="E241" s="48"/>
      <c r="F241" s="46"/>
      <c r="G241" s="46"/>
      <c r="H241" s="47"/>
    </row>
    <row r="242" spans="1:8" x14ac:dyDescent="0.25">
      <c r="A242" s="2">
        <f>MAX(A232:A241)+1</f>
        <v>193</v>
      </c>
      <c r="B242" s="14" t="s">
        <v>18</v>
      </c>
      <c r="C242" s="40">
        <v>46013</v>
      </c>
      <c r="D242" s="40">
        <v>46014</v>
      </c>
      <c r="E242" s="5"/>
      <c r="F242" s="40">
        <v>46018</v>
      </c>
      <c r="G242" s="40">
        <v>46018</v>
      </c>
      <c r="H242" s="15"/>
    </row>
    <row r="243" spans="1:8" ht="45" x14ac:dyDescent="0.25">
      <c r="A243" s="2">
        <f>MAX(A233:A242)+1</f>
        <v>194</v>
      </c>
      <c r="B243" s="14" t="s">
        <v>19</v>
      </c>
      <c r="C243" s="42">
        <f>IFERROR(IF(C235,C235+14,""),"")</f>
        <v>46013</v>
      </c>
      <c r="D243" s="42">
        <f>IFERROR(IF(D235,D235+14,""),"")</f>
        <v>46014</v>
      </c>
      <c r="E243" s="5"/>
      <c r="F243" s="42"/>
      <c r="G243" s="42"/>
      <c r="H243" s="15" t="s">
        <v>71</v>
      </c>
    </row>
    <row r="244" spans="1:8" x14ac:dyDescent="0.25">
      <c r="A244" s="2">
        <f>MAX(A235:A243)+1</f>
        <v>195</v>
      </c>
      <c r="B244" s="14" t="s">
        <v>26</v>
      </c>
      <c r="C244" s="42">
        <f>IFERROR(IF(C236,C236+14,""),"")</f>
        <v>46016</v>
      </c>
      <c r="D244" s="40">
        <v>46017</v>
      </c>
      <c r="E244" s="43"/>
      <c r="F244" s="40">
        <v>45669</v>
      </c>
      <c r="G244" s="40">
        <v>45669</v>
      </c>
      <c r="H244" s="15"/>
    </row>
    <row r="245" spans="1:8" x14ac:dyDescent="0.25">
      <c r="A245" s="45"/>
      <c r="B245" s="46"/>
      <c r="C245" s="46"/>
      <c r="D245" s="46"/>
      <c r="E245" s="46"/>
      <c r="F245" s="46"/>
      <c r="G245" s="46"/>
      <c r="H245" s="47"/>
    </row>
  </sheetData>
  <autoFilter ref="A8:H230" xr:uid="{9D5F3532-A341-428E-AFDB-DF9AAA83E1F5}">
    <filterColumn colId="0">
      <filters>
        <filter val="182"/>
        <filter val="183"/>
        <filter val="184"/>
      </filters>
    </filterColumn>
  </autoFilter>
  <mergeCells count="46">
    <mergeCell ref="A245:H245"/>
    <mergeCell ref="A241:H241"/>
    <mergeCell ref="A90:H90"/>
    <mergeCell ref="A85:H85"/>
    <mergeCell ref="A128:H128"/>
    <mergeCell ref="A133:H133"/>
    <mergeCell ref="A140:H140"/>
    <mergeCell ref="A196:H196"/>
    <mergeCell ref="A192:H192"/>
    <mergeCell ref="A221:H221"/>
    <mergeCell ref="A211:H211"/>
    <mergeCell ref="A217:H217"/>
    <mergeCell ref="A237:H237"/>
    <mergeCell ref="A231:H231"/>
    <mergeCell ref="A227:H227"/>
    <mergeCell ref="A207:H207"/>
    <mergeCell ref="A202:H202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73:H73"/>
    <mergeCell ref="A156:H156"/>
    <mergeCell ref="A186:H186"/>
    <mergeCell ref="A182:H182"/>
    <mergeCell ref="A176:H176"/>
    <mergeCell ref="A172:H172"/>
    <mergeCell ref="A166:H166"/>
    <mergeCell ref="A152:H152"/>
    <mergeCell ref="A109:H109"/>
    <mergeCell ref="A162:H162"/>
    <mergeCell ref="A78:H78"/>
    <mergeCell ref="A116:H116"/>
    <mergeCell ref="A145:H145"/>
    <mergeCell ref="A97:H97"/>
    <mergeCell ref="A121:H121"/>
    <mergeCell ref="A102:H102"/>
  </mergeCells>
  <pageMargins left="0.51181102362204722" right="0.51181102362204722" top="0.35433070866141736" bottom="0.35433070866141736" header="0.31496062992125984" footer="0.31496062992125984"/>
  <pageSetup paperSize="9" scale="9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2025-12-18T08:08:38Z</cp:lastPrinted>
  <dcterms:created xsi:type="dcterms:W3CDTF">2015-06-05T18:19:34Z</dcterms:created>
  <dcterms:modified xsi:type="dcterms:W3CDTF">2025-12-22T07:15:17Z</dcterms:modified>
</cp:coreProperties>
</file>