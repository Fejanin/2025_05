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DE63891-7158-41CB-B3FA-5841B67103B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40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D23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23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23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  <c r="A238" i="1" s="1"/>
  <c r="A239" i="1" l="1"/>
  <c r="A240" i="1" s="1"/>
</calcChain>
</file>

<file path=xl/sharedStrings.xml><?xml version="1.0" encoding="utf-8"?>
<sst xmlns="http://schemas.openxmlformats.org/spreadsheetml/2006/main" count="346" uniqueCount="70">
  <si>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</si>
  <si>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</si>
  <si>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</si>
  <si>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</si>
  <si>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</si>
  <si>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</si>
  <si>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</si>
  <si>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</si>
  <si>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</si>
  <si>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</si>
  <si>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</si>
  <si>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</si>
  <si>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</si>
  <si>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</si>
  <si>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</si>
  <si>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</si>
  <si>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</si>
  <si>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</si>
  <si>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</si>
  <si>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</si>
  <si>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</si>
  <si>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</si>
  <si>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</si>
  <si>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</si>
  <si>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</si>
  <si>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</si>
  <si>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</si>
  <si>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</si>
  <si>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</si>
  <si>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</si>
  <si>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</si>
  <si>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</si>
  <si>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</si>
  <si>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</si>
  <si>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</si>
  <si>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</si>
  <si>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</si>
  <si>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</si>
  <si>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</si>
  <si>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</si>
  <si>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</si>
  <si>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</si>
  <si>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</si>
  <si>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</si>
  <si>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</si>
  <si>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</si>
  <si>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</si>
  <si>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</si>
  <si>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</si>
  <si>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</si>
  <si>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</si>
  <si>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</si>
  <si>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</si>
  <si>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</si>
  <si>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</si>
  <si>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</si>
  <si>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</si>
  <si>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</si>
  <si>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</si>
  <si>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</si>
  <si>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</si>
  <si>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</si>
  <si>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</si>
  <si>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</si>
  <si>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</si>
  <si>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</si>
  <si>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11,12,25 будет корректировка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</si>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</sst>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41"/>
  <sheetViews>
    <sheetView tabSelected="1" zoomScaleNormal="100" workbookViewId="0">
      <pane ySplit="8" topLeftCell="A231" activePane="bottomLeft" state="frozen"/>
      <selection pane="bottomLeft" activeCell="K244" sqref="K244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6.8554687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30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59"/>
    </row>
    <row r="50" spans="1:8" ht="30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30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30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30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30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30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30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7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7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30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8"/>
      <c r="F217" s="46"/>
      <c r="G217" s="46"/>
      <c r="H217" s="47"/>
    </row>
    <row r="218" spans="1:8" hidden="1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hidden="1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hidden="1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hidden="1" x14ac:dyDescent="0.25">
      <c r="A221" s="45" t="s">
        <v>25</v>
      </c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6" si="255">IFERROR(IF(D222,D222+14,""),"")</f>
        <v>46000</v>
      </c>
      <c r="E232" s="43">
        <v>2421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66</v>
      </c>
    </row>
    <row r="233" spans="1:8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67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>
        <v>11027</v>
      </c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ht="30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0">
        <v>46008</v>
      </c>
      <c r="E236" s="43">
        <v>1287</v>
      </c>
      <c r="F236" s="42">
        <v>46016</v>
      </c>
      <c r="G236" s="42">
        <v>46016</v>
      </c>
      <c r="H236" s="15" t="s">
        <v>69</v>
      </c>
    </row>
    <row r="237" spans="1:8" x14ac:dyDescent="0.25">
      <c r="A237" s="45"/>
      <c r="B237" s="46"/>
      <c r="C237" s="46"/>
      <c r="D237" s="46"/>
      <c r="E237" s="46"/>
      <c r="F237" s="46"/>
      <c r="G237" s="46"/>
      <c r="H237" s="47"/>
    </row>
    <row r="238" spans="1:8" x14ac:dyDescent="0.25">
      <c r="A238" s="2">
        <f>MAX(A226:A237)+1</f>
        <v>190</v>
      </c>
      <c r="B238" s="14" t="s">
        <v>17</v>
      </c>
      <c r="C238" s="8">
        <f>IFERROR(IF(C228,C228+14,""),"")</f>
        <v>46006</v>
      </c>
      <c r="D238" s="8">
        <f t="shared" ref="D238" si="260">IFERROR(IF(D228,D228+14,""),"")</f>
        <v>46007</v>
      </c>
      <c r="E238" s="5"/>
      <c r="F238" s="8">
        <f t="shared" ref="F238:G238" si="261">IFERROR(IF(F228,F228+14,""),"")</f>
        <v>46014</v>
      </c>
      <c r="G238" s="8">
        <f t="shared" si="261"/>
        <v>46014</v>
      </c>
      <c r="H238" s="15" t="s">
        <v>28</v>
      </c>
    </row>
    <row r="239" spans="1:8" x14ac:dyDescent="0.25">
      <c r="A239" s="2">
        <f>MAX(A227:A238)+1</f>
        <v>191</v>
      </c>
      <c r="B239" s="14" t="s">
        <v>18</v>
      </c>
      <c r="C239" s="8">
        <f t="shared" ref="C239:D240" si="262">IFERROR(IF(C229,C229+14,""),"")</f>
        <v>46009</v>
      </c>
      <c r="D239" s="8">
        <f t="shared" si="262"/>
        <v>46010</v>
      </c>
      <c r="E239" s="5"/>
      <c r="F239" s="8">
        <f t="shared" ref="F239:G239" si="263">IFERROR(IF(F229,F229+14,""),"")</f>
        <v>46015</v>
      </c>
      <c r="G239" s="8">
        <f t="shared" si="263"/>
        <v>46016</v>
      </c>
      <c r="H239" s="15" t="s">
        <v>28</v>
      </c>
    </row>
    <row r="240" spans="1:8" ht="45" x14ac:dyDescent="0.25">
      <c r="A240" s="2">
        <f>MAX(A228:A239)+1</f>
        <v>192</v>
      </c>
      <c r="B240" s="14" t="s">
        <v>19</v>
      </c>
      <c r="C240" s="8">
        <f t="shared" ref="C240" si="264">IFERROR(IF(C230,C230+14,""),"")</f>
        <v>46006</v>
      </c>
      <c r="D240" s="8">
        <f t="shared" si="262"/>
        <v>46007</v>
      </c>
      <c r="E240" s="5">
        <v>175</v>
      </c>
      <c r="F240" s="8" t="str">
        <f t="shared" ref="F240:G240" si="265">IFERROR(IF(F230,F230+14,""),"")</f>
        <v/>
      </c>
      <c r="G240" s="8" t="str">
        <f t="shared" si="265"/>
        <v/>
      </c>
      <c r="H240" s="15" t="s">
        <v>68</v>
      </c>
    </row>
    <row r="241" spans="1:8" x14ac:dyDescent="0.25">
      <c r="A241" s="45"/>
      <c r="B241" s="46"/>
      <c r="C241" s="46"/>
      <c r="D241" s="46"/>
      <c r="E241" s="48"/>
      <c r="F241" s="46"/>
      <c r="G241" s="46"/>
      <c r="H241" s="47"/>
    </row>
  </sheetData>
  <autoFilter ref="A8:H226" xr:uid="{9D5F3532-A341-428E-AFDB-DF9AAA83E1F5}">
    <filterColumn colId="0">
      <filters>
        <filter val="177"/>
        <filter val="178"/>
        <filter val="179"/>
        <filter val="180"/>
        <filter val="181"/>
      </filters>
    </filterColumn>
  </autoFilter>
  <mergeCells count="45">
    <mergeCell ref="A241:H241"/>
    <mergeCell ref="A90:H90"/>
    <mergeCell ref="A85:H85"/>
    <mergeCell ref="A128:H128"/>
    <mergeCell ref="A133:H133"/>
    <mergeCell ref="A140:H140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78:H78"/>
    <mergeCell ref="A116:H116"/>
    <mergeCell ref="A145:H145"/>
    <mergeCell ref="A97:H97"/>
    <mergeCell ref="A121:H121"/>
    <mergeCell ref="A102:H102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2025-12-08T06:31:49Z</cp:lastPrinted>
  <dcterms:created xsi:type="dcterms:W3CDTF">2015-06-05T18:19:34Z</dcterms:created>
  <dcterms:modified xsi:type="dcterms:W3CDTF">2025-12-17T13:36:39Z</dcterms:modified>
</cp:coreProperties>
</file>