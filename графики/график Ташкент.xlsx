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6387144-8074-4479-893C-FE1DB69CFAC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s="1"/>
  <c r="A244" i="1" l="1"/>
  <c r="A246" i="1" s="1"/>
  <c r="A247" i="1" s="1"/>
  <c r="A251" i="1" s="1"/>
  <c r="A250" i="1" l="1"/>
  <c r="A249" i="1"/>
  <c r="A252" i="1" l="1"/>
  <c r="A253" i="1"/>
</calcChain>
</file>

<file path=xl/sharedStrings.xml><?xml version="1.0" encoding="utf-8"?>
<sst xmlns="http://schemas.openxmlformats.org/spreadsheetml/2006/main" count="369" uniqueCount="79">
  <si>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</si>
  <si>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</si>
  <si>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</si>
  <si>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</si>
  <si>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</si>
  <si>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</si>
  <si>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</si>
  <si>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</si>
  <si>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</si>
  <si>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</si>
  <si>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</si>
  <si>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</si>
  <si>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</si>
  <si>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</si>
  <si>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</si>
  <si>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</si>
  <si>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</si>
  <si>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</si>
  <si>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</si>
  <si>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</si>
  <si>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</si>
  <si>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</si>
  <si>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</si>
  <si>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</si>
  <si>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</si>
  <si>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</si>
  <si>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</si>
  <si>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</si>
  <si>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</si>
  <si>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</si>
  <si>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</si>
  <si>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</si>
  <si>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</si>
  <si>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</si>
  <si>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</si>
  <si>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</si>
  <si>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</si>
  <si>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</si>
  <si>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</si>
  <si>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</si>
  <si>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</si>
  <si>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</si>
  <si>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</si>
  <si>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</si>
  <si>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</si>
  <si>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</si>
  <si>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</si>
  <si>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</si>
  <si>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</si>
  <si>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</si>
  <si>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</si>
  <si>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</si>
  <si>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</si>
  <si>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</si>
  <si>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</si>
  <si>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</si>
  <si>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</si>
  <si>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</si>
  <si>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</si>
  <si>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</si>
  <si>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</si>
  <si>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</si>
  <si>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</si>
  <si>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</si>
  <si>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</si>
  <si>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</si>
  <si>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</si>
  <si>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</si>
  <si>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</si>
  <si>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</si>
  <si>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</si>
  <si>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</si>
  <si>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</si>
  <si>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</si>
  <si>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</si>
  <si>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Заказы, которые должны забрать перед НГ</t>
  </si>
  <si>
    <t>Заказы, которые нужно отправить на заводы до НГ, а получение товара после НГ</t>
  </si>
  <si>
    <t>Заказы и отгрузки после НГ</t>
  </si>
  <si>
    <t>Шувалова сама отправит заказ на завод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</si>
</sst>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1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164" fontId="10" fillId="6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4" fillId="2" borderId="5" xfId="0" applyNumberFormat="1" applyFont="1" applyFill="1" applyBorder="1" applyAlignment="1">
      <alignment horizontal="center" vertical="center" wrapText="1"/>
    </xf>
    <xf numFmtId="164" fontId="14" fillId="2" borderId="7" xfId="0" applyNumberFormat="1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1" fontId="13" fillId="2" borderId="6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7"/>
  <sheetViews>
    <sheetView tabSelected="1" zoomScaleNormal="100" workbookViewId="0">
      <pane ySplit="8" topLeftCell="A9" activePane="bottomLeft" state="frozen"/>
      <selection pane="bottomLeft" activeCell="L248" sqref="L248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0" t="s">
        <v>23</v>
      </c>
      <c r="B1" s="61"/>
      <c r="C1" s="61"/>
      <c r="D1" s="61"/>
      <c r="E1" s="62"/>
      <c r="F1" s="61"/>
      <c r="G1" s="61"/>
      <c r="H1" s="63"/>
    </row>
    <row r="2" spans="1:8" x14ac:dyDescent="0.25">
      <c r="A2" s="64" t="s">
        <v>14</v>
      </c>
      <c r="B2" s="46" t="s">
        <v>0</v>
      </c>
      <c r="C2" s="47" t="s">
        <v>2</v>
      </c>
      <c r="D2" s="47" t="s">
        <v>1</v>
      </c>
      <c r="E2" s="48" t="s">
        <v>21</v>
      </c>
      <c r="F2" s="47" t="s">
        <v>3</v>
      </c>
      <c r="G2" s="47" t="s">
        <v>4</v>
      </c>
      <c r="H2" s="67" t="s">
        <v>16</v>
      </c>
    </row>
    <row r="3" spans="1:8" x14ac:dyDescent="0.25">
      <c r="A3" s="65"/>
      <c r="B3" s="46" t="s">
        <v>5</v>
      </c>
      <c r="C3" s="47" t="s">
        <v>8</v>
      </c>
      <c r="D3" s="47" t="s">
        <v>7</v>
      </c>
      <c r="E3" s="48"/>
      <c r="F3" s="47" t="s">
        <v>11</v>
      </c>
      <c r="G3" s="47" t="s">
        <v>8</v>
      </c>
      <c r="H3" s="68"/>
    </row>
    <row r="4" spans="1:8" ht="25.5" x14ac:dyDescent="0.25">
      <c r="A4" s="65"/>
      <c r="B4" s="46" t="s">
        <v>6</v>
      </c>
      <c r="C4" s="47" t="s">
        <v>10</v>
      </c>
      <c r="D4" s="47" t="s">
        <v>9</v>
      </c>
      <c r="E4" s="48"/>
      <c r="F4" s="47" t="s">
        <v>12</v>
      </c>
      <c r="G4" s="47" t="s">
        <v>9</v>
      </c>
      <c r="H4" s="68"/>
    </row>
    <row r="5" spans="1:8" x14ac:dyDescent="0.25">
      <c r="A5" s="65"/>
      <c r="B5" s="46" t="s">
        <v>19</v>
      </c>
      <c r="C5" s="47" t="s">
        <v>10</v>
      </c>
      <c r="D5" s="47" t="s">
        <v>9</v>
      </c>
      <c r="E5" s="48"/>
      <c r="F5" s="58" t="s">
        <v>34</v>
      </c>
      <c r="G5" s="59"/>
      <c r="H5" s="68"/>
    </row>
    <row r="6" spans="1:8" ht="25.5" x14ac:dyDescent="0.25">
      <c r="A6" s="65"/>
      <c r="B6" s="46" t="s">
        <v>15</v>
      </c>
      <c r="C6" s="47" t="s">
        <v>32</v>
      </c>
      <c r="D6" s="47" t="s">
        <v>9</v>
      </c>
      <c r="E6" s="48"/>
      <c r="F6" s="47" t="s">
        <v>13</v>
      </c>
      <c r="G6" s="47" t="s">
        <v>10</v>
      </c>
      <c r="H6" s="68"/>
    </row>
    <row r="7" spans="1:8" ht="25.5" x14ac:dyDescent="0.25">
      <c r="A7" s="66"/>
      <c r="B7" s="46" t="s">
        <v>26</v>
      </c>
      <c r="C7" s="47" t="s">
        <v>33</v>
      </c>
      <c r="D7" s="47" t="s">
        <v>7</v>
      </c>
      <c r="E7" s="48"/>
      <c r="F7" s="47" t="s">
        <v>27</v>
      </c>
      <c r="G7" s="47" t="s">
        <v>10</v>
      </c>
      <c r="H7" s="69"/>
    </row>
    <row r="8" spans="1:8" x14ac:dyDescent="0.25">
      <c r="A8" s="49">
        <v>1</v>
      </c>
      <c r="B8" s="49">
        <v>2</v>
      </c>
      <c r="C8" s="49">
        <v>3</v>
      </c>
      <c r="D8" s="49">
        <v>4</v>
      </c>
      <c r="E8" s="50">
        <v>5</v>
      </c>
      <c r="F8" s="49">
        <v>6</v>
      </c>
      <c r="G8" s="49">
        <v>7</v>
      </c>
      <c r="H8" s="51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3" t="s">
        <v>25</v>
      </c>
      <c r="B14" s="54"/>
      <c r="C14" s="54"/>
      <c r="D14" s="54"/>
      <c r="E14" s="54"/>
      <c r="F14" s="54"/>
      <c r="G14" s="54"/>
      <c r="H14" s="56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3" t="s">
        <v>25</v>
      </c>
      <c r="B20" s="54"/>
      <c r="C20" s="54"/>
      <c r="D20" s="54"/>
      <c r="E20" s="55"/>
      <c r="F20" s="54"/>
      <c r="G20" s="54"/>
      <c r="H20" s="57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3" t="s">
        <v>25</v>
      </c>
      <c r="B26" s="54"/>
      <c r="C26" s="54"/>
      <c r="D26" s="54"/>
      <c r="E26" s="55"/>
      <c r="F26" s="54"/>
      <c r="G26" s="54"/>
      <c r="H26" s="57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3" t="s">
        <v>25</v>
      </c>
      <c r="B34" s="54"/>
      <c r="C34" s="54"/>
      <c r="D34" s="54"/>
      <c r="E34" s="55"/>
      <c r="F34" s="54"/>
      <c r="G34" s="54"/>
      <c r="H34" s="57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3" t="s">
        <v>25</v>
      </c>
      <c r="B41" s="54"/>
      <c r="C41" s="54"/>
      <c r="D41" s="54"/>
      <c r="E41" s="55"/>
      <c r="F41" s="54"/>
      <c r="G41" s="54"/>
      <c r="H41" s="57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3" t="s">
        <v>25</v>
      </c>
      <c r="B49" s="54"/>
      <c r="C49" s="54"/>
      <c r="D49" s="54"/>
      <c r="E49" s="55"/>
      <c r="F49" s="54"/>
      <c r="G49" s="54"/>
      <c r="H49" s="57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3" t="s">
        <v>25</v>
      </c>
      <c r="B54" s="54"/>
      <c r="C54" s="54"/>
      <c r="D54" s="54"/>
      <c r="E54" s="55"/>
      <c r="F54" s="54"/>
      <c r="G54" s="54"/>
      <c r="H54" s="57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3" t="s">
        <v>25</v>
      </c>
      <c r="B61" s="54"/>
      <c r="C61" s="54"/>
      <c r="D61" s="54"/>
      <c r="E61" s="54"/>
      <c r="F61" s="54"/>
      <c r="G61" s="54"/>
      <c r="H61" s="56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3" t="s">
        <v>25</v>
      </c>
      <c r="B66" s="54"/>
      <c r="C66" s="54"/>
      <c r="D66" s="54"/>
      <c r="E66" s="54"/>
      <c r="F66" s="54"/>
      <c r="G66" s="54"/>
      <c r="H66" s="56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3" t="s">
        <v>25</v>
      </c>
      <c r="B73" s="54"/>
      <c r="C73" s="54"/>
      <c r="D73" s="54"/>
      <c r="E73" s="54"/>
      <c r="F73" s="54"/>
      <c r="G73" s="54"/>
      <c r="H73" s="56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3" t="s">
        <v>25</v>
      </c>
      <c r="B78" s="54"/>
      <c r="C78" s="54"/>
      <c r="D78" s="54"/>
      <c r="E78" s="54"/>
      <c r="F78" s="54"/>
      <c r="G78" s="54"/>
      <c r="H78" s="56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3" t="s">
        <v>25</v>
      </c>
      <c r="B85" s="54"/>
      <c r="C85" s="54"/>
      <c r="D85" s="54"/>
      <c r="E85" s="54"/>
      <c r="F85" s="54"/>
      <c r="G85" s="54"/>
      <c r="H85" s="56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3" t="s">
        <v>25</v>
      </c>
      <c r="B90" s="54"/>
      <c r="C90" s="54"/>
      <c r="D90" s="54"/>
      <c r="E90" s="54"/>
      <c r="F90" s="54"/>
      <c r="G90" s="54"/>
      <c r="H90" s="56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3" t="s">
        <v>25</v>
      </c>
      <c r="B97" s="54"/>
      <c r="C97" s="54"/>
      <c r="D97" s="54"/>
      <c r="E97" s="54"/>
      <c r="F97" s="54"/>
      <c r="G97" s="54"/>
      <c r="H97" s="56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3" t="s">
        <v>25</v>
      </c>
      <c r="B102" s="54"/>
      <c r="C102" s="54"/>
      <c r="D102" s="54"/>
      <c r="E102" s="54"/>
      <c r="F102" s="54"/>
      <c r="G102" s="54"/>
      <c r="H102" s="56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3" t="s">
        <v>25</v>
      </c>
      <c r="B109" s="54"/>
      <c r="C109" s="54"/>
      <c r="D109" s="54"/>
      <c r="E109" s="54"/>
      <c r="F109" s="54"/>
      <c r="G109" s="54"/>
      <c r="H109" s="56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3" t="s">
        <v>25</v>
      </c>
      <c r="B116" s="54"/>
      <c r="C116" s="54"/>
      <c r="D116" s="54"/>
      <c r="E116" s="54"/>
      <c r="F116" s="54"/>
      <c r="G116" s="54"/>
      <c r="H116" s="56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3" t="s">
        <v>25</v>
      </c>
      <c r="B121" s="54"/>
      <c r="C121" s="54"/>
      <c r="D121" s="54"/>
      <c r="E121" s="54"/>
      <c r="F121" s="54"/>
      <c r="G121" s="54"/>
      <c r="H121" s="56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3" t="s">
        <v>25</v>
      </c>
      <c r="B128" s="54"/>
      <c r="C128" s="54"/>
      <c r="D128" s="54"/>
      <c r="E128" s="54"/>
      <c r="F128" s="54"/>
      <c r="G128" s="54"/>
      <c r="H128" s="56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3" t="s">
        <v>25</v>
      </c>
      <c r="B133" s="54"/>
      <c r="C133" s="54"/>
      <c r="D133" s="54"/>
      <c r="E133" s="54"/>
      <c r="F133" s="54"/>
      <c r="G133" s="54"/>
      <c r="H133" s="56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3" t="s">
        <v>25</v>
      </c>
      <c r="B140" s="54"/>
      <c r="C140" s="54"/>
      <c r="D140" s="54"/>
      <c r="E140" s="54"/>
      <c r="F140" s="54"/>
      <c r="G140" s="54"/>
      <c r="H140" s="56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3" t="s">
        <v>25</v>
      </c>
      <c r="B145" s="54"/>
      <c r="C145" s="54"/>
      <c r="D145" s="54"/>
      <c r="E145" s="55"/>
      <c r="F145" s="54"/>
      <c r="G145" s="54"/>
      <c r="H145" s="56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3" t="s">
        <v>25</v>
      </c>
      <c r="B152" s="54"/>
      <c r="C152" s="54"/>
      <c r="D152" s="54"/>
      <c r="E152" s="55"/>
      <c r="F152" s="54"/>
      <c r="G152" s="54"/>
      <c r="H152" s="56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3" t="s">
        <v>25</v>
      </c>
      <c r="B156" s="54"/>
      <c r="C156" s="54"/>
      <c r="D156" s="54"/>
      <c r="E156" s="55"/>
      <c r="F156" s="54"/>
      <c r="G156" s="54"/>
      <c r="H156" s="56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3" t="s">
        <v>25</v>
      </c>
      <c r="B162" s="54"/>
      <c r="C162" s="54"/>
      <c r="D162" s="54"/>
      <c r="E162" s="55"/>
      <c r="F162" s="54"/>
      <c r="G162" s="54"/>
      <c r="H162" s="56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3" t="s">
        <v>25</v>
      </c>
      <c r="B166" s="54"/>
      <c r="C166" s="54"/>
      <c r="D166" s="54"/>
      <c r="E166" s="55"/>
      <c r="F166" s="54"/>
      <c r="G166" s="54"/>
      <c r="H166" s="56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3" t="s">
        <v>25</v>
      </c>
      <c r="B172" s="54"/>
      <c r="C172" s="54"/>
      <c r="D172" s="54"/>
      <c r="E172" s="55"/>
      <c r="F172" s="54"/>
      <c r="G172" s="54"/>
      <c r="H172" s="56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3" t="s">
        <v>25</v>
      </c>
      <c r="B176" s="54"/>
      <c r="C176" s="54"/>
      <c r="D176" s="54"/>
      <c r="E176" s="55"/>
      <c r="F176" s="54"/>
      <c r="G176" s="54"/>
      <c r="H176" s="56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3" t="s">
        <v>25</v>
      </c>
      <c r="B182" s="54"/>
      <c r="C182" s="54"/>
      <c r="D182" s="54"/>
      <c r="E182" s="55"/>
      <c r="F182" s="54"/>
      <c r="G182" s="54"/>
      <c r="H182" s="56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3" t="s">
        <v>25</v>
      </c>
      <c r="B186" s="54"/>
      <c r="C186" s="54"/>
      <c r="D186" s="54"/>
      <c r="E186" s="55"/>
      <c r="F186" s="54"/>
      <c r="G186" s="54"/>
      <c r="H186" s="56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3" t="s">
        <v>25</v>
      </c>
      <c r="B192" s="54"/>
      <c r="C192" s="54"/>
      <c r="D192" s="54"/>
      <c r="E192" s="55"/>
      <c r="F192" s="54"/>
      <c r="G192" s="54"/>
      <c r="H192" s="56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3" t="s">
        <v>25</v>
      </c>
      <c r="B196" s="54"/>
      <c r="C196" s="54"/>
      <c r="D196" s="54"/>
      <c r="E196" s="55"/>
      <c r="F196" s="54"/>
      <c r="G196" s="54"/>
      <c r="H196" s="56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3" t="s">
        <v>25</v>
      </c>
      <c r="B202" s="54"/>
      <c r="C202" s="54"/>
      <c r="D202" s="54"/>
      <c r="E202" s="55"/>
      <c r="F202" s="54"/>
      <c r="G202" s="54"/>
      <c r="H202" s="56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3" t="s">
        <v>25</v>
      </c>
      <c r="B207" s="54"/>
      <c r="C207" s="54"/>
      <c r="D207" s="54"/>
      <c r="E207" s="55"/>
      <c r="F207" s="54"/>
      <c r="G207" s="54"/>
      <c r="H207" s="56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3" t="s">
        <v>25</v>
      </c>
      <c r="B211" s="54"/>
      <c r="C211" s="54"/>
      <c r="D211" s="54"/>
      <c r="E211" s="55"/>
      <c r="F211" s="54"/>
      <c r="G211" s="54"/>
      <c r="H211" s="56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3" t="s">
        <v>25</v>
      </c>
      <c r="B217" s="54"/>
      <c r="C217" s="54"/>
      <c r="D217" s="54"/>
      <c r="E217" s="55"/>
      <c r="F217" s="54"/>
      <c r="G217" s="54"/>
      <c r="H217" s="56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3" t="s">
        <v>25</v>
      </c>
      <c r="B221" s="54"/>
      <c r="C221" s="54"/>
      <c r="D221" s="54"/>
      <c r="E221" s="55"/>
      <c r="F221" s="54"/>
      <c r="G221" s="54"/>
      <c r="H221" s="56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3" t="s">
        <v>25</v>
      </c>
      <c r="B227" s="54"/>
      <c r="C227" s="54"/>
      <c r="D227" s="54"/>
      <c r="E227" s="55"/>
      <c r="F227" s="54"/>
      <c r="G227" s="54"/>
      <c r="H227" s="56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3" t="s">
        <v>25</v>
      </c>
      <c r="B231" s="54"/>
      <c r="C231" s="54"/>
      <c r="D231" s="54"/>
      <c r="E231" s="55"/>
      <c r="F231" s="54"/>
      <c r="G231" s="54"/>
      <c r="H231" s="56"/>
    </row>
    <row r="232" spans="1:8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x14ac:dyDescent="0.25">
      <c r="A236" s="2">
        <f>MAX(A225:A235)+1</f>
        <v>189</v>
      </c>
      <c r="B236" s="9" t="s">
        <v>26</v>
      </c>
      <c r="C236" s="36">
        <f t="shared" si="257"/>
        <v>46002</v>
      </c>
      <c r="D236" s="36">
        <v>46008</v>
      </c>
      <c r="E236" s="37">
        <v>1287</v>
      </c>
      <c r="F236" s="34">
        <v>46016</v>
      </c>
      <c r="G236" s="34">
        <v>46016</v>
      </c>
      <c r="H236" s="44" t="s">
        <v>68</v>
      </c>
    </row>
    <row r="237" spans="1:8" x14ac:dyDescent="0.25">
      <c r="A237" s="53"/>
      <c r="B237" s="54"/>
      <c r="C237" s="54"/>
      <c r="D237" s="54"/>
      <c r="E237" s="54"/>
      <c r="F237" s="54"/>
      <c r="G237" s="54"/>
      <c r="H237" s="56"/>
    </row>
    <row r="238" spans="1:8" x14ac:dyDescent="0.25">
      <c r="A238" s="40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4">
        <v>46017</v>
      </c>
      <c r="G238" s="34">
        <v>46017</v>
      </c>
      <c r="H238" s="45" t="s">
        <v>70</v>
      </c>
    </row>
    <row r="239" spans="1:8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3" t="s">
        <v>73</v>
      </c>
    </row>
    <row r="240" spans="1:8" ht="30" x14ac:dyDescent="0.25">
      <c r="A240" s="40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1" t="s">
        <v>67</v>
      </c>
    </row>
    <row r="241" spans="1:8" x14ac:dyDescent="0.25">
      <c r="A241" s="73"/>
      <c r="B241" s="74"/>
      <c r="C241" s="74"/>
      <c r="D241" s="74"/>
      <c r="E241" s="75"/>
      <c r="F241" s="74"/>
      <c r="G241" s="74"/>
      <c r="H241" s="76"/>
    </row>
    <row r="242" spans="1:8" x14ac:dyDescent="0.25">
      <c r="A242" s="40">
        <f>MAX(A232:A241)+1</f>
        <v>193</v>
      </c>
      <c r="B242" s="38" t="s">
        <v>18</v>
      </c>
      <c r="C242" s="36">
        <v>46013</v>
      </c>
      <c r="D242" s="42">
        <v>46015</v>
      </c>
      <c r="E242" s="37">
        <v>8039</v>
      </c>
      <c r="F242" s="34">
        <v>46020</v>
      </c>
      <c r="G242" s="34">
        <v>46020</v>
      </c>
      <c r="H242" s="45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2">
        <f>MAX(A235:A243)+1</f>
        <v>195</v>
      </c>
      <c r="B244" s="9" t="s">
        <v>26</v>
      </c>
      <c r="C244" s="31">
        <f>IFERROR(IF(C236,C236+14,""),"")</f>
        <v>46016</v>
      </c>
      <c r="D244" s="31">
        <v>46017</v>
      </c>
      <c r="E244" s="37">
        <v>3133</v>
      </c>
      <c r="F244" s="39">
        <v>46034</v>
      </c>
      <c r="G244" s="39">
        <v>46034</v>
      </c>
      <c r="H244" s="10"/>
    </row>
    <row r="245" spans="1:8" x14ac:dyDescent="0.25">
      <c r="A245" s="53"/>
      <c r="B245" s="54"/>
      <c r="C245" s="54"/>
      <c r="D245" s="54"/>
      <c r="E245" s="54"/>
      <c r="F245" s="54"/>
      <c r="G245" s="54"/>
      <c r="H245" s="56"/>
    </row>
    <row r="246" spans="1:8" x14ac:dyDescent="0.25">
      <c r="A246" s="2">
        <f>MAX(A235:A245)+1</f>
        <v>196</v>
      </c>
      <c r="B246" s="9" t="s">
        <v>17</v>
      </c>
      <c r="C246" s="52">
        <v>46020</v>
      </c>
      <c r="D246" s="31">
        <v>46017</v>
      </c>
      <c r="E246" s="37"/>
      <c r="F246" s="39">
        <v>46035</v>
      </c>
      <c r="G246" s="39">
        <v>46035</v>
      </c>
      <c r="H246" s="44" t="s">
        <v>78</v>
      </c>
    </row>
    <row r="247" spans="1:8" x14ac:dyDescent="0.25">
      <c r="A247" s="2">
        <f>MAX(A236:A246)+1</f>
        <v>197</v>
      </c>
      <c r="B247" s="9" t="s">
        <v>18</v>
      </c>
      <c r="C247" s="39">
        <v>46030</v>
      </c>
      <c r="D247" s="39">
        <v>46031</v>
      </c>
      <c r="E247" s="37"/>
      <c r="F247" s="39">
        <v>46036</v>
      </c>
      <c r="G247" s="39">
        <v>46037</v>
      </c>
      <c r="H247" s="10"/>
    </row>
    <row r="248" spans="1:8" x14ac:dyDescent="0.25">
      <c r="A248" s="53"/>
      <c r="B248" s="54"/>
      <c r="C248" s="54"/>
      <c r="D248" s="54"/>
      <c r="E248" s="54"/>
      <c r="F248" s="54"/>
      <c r="G248" s="54"/>
      <c r="H248" s="56"/>
    </row>
    <row r="249" spans="1:8" x14ac:dyDescent="0.25">
      <c r="A249" s="2">
        <f>MAX(A238:A248)+1</f>
        <v>198</v>
      </c>
      <c r="B249" s="9" t="s">
        <v>17</v>
      </c>
      <c r="C249" s="39">
        <v>46034</v>
      </c>
      <c r="D249" s="39">
        <v>46035</v>
      </c>
      <c r="E249" s="37"/>
      <c r="F249" s="39">
        <v>46042</v>
      </c>
      <c r="G249" s="39">
        <v>46042</v>
      </c>
      <c r="H249" s="10"/>
    </row>
    <row r="250" spans="1:8" x14ac:dyDescent="0.25">
      <c r="A250" s="2">
        <f>MAX(A238:A248)+1</f>
        <v>198</v>
      </c>
      <c r="B250" s="38" t="s">
        <v>15</v>
      </c>
      <c r="C250" s="39">
        <v>46031</v>
      </c>
      <c r="D250" s="39">
        <v>46034</v>
      </c>
      <c r="E250" s="37"/>
      <c r="F250" s="39">
        <v>46041</v>
      </c>
      <c r="G250" s="39">
        <v>46041</v>
      </c>
      <c r="H250" s="17"/>
    </row>
    <row r="251" spans="1:8" ht="30" x14ac:dyDescent="0.25">
      <c r="A251" s="2">
        <f>MAX(A237:A247)+1</f>
        <v>198</v>
      </c>
      <c r="B251" s="9" t="s">
        <v>19</v>
      </c>
      <c r="C251" s="36" t="s">
        <v>72</v>
      </c>
      <c r="D251" s="36" t="s">
        <v>72</v>
      </c>
      <c r="E251" s="37"/>
      <c r="F251" s="36"/>
      <c r="G251" s="36"/>
      <c r="H251" s="10" t="s">
        <v>71</v>
      </c>
    </row>
    <row r="252" spans="1:8" x14ac:dyDescent="0.25">
      <c r="A252" s="2">
        <f>MAX(A240:A251)+1</f>
        <v>199</v>
      </c>
      <c r="B252" s="9" t="s">
        <v>18</v>
      </c>
      <c r="C252" s="39">
        <v>46037</v>
      </c>
      <c r="D252" s="39">
        <v>46038</v>
      </c>
      <c r="E252" s="4"/>
      <c r="F252" s="39">
        <v>46043</v>
      </c>
      <c r="G252" s="39">
        <v>46044</v>
      </c>
      <c r="H252" s="10"/>
    </row>
    <row r="253" spans="1:8" x14ac:dyDescent="0.25">
      <c r="A253" s="2">
        <f>MAX(A239:A251)+1</f>
        <v>199</v>
      </c>
      <c r="B253" s="9" t="s">
        <v>26</v>
      </c>
      <c r="C253" s="39">
        <v>46037</v>
      </c>
      <c r="D253" s="39">
        <v>46038</v>
      </c>
      <c r="E253" s="37"/>
      <c r="F253" s="39">
        <v>46048</v>
      </c>
      <c r="G253" s="39">
        <v>46048</v>
      </c>
      <c r="H253" s="10"/>
    </row>
    <row r="255" spans="1:8" x14ac:dyDescent="0.25">
      <c r="A255" s="70" t="s">
        <v>75</v>
      </c>
      <c r="B255" s="70"/>
      <c r="C255" s="70"/>
      <c r="D255" s="70"/>
      <c r="E255" s="70"/>
      <c r="F255" s="70"/>
      <c r="G255" s="70"/>
      <c r="H255" s="70"/>
    </row>
    <row r="256" spans="1:8" x14ac:dyDescent="0.25">
      <c r="A256" s="71" t="s">
        <v>76</v>
      </c>
      <c r="B256" s="71"/>
      <c r="C256" s="71"/>
      <c r="D256" s="71"/>
      <c r="E256" s="71"/>
      <c r="F256" s="71"/>
      <c r="G256" s="71"/>
      <c r="H256" s="71"/>
    </row>
    <row r="257" spans="1:8" x14ac:dyDescent="0.25">
      <c r="A257" s="72" t="s">
        <v>77</v>
      </c>
      <c r="B257" s="72"/>
      <c r="C257" s="72"/>
      <c r="D257" s="72"/>
      <c r="E257" s="72"/>
      <c r="F257" s="72"/>
      <c r="G257" s="72"/>
      <c r="H257" s="72"/>
    </row>
  </sheetData>
  <autoFilter ref="A8:H236" xr:uid="{9D5F3532-A341-428E-AFDB-DF9AAA83E1F5}">
    <filterColumn colId="0">
      <filters>
        <filter val="185"/>
        <filter val="186"/>
        <filter val="187"/>
        <filter val="188"/>
        <filter val="189"/>
      </filters>
    </filterColumn>
  </autoFilter>
  <mergeCells count="50">
    <mergeCell ref="A248:H248"/>
    <mergeCell ref="A255:H255"/>
    <mergeCell ref="A256:H256"/>
    <mergeCell ref="A257:H257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116:H116"/>
    <mergeCell ref="A145:H145"/>
    <mergeCell ref="A97:H97"/>
    <mergeCell ref="A121:H121"/>
    <mergeCell ref="A102:H10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207:H207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2025-12-30T11:40:42Z</dcterms:modified>
</cp:coreProperties>
</file>