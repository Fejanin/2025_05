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852B7F7D-AE72-4D44-94C7-A935BC40E00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6" i="1" l="1"/>
  <c r="A251" i="1" l="1"/>
  <c r="A252" i="1"/>
  <c r="A253" i="1" s="1"/>
  <c r="A254" i="1" s="1"/>
  <c r="A247" i="1"/>
  <c r="A248" i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s="1"/>
  <c r="A244" i="1" l="1"/>
  <c r="A246" i="1" s="1"/>
  <c r="A250" i="1" l="1"/>
</calcChain>
</file>

<file path=xl/sharedStrings.xml><?xml version="1.0" encoding="utf-8"?>
<sst xmlns="http://schemas.openxmlformats.org/spreadsheetml/2006/main" count="372" uniqueCount="81">
  <si>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</si>
  <si>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</si>
  <si>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</si>
  <si>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</si>
  <si>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</si>
  <si>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</si>
  <si>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</si>
  <si>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</si>
  <si>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</si>
  <si>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</si>
  <si>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</si>
  <si>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</si>
  <si>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</si>
  <si>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</si>
  <si>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</si>
  <si>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</si>
  <si>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</si>
  <si>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</si>
  <si>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</si>
  <si>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</si>
  <si>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</si>
  <si>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</si>
  <si>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</si>
  <si>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</si>
  <si>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</si>
  <si>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</si>
  <si>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</si>
  <si>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</si>
  <si>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</si>
  <si>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</si>
  <si>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</si>
  <si>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</si>
  <si>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</si>
  <si>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</si>
  <si>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</si>
  <si>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</si>
  <si>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</si>
  <si>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</si>
  <si>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</si>
  <si>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</si>
  <si>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</si>
  <si>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</si>
  <si>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</si>
  <si>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</si>
  <si>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</si>
  <si>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</si>
  <si>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</si>
  <si>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</si>
  <si>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</si>
  <si>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</si>
  <si>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</si>
  <si>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</si>
  <si>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</si>
  <si>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</si>
  <si>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</si>
  <si>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</si>
  <si>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</si>
  <si>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</si>
  <si>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</si>
  <si>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</si>
  <si>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</si>
  <si>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</si>
  <si>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</si>
  <si>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</si>
  <si>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</si>
  <si>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</si>
  <si>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</si>
  <si>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</si>
  <si>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</si>
  <si>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</si>
  <si>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</si>
  <si>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</si>
  <si>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</si>
  <si>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</si>
  <si>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</si>
  <si>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Заказы, которые должны забрать перед НГ</t>
  </si>
  <si>
    <t>Заказы, которые нужно отправить на заводы до НГ, а получение товара после НГ</t>
  </si>
  <si>
    <t>Заказы и отгрузки после НГ</t>
  </si>
  <si>
    <t>без расчета</t>
  </si>
  <si>
    <t>погрузки на 14,01,26 не будет (письмо от Шуваловой)</t>
  </si>
  <si>
    <t>07,01,26 сделали 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</si>
</sst>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12" fillId="6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1" fontId="0" fillId="0" borderId="6" xfId="0" applyNumberForma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8"/>
  <sheetViews>
    <sheetView tabSelected="1" zoomScaleNormal="100" workbookViewId="0">
      <pane ySplit="8" topLeftCell="A9" activePane="bottomLeft" state="frozen"/>
      <selection pane="bottomLeft" activeCell="J252" sqref="J252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70" t="s">
        <v>23</v>
      </c>
      <c r="B1" s="71"/>
      <c r="C1" s="71"/>
      <c r="D1" s="71"/>
      <c r="E1" s="72"/>
      <c r="F1" s="71"/>
      <c r="G1" s="71"/>
      <c r="H1" s="73"/>
    </row>
    <row r="2" spans="1:8" x14ac:dyDescent="0.25">
      <c r="A2" s="74" t="s">
        <v>14</v>
      </c>
      <c r="B2" s="46" t="s">
        <v>0</v>
      </c>
      <c r="C2" s="47" t="s">
        <v>2</v>
      </c>
      <c r="D2" s="47" t="s">
        <v>1</v>
      </c>
      <c r="E2" s="48" t="s">
        <v>21</v>
      </c>
      <c r="F2" s="47" t="s">
        <v>3</v>
      </c>
      <c r="G2" s="47" t="s">
        <v>4</v>
      </c>
      <c r="H2" s="77" t="s">
        <v>16</v>
      </c>
    </row>
    <row r="3" spans="1:8" x14ac:dyDescent="0.25">
      <c r="A3" s="75"/>
      <c r="B3" s="46" t="s">
        <v>5</v>
      </c>
      <c r="C3" s="47" t="s">
        <v>8</v>
      </c>
      <c r="D3" s="47" t="s">
        <v>7</v>
      </c>
      <c r="E3" s="48"/>
      <c r="F3" s="47" t="s">
        <v>11</v>
      </c>
      <c r="G3" s="47" t="s">
        <v>8</v>
      </c>
      <c r="H3" s="78"/>
    </row>
    <row r="4" spans="1:8" ht="25.5" x14ac:dyDescent="0.25">
      <c r="A4" s="75"/>
      <c r="B4" s="46" t="s">
        <v>6</v>
      </c>
      <c r="C4" s="47" t="s">
        <v>10</v>
      </c>
      <c r="D4" s="47" t="s">
        <v>9</v>
      </c>
      <c r="E4" s="48"/>
      <c r="F4" s="47" t="s">
        <v>12</v>
      </c>
      <c r="G4" s="47" t="s">
        <v>9</v>
      </c>
      <c r="H4" s="78"/>
    </row>
    <row r="5" spans="1:8" x14ac:dyDescent="0.25">
      <c r="A5" s="75"/>
      <c r="B5" s="46" t="s">
        <v>19</v>
      </c>
      <c r="C5" s="47" t="s">
        <v>10</v>
      </c>
      <c r="D5" s="47" t="s">
        <v>9</v>
      </c>
      <c r="E5" s="48"/>
      <c r="F5" s="81" t="s">
        <v>34</v>
      </c>
      <c r="G5" s="82"/>
      <c r="H5" s="78"/>
    </row>
    <row r="6" spans="1:8" ht="25.5" x14ac:dyDescent="0.25">
      <c r="A6" s="75"/>
      <c r="B6" s="46" t="s">
        <v>15</v>
      </c>
      <c r="C6" s="47" t="s">
        <v>32</v>
      </c>
      <c r="D6" s="47" t="s">
        <v>9</v>
      </c>
      <c r="E6" s="48"/>
      <c r="F6" s="47" t="s">
        <v>13</v>
      </c>
      <c r="G6" s="47" t="s">
        <v>10</v>
      </c>
      <c r="H6" s="78"/>
    </row>
    <row r="7" spans="1:8" ht="25.5" x14ac:dyDescent="0.25">
      <c r="A7" s="76"/>
      <c r="B7" s="46" t="s">
        <v>26</v>
      </c>
      <c r="C7" s="47" t="s">
        <v>33</v>
      </c>
      <c r="D7" s="47" t="s">
        <v>7</v>
      </c>
      <c r="E7" s="48"/>
      <c r="F7" s="47" t="s">
        <v>27</v>
      </c>
      <c r="G7" s="47" t="s">
        <v>10</v>
      </c>
      <c r="H7" s="79"/>
    </row>
    <row r="8" spans="1:8" x14ac:dyDescent="0.25">
      <c r="A8" s="49">
        <v>1</v>
      </c>
      <c r="B8" s="49">
        <v>2</v>
      </c>
      <c r="C8" s="49">
        <v>3</v>
      </c>
      <c r="D8" s="49">
        <v>4</v>
      </c>
      <c r="E8" s="50">
        <v>5</v>
      </c>
      <c r="F8" s="49">
        <v>6</v>
      </c>
      <c r="G8" s="49">
        <v>7</v>
      </c>
      <c r="H8" s="51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1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5"/>
      <c r="F20" s="60"/>
      <c r="G20" s="60"/>
      <c r="H20" s="80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5"/>
      <c r="F26" s="60"/>
      <c r="G26" s="60"/>
      <c r="H26" s="80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5"/>
      <c r="F34" s="60"/>
      <c r="G34" s="60"/>
      <c r="H34" s="80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5"/>
      <c r="F41" s="60"/>
      <c r="G41" s="60"/>
      <c r="H41" s="80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5"/>
      <c r="F49" s="60"/>
      <c r="G49" s="60"/>
      <c r="H49" s="80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5"/>
      <c r="F54" s="60"/>
      <c r="G54" s="60"/>
      <c r="H54" s="80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1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1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1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1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1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1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1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1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1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1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1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1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1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1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5"/>
      <c r="F145" s="60"/>
      <c r="G145" s="60"/>
      <c r="H145" s="61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5"/>
      <c r="F152" s="60"/>
      <c r="G152" s="60"/>
      <c r="H152" s="61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5"/>
      <c r="F156" s="60"/>
      <c r="G156" s="60"/>
      <c r="H156" s="61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5"/>
      <c r="F162" s="60"/>
      <c r="G162" s="60"/>
      <c r="H162" s="61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5"/>
      <c r="F166" s="60"/>
      <c r="G166" s="60"/>
      <c r="H166" s="61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5"/>
      <c r="F172" s="60"/>
      <c r="G172" s="60"/>
      <c r="H172" s="61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5"/>
      <c r="F176" s="60"/>
      <c r="G176" s="60"/>
      <c r="H176" s="61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5"/>
      <c r="F182" s="60"/>
      <c r="G182" s="60"/>
      <c r="H182" s="61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5"/>
      <c r="F186" s="60"/>
      <c r="G186" s="60"/>
      <c r="H186" s="61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5"/>
      <c r="F192" s="60"/>
      <c r="G192" s="60"/>
      <c r="H192" s="61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5"/>
      <c r="F196" s="60"/>
      <c r="G196" s="60"/>
      <c r="H196" s="61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5"/>
      <c r="F202" s="60"/>
      <c r="G202" s="60"/>
      <c r="H202" s="61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5"/>
      <c r="F207" s="60"/>
      <c r="G207" s="60"/>
      <c r="H207" s="61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5"/>
      <c r="F211" s="60"/>
      <c r="G211" s="60"/>
      <c r="H211" s="61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5"/>
      <c r="F217" s="60"/>
      <c r="G217" s="60"/>
      <c r="H217" s="61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5"/>
      <c r="F221" s="60"/>
      <c r="G221" s="60"/>
      <c r="H221" s="61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5"/>
      <c r="F227" s="60"/>
      <c r="G227" s="60"/>
      <c r="H227" s="61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5"/>
      <c r="F231" s="60"/>
      <c r="G231" s="60"/>
      <c r="H231" s="61"/>
    </row>
    <row r="232" spans="1:8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x14ac:dyDescent="0.25">
      <c r="A236" s="2">
        <f>MAX(A225:A235)+1</f>
        <v>189</v>
      </c>
      <c r="B236" s="9" t="s">
        <v>26</v>
      </c>
      <c r="C236" s="36">
        <f t="shared" si="257"/>
        <v>46002</v>
      </c>
      <c r="D236" s="36">
        <v>46008</v>
      </c>
      <c r="E236" s="37">
        <v>1287</v>
      </c>
      <c r="F236" s="34">
        <v>46016</v>
      </c>
      <c r="G236" s="34">
        <v>46016</v>
      </c>
      <c r="H236" s="44" t="s">
        <v>68</v>
      </c>
    </row>
    <row r="237" spans="1:8" x14ac:dyDescent="0.25">
      <c r="A237" s="59"/>
      <c r="B237" s="60"/>
      <c r="C237" s="60"/>
      <c r="D237" s="60"/>
      <c r="E237" s="60"/>
      <c r="F237" s="60"/>
      <c r="G237" s="60"/>
      <c r="H237" s="61"/>
    </row>
    <row r="238" spans="1:8" x14ac:dyDescent="0.25">
      <c r="A238" s="40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4">
        <v>46017</v>
      </c>
      <c r="G238" s="34">
        <v>46017</v>
      </c>
      <c r="H238" s="45" t="s">
        <v>70</v>
      </c>
    </row>
    <row r="239" spans="1:8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3" t="s">
        <v>73</v>
      </c>
    </row>
    <row r="240" spans="1:8" ht="30" x14ac:dyDescent="0.25">
      <c r="A240" s="40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1" t="s">
        <v>67</v>
      </c>
    </row>
    <row r="241" spans="1:8" x14ac:dyDescent="0.25">
      <c r="A241" s="66"/>
      <c r="B241" s="67"/>
      <c r="C241" s="67"/>
      <c r="D241" s="67"/>
      <c r="E241" s="68"/>
      <c r="F241" s="67"/>
      <c r="G241" s="67"/>
      <c r="H241" s="69"/>
    </row>
    <row r="242" spans="1:8" x14ac:dyDescent="0.25">
      <c r="A242" s="40">
        <f>MAX(A232:A241)+1</f>
        <v>193</v>
      </c>
      <c r="B242" s="38" t="s">
        <v>18</v>
      </c>
      <c r="C242" s="36">
        <v>46013</v>
      </c>
      <c r="D242" s="42">
        <v>46015</v>
      </c>
      <c r="E242" s="37">
        <v>8039</v>
      </c>
      <c r="F242" s="34">
        <v>46020</v>
      </c>
      <c r="G242" s="34">
        <v>46020</v>
      </c>
      <c r="H242" s="45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2">
        <f>MAX(A235:A243)+1</f>
        <v>195</v>
      </c>
      <c r="B244" s="9" t="s">
        <v>26</v>
      </c>
      <c r="C244" s="31">
        <f>IFERROR(IF(C236,C236+14,""),"")</f>
        <v>46016</v>
      </c>
      <c r="D244" s="31">
        <v>46017</v>
      </c>
      <c r="E244" s="37">
        <v>3133</v>
      </c>
      <c r="F244" s="39">
        <v>46034</v>
      </c>
      <c r="G244" s="39">
        <v>46034</v>
      </c>
      <c r="H244" s="10"/>
    </row>
    <row r="245" spans="1:8" x14ac:dyDescent="0.25">
      <c r="A245" s="59"/>
      <c r="B245" s="60"/>
      <c r="C245" s="60"/>
      <c r="D245" s="60"/>
      <c r="E245" s="60"/>
      <c r="F245" s="60"/>
      <c r="G245" s="60"/>
      <c r="H245" s="61"/>
    </row>
    <row r="246" spans="1:8" x14ac:dyDescent="0.25">
      <c r="A246" s="2">
        <f>MAX(A235:A245)+1</f>
        <v>196</v>
      </c>
      <c r="B246" s="9" t="s">
        <v>17</v>
      </c>
      <c r="C246" s="52">
        <v>46020</v>
      </c>
      <c r="D246" s="31">
        <v>46027</v>
      </c>
      <c r="E246" s="37">
        <f>4728+2633</f>
        <v>7361</v>
      </c>
      <c r="F246" s="39">
        <v>46034</v>
      </c>
      <c r="G246" s="39">
        <v>46034</v>
      </c>
      <c r="H246" s="83" t="s">
        <v>80</v>
      </c>
    </row>
    <row r="247" spans="1:8" x14ac:dyDescent="0.25">
      <c r="A247" s="2">
        <f>MAX(A236:A246)+1</f>
        <v>197</v>
      </c>
      <c r="B247" s="9" t="s">
        <v>15</v>
      </c>
      <c r="C247" s="53" t="s">
        <v>78</v>
      </c>
      <c r="D247" s="36">
        <v>46027</v>
      </c>
      <c r="E247" s="37">
        <v>2856</v>
      </c>
      <c r="F247" s="36">
        <v>46035</v>
      </c>
      <c r="G247" s="36">
        <v>46035</v>
      </c>
      <c r="H247" s="45"/>
    </row>
    <row r="248" spans="1:8" ht="30" x14ac:dyDescent="0.25">
      <c r="A248" s="54">
        <f>MAX(A236:A247)+1</f>
        <v>198</v>
      </c>
      <c r="B248" s="55" t="s">
        <v>18</v>
      </c>
      <c r="C248" s="56">
        <v>46030</v>
      </c>
      <c r="D248" s="56">
        <v>46031</v>
      </c>
      <c r="E248" s="57"/>
      <c r="F248" s="56">
        <v>46036</v>
      </c>
      <c r="G248" s="56">
        <v>46037</v>
      </c>
      <c r="H248" s="58" t="s">
        <v>79</v>
      </c>
    </row>
    <row r="249" spans="1:8" x14ac:dyDescent="0.25">
      <c r="A249" s="59"/>
      <c r="B249" s="60"/>
      <c r="C249" s="60"/>
      <c r="D249" s="60"/>
      <c r="E249" s="60"/>
      <c r="F249" s="60"/>
      <c r="G249" s="60"/>
      <c r="H249" s="61"/>
    </row>
    <row r="250" spans="1:8" x14ac:dyDescent="0.25">
      <c r="A250" s="2">
        <f>MAX(A238:A249)+1</f>
        <v>199</v>
      </c>
      <c r="B250" s="9" t="s">
        <v>17</v>
      </c>
      <c r="C250" s="39">
        <v>46034</v>
      </c>
      <c r="D250" s="39">
        <v>46035</v>
      </c>
      <c r="E250" s="37"/>
      <c r="F250" s="39">
        <v>46042</v>
      </c>
      <c r="G250" s="39">
        <v>46042</v>
      </c>
      <c r="H250" s="10"/>
    </row>
    <row r="251" spans="1:8" x14ac:dyDescent="0.25">
      <c r="A251" s="2">
        <f t="shared" ref="A251:A254" si="264">MAX(A239:A250)+1</f>
        <v>200</v>
      </c>
      <c r="B251" s="38" t="s">
        <v>15</v>
      </c>
      <c r="C251" s="39">
        <v>46031</v>
      </c>
      <c r="D251" s="39">
        <v>46034</v>
      </c>
      <c r="E251" s="37"/>
      <c r="F251" s="39">
        <v>46041</v>
      </c>
      <c r="G251" s="39">
        <v>46041</v>
      </c>
      <c r="H251" s="17"/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 t="s">
        <v>72</v>
      </c>
      <c r="E252" s="37"/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9">
        <v>46037</v>
      </c>
      <c r="D253" s="39">
        <v>46038</v>
      </c>
      <c r="E253" s="4"/>
      <c r="F253" s="39">
        <v>46043</v>
      </c>
      <c r="G253" s="39">
        <v>46044</v>
      </c>
      <c r="H253" s="10"/>
    </row>
    <row r="254" spans="1:8" x14ac:dyDescent="0.25">
      <c r="A254" s="2">
        <f t="shared" si="264"/>
        <v>203</v>
      </c>
      <c r="B254" s="9" t="s">
        <v>26</v>
      </c>
      <c r="C254" s="39">
        <v>46037</v>
      </c>
      <c r="D254" s="39">
        <v>46038</v>
      </c>
      <c r="E254" s="37"/>
      <c r="F254" s="39">
        <v>46048</v>
      </c>
      <c r="G254" s="39">
        <v>46048</v>
      </c>
      <c r="H254" s="10"/>
    </row>
    <row r="256" spans="1:8" x14ac:dyDescent="0.25">
      <c r="A256" s="62" t="s">
        <v>75</v>
      </c>
      <c r="B256" s="62"/>
      <c r="C256" s="62"/>
      <c r="D256" s="62"/>
      <c r="E256" s="62"/>
      <c r="F256" s="62"/>
      <c r="G256" s="62"/>
      <c r="H256" s="62"/>
    </row>
    <row r="257" spans="1:8" x14ac:dyDescent="0.25">
      <c r="A257" s="63" t="s">
        <v>76</v>
      </c>
      <c r="B257" s="63"/>
      <c r="C257" s="63"/>
      <c r="D257" s="63"/>
      <c r="E257" s="63"/>
      <c r="F257" s="63"/>
      <c r="G257" s="63"/>
      <c r="H257" s="63"/>
    </row>
    <row r="258" spans="1:8" x14ac:dyDescent="0.25">
      <c r="A258" s="64" t="s">
        <v>77</v>
      </c>
      <c r="B258" s="64"/>
      <c r="C258" s="64"/>
      <c r="D258" s="64"/>
      <c r="E258" s="64"/>
      <c r="F258" s="64"/>
      <c r="G258" s="64"/>
      <c r="H258" s="64"/>
    </row>
  </sheetData>
  <autoFilter ref="A8:H236" xr:uid="{9D5F3532-A341-428E-AFDB-DF9AAA83E1F5}">
    <filterColumn colId="0">
      <filters>
        <filter val="185"/>
        <filter val="186"/>
        <filter val="187"/>
        <filter val="188"/>
        <filter val="189"/>
      </filters>
    </filterColumn>
  </autoFilter>
  <mergeCells count="50">
    <mergeCell ref="A207:H207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16:H116"/>
    <mergeCell ref="A145:H145"/>
    <mergeCell ref="A97:H97"/>
    <mergeCell ref="A121:H121"/>
    <mergeCell ref="A102:H102"/>
    <mergeCell ref="A249:H249"/>
    <mergeCell ref="A256:H256"/>
    <mergeCell ref="A257:H257"/>
    <mergeCell ref="A258:H258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2026-01-07T10:18:22Z</dcterms:modified>
</cp:coreProperties>
</file>