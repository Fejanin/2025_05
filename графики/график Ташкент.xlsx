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3F8C7FFA-C19A-4E9F-8262-6E883850C2AE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Лист1!$A$8:$H$226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26" i="1" l="1"/>
  <c r="G236" i="1" s="1"/>
  <c r="F226" i="1"/>
  <c r="F236" i="1" s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D236" i="1" s="1"/>
  <c r="C226" i="1"/>
  <c r="C236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D23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23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23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s="1"/>
  <c r="A234" i="1" s="1"/>
  <c r="A235" i="1" s="1"/>
  <c r="A236" i="1" l="1"/>
  <c r="A238" i="1" s="1"/>
  <c r="A239" i="1" l="1"/>
  <c r="A240" i="1" s="1"/>
</calcChain>
</file>

<file path=xl/sharedStrings.xml><?xml version="1.0" encoding="utf-8"?>
<sst xmlns="http://schemas.openxmlformats.org/spreadsheetml/2006/main" count="344" uniqueCount="70">
  <si>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</si>
  <si>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</si>
  <si>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</si>
  <si>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</si>
  <si>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</si>
  <si>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</si>
  <si>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</si>
  <si>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</si>
  <si>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</si>
  <si>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</si>
  <si>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</si>
  <si>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</si>
  <si>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</si>
  <si>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</si>
  <si>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</si>
  <si>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</si>
  <si>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</si>
  <si>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</si>
  <si>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</si>
  <si>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</si>
  <si>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</si>
  <si>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</si>
  <si>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</si>
  <si>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</si>
  <si>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</si>
  <si>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</si>
  <si>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</si>
  <si>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</si>
  <si>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</si>
  <si>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</si>
  <si>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</si>
  <si>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</si>
  <si>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</si>
  <si>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</si>
  <si>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</si>
  <si>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</si>
  <si>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</si>
  <si>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</si>
  <si>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</si>
  <si>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</si>
  <si>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</si>
  <si>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</si>
  <si>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</si>
  <si>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</si>
  <si>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</si>
  <si>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</si>
  <si>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</si>
  <si>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</si>
  <si>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</si>
  <si>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</si>
  <si>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</si>
  <si>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</si>
  <si>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</si>
  <si>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</si>
  <si>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</si>
  <si>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</si>
  <si>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</si>
  <si>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</si>
  <si>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</si>
  <si>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</si>
  <si>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</si>
  <si>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</si>
  <si>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</si>
  <si>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</si>
  <si>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</si>
  <si>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</si>
  <si>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11,12,25 будет корректировка</t>
  </si>
  <si>
    <t>заказ отправили 11,12,25</t>
  </si>
  <si>
    <t>не заказывали</t>
  </si>
  <si>
    <t>отгрузка на месте / заказ отправили без расчета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</si>
</sst>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1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1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1" fillId="3" borderId="1" xfId="0" applyFont="1" applyFill="1" applyBorder="1" applyAlignment="1">
      <alignment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1" fontId="11" fillId="2" borderId="6" xfId="0" applyNumberFormat="1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2" fillId="2" borderId="5" xfId="0" applyNumberFormat="1" applyFont="1" applyFill="1" applyBorder="1" applyAlignment="1">
      <alignment horizontal="center" vertical="center"/>
    </xf>
    <xf numFmtId="164" fontId="12" fillId="2" borderId="7" xfId="0" applyNumberFormat="1" applyFon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41"/>
  <sheetViews>
    <sheetView tabSelected="1" zoomScaleNormal="100" workbookViewId="0">
      <pane ySplit="8" topLeftCell="A9" activePane="bottomLeft" state="frozen"/>
      <selection pane="bottomLeft" activeCell="K240" sqref="K240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50" t="s">
        <v>23</v>
      </c>
      <c r="B1" s="51"/>
      <c r="C1" s="51"/>
      <c r="D1" s="51"/>
      <c r="E1" s="52"/>
      <c r="F1" s="51"/>
      <c r="G1" s="51"/>
      <c r="H1" s="53"/>
    </row>
    <row r="2" spans="1:8" x14ac:dyDescent="0.25">
      <c r="A2" s="54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7" t="s">
        <v>16</v>
      </c>
    </row>
    <row r="3" spans="1:8" x14ac:dyDescent="0.25">
      <c r="A3" s="55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8"/>
    </row>
    <row r="4" spans="1:8" x14ac:dyDescent="0.25">
      <c r="A4" s="55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8"/>
    </row>
    <row r="5" spans="1:8" x14ac:dyDescent="0.25">
      <c r="A5" s="55"/>
      <c r="B5" s="13" t="s">
        <v>19</v>
      </c>
      <c r="C5" s="7" t="s">
        <v>10</v>
      </c>
      <c r="D5" s="7" t="s">
        <v>9</v>
      </c>
      <c r="E5" s="4"/>
      <c r="F5" s="61" t="s">
        <v>34</v>
      </c>
      <c r="G5" s="62"/>
      <c r="H5" s="58"/>
    </row>
    <row r="6" spans="1:8" ht="30" x14ac:dyDescent="0.25">
      <c r="A6" s="55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8"/>
    </row>
    <row r="7" spans="1:8" ht="30" x14ac:dyDescent="0.25">
      <c r="A7" s="56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59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6" t="s">
        <v>25</v>
      </c>
      <c r="B14" s="47"/>
      <c r="C14" s="47"/>
      <c r="D14" s="47"/>
      <c r="E14" s="47"/>
      <c r="F14" s="47"/>
      <c r="G14" s="47"/>
      <c r="H14" s="48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6" t="s">
        <v>25</v>
      </c>
      <c r="B20" s="47"/>
      <c r="C20" s="47"/>
      <c r="D20" s="47"/>
      <c r="E20" s="49"/>
      <c r="F20" s="47"/>
      <c r="G20" s="47"/>
      <c r="H20" s="60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6" t="s">
        <v>25</v>
      </c>
      <c r="B26" s="47"/>
      <c r="C26" s="47"/>
      <c r="D26" s="47"/>
      <c r="E26" s="49"/>
      <c r="F26" s="47"/>
      <c r="G26" s="47"/>
      <c r="H26" s="60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6" t="s">
        <v>25</v>
      </c>
      <c r="B34" s="47"/>
      <c r="C34" s="47"/>
      <c r="D34" s="47"/>
      <c r="E34" s="49"/>
      <c r="F34" s="47"/>
      <c r="G34" s="47"/>
      <c r="H34" s="60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6" t="s">
        <v>25</v>
      </c>
      <c r="B41" s="47"/>
      <c r="C41" s="47"/>
      <c r="D41" s="47"/>
      <c r="E41" s="49"/>
      <c r="F41" s="47"/>
      <c r="G41" s="47"/>
      <c r="H41" s="60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6" t="s">
        <v>25</v>
      </c>
      <c r="B49" s="47"/>
      <c r="C49" s="47"/>
      <c r="D49" s="47"/>
      <c r="E49" s="49"/>
      <c r="F49" s="47"/>
      <c r="G49" s="47"/>
      <c r="H49" s="60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6" t="s">
        <v>25</v>
      </c>
      <c r="B54" s="47"/>
      <c r="C54" s="47"/>
      <c r="D54" s="47"/>
      <c r="E54" s="49"/>
      <c r="F54" s="47"/>
      <c r="G54" s="47"/>
      <c r="H54" s="60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6" t="s">
        <v>25</v>
      </c>
      <c r="B61" s="47"/>
      <c r="C61" s="47"/>
      <c r="D61" s="47"/>
      <c r="E61" s="47"/>
      <c r="F61" s="47"/>
      <c r="G61" s="47"/>
      <c r="H61" s="48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6" t="s">
        <v>25</v>
      </c>
      <c r="B66" s="47"/>
      <c r="C66" s="47"/>
      <c r="D66" s="47"/>
      <c r="E66" s="47"/>
      <c r="F66" s="47"/>
      <c r="G66" s="47"/>
      <c r="H66" s="48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6" t="s">
        <v>25</v>
      </c>
      <c r="B73" s="47"/>
      <c r="C73" s="47"/>
      <c r="D73" s="47"/>
      <c r="E73" s="47"/>
      <c r="F73" s="47"/>
      <c r="G73" s="47"/>
      <c r="H73" s="48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6" t="s">
        <v>25</v>
      </c>
      <c r="B78" s="47"/>
      <c r="C78" s="47"/>
      <c r="D78" s="47"/>
      <c r="E78" s="47"/>
      <c r="F78" s="47"/>
      <c r="G78" s="47"/>
      <c r="H78" s="48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6" t="s">
        <v>25</v>
      </c>
      <c r="B85" s="47"/>
      <c r="C85" s="47"/>
      <c r="D85" s="47"/>
      <c r="E85" s="47"/>
      <c r="F85" s="47"/>
      <c r="G85" s="47"/>
      <c r="H85" s="48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6" t="s">
        <v>25</v>
      </c>
      <c r="B90" s="47"/>
      <c r="C90" s="47"/>
      <c r="D90" s="47"/>
      <c r="E90" s="47"/>
      <c r="F90" s="47"/>
      <c r="G90" s="47"/>
      <c r="H90" s="48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6" t="s">
        <v>25</v>
      </c>
      <c r="B97" s="47"/>
      <c r="C97" s="47"/>
      <c r="D97" s="47"/>
      <c r="E97" s="47"/>
      <c r="F97" s="47"/>
      <c r="G97" s="47"/>
      <c r="H97" s="48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6" t="s">
        <v>25</v>
      </c>
      <c r="B102" s="47"/>
      <c r="C102" s="47"/>
      <c r="D102" s="47"/>
      <c r="E102" s="47"/>
      <c r="F102" s="47"/>
      <c r="G102" s="47"/>
      <c r="H102" s="48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6" t="s">
        <v>25</v>
      </c>
      <c r="B109" s="47"/>
      <c r="C109" s="47"/>
      <c r="D109" s="47"/>
      <c r="E109" s="47"/>
      <c r="F109" s="47"/>
      <c r="G109" s="47"/>
      <c r="H109" s="48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6" t="s">
        <v>25</v>
      </c>
      <c r="B116" s="47"/>
      <c r="C116" s="47"/>
      <c r="D116" s="47"/>
      <c r="E116" s="47"/>
      <c r="F116" s="47"/>
      <c r="G116" s="47"/>
      <c r="H116" s="48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6" t="s">
        <v>25</v>
      </c>
      <c r="B121" s="47"/>
      <c r="C121" s="47"/>
      <c r="D121" s="47"/>
      <c r="E121" s="47"/>
      <c r="F121" s="47"/>
      <c r="G121" s="47"/>
      <c r="H121" s="48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6" t="s">
        <v>25</v>
      </c>
      <c r="B128" s="47"/>
      <c r="C128" s="47"/>
      <c r="D128" s="47"/>
      <c r="E128" s="47"/>
      <c r="F128" s="47"/>
      <c r="G128" s="47"/>
      <c r="H128" s="48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6" t="s">
        <v>25</v>
      </c>
      <c r="B133" s="47"/>
      <c r="C133" s="47"/>
      <c r="D133" s="47"/>
      <c r="E133" s="47"/>
      <c r="F133" s="47"/>
      <c r="G133" s="47"/>
      <c r="H133" s="48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6" t="s">
        <v>25</v>
      </c>
      <c r="B140" s="47"/>
      <c r="C140" s="47"/>
      <c r="D140" s="47"/>
      <c r="E140" s="47"/>
      <c r="F140" s="47"/>
      <c r="G140" s="47"/>
      <c r="H140" s="48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6" t="s">
        <v>25</v>
      </c>
      <c r="B145" s="47"/>
      <c r="C145" s="47"/>
      <c r="D145" s="47"/>
      <c r="E145" s="49"/>
      <c r="F145" s="47"/>
      <c r="G145" s="47"/>
      <c r="H145" s="48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6" t="s">
        <v>25</v>
      </c>
      <c r="B152" s="47"/>
      <c r="C152" s="47"/>
      <c r="D152" s="47"/>
      <c r="E152" s="49"/>
      <c r="F152" s="47"/>
      <c r="G152" s="47"/>
      <c r="H152" s="48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6" t="s">
        <v>25</v>
      </c>
      <c r="B156" s="47"/>
      <c r="C156" s="47"/>
      <c r="D156" s="47"/>
      <c r="E156" s="49"/>
      <c r="F156" s="47"/>
      <c r="G156" s="47"/>
      <c r="H156" s="48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6" t="s">
        <v>25</v>
      </c>
      <c r="B162" s="47"/>
      <c r="C162" s="47"/>
      <c r="D162" s="47"/>
      <c r="E162" s="49"/>
      <c r="F162" s="47"/>
      <c r="G162" s="47"/>
      <c r="H162" s="48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6" t="s">
        <v>25</v>
      </c>
      <c r="B166" s="47"/>
      <c r="C166" s="47"/>
      <c r="D166" s="47"/>
      <c r="E166" s="49"/>
      <c r="F166" s="47"/>
      <c r="G166" s="47"/>
      <c r="H166" s="48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6" t="s">
        <v>25</v>
      </c>
      <c r="B172" s="47"/>
      <c r="C172" s="47"/>
      <c r="D172" s="47"/>
      <c r="E172" s="49"/>
      <c r="F172" s="47"/>
      <c r="G172" s="47"/>
      <c r="H172" s="48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6" t="s">
        <v>25</v>
      </c>
      <c r="B176" s="47"/>
      <c r="C176" s="47"/>
      <c r="D176" s="47"/>
      <c r="E176" s="49"/>
      <c r="F176" s="47"/>
      <c r="G176" s="47"/>
      <c r="H176" s="48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6" t="s">
        <v>25</v>
      </c>
      <c r="B182" s="47"/>
      <c r="C182" s="47"/>
      <c r="D182" s="47"/>
      <c r="E182" s="49"/>
      <c r="F182" s="47"/>
      <c r="G182" s="47"/>
      <c r="H182" s="48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6" t="s">
        <v>25</v>
      </c>
      <c r="B186" s="47"/>
      <c r="C186" s="47"/>
      <c r="D186" s="47"/>
      <c r="E186" s="49"/>
      <c r="F186" s="47"/>
      <c r="G186" s="47"/>
      <c r="H186" s="48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6" t="s">
        <v>25</v>
      </c>
      <c r="B192" s="47"/>
      <c r="C192" s="47"/>
      <c r="D192" s="47"/>
      <c r="E192" s="49"/>
      <c r="F192" s="47"/>
      <c r="G192" s="47"/>
      <c r="H192" s="48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6" t="s">
        <v>25</v>
      </c>
      <c r="B196" s="47"/>
      <c r="C196" s="47"/>
      <c r="D196" s="47"/>
      <c r="E196" s="49"/>
      <c r="F196" s="47"/>
      <c r="G196" s="47"/>
      <c r="H196" s="48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6" t="s">
        <v>25</v>
      </c>
      <c r="B202" s="47"/>
      <c r="C202" s="47"/>
      <c r="D202" s="47"/>
      <c r="E202" s="49"/>
      <c r="F202" s="47"/>
      <c r="G202" s="47"/>
      <c r="H202" s="48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6" t="s">
        <v>25</v>
      </c>
      <c r="B207" s="47"/>
      <c r="C207" s="47"/>
      <c r="D207" s="47"/>
      <c r="E207" s="49"/>
      <c r="F207" s="47"/>
      <c r="G207" s="47"/>
      <c r="H207" s="48"/>
    </row>
    <row r="208" spans="1:8" ht="30" hidden="1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hidden="1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hidden="1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hidden="1" x14ac:dyDescent="0.25">
      <c r="A211" s="46" t="s">
        <v>25</v>
      </c>
      <c r="B211" s="47"/>
      <c r="C211" s="47"/>
      <c r="D211" s="47"/>
      <c r="E211" s="49"/>
      <c r="F211" s="47"/>
      <c r="G211" s="47"/>
      <c r="H211" s="48"/>
    </row>
    <row r="212" spans="1:8" hidden="1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hidden="1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hidden="1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hidden="1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hidden="1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hidden="1" x14ac:dyDescent="0.25">
      <c r="A217" s="46" t="s">
        <v>25</v>
      </c>
      <c r="B217" s="47"/>
      <c r="C217" s="47"/>
      <c r="D217" s="47"/>
      <c r="E217" s="49"/>
      <c r="F217" s="47"/>
      <c r="G217" s="47"/>
      <c r="H217" s="48"/>
    </row>
    <row r="218" spans="1:8" hidden="1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hidden="1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hidden="1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hidden="1" x14ac:dyDescent="0.25">
      <c r="A221" s="46" t="s">
        <v>25</v>
      </c>
      <c r="B221" s="47"/>
      <c r="C221" s="47"/>
      <c r="D221" s="47"/>
      <c r="E221" s="49"/>
      <c r="F221" s="47"/>
      <c r="G221" s="47"/>
      <c r="H221" s="48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>
        <v>6290</v>
      </c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>
        <v>2026</v>
      </c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6"/>
      <c r="B227" s="47"/>
      <c r="C227" s="47"/>
      <c r="D227" s="47"/>
      <c r="E227" s="49"/>
      <c r="F227" s="47"/>
      <c r="G227" s="47"/>
      <c r="H227" s="48"/>
    </row>
    <row r="228" spans="1:8" ht="30" x14ac:dyDescent="0.25">
      <c r="A228" s="2">
        <f>MAX(A216:A227)+1</f>
        <v>182</v>
      </c>
      <c r="B228" s="14" t="s">
        <v>17</v>
      </c>
      <c r="C228" s="8">
        <f>IFERROR(IF(C218,C218+14,""),"")</f>
        <v>45992</v>
      </c>
      <c r="D228" s="8">
        <f t="shared" ref="D228" si="248">IFERROR(IF(D218,D218+14,""),"")</f>
        <v>45993</v>
      </c>
      <c r="E228" s="5">
        <v>4874</v>
      </c>
      <c r="F228" s="8">
        <f t="shared" ref="F228:G228" si="249">IFERROR(IF(F218,F218+14,""),"")</f>
        <v>46000</v>
      </c>
      <c r="G228" s="8">
        <f t="shared" si="249"/>
        <v>46000</v>
      </c>
      <c r="H228" s="15" t="s">
        <v>65</v>
      </c>
    </row>
    <row r="229" spans="1:8" x14ac:dyDescent="0.25">
      <c r="A229" s="2">
        <f>MAX(A217:A228)+1</f>
        <v>183</v>
      </c>
      <c r="B229" s="14" t="s">
        <v>18</v>
      </c>
      <c r="C229" s="8">
        <f t="shared" ref="C229:D229" si="250">IFERROR(IF(C219,C219+14,""),"")</f>
        <v>45995</v>
      </c>
      <c r="D229" s="8">
        <f t="shared" si="250"/>
        <v>45996</v>
      </c>
      <c r="E229" s="5">
        <v>4992</v>
      </c>
      <c r="F229" s="8">
        <f t="shared" ref="F229:G229" si="251">IFERROR(IF(F219,F219+14,""),"")</f>
        <v>46001</v>
      </c>
      <c r="G229" s="8">
        <f t="shared" si="251"/>
        <v>46002</v>
      </c>
      <c r="H229" s="15"/>
    </row>
    <row r="230" spans="1:8" x14ac:dyDescent="0.25">
      <c r="A230" s="2">
        <f>MAX(A218:A229)+1</f>
        <v>184</v>
      </c>
      <c r="B230" s="14" t="s">
        <v>19</v>
      </c>
      <c r="C230" s="8">
        <f t="shared" ref="C230:D230" si="252">IFERROR(IF(C220,C220+14,""),"")</f>
        <v>45992</v>
      </c>
      <c r="D230" s="8">
        <f t="shared" si="252"/>
        <v>45993</v>
      </c>
      <c r="E230" s="5">
        <v>820</v>
      </c>
      <c r="F230" s="8" t="str">
        <f t="shared" ref="F230:G230" si="253">IFERROR(IF(F220,F220+14,""),"")</f>
        <v/>
      </c>
      <c r="G230" s="8" t="str">
        <f t="shared" si="253"/>
        <v/>
      </c>
      <c r="H230" s="15" t="s">
        <v>22</v>
      </c>
    </row>
    <row r="231" spans="1:8" x14ac:dyDescent="0.25">
      <c r="A231" s="46"/>
      <c r="B231" s="47"/>
      <c r="C231" s="47"/>
      <c r="D231" s="47"/>
      <c r="E231" s="49"/>
      <c r="F231" s="47"/>
      <c r="G231" s="47"/>
      <c r="H231" s="48"/>
    </row>
    <row r="232" spans="1:8" ht="30" x14ac:dyDescent="0.25">
      <c r="A232" s="2">
        <f t="shared" ref="A232:A235" si="254">MAX(A220:A231)+1</f>
        <v>185</v>
      </c>
      <c r="B232" s="44" t="s">
        <v>15</v>
      </c>
      <c r="C232" s="42">
        <f>IFERROR(IF(C222,C222+14,""),"")</f>
        <v>45999</v>
      </c>
      <c r="D232" s="42">
        <f t="shared" ref="D232:D236" si="255">IFERROR(IF(D222,D222+14,""),"")</f>
        <v>46000</v>
      </c>
      <c r="E232" s="43">
        <v>2421</v>
      </c>
      <c r="F232" s="42">
        <f t="shared" ref="F232:G232" si="256">IFERROR(IF(F222,F222+14,""),"")</f>
        <v>46006</v>
      </c>
      <c r="G232" s="42">
        <f t="shared" si="256"/>
        <v>46006</v>
      </c>
      <c r="H232" s="23" t="s">
        <v>66</v>
      </c>
    </row>
    <row r="233" spans="1:8" ht="30" x14ac:dyDescent="0.25">
      <c r="A233" s="2">
        <f t="shared" si="254"/>
        <v>186</v>
      </c>
      <c r="B233" s="14" t="s">
        <v>17</v>
      </c>
      <c r="C233" s="42">
        <f t="shared" ref="C233:C236" si="257">IFERROR(IF(C223,C223+14,""),"")</f>
        <v>45999</v>
      </c>
      <c r="D233" s="40">
        <v>46002</v>
      </c>
      <c r="E233" s="5">
        <v>3333</v>
      </c>
      <c r="F233" s="42">
        <f t="shared" ref="F233:G233" si="258">IFERROR(IF(F223,F223+14,""),"")</f>
        <v>46007</v>
      </c>
      <c r="G233" s="42">
        <f t="shared" si="258"/>
        <v>46007</v>
      </c>
      <c r="H233" s="15" t="s">
        <v>67</v>
      </c>
    </row>
    <row r="234" spans="1:8" x14ac:dyDescent="0.25">
      <c r="A234" s="2">
        <f t="shared" si="254"/>
        <v>187</v>
      </c>
      <c r="B234" s="14" t="s">
        <v>18</v>
      </c>
      <c r="C234" s="42">
        <f t="shared" si="257"/>
        <v>46002</v>
      </c>
      <c r="D234" s="42">
        <f t="shared" si="255"/>
        <v>46003</v>
      </c>
      <c r="E234" s="5">
        <v>11027</v>
      </c>
      <c r="F234" s="42">
        <f t="shared" ref="F234:G234" si="259">IFERROR(IF(F224,F224+14,""),"")</f>
        <v>46008</v>
      </c>
      <c r="G234" s="42">
        <f t="shared" si="259"/>
        <v>46009</v>
      </c>
      <c r="H234" s="15"/>
    </row>
    <row r="235" spans="1:8" x14ac:dyDescent="0.25">
      <c r="A235" s="2">
        <f t="shared" si="254"/>
        <v>188</v>
      </c>
      <c r="B235" s="14" t="s">
        <v>19</v>
      </c>
      <c r="C235" s="42">
        <f t="shared" si="257"/>
        <v>45999</v>
      </c>
      <c r="D235" s="42">
        <f t="shared" si="255"/>
        <v>46000</v>
      </c>
      <c r="E235" s="5"/>
      <c r="F235" s="42"/>
      <c r="G235" s="42"/>
      <c r="H235" s="15" t="s">
        <v>22</v>
      </c>
    </row>
    <row r="236" spans="1:8" x14ac:dyDescent="0.25">
      <c r="A236" s="2">
        <f>MAX(A225:A235)+1</f>
        <v>189</v>
      </c>
      <c r="B236" s="14" t="s">
        <v>26</v>
      </c>
      <c r="C236" s="42">
        <f t="shared" si="257"/>
        <v>46002</v>
      </c>
      <c r="D236" s="42">
        <f t="shared" si="255"/>
        <v>46003</v>
      </c>
      <c r="E236" s="43"/>
      <c r="F236" s="42">
        <f t="shared" ref="F236:G236" si="260">IFERROR(IF(F226,F226+14,""),"")</f>
        <v>46013</v>
      </c>
      <c r="G236" s="42">
        <f t="shared" si="260"/>
        <v>46013</v>
      </c>
      <c r="H236" s="45" t="s">
        <v>68</v>
      </c>
    </row>
    <row r="237" spans="1:8" x14ac:dyDescent="0.25">
      <c r="A237" s="46"/>
      <c r="B237" s="47"/>
      <c r="C237" s="47"/>
      <c r="D237" s="47"/>
      <c r="E237" s="47"/>
      <c r="F237" s="47"/>
      <c r="G237" s="47"/>
      <c r="H237" s="48"/>
    </row>
    <row r="238" spans="1:8" x14ac:dyDescent="0.25">
      <c r="A238" s="2">
        <f>MAX(A226:A237)+1</f>
        <v>190</v>
      </c>
      <c r="B238" s="14" t="s">
        <v>17</v>
      </c>
      <c r="C238" s="8">
        <f>IFERROR(IF(C228,C228+14,""),"")</f>
        <v>46006</v>
      </c>
      <c r="D238" s="8">
        <f t="shared" ref="D238" si="261">IFERROR(IF(D228,D228+14,""),"")</f>
        <v>46007</v>
      </c>
      <c r="E238" s="5"/>
      <c r="F238" s="8">
        <f t="shared" ref="F238:G238" si="262">IFERROR(IF(F228,F228+14,""),"")</f>
        <v>46014</v>
      </c>
      <c r="G238" s="8">
        <f t="shared" si="262"/>
        <v>46014</v>
      </c>
      <c r="H238" s="15"/>
    </row>
    <row r="239" spans="1:8" x14ac:dyDescent="0.25">
      <c r="A239" s="2">
        <f>MAX(A227:A238)+1</f>
        <v>191</v>
      </c>
      <c r="B239" s="14" t="s">
        <v>18</v>
      </c>
      <c r="C239" s="8">
        <f t="shared" ref="C239:D239" si="263">IFERROR(IF(C229,C229+14,""),"")</f>
        <v>46009</v>
      </c>
      <c r="D239" s="8">
        <f t="shared" si="263"/>
        <v>46010</v>
      </c>
      <c r="E239" s="5"/>
      <c r="F239" s="8">
        <f t="shared" ref="F239:G239" si="264">IFERROR(IF(F229,F229+14,""),"")</f>
        <v>46015</v>
      </c>
      <c r="G239" s="8">
        <f t="shared" si="264"/>
        <v>46016</v>
      </c>
      <c r="H239" s="15"/>
    </row>
    <row r="240" spans="1:8" ht="45" x14ac:dyDescent="0.25">
      <c r="A240" s="2">
        <f>MAX(A228:A239)+1</f>
        <v>192</v>
      </c>
      <c r="B240" s="14" t="s">
        <v>19</v>
      </c>
      <c r="C240" s="8">
        <f t="shared" ref="C240:D240" si="265">IFERROR(IF(C230,C230+14,""),"")</f>
        <v>46006</v>
      </c>
      <c r="D240" s="63">
        <v>46006</v>
      </c>
      <c r="E240" s="5">
        <v>1306</v>
      </c>
      <c r="F240" s="8" t="str">
        <f t="shared" ref="F240:G240" si="266">IFERROR(IF(F230,F230+14,""),"")</f>
        <v/>
      </c>
      <c r="G240" s="8" t="str">
        <f t="shared" si="266"/>
        <v/>
      </c>
      <c r="H240" s="15" t="s">
        <v>69</v>
      </c>
    </row>
    <row r="241" spans="1:8" x14ac:dyDescent="0.25">
      <c r="A241" s="46"/>
      <c r="B241" s="47"/>
      <c r="C241" s="47"/>
      <c r="D241" s="47"/>
      <c r="E241" s="49"/>
      <c r="F241" s="47"/>
      <c r="G241" s="47"/>
      <c r="H241" s="48"/>
    </row>
  </sheetData>
  <autoFilter ref="A8:H226" xr:uid="{9D5F3532-A341-428E-AFDB-DF9AAA83E1F5}">
    <filterColumn colId="0">
      <filters>
        <filter val="177"/>
        <filter val="178"/>
        <filter val="179"/>
        <filter val="180"/>
        <filter val="181"/>
      </filters>
    </filterColumn>
  </autoFilter>
  <mergeCells count="45">
    <mergeCell ref="A241:H241"/>
    <mergeCell ref="A90:H90"/>
    <mergeCell ref="A85:H85"/>
    <mergeCell ref="A128:H128"/>
    <mergeCell ref="A133:H133"/>
    <mergeCell ref="A140:H140"/>
    <mergeCell ref="A196:H196"/>
    <mergeCell ref="A192:H192"/>
    <mergeCell ref="A221:H221"/>
    <mergeCell ref="A211:H211"/>
    <mergeCell ref="A217:H217"/>
    <mergeCell ref="A237:H237"/>
    <mergeCell ref="A231:H231"/>
    <mergeCell ref="A227:H227"/>
    <mergeCell ref="A207:H207"/>
    <mergeCell ref="A202:H202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73:H73"/>
    <mergeCell ref="A156:H156"/>
    <mergeCell ref="A186:H186"/>
    <mergeCell ref="A182:H182"/>
    <mergeCell ref="A176:H176"/>
    <mergeCell ref="A172:H172"/>
    <mergeCell ref="A166:H166"/>
    <mergeCell ref="A152:H152"/>
    <mergeCell ref="A109:H109"/>
    <mergeCell ref="A162:H162"/>
    <mergeCell ref="A78:H78"/>
    <mergeCell ref="A116:H116"/>
    <mergeCell ref="A145:H145"/>
    <mergeCell ref="A97:H97"/>
    <mergeCell ref="A121:H121"/>
    <mergeCell ref="A102:H102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2025-12-08T06:31:49Z</cp:lastPrinted>
  <dcterms:created xsi:type="dcterms:W3CDTF">2015-06-05T18:19:34Z</dcterms:created>
  <dcterms:modified xsi:type="dcterms:W3CDTF">2025-12-15T12:45:08Z</dcterms:modified>
</cp:coreProperties>
</file>