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7E8BB9D5-7716-411F-92A3-2ECDFEA632E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Лист1!$A$2:$R$7138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Q7145" i="1" l="1"/>
  <c r="Q7144" i="1"/>
  <c r="Q7143" i="1"/>
  <c r="Q7130" i="1"/>
  <c r="Q7129" i="1"/>
  <c r="Q7128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8" i="1" s="1"/>
  <c r="A7129" i="1" s="1"/>
  <c r="A7131" i="1" s="1"/>
  <c r="A7134" i="1" s="1"/>
  <c r="A7136" i="1" s="1"/>
  <c r="A7137" i="1" s="1"/>
  <c r="A7138" i="1" s="1"/>
  <c r="A7140" i="1" s="1"/>
  <c r="A7143" i="1" s="1"/>
  <c r="A7146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</calcChain>
</file>

<file path=xl/sharedStrings.xml><?xml version="1.0" encoding="utf-8"?>
<sst xmlns="http://schemas.openxmlformats.org/spreadsheetml/2006/main" count="45873" uniqueCount="2425">
  <si>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</si>
  <si>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</si>
  <si>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</si>
  <si>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</si>
  <si>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</si>
  <si>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</si>
  <si>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</si>
  <si>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</si>
  <si>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</si>
  <si>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</si>
  <si>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</si>
  <si>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</si>
  <si>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</si>
  <si>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</si>
  <si>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</si>
  <si>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</si>
  <si>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</si>
  <si>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</si>
  <si>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</si>
  <si>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</si>
  <si>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</si>
  <si>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</si>
  <si>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</si>
  <si>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</si>
  <si>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</si>
  <si>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</si>
  <si>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</si>
  <si>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</si>
  <si>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</si>
  <si>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</si>
  <si>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</si>
  <si>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</si>
  <si>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</si>
  <si>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</si>
  <si>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</si>
  <si>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</si>
  <si>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</si>
  <si>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</si>
  <si>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</si>
  <si>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</si>
  <si>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</si>
  <si>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</si>
  <si>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</si>
  <si>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</si>
  <si>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</si>
  <si>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</si>
  <si>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</si>
  <si>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</si>
  <si>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</si>
  <si>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</si>
  <si>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</si>
  <si>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</si>
  <si>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</si>
  <si>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</si>
  <si>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</si>
  <si>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</si>
  <si>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</si>
  <si>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</si>
  <si>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</si>
  <si>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</si>
  <si>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</si>
  <si>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</si>
  <si>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</si>
  <si>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</si>
  <si>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</si>
  <si>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</si>
  <si>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</si>
  <si>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</si>
  <si>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</si>
  <si>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</si>
  <si>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</si>
  <si>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</si>
  <si>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</si>
  <si>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</si>
  <si>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</si>
  <si>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</si>
  <si>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</si>
  <si>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</si>
  <si>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</si>
  <si>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</si>
  <si>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</si>
  <si>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</si>
  <si>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</si>
  <si>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</si>
  <si>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</si>
  <si>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</si>
  <si>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</si>
  <si>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</si>
  <si>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</si>
  <si>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</si>
  <si>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</si>
  <si>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</si>
  <si>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</si>
  <si>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</si>
  <si>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</si>
  <si>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</si>
  <si>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</si>
  <si>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</si>
  <si>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</si>
  <si>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</si>
  <si>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</si>
  <si>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</si>
  <si>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</si>
  <si>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</si>
  <si>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</si>
  <si>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</si>
  <si>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</si>
  <si>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</si>
  <si>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</si>
  <si>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</si>
  <si>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</si>
  <si>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</si>
  <si>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</si>
  <si>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</si>
  <si>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</si>
  <si>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</si>
  <si>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</si>
  <si>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</si>
  <si>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</si>
  <si>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</si>
  <si>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</si>
  <si>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</si>
  <si>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</si>
  <si>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</si>
  <si>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</si>
  <si>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</si>
  <si>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</si>
  <si>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</si>
  <si>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</si>
  <si>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</si>
  <si>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</si>
  <si>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</si>
  <si>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</si>
  <si>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</si>
  <si>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</si>
  <si>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</si>
  <si>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</si>
  <si>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</si>
  <si>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</si>
  <si>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</si>
  <si>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</si>
  <si>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</si>
  <si>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</si>
  <si>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</si>
  <si>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</si>
  <si>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</si>
  <si>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</si>
  <si>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</si>
  <si>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</si>
  <si>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</si>
  <si>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</si>
  <si>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</si>
  <si>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</si>
  <si>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</si>
  <si>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</si>
  <si>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</si>
  <si>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</si>
  <si>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</si>
  <si>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</si>
  <si>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</si>
  <si>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</si>
  <si>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</si>
  <si>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</si>
  <si>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</si>
  <si>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</si>
  <si>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</si>
  <si>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</si>
  <si>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</si>
  <si>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</si>
  <si>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</si>
  <si>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</si>
  <si>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</si>
  <si>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</si>
  <si>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</si>
  <si>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</si>
  <si>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</si>
  <si>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</si>
  <si>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</si>
  <si>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</si>
  <si>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</si>
  <si>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</si>
  <si>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</si>
  <si>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</si>
  <si>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</si>
  <si>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</si>
  <si>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</si>
  <si>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</si>
  <si>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</si>
  <si>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</si>
  <si>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</si>
  <si>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</si>
  <si>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</si>
  <si>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</si>
  <si>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</si>
  <si>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</si>
  <si>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</si>
  <si>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</si>
  <si>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</si>
  <si>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</si>
  <si>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</si>
  <si>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</si>
  <si>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</si>
  <si>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</si>
  <si>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</si>
  <si>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</si>
  <si>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</si>
  <si>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</si>
  <si>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</si>
  <si>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</si>
  <si>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</si>
  <si>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</si>
  <si>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</si>
  <si>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</si>
  <si>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</si>
  <si>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</si>
  <si>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</si>
  <si>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</si>
  <si>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</si>
  <si>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</si>
  <si>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</si>
  <si>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</si>
  <si>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</si>
  <si>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</si>
  <si>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</si>
  <si>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</si>
  <si>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</si>
  <si>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</si>
  <si>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</si>
  <si>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</si>
  <si>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</si>
  <si>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</si>
  <si>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</si>
  <si>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</si>
  <si>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</si>
  <si>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</si>
  <si>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</si>
  <si>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</si>
  <si>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</si>
  <si>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</si>
  <si>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</si>
  <si>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</si>
  <si>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</si>
  <si>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</si>
  <si>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</si>
  <si>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</si>
  <si>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</si>
  <si>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</si>
  <si>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</si>
  <si>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</si>
  <si>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</si>
  <si>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</si>
  <si>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</si>
  <si>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</si>
  <si>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</si>
  <si>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</si>
  <si>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</si>
  <si>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</si>
  <si>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</si>
  <si>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</si>
  <si>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</si>
  <si>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</si>
  <si>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</si>
  <si>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</si>
  <si>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</si>
  <si>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</si>
  <si>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</si>
  <si>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</si>
  <si>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</si>
  <si>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</si>
  <si>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</si>
  <si>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</si>
  <si>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</si>
  <si>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</si>
  <si>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</si>
  <si>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</si>
  <si>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</si>
  <si>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</si>
  <si>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</si>
  <si>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</si>
  <si>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</si>
  <si>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</si>
  <si>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</si>
  <si>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</si>
  <si>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</si>
  <si>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</si>
  <si>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</si>
  <si>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</si>
  <si>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</si>
  <si>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</si>
  <si>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</si>
  <si>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</si>
  <si>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</si>
  <si>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</si>
  <si>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</si>
  <si>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</si>
  <si>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</si>
  <si>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</si>
  <si>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</si>
  <si>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</si>
  <si>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</si>
  <si>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</si>
  <si>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</si>
  <si>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</si>
  <si>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</si>
  <si>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</si>
  <si>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</si>
  <si>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</si>
  <si>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</si>
  <si>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</si>
  <si>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</si>
  <si>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</si>
  <si>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</si>
  <si>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</si>
  <si>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</si>
  <si>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</si>
  <si>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</si>
  <si>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</si>
  <si>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</si>
  <si>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</si>
  <si>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</si>
  <si>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</si>
  <si>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</si>
  <si>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</si>
  <si>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</si>
  <si>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</si>
  <si>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</si>
  <si>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</si>
  <si>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</si>
  <si>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</si>
  <si>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</si>
  <si>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</si>
  <si>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</si>
  <si>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</si>
  <si>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</si>
  <si>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</si>
  <si>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</si>
  <si>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</si>
  <si>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</si>
  <si>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</si>
  <si>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</si>
  <si>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</si>
  <si>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</si>
  <si>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</si>
  <si>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</si>
  <si>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</si>
  <si>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</si>
  <si>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</si>
  <si>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</si>
  <si>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</si>
  <si>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</si>
  <si>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</si>
  <si>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</si>
  <si>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</si>
  <si>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</si>
  <si>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</si>
  <si>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</si>
  <si>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</si>
  <si>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</si>
  <si>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</si>
  <si>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</si>
  <si>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</si>
  <si>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</si>
  <si>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</si>
  <si>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</si>
  <si>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</si>
  <si>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</si>
  <si>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</si>
  <si>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</si>
  <si>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</si>
  <si>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</si>
  <si>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</si>
  <si>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</si>
  <si>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</si>
  <si>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</si>
  <si>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</si>
  <si>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</si>
  <si>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</si>
  <si>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</si>
  <si>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</si>
  <si>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</si>
  <si>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</si>
  <si>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</si>
  <si>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</si>
  <si>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</si>
  <si>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</si>
  <si>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</si>
  <si>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</si>
  <si>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</si>
  <si>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</si>
  <si>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</si>
  <si>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</si>
  <si>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</si>
  <si>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</si>
  <si>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</si>
  <si>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</si>
  <si>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</si>
  <si>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</si>
  <si>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</si>
  <si>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</si>
  <si>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</si>
  <si>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</si>
  <si>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</si>
  <si>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</si>
  <si>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</si>
  <si>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</si>
  <si>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</si>
  <si>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</si>
  <si>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</si>
  <si>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</si>
  <si>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</si>
  <si>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</si>
  <si>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</si>
  <si>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</si>
  <si>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</si>
  <si>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</si>
  <si>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</si>
  <si>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</si>
  <si>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</si>
  <si>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</si>
  <si>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</si>
  <si>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</si>
  <si>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</si>
  <si>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</si>
  <si>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</si>
  <si>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</si>
  <si>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</si>
  <si>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</si>
  <si>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</si>
  <si>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</si>
  <si>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</si>
  <si>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</si>
  <si>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</si>
  <si>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</si>
  <si>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</si>
  <si>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</si>
  <si>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</si>
  <si>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</si>
  <si>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</si>
  <si>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</si>
  <si>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</si>
  <si>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</si>
  <si>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</si>
  <si>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</si>
  <si>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</si>
  <si>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</si>
  <si>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</si>
  <si>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</si>
  <si>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</si>
  <si>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</si>
  <si>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</si>
  <si>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</si>
  <si>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</si>
  <si>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</si>
  <si>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</si>
  <si>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</si>
  <si>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</si>
  <si>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</si>
  <si>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</si>
  <si>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</si>
  <si>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</si>
  <si>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</si>
  <si>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</si>
  <si>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</si>
  <si>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</si>
  <si>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</si>
  <si>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</si>
  <si>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</si>
  <si>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</si>
  <si>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</si>
  <si>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</si>
  <si>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</si>
  <si>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</si>
  <si>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</si>
  <si>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</si>
  <si>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</si>
  <si>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</si>
  <si>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</si>
  <si>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</si>
  <si>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</si>
  <si>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</si>
  <si>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</si>
  <si>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</si>
  <si>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</si>
  <si>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</si>
  <si>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</si>
  <si>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</si>
  <si>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</si>
  <si>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</si>
  <si>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</si>
  <si>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</si>
  <si>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</si>
  <si>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</si>
  <si>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</si>
  <si>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</si>
  <si>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</si>
  <si>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</si>
  <si>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</si>
  <si>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</si>
  <si>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</si>
  <si>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</si>
  <si>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</si>
  <si>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</si>
  <si>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</si>
  <si>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</si>
  <si>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</si>
  <si>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</si>
  <si>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</si>
  <si>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</si>
  <si>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</si>
  <si>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</si>
  <si>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</si>
  <si>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</si>
  <si>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</si>
  <si>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</si>
  <si>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</si>
  <si>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</si>
  <si>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</si>
  <si>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</si>
  <si>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</si>
  <si>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</si>
  <si>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</si>
  <si>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</si>
  <si>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</si>
  <si>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</si>
  <si>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</si>
  <si>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</si>
  <si>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</si>
  <si>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</si>
  <si>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</si>
  <si>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</si>
  <si>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</si>
  <si>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</si>
  <si>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</si>
  <si>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</si>
  <si>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</si>
  <si>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</si>
  <si>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</si>
  <si>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</si>
  <si>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</si>
  <si>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</si>
  <si>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</si>
  <si>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</si>
  <si>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</si>
  <si>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</si>
  <si>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</si>
  <si>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</si>
  <si>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</si>
  <si>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</si>
  <si>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</si>
  <si>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</si>
  <si>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</si>
  <si>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</si>
  <si>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</si>
  <si>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</si>
  <si>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</si>
  <si>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</si>
  <si>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</si>
  <si>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</si>
  <si>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</si>
  <si>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</si>
  <si>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</si>
  <si>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</si>
  <si>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</si>
  <si>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</si>
  <si>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</si>
  <si>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</si>
  <si>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</si>
  <si>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</si>
  <si>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</si>
  <si>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</si>
  <si>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</si>
  <si>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</si>
  <si>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</si>
  <si>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</si>
  <si>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</si>
  <si>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</si>
  <si>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</si>
  <si>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</si>
  <si>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</si>
  <si>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</si>
  <si>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</si>
  <si>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</si>
  <si>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</si>
  <si>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</si>
  <si>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</si>
  <si>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</si>
  <si>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</si>
  <si>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</si>
  <si>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</si>
  <si>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</si>
  <si>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</si>
  <si>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</si>
  <si>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</si>
  <si>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</si>
  <si>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</si>
  <si>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</si>
  <si>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</si>
  <si>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</si>
  <si>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</si>
  <si>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</si>
  <si>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</si>
  <si>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</si>
  <si>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</si>
  <si>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</si>
  <si>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</si>
  <si>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</si>
  <si>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</si>
  <si>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</si>
  <si>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</si>
  <si>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</si>
  <si>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</si>
  <si>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</si>
  <si>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</si>
  <si>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</si>
  <si>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</si>
  <si>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</si>
  <si>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</si>
  <si>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</si>
  <si>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</si>
  <si>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</si>
  <si>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</si>
  <si>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</si>
  <si>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</si>
  <si>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</si>
  <si>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</si>
  <si>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</si>
  <si>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</si>
  <si>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</si>
  <si>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</si>
  <si>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</si>
  <si>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</si>
  <si>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</si>
  <si>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</si>
  <si>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</si>
  <si>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</si>
  <si>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</si>
  <si>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</si>
  <si>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</si>
  <si>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</si>
  <si>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</si>
  <si>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</si>
  <si>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</si>
  <si>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</si>
  <si>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</si>
  <si>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</si>
  <si>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</si>
  <si>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</si>
  <si>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</si>
  <si>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</si>
  <si>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</si>
  <si>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</si>
  <si>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</si>
  <si>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</si>
  <si>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</si>
  <si>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</si>
  <si>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</si>
  <si>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</si>
  <si>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</si>
  <si>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</si>
  <si>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</si>
  <si>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</si>
  <si>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</si>
  <si>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</si>
  <si>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</si>
  <si>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</si>
  <si>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</si>
  <si>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</si>
  <si>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</si>
  <si>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</si>
  <si>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</si>
  <si>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</si>
  <si>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</si>
  <si>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</si>
  <si>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</si>
  <si>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</si>
  <si>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</si>
  <si>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</si>
  <si>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</si>
  <si>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</si>
  <si>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</si>
  <si>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</si>
  <si>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</si>
  <si>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</si>
  <si>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</si>
  <si>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</si>
  <si>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</si>
  <si>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</si>
  <si>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</si>
  <si>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</si>
  <si>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</si>
  <si>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</si>
  <si>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</si>
  <si>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</si>
  <si>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</si>
  <si>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</si>
  <si>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</si>
  <si>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</si>
  <si>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</si>
  <si>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</si>
  <si>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</si>
  <si>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</si>
  <si>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</si>
  <si>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</si>
  <si>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</si>
  <si>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</si>
  <si>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</si>
  <si>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</si>
  <si>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</si>
  <si>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</si>
  <si>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</si>
  <si>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</si>
  <si>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</si>
  <si>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</si>
  <si>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</si>
  <si>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</si>
  <si>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</si>
  <si>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</si>
  <si>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</si>
  <si>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</si>
  <si>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</si>
  <si>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</si>
  <si>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</si>
  <si>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</si>
  <si>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</si>
  <si>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</si>
  <si>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</si>
  <si>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</si>
  <si>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</si>
  <si>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</si>
  <si>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</si>
  <si>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</si>
  <si>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</si>
  <si>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</si>
  <si>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</si>
  <si>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</si>
  <si>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</si>
  <si>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</si>
  <si>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</si>
  <si>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</si>
  <si>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</si>
  <si>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</si>
  <si>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</si>
  <si>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</si>
  <si>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</si>
  <si>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</si>
  <si>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</si>
  <si>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</si>
  <si>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</si>
  <si>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</si>
  <si>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</si>
  <si>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</si>
  <si>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</si>
  <si>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</si>
  <si>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</si>
  <si>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</si>
  <si>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</si>
  <si>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</si>
  <si>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</si>
  <si>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</si>
  <si>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</si>
  <si>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</si>
  <si>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</si>
  <si>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</si>
  <si>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</si>
  <si>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</si>
  <si>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</si>
  <si>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</si>
  <si>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</si>
  <si>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</si>
  <si>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</si>
  <si>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</si>
  <si>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</si>
  <si>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</si>
  <si>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</si>
  <si>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</si>
  <si>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</si>
  <si>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</si>
  <si>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</si>
  <si>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</si>
  <si>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</si>
  <si>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</si>
  <si>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</si>
  <si>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</si>
  <si>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</si>
  <si>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</si>
  <si>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</si>
  <si>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</si>
  <si>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</si>
  <si>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</si>
  <si>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</si>
  <si>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</si>
  <si>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</si>
  <si>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</si>
  <si>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</si>
  <si>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</si>
  <si>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</si>
  <si>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</si>
  <si>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</si>
  <si>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</si>
  <si>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</si>
  <si>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</si>
  <si>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</si>
  <si>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</si>
  <si>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</si>
  <si>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</si>
  <si>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</si>
  <si>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</si>
  <si>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</si>
  <si>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</si>
  <si>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</si>
  <si>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</si>
  <si>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</si>
  <si>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</si>
  <si>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</si>
  <si>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</si>
  <si>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</si>
  <si>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</si>
  <si>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</si>
  <si>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</si>
  <si>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</si>
  <si>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</si>
  <si>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</si>
  <si>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</si>
  <si>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</si>
  <si>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</si>
  <si>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</si>
  <si>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</si>
  <si>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</si>
  <si>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</si>
  <si>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</si>
  <si>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</si>
  <si>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</si>
  <si>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</si>
  <si>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</si>
  <si>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</si>
  <si>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</si>
  <si>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</si>
  <si>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</si>
  <si>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</si>
  <si>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</si>
  <si>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</si>
  <si>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</si>
  <si>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</si>
  <si>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</si>
  <si>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</si>
  <si>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</si>
  <si>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</si>
  <si>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</si>
  <si>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</si>
  <si>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</si>
  <si>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</si>
  <si>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</si>
  <si>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</si>
  <si>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</si>
  <si>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</si>
  <si>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</si>
  <si>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</si>
  <si>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</si>
  <si>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</si>
  <si>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</si>
  <si>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</si>
  <si>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</si>
  <si>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</si>
  <si>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</si>
  <si>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</si>
  <si>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</si>
  <si>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</si>
  <si>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</si>
  <si>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</si>
  <si>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</si>
  <si>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</si>
  <si>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</si>
  <si>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</si>
  <si>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</si>
  <si>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</si>
  <si>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</si>
  <si>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</si>
  <si>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</si>
  <si>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</si>
  <si>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</si>
  <si>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</si>
  <si>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</si>
  <si>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</si>
  <si>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</si>
  <si>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</si>
  <si>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</si>
  <si>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</si>
  <si>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</si>
  <si>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</si>
  <si>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</si>
  <si>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</si>
  <si>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</si>
  <si>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</si>
  <si>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</si>
  <si>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</si>
  <si>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</si>
  <si>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</si>
  <si>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</si>
  <si>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</si>
  <si>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</si>
  <si>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</si>
  <si>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</si>
  <si>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</si>
  <si>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</si>
  <si>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</si>
  <si>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</si>
  <si>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</si>
  <si>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</si>
  <si>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</si>
  <si>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</si>
  <si>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</si>
  <si>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</si>
  <si>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</si>
  <si>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</si>
  <si>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</si>
  <si>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</si>
  <si>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</si>
  <si>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</si>
  <si>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</si>
  <si>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</si>
  <si>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</si>
  <si>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</si>
  <si>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</si>
  <si>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</si>
  <si>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</si>
  <si>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</si>
  <si>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</si>
  <si>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</si>
  <si>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</si>
  <si>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</si>
  <si>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</si>
  <si>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</si>
  <si>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</si>
  <si>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</si>
  <si>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</si>
  <si>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</si>
  <si>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</si>
  <si>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</si>
  <si>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</si>
  <si>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</si>
  <si>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</si>
  <si>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</si>
  <si>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</si>
  <si>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</si>
  <si>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</si>
  <si>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</si>
  <si>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</si>
  <si>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</si>
  <si>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</si>
  <si>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</si>
  <si>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</si>
  <si>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</si>
  <si>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</si>
  <si>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</si>
  <si>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</si>
  <si>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</si>
  <si>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</si>
  <si>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</si>
  <si>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</si>
  <si>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</si>
  <si>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</si>
  <si>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</si>
  <si>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</si>
  <si>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</si>
  <si>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</si>
  <si>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</si>
  <si>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</si>
  <si>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</si>
  <si>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</si>
  <si>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</si>
  <si>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</si>
  <si>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</si>
  <si>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</si>
  <si>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</si>
  <si>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</si>
  <si>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</si>
  <si>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</si>
  <si>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</si>
  <si>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</si>
  <si>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</si>
  <si>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</si>
  <si>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</si>
  <si>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</si>
  <si>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</si>
  <si>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</si>
  <si>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</si>
  <si>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</si>
  <si>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</si>
  <si>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</si>
  <si>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</si>
  <si>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</si>
  <si>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</si>
  <si>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</si>
  <si>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</si>
  <si>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</si>
  <si>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</si>
  <si>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</si>
  <si>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</si>
  <si>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</si>
  <si>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</si>
  <si>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</si>
  <si>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</si>
  <si>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</si>
  <si>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</si>
  <si>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</si>
  <si>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</si>
  <si>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</si>
  <si>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</si>
  <si>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</si>
  <si>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</si>
  <si>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</si>
  <si>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</si>
  <si>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</si>
  <si>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</si>
  <si>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</si>
  <si>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</si>
  <si>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</si>
  <si>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</si>
  <si>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</si>
  <si>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</si>
  <si>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</si>
  <si>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</si>
  <si>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</si>
  <si>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</si>
  <si>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</si>
  <si>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</si>
  <si>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</si>
  <si>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</si>
  <si>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</si>
  <si>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</si>
  <si>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</si>
  <si>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</si>
  <si>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</si>
  <si>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</si>
  <si>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</si>
  <si>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</si>
  <si>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</si>
  <si>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</si>
  <si>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</si>
  <si>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</si>
  <si>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</si>
  <si>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</si>
  <si>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</si>
  <si>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</si>
  <si>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</si>
  <si>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</si>
  <si>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</si>
  <si>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</si>
  <si>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</si>
  <si>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</si>
  <si>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</si>
  <si>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</si>
  <si>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</si>
  <si>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</si>
  <si>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</si>
  <si>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</si>
  <si>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</si>
  <si>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</si>
  <si>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</si>
  <si>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</si>
  <si>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</si>
  <si>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</si>
  <si>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</si>
  <si>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</si>
  <si>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</si>
  <si>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</si>
  <si>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</si>
  <si>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</si>
  <si>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</si>
  <si>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</si>
  <si>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</si>
  <si>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</si>
  <si>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</si>
  <si>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</si>
  <si>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</si>
  <si>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</si>
  <si>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</si>
  <si>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</si>
  <si>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</si>
  <si>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</si>
  <si>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</si>
  <si>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</si>
  <si>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</si>
  <si>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</si>
  <si>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</si>
  <si>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</si>
  <si>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</si>
  <si>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</si>
  <si>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</si>
  <si>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</si>
  <si>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</si>
  <si>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</si>
  <si>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</si>
  <si>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</si>
  <si>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</si>
  <si>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</si>
  <si>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</si>
  <si>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</si>
  <si>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</si>
  <si>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</si>
  <si>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</si>
  <si>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</si>
  <si>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</si>
  <si>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</si>
  <si>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</si>
  <si>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</si>
  <si>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</si>
  <si>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</si>
  <si>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</si>
  <si>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</si>
  <si>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</si>
  <si>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</si>
  <si>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</si>
  <si>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</si>
  <si>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</si>
  <si>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</si>
  <si>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</si>
  <si>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</si>
  <si>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</si>
  <si>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</si>
  <si>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</si>
  <si>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</si>
  <si>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</si>
  <si>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</si>
  <si>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</si>
  <si>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</si>
  <si>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</si>
  <si>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</si>
  <si>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</si>
  <si>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</si>
  <si>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</si>
  <si>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</si>
  <si>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</si>
  <si>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</si>
  <si>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</si>
  <si>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</si>
  <si>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</si>
  <si>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</si>
  <si>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</si>
  <si>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</si>
  <si>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</si>
  <si>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</si>
  <si>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</si>
  <si>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</si>
  <si>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</si>
  <si>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</si>
  <si>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</si>
  <si>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</si>
  <si>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</si>
  <si>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</si>
  <si>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</si>
  <si>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</si>
  <si>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</si>
  <si>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</si>
  <si>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</si>
  <si>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</si>
  <si>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</si>
  <si>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</si>
  <si>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</si>
  <si>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</si>
  <si>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</si>
  <si>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</si>
  <si>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</si>
  <si>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</si>
  <si>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</si>
  <si>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</si>
  <si>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</si>
  <si>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</si>
  <si>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</si>
  <si>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</si>
  <si>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</si>
  <si>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</si>
  <si>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</si>
  <si>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</si>
  <si>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</si>
  <si>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</si>
  <si>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</si>
  <si>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</si>
  <si>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</si>
  <si>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</si>
  <si>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</si>
  <si>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</si>
  <si>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</si>
  <si>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</si>
  <si>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</si>
  <si>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</si>
  <si>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</si>
  <si>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</si>
  <si>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</si>
  <si>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</si>
  <si>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</si>
  <si>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</si>
  <si>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</si>
  <si>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</si>
  <si>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</si>
  <si>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</si>
  <si>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</si>
  <si>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</si>
  <si>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</si>
  <si>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</si>
  <si>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</si>
  <si>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</si>
  <si>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</si>
  <si>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</si>
  <si>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</si>
  <si>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</si>
  <si>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</si>
  <si>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</si>
  <si>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</si>
  <si>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</si>
  <si>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</si>
  <si>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</si>
  <si>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</si>
  <si>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</si>
  <si>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</si>
  <si>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</si>
  <si>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</si>
  <si>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</si>
  <si>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</si>
  <si>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</si>
  <si>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</si>
  <si>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</si>
  <si>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</si>
  <si>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</si>
  <si>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</si>
  <si>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</si>
  <si>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</si>
  <si>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</si>
  <si>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</si>
  <si>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</si>
  <si>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</si>
  <si>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</si>
  <si>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</si>
  <si>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</si>
  <si>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</si>
  <si>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</si>
  <si>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</si>
  <si>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</si>
  <si>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</si>
  <si>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</si>
  <si>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</si>
  <si>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</si>
  <si>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</si>
  <si>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</si>
  <si>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</si>
  <si>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</si>
  <si>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</si>
  <si>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</si>
  <si>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</si>
  <si>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</si>
  <si>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</si>
  <si>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</si>
  <si>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</si>
  <si>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</si>
  <si>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</si>
  <si>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</si>
  <si>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</si>
  <si>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</si>
  <si>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</si>
  <si>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</si>
  <si>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</si>
  <si>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</si>
  <si>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</si>
  <si>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</si>
  <si>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</si>
  <si>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</si>
  <si>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</si>
  <si>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</si>
  <si>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</si>
  <si>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</si>
  <si>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</si>
  <si>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</si>
  <si>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</si>
  <si>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</si>
  <si>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</si>
  <si>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</si>
  <si>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</si>
  <si>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</si>
  <si>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</si>
  <si>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</si>
  <si>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</si>
  <si>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</si>
  <si>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</si>
  <si>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</si>
  <si>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</si>
  <si>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</si>
  <si>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</si>
  <si>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</si>
  <si>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</si>
  <si>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</si>
  <si>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</si>
  <si>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</si>
  <si>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</si>
  <si>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</si>
  <si>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</si>
  <si>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</si>
  <si>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</si>
  <si>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</si>
  <si>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</si>
  <si>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</si>
  <si>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</si>
  <si>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</si>
  <si>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</si>
  <si>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</si>
  <si>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</si>
  <si>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</si>
  <si>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</si>
  <si>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</si>
  <si>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</si>
  <si>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</si>
  <si>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</si>
  <si>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</si>
  <si>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</si>
  <si>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</si>
  <si>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</si>
  <si>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</si>
  <si>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</si>
  <si>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</si>
  <si>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</si>
  <si>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</si>
  <si>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</si>
  <si>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</si>
  <si>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</si>
  <si>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</si>
  <si>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</si>
  <si>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</si>
  <si>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</si>
  <si>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</si>
  <si>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</si>
  <si>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</si>
  <si>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</si>
  <si>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</si>
  <si>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</si>
  <si>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</si>
  <si>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</si>
  <si>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</si>
  <si>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</si>
  <si>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</si>
  <si>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</si>
  <si>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</si>
  <si>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</si>
  <si>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</si>
  <si>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</si>
  <si>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</si>
  <si>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</si>
  <si>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</si>
  <si>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</si>
  <si>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</si>
  <si>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</si>
  <si>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</si>
  <si>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</si>
  <si>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</si>
  <si>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</si>
  <si>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</si>
  <si>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</si>
  <si>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</si>
  <si>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</si>
  <si>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</si>
  <si>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</si>
  <si>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</si>
  <si>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</si>
  <si>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</si>
  <si>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</si>
  <si>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</si>
  <si>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</si>
  <si>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</si>
  <si>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</si>
  <si>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</si>
  <si>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</si>
  <si>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</si>
  <si>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</si>
  <si>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</si>
  <si>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</si>
  <si>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</si>
  <si>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</si>
  <si>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</si>
  <si>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</si>
  <si>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</si>
  <si>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</si>
  <si>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</si>
  <si>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</si>
  <si>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</si>
  <si>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</si>
  <si>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</si>
  <si>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</si>
  <si>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</si>
  <si>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</si>
  <si>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</si>
  <si>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</si>
  <si>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</si>
  <si>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</si>
  <si>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</si>
  <si>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</si>
  <si>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</si>
  <si>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</si>
  <si>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</si>
  <si>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</si>
  <si>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</si>
  <si>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</si>
  <si>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</si>
  <si>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</si>
  <si>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</si>
  <si>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</si>
  <si>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</si>
  <si>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</si>
  <si>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</si>
  <si>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</si>
  <si>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</si>
  <si>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</si>
  <si>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</si>
  <si>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</si>
  <si>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</si>
  <si>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</si>
  <si>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</si>
  <si>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</si>
  <si>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</si>
  <si>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</si>
  <si>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</si>
  <si>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</si>
  <si>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</si>
  <si>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</si>
  <si>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</si>
  <si>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</si>
  <si>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</si>
  <si>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</si>
  <si>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</si>
  <si>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</si>
  <si>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</si>
  <si>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</si>
  <si>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</si>
  <si>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</si>
  <si>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</si>
  <si>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</si>
  <si>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</si>
  <si>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</si>
  <si>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</si>
  <si>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</si>
  <si>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</si>
  <si>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</si>
  <si>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</si>
  <si>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</si>
  <si>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</si>
  <si>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</si>
  <si>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</si>
  <si>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</si>
  <si>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</si>
  <si>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</si>
  <si>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</si>
  <si>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</si>
  <si>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</si>
  <si>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</si>
  <si>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</si>
  <si>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</si>
  <si>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</si>
  <si>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</si>
  <si>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</si>
  <si>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</si>
  <si>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</si>
  <si>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</si>
  <si>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</si>
  <si>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</si>
  <si>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</si>
  <si>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</si>
  <si>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</si>
  <si>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</si>
  <si>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</si>
  <si>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</si>
  <si>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</si>
  <si>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</si>
  <si>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</si>
  <si>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</si>
  <si>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</si>
  <si>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</si>
  <si>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</si>
  <si>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</si>
  <si>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</si>
  <si>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</si>
  <si>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</si>
  <si>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</si>
  <si>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</si>
  <si>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</si>
  <si>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</si>
  <si>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</si>
  <si>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</si>
  <si>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</si>
  <si>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</si>
  <si>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</si>
  <si>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</si>
  <si>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</si>
  <si>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</si>
  <si>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</si>
  <si>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</si>
  <si>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</si>
  <si>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</si>
  <si>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</si>
  <si>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</si>
  <si>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</si>
  <si>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</si>
  <si>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</si>
  <si>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</si>
  <si>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</si>
  <si>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</si>
  <si>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</si>
  <si>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</si>
  <si>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</si>
  <si>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</si>
  <si>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</si>
  <si>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</si>
  <si>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</si>
  <si>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</si>
  <si>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</si>
  <si>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</si>
  <si>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</si>
  <si>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</si>
  <si>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</si>
  <si>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</si>
  <si>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</si>
  <si>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</si>
  <si>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</si>
  <si>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</si>
  <si>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</si>
  <si>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</si>
  <si>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</si>
  <si>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</si>
  <si>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</si>
  <si>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</si>
  <si>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</si>
  <si>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</si>
  <si>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</si>
  <si>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</si>
  <si>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</si>
  <si>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</si>
  <si>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</si>
  <si>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</si>
  <si>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</si>
  <si>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</si>
  <si>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</si>
  <si>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</si>
  <si>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</si>
  <si>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</si>
  <si>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</si>
  <si>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</si>
  <si>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</si>
  <si>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</si>
  <si>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</si>
  <si>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</si>
  <si>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</si>
  <si>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</si>
  <si>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</si>
  <si>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</si>
  <si>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</si>
  <si>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</si>
  <si>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</si>
  <si>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</si>
  <si>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</si>
  <si>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</si>
  <si>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</si>
  <si>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</si>
  <si>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</si>
  <si>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</si>
  <si>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</si>
  <si>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</si>
  <si>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</si>
  <si>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</si>
  <si>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</si>
  <si>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</si>
  <si>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</si>
  <si>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</si>
  <si>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</si>
  <si>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</si>
  <si>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</si>
  <si>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</si>
  <si>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</si>
  <si>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</si>
  <si>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</si>
  <si>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</si>
  <si>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</si>
  <si>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</si>
  <si>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</si>
  <si>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</si>
  <si>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</si>
  <si>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</si>
  <si>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</si>
  <si>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</si>
  <si>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</si>
  <si>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</si>
  <si>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</si>
  <si>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</si>
  <si>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</si>
  <si>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</si>
  <si>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</si>
  <si>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</si>
  <si>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</si>
  <si>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</si>
  <si>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</si>
  <si>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</si>
  <si>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</si>
  <si>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</si>
  <si>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</si>
  <si>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</si>
  <si>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</si>
  <si>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</si>
  <si>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</si>
  <si>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</si>
  <si>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</si>
  <si>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</si>
  <si>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</si>
  <si>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</si>
  <si>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</si>
  <si>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</si>
  <si>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</si>
  <si>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</si>
  <si>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</si>
  <si>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</si>
  <si>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</si>
  <si>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</si>
  <si>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</si>
  <si>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</si>
  <si>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</si>
  <si>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</si>
  <si>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</si>
  <si>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</si>
  <si>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</si>
  <si>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</si>
  <si>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</si>
  <si>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</si>
  <si>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</si>
  <si>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</si>
  <si>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</si>
  <si>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</si>
  <si>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</si>
  <si>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</si>
  <si>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</si>
  <si>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</si>
  <si>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</si>
  <si>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</si>
  <si>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</si>
  <si>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</si>
  <si>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</si>
  <si>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</si>
  <si>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</si>
  <si>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</si>
  <si>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</si>
  <si>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</si>
  <si>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</si>
  <si>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</si>
  <si>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</si>
  <si>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</si>
  <si>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</si>
  <si>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</si>
  <si>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</si>
  <si>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</si>
  <si>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</si>
  <si>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</si>
  <si>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</si>
  <si>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</si>
  <si>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</si>
  <si>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</si>
  <si>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</si>
  <si>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</si>
  <si>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</si>
  <si>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</si>
  <si>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</si>
  <si>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</si>
  <si>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</si>
  <si>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</si>
  <si>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</si>
  <si>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</si>
  <si>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</si>
  <si>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</si>
  <si>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</si>
  <si>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</si>
  <si>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</si>
  <si>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</si>
  <si>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</si>
  <si>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</si>
  <si>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</si>
  <si>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</si>
  <si>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</si>
  <si>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</si>
  <si>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</si>
  <si>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</si>
  <si>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</si>
  <si>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</si>
  <si>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</si>
  <si>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</si>
  <si>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</si>
  <si>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</si>
  <si>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</si>
  <si>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</si>
  <si>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</si>
  <si>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</si>
  <si>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</si>
  <si>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</si>
  <si>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</si>
  <si>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</si>
  <si>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</si>
  <si>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</si>
  <si>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</si>
  <si>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</si>
  <si>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</si>
  <si>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</si>
  <si>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</si>
  <si>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</si>
  <si>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</si>
  <si>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</si>
  <si>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</si>
  <si>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</si>
  <si>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</si>
  <si>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</si>
  <si>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</si>
  <si>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</si>
  <si>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</si>
  <si>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</si>
  <si>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</si>
  <si>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</si>
  <si>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</si>
  <si>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</si>
  <si>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</si>
  <si>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</si>
  <si>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</si>
  <si>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</si>
  <si>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</si>
  <si>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</si>
  <si>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</si>
  <si>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</si>
  <si>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</si>
  <si>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</si>
  <si>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</si>
  <si>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</si>
  <si>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</si>
  <si>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</si>
  <si>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</si>
  <si>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</si>
  <si>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</si>
  <si>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</si>
  <si>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</si>
  <si>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</si>
  <si>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</si>
  <si>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</si>
  <si>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</si>
  <si>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</si>
  <si>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</si>
  <si>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</si>
  <si>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</si>
  <si>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</si>
  <si>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</si>
  <si>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</si>
  <si>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</si>
  <si>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</si>
  <si>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</si>
  <si>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</si>
  <si>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</si>
  <si>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</si>
  <si>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</si>
  <si>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</si>
  <si>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</si>
  <si>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</si>
  <si>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</si>
  <si>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</si>
  <si>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</si>
  <si>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</si>
  <si>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</si>
  <si>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</si>
  <si>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</si>
  <si>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</si>
  <si>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</si>
  <si>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</si>
  <si>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</si>
  <si>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</si>
  <si>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</si>
  <si>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</si>
  <si>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</si>
  <si>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</si>
  <si>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</si>
  <si>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</si>
  <si>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</si>
  <si>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</si>
  <si>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</si>
  <si>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</si>
  <si>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</si>
  <si>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</si>
  <si>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</si>
  <si>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</si>
  <si>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</si>
  <si>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</si>
  <si>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</si>
  <si>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</si>
  <si>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</si>
  <si>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</si>
  <si>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</si>
  <si>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</si>
  <si>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</si>
  <si>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</si>
  <si>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</si>
  <si>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</si>
  <si>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</si>
  <si>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</si>
  <si>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</si>
  <si>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</si>
  <si>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</si>
  <si>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</si>
  <si>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</si>
  <si>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</si>
  <si>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</si>
  <si>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</si>
  <si>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</si>
  <si>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</si>
  <si>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</si>
  <si>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</si>
  <si>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</si>
  <si>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</si>
  <si>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</si>
  <si>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</si>
  <si>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</si>
  <si>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</si>
  <si>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</si>
  <si>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</si>
  <si>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</si>
  <si>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</si>
  <si>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</si>
  <si>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</si>
  <si>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</si>
  <si>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</si>
  <si>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</si>
  <si>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</si>
  <si>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</si>
  <si>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</si>
  <si>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</si>
  <si>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</si>
  <si>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</si>
  <si>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</si>
  <si>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</si>
  <si>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</si>
  <si>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</si>
  <si>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</si>
  <si>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</si>
  <si>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</si>
  <si>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</si>
  <si>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</si>
  <si>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</si>
  <si>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</si>
  <si>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</si>
  <si>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</si>
  <si>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</si>
  <si>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</si>
  <si>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</si>
  <si>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</si>
  <si>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</si>
  <si>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</si>
  <si>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</si>
  <si>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</si>
  <si>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</si>
  <si>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</si>
  <si>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</si>
  <si>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</si>
  <si>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</si>
  <si>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</si>
  <si>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</si>
  <si>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</si>
  <si>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</si>
  <si>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</si>
  <si>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</si>
  <si>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</si>
  <si>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</si>
  <si>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</si>
  <si>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</si>
  <si>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</si>
  <si>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</si>
  <si>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</si>
  <si>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</si>
  <si>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</si>
  <si>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</si>
  <si>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</si>
  <si>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</si>
  <si>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</si>
  <si>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</si>
  <si>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</si>
  <si>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</si>
  <si>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</si>
  <si>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</si>
  <si>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</si>
  <si>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</si>
  <si>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</si>
  <si>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</si>
  <si>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</si>
  <si>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</si>
  <si>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</si>
  <si>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</si>
  <si>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</si>
  <si>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</si>
  <si>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</si>
  <si>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</si>
  <si>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</si>
  <si>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</si>
  <si>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</si>
  <si>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</si>
  <si>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</si>
  <si>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</si>
  <si>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</si>
  <si>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</si>
  <si>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</si>
  <si>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</si>
  <si>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</si>
  <si>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</si>
  <si>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</si>
  <si>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</si>
  <si>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</si>
  <si>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</si>
  <si>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</si>
  <si>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</si>
  <si>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</si>
  <si>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</si>
  <si>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</si>
  <si>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</si>
  <si>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</si>
  <si>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</si>
  <si>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</si>
  <si>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</si>
  <si>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</si>
  <si>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</si>
  <si>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</si>
  <si>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</si>
  <si>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</si>
  <si>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</si>
  <si>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</si>
  <si>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</si>
  <si>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</si>
  <si>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</si>
  <si>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</si>
  <si>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</si>
  <si>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</si>
  <si>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</si>
  <si>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</si>
  <si>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</si>
  <si>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</si>
  <si>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</si>
  <si>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</si>
  <si>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</si>
  <si>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</si>
  <si>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</si>
  <si>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</si>
  <si>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</si>
  <si>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</si>
  <si>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</si>
  <si>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</si>
  <si>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</si>
  <si>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</si>
  <si>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</si>
  <si>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</si>
  <si>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</si>
  <si>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</si>
  <si>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</si>
  <si>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</si>
  <si>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</si>
  <si>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</si>
  <si>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</si>
  <si>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</si>
  <si>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</si>
  <si>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</si>
  <si>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</si>
  <si>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</si>
  <si>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</si>
  <si>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</si>
  <si>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</si>
  <si>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</si>
  <si>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</si>
  <si>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</si>
  <si>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</si>
  <si>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</si>
  <si>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</si>
  <si>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</si>
  <si>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</si>
  <si>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</si>
  <si>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</si>
  <si>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</si>
  <si>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</si>
  <si>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</si>
  <si>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</si>
  <si>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</si>
  <si>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</si>
  <si>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</si>
  <si>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</si>
  <si>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</si>
  <si>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</si>
  <si>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</si>
  <si>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</si>
  <si>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</si>
  <si>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</si>
  <si>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</si>
  <si>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</si>
  <si>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</si>
  <si>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</si>
  <si>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</si>
  <si>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</si>
  <si>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</si>
  <si>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</si>
  <si>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</si>
  <si>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</si>
  <si>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</si>
  <si>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</si>
  <si>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</si>
  <si>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</si>
  <si>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</si>
  <si>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</si>
  <si>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</si>
  <si>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</si>
  <si>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</si>
  <si>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</si>
  <si>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</si>
  <si>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</si>
  <si>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</si>
  <si>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</si>
  <si>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</si>
  <si>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</si>
  <si>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</si>
  <si>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</si>
  <si>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</si>
  <si>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</si>
  <si>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</si>
  <si>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</si>
  <si>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</si>
  <si>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</si>
  <si>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</si>
  <si>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</si>
  <si>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</si>
  <si>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</si>
  <si>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</si>
  <si>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</si>
  <si>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</si>
  <si>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</si>
  <si>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</si>
  <si>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</si>
  <si>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</si>
  <si>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</si>
  <si>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</si>
  <si>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</si>
  <si>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</si>
  <si>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</si>
  <si>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</si>
  <si>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</si>
  <si>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</si>
  <si>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</si>
  <si>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</si>
  <si>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</si>
  <si>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</si>
  <si>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</si>
  <si>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</si>
  <si>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</si>
  <si>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</si>
  <si>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</si>
  <si>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</si>
  <si>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</si>
  <si>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</si>
  <si>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</si>
  <si>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</si>
  <si>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</si>
  <si>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</si>
  <si>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</si>
  <si>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</si>
  <si>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</si>
  <si>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</si>
  <si>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</si>
  <si>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</si>
  <si>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</si>
  <si>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</si>
  <si>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</si>
  <si>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</si>
  <si>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</si>
  <si>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</si>
  <si>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</si>
  <si>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</si>
  <si>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</si>
  <si>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</si>
  <si>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</si>
  <si>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</si>
  <si>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</si>
  <si>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</si>
  <si>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</si>
  <si>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</si>
  <si>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</si>
  <si>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</si>
  <si>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</si>
  <si>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</si>
  <si>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</si>
  <si>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</si>
  <si>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</si>
  <si>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</si>
  <si>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</si>
  <si>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</si>
  <si>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</si>
  <si>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</si>
  <si>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</si>
  <si>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</si>
  <si>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</si>
  <si>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</si>
  <si>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</si>
  <si>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</si>
  <si>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</si>
  <si>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</si>
  <si>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</si>
  <si>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</si>
  <si>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</si>
  <si>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</si>
  <si>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</si>
  <si>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</si>
  <si>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</si>
  <si>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</si>
  <si>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</si>
  <si>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</si>
  <si>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</si>
  <si>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</si>
  <si>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</si>
  <si>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</si>
  <si>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</si>
  <si>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</si>
  <si>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</si>
  <si>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</si>
  <si>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</si>
  <si>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</si>
  <si>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</si>
  <si>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</si>
  <si>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</si>
  <si>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</si>
  <si>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</si>
  <si>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</si>
  <si>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</si>
  <si>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</si>
  <si>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</si>
  <si>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</si>
  <si>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</si>
  <si>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</si>
  <si>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</si>
  <si>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</si>
  <si>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</si>
  <si>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</si>
  <si>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</si>
  <si>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</si>
  <si>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</si>
  <si>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</si>
  <si>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</si>
  <si>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</si>
  <si>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</si>
  <si>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</si>
  <si>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</si>
  <si>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</si>
  <si>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</si>
  <si>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</si>
  <si>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</si>
  <si>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</si>
  <si>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</si>
  <si>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</si>
  <si>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</si>
  <si>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</si>
  <si>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</si>
  <si>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</si>
  <si>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</si>
  <si>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</si>
  <si>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</si>
  <si>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</si>
  <si>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</si>
  <si>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</si>
  <si>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</si>
  <si>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</si>
  <si>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</si>
  <si>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</si>
  <si>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</si>
  <si>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</si>
  <si>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</si>
  <si>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</si>
  <si>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</si>
  <si>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</si>
  <si>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</si>
  <si>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</si>
  <si>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</si>
  <si>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</si>
  <si>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</si>
  <si>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</si>
  <si>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</si>
  <si>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</si>
  <si>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</si>
  <si>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</si>
  <si>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</si>
  <si>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</si>
  <si>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</si>
  <si>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</si>
  <si>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</si>
  <si>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</si>
  <si>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</si>
  <si>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</si>
  <si>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</si>
  <si>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</si>
  <si>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</si>
  <si>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</si>
  <si>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</si>
  <si>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</si>
  <si>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</si>
  <si>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</si>
  <si>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</si>
  <si>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</si>
  <si>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</si>
  <si>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</si>
  <si>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</si>
  <si>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</si>
  <si>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</si>
  <si>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</si>
  <si>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</si>
  <si>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</si>
  <si>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</si>
  <si>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</si>
  <si>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</si>
  <si>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</si>
  <si>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</si>
  <si>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</si>
  <si>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</si>
  <si>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</si>
  <si>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</si>
  <si>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</si>
  <si>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</si>
  <si>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</si>
  <si>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</si>
  <si>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</si>
  <si>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</si>
  <si>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</si>
  <si>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</si>
  <si>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</si>
  <si>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</si>
  <si>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</si>
  <si>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</si>
  <si>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</si>
  <si>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</si>
  <si>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</si>
  <si>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</si>
  <si>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</si>
  <si>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</si>
  <si>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</si>
  <si>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</si>
  <si>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</si>
  <si>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</si>
  <si>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</si>
  <si>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</si>
  <si>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</si>
  <si>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</si>
  <si>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</si>
  <si>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</si>
  <si>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</si>
  <si>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</si>
  <si>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</si>
  <si>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</si>
  <si>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</si>
  <si>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</si>
  <si>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</si>
  <si>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</si>
  <si>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</si>
  <si>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</si>
  <si>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</si>
  <si>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</si>
  <si>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</si>
  <si>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</si>
  <si>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</si>
  <si>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</si>
  <si>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</si>
  <si>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</si>
  <si>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</si>
  <si>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</si>
  <si>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</si>
  <si>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</si>
  <si>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</si>
  <si>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</si>
  <si>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</si>
  <si>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</si>
  <si>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</si>
  <si>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</si>
  <si>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</si>
  <si>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</si>
  <si>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</si>
  <si>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</si>
  <si>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</si>
  <si>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</si>
  <si>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</si>
  <si>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</si>
  <si>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</si>
  <si>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</si>
  <si>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</si>
  <si>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</si>
  <si>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</si>
  <si>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</si>
  <si>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</si>
  <si>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</si>
  <si>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</si>
  <si>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</si>
  <si>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</si>
  <si>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</si>
  <si>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</si>
  <si>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</si>
  <si>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</si>
  <si>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</si>
  <si>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</si>
  <si>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</si>
  <si>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</si>
  <si>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</si>
  <si>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</si>
  <si>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</si>
  <si>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</si>
  <si>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</si>
  <si>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</si>
  <si>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</si>
  <si>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</si>
  <si>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</si>
  <si>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</si>
  <si>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</si>
  <si>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</si>
  <si>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</si>
  <si>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</si>
  <si>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</si>
  <si>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</si>
  <si>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</si>
  <si>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</si>
  <si>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</si>
  <si>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</si>
  <si>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</si>
  <si>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</si>
  <si>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</si>
  <si>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</si>
  <si>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</si>
  <si>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</si>
  <si>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</si>
  <si>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</si>
  <si>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</si>
  <si>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</si>
  <si>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</si>
  <si>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</si>
  <si>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</si>
  <si>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</si>
  <si>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</si>
  <si>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</si>
  <si>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</si>
  <si>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</si>
  <si>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</si>
  <si>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</si>
  <si>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</si>
  <si>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</si>
  <si>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</si>
  <si>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</si>
  <si>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</si>
  <si>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</si>
  <si>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</si>
  <si>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</si>
  <si>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</si>
  <si>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</si>
  <si>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</si>
  <si>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</si>
  <si>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</si>
  <si>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</si>
  <si>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</si>
  <si>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</si>
  <si>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</si>
  <si>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</si>
  <si>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</si>
  <si>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</si>
  <si>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</si>
  <si>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</si>
  <si>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</si>
  <si>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</si>
  <si>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</si>
  <si>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</si>
  <si>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</si>
  <si>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</si>
  <si>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</si>
  <si>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</si>
  <si>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</si>
  <si>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</si>
  <si>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</si>
  <si>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</si>
  <si>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</si>
  <si>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</si>
  <si>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</si>
  <si>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</si>
  <si>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</si>
  <si>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</si>
  <si>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</si>
  <si>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</si>
  <si>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</si>
  <si>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</si>
  <si>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</si>
  <si>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</si>
  <si>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</si>
  <si>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</si>
  <si>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</si>
  <si>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</si>
  <si>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</si>
  <si>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</si>
  <si>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</si>
  <si>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</si>
  <si>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</si>
  <si>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</si>
  <si>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</si>
  <si>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</si>
  <si>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</si>
  <si>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</si>
  <si>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</si>
  <si>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</si>
  <si>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</si>
  <si>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</si>
  <si>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</si>
  <si>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</si>
  <si>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</si>
  <si>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</si>
  <si>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</si>
  <si>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</si>
  <si>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</si>
  <si>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</si>
  <si>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</si>
  <si>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</si>
  <si>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отгружены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</si>
  <si>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</si>
  <si>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</si>
  <si>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</si>
  <si>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</si>
  <si>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</si>
  <si>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</si>
  <si>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</si>
  <si>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</si>
  <si>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отгружен? (15553)</t>
  </si>
  <si>
    <t>не отгружен???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</si>
</sst>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6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166" fontId="45" fillId="45" borderId="0" xfId="0" applyNumberFormat="1" applyFont="1" applyFill="1" applyAlignment="1">
      <alignment horizontal="left" vertical="center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&#1053;&#1042;%2001,09%20(&#1041;&#1086;&#1103;&#1088;&#1082;&#1086;).xlsx" TargetMode="External"/><Relationship Id="rId1" Type="http://schemas.openxmlformats.org/officeDocument/2006/relationships/externalLinkPath" Target="file:///C:\Users\User\Downloads\&#1053;&#1042;%2001,09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C1" t="str">
            <v>Заказ на продажу</v>
          </cell>
          <cell r="D1" t="str">
            <v>Внешний код клиента</v>
          </cell>
          <cell r="E1" t="str">
            <v>Проверен</v>
          </cell>
          <cell r="F1" t="str">
            <v>Запрошенная дата отгрузки</v>
          </cell>
          <cell r="G1" t="str">
            <v>Время отгрузки</v>
          </cell>
          <cell r="H1" t="str">
            <v>Вес нетто</v>
          </cell>
        </row>
        <row r="2">
          <cell r="C2" t="str">
            <v>TSO001092149</v>
          </cell>
          <cell r="D2" t="str">
            <v>НВДонецЧаа</v>
          </cell>
          <cell r="E2" t="str">
            <v>Пройдены все проверки</v>
          </cell>
          <cell r="F2">
            <v>46266</v>
          </cell>
          <cell r="G2">
            <v>6.9444444444444441E-3</v>
          </cell>
          <cell r="H2">
            <v>2809.86</v>
          </cell>
        </row>
        <row r="3">
          <cell r="C3" t="str">
            <v>TSO001092151</v>
          </cell>
          <cell r="D3" t="str">
            <v>НВДонецЧаа</v>
          </cell>
          <cell r="E3" t="str">
            <v>Пройдены все проверки</v>
          </cell>
          <cell r="F3">
            <v>46266</v>
          </cell>
          <cell r="G3">
            <v>6.9444444444444441E-3</v>
          </cell>
          <cell r="H3">
            <v>1538.13</v>
          </cell>
        </row>
        <row r="4">
          <cell r="C4" t="str">
            <v>TSO001092749</v>
          </cell>
          <cell r="D4" t="str">
            <v>НВДонецЧаа</v>
          </cell>
          <cell r="E4" t="str">
            <v>Пройдены все проверки</v>
          </cell>
          <cell r="F4">
            <v>46266</v>
          </cell>
          <cell r="G4">
            <v>6.9444444444444441E-3</v>
          </cell>
          <cell r="H4">
            <v>15553.02</v>
          </cell>
        </row>
        <row r="5">
          <cell r="C5" t="str">
            <v>TSO001092760</v>
          </cell>
          <cell r="D5" t="str">
            <v>НВЛугРабоч</v>
          </cell>
          <cell r="E5" t="str">
            <v>Пройдены все проверки</v>
          </cell>
          <cell r="F5">
            <v>46266</v>
          </cell>
          <cell r="G5">
            <v>6.9444444444444441E-3</v>
          </cell>
          <cell r="H5">
            <v>13258.53</v>
          </cell>
        </row>
        <row r="6">
          <cell r="C6" t="str">
            <v>TSO001092783</v>
          </cell>
          <cell r="D6" t="str">
            <v>НВМелСемен</v>
          </cell>
          <cell r="E6" t="str">
            <v>Пройдены все проверки</v>
          </cell>
          <cell r="F6">
            <v>46266</v>
          </cell>
          <cell r="G6">
            <v>6.9444444444444441E-3</v>
          </cell>
          <cell r="H6">
            <v>7741.81</v>
          </cell>
        </row>
        <row r="7">
          <cell r="C7" t="str">
            <v>TSO001092785</v>
          </cell>
          <cell r="D7" t="str">
            <v>НВТрояны</v>
          </cell>
          <cell r="E7" t="str">
            <v>Пройдены все проверки</v>
          </cell>
          <cell r="F7">
            <v>46266</v>
          </cell>
          <cell r="G7">
            <v>6.9444444444444441E-3</v>
          </cell>
          <cell r="H7">
            <v>6895.9</v>
          </cell>
        </row>
        <row r="8">
          <cell r="C8" t="str">
            <v>TSO001093079</v>
          </cell>
          <cell r="D8" t="str">
            <v>НВДонецЧаа</v>
          </cell>
          <cell r="E8" t="str">
            <v>Пройдены все проверки</v>
          </cell>
          <cell r="F8">
            <v>46266</v>
          </cell>
          <cell r="G8">
            <v>0.66666666666666663</v>
          </cell>
          <cell r="H8">
            <v>7432.56</v>
          </cell>
        </row>
        <row r="9">
          <cell r="C9" t="str">
            <v>TSO001093125</v>
          </cell>
          <cell r="D9" t="str">
            <v>НВМелСемен</v>
          </cell>
          <cell r="E9" t="str">
            <v>Пройдены все проверки</v>
          </cell>
          <cell r="F9">
            <v>46266</v>
          </cell>
          <cell r="G9">
            <v>0.45833333333333331</v>
          </cell>
          <cell r="H9">
            <v>4839.54</v>
          </cell>
        </row>
        <row r="10">
          <cell r="C10" t="str">
            <v>TSO001093132</v>
          </cell>
          <cell r="D10" t="str">
            <v>НВМелСемен</v>
          </cell>
          <cell r="E10" t="str">
            <v>Пройдены все проверки</v>
          </cell>
          <cell r="F10">
            <v>46266</v>
          </cell>
          <cell r="G10">
            <v>0.45833333333333331</v>
          </cell>
          <cell r="H10">
            <v>8110.2</v>
          </cell>
        </row>
        <row r="11">
          <cell r="C11" t="str">
            <v>TSO001093133</v>
          </cell>
          <cell r="D11" t="str">
            <v>НВТрояны</v>
          </cell>
          <cell r="E11" t="str">
            <v>Пройдены все проверки</v>
          </cell>
          <cell r="F11">
            <v>46266</v>
          </cell>
          <cell r="G11">
            <v>0.45833333333333331</v>
          </cell>
          <cell r="H11">
            <v>3558.64</v>
          </cell>
        </row>
        <row r="12">
          <cell r="C12" t="str">
            <v>TSO001093136</v>
          </cell>
          <cell r="D12" t="str">
            <v>НВДонецЧаа</v>
          </cell>
          <cell r="E12" t="str">
            <v>Пройдены все проверки</v>
          </cell>
          <cell r="F12">
            <v>46266</v>
          </cell>
          <cell r="G12">
            <v>0.5</v>
          </cell>
          <cell r="H12">
            <v>7874.94</v>
          </cell>
        </row>
        <row r="13">
          <cell r="C13" t="str">
            <v>TSO001105949</v>
          </cell>
          <cell r="D13" t="str">
            <v>НВДонецЧаа</v>
          </cell>
          <cell r="E13" t="str">
            <v>Пройдены все проверки</v>
          </cell>
          <cell r="F13">
            <v>46266</v>
          </cell>
          <cell r="G13">
            <v>6.9444444444444441E-3</v>
          </cell>
          <cell r="H13">
            <v>954</v>
          </cell>
        </row>
        <row r="14">
          <cell r="C14" t="str">
            <v>TSO001115798</v>
          </cell>
          <cell r="D14" t="str">
            <v>НВДонецЧаа</v>
          </cell>
          <cell r="E14" t="str">
            <v>Пройдены только бизнес-проверки</v>
          </cell>
          <cell r="F14">
            <v>46266</v>
          </cell>
          <cell r="G14">
            <v>0.79166666666666663</v>
          </cell>
          <cell r="H14">
            <v>2505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79"/>
  <sheetViews>
    <sheetView tabSelected="1" zoomScale="70" zoomScaleNormal="70" workbookViewId="0">
      <pane ySplit="2" topLeftCell="A7119" activePane="bottomLeft" state="frozen"/>
      <selection pane="bottomLeft" activeCell="Q7143" sqref="Q7143:Q714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39" t="s">
        <v>0</v>
      </c>
      <c r="B1" s="1039"/>
      <c r="C1" s="1039"/>
      <c r="D1" s="1039"/>
      <c r="E1" s="1039"/>
      <c r="F1" s="1039"/>
      <c r="G1" s="1039"/>
      <c r="H1" s="1039"/>
      <c r="I1" s="1039"/>
      <c r="J1" s="1039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0">
        <v>1</v>
      </c>
      <c r="B3" s="104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0"/>
      <c r="B4" s="104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6">
        <v>3</v>
      </c>
      <c r="B6" s="10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6"/>
      <c r="B7" s="10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6"/>
      <c r="B8" s="10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6">
        <v>5</v>
      </c>
      <c r="B10" s="10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6"/>
      <c r="B11" s="10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4">
        <v>8</v>
      </c>
      <c r="B14" s="103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4"/>
      <c r="B15" s="103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6">
        <v>11</v>
      </c>
      <c r="B18" s="10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6"/>
      <c r="B19" s="10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6"/>
      <c r="B20" s="10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6"/>
      <c r="B21" s="10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6">
        <v>13</v>
      </c>
      <c r="B23" s="10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6"/>
      <c r="B24" s="10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4">
        <v>14</v>
      </c>
      <c r="B25" s="103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4"/>
      <c r="B26" s="103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6">
        <v>15</v>
      </c>
      <c r="B27" s="10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6"/>
      <c r="B28" s="10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6"/>
      <c r="B29" s="10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6"/>
      <c r="B30" s="10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4">
        <v>16</v>
      </c>
      <c r="B31" s="103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4"/>
      <c r="B32" s="103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4"/>
      <c r="B33" s="103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4"/>
      <c r="B34" s="103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6">
        <v>17</v>
      </c>
      <c r="B35" s="10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6"/>
      <c r="B36" s="10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6">
        <v>21</v>
      </c>
      <c r="B40" s="10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6"/>
      <c r="B41" s="10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6">
        <v>23</v>
      </c>
      <c r="B43" s="10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6"/>
      <c r="B44" s="10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6"/>
      <c r="B45" s="10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4">
        <v>24</v>
      </c>
      <c r="B46" s="103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4"/>
      <c r="B47" s="103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6">
        <v>25</v>
      </c>
      <c r="B48" s="10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6"/>
      <c r="B49" s="10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6"/>
      <c r="B50" s="10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4">
        <v>26</v>
      </c>
      <c r="B51" s="103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4"/>
      <c r="B52" s="103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6">
        <v>29</v>
      </c>
      <c r="B55" s="10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6"/>
      <c r="B56" s="10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4">
        <v>32</v>
      </c>
      <c r="B59" s="103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4"/>
      <c r="B60" s="103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4">
        <v>34</v>
      </c>
      <c r="B62" s="103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4"/>
      <c r="B63" s="103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4"/>
      <c r="B64" s="103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4"/>
      <c r="B65" s="103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4"/>
      <c r="B66" s="103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6">
        <v>35</v>
      </c>
      <c r="B67" s="10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6"/>
      <c r="B68" s="10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1">
        <v>40</v>
      </c>
      <c r="B73" s="103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1"/>
      <c r="B74" s="103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0">
        <v>41</v>
      </c>
      <c r="B75" s="10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0"/>
      <c r="B76" s="10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0"/>
      <c r="B77" s="10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1">
        <v>42</v>
      </c>
      <c r="B78" s="103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1"/>
      <c r="B79" s="103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0">
        <v>49</v>
      </c>
      <c r="B86" s="10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0"/>
      <c r="B87" s="10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0"/>
      <c r="B88" s="10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1">
        <v>50</v>
      </c>
      <c r="B89" s="103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1"/>
      <c r="B90" s="103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0">
        <v>51</v>
      </c>
      <c r="B91" s="10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0"/>
      <c r="B92" s="10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0">
        <v>53</v>
      </c>
      <c r="B94" s="10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0"/>
      <c r="B95" s="10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1">
        <v>54</v>
      </c>
      <c r="B96" s="103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1"/>
      <c r="B97" s="103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1"/>
      <c r="B98" s="103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1">
        <v>58</v>
      </c>
      <c r="B102" s="103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1"/>
      <c r="B103" s="103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1">
        <v>60</v>
      </c>
      <c r="B105" s="103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1"/>
      <c r="B106" s="103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1"/>
      <c r="B107" s="103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0">
        <v>61</v>
      </c>
      <c r="B108" s="10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0"/>
      <c r="B109" s="10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0"/>
      <c r="B110" s="10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1">
        <v>64</v>
      </c>
      <c r="B113" s="103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1"/>
      <c r="B114" s="103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1">
        <v>66</v>
      </c>
      <c r="B116" s="103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1"/>
      <c r="B117" s="103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0">
        <v>67</v>
      </c>
      <c r="B118" s="10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0"/>
      <c r="B119" s="10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0"/>
      <c r="B120" s="10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1">
        <v>68</v>
      </c>
      <c r="B121" s="103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1"/>
      <c r="B122" s="103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0">
        <v>69</v>
      </c>
      <c r="B123" s="10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0"/>
      <c r="B124" s="10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1">
        <v>72</v>
      </c>
      <c r="B127" s="1034" t="s">
        <v>65</v>
      </c>
      <c r="C127" s="119" t="s">
        <v>26</v>
      </c>
      <c r="D127" s="120">
        <v>3.3</v>
      </c>
      <c r="E127" s="121"/>
      <c r="F127" s="122" t="s">
        <v>30</v>
      </c>
      <c r="G127" s="103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1"/>
      <c r="B128" s="1034"/>
      <c r="C128" s="103" t="s">
        <v>26</v>
      </c>
      <c r="D128" s="88">
        <v>12.9</v>
      </c>
      <c r="E128" s="106"/>
      <c r="F128" s="107" t="s">
        <v>16</v>
      </c>
      <c r="G128" s="103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1">
        <v>76</v>
      </c>
      <c r="B132" s="103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1"/>
      <c r="B133" s="103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1"/>
      <c r="B134" s="103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1"/>
      <c r="B135" s="103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1">
        <v>78</v>
      </c>
      <c r="B137" s="104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1"/>
      <c r="B138" s="104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1" t="s">
        <v>133</v>
      </c>
      <c r="J420" s="104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3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3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3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3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3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3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3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3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3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8" t="s">
        <v>467</v>
      </c>
      <c r="H2160" s="414" t="s">
        <v>515</v>
      </c>
      <c r="I2160" s="415" t="s">
        <v>516</v>
      </c>
      <c r="J2160" s="104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8"/>
      <c r="H2161" s="421" t="s">
        <v>515</v>
      </c>
      <c r="I2161" s="422" t="s">
        <v>516</v>
      </c>
      <c r="J2161" s="104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8"/>
      <c r="H2162" s="429" t="s">
        <v>515</v>
      </c>
      <c r="I2162" s="430" t="s">
        <v>516</v>
      </c>
      <c r="J2162" s="104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8" t="s">
        <v>467</v>
      </c>
      <c r="H2165" s="414" t="s">
        <v>516</v>
      </c>
      <c r="I2165" s="415" t="s">
        <v>516</v>
      </c>
      <c r="J2165" s="104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8"/>
      <c r="H2166" s="429" t="s">
        <v>516</v>
      </c>
      <c r="I2166" s="430" t="s">
        <v>516</v>
      </c>
      <c r="J2166" s="104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2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8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9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9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9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5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8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8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8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9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9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9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5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8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9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5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8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9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9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9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9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5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8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9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5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8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9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9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8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9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5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9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8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9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9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9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9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9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5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8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8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8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9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5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8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8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9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5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8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9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9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5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9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8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9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5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8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9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5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8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9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9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9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5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8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5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8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9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9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9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9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5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9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5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9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5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8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9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9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5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8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9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9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9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5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8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9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8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9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9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9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9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8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8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9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9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5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9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9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5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8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8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9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5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9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8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8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9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9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5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8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9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5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8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9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8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9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9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5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8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9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5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8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8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9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8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8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9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5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8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9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9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9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9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8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9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5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9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8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8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5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5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5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5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5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5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5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5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5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9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9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8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8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9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5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8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9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9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9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9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9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9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8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9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8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9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5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8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9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8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1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6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8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9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9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9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9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9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5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8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9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9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5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8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8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9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8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9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9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8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8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9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8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9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9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9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9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8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8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9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9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8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9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9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9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8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9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9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8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9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8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9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9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9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8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9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9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8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9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8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9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8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9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8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9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8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8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9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8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9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9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8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9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9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9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8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9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9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9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8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9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9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8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9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9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9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8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9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9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8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8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9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8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9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8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9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8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9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9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8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9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8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9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8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9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8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9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9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9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8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8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9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8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9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9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8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9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8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8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9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9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8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9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9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9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8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9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9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9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9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8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9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9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9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8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9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8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8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9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9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8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8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9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9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9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9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8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9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9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9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9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8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8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9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9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9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8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9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8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9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8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8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9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9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8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9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8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9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9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8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8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9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8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9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8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8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9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8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9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8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9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9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9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8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9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9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9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9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8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9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8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9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8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9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9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8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9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9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9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8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9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9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9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8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8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8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9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9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8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9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8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9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8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8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9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9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8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9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9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9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8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9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8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9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9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8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9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9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8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9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8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9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9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8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8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8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9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8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9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8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9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8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8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9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8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9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9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8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9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8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9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8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9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8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9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8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9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8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9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9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9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8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9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9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9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9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9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8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9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8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8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9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8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8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8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9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9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8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9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9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8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9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8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9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8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9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9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8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9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8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8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9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9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9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8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8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9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9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8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9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9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8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8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9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8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9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9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9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9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9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9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8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9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8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9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9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9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9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8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9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9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8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8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9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8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9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9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9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8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9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8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9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9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9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8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8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9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8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9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8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9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9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9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9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9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8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9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9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9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9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9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8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9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9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9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8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9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8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8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9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8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8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8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9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9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8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9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9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8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9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9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9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8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8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9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8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9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9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8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9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9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8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9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8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8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9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8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9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9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8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9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9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8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9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9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9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9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9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9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8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9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9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9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8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8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8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9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9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9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9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9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9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9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9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9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9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8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9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9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8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9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8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9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9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9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9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9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9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8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9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8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8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9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9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9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9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9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9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9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8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9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8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9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8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9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8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9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8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8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9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8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9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8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9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9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9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9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9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8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8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9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9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9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9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8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9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9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9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8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9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8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9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8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9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8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8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8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9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8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9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9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9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9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9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8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9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8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9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9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9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9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9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8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9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9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9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9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9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9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8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9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8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8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9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9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8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9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8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8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9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9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9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8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9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9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8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9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9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8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8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8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9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9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8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9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8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8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1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1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1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9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1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1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1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6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1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1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9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1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9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6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9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2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1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9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9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9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9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9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9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9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8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8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8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9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9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9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9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9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8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9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9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9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8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9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9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9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9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9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9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9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8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9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9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1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9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9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8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8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8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8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9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8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8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8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9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9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8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9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8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8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9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8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8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8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9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9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9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9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9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9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9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9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8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9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9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8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8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9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8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1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9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9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9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9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9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9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8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9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9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9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9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9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9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8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8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8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9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9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9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9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9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9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9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8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8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9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8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8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8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9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9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8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8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8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8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8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9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9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9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9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9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9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9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9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9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8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99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99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99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99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99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8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8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8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8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99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8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8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8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8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8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8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99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8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8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8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8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9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8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9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9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9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9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9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8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9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8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8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99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8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8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8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87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8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9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8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99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87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8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99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99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9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9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9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8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99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99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1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9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9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9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9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8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99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8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87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8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99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99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87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8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8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8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8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87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99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99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8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99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0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99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0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8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87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8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8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8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99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87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8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99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99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99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87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8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99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99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99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9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9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9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8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99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99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87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8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9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9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8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99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99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87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8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99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3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3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3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87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8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8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99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87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87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8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9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8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9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9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9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9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8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87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9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8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8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99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99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99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87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8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9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8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99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99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87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9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8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thickBot="1" x14ac:dyDescent="0.3">
      <c r="A7057" s="98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x14ac:dyDescent="0.25">
      <c r="A7058" s="99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x14ac:dyDescent="0.25">
      <c r="A7059" s="99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x14ac:dyDescent="0.25">
      <c r="A7060" s="99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thickBot="1" x14ac:dyDescent="0.3">
      <c r="A7061" s="99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x14ac:dyDescent="0.25">
      <c r="A7063" s="987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6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x14ac:dyDescent="0.25">
      <c r="A7064" s="98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997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x14ac:dyDescent="0.25">
      <c r="A7065" s="98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997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thickBot="1" x14ac:dyDescent="0.3">
      <c r="A7066" s="989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8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x14ac:dyDescent="0.25">
      <c r="A7067" s="98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2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thickBot="1" x14ac:dyDescent="0.3">
      <c r="A7068" s="98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3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990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1282</v>
      </c>
      <c r="R7069" s="943"/>
    </row>
    <row r="7070" spans="1:18" x14ac:dyDescent="0.25">
      <c r="A7070" s="99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99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991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9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8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87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89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4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8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05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9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8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9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4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87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989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8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8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9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99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99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87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9" ht="19.5" thickBot="1" x14ac:dyDescent="0.3">
      <c r="A7105" s="989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9" x14ac:dyDescent="0.25">
      <c r="A7106" s="993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9" x14ac:dyDescent="0.25">
      <c r="A7107" s="99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9" x14ac:dyDescent="0.25">
      <c r="A7108" s="99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8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9" ht="19.5" thickBot="1" x14ac:dyDescent="0.3">
      <c r="A7109" s="995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9" x14ac:dyDescent="0.25">
      <c r="A7110" s="987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9" ht="19.5" thickBot="1" x14ac:dyDescent="0.3">
      <c r="A7111" s="989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9" x14ac:dyDescent="0.25">
      <c r="A7112" s="98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9" x14ac:dyDescent="0.25">
      <c r="A7113" s="99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9" ht="19.5" thickBot="1" x14ac:dyDescent="0.3">
      <c r="A7114" s="98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9" x14ac:dyDescent="0.25">
      <c r="A7115" s="99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1008" t="s">
        <v>2386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  <c r="Q7115" s="847">
        <v>2810</v>
      </c>
      <c r="R7115" s="833" t="s">
        <v>2414</v>
      </c>
      <c r="S7115" s="2">
        <v>2810</v>
      </c>
    </row>
    <row r="7116" spans="1:19" x14ac:dyDescent="0.25">
      <c r="A7116" s="992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06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  <c r="Q7116" s="847">
        <v>1538</v>
      </c>
      <c r="R7116" s="833" t="s">
        <v>2414</v>
      </c>
      <c r="S7116" s="2">
        <v>1537</v>
      </c>
    </row>
    <row r="7117" spans="1:19" x14ac:dyDescent="0.25">
      <c r="A7117" s="992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06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  <c r="Q7117" s="847">
        <v>9599</v>
      </c>
      <c r="R7117" s="833" t="s">
        <v>2414</v>
      </c>
      <c r="S7117" s="2">
        <v>9552</v>
      </c>
    </row>
    <row r="7118" spans="1:19" ht="19.5" thickBot="1" x14ac:dyDescent="0.3">
      <c r="A7118" s="991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07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79"/>
      <c r="R7118" s="2" t="s">
        <v>2424</v>
      </c>
      <c r="S7118" s="2">
        <v>954</v>
      </c>
    </row>
    <row r="7119" spans="1:19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</row>
    <row r="7120" spans="1:19" ht="56.25" x14ac:dyDescent="0.25">
      <c r="A7120" s="99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7" x14ac:dyDescent="0.25">
      <c r="A7121" s="99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7" x14ac:dyDescent="0.25">
      <c r="A7122" s="99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2415</v>
      </c>
    </row>
    <row r="7123" spans="1:17" ht="19.5" thickBot="1" x14ac:dyDescent="0.3">
      <c r="A7123" s="99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2416</v>
      </c>
    </row>
    <row r="7124" spans="1:17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7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7" ht="19.5" thickBot="1" x14ac:dyDescent="0.3">
      <c r="A7126" s="513">
        <f>MAX(A6986:A7125)+1</f>
        <v>4398</v>
      </c>
      <c r="B7126" s="514" t="s">
        <v>2294</v>
      </c>
      <c r="C7126" s="515" t="s">
        <v>26</v>
      </c>
      <c r="D7126" s="516">
        <v>17.45</v>
      </c>
      <c r="E7126" s="517">
        <v>12.836</v>
      </c>
      <c r="F7126" s="518" t="s">
        <v>16</v>
      </c>
      <c r="G7126" s="519"/>
      <c r="H7126" s="518" t="s">
        <v>2344</v>
      </c>
      <c r="I7126" s="520" t="s">
        <v>2344</v>
      </c>
      <c r="J7126" s="521"/>
      <c r="K7126" s="514"/>
      <c r="L7126" s="518" t="s">
        <v>265</v>
      </c>
      <c r="M7126" s="518">
        <v>17583.800000000003</v>
      </c>
      <c r="N7126" s="522">
        <v>0.41666666666666669</v>
      </c>
      <c r="O7126" s="897" t="s">
        <v>2361</v>
      </c>
      <c r="P7126" s="867" t="s">
        <v>2411</v>
      </c>
    </row>
    <row r="7127" spans="1:17" ht="38.25" thickBot="1" x14ac:dyDescent="0.3">
      <c r="A7127" s="503">
        <f>MAX(A6987:A7126)+1</f>
        <v>4399</v>
      </c>
      <c r="B7127" s="504" t="s">
        <v>2294</v>
      </c>
      <c r="C7127" s="505" t="s">
        <v>23</v>
      </c>
      <c r="D7127" s="506">
        <v>17.201000000000001</v>
      </c>
      <c r="E7127" s="507"/>
      <c r="F7127" s="508" t="s">
        <v>16</v>
      </c>
      <c r="G7127" s="509" t="s">
        <v>1634</v>
      </c>
      <c r="H7127" s="508" t="s">
        <v>2344</v>
      </c>
      <c r="I7127" s="510"/>
      <c r="J7127" s="511"/>
      <c r="K7127" s="504"/>
      <c r="L7127" s="508" t="s">
        <v>28</v>
      </c>
      <c r="M7127" s="508">
        <v>17377.23</v>
      </c>
      <c r="N7127" s="512">
        <v>0.45833333333333331</v>
      </c>
      <c r="O7127" s="897" t="s">
        <v>2350</v>
      </c>
      <c r="P7127" s="867">
        <v>6303103</v>
      </c>
      <c r="Q7127" s="847" t="s">
        <v>2423</v>
      </c>
    </row>
    <row r="7128" spans="1:17" ht="38.25" thickBot="1" x14ac:dyDescent="0.3">
      <c r="A7128" s="513">
        <f>MAX(A6988:A7127)+1</f>
        <v>4400</v>
      </c>
      <c r="B7128" s="514" t="s">
        <v>2294</v>
      </c>
      <c r="C7128" s="515" t="s">
        <v>47</v>
      </c>
      <c r="D7128" s="516">
        <v>17.001999999999999</v>
      </c>
      <c r="E7128" s="517"/>
      <c r="F7128" s="518" t="s">
        <v>16</v>
      </c>
      <c r="G7128" s="519" t="s">
        <v>1634</v>
      </c>
      <c r="H7128" s="518" t="s">
        <v>2344</v>
      </c>
      <c r="I7128" s="520"/>
      <c r="J7128" s="521"/>
      <c r="K7128" s="514"/>
      <c r="L7128" s="518" t="s">
        <v>28</v>
      </c>
      <c r="M7128" s="518">
        <v>17213.829999999998</v>
      </c>
      <c r="N7128" s="522">
        <v>0.5</v>
      </c>
      <c r="O7128" s="897" t="s">
        <v>2352</v>
      </c>
      <c r="P7128" s="867">
        <v>6303097</v>
      </c>
      <c r="Q7128" s="847">
        <f>VLOOKUP(O7128,[1]Лист1!$C:$H,6,0)</f>
        <v>13258.53</v>
      </c>
    </row>
    <row r="7129" spans="1:17" x14ac:dyDescent="0.25">
      <c r="A7129" s="990">
        <f>MAX(A6987:A7128)+1</f>
        <v>4401</v>
      </c>
      <c r="B7129" s="531" t="s">
        <v>2294</v>
      </c>
      <c r="C7129" s="532" t="s">
        <v>15</v>
      </c>
      <c r="D7129" s="533">
        <v>8.5050000000000008</v>
      </c>
      <c r="E7129" s="534"/>
      <c r="F7129" s="535" t="s">
        <v>16</v>
      </c>
      <c r="G7129" s="536"/>
      <c r="H7129" s="535" t="s">
        <v>2344</v>
      </c>
      <c r="I7129" s="537"/>
      <c r="J7129" s="538"/>
      <c r="K7129" s="531"/>
      <c r="L7129" s="535" t="s">
        <v>28</v>
      </c>
      <c r="M7129" s="535">
        <v>8707.6400000000012</v>
      </c>
      <c r="N7129" s="539">
        <v>0.54166666666666663</v>
      </c>
      <c r="O7129" s="897" t="s">
        <v>2351</v>
      </c>
      <c r="P7129" s="867">
        <v>6302589</v>
      </c>
      <c r="Q7129" s="847">
        <f>VLOOKUP(O7129,[1]Лист1!$C:$H,6,0)</f>
        <v>6895.9</v>
      </c>
    </row>
    <row r="7130" spans="1:17" ht="19.5" thickBot="1" x14ac:dyDescent="0.3">
      <c r="A7130" s="991"/>
      <c r="B7130" s="636" t="s">
        <v>2294</v>
      </c>
      <c r="C7130" s="637" t="s">
        <v>24</v>
      </c>
      <c r="D7130" s="638">
        <v>9.032</v>
      </c>
      <c r="E7130" s="639"/>
      <c r="F7130" s="640" t="s">
        <v>16</v>
      </c>
      <c r="G7130" s="641"/>
      <c r="H7130" s="640" t="s">
        <v>2344</v>
      </c>
      <c r="I7130" s="642"/>
      <c r="J7130" s="643"/>
      <c r="K7130" s="636"/>
      <c r="L7130" s="640" t="s">
        <v>28</v>
      </c>
      <c r="M7130" s="640">
        <v>9237.6900000000023</v>
      </c>
      <c r="N7130" s="644">
        <v>0.54166666666666663</v>
      </c>
      <c r="O7130" s="897" t="s">
        <v>2353</v>
      </c>
      <c r="P7130" s="867">
        <v>6303106</v>
      </c>
      <c r="Q7130" s="847">
        <f>VLOOKUP(O7130,[1]Лист1!$C:$H,6,0)</f>
        <v>7741.81</v>
      </c>
    </row>
    <row r="7131" spans="1:17" x14ac:dyDescent="0.25">
      <c r="A7131" s="980">
        <f t="shared" ref="A7131" si="215">MAX(A6989:A7130)+1</f>
        <v>4402</v>
      </c>
      <c r="B7131" s="479" t="s">
        <v>2294</v>
      </c>
      <c r="C7131" s="480" t="s">
        <v>1358</v>
      </c>
      <c r="D7131" s="481">
        <v>2.5390000000000001</v>
      </c>
      <c r="E7131" s="482">
        <v>2.2120000000000002</v>
      </c>
      <c r="F7131" s="483" t="s">
        <v>16</v>
      </c>
      <c r="G7131" s="1000" t="s">
        <v>2346</v>
      </c>
      <c r="H7131" s="483" t="s">
        <v>2344</v>
      </c>
      <c r="I7131" s="484" t="s">
        <v>2344</v>
      </c>
      <c r="J7131" s="485"/>
      <c r="K7131" s="479"/>
      <c r="L7131" s="483" t="s">
        <v>265</v>
      </c>
      <c r="M7131" s="483">
        <v>2653.8800000000006</v>
      </c>
      <c r="N7131" s="486">
        <v>0.58333333333333337</v>
      </c>
      <c r="O7131" s="897" t="s">
        <v>2362</v>
      </c>
      <c r="P7131" s="867" t="s">
        <v>2408</v>
      </c>
    </row>
    <row r="7132" spans="1:17" x14ac:dyDescent="0.25">
      <c r="A7132" s="999"/>
      <c r="B7132" s="769" t="s">
        <v>2294</v>
      </c>
      <c r="C7132" s="764" t="s">
        <v>1358</v>
      </c>
      <c r="D7132" s="765">
        <v>8.4090000000000007</v>
      </c>
      <c r="E7132" s="766">
        <v>4.5640000000000001</v>
      </c>
      <c r="F7132" s="763" t="s">
        <v>16</v>
      </c>
      <c r="G7132" s="1001"/>
      <c r="H7132" s="763" t="s">
        <v>2344</v>
      </c>
      <c r="I7132" s="768" t="s">
        <v>2344</v>
      </c>
      <c r="J7132" s="779"/>
      <c r="K7132" s="791"/>
      <c r="L7132" s="763" t="s">
        <v>265</v>
      </c>
      <c r="M7132" s="763">
        <v>8545.6</v>
      </c>
      <c r="N7132" s="770">
        <v>0.58333333333333337</v>
      </c>
      <c r="O7132" s="897" t="s">
        <v>2363</v>
      </c>
      <c r="P7132" s="867" t="s">
        <v>2412</v>
      </c>
    </row>
    <row r="7133" spans="1:17" ht="19.5" thickBot="1" x14ac:dyDescent="0.3">
      <c r="A7133" s="981"/>
      <c r="B7133" s="859" t="s">
        <v>2329</v>
      </c>
      <c r="C7133" s="854" t="s">
        <v>1358</v>
      </c>
      <c r="D7133" s="855">
        <v>1.6</v>
      </c>
      <c r="E7133" s="855">
        <v>1.6020000000000001</v>
      </c>
      <c r="F7133" s="856" t="s">
        <v>16</v>
      </c>
      <c r="G7133" s="1002"/>
      <c r="H7133" s="856" t="s">
        <v>2344</v>
      </c>
      <c r="I7133" s="856" t="s">
        <v>2344</v>
      </c>
      <c r="J7133" s="858"/>
      <c r="K7133" s="859"/>
      <c r="L7133" s="856" t="s">
        <v>265</v>
      </c>
      <c r="M7133" s="856">
        <v>1605</v>
      </c>
      <c r="N7133" s="653">
        <v>0.58333333333333337</v>
      </c>
      <c r="O7133" s="897" t="s">
        <v>2389</v>
      </c>
      <c r="P7133" s="867" t="s">
        <v>2410</v>
      </c>
    </row>
    <row r="7134" spans="1:17" x14ac:dyDescent="0.25">
      <c r="A7134" s="990">
        <f>MAX(A6988:A7133)+1</f>
        <v>4403</v>
      </c>
      <c r="B7134" s="531" t="s">
        <v>2294</v>
      </c>
      <c r="C7134" s="532" t="s">
        <v>587</v>
      </c>
      <c r="D7134" s="533">
        <v>8.1219999999999999</v>
      </c>
      <c r="E7134" s="534"/>
      <c r="F7134" s="535" t="s">
        <v>30</v>
      </c>
      <c r="G7134" s="976" t="s">
        <v>23</v>
      </c>
      <c r="H7134" s="535" t="s">
        <v>2344</v>
      </c>
      <c r="I7134" s="537"/>
      <c r="J7134" s="538"/>
      <c r="K7134" s="531"/>
      <c r="L7134" s="535" t="s">
        <v>28</v>
      </c>
      <c r="M7134" s="535">
        <v>8122.92</v>
      </c>
      <c r="N7134" s="539">
        <v>0.41666666666666669</v>
      </c>
      <c r="O7134" s="897" t="s">
        <v>2358</v>
      </c>
    </row>
    <row r="7135" spans="1:17" ht="19.5" thickBot="1" x14ac:dyDescent="0.3">
      <c r="A7135" s="991"/>
      <c r="B7135" s="636" t="s">
        <v>2294</v>
      </c>
      <c r="C7135" s="637" t="s">
        <v>23</v>
      </c>
      <c r="D7135" s="638">
        <v>4.9219999999999997</v>
      </c>
      <c r="E7135" s="639"/>
      <c r="F7135" s="640" t="s">
        <v>30</v>
      </c>
      <c r="G7135" s="977"/>
      <c r="H7135" s="640" t="s">
        <v>2344</v>
      </c>
      <c r="I7135" s="642"/>
      <c r="J7135" s="643"/>
      <c r="K7135" s="636"/>
      <c r="L7135" s="640" t="s">
        <v>28</v>
      </c>
      <c r="M7135" s="640">
        <v>4922.3999999999996</v>
      </c>
      <c r="N7135" s="644">
        <v>0.41666666666666669</v>
      </c>
      <c r="O7135" s="897" t="s">
        <v>2357</v>
      </c>
    </row>
    <row r="7136" spans="1:17" ht="19.5" thickBot="1" x14ac:dyDescent="0.3">
      <c r="A7136" s="513">
        <f>MAX(A6990:A7135)+1</f>
        <v>4404</v>
      </c>
      <c r="B7136" s="514" t="s">
        <v>2294</v>
      </c>
      <c r="C7136" s="515" t="s">
        <v>47</v>
      </c>
      <c r="D7136" s="516">
        <v>13.061999999999999</v>
      </c>
      <c r="E7136" s="517"/>
      <c r="F7136" s="518" t="s">
        <v>30</v>
      </c>
      <c r="G7136" s="975"/>
      <c r="H7136" s="518" t="s">
        <v>2344</v>
      </c>
      <c r="I7136" s="520"/>
      <c r="J7136" s="521"/>
      <c r="K7136" s="514"/>
      <c r="L7136" s="518" t="s">
        <v>28</v>
      </c>
      <c r="M7136" s="518">
        <v>13062.08</v>
      </c>
      <c r="N7136" s="522">
        <v>0.45833333333333331</v>
      </c>
      <c r="O7136" s="897" t="s">
        <v>2359</v>
      </c>
    </row>
    <row r="7137" spans="1:17" ht="19.5" thickBot="1" x14ac:dyDescent="0.3">
      <c r="A7137" s="503">
        <f>MAX(A6991:A7136)+1</f>
        <v>4405</v>
      </c>
      <c r="B7137" s="504" t="s">
        <v>2294</v>
      </c>
      <c r="C7137" s="505" t="s">
        <v>26</v>
      </c>
      <c r="D7137" s="506">
        <v>15.789</v>
      </c>
      <c r="E7137" s="507">
        <v>15.789</v>
      </c>
      <c r="F7137" s="508" t="s">
        <v>30</v>
      </c>
      <c r="G7137" s="509"/>
      <c r="H7137" s="508" t="s">
        <v>2347</v>
      </c>
      <c r="I7137" s="510" t="s">
        <v>2347</v>
      </c>
      <c r="J7137" s="511"/>
      <c r="K7137" s="504"/>
      <c r="L7137" s="508" t="s">
        <v>265</v>
      </c>
      <c r="M7137" s="508">
        <v>15789.479999999998</v>
      </c>
      <c r="N7137" s="512">
        <v>0.375</v>
      </c>
      <c r="O7137" s="897" t="s">
        <v>2349</v>
      </c>
      <c r="P7137" s="867" t="s">
        <v>2422</v>
      </c>
    </row>
    <row r="7138" spans="1:17" x14ac:dyDescent="0.25">
      <c r="A7138" s="980">
        <f>MAX(A6992:A7137)+1</f>
        <v>4406</v>
      </c>
      <c r="B7138" s="610" t="s">
        <v>2294</v>
      </c>
      <c r="C7138" s="480" t="s">
        <v>26</v>
      </c>
      <c r="D7138" s="481">
        <v>19.164000000000001</v>
      </c>
      <c r="E7138" s="482"/>
      <c r="F7138" s="483" t="s">
        <v>16</v>
      </c>
      <c r="G7138" s="899"/>
      <c r="H7138" s="483" t="s">
        <v>2347</v>
      </c>
      <c r="I7138" s="484"/>
      <c r="J7138" s="485"/>
      <c r="K7138" s="479"/>
      <c r="L7138" s="483" t="s">
        <v>265</v>
      </c>
      <c r="M7138" s="483">
        <v>19337.64</v>
      </c>
      <c r="N7138" s="486">
        <v>0.375</v>
      </c>
      <c r="O7138" s="897" t="s">
        <v>2364</v>
      </c>
    </row>
    <row r="7139" spans="1:17" ht="19.5" thickBot="1" x14ac:dyDescent="0.3">
      <c r="A7139" s="981"/>
      <c r="B7139" s="805" t="s">
        <v>2344</v>
      </c>
      <c r="C7139" s="806" t="s">
        <v>26</v>
      </c>
      <c r="D7139" s="807">
        <v>2.1</v>
      </c>
      <c r="E7139" s="807"/>
      <c r="F7139" s="808" t="s">
        <v>16</v>
      </c>
      <c r="G7139" s="902"/>
      <c r="H7139" s="808" t="s">
        <v>2347</v>
      </c>
      <c r="I7139" s="808"/>
      <c r="J7139" s="810"/>
      <c r="K7139" s="887"/>
      <c r="L7139" s="808" t="s">
        <v>265</v>
      </c>
      <c r="M7139" s="808">
        <v>2115</v>
      </c>
      <c r="N7139" s="778">
        <v>0.375</v>
      </c>
      <c r="O7139" s="897" t="s">
        <v>2407</v>
      </c>
    </row>
    <row r="7140" spans="1:17" x14ac:dyDescent="0.25">
      <c r="A7140" s="990">
        <f>MAX(A6993:A7138)+1</f>
        <v>4407</v>
      </c>
      <c r="B7140" s="531" t="s">
        <v>2294</v>
      </c>
      <c r="C7140" s="532" t="s">
        <v>480</v>
      </c>
      <c r="D7140" s="533">
        <v>8.08</v>
      </c>
      <c r="E7140" s="534"/>
      <c r="F7140" s="535" t="s">
        <v>16</v>
      </c>
      <c r="G7140" s="536"/>
      <c r="H7140" s="535" t="s">
        <v>2347</v>
      </c>
      <c r="I7140" s="537"/>
      <c r="J7140" s="538"/>
      <c r="K7140" s="531"/>
      <c r="L7140" s="535" t="s">
        <v>266</v>
      </c>
      <c r="M7140" s="535">
        <v>8170.920000000001</v>
      </c>
      <c r="N7140" s="539">
        <v>0.41666666666666669</v>
      </c>
      <c r="O7140" s="897" t="s">
        <v>2367</v>
      </c>
    </row>
    <row r="7141" spans="1:17" x14ac:dyDescent="0.25">
      <c r="A7141" s="992"/>
      <c r="B7141" s="563" t="s">
        <v>2294</v>
      </c>
      <c r="C7141" s="564" t="s">
        <v>913</v>
      </c>
      <c r="D7141" s="565">
        <v>1.552</v>
      </c>
      <c r="E7141" s="566"/>
      <c r="F7141" s="567" t="s">
        <v>16</v>
      </c>
      <c r="G7141" s="568"/>
      <c r="H7141" s="567" t="s">
        <v>2347</v>
      </c>
      <c r="I7141" s="569"/>
      <c r="J7141" s="570"/>
      <c r="K7141" s="563"/>
      <c r="L7141" s="567" t="s">
        <v>266</v>
      </c>
      <c r="M7141" s="567">
        <v>1564.1</v>
      </c>
      <c r="N7141" s="571">
        <v>0.41666666666666669</v>
      </c>
      <c r="O7141" s="897" t="s">
        <v>2365</v>
      </c>
    </row>
    <row r="7142" spans="1:17" ht="19.5" thickBot="1" x14ac:dyDescent="0.3">
      <c r="A7142" s="991"/>
      <c r="B7142" s="636" t="s">
        <v>2294</v>
      </c>
      <c r="C7142" s="637" t="s">
        <v>23</v>
      </c>
      <c r="D7142" s="638">
        <v>7.7270000000000003</v>
      </c>
      <c r="E7142" s="639"/>
      <c r="F7142" s="640" t="s">
        <v>16</v>
      </c>
      <c r="G7142" s="641"/>
      <c r="H7142" s="640" t="s">
        <v>2347</v>
      </c>
      <c r="I7142" s="642"/>
      <c r="J7142" s="643"/>
      <c r="K7142" s="636"/>
      <c r="L7142" s="640" t="s">
        <v>28</v>
      </c>
      <c r="M7142" s="640">
        <v>7791.96</v>
      </c>
      <c r="N7142" s="644">
        <v>0.41666666666666669</v>
      </c>
      <c r="O7142" s="897" t="s">
        <v>2366</v>
      </c>
    </row>
    <row r="7143" spans="1:17" x14ac:dyDescent="0.25">
      <c r="A7143" s="980">
        <f>MAX(A6996:A7142)+1</f>
        <v>4408</v>
      </c>
      <c r="B7143" s="479" t="s">
        <v>2294</v>
      </c>
      <c r="C7143" s="480" t="s">
        <v>15</v>
      </c>
      <c r="D7143" s="481">
        <v>3.5640000000000001</v>
      </c>
      <c r="E7143" s="482"/>
      <c r="F7143" s="483" t="s">
        <v>16</v>
      </c>
      <c r="G7143" s="1004" t="s">
        <v>1633</v>
      </c>
      <c r="H7143" s="483" t="s">
        <v>2347</v>
      </c>
      <c r="I7143" s="484"/>
      <c r="J7143" s="485"/>
      <c r="K7143" s="479"/>
      <c r="L7143" s="483" t="s">
        <v>28</v>
      </c>
      <c r="M7143" s="483">
        <v>3623.4400000000005</v>
      </c>
      <c r="N7143" s="486">
        <v>0.45833333333333331</v>
      </c>
      <c r="O7143" s="897" t="s">
        <v>2368</v>
      </c>
      <c r="Q7143" s="847">
        <f>VLOOKUP(O7143,[1]Лист1!$C:$H,6,0)</f>
        <v>3558.64</v>
      </c>
    </row>
    <row r="7144" spans="1:17" x14ac:dyDescent="0.25">
      <c r="A7144" s="999"/>
      <c r="B7144" s="523" t="s">
        <v>2294</v>
      </c>
      <c r="C7144" s="524" t="s">
        <v>24</v>
      </c>
      <c r="D7144" s="525">
        <v>4.7569999999999997</v>
      </c>
      <c r="E7144" s="526"/>
      <c r="F7144" s="527" t="s">
        <v>16</v>
      </c>
      <c r="G7144" s="1067"/>
      <c r="H7144" s="527" t="s">
        <v>2347</v>
      </c>
      <c r="I7144" s="528"/>
      <c r="J7144" s="529"/>
      <c r="K7144" s="523"/>
      <c r="L7144" s="527" t="s">
        <v>28</v>
      </c>
      <c r="M7144" s="527">
        <v>4839.5399999999981</v>
      </c>
      <c r="N7144" s="530">
        <v>0.45833333333333331</v>
      </c>
      <c r="O7144" s="897" t="s">
        <v>2369</v>
      </c>
      <c r="Q7144" s="847">
        <f>VLOOKUP(O7144,[1]Лист1!$C:$H,6,0)</f>
        <v>4839.54</v>
      </c>
    </row>
    <row r="7145" spans="1:17" ht="19.5" thickBot="1" x14ac:dyDescent="0.3">
      <c r="A7145" s="981"/>
      <c r="B7145" s="645" t="s">
        <v>2294</v>
      </c>
      <c r="C7145" s="646" t="s">
        <v>764</v>
      </c>
      <c r="D7145" s="647">
        <v>8.1</v>
      </c>
      <c r="E7145" s="648"/>
      <c r="F7145" s="649" t="s">
        <v>16</v>
      </c>
      <c r="G7145" s="1005"/>
      <c r="H7145" s="649" t="s">
        <v>2347</v>
      </c>
      <c r="I7145" s="651"/>
      <c r="J7145" s="652"/>
      <c r="K7145" s="645"/>
      <c r="L7145" s="649" t="s">
        <v>28</v>
      </c>
      <c r="M7145" s="649">
        <v>8110.2</v>
      </c>
      <c r="N7145" s="653">
        <v>0.45833333333333331</v>
      </c>
      <c r="O7145" s="897" t="s">
        <v>2370</v>
      </c>
      <c r="Q7145" s="847">
        <f>VLOOKUP(O7145,[1]Лист1!$C:$H,6,0)</f>
        <v>8110.2</v>
      </c>
    </row>
    <row r="7146" spans="1:17" x14ac:dyDescent="0.25">
      <c r="A7146" s="990">
        <f>MAX(A6999:A7145)+1</f>
        <v>4409</v>
      </c>
      <c r="B7146" s="531" t="s">
        <v>2294</v>
      </c>
      <c r="C7146" s="532" t="s">
        <v>1382</v>
      </c>
      <c r="D7146" s="533">
        <v>8.7739999999999991</v>
      </c>
      <c r="E7146" s="534"/>
      <c r="F7146" s="535" t="s">
        <v>16</v>
      </c>
      <c r="G7146" s="536"/>
      <c r="H7146" s="535" t="s">
        <v>2347</v>
      </c>
      <c r="I7146" s="537"/>
      <c r="J7146" s="538"/>
      <c r="K7146" s="531"/>
      <c r="L7146" s="535" t="s">
        <v>266</v>
      </c>
      <c r="M7146" s="535">
        <v>8835.18</v>
      </c>
      <c r="N7146" s="539">
        <v>0.5</v>
      </c>
      <c r="O7146" s="897" t="s">
        <v>2372</v>
      </c>
    </row>
    <row r="7147" spans="1:17" ht="19.5" thickBot="1" x14ac:dyDescent="0.3">
      <c r="A7147" s="991"/>
      <c r="B7147" s="636" t="s">
        <v>2294</v>
      </c>
      <c r="C7147" s="637" t="s">
        <v>23</v>
      </c>
      <c r="D7147" s="638">
        <v>8.6920000000000002</v>
      </c>
      <c r="E7147" s="639"/>
      <c r="F7147" s="640" t="s">
        <v>16</v>
      </c>
      <c r="G7147" s="641"/>
      <c r="H7147" s="640" t="s">
        <v>2347</v>
      </c>
      <c r="I7147" s="642"/>
      <c r="J7147" s="643"/>
      <c r="K7147" s="636"/>
      <c r="L7147" s="640" t="s">
        <v>28</v>
      </c>
      <c r="M7147" s="640">
        <v>8805.5400000000009</v>
      </c>
      <c r="N7147" s="644">
        <v>0.5</v>
      </c>
      <c r="O7147" s="897" t="s">
        <v>2371</v>
      </c>
    </row>
    <row r="7148" spans="1:17" ht="19.5" thickBot="1" x14ac:dyDescent="0.3">
      <c r="A7148" s="513">
        <f t="shared" ref="A7148:A7179" si="216">MAX(A7001:A7147)+1</f>
        <v>4410</v>
      </c>
      <c r="B7148" s="514" t="s">
        <v>2294</v>
      </c>
      <c r="C7148" s="515" t="s">
        <v>1382</v>
      </c>
      <c r="D7148" s="516">
        <v>8</v>
      </c>
      <c r="E7148" s="517"/>
      <c r="F7148" s="518" t="s">
        <v>16</v>
      </c>
      <c r="G7148" s="519" t="s">
        <v>2299</v>
      </c>
      <c r="H7148" s="518" t="s">
        <v>2347</v>
      </c>
      <c r="I7148" s="520"/>
      <c r="J7148" s="521"/>
      <c r="K7148" s="514"/>
      <c r="L7148" s="518" t="s">
        <v>266</v>
      </c>
      <c r="M7148" s="518">
        <v>8001</v>
      </c>
      <c r="N7148" s="522">
        <v>0.54166666666666663</v>
      </c>
      <c r="O7148" s="897" t="s">
        <v>2373</v>
      </c>
      <c r="P7148" s="867" t="s">
        <v>2413</v>
      </c>
    </row>
    <row r="7149" spans="1:17" ht="19.5" thickBot="1" x14ac:dyDescent="0.3">
      <c r="A7149" s="503">
        <f t="shared" si="216"/>
        <v>4411</v>
      </c>
      <c r="B7149" s="504" t="s">
        <v>2294</v>
      </c>
      <c r="C7149" s="505" t="s">
        <v>23</v>
      </c>
      <c r="D7149" s="506">
        <v>11.664999999999999</v>
      </c>
      <c r="E7149" s="507"/>
      <c r="F7149" s="508" t="s">
        <v>30</v>
      </c>
      <c r="G7149" s="509"/>
      <c r="H7149" s="508" t="s">
        <v>2347</v>
      </c>
      <c r="I7149" s="510"/>
      <c r="J7149" s="511"/>
      <c r="K7149" s="504"/>
      <c r="L7149" s="508" t="s">
        <v>28</v>
      </c>
      <c r="M7149" s="508">
        <v>11665.92</v>
      </c>
      <c r="N7149" s="512">
        <v>0.41666666666666669</v>
      </c>
      <c r="O7149" s="897" t="s">
        <v>2360</v>
      </c>
    </row>
    <row r="7150" spans="1:17" ht="19.5" thickBot="1" x14ac:dyDescent="0.3">
      <c r="A7150" s="572">
        <f t="shared" si="216"/>
        <v>4412</v>
      </c>
      <c r="B7150" s="573" t="s">
        <v>2344</v>
      </c>
      <c r="C7150" s="574" t="s">
        <v>1341</v>
      </c>
      <c r="D7150" s="575">
        <v>9.8030000000000008</v>
      </c>
      <c r="E7150" s="576"/>
      <c r="F7150" s="577" t="s">
        <v>16</v>
      </c>
      <c r="G7150" s="578"/>
      <c r="H7150" s="577" t="s">
        <v>2405</v>
      </c>
      <c r="I7150" s="579"/>
      <c r="J7150" s="580"/>
      <c r="K7150" s="573"/>
      <c r="L7150" s="577" t="s">
        <v>266</v>
      </c>
      <c r="M7150" s="577">
        <v>9803.18</v>
      </c>
      <c r="N7150" s="581">
        <v>0.41666666666666669</v>
      </c>
      <c r="O7150" s="897" t="s">
        <v>2406</v>
      </c>
    </row>
    <row r="7151" spans="1:17" ht="19.5" thickBot="1" x14ac:dyDescent="0.3">
      <c r="A7151" s="503">
        <f t="shared" si="216"/>
        <v>4413</v>
      </c>
      <c r="B7151" s="504" t="s">
        <v>2347</v>
      </c>
      <c r="C7151" s="505" t="s">
        <v>32</v>
      </c>
      <c r="D7151" s="506">
        <v>17.948</v>
      </c>
      <c r="E7151" s="507"/>
      <c r="F7151" s="508" t="s">
        <v>16</v>
      </c>
      <c r="G7151" s="509"/>
      <c r="H7151" s="508" t="s">
        <v>2417</v>
      </c>
      <c r="I7151" s="510"/>
      <c r="J7151" s="511"/>
      <c r="K7151" s="504"/>
      <c r="L7151" s="508" t="s">
        <v>266</v>
      </c>
      <c r="M7151" s="508">
        <v>18112.099999999995</v>
      </c>
      <c r="N7151" s="512">
        <v>0.41666666666666669</v>
      </c>
      <c r="O7151" s="897" t="s">
        <v>2418</v>
      </c>
    </row>
    <row r="7152" spans="1:17" ht="19.5" thickBot="1" x14ac:dyDescent="0.3">
      <c r="A7152" s="513">
        <f t="shared" si="216"/>
        <v>4414</v>
      </c>
      <c r="B7152" s="514" t="s">
        <v>2347</v>
      </c>
      <c r="C7152" s="515" t="s">
        <v>32</v>
      </c>
      <c r="D7152" s="516">
        <v>17.960999999999999</v>
      </c>
      <c r="E7152" s="517"/>
      <c r="F7152" s="518" t="s">
        <v>16</v>
      </c>
      <c r="G7152" s="519"/>
      <c r="H7152" s="518" t="s">
        <v>2417</v>
      </c>
      <c r="I7152" s="520"/>
      <c r="J7152" s="521"/>
      <c r="K7152" s="514"/>
      <c r="L7152" s="518" t="s">
        <v>266</v>
      </c>
      <c r="M7152" s="518">
        <v>18033.18</v>
      </c>
      <c r="N7152" s="522">
        <v>0.45833333333333331</v>
      </c>
      <c r="O7152" s="897" t="s">
        <v>2419</v>
      </c>
    </row>
    <row r="7153" spans="1:15" ht="19.5" thickBot="1" x14ac:dyDescent="0.3">
      <c r="A7153" s="503">
        <f t="shared" si="216"/>
        <v>4415</v>
      </c>
      <c r="B7153" s="504" t="s">
        <v>2347</v>
      </c>
      <c r="C7153" s="505" t="s">
        <v>32</v>
      </c>
      <c r="D7153" s="506">
        <v>17.600000000000001</v>
      </c>
      <c r="E7153" s="507"/>
      <c r="F7153" s="508" t="s">
        <v>16</v>
      </c>
      <c r="G7153" s="509" t="s">
        <v>2299</v>
      </c>
      <c r="H7153" s="508" t="s">
        <v>2417</v>
      </c>
      <c r="I7153" s="510"/>
      <c r="J7153" s="511"/>
      <c r="K7153" s="504"/>
      <c r="L7153" s="508" t="s">
        <v>266</v>
      </c>
      <c r="M7153" s="508">
        <v>17604.599999999999</v>
      </c>
      <c r="N7153" s="512">
        <v>0.5</v>
      </c>
      <c r="O7153" s="897" t="s">
        <v>2420</v>
      </c>
    </row>
    <row r="7154" spans="1:15" ht="19.5" thickBot="1" x14ac:dyDescent="0.3">
      <c r="A7154" s="513">
        <f t="shared" si="216"/>
        <v>4416</v>
      </c>
      <c r="B7154" s="514" t="s">
        <v>2347</v>
      </c>
      <c r="C7154" s="515" t="s">
        <v>848</v>
      </c>
      <c r="D7154" s="516">
        <v>18.010999999999999</v>
      </c>
      <c r="E7154" s="517"/>
      <c r="F7154" s="518" t="s">
        <v>16</v>
      </c>
      <c r="G7154" s="519"/>
      <c r="H7154" s="518" t="s">
        <v>2417</v>
      </c>
      <c r="I7154" s="520"/>
      <c r="J7154" s="521"/>
      <c r="K7154" s="514"/>
      <c r="L7154" s="518" t="s">
        <v>266</v>
      </c>
      <c r="M7154" s="518">
        <v>18121.16</v>
      </c>
      <c r="N7154" s="522">
        <v>0.54166666666666663</v>
      </c>
      <c r="O7154" s="897" t="s">
        <v>2421</v>
      </c>
    </row>
    <row r="7155" spans="1:15" x14ac:dyDescent="0.25">
      <c r="A7155" s="676">
        <f t="shared" si="216"/>
        <v>4417</v>
      </c>
      <c r="B7155" s="676"/>
      <c r="C7155" s="473"/>
      <c r="D7155" s="474"/>
      <c r="E7155" s="475"/>
      <c r="F7155" s="676"/>
      <c r="G7155" s="476"/>
      <c r="H7155" s="676"/>
      <c r="I7155" s="477"/>
      <c r="J7155" s="478"/>
      <c r="K7155" s="676"/>
      <c r="L7155" s="676"/>
      <c r="M7155" s="676"/>
      <c r="N7155" s="676"/>
    </row>
    <row r="7156" spans="1:15" x14ac:dyDescent="0.25">
      <c r="A7156" s="676">
        <f t="shared" si="216"/>
        <v>4418</v>
      </c>
      <c r="B7156" s="676"/>
      <c r="C7156" s="473"/>
      <c r="D7156" s="474"/>
      <c r="E7156" s="475"/>
      <c r="F7156" s="676"/>
      <c r="G7156" s="476"/>
      <c r="H7156" s="676"/>
      <c r="I7156" s="477"/>
      <c r="J7156" s="478"/>
      <c r="K7156" s="676"/>
      <c r="L7156" s="676"/>
      <c r="M7156" s="676"/>
      <c r="N7156" s="676"/>
    </row>
    <row r="7157" spans="1:15" x14ac:dyDescent="0.25">
      <c r="A7157" s="676">
        <f t="shared" si="216"/>
        <v>4419</v>
      </c>
      <c r="B7157" s="676"/>
      <c r="C7157" s="473"/>
      <c r="D7157" s="474"/>
      <c r="E7157" s="475"/>
      <c r="F7157" s="676"/>
      <c r="G7157" s="476"/>
      <c r="H7157" s="676"/>
      <c r="I7157" s="477"/>
      <c r="J7157" s="478"/>
      <c r="K7157" s="676"/>
      <c r="L7157" s="676"/>
      <c r="M7157" s="676"/>
      <c r="N7157" s="676"/>
    </row>
    <row r="7158" spans="1:15" x14ac:dyDescent="0.25">
      <c r="A7158" s="676">
        <f t="shared" si="216"/>
        <v>4420</v>
      </c>
      <c r="B7158" s="676"/>
      <c r="C7158" s="473"/>
      <c r="D7158" s="474"/>
      <c r="E7158" s="475"/>
      <c r="F7158" s="676"/>
      <c r="G7158" s="476"/>
      <c r="H7158" s="676"/>
      <c r="I7158" s="477"/>
      <c r="J7158" s="478"/>
      <c r="K7158" s="676"/>
      <c r="L7158" s="676"/>
      <c r="M7158" s="676"/>
      <c r="N7158" s="676"/>
    </row>
    <row r="7159" spans="1:15" x14ac:dyDescent="0.25">
      <c r="A7159" s="676">
        <f t="shared" si="216"/>
        <v>4421</v>
      </c>
      <c r="B7159" s="676"/>
      <c r="C7159" s="473"/>
      <c r="D7159" s="474"/>
      <c r="E7159" s="475"/>
      <c r="F7159" s="676"/>
      <c r="G7159" s="476"/>
      <c r="H7159" s="676"/>
      <c r="I7159" s="477"/>
      <c r="J7159" s="478"/>
      <c r="K7159" s="676"/>
      <c r="L7159" s="676"/>
      <c r="M7159" s="676"/>
      <c r="N7159" s="676"/>
    </row>
    <row r="7160" spans="1:15" x14ac:dyDescent="0.25">
      <c r="A7160" s="676">
        <f t="shared" si="216"/>
        <v>4422</v>
      </c>
      <c r="B7160" s="676"/>
      <c r="C7160" s="473"/>
      <c r="D7160" s="474"/>
      <c r="E7160" s="475"/>
      <c r="F7160" s="676"/>
      <c r="G7160" s="476"/>
      <c r="H7160" s="676"/>
      <c r="I7160" s="477"/>
      <c r="J7160" s="478"/>
      <c r="K7160" s="676"/>
      <c r="L7160" s="676"/>
      <c r="M7160" s="676"/>
      <c r="N7160" s="676"/>
    </row>
    <row r="7161" spans="1:15" x14ac:dyDescent="0.25">
      <c r="A7161" s="676">
        <f t="shared" si="216"/>
        <v>4423</v>
      </c>
      <c r="B7161" s="676"/>
      <c r="C7161" s="473"/>
      <c r="D7161" s="474"/>
      <c r="E7161" s="475"/>
      <c r="F7161" s="676"/>
      <c r="G7161" s="476"/>
      <c r="H7161" s="676"/>
      <c r="I7161" s="477"/>
      <c r="J7161" s="478"/>
      <c r="K7161" s="676"/>
      <c r="L7161" s="676"/>
      <c r="M7161" s="676"/>
      <c r="N7161" s="676"/>
    </row>
    <row r="7162" spans="1:15" x14ac:dyDescent="0.25">
      <c r="A7162" s="676">
        <f t="shared" si="216"/>
        <v>4424</v>
      </c>
      <c r="B7162" s="676"/>
      <c r="C7162" s="473"/>
      <c r="D7162" s="474"/>
      <c r="E7162" s="475"/>
      <c r="F7162" s="676"/>
      <c r="G7162" s="476"/>
      <c r="H7162" s="676"/>
      <c r="I7162" s="477"/>
      <c r="J7162" s="478"/>
      <c r="K7162" s="676"/>
      <c r="L7162" s="676"/>
      <c r="M7162" s="676"/>
      <c r="N7162" s="676"/>
    </row>
    <row r="7163" spans="1:15" x14ac:dyDescent="0.25">
      <c r="A7163" s="676">
        <f t="shared" si="216"/>
        <v>4425</v>
      </c>
      <c r="B7163" s="676"/>
      <c r="C7163" s="473"/>
      <c r="D7163" s="474"/>
      <c r="E7163" s="475"/>
      <c r="F7163" s="676"/>
      <c r="G7163" s="476"/>
      <c r="H7163" s="676"/>
      <c r="I7163" s="477"/>
      <c r="J7163" s="478"/>
      <c r="K7163" s="676"/>
      <c r="L7163" s="676"/>
      <c r="M7163" s="676"/>
      <c r="N7163" s="676"/>
    </row>
    <row r="7164" spans="1:15" x14ac:dyDescent="0.25">
      <c r="A7164" s="676">
        <f t="shared" si="216"/>
        <v>4426</v>
      </c>
      <c r="B7164" s="676"/>
      <c r="C7164" s="473"/>
      <c r="D7164" s="474"/>
      <c r="E7164" s="475"/>
      <c r="F7164" s="676"/>
      <c r="G7164" s="476"/>
      <c r="H7164" s="676"/>
      <c r="I7164" s="477"/>
      <c r="J7164" s="478"/>
      <c r="K7164" s="676"/>
      <c r="L7164" s="676"/>
      <c r="M7164" s="676"/>
      <c r="N7164" s="676"/>
    </row>
    <row r="7165" spans="1:15" x14ac:dyDescent="0.25">
      <c r="A7165" s="676">
        <f t="shared" si="216"/>
        <v>4427</v>
      </c>
      <c r="B7165" s="676"/>
      <c r="C7165" s="473"/>
      <c r="D7165" s="474"/>
      <c r="E7165" s="475"/>
      <c r="F7165" s="676"/>
      <c r="G7165" s="476"/>
      <c r="H7165" s="676"/>
      <c r="I7165" s="477"/>
      <c r="J7165" s="478"/>
      <c r="K7165" s="676"/>
      <c r="L7165" s="676"/>
      <c r="M7165" s="676"/>
      <c r="N7165" s="676"/>
    </row>
    <row r="7166" spans="1:15" x14ac:dyDescent="0.25">
      <c r="A7166" s="676">
        <f t="shared" si="216"/>
        <v>4428</v>
      </c>
      <c r="B7166" s="676"/>
      <c r="C7166" s="473"/>
      <c r="D7166" s="474"/>
      <c r="E7166" s="475"/>
      <c r="F7166" s="676"/>
      <c r="G7166" s="476"/>
      <c r="H7166" s="676"/>
      <c r="I7166" s="477"/>
      <c r="J7166" s="478"/>
      <c r="K7166" s="676"/>
      <c r="L7166" s="676"/>
      <c r="M7166" s="676"/>
      <c r="N7166" s="676"/>
    </row>
    <row r="7167" spans="1:15" x14ac:dyDescent="0.25">
      <c r="A7167" s="676">
        <f t="shared" si="216"/>
        <v>4429</v>
      </c>
      <c r="B7167" s="676"/>
      <c r="C7167" s="473"/>
      <c r="D7167" s="474"/>
      <c r="E7167" s="475"/>
      <c r="F7167" s="676"/>
      <c r="G7167" s="476"/>
      <c r="H7167" s="676"/>
      <c r="I7167" s="477"/>
      <c r="J7167" s="478"/>
      <c r="K7167" s="676"/>
      <c r="L7167" s="676"/>
      <c r="M7167" s="676"/>
      <c r="N7167" s="676"/>
    </row>
    <row r="7168" spans="1:15" x14ac:dyDescent="0.25">
      <c r="A7168" s="676">
        <f t="shared" si="216"/>
        <v>4430</v>
      </c>
      <c r="B7168" s="676"/>
      <c r="C7168" s="473"/>
      <c r="D7168" s="474"/>
      <c r="E7168" s="475"/>
      <c r="F7168" s="676"/>
      <c r="G7168" s="476"/>
      <c r="H7168" s="676"/>
      <c r="I7168" s="477"/>
      <c r="J7168" s="478"/>
      <c r="K7168" s="676"/>
      <c r="L7168" s="676"/>
      <c r="M7168" s="676"/>
      <c r="N7168" s="676"/>
    </row>
    <row r="7169" spans="1:14" x14ac:dyDescent="0.25">
      <c r="A7169" s="676">
        <f t="shared" si="216"/>
        <v>4431</v>
      </c>
      <c r="B7169" s="676"/>
      <c r="C7169" s="473"/>
      <c r="D7169" s="474"/>
      <c r="E7169" s="475"/>
      <c r="F7169" s="676"/>
      <c r="G7169" s="476"/>
      <c r="H7169" s="676"/>
      <c r="I7169" s="477"/>
      <c r="J7169" s="478"/>
      <c r="K7169" s="676"/>
      <c r="L7169" s="676"/>
      <c r="M7169" s="676"/>
      <c r="N7169" s="676"/>
    </row>
    <row r="7170" spans="1:14" x14ac:dyDescent="0.25">
      <c r="A7170" s="676">
        <f t="shared" si="216"/>
        <v>4432</v>
      </c>
      <c r="B7170" s="676"/>
      <c r="C7170" s="473"/>
      <c r="D7170" s="474"/>
      <c r="E7170" s="475"/>
      <c r="F7170" s="676"/>
      <c r="G7170" s="476"/>
      <c r="H7170" s="676"/>
      <c r="I7170" s="477"/>
      <c r="J7170" s="478"/>
      <c r="K7170" s="676"/>
      <c r="L7170" s="676"/>
      <c r="M7170" s="676"/>
      <c r="N7170" s="676"/>
    </row>
    <row r="7171" spans="1:14" x14ac:dyDescent="0.25">
      <c r="A7171" s="676">
        <f t="shared" si="216"/>
        <v>4433</v>
      </c>
      <c r="B7171" s="676"/>
      <c r="C7171" s="473"/>
      <c r="D7171" s="474"/>
      <c r="E7171" s="475"/>
      <c r="F7171" s="676"/>
      <c r="G7171" s="476"/>
      <c r="H7171" s="676"/>
      <c r="I7171" s="477"/>
      <c r="J7171" s="478"/>
      <c r="K7171" s="676"/>
      <c r="L7171" s="676"/>
      <c r="M7171" s="676"/>
      <c r="N7171" s="676"/>
    </row>
    <row r="7172" spans="1:14" x14ac:dyDescent="0.25">
      <c r="A7172" s="676">
        <f t="shared" si="216"/>
        <v>4434</v>
      </c>
      <c r="B7172" s="676"/>
      <c r="C7172" s="473"/>
      <c r="D7172" s="474"/>
      <c r="E7172" s="475"/>
      <c r="F7172" s="676"/>
      <c r="G7172" s="476"/>
      <c r="H7172" s="676"/>
      <c r="I7172" s="477"/>
      <c r="J7172" s="478"/>
      <c r="K7172" s="676"/>
      <c r="L7172" s="676"/>
      <c r="M7172" s="676"/>
      <c r="N7172" s="676"/>
    </row>
    <row r="7173" spans="1:14" x14ac:dyDescent="0.25">
      <c r="A7173" s="676">
        <f t="shared" si="216"/>
        <v>4435</v>
      </c>
      <c r="B7173" s="676"/>
      <c r="C7173" s="473"/>
      <c r="D7173" s="474"/>
      <c r="E7173" s="475"/>
      <c r="F7173" s="676"/>
      <c r="G7173" s="476"/>
      <c r="H7173" s="676"/>
      <c r="I7173" s="477"/>
      <c r="J7173" s="478"/>
      <c r="K7173" s="676"/>
      <c r="L7173" s="676"/>
      <c r="M7173" s="676"/>
      <c r="N7173" s="676"/>
    </row>
    <row r="7174" spans="1:14" x14ac:dyDescent="0.25">
      <c r="A7174" s="676">
        <f t="shared" si="216"/>
        <v>4436</v>
      </c>
      <c r="B7174" s="676"/>
      <c r="C7174" s="473"/>
      <c r="D7174" s="474"/>
      <c r="E7174" s="475"/>
      <c r="F7174" s="676"/>
      <c r="G7174" s="476"/>
      <c r="H7174" s="676"/>
      <c r="I7174" s="477"/>
      <c r="J7174" s="478"/>
      <c r="K7174" s="676"/>
      <c r="L7174" s="676"/>
      <c r="M7174" s="676"/>
      <c r="N7174" s="676"/>
    </row>
    <row r="7175" spans="1:14" x14ac:dyDescent="0.25">
      <c r="A7175" s="676">
        <f t="shared" si="216"/>
        <v>4437</v>
      </c>
      <c r="B7175" s="676"/>
      <c r="C7175" s="473"/>
      <c r="D7175" s="474"/>
      <c r="E7175" s="475"/>
      <c r="F7175" s="676"/>
      <c r="G7175" s="476"/>
      <c r="H7175" s="676"/>
      <c r="I7175" s="477"/>
      <c r="J7175" s="478"/>
      <c r="K7175" s="676"/>
      <c r="L7175" s="676"/>
      <c r="M7175" s="676"/>
      <c r="N7175" s="676"/>
    </row>
    <row r="7176" spans="1:14" x14ac:dyDescent="0.25">
      <c r="A7176" s="676">
        <f t="shared" si="216"/>
        <v>4438</v>
      </c>
      <c r="B7176" s="676"/>
      <c r="C7176" s="473"/>
      <c r="D7176" s="474"/>
      <c r="E7176" s="475"/>
      <c r="F7176" s="676"/>
      <c r="G7176" s="476"/>
      <c r="H7176" s="676"/>
      <c r="I7176" s="477"/>
      <c r="J7176" s="478"/>
      <c r="K7176" s="676"/>
      <c r="L7176" s="676"/>
      <c r="M7176" s="676"/>
      <c r="N7176" s="676"/>
    </row>
    <row r="7177" spans="1:14" x14ac:dyDescent="0.25">
      <c r="A7177" s="676">
        <f t="shared" si="216"/>
        <v>4439</v>
      </c>
      <c r="B7177" s="676"/>
      <c r="C7177" s="473"/>
      <c r="D7177" s="474"/>
      <c r="E7177" s="475"/>
      <c r="F7177" s="676"/>
      <c r="G7177" s="476"/>
      <c r="H7177" s="676"/>
      <c r="I7177" s="477"/>
      <c r="J7177" s="478"/>
      <c r="K7177" s="676"/>
      <c r="L7177" s="676"/>
      <c r="M7177" s="676"/>
      <c r="N7177" s="676"/>
    </row>
    <row r="7178" spans="1:14" x14ac:dyDescent="0.25">
      <c r="A7178" s="676">
        <f t="shared" si="216"/>
        <v>4440</v>
      </c>
      <c r="B7178" s="676"/>
      <c r="C7178" s="473"/>
      <c r="D7178" s="474"/>
      <c r="E7178" s="475"/>
      <c r="F7178" s="676"/>
      <c r="G7178" s="476"/>
      <c r="H7178" s="676"/>
      <c r="I7178" s="477"/>
      <c r="J7178" s="478"/>
      <c r="K7178" s="676"/>
      <c r="L7178" s="676"/>
      <c r="M7178" s="676"/>
      <c r="N7178" s="676"/>
    </row>
    <row r="7179" spans="1:14" x14ac:dyDescent="0.25">
      <c r="A7179" s="676">
        <f t="shared" si="216"/>
        <v>4441</v>
      </c>
      <c r="B7179" s="676"/>
      <c r="C7179" s="473"/>
      <c r="D7179" s="474"/>
      <c r="E7179" s="475"/>
      <c r="F7179" s="676"/>
      <c r="G7179" s="476"/>
      <c r="H7179" s="676"/>
      <c r="I7179" s="477"/>
      <c r="J7179" s="478"/>
      <c r="K7179" s="676"/>
      <c r="L7179" s="676"/>
      <c r="M7179" s="676"/>
      <c r="N7179" s="676"/>
    </row>
  </sheetData>
  <autoFilter ref="A2:R7138" xr:uid="{9E4C531E-AD50-422A-AC7C-8C5AF4C19268}">
    <filterColumn colId="10">
      <filters blank="1"/>
    </filterColumn>
  </autoFilter>
  <mergeCells count="1882">
    <mergeCell ref="A7110:A7111"/>
    <mergeCell ref="A7140:A7142"/>
    <mergeCell ref="A7143:A7145"/>
    <mergeCell ref="G7143:G7145"/>
    <mergeCell ref="A7146:A7147"/>
    <mergeCell ref="A7129:A7130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A7138:A7139"/>
    <mergeCell ref="G6878:G6879"/>
    <mergeCell ref="G6861:G6863"/>
    <mergeCell ref="A6870:A6872"/>
    <mergeCell ref="A7134:A7135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1:A7133"/>
    <mergeCell ref="G7131:G7133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2026-09-01T16:23:43Z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