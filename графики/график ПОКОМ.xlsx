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EDB8CA61-6F82-4887-8F67-17CC3E4E6641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Лист1!$A$2:$R$7529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7410" i="1" l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09" i="1"/>
  <c r="K7365" i="1" l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364" i="1"/>
  <c r="E7434" i="1" l="1"/>
  <c r="E7436" i="1"/>
  <c r="E7437" i="1"/>
  <c r="E7435" i="1"/>
  <c r="K7349" i="1" l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48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22" i="1"/>
  <c r="K7321" i="1"/>
  <c r="E7357" i="1" l="1"/>
  <c r="K7302" i="1" l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01" i="1"/>
  <c r="E7332" i="1"/>
  <c r="K7286" i="1" l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285" i="1"/>
  <c r="K7276" i="1"/>
  <c r="K7277" i="1"/>
  <c r="K7278" i="1"/>
  <c r="K7279" i="1"/>
  <c r="K7280" i="1"/>
  <c r="K7281" i="1"/>
  <c r="K7282" i="1"/>
  <c r="K7283" i="1"/>
  <c r="K7284" i="1"/>
  <c r="K7275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42" i="1"/>
  <c r="K7217" i="1" l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16" i="1"/>
  <c r="E7223" i="1" l="1"/>
  <c r="K7215" i="1" l="1"/>
  <c r="K7214" i="1"/>
  <c r="K7213" i="1"/>
  <c r="K7212" i="1"/>
  <c r="K7211" i="1"/>
  <c r="K7210" i="1"/>
  <c r="K7209" i="1"/>
  <c r="K7208" i="1"/>
  <c r="K7207" i="1"/>
  <c r="K7206" i="1"/>
  <c r="K7205" i="1"/>
  <c r="K7204" i="1"/>
  <c r="K7203" i="1"/>
  <c r="K7202" i="1"/>
  <c r="K7201" i="1"/>
  <c r="K7200" i="1"/>
  <c r="K7199" i="1"/>
  <c r="K7198" i="1"/>
  <c r="K7197" i="1"/>
  <c r="K7196" i="1"/>
  <c r="K7195" i="1"/>
  <c r="K7194" i="1"/>
  <c r="K7193" i="1"/>
  <c r="K7192" i="1"/>
  <c r="K7191" i="1"/>
  <c r="K7190" i="1"/>
  <c r="K7189" i="1"/>
  <c r="K7188" i="1"/>
  <c r="K7187" i="1"/>
  <c r="K7186" i="1"/>
  <c r="K7185" i="1"/>
  <c r="K7184" i="1"/>
  <c r="K7183" i="1"/>
  <c r="K7182" i="1"/>
  <c r="K7181" i="1"/>
  <c r="K7180" i="1"/>
  <c r="K7154" i="1"/>
  <c r="E7218" i="1" l="1"/>
  <c r="E7216" i="1"/>
  <c r="K7145" i="1"/>
  <c r="K7146" i="1"/>
  <c r="K7147" i="1"/>
  <c r="K7148" i="1"/>
  <c r="K7149" i="1"/>
  <c r="K7150" i="1"/>
  <c r="K7151" i="1"/>
  <c r="K7152" i="1"/>
  <c r="K7153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44" i="1"/>
  <c r="K7104" i="1" l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03" i="1"/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l="1"/>
  <c r="A7088" i="1" l="1"/>
  <c r="A7089" i="1" l="1"/>
  <c r="A7090" i="1" l="1"/>
  <c r="A7091" i="1" l="1"/>
  <c r="A7092" i="1" l="1"/>
  <c r="A7093" i="1" l="1"/>
  <c r="A7095" i="1" l="1"/>
  <c r="A7097" i="1" l="1"/>
  <c r="A7103" i="1" l="1"/>
  <c r="A7104" i="1" l="1"/>
  <c r="A7106" i="1" l="1"/>
  <c r="A7110" i="1" l="1"/>
  <c r="A7112" i="1" l="1"/>
  <c r="A7115" i="1" s="1"/>
  <c r="A7119" i="1" l="1"/>
  <c r="A7120" i="1" s="1"/>
  <c r="A7124" i="1" s="1"/>
  <c r="A7125" i="1" l="1"/>
  <c r="A7126" i="1" s="1"/>
  <c r="A7127" i="1" s="1"/>
  <c r="A7129" i="1" s="1"/>
  <c r="A7131" i="1" l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l="1"/>
  <c r="A7167" i="1" l="1"/>
  <c r="A7169" i="1" l="1"/>
  <c r="A7172" i="1" l="1"/>
  <c r="A7173" i="1" l="1"/>
  <c r="A7177" i="1" l="1"/>
  <c r="A7180" i="1" l="1"/>
  <c r="A7183" i="1" l="1"/>
  <c r="A7184" i="1" s="1"/>
  <c r="A7185" i="1" s="1"/>
  <c r="A7188" i="1" s="1"/>
  <c r="A7191" i="1" s="1"/>
  <c r="A7195" i="1" s="1"/>
  <c r="A7196" i="1" s="1"/>
  <c r="A7199" i="1" l="1"/>
  <c r="A7201" i="1" l="1"/>
  <c r="A7204" i="1" l="1"/>
  <c r="A7206" i="1" l="1"/>
  <c r="A7208" i="1" l="1"/>
  <c r="A7209" i="1" l="1"/>
  <c r="A7211" i="1" l="1"/>
  <c r="A7212" i="1" s="1"/>
  <c r="A7213" i="1" s="1"/>
  <c r="A7214" i="1" s="1"/>
  <c r="A7215" i="1" l="1"/>
  <c r="A7216" i="1" s="1"/>
  <c r="A7218" i="1" l="1"/>
  <c r="A7220" i="1" l="1"/>
  <c r="A7221" i="1" l="1"/>
  <c r="A7223" i="1" l="1"/>
  <c r="A7225" i="1" l="1"/>
  <c r="A7227" i="1" l="1"/>
  <c r="A7229" i="1" s="1"/>
  <c r="A7230" i="1" l="1"/>
  <c r="A7232" i="1" l="1"/>
  <c r="A7235" i="1" l="1"/>
  <c r="A7237" i="1" l="1"/>
  <c r="A7242" i="1" l="1"/>
  <c r="A7244" i="1" l="1"/>
  <c r="A7248" i="1" l="1"/>
  <c r="A7252" i="1" l="1"/>
  <c r="A7256" i="1" l="1"/>
  <c r="A7258" i="1" l="1"/>
  <c r="A7259" i="1" l="1"/>
  <c r="A7262" i="1" l="1"/>
  <c r="A7267" i="1" l="1"/>
  <c r="A7271" i="1" l="1"/>
  <c r="A7273" i="1" l="1"/>
  <c r="A7275" i="1" l="1"/>
  <c r="A7277" i="1" l="1"/>
  <c r="A7278" i="1" l="1"/>
  <c r="A7280" i="1" l="1"/>
  <c r="A7281" i="1" l="1"/>
  <c r="A7283" i="1" s="1"/>
  <c r="A7285" i="1" l="1"/>
  <c r="A7287" i="1" l="1"/>
  <c r="A7288" i="1" l="1"/>
  <c r="A7289" i="1" s="1"/>
  <c r="A7290" i="1" s="1"/>
  <c r="A7293" i="1" l="1"/>
  <c r="A7296" i="1" l="1"/>
  <c r="A7298" i="1" l="1"/>
  <c r="A7301" i="1" l="1"/>
  <c r="A7306" i="1" l="1"/>
  <c r="A7309" i="1" s="1"/>
  <c r="A7310" i="1" s="1"/>
  <c r="A7311" i="1" s="1"/>
  <c r="A7318" i="1" s="1"/>
  <c r="A7321" i="1" s="1"/>
  <c r="A7325" i="1" s="1"/>
  <c r="A7328" i="1" s="1"/>
  <c r="A7330" i="1" s="1"/>
  <c r="A7332" i="1" s="1"/>
  <c r="A7335" i="1" s="1"/>
  <c r="A7337" i="1" s="1"/>
  <c r="A7338" i="1" s="1"/>
  <c r="A7341" i="1" s="1"/>
  <c r="A7343" i="1" s="1"/>
  <c r="A7344" i="1" s="1"/>
  <c r="A7346" i="1" s="1"/>
  <c r="A7348" i="1" s="1"/>
  <c r="A7349" i="1" s="1"/>
  <c r="A7350" i="1" s="1"/>
  <c r="A7351" i="1" s="1"/>
  <c r="A7355" i="1" s="1"/>
  <c r="A7356" i="1" s="1"/>
  <c r="A7357" i="1" s="1"/>
  <c r="A7360" i="1" s="1"/>
  <c r="A7363" i="1" s="1"/>
  <c r="A7364" i="1" s="1"/>
  <c r="A7365" i="1" s="1"/>
  <c r="A7367" i="1" s="1"/>
  <c r="A7370" i="1" s="1"/>
  <c r="A7375" i="1" s="1"/>
  <c r="A7380" i="1" s="1"/>
  <c r="A7381" i="1" s="1"/>
  <c r="A7385" i="1" s="1"/>
  <c r="A7386" i="1" s="1"/>
  <c r="A7389" i="1" s="1"/>
  <c r="A7392" i="1" s="1"/>
  <c r="A7396" i="1" s="1"/>
  <c r="A7397" i="1" s="1"/>
  <c r="A7398" i="1" s="1"/>
  <c r="A7401" i="1" s="1"/>
  <c r="A7403" i="1" s="1"/>
  <c r="A7405" i="1" s="1"/>
  <c r="A7407" i="1" s="1"/>
  <c r="A7409" i="1" s="1"/>
  <c r="A7412" i="1" s="1"/>
  <c r="A7414" i="1" s="1"/>
  <c r="A7415" i="1" s="1"/>
  <c r="A7417" i="1" s="1"/>
  <c r="A7418" i="1" s="1"/>
  <c r="A7421" i="1" s="1"/>
  <c r="A7424" i="1" s="1"/>
  <c r="A7427" i="1" s="1"/>
  <c r="A7428" i="1" s="1"/>
  <c r="A7429" i="1" s="1"/>
  <c r="A7431" i="1" s="1"/>
  <c r="A7434" i="1" s="1"/>
  <c r="A7438" i="1" s="1"/>
  <c r="A7441" i="1" s="1"/>
  <c r="A7443" i="1" s="1"/>
  <c r="A7444" i="1" s="1"/>
  <c r="A7445" i="1" s="1"/>
  <c r="A7446" i="1" s="1"/>
  <c r="A7448" i="1" s="1"/>
  <c r="A7449" i="1" l="1"/>
  <c r="A7451" i="1" s="1"/>
  <c r="A7453" i="1" s="1"/>
  <c r="A7454" i="1" s="1"/>
  <c r="A7457" i="1" s="1"/>
  <c r="A7458" i="1" s="1"/>
  <c r="A7460" i="1" s="1"/>
  <c r="A7461" i="1" s="1"/>
  <c r="A7463" i="1" s="1"/>
  <c r="A7464" i="1" l="1"/>
  <c r="A7465" i="1" s="1"/>
  <c r="A7466" i="1" s="1"/>
  <c r="A7467" i="1" s="1"/>
  <c r="A7469" i="1" l="1"/>
  <c r="A7470" i="1" s="1"/>
  <c r="A7471" i="1" s="1"/>
  <c r="A7472" i="1" s="1"/>
  <c r="A7474" i="1" l="1"/>
  <c r="A7476" i="1" s="1"/>
  <c r="A7478" i="1" s="1"/>
  <c r="A7481" i="1" s="1"/>
  <c r="A7483" i="1" s="1"/>
  <c r="A7486" i="1" l="1"/>
  <c r="A7487" i="1" s="1"/>
  <c r="A7488" i="1" s="1"/>
  <c r="A7491" i="1" s="1"/>
  <c r="A7492" i="1" s="1"/>
  <c r="A7493" i="1" s="1"/>
  <c r="A7494" i="1" s="1"/>
  <c r="A7495" i="1" l="1"/>
  <c r="A7497" i="1" s="1"/>
  <c r="A7498" i="1" s="1"/>
  <c r="A7499" i="1" l="1"/>
  <c r="A7500" i="1" l="1"/>
  <c r="A7501" i="1" s="1"/>
  <c r="A7504" i="1" l="1"/>
  <c r="A7505" i="1" s="1"/>
  <c r="A7506" i="1" s="1"/>
  <c r="A7507" i="1" s="1"/>
  <c r="A7508" i="1" s="1"/>
  <c r="A7510" i="1" s="1"/>
  <c r="A7512" i="1" s="1"/>
  <c r="A7513" i="1" s="1"/>
  <c r="A7514" i="1" s="1"/>
  <c r="A7518" i="1" s="1"/>
  <c r="A7521" i="1" s="1"/>
  <c r="A7522" i="1" s="1"/>
  <c r="A7523" i="1" s="1"/>
  <c r="A7524" i="1" s="1"/>
  <c r="A7525" i="1" s="1"/>
  <c r="A7526" i="1" s="1"/>
  <c r="A7527" i="1" s="1"/>
  <c r="A7528" i="1" s="1"/>
  <c r="A7529" i="1" s="1"/>
</calcChain>
</file>

<file path=xl/sharedStrings.xml><?xml version="1.0" encoding="utf-8"?>
<sst xmlns="http://schemas.openxmlformats.org/spreadsheetml/2006/main" count="48980" uniqueCount="3214">
  <si>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</si>
  <si>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</si>
  <si>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</si>
  <si>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</si>
  <si>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</si>
  <si>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</si>
  <si>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</si>
  <si>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</si>
  <si>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</si>
  <si>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</si>
  <si>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</si>
  <si>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</si>
  <si>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</si>
  <si>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</si>
  <si>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</si>
  <si>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</si>
  <si>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</si>
  <si>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</si>
  <si>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</si>
  <si>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</si>
  <si>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</si>
  <si>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</si>
  <si>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</si>
  <si>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</si>
  <si>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</si>
  <si>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</si>
  <si>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</si>
  <si>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</si>
  <si>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</si>
  <si>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</si>
  <si>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</si>
  <si>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</si>
  <si>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</si>
  <si>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</si>
  <si>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</si>
  <si>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</si>
  <si>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</si>
  <si>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</si>
  <si>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</si>
  <si>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</si>
  <si>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</si>
  <si>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</si>
  <si>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</si>
  <si>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</si>
  <si>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</si>
  <si>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</si>
  <si>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</si>
  <si>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</si>
  <si>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</si>
  <si>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</si>
  <si>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</si>
  <si>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</si>
  <si>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</si>
  <si>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</si>
  <si>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</si>
  <si>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</si>
  <si>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</si>
  <si>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</si>
  <si>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</si>
  <si>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</si>
  <si>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</si>
  <si>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</si>
  <si>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</si>
  <si>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</si>
  <si>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</si>
  <si>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</si>
  <si>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</si>
  <si>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</si>
  <si>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</si>
  <si>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</si>
  <si>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</si>
  <si>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</si>
  <si>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</si>
  <si>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</si>
  <si>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</si>
  <si>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</si>
  <si>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</si>
  <si>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</si>
  <si>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</si>
  <si>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</si>
  <si>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</si>
  <si>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</si>
  <si>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</si>
  <si>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</si>
  <si>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</si>
  <si>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</si>
  <si>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</si>
  <si>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</si>
  <si>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</si>
  <si>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</si>
  <si>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</si>
  <si>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</si>
  <si>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</si>
  <si>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</si>
  <si>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</si>
  <si>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</si>
  <si>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</si>
  <si>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</si>
  <si>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</si>
  <si>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</si>
  <si>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</si>
  <si>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</si>
  <si>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</si>
  <si>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</si>
  <si>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</si>
  <si>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</si>
  <si>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</si>
  <si>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</si>
  <si>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</si>
  <si>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</si>
  <si>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</si>
  <si>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</si>
  <si>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</si>
  <si>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</si>
  <si>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</si>
  <si>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</si>
  <si>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</si>
  <si>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</si>
  <si>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</si>
  <si>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</si>
  <si>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</si>
  <si>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</si>
  <si>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</si>
  <si>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</si>
  <si>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</si>
  <si>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</si>
  <si>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</si>
  <si>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</si>
  <si>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</si>
  <si>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</si>
  <si>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</si>
  <si>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</si>
  <si>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</si>
  <si>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</si>
  <si>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</si>
  <si>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</si>
  <si>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</si>
  <si>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</si>
  <si>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</si>
  <si>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</si>
  <si>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</si>
  <si>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</si>
  <si>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</si>
  <si>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</si>
  <si>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</si>
  <si>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</si>
  <si>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</si>
  <si>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</si>
  <si>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</si>
  <si>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</si>
  <si>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</si>
  <si>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</si>
  <si>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</si>
  <si>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</si>
  <si>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</si>
  <si>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</si>
  <si>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</si>
  <si>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</si>
  <si>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</si>
  <si>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</si>
  <si>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</si>
  <si>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</si>
  <si>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</si>
  <si>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</si>
  <si>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</si>
  <si>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</si>
  <si>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</si>
  <si>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</si>
  <si>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</si>
  <si>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</si>
  <si>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</si>
  <si>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</si>
  <si>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</si>
  <si>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</si>
  <si>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</si>
  <si>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</si>
  <si>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</si>
  <si>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</si>
  <si>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</si>
  <si>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</si>
  <si>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</si>
  <si>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</si>
  <si>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</si>
  <si>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</si>
  <si>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</si>
  <si>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</si>
  <si>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</si>
  <si>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</si>
  <si>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</si>
  <si>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</si>
  <si>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</si>
  <si>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</si>
  <si>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</si>
  <si>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</si>
  <si>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</si>
  <si>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</si>
  <si>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</si>
  <si>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</si>
  <si>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</si>
  <si>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</si>
  <si>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</si>
  <si>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</si>
  <si>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</si>
  <si>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</si>
  <si>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</si>
  <si>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</si>
  <si>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</si>
  <si>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</si>
  <si>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</si>
  <si>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</si>
  <si>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</si>
  <si>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</si>
  <si>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</si>
  <si>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</si>
  <si>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</si>
  <si>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</si>
  <si>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</si>
  <si>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</si>
  <si>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</si>
  <si>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</si>
  <si>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</si>
  <si>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</si>
  <si>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</si>
  <si>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</si>
  <si>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</si>
  <si>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</si>
  <si>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</si>
  <si>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</si>
  <si>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</si>
  <si>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</si>
  <si>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</si>
  <si>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</si>
  <si>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</si>
  <si>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</si>
  <si>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</si>
  <si>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</si>
  <si>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</si>
  <si>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</si>
  <si>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</si>
  <si>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</si>
  <si>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</si>
  <si>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</si>
  <si>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</si>
  <si>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</si>
  <si>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</si>
  <si>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</si>
  <si>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</si>
  <si>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</si>
  <si>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</si>
  <si>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</si>
  <si>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</si>
  <si>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</si>
  <si>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</si>
  <si>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</si>
  <si>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</si>
  <si>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</si>
  <si>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</si>
  <si>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</si>
  <si>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</si>
  <si>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</si>
  <si>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</si>
  <si>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</si>
  <si>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</si>
  <si>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</si>
  <si>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</si>
  <si>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</si>
  <si>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</si>
  <si>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</si>
  <si>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</si>
  <si>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</si>
  <si>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</si>
  <si>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</si>
  <si>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</si>
  <si>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</si>
  <si>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</si>
  <si>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</si>
  <si>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</si>
  <si>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</si>
  <si>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</si>
  <si>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</si>
  <si>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</si>
  <si>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</si>
  <si>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</si>
  <si>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</si>
  <si>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</si>
  <si>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</si>
  <si>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</si>
  <si>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</si>
  <si>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</si>
  <si>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</si>
  <si>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</si>
  <si>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</si>
  <si>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</si>
  <si>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</si>
  <si>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</si>
  <si>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</si>
  <si>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</si>
  <si>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</si>
  <si>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</si>
  <si>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</si>
  <si>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</si>
  <si>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</si>
  <si>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</si>
  <si>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</si>
  <si>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</si>
  <si>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</si>
  <si>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</si>
  <si>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</si>
  <si>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</si>
  <si>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</si>
  <si>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</si>
  <si>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</si>
  <si>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</si>
  <si>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</si>
  <si>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</si>
  <si>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</si>
  <si>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</si>
  <si>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</si>
  <si>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</si>
  <si>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</si>
  <si>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</si>
  <si>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</si>
  <si>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</si>
  <si>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</si>
  <si>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</si>
  <si>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</si>
  <si>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</si>
  <si>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</si>
  <si>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</si>
  <si>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</si>
  <si>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</si>
  <si>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</si>
  <si>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</si>
  <si>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</si>
  <si>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</si>
  <si>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</si>
  <si>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</si>
  <si>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</si>
  <si>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</si>
  <si>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</si>
  <si>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</si>
  <si>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</si>
  <si>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</si>
  <si>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</si>
  <si>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</si>
  <si>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</si>
  <si>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</si>
  <si>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</si>
  <si>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</si>
  <si>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</si>
  <si>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</si>
  <si>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</si>
  <si>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</si>
  <si>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</si>
  <si>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</si>
  <si>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</si>
  <si>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</si>
  <si>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</si>
  <si>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</si>
  <si>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</si>
  <si>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</si>
  <si>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</si>
  <si>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</si>
  <si>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</si>
  <si>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</si>
  <si>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</si>
  <si>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</si>
  <si>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</si>
  <si>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</si>
  <si>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</si>
  <si>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</si>
  <si>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</si>
  <si>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</si>
  <si>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</si>
  <si>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</si>
  <si>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</si>
  <si>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</si>
  <si>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</si>
  <si>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</si>
  <si>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</si>
  <si>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</si>
  <si>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</si>
  <si>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</si>
  <si>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</si>
  <si>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</si>
  <si>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</si>
  <si>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</si>
  <si>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</si>
  <si>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</si>
  <si>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</si>
  <si>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</si>
  <si>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</si>
  <si>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</si>
  <si>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</si>
  <si>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</si>
  <si>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</si>
  <si>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</si>
  <si>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</si>
  <si>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</si>
  <si>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</si>
  <si>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</si>
  <si>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</si>
  <si>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</si>
  <si>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</si>
  <si>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</si>
  <si>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</si>
  <si>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</si>
  <si>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</si>
  <si>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</si>
  <si>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</si>
  <si>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</si>
  <si>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</si>
  <si>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</si>
  <si>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</si>
  <si>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</si>
  <si>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</si>
  <si>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</si>
  <si>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</si>
  <si>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</si>
  <si>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</si>
  <si>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</si>
  <si>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</si>
  <si>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</si>
  <si>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</si>
  <si>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</si>
  <si>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</si>
  <si>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</si>
  <si>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</si>
  <si>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</si>
  <si>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</si>
  <si>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</si>
  <si>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</si>
  <si>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</si>
  <si>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</si>
  <si>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</si>
  <si>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</si>
  <si>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</si>
  <si>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</si>
  <si>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</si>
  <si>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</si>
  <si>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</si>
  <si>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</si>
  <si>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</si>
  <si>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</si>
  <si>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</si>
  <si>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</si>
  <si>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</si>
  <si>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</si>
  <si>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</si>
  <si>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</si>
  <si>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</si>
  <si>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</si>
  <si>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</si>
  <si>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</si>
  <si>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</si>
  <si>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</si>
  <si>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</si>
  <si>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</si>
  <si>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</si>
  <si>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</si>
  <si>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</si>
  <si>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</si>
  <si>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</si>
  <si>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</si>
  <si>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</si>
  <si>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</si>
  <si>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</si>
  <si>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</si>
  <si>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</si>
  <si>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</si>
  <si>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</si>
  <si>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</si>
  <si>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</si>
  <si>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</si>
  <si>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</si>
  <si>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</si>
  <si>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</si>
  <si>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</si>
  <si>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</si>
  <si>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</si>
  <si>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</si>
  <si>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</si>
  <si>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</si>
  <si>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</si>
  <si>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</si>
  <si>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</si>
  <si>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</si>
  <si>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</si>
  <si>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</si>
  <si>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</si>
  <si>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</si>
  <si>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</si>
  <si>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</si>
  <si>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</si>
  <si>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</si>
  <si>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</si>
  <si>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</si>
  <si>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</si>
  <si>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</si>
  <si>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</si>
  <si>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</si>
  <si>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</si>
  <si>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</si>
  <si>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</si>
  <si>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</si>
  <si>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</si>
  <si>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</si>
  <si>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</si>
  <si>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</si>
  <si>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</si>
  <si>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</si>
  <si>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</si>
  <si>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</si>
  <si>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</si>
  <si>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</si>
  <si>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</si>
  <si>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</si>
  <si>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</si>
  <si>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</si>
  <si>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</si>
  <si>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</si>
  <si>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</si>
  <si>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</si>
  <si>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</si>
  <si>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</si>
  <si>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</si>
  <si>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</si>
  <si>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</si>
  <si>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</si>
  <si>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</si>
  <si>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</si>
  <si>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</si>
  <si>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</si>
  <si>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</si>
  <si>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</si>
  <si>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</si>
  <si>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</si>
  <si>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</si>
  <si>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</si>
  <si>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</si>
  <si>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</si>
  <si>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</si>
  <si>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</si>
  <si>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</si>
  <si>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</si>
  <si>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</si>
  <si>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</si>
  <si>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</si>
  <si>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</si>
  <si>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</si>
  <si>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</si>
  <si>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</si>
  <si>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</si>
  <si>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</si>
  <si>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</si>
  <si>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</si>
  <si>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</si>
  <si>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</si>
  <si>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</si>
  <si>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</si>
  <si>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</si>
  <si>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</si>
  <si>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</si>
  <si>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</si>
  <si>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</si>
  <si>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</si>
  <si>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</si>
  <si>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</si>
  <si>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</si>
  <si>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</si>
  <si>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</si>
  <si>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</si>
  <si>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</si>
  <si>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</si>
  <si>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</si>
  <si>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</si>
  <si>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</si>
  <si>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</si>
  <si>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</si>
  <si>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</si>
  <si>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</si>
  <si>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</si>
  <si>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</si>
  <si>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</si>
  <si>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</si>
  <si>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</si>
  <si>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</si>
  <si>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</si>
  <si>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</si>
  <si>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</si>
  <si>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</si>
  <si>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</si>
  <si>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</si>
  <si>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</si>
  <si>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</si>
  <si>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</si>
  <si>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</si>
  <si>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</si>
  <si>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</si>
  <si>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</si>
  <si>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</si>
  <si>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</si>
  <si>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</si>
  <si>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</si>
  <si>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</si>
  <si>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</si>
  <si>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</si>
  <si>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</si>
  <si>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</si>
  <si>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</si>
  <si>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</si>
  <si>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</si>
  <si>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</si>
  <si>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</si>
  <si>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</si>
  <si>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</si>
  <si>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</si>
  <si>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</si>
  <si>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</si>
  <si>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</si>
  <si>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</si>
  <si>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</si>
  <si>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</si>
  <si>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</si>
  <si>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</si>
  <si>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</si>
  <si>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</si>
  <si>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</si>
  <si>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</si>
  <si>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</si>
  <si>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</si>
  <si>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</si>
  <si>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</si>
  <si>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</si>
  <si>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</si>
  <si>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</si>
  <si>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</si>
  <si>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</si>
  <si>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</si>
  <si>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</si>
  <si>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</si>
  <si>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</si>
  <si>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</si>
  <si>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</si>
  <si>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</si>
  <si>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</si>
  <si>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</si>
  <si>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</si>
  <si>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</si>
  <si>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</si>
  <si>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</si>
  <si>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</si>
  <si>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</si>
  <si>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</si>
  <si>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</si>
  <si>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</si>
  <si>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</si>
  <si>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</si>
  <si>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</si>
  <si>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</si>
  <si>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</si>
  <si>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</si>
  <si>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</si>
  <si>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</si>
  <si>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</si>
  <si>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</si>
  <si>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</si>
  <si>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</si>
  <si>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</si>
  <si>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</si>
  <si>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</si>
  <si>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</si>
  <si>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</si>
  <si>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</si>
  <si>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</si>
  <si>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</si>
  <si>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</si>
  <si>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</si>
  <si>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</si>
  <si>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</si>
  <si>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</si>
  <si>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</si>
  <si>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</si>
  <si>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</si>
  <si>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</si>
  <si>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</si>
  <si>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</si>
  <si>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</si>
  <si>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</si>
  <si>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</si>
  <si>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</si>
  <si>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</si>
  <si>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</si>
  <si>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</si>
  <si>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</si>
  <si>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</si>
  <si>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</si>
  <si>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</si>
  <si>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</si>
  <si>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</si>
  <si>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</si>
  <si>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</si>
  <si>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</si>
  <si>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</si>
  <si>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</si>
  <si>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</si>
  <si>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</si>
  <si>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</si>
  <si>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</si>
  <si>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</si>
  <si>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</si>
  <si>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</si>
  <si>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</si>
  <si>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</si>
  <si>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</si>
  <si>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</si>
  <si>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</si>
  <si>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</si>
  <si>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</si>
  <si>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</si>
  <si>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</si>
  <si>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</si>
  <si>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</si>
  <si>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</si>
  <si>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</si>
  <si>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</si>
  <si>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</si>
  <si>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</si>
  <si>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</si>
  <si>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</si>
  <si>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</si>
  <si>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</si>
  <si>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</si>
  <si>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</si>
  <si>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</si>
  <si>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</si>
  <si>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</si>
  <si>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</si>
  <si>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</si>
  <si>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</si>
  <si>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</si>
  <si>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</si>
  <si>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</si>
  <si>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</si>
  <si>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</si>
  <si>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</si>
  <si>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</si>
  <si>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</si>
  <si>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</si>
  <si>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</si>
  <si>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</si>
  <si>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</si>
  <si>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</si>
  <si>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</si>
  <si>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</si>
  <si>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</si>
  <si>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</si>
  <si>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</si>
  <si>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</si>
  <si>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</si>
  <si>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</si>
  <si>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</si>
  <si>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</si>
  <si>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</si>
  <si>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</si>
  <si>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</si>
  <si>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</si>
  <si>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</si>
  <si>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</si>
  <si>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</si>
  <si>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</si>
  <si>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</si>
  <si>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</si>
  <si>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</si>
  <si>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</si>
  <si>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</si>
  <si>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</si>
  <si>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</si>
  <si>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</si>
  <si>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</si>
  <si>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</si>
  <si>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</si>
  <si>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</si>
  <si>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</si>
  <si>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</si>
  <si>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</si>
  <si>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</si>
  <si>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</si>
  <si>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</si>
  <si>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</si>
  <si>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</si>
  <si>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</si>
  <si>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</si>
  <si>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</si>
  <si>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</si>
  <si>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</si>
  <si>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</si>
  <si>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</si>
  <si>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</si>
  <si>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</si>
  <si>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</si>
  <si>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</si>
  <si>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</si>
  <si>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</si>
  <si>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</si>
  <si>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</si>
  <si>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</si>
  <si>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</si>
  <si>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</si>
  <si>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</si>
  <si>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</si>
  <si>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</si>
  <si>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</si>
  <si>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</si>
  <si>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</si>
  <si>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</si>
  <si>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</si>
  <si>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</si>
  <si>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</si>
  <si>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</si>
  <si>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</si>
  <si>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</si>
  <si>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</si>
  <si>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</si>
  <si>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</si>
  <si>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</si>
  <si>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</si>
  <si>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</si>
  <si>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</si>
  <si>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</si>
  <si>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</si>
  <si>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</si>
  <si>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</si>
  <si>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</si>
  <si>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</si>
  <si>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</si>
  <si>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</si>
  <si>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</si>
  <si>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</si>
  <si>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</si>
  <si>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</si>
  <si>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</si>
  <si>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</si>
  <si>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</si>
  <si>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</si>
  <si>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</si>
  <si>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</si>
  <si>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</si>
  <si>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</si>
  <si>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</si>
  <si>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</si>
  <si>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</si>
  <si>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</si>
  <si>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</si>
  <si>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</si>
  <si>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</si>
  <si>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</si>
  <si>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</si>
  <si>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</si>
  <si>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</si>
  <si>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</si>
  <si>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</si>
  <si>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</si>
  <si>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</si>
  <si>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</si>
  <si>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</si>
  <si>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</si>
  <si>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</si>
  <si>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</si>
  <si>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</si>
  <si>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</si>
  <si>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</si>
  <si>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</si>
  <si>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</si>
  <si>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</si>
  <si>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</si>
  <si>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</si>
  <si>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</si>
  <si>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</si>
  <si>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</si>
  <si>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</si>
  <si>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</si>
  <si>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</si>
  <si>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</si>
  <si>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</si>
  <si>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</si>
  <si>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</si>
  <si>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</si>
  <si>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</si>
  <si>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</si>
  <si>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</si>
  <si>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</si>
  <si>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</si>
  <si>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</si>
  <si>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</si>
  <si>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</si>
  <si>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</si>
  <si>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</si>
  <si>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</si>
  <si>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</si>
  <si>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</si>
  <si>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</si>
  <si>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</si>
  <si>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</si>
  <si>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</si>
  <si>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</si>
  <si>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</si>
  <si>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</si>
  <si>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</si>
  <si>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</si>
  <si>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</si>
  <si>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</si>
  <si>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</si>
  <si>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</si>
  <si>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</si>
  <si>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</si>
  <si>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</si>
  <si>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</si>
  <si>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</si>
  <si>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</si>
  <si>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</si>
  <si>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</si>
  <si>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</si>
  <si>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</si>
  <si>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</si>
  <si>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</si>
  <si>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</si>
  <si>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</si>
  <si>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</si>
  <si>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</si>
  <si>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</si>
  <si>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</si>
  <si>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</si>
  <si>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</si>
  <si>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</si>
  <si>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</si>
  <si>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</si>
  <si>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</si>
  <si>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</si>
  <si>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</si>
  <si>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</si>
  <si>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</si>
  <si>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</si>
  <si>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</si>
  <si>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</si>
  <si>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</si>
  <si>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</si>
  <si>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</si>
  <si>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</si>
  <si>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</si>
  <si>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</si>
  <si>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</si>
  <si>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</si>
  <si>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</si>
  <si>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</si>
  <si>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</si>
  <si>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</si>
  <si>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</si>
  <si>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</si>
  <si>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</si>
  <si>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</si>
  <si>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</si>
  <si>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</si>
  <si>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</si>
  <si>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</si>
  <si>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</si>
  <si>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</si>
  <si>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</si>
  <si>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</si>
  <si>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</si>
  <si>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</si>
  <si>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</si>
  <si>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</si>
  <si>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</si>
  <si>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</si>
  <si>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</si>
  <si>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</si>
  <si>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</si>
  <si>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</si>
  <si>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</si>
  <si>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</si>
  <si>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</si>
  <si>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</si>
  <si>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</si>
  <si>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</si>
  <si>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</si>
  <si>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</si>
  <si>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</si>
  <si>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</si>
  <si>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</si>
  <si>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</si>
  <si>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</si>
  <si>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</si>
  <si>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</si>
  <si>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</si>
  <si>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</si>
  <si>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</si>
  <si>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</si>
  <si>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</si>
  <si>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</si>
  <si>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</si>
  <si>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</si>
  <si>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</si>
  <si>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</si>
  <si>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</si>
  <si>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</si>
  <si>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</si>
  <si>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</si>
  <si>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</si>
  <si>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</si>
  <si>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</si>
  <si>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</si>
  <si>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</si>
  <si>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</si>
  <si>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</si>
  <si>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</si>
  <si>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</si>
  <si>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</si>
  <si>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</si>
  <si>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</si>
  <si>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</si>
  <si>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</si>
  <si>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</si>
  <si>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</si>
  <si>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</si>
  <si>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</si>
  <si>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</si>
  <si>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</si>
  <si>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</si>
  <si>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</si>
  <si>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</si>
  <si>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</si>
  <si>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</si>
  <si>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</si>
  <si>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</si>
  <si>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</si>
  <si>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</si>
  <si>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</si>
  <si>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</si>
  <si>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</si>
  <si>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</si>
  <si>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</si>
  <si>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</si>
  <si>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</si>
  <si>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</si>
  <si>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</si>
  <si>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</si>
  <si>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</si>
  <si>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</si>
  <si>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</si>
  <si>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</si>
  <si>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</si>
  <si>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</si>
  <si>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</si>
  <si>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</si>
  <si>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</si>
  <si>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</si>
  <si>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</si>
  <si>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</si>
  <si>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</si>
  <si>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</si>
  <si>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</si>
  <si>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</si>
  <si>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</si>
  <si>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</si>
  <si>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</si>
  <si>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</si>
  <si>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</si>
  <si>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</si>
  <si>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</si>
  <si>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</si>
  <si>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</si>
  <si>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</si>
  <si>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</si>
  <si>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</si>
  <si>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</si>
  <si>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</si>
  <si>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</si>
  <si>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</si>
  <si>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</si>
  <si>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</si>
  <si>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</si>
  <si>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</si>
  <si>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</si>
  <si>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</si>
  <si>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</si>
  <si>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</si>
  <si>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</si>
  <si>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</si>
  <si>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</si>
  <si>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</si>
  <si>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</si>
  <si>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</si>
  <si>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</si>
  <si>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</si>
  <si>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</si>
  <si>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</si>
  <si>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</si>
  <si>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</si>
  <si>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</si>
  <si>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</si>
  <si>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</si>
  <si>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</si>
  <si>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</si>
  <si>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</si>
  <si>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</si>
  <si>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</si>
  <si>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</si>
  <si>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</si>
  <si>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</si>
  <si>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</si>
  <si>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</si>
  <si>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</si>
  <si>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</si>
  <si>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</si>
  <si>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</si>
  <si>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</si>
  <si>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</si>
  <si>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</si>
  <si>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</si>
  <si>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</si>
  <si>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</si>
  <si>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</si>
  <si>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</si>
  <si>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</si>
  <si>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</si>
  <si>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</si>
  <si>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</si>
  <si>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</si>
  <si>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</si>
  <si>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</si>
  <si>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</si>
  <si>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</si>
  <si>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</si>
  <si>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</si>
  <si>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</si>
  <si>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</si>
  <si>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</si>
  <si>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</si>
  <si>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</si>
  <si>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</si>
  <si>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</si>
  <si>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</si>
  <si>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</si>
  <si>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</si>
  <si>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</si>
  <si>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</si>
  <si>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</si>
  <si>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</si>
  <si>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</si>
  <si>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</si>
  <si>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</si>
  <si>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</si>
  <si>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</si>
  <si>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</si>
  <si>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</si>
  <si>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</si>
  <si>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</si>
  <si>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</si>
  <si>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</si>
  <si>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</si>
  <si>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</si>
  <si>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</si>
  <si>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</si>
  <si>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</si>
  <si>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</si>
  <si>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</si>
  <si>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</si>
  <si>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</si>
  <si>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</si>
  <si>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</si>
  <si>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</si>
  <si>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</si>
  <si>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</si>
  <si>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</si>
  <si>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</si>
  <si>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</si>
  <si>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</si>
  <si>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</si>
  <si>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</si>
  <si>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</si>
  <si>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</si>
  <si>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</si>
  <si>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</si>
  <si>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</si>
  <si>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</si>
  <si>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</si>
  <si>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</si>
  <si>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</si>
  <si>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</si>
  <si>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</si>
  <si>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</si>
  <si>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</si>
  <si>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</si>
  <si>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</si>
  <si>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</si>
  <si>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</si>
  <si>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</si>
  <si>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</si>
  <si>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</si>
  <si>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</si>
  <si>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</si>
  <si>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</si>
  <si>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</si>
  <si>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</si>
  <si>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</si>
  <si>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</si>
  <si>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</si>
  <si>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</si>
  <si>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</si>
  <si>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</si>
  <si>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</si>
  <si>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</si>
  <si>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</si>
  <si>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</si>
  <si>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</si>
  <si>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</si>
  <si>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</si>
  <si>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</si>
  <si>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</si>
  <si>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</si>
  <si>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</si>
  <si>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</si>
  <si>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</si>
  <si>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</si>
  <si>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</si>
  <si>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</si>
  <si>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</si>
  <si>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</si>
  <si>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</si>
  <si>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</si>
  <si>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</si>
  <si>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</si>
  <si>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</si>
  <si>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</si>
  <si>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</si>
  <si>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</si>
  <si>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</si>
  <si>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</si>
  <si>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</si>
  <si>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</si>
  <si>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</si>
  <si>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</si>
  <si>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</si>
  <si>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</si>
  <si>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</si>
  <si>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</si>
  <si>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</si>
  <si>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</si>
  <si>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</si>
  <si>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</si>
  <si>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</si>
  <si>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</si>
  <si>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</si>
  <si>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</si>
  <si>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</si>
  <si>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</si>
  <si>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</si>
  <si>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</si>
  <si>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</si>
  <si>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</si>
  <si>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</si>
  <si>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</si>
  <si>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</si>
  <si>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</si>
  <si>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</si>
  <si>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</si>
  <si>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</si>
  <si>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</si>
  <si>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</si>
  <si>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</si>
  <si>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</si>
  <si>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</si>
  <si>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</si>
  <si>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</si>
  <si>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</si>
  <si>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</si>
  <si>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</si>
  <si>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</si>
  <si>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</si>
  <si>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</si>
  <si>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</si>
  <si>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</si>
  <si>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</si>
  <si>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</si>
  <si>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</si>
  <si>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</si>
  <si>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</si>
  <si>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</si>
  <si>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</si>
  <si>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</si>
  <si>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</si>
  <si>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</si>
  <si>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</si>
  <si>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</si>
  <si>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</si>
  <si>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</si>
  <si>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</si>
  <si>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</si>
  <si>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</si>
  <si>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</si>
  <si>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</si>
  <si>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</si>
  <si>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</si>
  <si>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</si>
  <si>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</si>
  <si>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</si>
  <si>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</si>
  <si>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</si>
  <si>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</si>
  <si>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</si>
  <si>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</si>
  <si>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</si>
  <si>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</si>
  <si>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</si>
  <si>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</si>
  <si>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</si>
  <si>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</si>
  <si>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</si>
  <si>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</si>
  <si>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</si>
  <si>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</si>
  <si>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</si>
  <si>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</si>
  <si>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</si>
  <si>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</si>
  <si>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</si>
  <si>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</si>
  <si>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</si>
  <si>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</si>
  <si>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</si>
  <si>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</si>
  <si>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</si>
  <si>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</si>
  <si>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</si>
  <si>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</si>
  <si>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</si>
  <si>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</si>
  <si>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</si>
  <si>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</si>
  <si>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</si>
  <si>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</si>
  <si>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</si>
  <si>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</si>
  <si>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</si>
  <si>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</si>
  <si>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</si>
  <si>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</si>
  <si>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</si>
  <si>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</si>
  <si>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</si>
  <si>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</si>
  <si>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</si>
  <si>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</si>
  <si>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</si>
  <si>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</si>
  <si>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</si>
  <si>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</si>
  <si>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</si>
  <si>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</si>
  <si>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</si>
  <si>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</si>
  <si>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</si>
  <si>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</si>
  <si>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</si>
  <si>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</si>
  <si>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</si>
  <si>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</si>
  <si>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</si>
  <si>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</si>
  <si>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</si>
  <si>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</si>
  <si>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</si>
  <si>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</si>
  <si>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</si>
  <si>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</si>
  <si>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</si>
  <si>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</si>
  <si>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</si>
  <si>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</si>
  <si>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</si>
  <si>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</si>
  <si>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</si>
  <si>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</si>
  <si>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</si>
  <si>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</si>
  <si>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</si>
  <si>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</si>
  <si>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</si>
  <si>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</si>
  <si>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</si>
  <si>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</si>
  <si>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</si>
  <si>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</si>
  <si>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</si>
  <si>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</si>
  <si>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</si>
  <si>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</si>
  <si>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</si>
  <si>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</si>
  <si>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</si>
  <si>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</si>
  <si>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</si>
  <si>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</si>
  <si>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</si>
  <si>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</si>
  <si>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</si>
  <si>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</si>
  <si>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</si>
  <si>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</si>
  <si>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</si>
  <si>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</si>
  <si>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</si>
  <si>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</si>
  <si>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</si>
  <si>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</si>
  <si>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</si>
  <si>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</si>
  <si>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</si>
  <si>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</si>
  <si>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</si>
  <si>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</si>
  <si>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</si>
  <si>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</si>
  <si>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</si>
  <si>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</si>
  <si>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</si>
  <si>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</si>
  <si>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</si>
  <si>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</si>
  <si>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</si>
  <si>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</si>
  <si>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</si>
  <si>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</si>
  <si>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</si>
  <si>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</si>
  <si>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</si>
  <si>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</si>
  <si>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</si>
  <si>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</si>
  <si>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</si>
  <si>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</si>
  <si>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</si>
  <si>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</si>
  <si>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</si>
  <si>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</si>
  <si>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</si>
  <si>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</si>
  <si>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</si>
  <si>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</si>
  <si>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</si>
  <si>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</si>
  <si>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</si>
  <si>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</si>
  <si>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</si>
  <si>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</si>
  <si>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</si>
  <si>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</si>
  <si>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</si>
  <si>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</si>
  <si>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</si>
  <si>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</si>
  <si>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</si>
  <si>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</si>
  <si>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</si>
  <si>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</si>
  <si>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</si>
  <si>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</si>
  <si>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</si>
  <si>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</si>
  <si>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</si>
  <si>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</si>
  <si>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</si>
  <si>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</si>
  <si>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</si>
  <si>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</si>
  <si>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</si>
  <si>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</si>
  <si>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</si>
  <si>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</si>
  <si>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</si>
  <si>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</si>
  <si>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</si>
  <si>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</si>
  <si>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</si>
  <si>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</si>
  <si>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</si>
  <si>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</si>
  <si>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</si>
  <si>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</si>
  <si>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</si>
  <si>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</si>
  <si>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</si>
  <si>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</si>
  <si>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</si>
  <si>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</si>
  <si>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</si>
  <si>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</si>
  <si>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</si>
  <si>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</si>
  <si>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</si>
  <si>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</si>
  <si>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</si>
  <si>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</si>
  <si>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</si>
  <si>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</si>
  <si>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</si>
  <si>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</si>
  <si>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</si>
  <si>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</si>
  <si>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</si>
  <si>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</si>
  <si>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</si>
  <si>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</si>
  <si>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</si>
  <si>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</si>
  <si>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</si>
  <si>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</si>
  <si>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</si>
  <si>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</si>
  <si>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</si>
  <si>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</si>
  <si>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</si>
  <si>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</si>
  <si>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</si>
  <si>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</si>
  <si>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</si>
  <si>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</si>
  <si>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</si>
  <si>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</si>
  <si>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</si>
  <si>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</si>
  <si>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</si>
  <si>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</si>
  <si>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</si>
  <si>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</si>
  <si>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</si>
  <si>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</si>
  <si>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</si>
  <si>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</si>
  <si>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</si>
  <si>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</si>
  <si>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</si>
  <si>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</si>
  <si>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</si>
  <si>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</si>
  <si>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</si>
  <si>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</si>
  <si>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</si>
  <si>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</si>
  <si>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</si>
  <si>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</si>
  <si>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</si>
  <si>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</si>
  <si>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</si>
  <si>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</si>
  <si>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</si>
  <si>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</si>
  <si>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</si>
  <si>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</si>
  <si>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</si>
  <si>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</si>
  <si>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</si>
  <si>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</si>
  <si>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</si>
  <si>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</si>
  <si>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</si>
  <si>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</si>
  <si>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</si>
  <si>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</si>
  <si>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</si>
  <si>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</si>
  <si>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</si>
  <si>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</si>
  <si>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</si>
  <si>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</si>
  <si>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</si>
  <si>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</si>
  <si>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</si>
  <si>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</si>
  <si>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</si>
  <si>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</si>
  <si>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</si>
  <si>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</si>
  <si>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</si>
  <si>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</si>
  <si>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</si>
  <si>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</si>
  <si>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</si>
  <si>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</si>
  <si>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</si>
  <si>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</si>
  <si>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</si>
  <si>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</si>
  <si>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</si>
  <si>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</si>
  <si>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</si>
  <si>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</si>
  <si>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</si>
  <si>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</si>
  <si>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</si>
  <si>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</si>
  <si>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</si>
  <si>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</si>
  <si>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</si>
  <si>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</si>
  <si>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</si>
  <si>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</si>
  <si>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</si>
  <si>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</si>
  <si>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</si>
  <si>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</si>
  <si>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</si>
  <si>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</si>
  <si>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</si>
  <si>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</si>
  <si>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</si>
  <si>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</si>
  <si>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</si>
  <si>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</si>
  <si>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</si>
  <si>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</si>
  <si>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</si>
  <si>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</si>
  <si>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</si>
  <si>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</si>
  <si>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</si>
  <si>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</si>
  <si>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</si>
  <si>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</si>
  <si>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</si>
  <si>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</si>
  <si>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</si>
  <si>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</si>
  <si>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</si>
  <si>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</si>
  <si>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</si>
  <si>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</si>
  <si>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</si>
  <si>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</si>
  <si>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</si>
  <si>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</si>
  <si>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</si>
  <si>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</si>
  <si>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</si>
  <si>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</si>
  <si>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</si>
  <si>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</si>
  <si>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</si>
  <si>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</si>
  <si>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</si>
  <si>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</si>
  <si>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</si>
  <si>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</si>
  <si>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</si>
  <si>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</si>
  <si>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</si>
  <si>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</si>
  <si>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</si>
  <si>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</si>
  <si>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</si>
  <si>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</si>
  <si>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</si>
  <si>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</si>
  <si>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</si>
  <si>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</si>
  <si>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</si>
  <si>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</si>
  <si>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</si>
  <si>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</si>
  <si>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</si>
  <si>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</si>
  <si>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</si>
  <si>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</si>
  <si>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</si>
  <si>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</si>
  <si>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</si>
  <si>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</si>
  <si>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</si>
  <si>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</si>
  <si>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</si>
  <si>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</si>
  <si>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</si>
  <si>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</si>
  <si>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</si>
  <si>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</si>
  <si>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</si>
  <si>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</si>
  <si>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</si>
  <si>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</si>
  <si>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</si>
  <si>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</si>
  <si>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</si>
  <si>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</si>
  <si>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</si>
  <si>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</si>
  <si>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</si>
  <si>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</si>
  <si>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</si>
  <si>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</si>
  <si>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</si>
  <si>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</si>
  <si>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</si>
  <si>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</si>
  <si>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</si>
  <si>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</si>
  <si>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</si>
  <si>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</si>
  <si>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</si>
  <si>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</si>
  <si>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</si>
  <si>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</si>
  <si>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</si>
  <si>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</si>
  <si>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</si>
  <si>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</si>
  <si>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</si>
  <si>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</si>
  <si>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</si>
  <si>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</si>
  <si>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</si>
  <si>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</si>
  <si>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</si>
  <si>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</si>
  <si>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</si>
  <si>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</si>
  <si>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</si>
  <si>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</si>
  <si>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</si>
  <si>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</si>
  <si>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</si>
  <si>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</si>
  <si>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</si>
  <si>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</si>
  <si>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</si>
  <si>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</si>
  <si>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</si>
  <si>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</si>
  <si>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</si>
  <si>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</si>
  <si>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</si>
  <si>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</si>
  <si>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</si>
  <si>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</si>
  <si>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</si>
  <si>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</si>
  <si>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</si>
  <si>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</si>
  <si>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</si>
  <si>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</si>
  <si>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</si>
  <si>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</si>
  <si>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</si>
  <si>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</si>
  <si>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</si>
  <si>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</si>
  <si>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</si>
  <si>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</si>
  <si>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</si>
  <si>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</si>
  <si>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</si>
  <si>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</si>
  <si>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</si>
  <si>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</si>
  <si>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</si>
  <si>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</si>
  <si>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</si>
  <si>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</si>
  <si>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</si>
  <si>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</si>
  <si>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</si>
  <si>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</si>
  <si>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</si>
  <si>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</si>
  <si>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</si>
  <si>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</si>
  <si>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</si>
  <si>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</si>
  <si>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</si>
  <si>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</si>
  <si>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</si>
  <si>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</si>
  <si>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</si>
  <si>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</si>
  <si>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</si>
  <si>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</si>
  <si>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</si>
  <si>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</si>
  <si>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</si>
  <si>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</si>
  <si>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</si>
  <si>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</si>
  <si>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</si>
  <si>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</si>
  <si>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</si>
  <si>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</si>
  <si>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</si>
  <si>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</si>
  <si>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</si>
  <si>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</si>
  <si>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</si>
  <si>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</si>
  <si>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</si>
  <si>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</si>
  <si>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</si>
  <si>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</si>
  <si>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</si>
  <si>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</si>
  <si>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</si>
  <si>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</si>
  <si>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</si>
  <si>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</si>
  <si>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</si>
  <si>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</si>
  <si>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</si>
  <si>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</si>
  <si>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</si>
  <si>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</si>
  <si>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</si>
  <si>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</si>
  <si>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</si>
  <si>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</si>
  <si>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</si>
  <si>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</si>
  <si>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</si>
  <si>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</si>
  <si>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</si>
  <si>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</si>
  <si>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</si>
  <si>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</si>
  <si>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</si>
  <si>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</si>
  <si>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</si>
  <si>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</si>
  <si>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</si>
  <si>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</si>
  <si>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</si>
  <si>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</si>
  <si>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</si>
  <si>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</si>
  <si>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</si>
  <si>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</si>
  <si>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</si>
  <si>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</si>
  <si>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</si>
  <si>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</si>
  <si>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</si>
  <si>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</si>
  <si>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</si>
  <si>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</si>
  <si>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</si>
  <si>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</si>
  <si>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</si>
  <si>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</si>
  <si>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</si>
  <si>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</si>
  <si>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</si>
  <si>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</si>
  <si>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</si>
  <si>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</si>
  <si>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</si>
  <si>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</si>
  <si>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</si>
  <si>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</si>
  <si>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</si>
  <si>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</si>
  <si>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</si>
  <si>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</si>
  <si>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</si>
  <si>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</si>
  <si>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</si>
  <si>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</si>
  <si>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</si>
  <si>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</si>
  <si>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</si>
  <si>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</si>
  <si>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</si>
  <si>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</si>
  <si>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</si>
  <si>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</si>
  <si>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</si>
  <si>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</si>
  <si>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</si>
  <si>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</si>
  <si>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</si>
  <si>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</si>
  <si>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</si>
  <si>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</si>
  <si>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</si>
  <si>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</si>
  <si>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</si>
  <si>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</si>
  <si>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</si>
  <si>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</si>
  <si>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</si>
  <si>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</si>
  <si>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</si>
  <si>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</si>
  <si>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</si>
  <si>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</si>
  <si>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</si>
  <si>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</si>
  <si>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</si>
  <si>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</si>
  <si>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</si>
  <si>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</si>
  <si>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</si>
  <si>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</si>
  <si>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</si>
  <si>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</si>
  <si>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</si>
  <si>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</si>
  <si>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</si>
  <si>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</si>
  <si>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</si>
  <si>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</si>
  <si>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</si>
  <si>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</si>
  <si>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</si>
  <si>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</si>
  <si>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</si>
  <si>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</si>
  <si>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</si>
  <si>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</si>
  <si>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</si>
  <si>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</si>
  <si>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</si>
  <si>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</si>
  <si>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</si>
  <si>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</si>
  <si>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</si>
  <si>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</si>
  <si>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</si>
  <si>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</si>
  <si>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</si>
  <si>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</si>
  <si>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</si>
  <si>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</si>
  <si>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</si>
  <si>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</si>
  <si>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</si>
  <si>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</si>
  <si>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</si>
  <si>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</si>
  <si>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</si>
  <si>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</si>
  <si>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</si>
  <si>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</si>
  <si>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</si>
  <si>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</si>
  <si>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</si>
  <si>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</si>
  <si>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</si>
  <si>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</si>
  <si>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</si>
  <si>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</si>
  <si>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</si>
  <si>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</si>
  <si>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</si>
  <si>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</si>
  <si>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</si>
  <si>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</si>
  <si>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</si>
  <si>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</si>
  <si>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</si>
  <si>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</si>
  <si>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</si>
  <si>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</si>
  <si>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</si>
  <si>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</si>
  <si>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</si>
  <si>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</si>
  <si>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</si>
  <si>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</si>
  <si>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</si>
  <si>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</si>
  <si>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</si>
  <si>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</si>
  <si>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</si>
  <si>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</si>
  <si>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</si>
  <si>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</si>
  <si>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</si>
  <si>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</si>
  <si>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</si>
  <si>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</si>
  <si>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</si>
  <si>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</si>
  <si>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</si>
  <si>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</si>
  <si>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</si>
  <si>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</si>
  <si>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</si>
  <si>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</si>
  <si>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</si>
  <si>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</si>
  <si>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</si>
  <si>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</si>
  <si>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</si>
  <si>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</si>
  <si>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</si>
  <si>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</si>
  <si>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</si>
  <si>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</si>
  <si>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</si>
  <si>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</si>
  <si>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</si>
  <si>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</si>
  <si>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</si>
  <si>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</si>
  <si>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</si>
  <si>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</si>
  <si>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</si>
  <si>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</si>
  <si>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</si>
  <si>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</si>
  <si>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</si>
  <si>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</si>
  <si>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</si>
  <si>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</si>
  <si>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</si>
  <si>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</si>
  <si>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</si>
  <si>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</si>
  <si>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</si>
  <si>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</si>
  <si>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</si>
  <si>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</si>
  <si>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</si>
  <si>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</si>
  <si>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</si>
  <si>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</si>
  <si>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</si>
  <si>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</si>
  <si>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</si>
  <si>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</si>
  <si>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</si>
  <si>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</si>
  <si>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</si>
  <si>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</si>
  <si>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</si>
  <si>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</si>
  <si>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</si>
  <si>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</si>
  <si>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</si>
  <si>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</si>
  <si>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</si>
  <si>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</si>
  <si>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</si>
  <si>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</si>
  <si>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</si>
  <si>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</si>
  <si>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</si>
  <si>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</si>
  <si>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</si>
  <si>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</si>
  <si>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</si>
  <si>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</si>
  <si>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</si>
  <si>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</si>
  <si>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</si>
  <si>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</si>
  <si>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</si>
  <si>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</si>
  <si>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</si>
  <si>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</si>
  <si>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</si>
  <si>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</si>
  <si>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</si>
  <si>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</si>
  <si>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</si>
  <si>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</si>
  <si>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</si>
  <si>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</si>
  <si>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</si>
  <si>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</si>
  <si>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</si>
  <si>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</si>
  <si>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</si>
  <si>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</si>
  <si>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</si>
  <si>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</si>
  <si>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</si>
  <si>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</si>
  <si>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</si>
  <si>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</si>
  <si>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</si>
  <si>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</si>
  <si>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</si>
  <si>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</si>
  <si>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</si>
  <si>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</si>
  <si>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</si>
  <si>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</si>
  <si>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</si>
  <si>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</si>
  <si>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</si>
  <si>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</si>
  <si>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</si>
  <si>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</si>
  <si>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</si>
  <si>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</si>
  <si>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</si>
  <si>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</si>
  <si>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</si>
  <si>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</si>
  <si>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</si>
  <si>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</si>
  <si>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</si>
  <si>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</si>
  <si>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</si>
  <si>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</si>
  <si>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</si>
  <si>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</si>
  <si>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</si>
  <si>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</si>
  <si>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</si>
  <si>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</si>
  <si>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</si>
  <si>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</si>
  <si>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</si>
  <si>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</si>
  <si>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</si>
  <si>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</si>
  <si>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</si>
  <si>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</si>
  <si>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</si>
  <si>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</si>
  <si>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</si>
  <si>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</si>
  <si>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</si>
  <si>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</si>
  <si>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</si>
  <si>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</si>
  <si>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</si>
  <si>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</si>
  <si>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</si>
  <si>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</si>
  <si>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</si>
  <si>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</si>
  <si>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</si>
  <si>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</si>
  <si>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</si>
  <si>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</si>
  <si>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</si>
  <si>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</si>
  <si>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</si>
  <si>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</si>
  <si>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</si>
  <si>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</si>
  <si>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</si>
  <si>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</si>
  <si>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</si>
  <si>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</si>
  <si>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</si>
  <si>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</si>
  <si>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</si>
  <si>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</si>
  <si>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</si>
  <si>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</si>
  <si>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</si>
  <si>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</si>
  <si>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</si>
  <si>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</si>
  <si>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</si>
  <si>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</si>
  <si>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</si>
  <si>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</si>
  <si>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</si>
  <si>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</si>
  <si>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</si>
  <si>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</si>
  <si>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</si>
  <si>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</si>
  <si>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</si>
  <si>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</si>
  <si>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</si>
  <si>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</si>
  <si>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</si>
  <si>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</si>
  <si>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</si>
  <si>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</si>
  <si>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</si>
  <si>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</si>
  <si>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</si>
  <si>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</si>
  <si>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</si>
  <si>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</si>
  <si>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</si>
  <si>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</si>
  <si>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</si>
  <si>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</si>
  <si>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</si>
  <si>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</si>
  <si>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</si>
  <si>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</si>
  <si>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</si>
  <si>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</si>
  <si>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</si>
  <si>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</si>
  <si>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</si>
  <si>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</si>
  <si>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</si>
  <si>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</si>
  <si>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</si>
  <si>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</si>
  <si>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</si>
  <si>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</si>
  <si>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</si>
  <si>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</si>
  <si>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</si>
  <si>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</si>
  <si>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</si>
  <si>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</si>
  <si>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</si>
  <si>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</si>
  <si>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</si>
  <si>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</si>
  <si>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</si>
  <si>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</si>
  <si>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</si>
  <si>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</si>
  <si>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</si>
  <si>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</si>
  <si>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</si>
  <si>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</si>
  <si>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</si>
  <si>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</si>
  <si>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</si>
  <si>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</si>
  <si>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</si>
  <si>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</si>
  <si>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</si>
  <si>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</si>
  <si>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</si>
  <si>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</si>
  <si>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</si>
  <si>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</si>
  <si>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</si>
  <si>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</si>
  <si>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</si>
  <si>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</si>
  <si>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</si>
  <si>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</si>
  <si>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</si>
  <si>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</si>
  <si>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</si>
  <si>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</si>
  <si>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</si>
  <si>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</si>
  <si>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</si>
  <si>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</si>
  <si>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</si>
  <si>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</si>
  <si>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</si>
  <si>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</si>
  <si>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</si>
  <si>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</si>
  <si>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</si>
  <si>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</si>
  <si>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</si>
  <si>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</si>
  <si>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</si>
  <si>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</si>
  <si>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</si>
  <si>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</si>
  <si>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</si>
  <si>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</si>
  <si>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</si>
  <si>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</si>
  <si>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</si>
  <si>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</si>
  <si>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</si>
  <si>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</si>
  <si>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</si>
  <si>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</si>
  <si>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</si>
  <si>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</si>
  <si>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</si>
  <si>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</si>
  <si>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</si>
  <si>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</si>
  <si>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</si>
  <si>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</si>
  <si>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</si>
  <si>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</si>
  <si>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</si>
  <si>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</si>
  <si>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</si>
  <si>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</si>
  <si>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</si>
  <si>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</si>
  <si>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</si>
  <si>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</si>
  <si>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</si>
  <si>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</si>
  <si>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</si>
  <si>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</si>
  <si>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</si>
  <si>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</si>
  <si>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</si>
  <si>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</si>
  <si>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</si>
  <si>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</si>
  <si>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</si>
  <si>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</si>
  <si>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</si>
  <si>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</si>
  <si>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</si>
  <si>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</si>
  <si>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</si>
  <si>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</si>
  <si>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</si>
  <si>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</si>
  <si>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</si>
  <si>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</si>
  <si>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</si>
  <si>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</si>
  <si>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</si>
  <si>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</si>
  <si>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</si>
  <si>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</si>
  <si>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</si>
  <si>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</si>
  <si>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</si>
  <si>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</si>
  <si>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</si>
  <si>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</si>
  <si>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</si>
  <si>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</si>
  <si>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</si>
  <si>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</si>
  <si>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</si>
  <si>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</si>
  <si>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</si>
  <si>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</si>
  <si>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</si>
  <si>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</si>
  <si>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</si>
  <si>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</si>
  <si>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</si>
  <si>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</si>
  <si>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</si>
  <si>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</si>
  <si>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</si>
  <si>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</si>
  <si>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</si>
  <si>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</si>
  <si>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</si>
  <si>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</si>
  <si>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</si>
  <si>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</si>
  <si>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</si>
  <si>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</si>
  <si>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</si>
  <si>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</si>
  <si>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</si>
  <si>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</si>
  <si>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</si>
  <si>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</si>
  <si>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</si>
  <si>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</si>
  <si>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</si>
  <si>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</si>
  <si>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</si>
  <si>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</si>
  <si>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</si>
  <si>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</si>
  <si>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</si>
  <si>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</si>
  <si>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</si>
  <si>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</si>
  <si>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</si>
  <si>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</si>
  <si>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</si>
  <si>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</si>
  <si>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</si>
  <si>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</si>
  <si>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</si>
  <si>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</si>
  <si>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</si>
  <si>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</si>
  <si>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</si>
  <si>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</si>
  <si>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</si>
  <si>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</si>
  <si>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</si>
  <si>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</si>
  <si>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</si>
  <si>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</si>
  <si>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</si>
  <si>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</si>
  <si>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</si>
  <si>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</si>
  <si>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</si>
  <si>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</si>
  <si>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</si>
  <si>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</si>
  <si>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</si>
  <si>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</si>
  <si>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</si>
  <si>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</si>
  <si>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</si>
  <si>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</si>
  <si>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</si>
  <si>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</si>
  <si>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</si>
  <si>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</si>
  <si>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</si>
  <si>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</si>
  <si>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</si>
  <si>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</si>
  <si>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</si>
  <si>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</si>
  <si>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</si>
  <si>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</si>
  <si>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</si>
  <si>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</si>
  <si>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</si>
  <si>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</si>
  <si>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</si>
  <si>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</si>
  <si>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</si>
  <si>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</si>
  <si>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</si>
  <si>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</si>
  <si>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</si>
  <si>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</si>
  <si>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</si>
  <si>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</si>
  <si>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</si>
  <si>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</si>
  <si>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</si>
  <si>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</si>
  <si>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</si>
  <si>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</si>
  <si>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</si>
  <si>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</si>
  <si>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</si>
  <si>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</si>
  <si>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</si>
  <si>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</si>
  <si>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</si>
  <si>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</si>
  <si>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</si>
  <si>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</si>
  <si>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</si>
  <si>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</si>
  <si>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</si>
  <si>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</si>
  <si>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</si>
  <si>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</si>
  <si>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</si>
  <si>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</si>
  <si>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</si>
  <si>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</si>
  <si>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</si>
  <si>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</si>
  <si>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</si>
  <si>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</si>
  <si>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</si>
  <si>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</si>
  <si>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</si>
  <si>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</si>
  <si>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</si>
  <si>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</si>
  <si>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</si>
  <si>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</si>
  <si>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</si>
  <si>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</si>
  <si>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</si>
  <si>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</si>
  <si>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</si>
  <si>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</si>
  <si>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</si>
  <si>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</si>
  <si>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</si>
  <si>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</si>
  <si>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</si>
  <si>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</si>
  <si>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</si>
  <si>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</si>
  <si>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</si>
  <si>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</si>
  <si>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</si>
  <si>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</si>
  <si>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</si>
  <si>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</si>
  <si>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</si>
  <si>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</si>
  <si>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</si>
  <si>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</si>
  <si>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</si>
  <si>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</si>
  <si>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</si>
  <si>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</si>
  <si>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</si>
  <si>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</si>
  <si>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</si>
  <si>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</si>
  <si>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</si>
  <si>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</si>
  <si>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</si>
  <si>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</si>
  <si>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</si>
  <si>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</si>
  <si>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TSO001117561</t>
  </si>
  <si>
    <t>TSO001117565</t>
  </si>
  <si>
    <t>TSO001117590</t>
  </si>
  <si>
    <t>TSO001117607</t>
  </si>
  <si>
    <t>TSO001117609</t>
  </si>
  <si>
    <t>TSO001117610</t>
  </si>
  <si>
    <t>ООО КСК ТРЕЙД ЮТс-04297-26 05.09.2026 Крым 16049кг (Амелин)</t>
  </si>
  <si>
    <t>ООО ЛП Тс190177-26 05.09.2026 Малахутин 5001кг (Добыш)</t>
  </si>
  <si>
    <t>ООО ЛП Тс190192-26 05.09.2026 Коныгин 5548кг (Добыш)</t>
  </si>
  <si>
    <t>ООО ЛП Тс190199-26 05.09.2026 Обрыньба 2079кг (Добыш)</t>
  </si>
  <si>
    <t>ООО ЛП Тс190202-26 05.09.2026 Пушкарный(ВВ) 2635кг (Добыш)</t>
  </si>
  <si>
    <t>ООО КСК ТРЕЙД Тс190678-26 07.09.2026 Крым 16669кг (Журавлев)</t>
  </si>
  <si>
    <t>ООО КСК ТРЕЙД Тс190231-26 05.09.2026 Крым 16926кг (Исаков)</t>
  </si>
  <si>
    <t>ООО КСК ТРЕЙД Тс191532-26 05.09.2026 Крым(2) 767кг (Исаков)</t>
  </si>
  <si>
    <t>ООО КСК ТРЕЙД Тс190214-26 06.09.2026 Крым 14921кг (Ислюков)</t>
  </si>
  <si>
    <t>ООО КСК ТРЕЙД Тс190225-26 06.09.2026 Николаенко 2102кг (Ислюков)</t>
  </si>
  <si>
    <t>ООО КСК ТРЕЙД Тс191721-26 06.09.2026 Крым(2) 524кг (Ислюков)</t>
  </si>
  <si>
    <t>ООО ЛП Тс190184-26 04.09.2026 Пушкарный 17501кг (Латий)</t>
  </si>
  <si>
    <t>10,09,26</t>
  </si>
  <si>
    <t>TSO001117832</t>
  </si>
  <si>
    <t>TSO001117838</t>
  </si>
  <si>
    <t>ООО НВ Тс189843-26 06.09.2026 Донецк 15774кг (Астапкин)</t>
  </si>
  <si>
    <t>ООО НВ Тс189853-26 06.09.2026 Бутырин 775кг (Астапкин)</t>
  </si>
  <si>
    <t>ООО НВ Тс191784-26 06.09.2026 Донецк(2) 1218кг (Астапкин)</t>
  </si>
  <si>
    <t>ООО НВ Тс191464-26 05.09.2026 Луганск(2) 1836кг (Решетников)</t>
  </si>
  <si>
    <t>TSO001118037</t>
  </si>
  <si>
    <t>TSO001118038</t>
  </si>
  <si>
    <t>TSO001118478</t>
  </si>
  <si>
    <t>TSO001118566</t>
  </si>
  <si>
    <t>ООО НВ Тс189021-26 05.09.2026 Луганск 6769кг (Решетников)</t>
  </si>
  <si>
    <t>ООО НВ Тс188990-26 05.09.2026 Горняк-Луганск 8526кг (Решетников)</t>
  </si>
  <si>
    <t>ООО ЛП Тс192159-26 07.09.2026 Пенза 16793кг (Абдрахимов)</t>
  </si>
  <si>
    <t>ООО ЛП ЮТс-04330-26 07.09.2026 Вояж 2026кг (Жабкин)</t>
  </si>
  <si>
    <t>ООО НВ Тс191198-26 07.09.2026 Горняк-Луганск 9752кг (Жабкин)</t>
  </si>
  <si>
    <t>ООО НВ Тс191187-26 07.09.2026 Луганск 1257кг (Жабкин)</t>
  </si>
  <si>
    <t>TSO001118701</t>
  </si>
  <si>
    <t>TSO001118703</t>
  </si>
  <si>
    <t>№1 / завод не собрал</t>
  </si>
  <si>
    <t>TSO001118761</t>
  </si>
  <si>
    <t>09,09,26</t>
  </si>
  <si>
    <t>TSO001118926</t>
  </si>
  <si>
    <t>TSO001118927</t>
  </si>
  <si>
    <t>TSO001118908</t>
  </si>
  <si>
    <t>TSO001118941</t>
  </si>
  <si>
    <t>TSO001118942</t>
  </si>
  <si>
    <t>TSO001118943</t>
  </si>
  <si>
    <t>TSO001118946</t>
  </si>
  <si>
    <t>ООО КСК ТРЕЙД Тс191352-26 08.09.2026 Крым 12798кг (Мазур)</t>
  </si>
  <si>
    <t>ООО КСК ТРЕЙД Тс191798-26 08.09.2026 Крым(2) 2554кг (Мазур)</t>
  </si>
  <si>
    <t>ООО КСК ТРЕЙД Тс193728-26 08.09.2026 Крым(3) 2343кг (Мазур)</t>
  </si>
  <si>
    <t>ООО КСК ТРЕЙД Тс191353-26 08.09.2026 Крым 14902кг (Митин)</t>
  </si>
  <si>
    <t>ООО КСК ТРЕЙД Тс193726-26 08.09.2026 Крым(2) 2722кг (Митин)</t>
  </si>
  <si>
    <t>ООО КСК ТРЕЙД Тс191000-26 08.09.2026 Крым 15416кг (Ожех)</t>
  </si>
  <si>
    <t>ООО КСК ТРЕЙД Тс193731-26 08.09.2026 Крым(3) 435кг (Ожех)</t>
  </si>
  <si>
    <t>ООО КСК ТРЕЙД Тс191799-26 08.09.2026 Крым(2) 1721кг (Ожех)</t>
  </si>
  <si>
    <t>ООО КСК ТРЕЙД Тс191354-26 08.09.2026 Крым 14715кг (Чиндин)</t>
  </si>
  <si>
    <t>ООО КСК ТРЕЙД Тс193729-26 08.09.2026 Крым(2) 2347кг (Чиндин)</t>
  </si>
  <si>
    <t>ООО КСК ТРЕЙД Тс193733-26 08.09.2026 Крым(3) 522кг (Чиндин)</t>
  </si>
  <si>
    <t>11,09,26</t>
  </si>
  <si>
    <t>TSO001119509</t>
  </si>
  <si>
    <t>TSO001119559</t>
  </si>
  <si>
    <t>12,09,26</t>
  </si>
  <si>
    <t>TSO001119728</t>
  </si>
  <si>
    <t>TSO001119723</t>
  </si>
  <si>
    <t>TSO001119753</t>
  </si>
  <si>
    <t>TSO001119761</t>
  </si>
  <si>
    <t>TSO001119763</t>
  </si>
  <si>
    <t>ООО НВ Тс191340-26 08.09.2026 Донецк 15475кг (Голубев)</t>
  </si>
  <si>
    <t>ООО НВ Тс193546-26 08.09.2026 Донецк(2) 1718кг (Голубев)</t>
  </si>
  <si>
    <t>ООО НВ Тс190976-26 08.09.2026 Мелитополь 6331кг (Лапшин)</t>
  </si>
  <si>
    <t>ООО НВ Тс191329-26 08.09.2026 Бердянск 7877кг (Лапшин)</t>
  </si>
  <si>
    <t>ООО НВ Тс192373-26 08.09.2026 Бердянск(2) 869кг (Лапшин)</t>
  </si>
  <si>
    <t>ООО НВ Тс192374-26 08.09.2026 Мелитополь(2) 792кг (Лапшин)</t>
  </si>
  <si>
    <t>ООО НВ Тс191351-26 09.09.2026 Луганск 16512кг (Некрасов)</t>
  </si>
  <si>
    <t>ООО НВ Тс193545-26 09.09.2026 Луганск(2) 831кг (Некрасов)</t>
  </si>
  <si>
    <t>ООО НВ Тс191338-26 09.09.2026 Донецк 12076кг (Бакалюк)</t>
  </si>
  <si>
    <t>ООО НВ Тс191337-26 08.09.2026 Горняк-Донецк 8689кг (Чирков)</t>
  </si>
  <si>
    <t>TSO001120055</t>
  </si>
  <si>
    <t>TSO001120193</t>
  </si>
  <si>
    <t>(ВВ) дефицит</t>
  </si>
  <si>
    <t>13,09,26</t>
  </si>
  <si>
    <t>TSO001120227</t>
  </si>
  <si>
    <t>TSO001120252</t>
  </si>
  <si>
    <t>TSO001120255</t>
  </si>
  <si>
    <t>TSO001120256</t>
  </si>
  <si>
    <t>TSO001120258</t>
  </si>
  <si>
    <t>TSO001120259</t>
  </si>
  <si>
    <t>TSO001120261</t>
  </si>
  <si>
    <t>TSO001120260</t>
  </si>
  <si>
    <t>TSO001120280</t>
  </si>
  <si>
    <t>TSO001120281</t>
  </si>
  <si>
    <t>TSO001120282</t>
  </si>
  <si>
    <t>TSO001120283</t>
  </si>
  <si>
    <t>TSO001120284</t>
  </si>
  <si>
    <t>TSO001120285</t>
  </si>
  <si>
    <t>TSO001120273</t>
  </si>
  <si>
    <t>TSO001120274</t>
  </si>
  <si>
    <t>TSO001120275</t>
  </si>
  <si>
    <t>TSO001120276</t>
  </si>
  <si>
    <t>TSO001120277</t>
  </si>
  <si>
    <t>TSO001120278</t>
  </si>
  <si>
    <t>TSO001120279</t>
  </si>
  <si>
    <t>ООО ЛП ЮТс-04329-26 10.09.2026 ПРС 10739кг (Добыш)</t>
  </si>
  <si>
    <t>ООО ЛП Тс193742-26 10.09.2026 Пушкарный 17273кг (Ковальчук)</t>
  </si>
  <si>
    <t>ООО ЛП Тс192701-26 10.09.2026 Бычков 2137кг (Монаков)</t>
  </si>
  <si>
    <t>ООО ЛП Тс192708-26 10.09.2026 Бычков(2) 8223кг (Монаков)</t>
  </si>
  <si>
    <t>забрать СЫРЫ Останкино для Донецка</t>
  </si>
  <si>
    <t>14,09,26</t>
  </si>
  <si>
    <t>15,09,26</t>
  </si>
  <si>
    <t>TSO001120838</t>
  </si>
  <si>
    <t>TSO001120857</t>
  </si>
  <si>
    <t>ПОКОМ КИ - 10 паллет; Ост. КИиЗПФ - 18 паллет; Ост. СЫРЫ - 4 паллета. +ждем заказ от Химича под ОПТа</t>
  </si>
  <si>
    <t>КИ - 31 паллет + СЫРЫ (в Краснодаре)</t>
  </si>
  <si>
    <t>TSO001120974</t>
  </si>
  <si>
    <t>TSO001120994</t>
  </si>
  <si>
    <t>TSO001120998</t>
  </si>
  <si>
    <t>TSO001121001</t>
  </si>
  <si>
    <t>TSO001121002</t>
  </si>
  <si>
    <t>TSO001121133</t>
  </si>
  <si>
    <t>TSO001121150</t>
  </si>
  <si>
    <t>TSO001121152</t>
  </si>
  <si>
    <t>TSO001121144</t>
  </si>
  <si>
    <t>TSO001121064</t>
  </si>
  <si>
    <t>TSO001121068</t>
  </si>
  <si>
    <t>TSO001121071</t>
  </si>
  <si>
    <t>TSO001121075</t>
  </si>
  <si>
    <t>TSO001121118</t>
  </si>
  <si>
    <t>TSO001121124</t>
  </si>
  <si>
    <t>TSO001121195</t>
  </si>
  <si>
    <t>TSO001121204</t>
  </si>
  <si>
    <t>TSO001121205</t>
  </si>
  <si>
    <t>TSO001121206</t>
  </si>
  <si>
    <t>ООО КСК ТРЕЙД Тс197296-26 12.09.2026 Крым(4) 718кг (Журавлев)</t>
  </si>
  <si>
    <t>ООО КСК ТРЕЙД Тс197211-26 12.09.2026 Крым 16177кг (Журавлев)</t>
  </si>
  <si>
    <t>ООО КСК ТРЕЙД Тс197209-26 12.09.2026 Крым(3) 324кг (Журавлев)</t>
  </si>
  <si>
    <t>ООО КСК ТРЕЙД Тс197208-26 12.09.2026 Крым(2) 245кг (Журавлев)</t>
  </si>
  <si>
    <t>ООО КСК ТРЕЙД Тс197206-26 11.09.2026 Крым 14717кг (Кульпин)</t>
  </si>
  <si>
    <t>ООО КСК ТРЕЙД Тс197210-26 11.09.2026 Крым(2) 1869кг (Кульпин)</t>
  </si>
  <si>
    <t>ООО КСК ТРЕЙД Тс197205-26 11.09.2026 Крым(3) 675кг (Кульпин)</t>
  </si>
  <si>
    <t>ООО ЛП Тс197033-26 11.09.2026 Пенза 17952кг (Латий)</t>
  </si>
  <si>
    <t>ООО ЛП Тс193744-26 11.09.2026 Пушкарный 17438кг (Ступак)</t>
  </si>
  <si>
    <t>TSO001121233</t>
  </si>
  <si>
    <t>TSO001121238</t>
  </si>
  <si>
    <t>TSO001121236</t>
  </si>
  <si>
    <t>TSO001121237</t>
  </si>
  <si>
    <t>ООО КСК ТРЕЙД Тс196514-26 13.09.2026 Крым 15423кг (Казанцев)</t>
  </si>
  <si>
    <t>ООО ЛП Тс195774-26 13.09.2026 Кочевой 12143кг (Карслян)</t>
  </si>
  <si>
    <t>ООО ЛП Тс195833-26 13.09.2026 ПРС 1443кг (Карслян)</t>
  </si>
  <si>
    <t>ООО ЛП Тс195900-26 13.09.2026 Кочевой(2) 3997кг (Карслян)</t>
  </si>
  <si>
    <t>ООО ЛП Тс195902-26 13.09.2026 НПК 504кг (Карслян)</t>
  </si>
  <si>
    <t>ООО КСК ТРЕЙД Тс197215-26 13.09.2026 Крым 16991кг (Котельников)</t>
  </si>
  <si>
    <t>ООО КСК ТРЕЙД Тс197520-26 13.09.2026 Крым(2) 511кг (Котельников)</t>
  </si>
  <si>
    <t>ООО ЛП Тс197557-26 13.09.2026 Пушкарный 17578кг (Пыдык)</t>
  </si>
  <si>
    <t>ООО ЛП Тс195775-26 13.09.2026 Малахутин 3946кг (Фокин)</t>
  </si>
  <si>
    <t>ООО ЛП Тс195776-26 13.09.2026 Малахутин(2) 13902кг (Фокин)</t>
  </si>
  <si>
    <t>ООО КСК ТРЕЙД ЮТс-04407-26 12.09.2026 Крым 15326кг (Митин)</t>
  </si>
  <si>
    <t>Архипова</t>
  </si>
  <si>
    <t>16,09,26</t>
  </si>
  <si>
    <t>TSO001121408</t>
  </si>
  <si>
    <t>TSO001121409</t>
  </si>
  <si>
    <t>TSO001121620</t>
  </si>
  <si>
    <t>ООО НВ Тс195771-26 12.09.2026 Донецк 16681кг (Шадриков)</t>
  </si>
  <si>
    <t>ООО НВ Тс197433-26 12.09.2026 Донецк(2) 797кг (Шадриков)</t>
  </si>
  <si>
    <t>TSO001121670</t>
  </si>
  <si>
    <t>TSO001121681</t>
  </si>
  <si>
    <t>TSO001121682</t>
  </si>
  <si>
    <t>TSO001121699</t>
  </si>
  <si>
    <t>TSO001122106</t>
  </si>
  <si>
    <t>TSO001122172</t>
  </si>
  <si>
    <t>TSO001122173</t>
  </si>
  <si>
    <t>TSO001122174</t>
  </si>
  <si>
    <t>ООО НВ Тс195772-26 12.09.2026 Луганск 17049кг (Заратуйченко)</t>
  </si>
  <si>
    <t>ООО НВ Тс197435-26 12.09.2026 Луганск(2) 808кг (Заратуйченко)</t>
  </si>
  <si>
    <t>ООО ЛП Тс195773-26 14.09.2026 Обрыньба 3803кг (Мазур)</t>
  </si>
  <si>
    <t>ООО ЛП Тс195791-26 14.09.2026 Коныгин 3846кг (Мазур)</t>
  </si>
  <si>
    <t>ООО ЛП Тс195804-26 14.09.2026 НПК 8054кг (Мазур)</t>
  </si>
  <si>
    <t>ООО ЛП Тс195903-26 14.09.2026 Пушкарный 1619кг (Мазур)</t>
  </si>
  <si>
    <t>ООО КСК ТРЕЙД Тс198799-26 15.09.2026 Крым(2) 1410кг (Сарва)</t>
  </si>
  <si>
    <t>ООО КСК ТРЕЙД Тс199024-26 15.09.2026 Крым 16179кг (Сарва)</t>
  </si>
  <si>
    <t>TSO001122278</t>
  </si>
  <si>
    <t>ООО НВ Тс198965-26 15.09.2026 Мелитополь 16887кг (Ислюков)</t>
  </si>
  <si>
    <t>ООО НВ Тс198964-26 14.09.2026 Мелитополь(3) 673кг (Ислюков)</t>
  </si>
  <si>
    <t>ООО НВ Тс196916-26 15.09.2026 Мелитополь(2) 205кг (Ислюков)</t>
  </si>
  <si>
    <t>TSO001122312</t>
  </si>
  <si>
    <t>TSO001122314</t>
  </si>
  <si>
    <t>TSO001122316</t>
  </si>
  <si>
    <t>17,09,26</t>
  </si>
  <si>
    <t>TSO001122459</t>
  </si>
  <si>
    <t>TSO001122487</t>
  </si>
  <si>
    <t>ООО КСК ТРЕЙД Тс199049-26 15.09.2026 Крым(2) 14776кг (Аббасов)</t>
  </si>
  <si>
    <t>ООО КСК ТРЕЙД Тс198800-26 15.09.2026 Крым 2219кг (Аббасов)</t>
  </si>
  <si>
    <t>ООО КСК ТРЕЙД ЮТс-04456-26 15.09.2026 Крым 15627кг (Добыш)</t>
  </si>
  <si>
    <t>ООО КСК ТРЕЙД Тс198853-26 15.09.2026 Крым 15150кг (Ерохов)</t>
  </si>
  <si>
    <t>ООО КСК ТРЕЙД Тс199859-26 15.09.2026 Крым(3) 1712кг (Ерохов)</t>
  </si>
  <si>
    <t>ООО КСК ТРЕЙД Тс199857-26 15.09.2026 Крым(2) 761кг (Ерохов)</t>
  </si>
  <si>
    <t>ООО КСК ТРЕЙД Тс197411-26 15.09.2026 Вердиева 1868кг (Карпухин)</t>
  </si>
  <si>
    <t>ООО КСК ТРЕЙД Тс197595-26 15.09.2026 Вердиева(2) 3194кг (Карпухин)</t>
  </si>
  <si>
    <t>ООО КСК ТРЕЙД Тс198802-26 15.09.2026 Крым 3945кг (Карпухин)</t>
  </si>
  <si>
    <t>ООО КСК ТРЕЙД Тс198991-26 15.09.2026 Крым(2) 8505кг (Карпухин)</t>
  </si>
  <si>
    <t>ООО КСК ТРЕЙД Тс197223-26 15.09.2026 Николаенко 1974кг (Некрасов)</t>
  </si>
  <si>
    <t>ООО КСК ТРЕЙД Тс198801-26 15.09.2026 Крым 2138кг (Некрасов)</t>
  </si>
  <si>
    <t>ООО КСК ТРЕЙД Тс199001-26 15.09.2026 Крым(2) 11743кг (Некрасов)</t>
  </si>
  <si>
    <t>ООО КСК ТРЕЙД Тс199858-26 15.09.2026 Крым(3) 1646кг (Некрасов)</t>
  </si>
  <si>
    <t>18,09,26</t>
  </si>
  <si>
    <t>TSO001123003</t>
  </si>
  <si>
    <t>19,09,26</t>
  </si>
  <si>
    <t>TSO001123026</t>
  </si>
  <si>
    <t>TSO001123074</t>
  </si>
  <si>
    <t>Колесник</t>
  </si>
  <si>
    <t>TSO001123126</t>
  </si>
  <si>
    <t>TSO001123132</t>
  </si>
  <si>
    <t>TSO001123136</t>
  </si>
  <si>
    <t>TSO001123137</t>
  </si>
  <si>
    <t>TSO001123138</t>
  </si>
  <si>
    <t>TSO001123141</t>
  </si>
  <si>
    <t>ООО НВ Тс198966-26 15.09.2026 Луганск 16618кг (Голубев)</t>
  </si>
  <si>
    <t>ООО НВ Тс199862-26 15.09.2026 Луганск(2) 1116кг (Голубев)</t>
  </si>
  <si>
    <t>ООО НВ ЮТс-04457-26 15.09.2026 Луганск 13638кг (Жабкин)</t>
  </si>
  <si>
    <t>ООО НВ Тс199861-26 15.09.2026 Донецк 16967кг (Рева)</t>
  </si>
  <si>
    <t>ООО НВ Тс199863-26 15.09.2026 Донецк(2) 599кг (Рева)</t>
  </si>
  <si>
    <t>ООО НВ Тс195889-26 15.09.2026 Горняк-Горловка 870кг (Решетников)</t>
  </si>
  <si>
    <t>ООО НВ Тс198967-26 15.09.2026 Горняк-Луганск 6645кг (Решетников)</t>
  </si>
  <si>
    <t>ООО НВ Тс195901-26 15.09.2026 Луганск 9043кг (Решетников)</t>
  </si>
  <si>
    <t>ООО НВ Тс199865-26 15.09.2026 Луганск(2) 811кг (Решетников)</t>
  </si>
  <si>
    <t>ООО НВ Тс195821-26 15.09.2026 Донецк 15628кг (Чирков)</t>
  </si>
  <si>
    <t>ООО НВ Тс199864-26 15.09.2026 Донецк(2) 601кг (Чирков)</t>
  </si>
  <si>
    <t>ООО НВ Тс199866-26 15.09.2026 Донецк(3) 1201кг (Чирков)</t>
  </si>
  <si>
    <t>ООО НВ Тс200475-26 16.09.2026 Мелитополь 5500кг (Жунсалиев)</t>
  </si>
  <si>
    <t>ООО ЛП Тс199014-26 16.09.2026 Архипова 4009кг (Жунсалиев)</t>
  </si>
  <si>
    <t>ООО ЛП Тс198998-26 16.09.2026 Архипова(2) 1916кг (Жунсалиев)</t>
  </si>
  <si>
    <t>ООО НВ Тс195801-26 16.09.2026 Бердянск 17158кг (Семенов)</t>
  </si>
  <si>
    <t>ООО НВ Тс198963-26 16.09.2026 Бердянск(2) 508кг (Семенов)</t>
  </si>
  <si>
    <t>TSO001123432</t>
  </si>
  <si>
    <t>20,09,26</t>
  </si>
  <si>
    <t>TSO001123554</t>
  </si>
  <si>
    <t>TSO001123565</t>
  </si>
  <si>
    <t>TSO001123542</t>
  </si>
  <si>
    <t>TSO001123541</t>
  </si>
  <si>
    <t>TSO001123570</t>
  </si>
  <si>
    <t>TSO001123571</t>
  </si>
  <si>
    <t>TSO001123566</t>
  </si>
  <si>
    <t>TSO001123574</t>
  </si>
  <si>
    <t>TSO001123572</t>
  </si>
  <si>
    <t>TSO001123575</t>
  </si>
  <si>
    <t>TSO001123577</t>
  </si>
  <si>
    <t>TSO001123594</t>
  </si>
  <si>
    <t>TSO001123595</t>
  </si>
  <si>
    <t>TSO001123598</t>
  </si>
  <si>
    <t>TSO001123599</t>
  </si>
  <si>
    <t>TSO001123600</t>
  </si>
  <si>
    <t>TSO001123805</t>
  </si>
  <si>
    <t>ООО НВ Тс200678-26 17.09.2026 Луганск 16221кг (Бакалюк)</t>
  </si>
  <si>
    <t>ООО НВ Тс201396-26 17.09.2026 Луганск(2) 1005кг (Бакалюк)</t>
  </si>
  <si>
    <t>ООО НВ Тс197117-26 17.09.2026 Мелитополь 3746кг (Коновалов)</t>
  </si>
  <si>
    <t>ООО НВ ЮТс-04498-26 17.09.2026 Бердянск 10851кг (Коновалов)</t>
  </si>
  <si>
    <t>ООО ЛП Тс199924-26 17.09.2026 Пушкарный 14843кг (Хинько)</t>
  </si>
  <si>
    <t>TSO001123888</t>
  </si>
  <si>
    <t>TSO001124036</t>
  </si>
  <si>
    <t>21,09,26</t>
  </si>
  <si>
    <t>КИ - 23 паллета + СЫРЫ + Мясной Выбор</t>
  </si>
  <si>
    <t>22,09,26</t>
  </si>
  <si>
    <t>TSO001124070</t>
  </si>
  <si>
    <t>TSO001124184</t>
  </si>
  <si>
    <t>TSO001124197</t>
  </si>
  <si>
    <t>TSO001124204</t>
  </si>
  <si>
    <t>TSO001124208</t>
  </si>
  <si>
    <t>Убийконь</t>
  </si>
  <si>
    <t>ООО НВ Тс201393-26 18.09.2026 Бердянск 7925кг (Киселев)</t>
  </si>
  <si>
    <t>ООО НВ Тс201394-26 18.09.2026 Мелитополь 7576кг (Киселев)</t>
  </si>
  <si>
    <t>ООО НВ Тс201395-26 18.09.2026 Бердянск(2) 1510кг (Киселев)</t>
  </si>
  <si>
    <t>ООО НВ Тс201978-26 18.09.2026 Мелитополь(2) 717кг (Киселев)</t>
  </si>
  <si>
    <t>TSO001124264</t>
  </si>
  <si>
    <t>TSO001124307</t>
  </si>
  <si>
    <t>TSO001124281</t>
  </si>
  <si>
    <t>доставка на 22-23,09</t>
  </si>
  <si>
    <t>TSO001124283</t>
  </si>
  <si>
    <t>TSO001124326</t>
  </si>
  <si>
    <t>ООО КСК ТРЕЙД Тс201616-26 18.09.2026 Крым 14646кг (Акшонин)</t>
  </si>
  <si>
    <t>ООО КСК ТРЕЙД Тс202087-26 18.09.2026 Крым(3) 1051кг (Акшонин)</t>
  </si>
  <si>
    <t>ООО КСК ТРЕЙД Тс201618-26 18.09.2026 Крым(2) 2267кг (Акшонин)</t>
  </si>
  <si>
    <t>TSO001124310</t>
  </si>
  <si>
    <t>TSO001124331</t>
  </si>
  <si>
    <t>TSO001124304</t>
  </si>
  <si>
    <t>TSO001124282</t>
  </si>
  <si>
    <t>TSO001124306</t>
  </si>
  <si>
    <t>TSO001124520</t>
  </si>
  <si>
    <t>TSO001124524</t>
  </si>
  <si>
    <t>TSO001124526</t>
  </si>
  <si>
    <t>TSO001124528</t>
  </si>
  <si>
    <t>TSO001124533</t>
  </si>
  <si>
    <t>TSO001124534</t>
  </si>
  <si>
    <t>TSO001124549</t>
  </si>
  <si>
    <t>TSO001124546</t>
  </si>
  <si>
    <t>TSO001124553</t>
  </si>
  <si>
    <t>ООО ЛП Тс201536-26 20.09.2026 НПК 505кг (Ковальчук)</t>
  </si>
  <si>
    <t>ООО ЛП Тс201526-26 19.09.2026 Пушкарный(ВВ) 628кг (Ковальчук)</t>
  </si>
  <si>
    <t>ООО ЛП Тс201550-26 20.09.2026 Пушкарный(ВВ)(2) 3346кг (Ковальчук)</t>
  </si>
  <si>
    <t>ООО ЛП Тс201565-26 20.09.2026 НПК(2) 7319кг (Ковальчук)</t>
  </si>
  <si>
    <t>ООО ЛП Тс201588-26 20.09.2026 Обрыньба 4457кг (Ковальчук)</t>
  </si>
  <si>
    <t>ООО ЛП Тс200584-26 20.09.2026 ПРС 806кг (Медведь)</t>
  </si>
  <si>
    <t>ООО КСК ТРЕЙД Тс201419-26 19.09.2026 Крым 14405кг (Самохвалов)</t>
  </si>
  <si>
    <t>ООО КСК ТРЕЙД Тс201614-26 19.09.2026 Крым 3982кг (Сарва)</t>
  </si>
  <si>
    <t>ООО КСК ТРЕЙД Тс202782-26 19.09.2026 Крым(3) 6001кг (Сарва)</t>
  </si>
  <si>
    <t>ООО КСК ТРЕЙД Тс202728-26 19.09.2026 Крым(2) 7080кг (Сарва)</t>
  </si>
  <si>
    <t>ООО КСК ТРЕЙД Тс201799-26 19.09.2026 Крым 15694кг (Ступак)</t>
  </si>
  <si>
    <t>ООО КСК ТРЕЙД Тс202731-26 19.09.2026 Крым(2) 1050кг (Ступак)</t>
  </si>
  <si>
    <t>ООО КСК ТРЕЙД Тс202783-26 19.09.2026 Крым(3) 705кг (Ступак)</t>
  </si>
  <si>
    <t>TSO001124665</t>
  </si>
  <si>
    <t>TSO001124670</t>
  </si>
  <si>
    <t>TSO001124671</t>
  </si>
  <si>
    <t>TSO001124687</t>
  </si>
  <si>
    <t>TSO001124689</t>
  </si>
  <si>
    <t>23,09,26</t>
  </si>
  <si>
    <t>TSO001124783</t>
  </si>
  <si>
    <t>TSO001124857</t>
  </si>
  <si>
    <t>TSO001124862</t>
  </si>
  <si>
    <t>TSO001124863</t>
  </si>
  <si>
    <t>TSO001124858</t>
  </si>
  <si>
    <t>TSO001125096</t>
  </si>
  <si>
    <t>ООО НВ Тс202646-26 20.09.2026 Луганск 15832кг (Бабенко)</t>
  </si>
  <si>
    <t>ООО НВ Тс202866-26 20.09.2026 Луганск(2) 1435кг (Бабенко)</t>
  </si>
  <si>
    <t>ООО НВ Тс197326-26 18.09.2026 Донецк 6440кг (Добыш)</t>
  </si>
  <si>
    <t>ООО НВ ЮТс-04497-26 18.09.2026 Горняк-Донецк 6372кг (Добыш)</t>
  </si>
  <si>
    <t>ООО КСК ТРЕЙД Тс202868-26 21.09.2026 Крым 14000кг (Евсеев)</t>
  </si>
  <si>
    <t>ООО КСК ТРЕЙД Тс203578-26 21.09.2026 Крым(2) 3445кг (Евсеев)</t>
  </si>
  <si>
    <t>ООО НВ Тс202644-26 20.09.2026 Бутырин 1909кг (Медведь)</t>
  </si>
  <si>
    <t>ООО НВ Тс202645-26 20.09.2026 Донецк 13492кг (Медведь)</t>
  </si>
  <si>
    <t>ООО НВ Тс202846-26 20.09.2026 Донецк(2) 611кг (Медведь)</t>
  </si>
  <si>
    <t>ООО НВ Тс202976-26 20.09.2026 Донецк(3) 901кг (Медведь)</t>
  </si>
  <si>
    <t>ООО КСК ТРЕЙД Тс201615-26 21.09.2026 Колесник 10071кг (Латий)</t>
  </si>
  <si>
    <t>ООО НВ Тс202410-26 20.09.2026 Луганск 13048кг (Решетников)</t>
  </si>
  <si>
    <t>ООО КСК ТРЕЙД Тс202584-26 21.09.2026 Крым 14013кг (Хинько)</t>
  </si>
  <si>
    <t>ООО КСК ТРЕЙД Тс202964-26 21.09.2026 Николаенко 1634кг (Хинько)</t>
  </si>
  <si>
    <t>ООО КСК ТРЕЙД Тс202978-26 21.09.2026 Крым(2) 2023кг (Хинько)</t>
  </si>
  <si>
    <t>ООО КСК ТРЕЙД Тс202336-26 21.09.2026 Крым 15191кг (Дмитриев)</t>
  </si>
  <si>
    <t>ООО НВ Тс202169-26 21.09.2026 Павленко 6198кг (Латий)</t>
  </si>
  <si>
    <t>МАРИУПОЛЬ</t>
  </si>
  <si>
    <t>МАРИУПОЛЬ (дозаказ)</t>
  </si>
  <si>
    <t>24,09,26</t>
  </si>
  <si>
    <t>TSO001125700</t>
  </si>
  <si>
    <t>TSO001125703</t>
  </si>
  <si>
    <t>TSO001124667</t>
  </si>
  <si>
    <t>ООО КСК ТРЕЙД Тс203580-26 22.09.2026 Крым 17836кг (Жуков)</t>
  </si>
  <si>
    <t>25,09,26</t>
  </si>
  <si>
    <t>TSO001126324</t>
  </si>
  <si>
    <t>TSO001126318</t>
  </si>
  <si>
    <t>TSO001126287</t>
  </si>
  <si>
    <t>TSO001126306</t>
  </si>
  <si>
    <t>26,09,26</t>
  </si>
  <si>
    <t>TSO001126399</t>
  </si>
  <si>
    <t>TSO001126409</t>
  </si>
  <si>
    <t>TSO001126456</t>
  </si>
  <si>
    <t>TSO001126469</t>
  </si>
  <si>
    <t>TSO001126457</t>
  </si>
  <si>
    <t>TSO001126458</t>
  </si>
  <si>
    <t>TSO001126470</t>
  </si>
  <si>
    <t>TSO001126491</t>
  </si>
  <si>
    <t>TSO001126471</t>
  </si>
  <si>
    <t>TSO001126497</t>
  </si>
  <si>
    <t>TSO001126498</t>
  </si>
  <si>
    <t>TSO001126499</t>
  </si>
  <si>
    <t>ООО КСК ТРЕЙД Тс203579-26 23.09.2026 Убийконь 16058кг (Амелин)</t>
  </si>
  <si>
    <t>ООО НВ Тс202670-26 22.09.2026 Горняк-Луганск 6954кг (Бакалюк)</t>
  </si>
  <si>
    <t>ООО НВ Тс202792-26 22.09.2026 Луганск 8414кг (Бакалюк)</t>
  </si>
  <si>
    <t>ООО НВ Тс204000-26 22.09.2026 Луганск(2) 2361кг (Бакалюк)</t>
  </si>
  <si>
    <t>ООО ЛП Тс206140-26 23.09.2026 Бычков 1863кг (Добыш)</t>
  </si>
  <si>
    <t>ООО ЛП Тс206148-26 23.09.2026 Бычков(2) 6531кг (Добыш)</t>
  </si>
  <si>
    <t>ООО ЛП Тс206142-26 23.09.2026 Бычков(3) 5475кг (Добыш)</t>
  </si>
  <si>
    <t>ООО ЛП Тс206143-26 23.09.2026 Пушкарный(ВВ) 3497кг (Добыш)</t>
  </si>
  <si>
    <t>ООО НВ ЮТс-04603-26 23.09.2026 Горняк-Луганск 11188кг (Жабкин)</t>
  </si>
  <si>
    <t>ООО НВ Тс202793-26 22.09.2026 Мелитополь 6945кг (Мазур)</t>
  </si>
  <si>
    <t>ООО НВ Тс202794-26 22.09.2026 Бердянск 7466кг (Мазур)</t>
  </si>
  <si>
    <t>ООО НВ Тс204001-26 22.09.2026 Бердянск(2) 1571кг (Мазур)</t>
  </si>
  <si>
    <t>ООО НВ Тс204002-26 22.09.2026 Мелитополь(2) 1597кг (Мазур)</t>
  </si>
  <si>
    <t>ООО НВ Тс206155-26 24.09.2026 Донецк 17105кг (Пыдык)</t>
  </si>
  <si>
    <t>ООО НВ ЮТс-04604-26 22.09.2026 Аист 6041кг (Рапопорт)</t>
  </si>
  <si>
    <t>ООО НВ Тс202432-26 22.09.2026 Бердянск 4833кг (Рапопорт)</t>
  </si>
  <si>
    <t>ООО НВ Тс202328-26 22.09.2026 Мелитополь 2437кг (Рапопорт)</t>
  </si>
  <si>
    <t>ООО НВ Тс202669-26 22.09.2026 Донецк 16259кг (Чирков)</t>
  </si>
  <si>
    <t>ООО НВ Тс203999-26 22.09.2026 Донецк(2) 1410кг (Чирков)</t>
  </si>
  <si>
    <t>TSO001126884</t>
  </si>
  <si>
    <t>ООО НВ ЮТс-04608-26 22.09.2026 Горняк-Донецк 9287кг (Голубев)</t>
  </si>
  <si>
    <t>ООО НВ ЮТс-04616-26 22.09.2026 Донецк 5099кг (Голубев)</t>
  </si>
  <si>
    <t>TSO001126957</t>
  </si>
  <si>
    <t>27,09,26</t>
  </si>
  <si>
    <t>TSO001127031</t>
  </si>
  <si>
    <t>TSO001127033</t>
  </si>
  <si>
    <t>TSO001127083</t>
  </si>
  <si>
    <t>TSO001127051</t>
  </si>
  <si>
    <t>TSO001127052</t>
  </si>
  <si>
    <t>TSO001127055</t>
  </si>
  <si>
    <t>TSO001127060</t>
  </si>
  <si>
    <t>ООО НВ Тс202795-26 24.09.2026 Мелитополь 5337кг (Ковальчук)</t>
  </si>
  <si>
    <t>ООО НВ Тс202836-26 24.09.2026 Бердянск 7253кг (Ковальчук)</t>
  </si>
  <si>
    <t>ООО НВ Тс205996-26 24.09.2026 Бердянск(2) 118кг (Ковальчук)</t>
  </si>
  <si>
    <t>ООО НВ Тс205998-26 24.09.2026 Бердянск(3) 1127кг (Ковальчук)</t>
  </si>
  <si>
    <t>ООО ЛП Тс206139-26 25.09.2026 Пушкарный 16675кг (Солод)</t>
  </si>
  <si>
    <t>TSO001127518</t>
  </si>
  <si>
    <t>все забираем 27,09,26</t>
  </si>
  <si>
    <t>28,09,26</t>
  </si>
  <si>
    <t>TSO001127588</t>
  </si>
  <si>
    <t>TSO001127833</t>
  </si>
  <si>
    <t>TSO001127630</t>
  </si>
  <si>
    <t>29,09,26</t>
  </si>
  <si>
    <t>КИ - 27 паллет + СЫРЫ</t>
  </si>
  <si>
    <t>TSO001127975</t>
  </si>
  <si>
    <t>TSO001128035</t>
  </si>
  <si>
    <t>TSO001127977</t>
  </si>
  <si>
    <t>TSO001128026</t>
  </si>
  <si>
    <t>TSO001127882</t>
  </si>
  <si>
    <t>TSO001127911</t>
  </si>
  <si>
    <t>TSO001127960</t>
  </si>
  <si>
    <t>TSO001127998</t>
  </si>
  <si>
    <t>TSO001128058</t>
  </si>
  <si>
    <t>TSO001128060</t>
  </si>
  <si>
    <t>TSO001128081</t>
  </si>
  <si>
    <t>TSO001128083</t>
  </si>
  <si>
    <t>TSO001128210</t>
  </si>
  <si>
    <t>TSO001128214</t>
  </si>
  <si>
    <t>TSO001128215</t>
  </si>
  <si>
    <t>TSO001128213</t>
  </si>
  <si>
    <t>TSO001128216</t>
  </si>
  <si>
    <t>TSO001128212</t>
  </si>
  <si>
    <t>TSO001128219</t>
  </si>
  <si>
    <t>TSO001128227</t>
  </si>
  <si>
    <t>TSO001128257</t>
  </si>
  <si>
    <t>ООО КСК ТРЕЙД Тс207723-26 26.09.2026 Крым 16174кг (Бутько)</t>
  </si>
  <si>
    <t>ООО КСК ТРЕЙД Тс207725-26 26.09.2026 Крым(2) 213кг (Бутько)</t>
  </si>
  <si>
    <t>ООО КСК ТРЕЙД Тс207727-26 26.09.2026 Крым(3) 316кг (Бутько)</t>
  </si>
  <si>
    <t>ООО КСК ТРЕЙД Тс208087-26 26.09.2026 Крым(4) 1302кг (Бутько)</t>
  </si>
  <si>
    <t>ООО ЛП Тс206144-26 26.09.2026 Пушкарный 17004кг (Грушецкий)</t>
  </si>
  <si>
    <t>ООО НВ Тс206916-26 26.09.2026 Луганск 16019кг (Евсеев)</t>
  </si>
  <si>
    <t>ООО НВ Тс208085-26 26.09.2026 Луганск(2) 963кг (Евсеев)</t>
  </si>
  <si>
    <t>ООО КСК ТРЕЙД Тс207986-26 26.09.2026 Крым 16778кг (Жуков)</t>
  </si>
  <si>
    <t>ООО КСК ТРЕЙД Тс208084-26 26.09.2026 Крым(2) 509кг (Жуков)</t>
  </si>
  <si>
    <t>ООО КСК ТРЕЙД Тс206540-26 28.09.2026 Крым 13975кг (Латий)</t>
  </si>
  <si>
    <t>ООО НВ Тс206926-26 26.09.2026 Донецк 14969кг (Медведь)</t>
  </si>
  <si>
    <t>ООО НВ Тс207059-26 26.09.2026 Донецк(2) 1908кг (Медведь)</t>
  </si>
  <si>
    <t>ООО КСК ТРЕЙД Тс207722-26 26.09.2026 Крым 13169кг (Петренко)</t>
  </si>
  <si>
    <t>ООО КСК ТРЕЙД Тс207728-26 26.09.2026 Крым(2) 2632кг (Петренко)</t>
  </si>
  <si>
    <t>ООО КСК ТРЕЙД Тс208088-26 26.09.2026 Крым(3) 822кг (Петренко)</t>
  </si>
  <si>
    <t>ООО КСК ТРЕЙД Тс207858-26 27.09.2026 Николаенко 2115кг (Ступак)</t>
  </si>
  <si>
    <t>ООО КСК ТРЕЙД Тс207870-26 27.09.2026 Крым 13154кг (Ступак)</t>
  </si>
  <si>
    <t>ООО КСК ТРЕЙД Тс208306-26 27.09.2026 Крым(2) 1786кг (Ступак)</t>
  </si>
  <si>
    <t>ООО КСК ТРЕЙД Тс208373-26 27.09.2026 Крым(3) 419кг (Ступак)</t>
  </si>
  <si>
    <t>TSO001128427</t>
  </si>
  <si>
    <t>TSO001128501</t>
  </si>
  <si>
    <t>ООО КСК ТРЕЙД Тс209087-26 28.09.2026 Крым 16308кг (Амелин)</t>
  </si>
  <si>
    <t>ООО КСК ТРЕЙД Тс209085-26 28.09.2026 Крым(2) 423кг (Амелин)</t>
  </si>
  <si>
    <t>ООО КСК ТРЕЙД Тс209086-26 28.09.2026 Крым(3) 825кг (Амелин)</t>
  </si>
  <si>
    <t>ООО НВ ЮТс-04727-26 28.09.2026 Донецк 12383кг (Голубев)</t>
  </si>
  <si>
    <t>ООО НВ ЮТс-04754-26 29.09.2026 Горняк-Донецк 11419кг (Ивасенко)</t>
  </si>
  <si>
    <t>ООО НВ Тс207772-26 29.09.2026 Донецк 1982кг (Ивасенко)</t>
  </si>
  <si>
    <t>ООО ЛП Тс208538-26 28.09.2026 Малахутин 17520кг (Митин)</t>
  </si>
  <si>
    <t>ООО КСК ТРЕЙД Тс207274-26 28.09.2026 Крым 14704кг (Сарва)</t>
  </si>
  <si>
    <t>ООО ЛП Тс208537-26 28.09.2026 Пушкарный 5601кг (Хлыстов)</t>
  </si>
  <si>
    <t>ООО ЛП Тс208540-26 28.09.2026 Обрыньба 2500кг (Хлыстов)</t>
  </si>
  <si>
    <t>ООО НВ Тс207918-26 28.09.2026 Луганск 8923кг (Хлыстов)</t>
  </si>
  <si>
    <t>ООО НВ Тс208711-26 28.09.2026 Луганск(2) 906кг (Хлыстов)</t>
  </si>
  <si>
    <t>ООО НВ Тс207913-26 28.09.2026 Донецк 17409кг (Чирков)</t>
  </si>
  <si>
    <t>TSO001129429</t>
  </si>
  <si>
    <t>TSO001129525</t>
  </si>
  <si>
    <t>TSO001129480</t>
  </si>
  <si>
    <t>TSO001129529</t>
  </si>
  <si>
    <t>01,10,26</t>
  </si>
  <si>
    <t>TSO001129558</t>
  </si>
  <si>
    <t>TSO001129896</t>
  </si>
  <si>
    <t>TSO001129818</t>
  </si>
  <si>
    <t>TSO001129850</t>
  </si>
  <si>
    <t>TSO001129866</t>
  </si>
  <si>
    <t>TSO001129901</t>
  </si>
  <si>
    <t>ООО НВ Тс209072-26 29.09.2026 Мелитополь 13283кг (Должков)</t>
  </si>
  <si>
    <t>ООО КСК ТРЕЙД Тс209435-26 29.09.2026 Крым 1235кг (Антонов)</t>
  </si>
  <si>
    <t>ООО ЛП Тс208660-26 29.09.2026 Вояж 2750кг (Жабкин)</t>
  </si>
  <si>
    <t>ООО НВ Тс207806-26 29.09.2026 Луганск 9550кг (Жабкин)</t>
  </si>
  <si>
    <t>ООО НВ Тс208174-26 29.09.2026 Горняк-Горловка 913кг (Решетников)</t>
  </si>
  <si>
    <t>ООО НВ Тс209074-26 29.09.2026 Горняяк-Луганск 7436кг (Решетников)</t>
  </si>
  <si>
    <t>ООО НВ Тс208938-26 29.09.2026 Луганск(2) 602кг (Решетников)</t>
  </si>
  <si>
    <t>ООО НВ Тс209044-26 29.09.2026 Луганск 8132кг (Решетников)</t>
  </si>
  <si>
    <t>ООО НВ Тс209932-26 29.09.2026 Луганск(3) 612кг (Решетников)</t>
  </si>
  <si>
    <t>ООО НВ Тс209060-26 29.09.2026 Мариуполь 3699кг (Должков)</t>
  </si>
  <si>
    <t>30,09,26</t>
  </si>
  <si>
    <t>02,10,26</t>
  </si>
  <si>
    <t>03,10,26</t>
  </si>
  <si>
    <t>TSO001130228</t>
  </si>
  <si>
    <t>TSO001130230</t>
  </si>
  <si>
    <t>TSO001130232</t>
  </si>
  <si>
    <t>TSO001130162</t>
  </si>
  <si>
    <t>TSO001130185</t>
  </si>
  <si>
    <t>TSO001130211</t>
  </si>
  <si>
    <t>TSO001130221</t>
  </si>
  <si>
    <t>TSO001130287</t>
  </si>
  <si>
    <t>TSO001130312</t>
  </si>
  <si>
    <t>TSO001130313</t>
  </si>
  <si>
    <t>TSO001130320</t>
  </si>
  <si>
    <t>TSO001130321</t>
  </si>
  <si>
    <t>TSO001130322</t>
  </si>
  <si>
    <t>ООО КСК ТРЕЙД Тс210276-26 30.09.2026 Крым 16633кг (Исаков)</t>
  </si>
  <si>
    <t>ООО КСК ТРЕЙД Тс208128-26 30.09.2026 Колесник 11643кг (Надеин)</t>
  </si>
  <si>
    <t>ООО НВ Тс210281-26 30.09.2026 Бердянск 4984кг (Надеин)</t>
  </si>
  <si>
    <t>ООО НВ Тс211094-26 30.09.2026 Бердянск(2) 604кг (Надеин)</t>
  </si>
  <si>
    <t>ООО НВ Тс211451-26 30.09.2026 Бердянск(3) 405кг (Надеин)</t>
  </si>
  <si>
    <t>ООО НВ Тс209931-26 29.09.2026 Мелитополь(2) 823кг (Должков)</t>
  </si>
  <si>
    <t>отгружен</t>
  </si>
  <si>
    <t>ООО ЛП Тс211443-26 01.10.2026 Пушкарный 8493кг (Латий)</t>
  </si>
  <si>
    <t>ООО КСК ТРЕЙД Тс210277-26 30.09.2026 Крым(2) 540кг (Исаков)</t>
  </si>
  <si>
    <t>ООО КСК ТРЕЙД Тс209088-26 29.09.2026 Крым 16019кг (Антонов)</t>
  </si>
  <si>
    <t>04,10,26</t>
  </si>
  <si>
    <t>TSO001130696</t>
  </si>
  <si>
    <t>TSO001130695</t>
  </si>
  <si>
    <t>TSO001130673</t>
  </si>
  <si>
    <t>TSO001130677</t>
  </si>
  <si>
    <t>TSO001130689</t>
  </si>
  <si>
    <t>TSO001130690</t>
  </si>
  <si>
    <t>TSO001130691</t>
  </si>
  <si>
    <t>TSO001130692</t>
  </si>
  <si>
    <t>TSO001130710</t>
  </si>
  <si>
    <t>ООО ЛП Тс211444-26 01.10.2026 Малахутин 3753кг (Бакалюк)</t>
  </si>
  <si>
    <t>ООО ЛП Тс211445-26 01.10.2026 ПРС 920кг (Бакалюк)</t>
  </si>
  <si>
    <t>ООО НВ Тс209073-26 01.10.2026 Бутырин 2220кг (Бакалюк)</t>
  </si>
  <si>
    <t>ООО НВ Тс211620-26 01.10.2026 Донецк 9911кг (Бакалюк)</t>
  </si>
  <si>
    <t>ООО НВ Тс211621-26 01.10.2026 Донецк(2) 811кг (Бакалюк)</t>
  </si>
  <si>
    <t>TSO001131113</t>
  </si>
  <si>
    <t>TSO001131133</t>
  </si>
  <si>
    <t>TSO001131134</t>
  </si>
  <si>
    <t>05,10,26</t>
  </si>
  <si>
    <t>КИ - 26 паллет + СЫРЫ</t>
  </si>
  <si>
    <t>06,10,26</t>
  </si>
  <si>
    <t>TSO001131359</t>
  </si>
  <si>
    <t>12 паллет - холодильники</t>
  </si>
  <si>
    <t>TSO001131383</t>
  </si>
  <si>
    <t>TSO001131376</t>
  </si>
  <si>
    <t>TSO001131415</t>
  </si>
  <si>
    <t>TSO001131430</t>
  </si>
  <si>
    <t>TSO001131414</t>
  </si>
  <si>
    <t>TSO001131413</t>
  </si>
  <si>
    <t>TSO001131436</t>
  </si>
  <si>
    <t>TSO001131423</t>
  </si>
  <si>
    <t>TSO001131281</t>
  </si>
  <si>
    <t>TSO001131293</t>
  </si>
  <si>
    <t>TSO001131428</t>
  </si>
  <si>
    <t>TSO001131438</t>
  </si>
  <si>
    <t>TSO001131392</t>
  </si>
  <si>
    <t>TSO001131446</t>
  </si>
  <si>
    <t>TSO001131495</t>
  </si>
  <si>
    <t>TSO001131566</t>
  </si>
  <si>
    <t>подписать - НА КРЫМ!!!</t>
  </si>
  <si>
    <t>повторно!!!</t>
  </si>
  <si>
    <t>ООО ЛП Тс211446-26 02.10.2026 Пушкарный 16659кг (Абдрахимов)</t>
  </si>
  <si>
    <t>ООО НВ ЮТс-04874-26 03.10.2026 Мелитополь 5615кг (Амелин)</t>
  </si>
  <si>
    <t>ООО НВ ЮТс-04875-26 03.10.2026 Бердянск 4639кг (Амелин)</t>
  </si>
  <si>
    <t>ООО НВ Тс211842-26 02.10.2026 Донецк 16216кг (Астапкин)</t>
  </si>
  <si>
    <t>ООО НВ Тс211843-26 02.10.2026 Донецк(2) 513кг (Астапкин)</t>
  </si>
  <si>
    <t>ООО ЛП Тс211868-26 05.10.2026 ПРС 1597кг (Галкин)</t>
  </si>
  <si>
    <t>ООО ЛП Тс211897-26 05.10.2026 НПК 4001кг (Галкин)</t>
  </si>
  <si>
    <t>ООО ЛП Тс211902-26 05.10.2026 Пушкарный(ВВ) 5568кг (Галкин)</t>
  </si>
  <si>
    <t>ООО ЛП Тс211903-26 05.10.2026 Обрыньба 6130кг (Галкин)</t>
  </si>
  <si>
    <t>ООО ЛП Тс213260-26 05.10.2026 Обрыньба(2) 20кг (Галкин)</t>
  </si>
  <si>
    <t>ООО ЛП Тс213261-26 05.10.2026 ПРС(2) 120кг (Галкин)</t>
  </si>
  <si>
    <t>ООО ЛП Тс213262-26 05.10.2026 Пушкарный(ВВ) 40кг (Галкин)</t>
  </si>
  <si>
    <t>ООО ЛП Тс213263-26 05.10.2026 НПК(2) 80кг (Галкин)</t>
  </si>
  <si>
    <t>ООО КСК ТРЕЙД Тс212939-26 04.10.2026 Крым 15777кг (Грушецкий)</t>
  </si>
  <si>
    <t>ООО КСК ТРЕЙД Тс212937-26 04.10.2026 Крым(2) 180кг (Грушецкий)</t>
  </si>
  <si>
    <t>ООО КСК ТРЕЙД Тс212938-26 04.10.2026 Крым(3) 541кг (Грушецкий)</t>
  </si>
  <si>
    <t>ООО КСК ТРЕЙД Тс213277-26 04.10.2026 Крым(4) 1184кг (Грушецкий)</t>
  </si>
  <si>
    <t>ООО НВ ЮТс-04815-26 02.10.2026 Павленко 11730кг (Должкову)</t>
  </si>
  <si>
    <t>ООО НВ Тс212102-26 03.10.2026 Бердянск 10789кг (Жуков)</t>
  </si>
  <si>
    <t>ООО НВ Тс212079-26 03.10.2026 Бердянск(2) 452кг (Жуков)</t>
  </si>
  <si>
    <t>ООО КСК ТРЕЙД Тс213051-26 02.10.2026 Поляков 17331кг (Красников)</t>
  </si>
  <si>
    <t>ООО КСК ТРЕЙД Тс212935-26 02.10.2026 Крым 17188кг (Ничипорук)</t>
  </si>
  <si>
    <t>ООО КСК ТРЕЙД Тс212936-26 02.10.2026 Крым 526кг (Ничипорук)</t>
  </si>
  <si>
    <t>ООО НВ Тс212845-26 03.10.2026 Луганск 16865кг (Половинка)</t>
  </si>
  <si>
    <t>ООО НВ Тс212092-26 03.10.2026 Луганск(2) 409кг (Половинка)</t>
  </si>
  <si>
    <t>ООО КСК ТРЕЙД Тс211355-26 03.10.2026 Крым 14672кг (Пыдык)</t>
  </si>
  <si>
    <t>ООО НВ ЮТс-04876-26 03.10.2026 Мариуполь 5235кг (Амелин)</t>
  </si>
  <si>
    <t>ООО НВ Тс211847-26 03.10.2026 Мариуполь 3821кг (Жуков)</t>
  </si>
  <si>
    <t>TSO001131751</t>
  </si>
  <si>
    <t>07,10,26</t>
  </si>
  <si>
    <t>TSO001131969</t>
  </si>
  <si>
    <t>TSO001131971</t>
  </si>
  <si>
    <t>ООО КСК ТРЕЙД Тс212805-26 05.10.2026 Крым 15004кг (Исаков)</t>
  </si>
  <si>
    <t>Химич отменил</t>
  </si>
  <si>
    <t>08,10,26</t>
  </si>
  <si>
    <t>TSO001132888</t>
  </si>
  <si>
    <t>TSO001132896</t>
  </si>
  <si>
    <t>TSO001132897</t>
  </si>
  <si>
    <t>TSO001131645</t>
  </si>
  <si>
    <t>ООО КСК ТРЕЙД Тс215224-26 06.10.2026 Крым 17372кг (Акшонин)</t>
  </si>
  <si>
    <t>ООО НВ Тс212094-26 06.10.2026 Бутырин 2230кг (Голубев)</t>
  </si>
  <si>
    <t>ООО НВ Тс215201-26 06.10.2026 Донецк 15531кг (Голубев)</t>
  </si>
  <si>
    <t>ООО НВ Тс215165-26 07.10.2026 Луганск 16998кг (Левин)</t>
  </si>
  <si>
    <t>ООО КСК ТРЕЙД Тс215117-26 06.10.2026 Крым 15455кг (Лопаткин)</t>
  </si>
  <si>
    <t>ООО КСК ТРЕЙД Тс215079-26 06.10.2026 Крым(2) 1909кг (Лопаткин)</t>
  </si>
  <si>
    <t>ООО КСК ТРЕЙД Тс215049-26 06.10.2026 Крым 17816кг (Максимов)</t>
  </si>
  <si>
    <t>ООО НВ ЮТс-04917-26 06.10.2026 Горняк-Донецк 7513кг (Медведь)</t>
  </si>
  <si>
    <t>ООО НВ ЮТс-04933-26 06.10.2026 Донецк 5779кг (Медведь)</t>
  </si>
  <si>
    <t>ООО НВ Тс214442-26 06.10.2026 Мелитополь 16689кг (Митин)</t>
  </si>
  <si>
    <t>ООО НВ Тс211904-26 06.10.2026 Мелитополь(2) 240кг (Митин)</t>
  </si>
  <si>
    <t>09,10,26</t>
  </si>
  <si>
    <t>TSO001133468</t>
  </si>
  <si>
    <t>10,10,26</t>
  </si>
  <si>
    <t>TSO001133562</t>
  </si>
  <si>
    <t>TSO001133489</t>
  </si>
  <si>
    <t>TSO001133490</t>
  </si>
  <si>
    <t>TSO001133509</t>
  </si>
  <si>
    <t>TSO001133564</t>
  </si>
  <si>
    <t>TSO001133569</t>
  </si>
  <si>
    <t>TSO001133583</t>
  </si>
  <si>
    <t>TSO001133582</t>
  </si>
  <si>
    <t>ООО КСК ТРЕЙД Тс215114-26 07.10.2026 Крым 11775кг (Васильченко)</t>
  </si>
  <si>
    <t>ООО КСК ТРЕЙД Тс215087-26 07.10.2026 Патяка 17119кг (Гурин)</t>
  </si>
  <si>
    <t>ООО НВ Тс215010-26 06.10.2026 Донецк 14969кг (Кадетов)</t>
  </si>
  <si>
    <t>ООО НВ Тс214995-26 07.10.2026 Мариуполь 2506кг (Кадетов).pdf</t>
  </si>
  <si>
    <t>11,10,26</t>
  </si>
  <si>
    <t>TSO001133969</t>
  </si>
  <si>
    <t>TSO001133968</t>
  </si>
  <si>
    <t>TSO001133972</t>
  </si>
  <si>
    <t>TSO001133971</t>
  </si>
  <si>
    <t>TSO001133960</t>
  </si>
  <si>
    <t>TSO001133959</t>
  </si>
  <si>
    <t>TSO001134013</t>
  </si>
  <si>
    <t>ООО КСК ТРЕЙД Тс215109-26 08.10.2026 Крым 17698кг (Абдрахимов)</t>
  </si>
  <si>
    <t>ООО НВ ЮТс-04918-26 08.10.2026 Луганск 5804кг (Бутько)</t>
  </si>
  <si>
    <t>ООО КСК ТРЕЙД Тс212950-26 08.10.2026 Колесник 5108кг (Жуков)</t>
  </si>
  <si>
    <t>ООО НВ Тс215326-26 08.10.2026 Бердянск 4014кг (Жуков)</t>
  </si>
  <si>
    <t>ООО НВ Тс215327-26 08.10.2026 Мелитополь 5922кг (Жуков)</t>
  </si>
  <si>
    <t>ООО НВ Тс215771-26 08.10.2026 Донецк 12473кг (Надеин)</t>
  </si>
  <si>
    <t>ООО НВ Тс215002-26 08.10.2026 Мариуполь 2768кг (Надеин)</t>
  </si>
  <si>
    <t>ООО ЛП Тс214104-26 08.10.2026 Бычков 9751кг (Ступак)</t>
  </si>
  <si>
    <t>ООО ЛП Тс214145-26 08.10.2026 Бычков(2) 2979кг (Ступак)</t>
  </si>
  <si>
    <t>TSO001134519</t>
  </si>
  <si>
    <t>12,10,26</t>
  </si>
  <si>
    <t>TSO001134643</t>
  </si>
  <si>
    <t>13,10,26</t>
  </si>
  <si>
    <t>TSO001134558</t>
  </si>
  <si>
    <t>TSO001134559</t>
  </si>
  <si>
    <t>TSO001134560</t>
  </si>
  <si>
    <t>TSO001134577</t>
  </si>
  <si>
    <t>TSO001134655</t>
  </si>
  <si>
    <t>14,10,26</t>
  </si>
  <si>
    <t>доставка на 17,10,26</t>
  </si>
  <si>
    <t>TSO001134569</t>
  </si>
  <si>
    <t>TSO001134685</t>
  </si>
  <si>
    <t>TSO001134746</t>
  </si>
  <si>
    <t>TSO001134747</t>
  </si>
  <si>
    <t>TSO001134750</t>
  </si>
  <si>
    <t>TSO001134776</t>
  </si>
  <si>
    <t>TSO001134779</t>
  </si>
  <si>
    <t>TSO001134782</t>
  </si>
  <si>
    <t>TSO001134777</t>
  </si>
  <si>
    <t>TSO001134688</t>
  </si>
  <si>
    <t>TSO001134687</t>
  </si>
  <si>
    <t>TSO001134703</t>
  </si>
  <si>
    <t>TSO001134708</t>
  </si>
  <si>
    <t>TSO001134739</t>
  </si>
  <si>
    <t>TSO001134743</t>
  </si>
  <si>
    <t>TSO001134744</t>
  </si>
  <si>
    <t>ООО НВ ЮТс-04989-26 08.10.2026 Горняк-Луганск 7641кг (Бутько)</t>
  </si>
  <si>
    <t>ООО КСК ТРЕЙД Тс216632-26 09.10.2026 Крым 17561кг (Соболев)</t>
  </si>
  <si>
    <t>ООО КСК ТРЕЙД Тс217961-26 10.10.2026 Крым 17813кг (Ерохов)</t>
  </si>
  <si>
    <t>ООО ЛП Тс215000-26 12.10.2026 Пушкарный 18256кг (Ковальчук)</t>
  </si>
  <si>
    <t>ООО КСК ТРЕЙД Тс216648-26 09.10.2026 Крым 16551кг (Мазур)</t>
  </si>
  <si>
    <t>ООО КСК ТРЕЙД Тс217596-26 09.10.2026 Крым(2) 603кг (Мазур)</t>
  </si>
  <si>
    <t>ООО НВ ЮТс-04991-26 11.10.2026 Мариуполь 6638кг (Митин)</t>
  </si>
  <si>
    <t>ООО НВ ЮТс-04998-26 11.10.2026 Донецк 7193кг (Митин)</t>
  </si>
  <si>
    <t>ООО КСК ТРЕЙД Тс215790-26 09.10.2026 Крым 15605кг (Молодов)</t>
  </si>
  <si>
    <t>ООО ЛП Тс214970-26 11.10.2026 Пушкарный 18006кг (Немченко)</t>
  </si>
  <si>
    <t>ООО НВ Тс217796-26 10.10.2026 Луганск 11999кг (Половинка)</t>
  </si>
  <si>
    <t>ООО НВ Тс217797-26 10.10.2026 Горняк-Луганск 5626кг (Половинка)</t>
  </si>
  <si>
    <t>ООО КСК ТРЕЙД Тс217792-26 09.10.2026 ЮгОпт 15870кг (Пусташев)</t>
  </si>
  <si>
    <t>ЮгОпт</t>
  </si>
  <si>
    <t>ООО НВ Тс212093-26 10.10.2026 Горняк-Горловка 1104кг (Чирков)</t>
  </si>
  <si>
    <t>ООО НВ Тс215319-26 10.10.2026 Горняк-Луганск 7388кг (Чирков)</t>
  </si>
  <si>
    <t>ООО НВ Тс215209-26 10.10.2026 Луганск 9277кг (Чирков)</t>
  </si>
  <si>
    <t>ООО ЛП Тс215009-26 09.10.2026 Пушкарный 18056кг (Шостак)</t>
  </si>
  <si>
    <t>ООО НВ Тс215805-26 12.10.2026 Мариуполь 3446кг (Латий)</t>
  </si>
  <si>
    <t>ООО НВ Тс217795-26 12.10.2026 Донецк 14134кг (Латий)</t>
  </si>
  <si>
    <t>ООО ЛП Тс217516-26 12.10.2026 Кочевой 5939кг (Пыдык)</t>
  </si>
  <si>
    <t>ООО ЛП Тс217537-26 12.10.2026 НПК 5837кг (Пыдык)</t>
  </si>
  <si>
    <t>ООО ЛП Тс217495-26 12.10.2026 Пушкарны(ВВ) 6351кг (Пыдык)</t>
  </si>
  <si>
    <t>ООО КСК ТРЕЙД Тс219108-26 12.10.2026 Крым 15501кг (Ислюков)</t>
  </si>
  <si>
    <t>ООО КСК ТРЕЙД Тс219109-26 12.10.2026 Николаенко 2108кг (Ислюков)</t>
  </si>
  <si>
    <t>ООО НВ Тс219380-26 13.10.2026 Бутырин 3125кг (Рева)</t>
  </si>
  <si>
    <t>ООО НВ Тс219383-26 13.10.2026 Донецк 14563кг (Рева)</t>
  </si>
  <si>
    <t>ООО КСК ТРЕЙД Тс217601-26 11.10.2026 Крым 14152кг (Огуров)</t>
  </si>
  <si>
    <t>ООО КСК ТРЕЙД Тс219505-26 13.10.2026 Крым 17216кг (Мазур)</t>
  </si>
  <si>
    <t>15,10,26</t>
  </si>
  <si>
    <t>TSO001136494</t>
  </si>
  <si>
    <t>TSO001136520</t>
  </si>
  <si>
    <t>ООО КСК ТРЕЙД Тс217690-26 13.10.2026 Крым 15032кг (Жуков)</t>
  </si>
  <si>
    <t>ООО ЛП ЮТс-05076-26 13.10.2026 ПРС 2395кг (Бакалюк)</t>
  </si>
  <si>
    <t>ООО НВ ЮТс-05132-26 13.10.2026 Донецк 9928кг (Бакалюк)</t>
  </si>
  <si>
    <t>16,10,26</t>
  </si>
  <si>
    <t>17,10,26</t>
  </si>
  <si>
    <t>TSO001137140</t>
  </si>
  <si>
    <t>TSO001137144</t>
  </si>
  <si>
    <t>TSO001137045</t>
  </si>
  <si>
    <t>TSO001137087</t>
  </si>
  <si>
    <t>TSO001137152</t>
  </si>
  <si>
    <t>TSO001137170</t>
  </si>
  <si>
    <t>TSO001137208</t>
  </si>
  <si>
    <t>TSO001137220</t>
  </si>
  <si>
    <t>TSO001137235</t>
  </si>
  <si>
    <t>TSO001137206</t>
  </si>
  <si>
    <t>TSO001137207</t>
  </si>
  <si>
    <t>TSO001137218</t>
  </si>
  <si>
    <t>TSO001137219</t>
  </si>
  <si>
    <t>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</si>
</sst>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8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199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left" vertical="center" wrapText="1"/>
    </xf>
    <xf numFmtId="20" fontId="46" fillId="16" borderId="78" xfId="0" applyNumberFormat="1" applyFont="1" applyFill="1" applyBorder="1" applyAlignment="1">
      <alignment horizontal="center" vertical="center" wrapText="1"/>
    </xf>
    <xf numFmtId="20" fontId="46" fillId="16" borderId="80" xfId="0" applyNumberFormat="1" applyFont="1" applyFill="1" applyBorder="1" applyAlignment="1">
      <alignment horizontal="center" vertical="center" wrapText="1"/>
    </xf>
    <xf numFmtId="0" fontId="16" fillId="40" borderId="47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left" vertical="center" wrapText="1"/>
    </xf>
    <xf numFmtId="0" fontId="45" fillId="46" borderId="0" xfId="0" applyFont="1" applyFill="1" applyAlignment="1">
      <alignment horizontal="left" vertical="center" wrapText="1"/>
    </xf>
    <xf numFmtId="49" fontId="46" fillId="16" borderId="20" xfId="0" applyNumberFormat="1" applyFont="1" applyFill="1" applyBorder="1" applyAlignment="1">
      <alignment horizontal="left" vertical="center" wrapText="1"/>
    </xf>
    <xf numFmtId="0" fontId="46" fillId="40" borderId="34" xfId="0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vertical="center" wrapText="1"/>
    </xf>
    <xf numFmtId="164" fontId="46" fillId="40" borderId="16" xfId="0" applyNumberFormat="1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horizontal="center" vertical="center" wrapText="1"/>
    </xf>
    <xf numFmtId="49" fontId="46" fillId="40" borderId="16" xfId="0" applyNumberFormat="1" applyFont="1" applyFill="1" applyBorder="1" applyAlignment="1">
      <alignment horizontal="left" vertical="center" wrapText="1"/>
    </xf>
    <xf numFmtId="49" fontId="46" fillId="40" borderId="17" xfId="0" applyNumberFormat="1" applyFont="1" applyFill="1" applyBorder="1" applyAlignment="1">
      <alignment horizontal="center" vertical="center" wrapText="1"/>
    </xf>
    <xf numFmtId="164" fontId="21" fillId="17" borderId="16" xfId="0" applyNumberFormat="1" applyFont="1" applyFill="1" applyBorder="1" applyAlignment="1">
      <alignment horizontal="center" vertical="center" wrapText="1"/>
    </xf>
    <xf numFmtId="164" fontId="21" fillId="17" borderId="24" xfId="0" applyNumberFormat="1" applyFont="1" applyFill="1" applyBorder="1" applyAlignment="1">
      <alignment horizontal="center" vertical="center" wrapText="1"/>
    </xf>
    <xf numFmtId="164" fontId="21" fillId="40" borderId="20" xfId="0" applyNumberFormat="1" applyFont="1" applyFill="1" applyBorder="1" applyAlignment="1">
      <alignment horizontal="center" vertical="center" wrapText="1"/>
    </xf>
    <xf numFmtId="0" fontId="46" fillId="40" borderId="23" xfId="0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vertical="center" wrapText="1"/>
    </xf>
    <xf numFmtId="164" fontId="46" fillId="40" borderId="24" xfId="0" applyNumberFormat="1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horizontal="center" vertical="center" wrapText="1"/>
    </xf>
    <xf numFmtId="49" fontId="46" fillId="40" borderId="71" xfId="0" applyNumberFormat="1" applyFont="1" applyFill="1" applyBorder="1" applyAlignment="1">
      <alignment horizontal="left" vertical="center" wrapText="1"/>
    </xf>
    <xf numFmtId="49" fontId="46" fillId="40" borderId="25" xfId="0" applyNumberFormat="1" applyFont="1" applyFill="1" applyBorder="1" applyAlignment="1">
      <alignment horizontal="center" vertical="center" wrapText="1"/>
    </xf>
    <xf numFmtId="0" fontId="16" fillId="47" borderId="32" xfId="0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vertical="center" wrapText="1"/>
    </xf>
    <xf numFmtId="164" fontId="16" fillId="47" borderId="20" xfId="0" applyNumberFormat="1" applyFont="1" applyFill="1" applyBorder="1" applyAlignment="1">
      <alignment horizontal="center" vertical="center" wrapText="1"/>
    </xf>
    <xf numFmtId="164" fontId="17" fillId="47" borderId="20" xfId="0" applyNumberFormat="1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horizontal="center" vertical="center" wrapText="1"/>
    </xf>
    <xf numFmtId="0" fontId="18" fillId="47" borderId="20" xfId="0" applyFont="1" applyFill="1" applyBorder="1" applyAlignment="1">
      <alignment horizontal="center" vertical="center" wrapText="1"/>
    </xf>
    <xf numFmtId="49" fontId="16" fillId="47" borderId="21" xfId="0" applyNumberFormat="1" applyFont="1" applyFill="1" applyBorder="1" applyAlignment="1">
      <alignment horizontal="center" vertical="center" wrapText="1"/>
    </xf>
    <xf numFmtId="20" fontId="16" fillId="47" borderId="21" xfId="0" applyNumberFormat="1" applyFont="1" applyFill="1" applyBorder="1" applyAlignment="1">
      <alignment horizontal="center" vertical="center" wrapText="1"/>
    </xf>
    <xf numFmtId="0" fontId="16" fillId="47" borderId="77" xfId="0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vertical="center" wrapText="1"/>
    </xf>
    <xf numFmtId="164" fontId="16" fillId="47" borderId="71" xfId="0" applyNumberFormat="1" applyFont="1" applyFill="1" applyBorder="1" applyAlignment="1">
      <alignment horizontal="center" vertical="center" wrapText="1"/>
    </xf>
    <xf numFmtId="164" fontId="17" fillId="47" borderId="71" xfId="0" applyNumberFormat="1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horizontal="center" vertical="center" wrapText="1"/>
    </xf>
    <xf numFmtId="49" fontId="16" fillId="47" borderId="71" xfId="0" applyNumberFormat="1" applyFont="1" applyFill="1" applyBorder="1" applyAlignment="1">
      <alignment horizontal="left" vertical="center" wrapText="1"/>
    </xf>
    <xf numFmtId="0" fontId="18" fillId="47" borderId="71" xfId="0" applyFont="1" applyFill="1" applyBorder="1" applyAlignment="1">
      <alignment horizontal="center" vertical="center" wrapText="1"/>
    </xf>
    <xf numFmtId="49" fontId="16" fillId="47" borderId="78" xfId="0" applyNumberFormat="1" applyFont="1" applyFill="1" applyBorder="1" applyAlignment="1">
      <alignment horizontal="center" vertical="center" wrapText="1"/>
    </xf>
    <xf numFmtId="20" fontId="16" fillId="47" borderId="78" xfId="0" applyNumberFormat="1" applyFont="1" applyFill="1" applyBorder="1" applyAlignment="1">
      <alignment horizontal="center" vertical="center" wrapText="1"/>
    </xf>
    <xf numFmtId="0" fontId="46" fillId="47" borderId="77" xfId="0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vertical="center" wrapText="1"/>
    </xf>
    <xf numFmtId="164" fontId="46" fillId="47" borderId="71" xfId="0" applyNumberFormat="1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horizontal="center" vertical="center" wrapText="1"/>
    </xf>
    <xf numFmtId="49" fontId="46" fillId="47" borderId="71" xfId="0" applyNumberFormat="1" applyFont="1" applyFill="1" applyBorder="1" applyAlignment="1">
      <alignment horizontal="left" vertical="center" wrapText="1"/>
    </xf>
    <xf numFmtId="49" fontId="46" fillId="47" borderId="78" xfId="0" applyNumberFormat="1" applyFont="1" applyFill="1" applyBorder="1" applyAlignment="1">
      <alignment horizontal="center" vertical="center" wrapText="1"/>
    </xf>
    <xf numFmtId="0" fontId="46" fillId="47" borderId="79" xfId="0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vertical="center" wrapText="1"/>
    </xf>
    <xf numFmtId="164" fontId="46" fillId="47" borderId="72" xfId="0" applyNumberFormat="1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horizontal="center" vertical="center" wrapText="1"/>
    </xf>
    <xf numFmtId="49" fontId="46" fillId="47" borderId="72" xfId="0" applyNumberFormat="1" applyFont="1" applyFill="1" applyBorder="1" applyAlignment="1">
      <alignment horizontal="left" vertical="center" wrapText="1"/>
    </xf>
    <xf numFmtId="49" fontId="46" fillId="47" borderId="80" xfId="0" applyNumberFormat="1" applyFont="1" applyFill="1" applyBorder="1" applyAlignment="1">
      <alignment horizontal="center" vertical="center" wrapText="1"/>
    </xf>
    <xf numFmtId="20" fontId="16" fillId="47" borderId="80" xfId="0" applyNumberFormat="1" applyFont="1" applyFill="1" applyBorder="1" applyAlignment="1">
      <alignment horizontal="center" vertical="center" wrapText="1"/>
    </xf>
    <xf numFmtId="49" fontId="17" fillId="47" borderId="20" xfId="0" applyNumberFormat="1" applyFont="1" applyFill="1" applyBorder="1" applyAlignment="1">
      <alignment horizontal="left" vertical="center" wrapText="1"/>
    </xf>
    <xf numFmtId="0" fontId="16" fillId="43" borderId="68" xfId="0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vertical="center" wrapText="1"/>
    </xf>
    <xf numFmtId="164" fontId="16" fillId="43" borderId="69" xfId="0" applyNumberFormat="1" applyFont="1" applyFill="1" applyBorder="1" applyAlignment="1">
      <alignment horizontal="center" vertical="center" wrapText="1"/>
    </xf>
    <xf numFmtId="164" fontId="17" fillId="43" borderId="69" xfId="0" applyNumberFormat="1" applyFont="1" applyFill="1" applyBorder="1" applyAlignment="1">
      <alignment horizontal="center" vertical="center" wrapText="1"/>
    </xf>
    <xf numFmtId="0" fontId="16" fillId="43" borderId="69" xfId="0" applyFont="1" applyFill="1" applyBorder="1" applyAlignment="1">
      <alignment horizontal="center" vertical="center" wrapText="1"/>
    </xf>
    <xf numFmtId="0" fontId="18" fillId="43" borderId="69" xfId="0" applyFont="1" applyFill="1" applyBorder="1" applyAlignment="1">
      <alignment horizontal="center" vertical="center" wrapText="1"/>
    </xf>
    <xf numFmtId="49" fontId="16" fillId="43" borderId="70" xfId="0" applyNumberFormat="1" applyFont="1" applyFill="1" applyBorder="1" applyAlignment="1">
      <alignment horizontal="center" vertical="center" wrapText="1"/>
    </xf>
    <xf numFmtId="20" fontId="16" fillId="43" borderId="70" xfId="0" applyNumberFormat="1" applyFont="1" applyFill="1" applyBorder="1" applyAlignment="1">
      <alignment horizontal="center" vertical="center" wrapText="1"/>
    </xf>
    <xf numFmtId="0" fontId="46" fillId="16" borderId="50" xfId="0" applyFont="1" applyFill="1" applyBorder="1" applyAlignment="1">
      <alignment horizontal="center" vertical="center" wrapText="1"/>
    </xf>
    <xf numFmtId="0" fontId="46" fillId="40" borderId="85" xfId="0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vertical="center" wrapText="1"/>
    </xf>
    <xf numFmtId="164" fontId="46" fillId="40" borderId="86" xfId="0" applyNumberFormat="1" applyFont="1" applyFill="1" applyBorder="1" applyAlignment="1">
      <alignment horizontal="center" vertical="center" wrapText="1"/>
    </xf>
    <xf numFmtId="0" fontId="46" fillId="40" borderId="86" xfId="0" applyFont="1" applyFill="1" applyBorder="1" applyAlignment="1">
      <alignment horizontal="center" vertical="center" wrapText="1"/>
    </xf>
    <xf numFmtId="49" fontId="46" fillId="40" borderId="86" xfId="0" applyNumberFormat="1" applyFont="1" applyFill="1" applyBorder="1" applyAlignment="1">
      <alignment horizontal="left" vertical="center" wrapText="1"/>
    </xf>
    <xf numFmtId="49" fontId="46" fillId="40" borderId="87" xfId="0" applyNumberFormat="1" applyFont="1" applyFill="1" applyBorder="1" applyAlignment="1">
      <alignment horizontal="center" vertical="center" wrapText="1"/>
    </xf>
    <xf numFmtId="20" fontId="16" fillId="40" borderId="87" xfId="0" applyNumberFormat="1" applyFont="1" applyFill="1" applyBorder="1" applyAlignment="1">
      <alignment horizontal="center" vertical="center" wrapText="1"/>
    </xf>
    <xf numFmtId="0" fontId="16" fillId="16" borderId="31" xfId="0" applyFont="1" applyFill="1" applyBorder="1" applyAlignment="1">
      <alignment horizontal="center" vertical="center" wrapText="1"/>
    </xf>
    <xf numFmtId="0" fontId="16" fillId="16" borderId="12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6" fillId="16" borderId="38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6" fillId="43" borderId="0" xfId="0" applyFont="1" applyFill="1" applyAlignment="1">
      <alignment horizontal="left" vertical="center" wrapText="1"/>
    </xf>
    <xf numFmtId="0" fontId="16" fillId="40" borderId="77" xfId="0" applyFont="1" applyFill="1" applyBorder="1" applyAlignment="1">
      <alignment horizontal="center" vertical="center" wrapText="1"/>
    </xf>
    <xf numFmtId="0" fontId="16" fillId="40" borderId="71" xfId="0" applyFont="1" applyFill="1" applyBorder="1" applyAlignment="1">
      <alignment vertical="center" wrapText="1"/>
    </xf>
    <xf numFmtId="164" fontId="16" fillId="40" borderId="71" xfId="0" applyNumberFormat="1" applyFont="1" applyFill="1" applyBorder="1" applyAlignment="1">
      <alignment horizontal="center" vertical="center" wrapText="1"/>
    </xf>
    <xf numFmtId="164" fontId="17" fillId="40" borderId="71" xfId="0" applyNumberFormat="1" applyFont="1" applyFill="1" applyBorder="1" applyAlignment="1">
      <alignment horizontal="center" vertical="center" wrapText="1"/>
    </xf>
    <xf numFmtId="0" fontId="16" fillId="40" borderId="71" xfId="0" applyFont="1" applyFill="1" applyBorder="1" applyAlignment="1">
      <alignment horizontal="center" vertical="center" wrapText="1"/>
    </xf>
    <xf numFmtId="49" fontId="16" fillId="40" borderId="71" xfId="0" applyNumberFormat="1" applyFont="1" applyFill="1" applyBorder="1" applyAlignment="1">
      <alignment horizontal="left" vertical="center" wrapText="1"/>
    </xf>
    <xf numFmtId="0" fontId="18" fillId="40" borderId="71" xfId="0" applyFont="1" applyFill="1" applyBorder="1" applyAlignment="1">
      <alignment horizontal="center" vertical="center" wrapText="1"/>
    </xf>
    <xf numFmtId="49" fontId="16" fillId="40" borderId="78" xfId="0" applyNumberFormat="1" applyFont="1" applyFill="1" applyBorder="1" applyAlignment="1">
      <alignment horizontal="center" vertical="center" wrapText="1"/>
    </xf>
    <xf numFmtId="0" fontId="16" fillId="40" borderId="83" xfId="0" applyFont="1" applyFill="1" applyBorder="1" applyAlignment="1">
      <alignment horizontal="center" vertical="center" wrapText="1"/>
    </xf>
    <xf numFmtId="20" fontId="16" fillId="40" borderId="78" xfId="0" applyNumberFormat="1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center" vertical="center" wrapText="1"/>
    </xf>
    <xf numFmtId="49" fontId="16" fillId="17" borderId="86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center" vertical="center" wrapText="1"/>
    </xf>
    <xf numFmtId="0" fontId="16" fillId="17" borderId="74" xfId="0" applyFont="1" applyFill="1" applyBorder="1" applyAlignment="1">
      <alignment horizontal="center" vertical="center" wrapText="1"/>
    </xf>
    <xf numFmtId="0" fontId="16" fillId="17" borderId="76" xfId="0" applyFont="1" applyFill="1" applyBorder="1" applyAlignment="1">
      <alignment horizontal="center" vertical="center" wrapText="1"/>
    </xf>
    <xf numFmtId="0" fontId="16" fillId="47" borderId="84" xfId="0" applyFont="1" applyFill="1" applyBorder="1" applyAlignment="1">
      <alignment horizontal="center" vertical="center" wrapText="1"/>
    </xf>
    <xf numFmtId="0" fontId="16" fillId="47" borderId="75" xfId="0" applyFont="1" applyFill="1" applyBorder="1" applyAlignment="1">
      <alignment horizontal="center" vertical="center" wrapText="1"/>
    </xf>
    <xf numFmtId="0" fontId="16" fillId="47" borderId="82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49" fontId="16" fillId="17" borderId="86" xfId="0" applyNumberFormat="1" applyFont="1" applyFill="1" applyBorder="1" applyAlignment="1">
      <alignment horizontal="left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D7529"/>
  <sheetViews>
    <sheetView tabSelected="1" zoomScale="70" zoomScaleNormal="70" workbookViewId="0">
      <pane ySplit="2" topLeftCell="A7497" activePane="bottomLeft" state="frozen"/>
      <selection pane="bottomLeft" activeCell="P7532" sqref="P7532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20.140625" style="2" customWidth="1"/>
    <col min="20" max="20" width="12" style="2" bestFit="1" customWidth="1"/>
    <col min="21" max="1018" width="9.140625" style="2"/>
  </cols>
  <sheetData>
    <row r="1" spans="1:18" ht="19.5" customHeight="1" thickBot="1" x14ac:dyDescent="0.3">
      <c r="A1" s="1154" t="s">
        <v>0</v>
      </c>
      <c r="B1" s="1154"/>
      <c r="C1" s="1154"/>
      <c r="D1" s="1154"/>
      <c r="E1" s="1154"/>
      <c r="F1" s="1154"/>
      <c r="G1" s="1154"/>
      <c r="H1" s="1154"/>
      <c r="I1" s="1154"/>
      <c r="J1" s="1154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155">
        <v>1</v>
      </c>
      <c r="B3" s="1155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155"/>
      <c r="B4" s="1155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151">
        <v>3</v>
      </c>
      <c r="B6" s="1151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151"/>
      <c r="B7" s="1151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151"/>
      <c r="B8" s="1151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151">
        <v>5</v>
      </c>
      <c r="B10" s="1151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151"/>
      <c r="B11" s="1151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149">
        <v>8</v>
      </c>
      <c r="B14" s="1149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149"/>
      <c r="B15" s="1149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151">
        <v>11</v>
      </c>
      <c r="B18" s="1151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151"/>
      <c r="B19" s="1151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151"/>
      <c r="B20" s="1151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151"/>
      <c r="B21" s="1151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151">
        <v>13</v>
      </c>
      <c r="B23" s="1151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151"/>
      <c r="B24" s="1151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149">
        <v>14</v>
      </c>
      <c r="B25" s="1149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149"/>
      <c r="B26" s="1149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151">
        <v>15</v>
      </c>
      <c r="B27" s="1151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151"/>
      <c r="B28" s="1151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151"/>
      <c r="B29" s="1151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151"/>
      <c r="B30" s="1151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149">
        <v>16</v>
      </c>
      <c r="B31" s="1149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149"/>
      <c r="B32" s="1149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149"/>
      <c r="B33" s="1149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149"/>
      <c r="B34" s="1149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151">
        <v>17</v>
      </c>
      <c r="B35" s="1151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151"/>
      <c r="B36" s="1151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151">
        <v>21</v>
      </c>
      <c r="B40" s="1151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151"/>
      <c r="B41" s="1151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151">
        <v>23</v>
      </c>
      <c r="B43" s="1151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151"/>
      <c r="B44" s="1151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151"/>
      <c r="B45" s="1151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149">
        <v>24</v>
      </c>
      <c r="B46" s="1149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149"/>
      <c r="B47" s="1149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151">
        <v>25</v>
      </c>
      <c r="B48" s="1151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151"/>
      <c r="B49" s="1151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151"/>
      <c r="B50" s="1151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149">
        <v>26</v>
      </c>
      <c r="B51" s="1149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149"/>
      <c r="B52" s="1149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151">
        <v>29</v>
      </c>
      <c r="B55" s="1151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151"/>
      <c r="B56" s="1151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149">
        <v>32</v>
      </c>
      <c r="B59" s="1149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149"/>
      <c r="B60" s="1149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149">
        <v>34</v>
      </c>
      <c r="B62" s="1149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149"/>
      <c r="B63" s="1149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149"/>
      <c r="B64" s="1149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149"/>
      <c r="B65" s="1149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149"/>
      <c r="B66" s="1149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151">
        <v>35</v>
      </c>
      <c r="B67" s="1151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151"/>
      <c r="B68" s="1151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136">
        <v>40</v>
      </c>
      <c r="B73" s="1149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136"/>
      <c r="B74" s="1149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135">
        <v>41</v>
      </c>
      <c r="B75" s="1151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135"/>
      <c r="B76" s="1151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135"/>
      <c r="B77" s="1151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136">
        <v>42</v>
      </c>
      <c r="B78" s="1149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136"/>
      <c r="B79" s="1149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135">
        <v>49</v>
      </c>
      <c r="B86" s="1151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135"/>
      <c r="B87" s="1151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135"/>
      <c r="B88" s="1151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136">
        <v>50</v>
      </c>
      <c r="B89" s="1149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136"/>
      <c r="B90" s="1149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135">
        <v>51</v>
      </c>
      <c r="B91" s="1151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135"/>
      <c r="B92" s="1151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135">
        <v>53</v>
      </c>
      <c r="B94" s="1151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135"/>
      <c r="B95" s="1151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136">
        <v>54</v>
      </c>
      <c r="B96" s="1149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136"/>
      <c r="B97" s="1149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136"/>
      <c r="B98" s="1149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136">
        <v>58</v>
      </c>
      <c r="B102" s="1149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136"/>
      <c r="B103" s="1149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136">
        <v>60</v>
      </c>
      <c r="B105" s="1149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136"/>
      <c r="B106" s="1149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136"/>
      <c r="B107" s="1149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135">
        <v>61</v>
      </c>
      <c r="B108" s="1151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135"/>
      <c r="B109" s="1151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135"/>
      <c r="B110" s="1151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136">
        <v>64</v>
      </c>
      <c r="B113" s="1149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136"/>
      <c r="B114" s="1149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136">
        <v>66</v>
      </c>
      <c r="B116" s="1149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136"/>
      <c r="B117" s="1149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135">
        <v>67</v>
      </c>
      <c r="B118" s="1151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135"/>
      <c r="B119" s="1151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135"/>
      <c r="B120" s="1151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136">
        <v>68</v>
      </c>
      <c r="B121" s="1149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136"/>
      <c r="B122" s="1149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135">
        <v>69</v>
      </c>
      <c r="B123" s="1151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135"/>
      <c r="B124" s="1151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136">
        <v>72</v>
      </c>
      <c r="B127" s="1149" t="s">
        <v>65</v>
      </c>
      <c r="C127" s="119" t="s">
        <v>26</v>
      </c>
      <c r="D127" s="120">
        <v>3.3</v>
      </c>
      <c r="E127" s="121"/>
      <c r="F127" s="122" t="s">
        <v>30</v>
      </c>
      <c r="G127" s="1148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136"/>
      <c r="B128" s="1149"/>
      <c r="C128" s="103" t="s">
        <v>26</v>
      </c>
      <c r="D128" s="88">
        <v>12.9</v>
      </c>
      <c r="E128" s="106"/>
      <c r="F128" s="107" t="s">
        <v>16</v>
      </c>
      <c r="G128" s="1148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136">
        <v>76</v>
      </c>
      <c r="B132" s="1150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136"/>
      <c r="B133" s="1150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136"/>
      <c r="B134" s="1150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136"/>
      <c r="B135" s="1150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136">
        <v>78</v>
      </c>
      <c r="B137" s="1157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136"/>
      <c r="B138" s="1157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152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152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136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136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136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135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135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136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136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135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135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135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135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135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135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135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135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136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136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136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136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136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136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135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153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135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153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136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136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136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136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136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136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136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136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136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135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135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136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136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135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135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136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136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135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135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135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135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135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136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136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135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135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135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136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136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135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135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136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136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135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135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136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136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136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135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135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136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148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136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148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136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136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135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135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135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135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136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136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136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136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136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136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135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135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136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136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136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136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135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135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136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136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136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136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136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135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135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136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136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135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135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136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158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136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158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135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135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136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148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136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148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136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136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136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136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136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136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136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136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135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135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136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136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135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135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136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136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136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136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135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135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135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135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135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135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135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135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136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136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135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153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135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153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135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135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135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135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135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135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135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135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135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135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135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135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135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135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136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136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135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135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136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136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136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136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135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135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135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135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135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135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136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136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135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135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135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135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139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135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139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136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136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136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136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136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136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136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136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136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136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136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136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135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135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136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136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135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135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135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135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135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135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135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135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136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136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135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135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135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136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136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135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135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135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139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135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139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136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136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136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136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136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136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156" t="s">
        <v>133</v>
      </c>
      <c r="J420" s="1156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135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135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136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136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135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135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136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136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136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136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135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135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135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135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135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136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136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136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135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135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136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136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135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135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136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140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136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140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135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135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136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136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136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136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136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136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142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142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142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136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136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135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135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136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136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136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136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136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136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136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136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135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135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135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135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136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136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136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135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135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135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139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135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139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136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136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135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160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135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160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136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160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136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160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136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160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136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136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136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136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136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136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135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135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135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136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136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136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135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135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135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135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135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136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136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136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135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135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135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135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135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135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136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136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136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135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135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135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135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136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136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136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135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135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135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136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140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136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140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136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136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136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136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136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135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135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135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135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136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136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136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135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135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135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136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136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136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136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136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136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135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135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135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135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135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135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135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135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136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136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136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135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139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135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139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135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135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136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136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136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136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136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136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136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136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136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136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136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136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135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135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135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136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136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136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135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135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135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135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135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136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136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135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135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135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136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136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136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136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135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135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135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135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135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135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136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136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136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135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139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135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139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135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135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159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135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159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135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136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136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136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135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135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135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136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136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135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135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135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135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135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135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136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136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135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135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136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136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136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136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136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136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136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136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136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135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139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135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139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146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146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146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135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135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135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146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146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135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135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135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146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146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136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136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136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135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135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135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136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136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136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136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136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136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136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136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135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135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135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135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135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135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135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136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161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136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161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136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136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136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136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136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135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135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135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135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135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135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135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136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136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136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136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147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147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147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147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147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147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135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139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135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139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136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136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136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135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135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135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143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143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143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143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143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135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135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135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135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135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144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144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135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135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135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136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136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135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135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136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136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136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136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135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135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135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135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135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135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135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136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136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136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136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135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135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136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140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136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140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135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135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135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135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135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135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135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135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135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135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135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135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135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136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136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136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135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135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135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136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136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135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135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135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135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136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136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136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135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135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135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135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135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135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135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135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135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136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136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136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136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136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136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136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136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136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136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135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135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135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136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136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136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136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136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135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135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136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136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136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135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135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135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136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136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136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136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136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136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136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135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135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136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136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136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135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135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135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136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136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135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135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136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136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135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135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136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136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135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135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135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135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136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140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136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140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135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135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135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135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135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136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136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135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135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135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135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135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135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135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135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136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136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136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136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136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136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145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145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136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136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135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135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136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136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136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136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136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135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135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135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135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135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136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136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136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135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135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135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136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136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136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135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139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135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139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136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136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136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135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135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136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136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136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135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135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135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135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135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136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136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142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142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136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136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135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135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136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136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136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136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136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136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136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135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135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136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136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135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135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136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136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136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135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135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136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136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135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139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135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139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136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136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136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135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135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136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136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135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135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135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136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136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135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135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135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135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135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135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135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135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136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136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136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136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136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135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135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136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136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135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135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135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136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136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136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135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135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136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140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136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140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135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135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135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135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135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135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135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135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136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136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135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135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135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135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136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136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135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135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135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136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136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135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135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135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135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136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140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136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140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135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135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136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136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136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136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135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135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136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136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135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135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136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136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135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135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135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135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136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136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136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136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136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136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136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136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135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135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135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135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136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140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136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140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136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136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135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135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136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136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136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136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135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135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136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136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135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135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135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135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135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135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135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136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136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136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136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136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136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136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140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136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140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136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136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135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135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136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136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135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135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135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135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136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136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136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136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135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135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135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135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135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135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135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135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135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135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135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135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135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136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136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135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135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136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136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135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135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136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140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136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140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135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135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135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135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136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136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136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136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135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135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135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135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136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136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136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136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136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136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136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136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136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136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135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135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136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136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136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136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135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139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135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139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135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135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136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136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136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135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135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136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136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135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135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135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135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135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135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135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135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135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135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135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135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135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136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136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135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135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135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141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135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141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136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136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136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135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135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135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136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136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136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136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135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135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135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135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136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136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135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135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136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136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136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136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136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136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135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135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135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139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135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139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135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135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136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136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135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135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136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136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135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135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135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135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136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136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135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139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135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139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135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139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135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139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136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136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135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135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135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135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135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135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135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139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135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139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135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135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135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135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136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136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135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135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135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135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135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136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136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136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136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136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136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136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136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135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135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136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136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136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135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139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135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139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135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135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135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135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136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136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135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135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135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135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135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135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135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135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135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136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136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135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135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136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140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136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140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135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135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136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136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136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135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135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135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135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135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135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135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135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136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136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135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135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136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136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136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135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139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135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139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135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135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135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136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136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136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136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136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135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135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136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136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136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136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136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135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135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136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136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136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135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135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136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136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135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135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136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136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136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136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136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136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135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135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135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135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135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135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135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135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136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136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135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135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136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136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136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140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136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140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136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136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136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135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135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135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135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135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135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135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135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135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135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135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136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136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136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136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135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135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135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135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135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136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136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135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139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135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139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136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136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136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136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136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136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136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136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135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135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135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136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140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136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140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136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136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136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136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136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135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135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135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135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135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135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135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136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136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136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136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136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135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135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136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136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136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135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139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135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139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135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135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136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136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136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136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136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136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136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135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135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136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136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136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136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135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135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136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136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135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135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136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136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135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139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135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139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135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139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136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136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135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135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135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136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136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135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135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135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135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136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140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136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140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135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135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135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135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135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135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135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135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136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136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136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136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136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136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136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136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136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136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135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135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135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135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135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135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136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136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135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135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135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135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139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135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139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136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136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136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135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135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135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135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135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135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135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135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135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135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135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135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135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135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136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136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135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139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135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139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136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136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135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135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136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136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136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135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135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135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135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135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135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135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135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135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135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135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135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136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136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135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139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135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139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135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135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136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136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136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136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135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135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135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135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136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136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136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135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135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135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135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135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135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136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140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136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140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135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135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135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135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136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136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136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136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135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135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136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136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136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136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136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136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136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135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135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135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136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136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136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136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136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136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136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136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136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135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135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136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136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136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136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135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135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136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136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136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142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142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142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136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136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136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136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135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139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135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139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135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135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136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136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135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135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136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136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136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135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139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135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139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135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135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135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135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135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136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136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135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135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136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136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136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135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135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135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135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136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140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136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140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135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135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136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136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136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136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136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136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135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135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136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136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136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135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135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136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136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136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136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135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135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135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136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136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135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135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136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136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135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135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136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136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136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136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136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136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136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136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135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135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135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135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136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136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135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135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136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136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136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136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135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135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136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136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136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136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136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136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136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135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135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162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163" t="s">
        <v>467</v>
      </c>
      <c r="H2160" s="414" t="s">
        <v>515</v>
      </c>
      <c r="I2160" s="415" t="s">
        <v>516</v>
      </c>
      <c r="J2160" s="1164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162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163"/>
      <c r="H2161" s="421" t="s">
        <v>515</v>
      </c>
      <c r="I2161" s="422" t="s">
        <v>516</v>
      </c>
      <c r="J2161" s="1164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162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163"/>
      <c r="H2162" s="429" t="s">
        <v>515</v>
      </c>
      <c r="I2162" s="430" t="s">
        <v>516</v>
      </c>
      <c r="J2162" s="1164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162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163" t="s">
        <v>467</v>
      </c>
      <c r="H2165" s="414" t="s">
        <v>516</v>
      </c>
      <c r="I2165" s="415" t="s">
        <v>516</v>
      </c>
      <c r="J2165" s="1164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162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163"/>
      <c r="H2166" s="429" t="s">
        <v>516</v>
      </c>
      <c r="I2166" s="430" t="s">
        <v>516</v>
      </c>
      <c r="J2166" s="1164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135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135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135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136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136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135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135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136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136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136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136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135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139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135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139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135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135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135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136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140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136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140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135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165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135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165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136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158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136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158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135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135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135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135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136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136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135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135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136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136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136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136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136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135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135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135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136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136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136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135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135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136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136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136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136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136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136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135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135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135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135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136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136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135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135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135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136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136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136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136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136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136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135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135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135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135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135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135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135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136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136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136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136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136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136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136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135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135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135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135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135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136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136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136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136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136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142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142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136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136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136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135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135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136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136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136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136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136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136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136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135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135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135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135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135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135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135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135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143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143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143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135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135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135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135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135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136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136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135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135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135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136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136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136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136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136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135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135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135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135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135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143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143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143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135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135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143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143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135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135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135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136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136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136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136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135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135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135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135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135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136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136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136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136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136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136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135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135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136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136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142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142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136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136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136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136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136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136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136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135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135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135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135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135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136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136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135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135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136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136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142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142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136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136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136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136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136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136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136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135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135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135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136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136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135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135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135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135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135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142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142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142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136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136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136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135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135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136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136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136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136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136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136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140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136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140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136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140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142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142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142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142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135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135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136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136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142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142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136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140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136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140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136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136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135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135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136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136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135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135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135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135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135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135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166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167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166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167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136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136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135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139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135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139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135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135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143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143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136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136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136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135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135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136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136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142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142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136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136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136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136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142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168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142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168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136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136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136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140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136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140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135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135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135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135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143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143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136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136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135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135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136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136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136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135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135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135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135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135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135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135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136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136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136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140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136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140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136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136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136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136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142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142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142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136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136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135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135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135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135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135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136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136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143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143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143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143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143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143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135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135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169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169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136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136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136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136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135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135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136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136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136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136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136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136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135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135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142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142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142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142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142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142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136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136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135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135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135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135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143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143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136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136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136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135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135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136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136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136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136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135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135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135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135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136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140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136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140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136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140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142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142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142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142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136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136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135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135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136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136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135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135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135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135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135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136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136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136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135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135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136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136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142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142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142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142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142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136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136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135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135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135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135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136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136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142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142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136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136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136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136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143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143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135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135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135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135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135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143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170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143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170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135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135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135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139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135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139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136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136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135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135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135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142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142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135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135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136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136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136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135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135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135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136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136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136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136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143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143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143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143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143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135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135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136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140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136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140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135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135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135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135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136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136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142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142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136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136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136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135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135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135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135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142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142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142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135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139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135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139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143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143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143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143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135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135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135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139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135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139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135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135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136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136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136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142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142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136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136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136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136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142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142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136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136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143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143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143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143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143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135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135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135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135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136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136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136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142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139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142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139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135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135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136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136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135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135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135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142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142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142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143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143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143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143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143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143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135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135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136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136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136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136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136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135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135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135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143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140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143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140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143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140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135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135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136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136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135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135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135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136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136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135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135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143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143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135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135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136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136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135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135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136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140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136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140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136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140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136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140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142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142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142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142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142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136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136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136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140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136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140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136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140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135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135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143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143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143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135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135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136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136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135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135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136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136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136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135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135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135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135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135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136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140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136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140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142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142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136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136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135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135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136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136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135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135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143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143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143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143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143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143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143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143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135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135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135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135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136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136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136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136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136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135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135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135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143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143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135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135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136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136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135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135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135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135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136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136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136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136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135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135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135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135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136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136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136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136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143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143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143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135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135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136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136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135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139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135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139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135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139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135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139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136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136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135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135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136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136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136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135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135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135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136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136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135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135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136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136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136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136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143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143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143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136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136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136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136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136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135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135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135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135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135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136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136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142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142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136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136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135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135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136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136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142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168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142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168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142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168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142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168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142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168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142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168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136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136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136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136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135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135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136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136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142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142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142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142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136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136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136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135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135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135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136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136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135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135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136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136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142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142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142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135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135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136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136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143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143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143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143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143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143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143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143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135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135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136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136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136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136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142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142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142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136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136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136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136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136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135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135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136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136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135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135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135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135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142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142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136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136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135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135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143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143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143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143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143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143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143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143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143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135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135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142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142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142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135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135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135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143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143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135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135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143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143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135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135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143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143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142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142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142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136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136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135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135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136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136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142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142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142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142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142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142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142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142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136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136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135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135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136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136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142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139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142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139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136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136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136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135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135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136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136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136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136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135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139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135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139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142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142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142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142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142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142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135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135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136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136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136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136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135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139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135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139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143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143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143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143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136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136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136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136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136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136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136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136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142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142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135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135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135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135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135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135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135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135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135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136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136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142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168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142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168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142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168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136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136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136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136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135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135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136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136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136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135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135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135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135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143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143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143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143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143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135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135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136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140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136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140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135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135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142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142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135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135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136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136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136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136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136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135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135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135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143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143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143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143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143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143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143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135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135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136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140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136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140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135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135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136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136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136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136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143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143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136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136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136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136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136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135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135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136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140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136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140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3">
      <c r="A3552" s="1101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1104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1102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120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1101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1104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1102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120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1102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120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1102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120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1098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171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1101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172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1101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1104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172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173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1101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1102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1102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1102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1098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1099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1099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1099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171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1101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172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1098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171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1101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1102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1102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1102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1102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1102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3">
      <c r="A3598" s="1098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125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171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174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1101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172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1098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125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171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174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1101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1102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1102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172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1101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1102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1098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1099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1099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171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1098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1099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1099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1101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1102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1102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1102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1102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1102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1098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171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1101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1104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172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173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1101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1104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172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173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1101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172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1098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171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1101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1102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1101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172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1098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171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1101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1102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172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1098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1099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171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1098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1099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1099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1099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1099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1099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1101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172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1098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125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171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174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1101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172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1098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171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1101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1102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1102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172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3">
      <c r="A3694" s="1101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1104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172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173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1098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1099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171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1101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172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3">
      <c r="A3703" s="1098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125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171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174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1101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1102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1102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1102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1102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1102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1098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171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1098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171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1098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125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171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174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1101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1102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172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1098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1099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171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1101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1102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172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1098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1099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1099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1099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1098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171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1101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1102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172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1101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1102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1102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1102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1098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1099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1098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1099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1099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1099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1099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1099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1101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172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1101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1104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1102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120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172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173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1101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1102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172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1098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1099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171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1101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1102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1102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3">
      <c r="A3779" s="1101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1104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172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173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1098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1099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1099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171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1101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172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1101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172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1098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171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1098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1099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1099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1099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1099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1101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172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1101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1102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172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1098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171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1101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172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1098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171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1101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1104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172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173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1098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1099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1101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1102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172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1098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171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1101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172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1098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171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1101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172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1101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1102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1099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1099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1099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1099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1099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1099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1101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172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1101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172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1098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1099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1099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171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1101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1102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1102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1102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1102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172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1101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172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1098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1099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1099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171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1098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1099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1099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1099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1099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1099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1101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172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1101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1104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172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173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1098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1099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171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1101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1102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1102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172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1098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1099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171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1101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1104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1102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120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172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173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1098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125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171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174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1101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172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1098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171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1101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1102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1102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1102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1102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1102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1098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171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1101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172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1098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1099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171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1101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1102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1102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172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1098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171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1101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1104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172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173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1101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172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1098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1099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171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1098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171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1101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1102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1098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1099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1098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1099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1099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1099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1099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1101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172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1101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1102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1098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125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171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174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1101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1102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1102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1102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1102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1102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172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1098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1099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1099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1099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1101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1102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172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1101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172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1098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171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1101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1102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172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1101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172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133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175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176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1101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1102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1102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1102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1102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172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1098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171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1101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1102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172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1098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171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1101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172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1101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172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1098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1099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1100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1101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1102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1103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1098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1100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1101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1104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1103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1105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1101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1102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1098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125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1100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124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1101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1102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1102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1102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1102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1098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1100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1101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1103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1101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1102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1103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1098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1100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1101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1102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1102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3">
      <c r="A4090" s="1098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125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3">
      <c r="A4091" s="1099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123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1100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124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1098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1100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1098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1099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1100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1101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1102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1103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1098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1099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1099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1099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1099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1101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1103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1098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1099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1100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1101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1102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1102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1103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1098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1100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1101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1102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1102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1103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1101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1103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1098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1099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1099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1101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1103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1098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1099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1099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1099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1099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1101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1103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1098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1099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1100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1101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1103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1098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1100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1101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1103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1101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1102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1103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1101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1103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1098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1100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1098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1099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1100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1101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1102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1102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1102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1103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1101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1102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1098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1100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1098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1100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1098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1100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1101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1102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1103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1098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1099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1099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1100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1101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1102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1103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3">
      <c r="A4231" s="1101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1104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1103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1105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1098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1099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1100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1098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1099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1100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1101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1102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1102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1103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1101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1103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3">
      <c r="A4251" s="1098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125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3">
      <c r="A4252" s="1099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123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3">
      <c r="A4253" s="1099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123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1100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124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1101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1102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1103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1101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1103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1098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1099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1100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1101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1103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1098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1099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1099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3">
      <c r="A4278" s="1098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125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1100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124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1101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1103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1098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1099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1100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1098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1100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1101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1103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1098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1099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1101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1103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1098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1099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1099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1099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1099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1101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1102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1103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1101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1104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1102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120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1102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120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1103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1105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1098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1100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1101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1103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1101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1103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1098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1099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1100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1101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1103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3">
      <c r="A4331" s="1098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125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1100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124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1098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1099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1098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1099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1099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1099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1099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1100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1101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1102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1098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1099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1100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1101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1103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1101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1102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1103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1098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1099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1100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1101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1102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1103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1098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1099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1100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1098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1100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1101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1103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1098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1099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1100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1101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1102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1102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1103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1098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125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1099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124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1101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1102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1103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1098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1100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1101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1102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1102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1102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1098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1100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1101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1103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1098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1099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1099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1100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1101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1103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1098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1100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1098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1100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1101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1103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1098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1099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1101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1102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1102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1103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1101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1103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1101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1102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1102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1103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1098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1100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1098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1100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1101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1102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1103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1098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1099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1100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1098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1099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1100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1098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1099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1100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1101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1103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1101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1102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1102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1103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1098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125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1099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123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1101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1103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1098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1100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1101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1103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1098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1100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1101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1103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1101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1102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1103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1098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1100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1101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1103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1098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1099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1100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1101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1102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1103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1098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1100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1101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1103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1101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1102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1098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1099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1100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1101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1102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1103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1101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1103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1101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1103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1098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1100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1101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1103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1098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1100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1101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1102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1103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1098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1099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1100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1098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1099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1100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1101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1103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1098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1099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1100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3">
      <c r="A4579" s="1101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1104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3">
      <c r="A4580" s="1102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120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1103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1105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1098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1099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1100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1098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1100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1098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1100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1101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1102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1103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1101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1103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1098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1099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1101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1102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1102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1103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1101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1103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3">
      <c r="A4615" s="1101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1104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1103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1105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1098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1100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1098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1099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1098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1100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1101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1102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1102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1103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1098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1099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1101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1103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1101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1103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1101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1102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1103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1098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1099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1100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1101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1103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1098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1099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1100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1101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1103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1098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1100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1101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1103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1098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1099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1100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1102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1102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1098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1099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1101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1103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1098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1099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1099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1100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1101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1103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1098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1100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1101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1103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3">
      <c r="A4700" s="1101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1104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1103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1105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1101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1102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1103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1098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1099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1100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1101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1102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1103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1098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1099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1098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1100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1101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1102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1098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1100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1101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1103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1098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125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1099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123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1099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123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1100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124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1098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1099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1100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1098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125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1100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124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1101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1102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1101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1102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1103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1098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1099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1100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1101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1104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1103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1105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1101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1103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1098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1099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1098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1099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1099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1100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1101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1104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1102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120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1098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1100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1098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1100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1101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1103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1098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1100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3">
      <c r="A4776" s="1101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1104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1103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1105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1101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1102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1103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1098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1099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1100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3">
      <c r="A4792" s="1098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125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1100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124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1101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1103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1101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1102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1101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1103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1098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1099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1099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1099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1101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1103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1098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1100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1101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1103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1098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125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1099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123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1100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124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1101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1103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1101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1104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1103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1105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1098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1100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1101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1102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1102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1103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3">
      <c r="A4838" s="1098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125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1100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124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1101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1103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1098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1100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1101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1103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1098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1099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1101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1104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1103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1105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1098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1099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1099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1101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1103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3">
      <c r="A4866" s="1101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1104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1103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1105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1098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1099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1099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1100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1101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1103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1098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1099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1100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1101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1102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1102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1103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1098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1100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1101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1103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1098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1100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3">
      <c r="A4893" s="1101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1104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1103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1105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1098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1099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1098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1099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1100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3">
      <c r="A4903" s="1101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1104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1102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120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1098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1100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1098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1099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1100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1101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1102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1103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1101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1103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1101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1103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1098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1099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1099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1100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1101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1104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1103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1105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1101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1103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3">
      <c r="A4935" s="1098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125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1100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124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1101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1102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1102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1098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1100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1101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1103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1098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1100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3">
      <c r="A4950" s="1101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1104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1103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1105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1098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1100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1101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1103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1098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125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1100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124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1101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1103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1098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1099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1100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1101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1103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1098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1099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1100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1098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125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1100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124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1101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1102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1098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1099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1099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1101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1103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1101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1102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1103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1098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1099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1100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3">
      <c r="A4996" s="1098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125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1100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124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1098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125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1100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124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1101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1102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1101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1102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1103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1098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1099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1100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1101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1103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1098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1100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3">
      <c r="A5019" s="1098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125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1100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124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1098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1099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1099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1101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1103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3">
      <c r="A5035" s="1098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125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1100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124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1101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1103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1098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1099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1100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1101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1104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1102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120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1102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120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1098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125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1100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124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1102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1102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1102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1102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1102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1102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1101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1102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1098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1100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1101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1104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1102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177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1102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1102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1102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1098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1100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1101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1102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1103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1098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1100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1101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1103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1101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1103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1098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125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1099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123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1100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124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1101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1102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1098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125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1100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124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1098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1099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1099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1100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1098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1099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1100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1101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1102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1103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1101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1104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1102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120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1102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120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1102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120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1098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1100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1101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1104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1103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1105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1101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1103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1098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1099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1100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1101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1104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1103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1105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1098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1099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1101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1102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1102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1103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1098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1100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3">
      <c r="A5140" s="1101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1104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1103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1105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1098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1099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1100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1098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1099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1101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1102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1102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1098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1100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1098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1099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1099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1100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1098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1100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1098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1099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1101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1102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1102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1103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1098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1099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1100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1101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1103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1098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1100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1101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1103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1101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1104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1102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120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1098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1099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1099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1100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1101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1104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1103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1105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1101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1103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3">
      <c r="A5202" s="1101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1104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1103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1105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1101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1102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1103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1098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1100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1101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1103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1098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125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1100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124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1098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1099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1100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1101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1102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1102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1103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1098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1099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1100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1101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1102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1101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1104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1103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1105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1098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1099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1101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1102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1102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1098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1100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1101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1102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1103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1098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1100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1101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1103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1098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1100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1101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1103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1101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1103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1098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1099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1100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1101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1103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1098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1100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1098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125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1099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123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1101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1102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1102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1098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1100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1101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1102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1102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1103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1098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1099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1100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1098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1099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1101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1103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1098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1099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1100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1101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1102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1102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1103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1098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1100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1101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1103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1101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1102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1101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1104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1102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120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1102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120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1102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120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1102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120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1098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1100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1098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1099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1099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1100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1098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1099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1099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1100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1101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1103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1098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1099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1100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1101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1102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1103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1101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1102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1103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1098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1100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1098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125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1100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124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1098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125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1099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123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1099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123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1099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123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1101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1103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1098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1100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1101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1103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1101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1103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1098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1100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1098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1099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1099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1100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1102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1102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1098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1100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3">
      <c r="A5402" s="1102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120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1102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120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1098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1099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1101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1104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1103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1105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1098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1099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1101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1104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1102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120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1098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1100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1101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1103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1098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1100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1101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1103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1098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1100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1101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1104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1103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1105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1101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1103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1098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1100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1101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1103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1098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1100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1101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1102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1103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1098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1100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1098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1100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1098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1099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1099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1101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1103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1101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1103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1098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1099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1100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1098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1099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1100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1101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1102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1103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1098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1099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1100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1101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1102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1098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125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1100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124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1101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1102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1103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1101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1103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1098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1100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1101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1103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1101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1104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1103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1105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1101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1103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1098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1100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1101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1103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1098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125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1100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124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1098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1099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1099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1099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1100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1101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1102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1103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1101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1102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1098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125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1100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124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1098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125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1099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123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1099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123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1099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123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1100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124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1101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1102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1103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1098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1099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1099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1099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1100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3">
      <c r="A5549" s="1101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1104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1103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1105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1098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1100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1101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1102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1103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1101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1103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1101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1103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1098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1099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1100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1101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1103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1098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1100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1101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1102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1101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1102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1102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1103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1098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1100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1101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1102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1103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1098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1100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1101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1103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1098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125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1100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124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1098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1099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1101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1103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1101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1103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1101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1102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1102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1103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1101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1103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1098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1100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1101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1103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3">
      <c r="A5623" s="1098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125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1100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124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1101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1103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3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131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132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3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181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182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183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1098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1100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181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3">
      <c r="A6560" s="1182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129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183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130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181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183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1098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1099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133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1099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134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178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113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179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137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138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133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134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1098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1100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1098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1099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1099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1099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1099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1098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1100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1098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115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1100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117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1101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1103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1101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1103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1101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1102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1103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1098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1100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1098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1100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1098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1099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1100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1101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1102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1103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1098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1099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1099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1101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1103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1098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1099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1100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1098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1099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1099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1100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1098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1099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1100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1101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1103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1098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125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1100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124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1098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1099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133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134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113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113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114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1109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1111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1101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1103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1101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1102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1109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1111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112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114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1109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110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110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1111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112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113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114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1109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1111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112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114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1109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110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1111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112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114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1109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110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1111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1101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1102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1102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1102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1098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1099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1099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1100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112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114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112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106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113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107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114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108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1098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123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1100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123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112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1104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114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120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1109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1111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1101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1103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1098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1100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1101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1102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133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180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112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114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112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114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112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113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114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1098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1099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1100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1101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1102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1103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1098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1099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1100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1098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1100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112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113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114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1109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110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110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1111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112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113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113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1098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1099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1098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1100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112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113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113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114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1109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110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110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112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114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1109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110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110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3">
      <c r="A6785" s="1112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1104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114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1105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3">
      <c r="A6787" s="1098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125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1099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124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1101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1103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1098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1099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1099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1109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110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110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110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1101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1102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1101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1102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1102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1103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1098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1099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1099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1100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1098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1099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1099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1099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1100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1101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1102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1102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1102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1102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1102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1103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1109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110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110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1111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1101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1102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1103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1109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110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1111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1109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110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110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110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1101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1102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1103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110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110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110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110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1111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112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114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1109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1111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112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113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113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114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112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106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113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107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114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108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1098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1100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1101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1103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1109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3">
      <c r="A6871" s="1110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1111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112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3">
      <c r="A6874" s="1113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114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1109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123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1111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123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1101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1104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1103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1105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1101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1103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1109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1111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1101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1103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1098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1100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1101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1102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1103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1109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110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1111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112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113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114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1098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1099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1099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1099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1101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1102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1102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1103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127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128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1098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1099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1099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1099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1100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1101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1102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1103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1101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1103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1109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1111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1101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1102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1102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1103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1109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125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110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123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110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123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1111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124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1101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1103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1101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1103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1109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1111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112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106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113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107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113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126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113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126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114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108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1109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123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1110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123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1111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124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1101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1103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1101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1102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1103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1109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1111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1101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1102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1102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1102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1103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1109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1111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1101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1102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1102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1102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1103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1098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1099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1099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1099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1101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1102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1102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1103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1109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1111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1101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1103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1098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1099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1100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1101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1102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1102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1103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1109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1110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1111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3">
      <c r="A6999" s="1112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1104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113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120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3">
      <c r="A7001" s="1113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120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3">
      <c r="A7002" s="1113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120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114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1105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1109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1111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1101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1103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1101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1102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1103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1109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125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1111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124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1109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1110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1111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1101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1103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1098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1099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1100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1098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1099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1100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1101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1103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1109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1111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1101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1103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1101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1102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1102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1102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1103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1109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1110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1111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1101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1102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1102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1103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1109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1111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1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1101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1103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1098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1099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1099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1100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1109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115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1110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116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1110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116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1111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117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1101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1104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1103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1105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1098">
        <f>MAX(A6941:A7067)+1</f>
        <v>4371</v>
      </c>
      <c r="B7069" s="531" t="s">
        <v>2162</v>
      </c>
      <c r="C7069" s="969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8">
        <v>1678.8</v>
      </c>
      <c r="N7069" s="539">
        <v>0.54166666666666663</v>
      </c>
      <c r="O7069" s="897" t="s">
        <v>2221</v>
      </c>
      <c r="P7069" s="867" t="s">
        <v>2441</v>
      </c>
      <c r="R7069" s="943"/>
    </row>
    <row r="7070" spans="1:18" ht="19.5" hidden="1" thickBot="1" x14ac:dyDescent="0.3">
      <c r="A7070" s="1099"/>
      <c r="B7070" s="563" t="s">
        <v>2162</v>
      </c>
      <c r="C7070" s="962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3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1099"/>
      <c r="B7071" s="563" t="s">
        <v>2162</v>
      </c>
      <c r="C7071" s="970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1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1100"/>
      <c r="B7072" s="636" t="s">
        <v>2162</v>
      </c>
      <c r="C7072" s="964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5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8" ht="38.25" hidden="1" thickBot="1" x14ac:dyDescent="0.3">
      <c r="A7073" s="513">
        <f>MAX(A6945:A7072)+1</f>
        <v>4372</v>
      </c>
      <c r="B7073" s="514" t="s">
        <v>2162</v>
      </c>
      <c r="C7073" s="966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7">
        <v>5004</v>
      </c>
      <c r="N7073" s="522">
        <v>0.58333333333333337</v>
      </c>
      <c r="O7073" s="897" t="s">
        <v>2224</v>
      </c>
      <c r="P7073" s="867" t="s">
        <v>2289</v>
      </c>
    </row>
    <row r="7074" spans="1:18" ht="19.5" hidden="1" thickBot="1" x14ac:dyDescent="0.3">
      <c r="A7074" s="1098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8" ht="19.5" hidden="1" thickBot="1" x14ac:dyDescent="0.3">
      <c r="A7075" s="1100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8" ht="19.5" hidden="1" thickBot="1" x14ac:dyDescent="0.3">
      <c r="A7076" s="1101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8" ht="19.5" hidden="1" thickBot="1" x14ac:dyDescent="0.3">
      <c r="A7077" s="1103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8" ht="19.5" hidden="1" thickBot="1" x14ac:dyDescent="0.3">
      <c r="A7078" s="1109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8" ht="19.5" hidden="1" thickBot="1" x14ac:dyDescent="0.3">
      <c r="A7079" s="1111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8" ht="19.5" hidden="1" thickBot="1" x14ac:dyDescent="0.3">
      <c r="A7080" s="1101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121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8" ht="19.5" hidden="1" thickBot="1" x14ac:dyDescent="0.3">
      <c r="A7081" s="1103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122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8" ht="19.5" hidden="1" thickBot="1" x14ac:dyDescent="0.3">
      <c r="A7082" s="1098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8" ht="19.5" hidden="1" thickBot="1" x14ac:dyDescent="0.3">
      <c r="A7083" s="1100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8" ht="19.5" hidden="1" thickBot="1" x14ac:dyDescent="0.3">
      <c r="A7084" s="1101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8" ht="19.5" hidden="1" thickBot="1" x14ac:dyDescent="0.3">
      <c r="A7085" s="1103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8" ht="19.5" hidden="1" thickBot="1" x14ac:dyDescent="0.3">
      <c r="A7086" s="1098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8" ht="19.5" hidden="1" thickBot="1" x14ac:dyDescent="0.3">
      <c r="A7087" s="1100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8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1109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1111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1101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1103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3">
      <c r="A7097" s="1098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1099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1099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1099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1099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1100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hidden="1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8" t="str">
        <f t="shared" si="213"/>
        <v>08,26</v>
      </c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ht="19.5" hidden="1" thickBot="1" x14ac:dyDescent="0.3">
      <c r="A7104" s="1109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35" t="str">
        <f t="shared" si="213"/>
        <v>08,26</v>
      </c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hidden="1" thickBot="1" x14ac:dyDescent="0.3">
      <c r="A7105" s="1111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01" t="str">
        <f t="shared" si="213"/>
        <v>08,26</v>
      </c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ht="19.5" hidden="1" thickBot="1" x14ac:dyDescent="0.3">
      <c r="A7106" s="1112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83" t="str">
        <f t="shared" si="213"/>
        <v>08,26</v>
      </c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ht="19.5" hidden="1" thickBot="1" x14ac:dyDescent="0.3">
      <c r="A7107" s="1113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63" t="str">
        <f t="shared" si="213"/>
        <v>08,26</v>
      </c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ht="19.5" hidden="1" thickBot="1" x14ac:dyDescent="0.3">
      <c r="A7108" s="1113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860" t="str">
        <f t="shared" si="213"/>
        <v>08,26</v>
      </c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hidden="1" thickBot="1" x14ac:dyDescent="0.3">
      <c r="A7109" s="1114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08" t="str">
        <f t="shared" si="213"/>
        <v>08,26</v>
      </c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ht="19.5" hidden="1" thickBot="1" x14ac:dyDescent="0.3">
      <c r="A7110" s="1109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35" t="str">
        <f t="shared" si="213"/>
        <v>08,26</v>
      </c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hidden="1" thickBot="1" x14ac:dyDescent="0.3">
      <c r="A7111" s="1111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01" t="str">
        <f t="shared" si="213"/>
        <v>08,26</v>
      </c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ht="19.5" hidden="1" thickBot="1" x14ac:dyDescent="0.3">
      <c r="A7112" s="1101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83" t="str">
        <f t="shared" si="213"/>
        <v>08,26</v>
      </c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ht="19.5" hidden="1" thickBot="1" x14ac:dyDescent="0.3">
      <c r="A7113" s="1102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63" t="str">
        <f t="shared" si="213"/>
        <v>08,26</v>
      </c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hidden="1" thickBot="1" x14ac:dyDescent="0.3">
      <c r="A7114" s="1103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6" t="str">
        <f t="shared" si="213"/>
        <v>08,26</v>
      </c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ht="19.5" hidden="1" thickBot="1" x14ac:dyDescent="0.3">
      <c r="A7115" s="1098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125" t="s">
        <v>2386</v>
      </c>
      <c r="H7115" s="535" t="s">
        <v>2329</v>
      </c>
      <c r="I7115" s="537" t="s">
        <v>2347</v>
      </c>
      <c r="J7115" s="538"/>
      <c r="K7115" s="535" t="str">
        <f t="shared" si="213"/>
        <v>09,26</v>
      </c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2438</v>
      </c>
      <c r="R7115" s="943"/>
    </row>
    <row r="7116" spans="1:18" ht="19.5" hidden="1" thickBot="1" x14ac:dyDescent="0.3">
      <c r="A7116" s="1099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123"/>
      <c r="H7116" s="567" t="s">
        <v>2329</v>
      </c>
      <c r="I7116" s="569" t="s">
        <v>2347</v>
      </c>
      <c r="J7116" s="570"/>
      <c r="K7116" s="567" t="str">
        <f t="shared" si="213"/>
        <v>09,26</v>
      </c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2439</v>
      </c>
      <c r="R7116" s="943"/>
    </row>
    <row r="7117" spans="1:18" ht="19.5" hidden="1" thickBot="1" x14ac:dyDescent="0.3">
      <c r="A7117" s="1099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123"/>
      <c r="H7117" s="567" t="s">
        <v>2329</v>
      </c>
      <c r="I7117" s="569" t="s">
        <v>2347</v>
      </c>
      <c r="J7117" s="570"/>
      <c r="K7117" s="567" t="str">
        <f t="shared" si="213"/>
        <v>09,26</v>
      </c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2440</v>
      </c>
      <c r="R7117" s="943"/>
    </row>
    <row r="7118" spans="1:18" ht="19.5" hidden="1" thickBot="1" x14ac:dyDescent="0.3">
      <c r="A7118" s="1100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124"/>
      <c r="H7118" s="829" t="s">
        <v>2329</v>
      </c>
      <c r="I7118" s="829" t="s">
        <v>2422</v>
      </c>
      <c r="J7118" s="831"/>
      <c r="K7118" s="829" t="str">
        <f t="shared" si="213"/>
        <v>09,26</v>
      </c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2499</v>
      </c>
      <c r="R7118" s="2"/>
    </row>
    <row r="7119" spans="1:18" ht="19.5" hidden="1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>
        <v>5.0010000000000003</v>
      </c>
      <c r="F7119" s="518" t="s">
        <v>16</v>
      </c>
      <c r="G7119" s="519" t="s">
        <v>2299</v>
      </c>
      <c r="H7119" s="518" t="s">
        <v>2329</v>
      </c>
      <c r="I7119" s="520" t="s">
        <v>2423</v>
      </c>
      <c r="J7119" s="521"/>
      <c r="K7119" s="518" t="str">
        <f t="shared" ref="K7119:K7182" si="215">RIGHT(I7119,5)</f>
        <v>09,26</v>
      </c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 t="s">
        <v>2513</v>
      </c>
      <c r="Q7119" s="2"/>
      <c r="R7119" s="2"/>
    </row>
    <row r="7120" spans="1:18" ht="57" hidden="1" thickBot="1" x14ac:dyDescent="0.3">
      <c r="A7120" s="1098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5" t="str">
        <f t="shared" si="215"/>
        <v>08,26</v>
      </c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ht="19.5" hidden="1" thickBot="1" x14ac:dyDescent="0.3">
      <c r="A7121" s="1099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7" t="str">
        <f t="shared" si="215"/>
        <v>08,26</v>
      </c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ht="19.5" hidden="1" thickBot="1" x14ac:dyDescent="0.3">
      <c r="A7122" s="1099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7" t="str">
        <f t="shared" si="215"/>
        <v>08,26</v>
      </c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2413</v>
      </c>
    </row>
    <row r="7123" spans="1:18" ht="19.5" hidden="1" thickBot="1" x14ac:dyDescent="0.3">
      <c r="A7123" s="1099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 t="s">
        <v>76</v>
      </c>
      <c r="H7123" s="839" t="s">
        <v>2329</v>
      </c>
      <c r="I7123" s="839" t="s">
        <v>2329</v>
      </c>
      <c r="J7123" s="840"/>
      <c r="K7123" s="839" t="str">
        <f t="shared" si="215"/>
        <v>08,26</v>
      </c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2414</v>
      </c>
    </row>
    <row r="7124" spans="1:18" ht="19.5" hidden="1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8" t="str">
        <f t="shared" si="215"/>
        <v>08,26</v>
      </c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hidden="1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8" t="str">
        <f t="shared" si="215"/>
        <v>08,26</v>
      </c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hidden="1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7" t="str">
        <f t="shared" si="215"/>
        <v>08,26</v>
      </c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ht="19.5" hidden="1" thickBot="1" x14ac:dyDescent="0.3">
      <c r="A7127" s="1098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125" t="s">
        <v>1634</v>
      </c>
      <c r="H7127" s="535" t="s">
        <v>2344</v>
      </c>
      <c r="I7127" s="537" t="s">
        <v>2347</v>
      </c>
      <c r="J7127" s="538"/>
      <c r="K7127" s="535" t="str">
        <f t="shared" si="215"/>
        <v>09,26</v>
      </c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2436</v>
      </c>
    </row>
    <row r="7128" spans="1:18" ht="19.5" hidden="1" thickBot="1" x14ac:dyDescent="0.3">
      <c r="A7128" s="1100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124"/>
      <c r="H7128" s="788" t="s">
        <v>2344</v>
      </c>
      <c r="I7128" s="788" t="s">
        <v>2422</v>
      </c>
      <c r="J7128" s="790"/>
      <c r="K7128" s="788" t="str">
        <f t="shared" si="215"/>
        <v>09,26</v>
      </c>
      <c r="L7128" s="788" t="s">
        <v>28</v>
      </c>
      <c r="M7128" s="788">
        <v>2505</v>
      </c>
      <c r="N7128" s="784">
        <v>0.45833333333333331</v>
      </c>
      <c r="O7128" s="897" t="s">
        <v>2421</v>
      </c>
      <c r="P7128" s="867" t="s">
        <v>2500</v>
      </c>
    </row>
    <row r="7129" spans="1:18" ht="19.5" hidden="1" thickBot="1" x14ac:dyDescent="0.3">
      <c r="A7129" s="1101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1104" t="s">
        <v>1634</v>
      </c>
      <c r="H7129" s="483" t="s">
        <v>2344</v>
      </c>
      <c r="I7129" s="484" t="s">
        <v>2347</v>
      </c>
      <c r="J7129" s="485"/>
      <c r="K7129" s="483" t="str">
        <f t="shared" si="215"/>
        <v>09,26</v>
      </c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2445</v>
      </c>
    </row>
    <row r="7130" spans="1:18" ht="19.5" hidden="1" thickBot="1" x14ac:dyDescent="0.3">
      <c r="A7130" s="1103"/>
      <c r="B7130" s="841" t="s">
        <v>2405</v>
      </c>
      <c r="C7130" s="975" t="s">
        <v>47</v>
      </c>
      <c r="D7130" s="976">
        <v>3.8</v>
      </c>
      <c r="E7130" s="976">
        <v>3.8260000000000001</v>
      </c>
      <c r="F7130" s="977" t="s">
        <v>16</v>
      </c>
      <c r="G7130" s="1120"/>
      <c r="H7130" s="977" t="s">
        <v>2344</v>
      </c>
      <c r="I7130" s="977" t="s">
        <v>2405</v>
      </c>
      <c r="J7130" s="845"/>
      <c r="K7130" s="977" t="str">
        <f t="shared" si="215"/>
        <v>09,26</v>
      </c>
      <c r="L7130" s="977" t="s">
        <v>28</v>
      </c>
      <c r="M7130" s="977">
        <v>3810</v>
      </c>
      <c r="N7130" s="846">
        <v>0.5</v>
      </c>
      <c r="O7130" s="897" t="s">
        <v>2424</v>
      </c>
      <c r="P7130" s="867" t="s">
        <v>2446</v>
      </c>
    </row>
    <row r="7131" spans="1:18" ht="19.5" hidden="1" thickBot="1" x14ac:dyDescent="0.3">
      <c r="A7131" s="1098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2415</v>
      </c>
      <c r="J7131" s="538"/>
      <c r="K7131" s="535" t="str">
        <f t="shared" si="215"/>
        <v>09,26</v>
      </c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2463</v>
      </c>
      <c r="R7131" s="943"/>
    </row>
    <row r="7132" spans="1:18" ht="19.5" hidden="1" thickBot="1" x14ac:dyDescent="0.3">
      <c r="A7132" s="1099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2415</v>
      </c>
      <c r="J7132" s="825"/>
      <c r="K7132" s="819" t="str">
        <f t="shared" si="215"/>
        <v>09,26</v>
      </c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2464</v>
      </c>
      <c r="R7132" s="943"/>
    </row>
    <row r="7133" spans="1:18" ht="19.5" hidden="1" thickBot="1" x14ac:dyDescent="0.3">
      <c r="A7133" s="1099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2415</v>
      </c>
      <c r="J7133" s="818"/>
      <c r="K7133" s="816" t="str">
        <f t="shared" si="215"/>
        <v>09,26</v>
      </c>
      <c r="L7133" s="816" t="s">
        <v>28</v>
      </c>
      <c r="M7133" s="816">
        <v>2310</v>
      </c>
      <c r="N7133" s="811">
        <v>0.54166666666666663</v>
      </c>
      <c r="O7133" s="897" t="s">
        <v>2430</v>
      </c>
      <c r="P7133" s="867" t="s">
        <v>2465</v>
      </c>
      <c r="R7133" s="943"/>
    </row>
    <row r="7134" spans="1:18" ht="19.5" hidden="1" thickBot="1" x14ac:dyDescent="0.3">
      <c r="A7134" s="1100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2415</v>
      </c>
      <c r="J7134" s="790"/>
      <c r="K7134" s="788" t="str">
        <f t="shared" si="215"/>
        <v>09,26</v>
      </c>
      <c r="L7134" s="788" t="s">
        <v>28</v>
      </c>
      <c r="M7134" s="788">
        <v>1020</v>
      </c>
      <c r="N7134" s="784">
        <v>0.54166666666666663</v>
      </c>
      <c r="O7134" s="897" t="s">
        <v>2433</v>
      </c>
      <c r="P7134" s="867" t="s">
        <v>2466</v>
      </c>
    </row>
    <row r="7135" spans="1:18" ht="19.5" hidden="1" thickBot="1" x14ac:dyDescent="0.3">
      <c r="A7135" s="1101">
        <f t="shared" ref="A7135" si="216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118" t="s">
        <v>2346</v>
      </c>
      <c r="H7135" s="527" t="s">
        <v>2344</v>
      </c>
      <c r="I7135" s="528" t="s">
        <v>2344</v>
      </c>
      <c r="J7135" s="529"/>
      <c r="K7135" s="527" t="str">
        <f t="shared" si="215"/>
        <v>08,26</v>
      </c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ht="19.5" hidden="1" thickBot="1" x14ac:dyDescent="0.3">
      <c r="A7136" s="1102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118"/>
      <c r="H7136" s="763" t="s">
        <v>2344</v>
      </c>
      <c r="I7136" s="768" t="s">
        <v>2344</v>
      </c>
      <c r="J7136" s="779"/>
      <c r="K7136" s="763" t="str">
        <f t="shared" si="215"/>
        <v>08,26</v>
      </c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18" ht="19.5" hidden="1" thickBot="1" x14ac:dyDescent="0.3">
      <c r="A7137" s="1103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119"/>
      <c r="H7137" s="856" t="s">
        <v>2344</v>
      </c>
      <c r="I7137" s="856" t="s">
        <v>2344</v>
      </c>
      <c r="J7137" s="858"/>
      <c r="K7137" s="856" t="str">
        <f t="shared" si="215"/>
        <v>08,26</v>
      </c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18" ht="19.5" hidden="1" thickBot="1" x14ac:dyDescent="0.3">
      <c r="A7138" s="1098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3" t="s">
        <v>23</v>
      </c>
      <c r="H7138" s="535" t="s">
        <v>2344</v>
      </c>
      <c r="I7138" s="537" t="s">
        <v>2405</v>
      </c>
      <c r="J7138" s="538"/>
      <c r="K7138" s="535" t="str">
        <f t="shared" si="215"/>
        <v>09,26</v>
      </c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2450</v>
      </c>
    </row>
    <row r="7139" spans="1:18" ht="19.5" hidden="1" thickBot="1" x14ac:dyDescent="0.3">
      <c r="A7139" s="1100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4"/>
      <c r="H7139" s="640" t="s">
        <v>2344</v>
      </c>
      <c r="I7139" s="642" t="s">
        <v>2405</v>
      </c>
      <c r="J7139" s="643"/>
      <c r="K7139" s="640" t="str">
        <f t="shared" si="215"/>
        <v>09,26</v>
      </c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2449</v>
      </c>
    </row>
    <row r="7140" spans="1:18" ht="19.5" hidden="1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2"/>
      <c r="H7140" s="518" t="s">
        <v>2344</v>
      </c>
      <c r="I7140" s="520" t="s">
        <v>2405</v>
      </c>
      <c r="J7140" s="521"/>
      <c r="K7140" s="518" t="str">
        <f t="shared" si="215"/>
        <v>09,26</v>
      </c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2448</v>
      </c>
    </row>
    <row r="7141" spans="1:18" ht="19.5" hidden="1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8" t="str">
        <f t="shared" si="215"/>
        <v>09,26</v>
      </c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2420</v>
      </c>
    </row>
    <row r="7142" spans="1:18" ht="19.5" hidden="1" thickBot="1" x14ac:dyDescent="0.3">
      <c r="A7142" s="1101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2422</v>
      </c>
      <c r="J7142" s="485"/>
      <c r="K7142" s="483" t="str">
        <f t="shared" si="215"/>
        <v>09,26</v>
      </c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2490</v>
      </c>
      <c r="Q7142" s="847" t="s">
        <v>2492</v>
      </c>
    </row>
    <row r="7143" spans="1:18" ht="19.5" hidden="1" thickBot="1" x14ac:dyDescent="0.3">
      <c r="A7143" s="1103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 t="s">
        <v>76</v>
      </c>
      <c r="H7143" s="808" t="s">
        <v>2347</v>
      </c>
      <c r="I7143" s="808" t="s">
        <v>2422</v>
      </c>
      <c r="J7143" s="810"/>
      <c r="K7143" s="808" t="str">
        <f t="shared" si="215"/>
        <v>09,26</v>
      </c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2491</v>
      </c>
    </row>
    <row r="7144" spans="1:18" ht="19.5" hidden="1" thickBot="1" x14ac:dyDescent="0.3">
      <c r="A7144" s="1098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2422</v>
      </c>
      <c r="J7144" s="538"/>
      <c r="K7144" s="535" t="str">
        <f t="shared" si="215"/>
        <v>09,26</v>
      </c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2503</v>
      </c>
    </row>
    <row r="7145" spans="1:18" ht="19.5" hidden="1" thickBot="1" x14ac:dyDescent="0.3">
      <c r="A7145" s="1099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7" t="str">
        <f t="shared" si="215"/>
        <v>09,26</v>
      </c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2437</v>
      </c>
    </row>
    <row r="7146" spans="1:18" ht="19.5" hidden="1" thickBot="1" x14ac:dyDescent="0.3">
      <c r="A7146" s="1099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2422</v>
      </c>
      <c r="J7146" s="570"/>
      <c r="K7146" s="567" t="str">
        <f t="shared" si="215"/>
        <v>09,26</v>
      </c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2502</v>
      </c>
    </row>
    <row r="7147" spans="1:18" ht="19.5" hidden="1" thickBot="1" x14ac:dyDescent="0.3">
      <c r="A7147" s="1100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2422</v>
      </c>
      <c r="J7147" s="831"/>
      <c r="K7147" s="829" t="str">
        <f t="shared" si="215"/>
        <v>09,26</v>
      </c>
      <c r="L7147" s="829" t="s">
        <v>28</v>
      </c>
      <c r="M7147" s="829">
        <v>1605.1200000000001</v>
      </c>
      <c r="N7147" s="644">
        <v>0.41666666666666669</v>
      </c>
      <c r="O7147" s="897" t="s">
        <v>2431</v>
      </c>
      <c r="P7147" s="867" t="s">
        <v>2501</v>
      </c>
    </row>
    <row r="7148" spans="1:18" ht="19.5" hidden="1" thickBot="1" x14ac:dyDescent="0.3">
      <c r="A7148" s="1101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121" t="s">
        <v>1633</v>
      </c>
      <c r="H7148" s="483" t="s">
        <v>2347</v>
      </c>
      <c r="I7148" s="484" t="s">
        <v>2347</v>
      </c>
      <c r="J7148" s="485"/>
      <c r="K7148" s="483" t="str">
        <f t="shared" si="215"/>
        <v>09,26</v>
      </c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2442</v>
      </c>
    </row>
    <row r="7149" spans="1:18" ht="19.5" hidden="1" thickBot="1" x14ac:dyDescent="0.3">
      <c r="A7149" s="1102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186"/>
      <c r="H7149" s="527" t="s">
        <v>2347</v>
      </c>
      <c r="I7149" s="528" t="s">
        <v>2347</v>
      </c>
      <c r="J7149" s="529"/>
      <c r="K7149" s="527" t="str">
        <f t="shared" si="215"/>
        <v>09,26</v>
      </c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2443</v>
      </c>
    </row>
    <row r="7150" spans="1:18" ht="19.5" hidden="1" thickBot="1" x14ac:dyDescent="0.3">
      <c r="A7150" s="1103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186"/>
      <c r="H7150" s="499" t="s">
        <v>2347</v>
      </c>
      <c r="I7150" s="500" t="s">
        <v>2347</v>
      </c>
      <c r="J7150" s="501"/>
      <c r="K7150" s="499" t="str">
        <f t="shared" si="215"/>
        <v>09,26</v>
      </c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2444</v>
      </c>
    </row>
    <row r="7151" spans="1:18" ht="19.5" hidden="1" thickBot="1" x14ac:dyDescent="0.3">
      <c r="A7151" s="1109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2415</v>
      </c>
      <c r="J7151" s="538"/>
      <c r="K7151" s="535" t="str">
        <f t="shared" si="215"/>
        <v>09,26</v>
      </c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2467</v>
      </c>
      <c r="R7151" s="943"/>
    </row>
    <row r="7152" spans="1:18" ht="19.5" hidden="1" thickBot="1" x14ac:dyDescent="0.3">
      <c r="A7152" s="1110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2415</v>
      </c>
      <c r="J7152" s="825"/>
      <c r="K7152" s="819" t="str">
        <f t="shared" si="215"/>
        <v>09,26</v>
      </c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2468</v>
      </c>
      <c r="R7152" s="943"/>
    </row>
    <row r="7153" spans="1:18" ht="19.5" hidden="1" thickBot="1" x14ac:dyDescent="0.3">
      <c r="A7153" s="1111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2415</v>
      </c>
      <c r="J7153" s="790"/>
      <c r="K7153" s="788" t="str">
        <f t="shared" si="215"/>
        <v>09,26</v>
      </c>
      <c r="L7153" s="788" t="s">
        <v>28</v>
      </c>
      <c r="M7153" s="788">
        <v>1605</v>
      </c>
      <c r="N7153" s="784">
        <v>0.5</v>
      </c>
      <c r="O7153" s="897" t="s">
        <v>2432</v>
      </c>
      <c r="P7153" s="867" t="s">
        <v>2469</v>
      </c>
      <c r="R7153" s="943"/>
    </row>
    <row r="7154" spans="1:18" ht="19.5" hidden="1" thickBot="1" x14ac:dyDescent="0.3">
      <c r="A7154" s="662">
        <f t="shared" ref="A7154:A7161" si="217">MAX(A7001:A7153)+1</f>
        <v>4410</v>
      </c>
      <c r="B7154" s="933" t="s">
        <v>2294</v>
      </c>
      <c r="C7154" s="934" t="s">
        <v>1382</v>
      </c>
      <c r="D7154" s="935">
        <v>8</v>
      </c>
      <c r="E7154" s="936" t="s">
        <v>1496</v>
      </c>
      <c r="F7154" s="937" t="s">
        <v>16</v>
      </c>
      <c r="G7154" s="938" t="s">
        <v>2299</v>
      </c>
      <c r="H7154" s="937" t="s">
        <v>2347</v>
      </c>
      <c r="I7154" s="939" t="s">
        <v>1496</v>
      </c>
      <c r="J7154" s="940"/>
      <c r="K7154" s="937" t="str">
        <f t="shared" si="215"/>
        <v>тмена</v>
      </c>
      <c r="L7154" s="937" t="s">
        <v>266</v>
      </c>
      <c r="M7154" s="937">
        <v>8001</v>
      </c>
      <c r="N7154" s="941">
        <v>0.54166666666666663</v>
      </c>
      <c r="O7154" s="920" t="s">
        <v>2373</v>
      </c>
      <c r="P7154" s="921" t="s">
        <v>1024</v>
      </c>
    </row>
    <row r="7155" spans="1:18" ht="19.5" hidden="1" thickBot="1" x14ac:dyDescent="0.3">
      <c r="A7155" s="503">
        <f t="shared" si="217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8" t="str">
        <f t="shared" si="215"/>
        <v>09,26</v>
      </c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2447</v>
      </c>
    </row>
    <row r="7156" spans="1:18" ht="19.5" hidden="1" thickBot="1" x14ac:dyDescent="0.3">
      <c r="A7156" s="572">
        <f t="shared" si="217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2422</v>
      </c>
      <c r="J7156" s="580"/>
      <c r="K7156" s="577" t="str">
        <f t="shared" si="215"/>
        <v>09,26</v>
      </c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2498</v>
      </c>
    </row>
    <row r="7157" spans="1:18" ht="19.5" hidden="1" thickBot="1" x14ac:dyDescent="0.3">
      <c r="A7157" s="503">
        <f t="shared" si="217"/>
        <v>4413</v>
      </c>
      <c r="B7157" s="504" t="s">
        <v>2347</v>
      </c>
      <c r="C7157" s="505" t="s">
        <v>32</v>
      </c>
      <c r="D7157" s="506">
        <v>17.948</v>
      </c>
      <c r="E7157" s="507">
        <v>17.501000000000001</v>
      </c>
      <c r="F7157" s="508" t="s">
        <v>16</v>
      </c>
      <c r="G7157" s="509"/>
      <c r="H7157" s="508" t="s">
        <v>2415</v>
      </c>
      <c r="I7157" s="510" t="s">
        <v>2422</v>
      </c>
      <c r="J7157" s="511"/>
      <c r="K7157" s="508" t="str">
        <f t="shared" si="215"/>
        <v>09,26</v>
      </c>
      <c r="L7157" s="508" t="s">
        <v>266</v>
      </c>
      <c r="M7157" s="508">
        <v>18112.099999999995</v>
      </c>
      <c r="N7157" s="512">
        <v>0.41666666666666669</v>
      </c>
      <c r="O7157" s="897" t="s">
        <v>2416</v>
      </c>
      <c r="P7157" s="867" t="s">
        <v>2523</v>
      </c>
    </row>
    <row r="7158" spans="1:18" ht="19.5" hidden="1" thickBot="1" x14ac:dyDescent="0.3">
      <c r="A7158" s="513">
        <f t="shared" si="217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2415</v>
      </c>
      <c r="I7158" s="520" t="s">
        <v>2422</v>
      </c>
      <c r="J7158" s="521"/>
      <c r="K7158" s="518" t="str">
        <f t="shared" si="215"/>
        <v>09,26</v>
      </c>
      <c r="L7158" s="518" t="s">
        <v>266</v>
      </c>
      <c r="M7158" s="518">
        <v>18033.18</v>
      </c>
      <c r="N7158" s="522">
        <v>0.45833333333333331</v>
      </c>
      <c r="O7158" s="897" t="s">
        <v>2417</v>
      </c>
      <c r="P7158" s="867" t="s">
        <v>2489</v>
      </c>
    </row>
    <row r="7159" spans="1:18" ht="19.5" hidden="1" thickBot="1" x14ac:dyDescent="0.3">
      <c r="A7159" s="662">
        <f t="shared" si="217"/>
        <v>4415</v>
      </c>
      <c r="B7159" s="663" t="s">
        <v>2347</v>
      </c>
      <c r="C7159" s="664" t="s">
        <v>32</v>
      </c>
      <c r="D7159" s="665">
        <v>17.600000000000001</v>
      </c>
      <c r="E7159" s="666" t="s">
        <v>1496</v>
      </c>
      <c r="F7159" s="667" t="s">
        <v>16</v>
      </c>
      <c r="G7159" s="668" t="s">
        <v>2299</v>
      </c>
      <c r="H7159" s="667" t="s">
        <v>2415</v>
      </c>
      <c r="I7159" s="669" t="s">
        <v>1496</v>
      </c>
      <c r="J7159" s="670"/>
      <c r="K7159" s="667" t="str">
        <f t="shared" si="215"/>
        <v>тмена</v>
      </c>
      <c r="L7159" s="667" t="s">
        <v>266</v>
      </c>
      <c r="M7159" s="667">
        <v>17604.599999999999</v>
      </c>
      <c r="N7159" s="671">
        <v>0.5</v>
      </c>
      <c r="O7159" s="920" t="s">
        <v>2418</v>
      </c>
      <c r="P7159" s="921" t="s">
        <v>1024</v>
      </c>
    </row>
    <row r="7160" spans="1:18" ht="19.5" hidden="1" thickBot="1" x14ac:dyDescent="0.3">
      <c r="A7160" s="572">
        <f t="shared" si="217"/>
        <v>4416</v>
      </c>
      <c r="B7160" s="573" t="s">
        <v>2347</v>
      </c>
      <c r="C7160" s="574" t="s">
        <v>848</v>
      </c>
      <c r="D7160" s="575">
        <v>18.010999999999999</v>
      </c>
      <c r="E7160" s="576">
        <v>16.792999999999999</v>
      </c>
      <c r="F7160" s="577" t="s">
        <v>16</v>
      </c>
      <c r="G7160" s="578"/>
      <c r="H7160" s="577" t="s">
        <v>2415</v>
      </c>
      <c r="I7160" s="579" t="s">
        <v>2470</v>
      </c>
      <c r="J7160" s="580"/>
      <c r="K7160" s="577" t="str">
        <f t="shared" si="215"/>
        <v>09,26</v>
      </c>
      <c r="L7160" s="577" t="s">
        <v>266</v>
      </c>
      <c r="M7160" s="577">
        <v>18121.16</v>
      </c>
      <c r="N7160" s="581">
        <v>0.54166666666666663</v>
      </c>
      <c r="O7160" s="897" t="s">
        <v>2419</v>
      </c>
      <c r="P7160" s="867" t="s">
        <v>2537</v>
      </c>
    </row>
    <row r="7161" spans="1:18" ht="19.5" hidden="1" thickBot="1" x14ac:dyDescent="0.3">
      <c r="A7161" s="1109">
        <f t="shared" si="217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2422</v>
      </c>
      <c r="I7161" s="537" t="s">
        <v>2422</v>
      </c>
      <c r="J7161" s="538"/>
      <c r="K7161" s="535" t="str">
        <f t="shared" si="215"/>
        <v>09,26</v>
      </c>
      <c r="L7161" s="535" t="s">
        <v>265</v>
      </c>
      <c r="M7161" s="535">
        <v>17770.98</v>
      </c>
      <c r="N7161" s="539">
        <v>0.375</v>
      </c>
      <c r="O7161" s="897" t="s">
        <v>2425</v>
      </c>
      <c r="P7161" s="867" t="s">
        <v>2495</v>
      </c>
    </row>
    <row r="7162" spans="1:18" ht="19.5" hidden="1" thickBot="1" x14ac:dyDescent="0.3">
      <c r="A7162" s="1111"/>
      <c r="B7162" s="798" t="s">
        <v>2415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 t="s">
        <v>76</v>
      </c>
      <c r="H7162" s="801" t="s">
        <v>2422</v>
      </c>
      <c r="I7162" s="801" t="s">
        <v>2422</v>
      </c>
      <c r="J7162" s="803"/>
      <c r="K7162" s="801" t="str">
        <f t="shared" si="215"/>
        <v>09,26</v>
      </c>
      <c r="L7162" s="801" t="s">
        <v>265</v>
      </c>
      <c r="M7162" s="801">
        <v>1250</v>
      </c>
      <c r="N7162" s="804">
        <v>0.375</v>
      </c>
      <c r="O7162" s="897" t="s">
        <v>2461</v>
      </c>
      <c r="P7162" s="867" t="s">
        <v>2496</v>
      </c>
    </row>
    <row r="7163" spans="1:18" ht="19.5" hidden="1" thickBot="1" x14ac:dyDescent="0.3">
      <c r="A7163" s="1112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2422</v>
      </c>
      <c r="I7163" s="484" t="s">
        <v>2422</v>
      </c>
      <c r="J7163" s="485"/>
      <c r="K7163" s="483" t="str">
        <f t="shared" si="215"/>
        <v>09,26</v>
      </c>
      <c r="L7163" s="483" t="s">
        <v>265</v>
      </c>
      <c r="M7163" s="483">
        <v>17390.300000000003</v>
      </c>
      <c r="N7163" s="486">
        <v>0.41666666666666669</v>
      </c>
      <c r="O7163" s="897" t="s">
        <v>2426</v>
      </c>
      <c r="P7163" s="867" t="s">
        <v>2493</v>
      </c>
    </row>
    <row r="7164" spans="1:18" ht="19.5" hidden="1" thickBot="1" x14ac:dyDescent="0.3">
      <c r="A7164" s="1114"/>
      <c r="B7164" s="805" t="s">
        <v>2415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 t="s">
        <v>76</v>
      </c>
      <c r="H7164" s="808" t="s">
        <v>2422</v>
      </c>
      <c r="I7164" s="808" t="s">
        <v>2422</v>
      </c>
      <c r="J7164" s="810"/>
      <c r="K7164" s="808" t="str">
        <f t="shared" si="215"/>
        <v>09,26</v>
      </c>
      <c r="L7164" s="808" t="s">
        <v>265</v>
      </c>
      <c r="M7164" s="808">
        <v>3120</v>
      </c>
      <c r="N7164" s="778">
        <v>0.41666666666666669</v>
      </c>
      <c r="O7164" s="897" t="s">
        <v>2462</v>
      </c>
      <c r="P7164" s="867" t="s">
        <v>2494</v>
      </c>
    </row>
    <row r="7165" spans="1:18" ht="19.5" hidden="1" thickBot="1" x14ac:dyDescent="0.3">
      <c r="A7165" s="1098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2422</v>
      </c>
      <c r="I7165" s="569" t="s">
        <v>2422</v>
      </c>
      <c r="J7165" s="570"/>
      <c r="K7165" s="567" t="str">
        <f t="shared" si="215"/>
        <v>09,26</v>
      </c>
      <c r="L7165" s="567" t="s">
        <v>28</v>
      </c>
      <c r="M7165" s="567">
        <v>8620.1999999999989</v>
      </c>
      <c r="N7165" s="571">
        <v>0.41666666666666669</v>
      </c>
      <c r="O7165" s="897" t="s">
        <v>2429</v>
      </c>
      <c r="P7165" s="867" t="s">
        <v>2505</v>
      </c>
    </row>
    <row r="7166" spans="1:18" ht="19.5" hidden="1" thickBot="1" x14ac:dyDescent="0.3">
      <c r="A7166" s="1100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2422</v>
      </c>
      <c r="I7166" s="642" t="s">
        <v>2422</v>
      </c>
      <c r="J7166" s="643"/>
      <c r="K7166" s="640" t="str">
        <f t="shared" si="215"/>
        <v>09,26</v>
      </c>
      <c r="L7166" s="640" t="s">
        <v>28</v>
      </c>
      <c r="M7166" s="640">
        <v>5671.5599999999995</v>
      </c>
      <c r="N7166" s="644">
        <v>0.41666666666666669</v>
      </c>
      <c r="O7166" s="897" t="s">
        <v>2428</v>
      </c>
      <c r="P7166" s="867" t="s">
        <v>2504</v>
      </c>
    </row>
    <row r="7167" spans="1:18" ht="19.5" hidden="1" thickBot="1" x14ac:dyDescent="0.3">
      <c r="A7167" s="1112">
        <f>MAX(A7012:A7166)+1</f>
        <v>4420</v>
      </c>
      <c r="B7167" s="610" t="s">
        <v>2405</v>
      </c>
      <c r="C7167" s="480" t="s">
        <v>26</v>
      </c>
      <c r="D7167" s="481">
        <v>19.986000000000001</v>
      </c>
      <c r="E7167" s="482">
        <v>16.925999999999998</v>
      </c>
      <c r="F7167" s="483" t="s">
        <v>16</v>
      </c>
      <c r="G7167" s="549"/>
      <c r="H7167" s="483" t="s">
        <v>2423</v>
      </c>
      <c r="I7167" s="484" t="s">
        <v>2423</v>
      </c>
      <c r="J7167" s="485"/>
      <c r="K7167" s="483" t="str">
        <f t="shared" si="215"/>
        <v>09,26</v>
      </c>
      <c r="L7167" s="483" t="s">
        <v>265</v>
      </c>
      <c r="M7167" s="483">
        <v>20167.020000000004</v>
      </c>
      <c r="N7167" s="486">
        <v>0.375</v>
      </c>
      <c r="O7167" s="897" t="s">
        <v>2427</v>
      </c>
      <c r="P7167" s="867" t="s">
        <v>2518</v>
      </c>
    </row>
    <row r="7168" spans="1:18" ht="19.5" hidden="1" thickBot="1" x14ac:dyDescent="0.3">
      <c r="A7168" s="1114"/>
      <c r="B7168" s="805" t="s">
        <v>2423</v>
      </c>
      <c r="C7168" s="806" t="s">
        <v>26</v>
      </c>
      <c r="D7168" s="807">
        <v>0.75</v>
      </c>
      <c r="E7168" s="807">
        <v>0.76700000000000002</v>
      </c>
      <c r="F7168" s="808" t="s">
        <v>16</v>
      </c>
      <c r="G7168" s="809" t="s">
        <v>76</v>
      </c>
      <c r="H7168" s="808" t="s">
        <v>2423</v>
      </c>
      <c r="I7168" s="808" t="s">
        <v>2423</v>
      </c>
      <c r="J7168" s="810"/>
      <c r="K7168" s="808" t="str">
        <f t="shared" si="215"/>
        <v>09,26</v>
      </c>
      <c r="L7168" s="808" t="s">
        <v>265</v>
      </c>
      <c r="M7168" s="808">
        <v>765</v>
      </c>
      <c r="N7168" s="778">
        <v>0.375</v>
      </c>
      <c r="O7168" s="897" t="s">
        <v>2507</v>
      </c>
      <c r="P7168" s="867" t="s">
        <v>2519</v>
      </c>
    </row>
    <row r="7169" spans="1:16" ht="19.5" hidden="1" thickBot="1" x14ac:dyDescent="0.3">
      <c r="A7169" s="1098">
        <f>MAX(A7013:A7167)+1</f>
        <v>4421</v>
      </c>
      <c r="B7169" s="531" t="s">
        <v>2405</v>
      </c>
      <c r="C7169" s="532" t="s">
        <v>587</v>
      </c>
      <c r="D7169" s="533">
        <v>8.9429999999999996</v>
      </c>
      <c r="E7169" s="534">
        <v>8.5259999999999998</v>
      </c>
      <c r="F7169" s="535" t="s">
        <v>16</v>
      </c>
      <c r="G7169" s="536" t="s">
        <v>47</v>
      </c>
      <c r="H7169" s="535" t="s">
        <v>2423</v>
      </c>
      <c r="I7169" s="537" t="s">
        <v>2423</v>
      </c>
      <c r="J7169" s="538"/>
      <c r="K7169" s="535" t="str">
        <f t="shared" si="215"/>
        <v>09,26</v>
      </c>
      <c r="L7169" s="535" t="s">
        <v>28</v>
      </c>
      <c r="M7169" s="535">
        <v>8943.9599999999991</v>
      </c>
      <c r="N7169" s="539">
        <v>0.41666666666666669</v>
      </c>
      <c r="O7169" s="897" t="s">
        <v>2435</v>
      </c>
      <c r="P7169" s="983" t="s">
        <v>2536</v>
      </c>
    </row>
    <row r="7170" spans="1:16" ht="19.5" hidden="1" thickBot="1" x14ac:dyDescent="0.3">
      <c r="A7170" s="1099"/>
      <c r="B7170" s="824" t="s">
        <v>2405</v>
      </c>
      <c r="C7170" s="820" t="s">
        <v>47</v>
      </c>
      <c r="D7170" s="821">
        <v>8.657</v>
      </c>
      <c r="E7170" s="822">
        <v>6.7690000000000001</v>
      </c>
      <c r="F7170" s="819" t="s">
        <v>16</v>
      </c>
      <c r="G7170" s="823"/>
      <c r="H7170" s="819" t="s">
        <v>2423</v>
      </c>
      <c r="I7170" s="782" t="s">
        <v>2423</v>
      </c>
      <c r="J7170" s="825"/>
      <c r="K7170" s="819" t="str">
        <f t="shared" si="215"/>
        <v>09,26</v>
      </c>
      <c r="L7170" s="819" t="s">
        <v>28</v>
      </c>
      <c r="M7170" s="819">
        <v>8766.5400000000009</v>
      </c>
      <c r="N7170" s="811">
        <v>0.41666666666666669</v>
      </c>
      <c r="O7170" s="897" t="s">
        <v>2434</v>
      </c>
      <c r="P7170" s="983" t="s">
        <v>2535</v>
      </c>
    </row>
    <row r="7171" spans="1:16" ht="19.5" hidden="1" thickBot="1" x14ac:dyDescent="0.3">
      <c r="A7171" s="1099"/>
      <c r="B7171" s="836" t="s">
        <v>2423</v>
      </c>
      <c r="C7171" s="837" t="s">
        <v>47</v>
      </c>
      <c r="D7171" s="838">
        <v>1.8</v>
      </c>
      <c r="E7171" s="838">
        <v>1.837</v>
      </c>
      <c r="F7171" s="839" t="s">
        <v>16</v>
      </c>
      <c r="G7171" s="850" t="s">
        <v>76</v>
      </c>
      <c r="H7171" s="839" t="s">
        <v>2423</v>
      </c>
      <c r="I7171" s="839" t="s">
        <v>2423</v>
      </c>
      <c r="J7171" s="840"/>
      <c r="K7171" s="839" t="str">
        <f t="shared" si="215"/>
        <v>09,26</v>
      </c>
      <c r="L7171" s="839" t="s">
        <v>28</v>
      </c>
      <c r="M7171" s="839">
        <v>1830</v>
      </c>
      <c r="N7171" s="598">
        <v>0.41666666666666669</v>
      </c>
      <c r="O7171" s="897" t="s">
        <v>2506</v>
      </c>
      <c r="P7171" s="867" t="s">
        <v>2530</v>
      </c>
    </row>
    <row r="7172" spans="1:16" ht="19.5" hidden="1" thickBot="1" x14ac:dyDescent="0.3">
      <c r="A7172" s="513">
        <f>MAX(A7015:A7171)+1</f>
        <v>4422</v>
      </c>
      <c r="B7172" s="514" t="s">
        <v>2415</v>
      </c>
      <c r="C7172" s="515" t="s">
        <v>26</v>
      </c>
      <c r="D7172" s="516">
        <v>16.048999999999999</v>
      </c>
      <c r="E7172" s="517">
        <v>16.048999999999999</v>
      </c>
      <c r="F7172" s="518" t="s">
        <v>30</v>
      </c>
      <c r="G7172" s="519"/>
      <c r="H7172" s="518" t="s">
        <v>2423</v>
      </c>
      <c r="I7172" s="520" t="s">
        <v>2423</v>
      </c>
      <c r="J7172" s="521"/>
      <c r="K7172" s="518" t="str">
        <f t="shared" si="215"/>
        <v>09,26</v>
      </c>
      <c r="L7172" s="518" t="s">
        <v>265</v>
      </c>
      <c r="M7172" s="518">
        <v>16049.4</v>
      </c>
      <c r="N7172" s="522">
        <v>0.375</v>
      </c>
      <c r="O7172" s="897" t="s">
        <v>2451</v>
      </c>
      <c r="P7172" s="867" t="s">
        <v>2512</v>
      </c>
    </row>
    <row r="7173" spans="1:16" ht="19.5" hidden="1" thickBot="1" x14ac:dyDescent="0.3">
      <c r="A7173" s="1098">
        <f>MAX(A7016:A7172)+1</f>
        <v>4423</v>
      </c>
      <c r="B7173" s="759" t="s">
        <v>2415</v>
      </c>
      <c r="C7173" s="532" t="s">
        <v>41</v>
      </c>
      <c r="D7173" s="533">
        <v>8.5500000000000007</v>
      </c>
      <c r="E7173" s="534">
        <v>5.548</v>
      </c>
      <c r="F7173" s="535" t="s">
        <v>16</v>
      </c>
      <c r="G7173" s="1184" t="s">
        <v>2497</v>
      </c>
      <c r="H7173" s="535" t="s">
        <v>2423</v>
      </c>
      <c r="I7173" s="537" t="s">
        <v>2423</v>
      </c>
      <c r="J7173" s="538"/>
      <c r="K7173" s="535" t="str">
        <f t="shared" si="215"/>
        <v>09,26</v>
      </c>
      <c r="L7173" s="535" t="s">
        <v>266</v>
      </c>
      <c r="M7173" s="535">
        <v>8637.08</v>
      </c>
      <c r="N7173" s="539">
        <v>0.45833333333333331</v>
      </c>
      <c r="O7173" s="897" t="s">
        <v>2453</v>
      </c>
      <c r="P7173" s="867" t="s">
        <v>2514</v>
      </c>
    </row>
    <row r="7174" spans="1:16" ht="38.25" hidden="1" thickBot="1" x14ac:dyDescent="0.3">
      <c r="A7174" s="1099"/>
      <c r="B7174" s="981" t="s">
        <v>2415</v>
      </c>
      <c r="C7174" s="912" t="s">
        <v>981</v>
      </c>
      <c r="D7174" s="913">
        <v>0.312</v>
      </c>
      <c r="E7174" s="914" t="s">
        <v>1496</v>
      </c>
      <c r="F7174" s="915" t="s">
        <v>16</v>
      </c>
      <c r="G7174" s="1185"/>
      <c r="H7174" s="915" t="s">
        <v>2423</v>
      </c>
      <c r="I7174" s="917" t="s">
        <v>1496</v>
      </c>
      <c r="J7174" s="982" t="s">
        <v>2543</v>
      </c>
      <c r="K7174" s="915" t="str">
        <f t="shared" si="215"/>
        <v>тмена</v>
      </c>
      <c r="L7174" s="915" t="s">
        <v>266</v>
      </c>
      <c r="M7174" s="915">
        <v>312</v>
      </c>
      <c r="N7174" s="919">
        <v>0.45833333333333331</v>
      </c>
      <c r="O7174" s="920" t="s">
        <v>2454</v>
      </c>
      <c r="P7174" s="921" t="s">
        <v>1024</v>
      </c>
    </row>
    <row r="7175" spans="1:16" ht="19.5" hidden="1" thickBot="1" x14ac:dyDescent="0.3">
      <c r="A7175" s="1099"/>
      <c r="B7175" s="760" t="s">
        <v>2415</v>
      </c>
      <c r="C7175" s="564" t="s">
        <v>981</v>
      </c>
      <c r="D7175" s="565">
        <v>4.2960000000000003</v>
      </c>
      <c r="E7175" s="566">
        <v>2.08</v>
      </c>
      <c r="F7175" s="567" t="s">
        <v>16</v>
      </c>
      <c r="G7175" s="1185"/>
      <c r="H7175" s="567" t="s">
        <v>2423</v>
      </c>
      <c r="I7175" s="569" t="s">
        <v>2423</v>
      </c>
      <c r="J7175" s="677" t="s">
        <v>845</v>
      </c>
      <c r="K7175" s="567" t="str">
        <f t="shared" si="215"/>
        <v>09,26</v>
      </c>
      <c r="L7175" s="567" t="s">
        <v>266</v>
      </c>
      <c r="M7175" s="567">
        <v>4296.32</v>
      </c>
      <c r="N7175" s="571">
        <v>0.45833333333333331</v>
      </c>
      <c r="O7175" s="897" t="s">
        <v>2455</v>
      </c>
      <c r="P7175" s="867" t="s">
        <v>2515</v>
      </c>
    </row>
    <row r="7176" spans="1:16" ht="19.5" hidden="1" thickBot="1" x14ac:dyDescent="0.3">
      <c r="A7176" s="1100"/>
      <c r="B7176" s="762" t="s">
        <v>2415</v>
      </c>
      <c r="C7176" s="591" t="s">
        <v>32</v>
      </c>
      <c r="D7176" s="592">
        <v>5.3289999999999997</v>
      </c>
      <c r="E7176" s="593">
        <v>2.6360000000000001</v>
      </c>
      <c r="F7176" s="594" t="s">
        <v>16</v>
      </c>
      <c r="G7176" s="1185"/>
      <c r="H7176" s="594" t="s">
        <v>2423</v>
      </c>
      <c r="I7176" s="596" t="s">
        <v>2423</v>
      </c>
      <c r="J7176" s="978" t="s">
        <v>1702</v>
      </c>
      <c r="K7176" s="594" t="str">
        <f t="shared" si="215"/>
        <v>09,26</v>
      </c>
      <c r="L7176" s="594" t="s">
        <v>266</v>
      </c>
      <c r="M7176" s="594">
        <v>5329.0000000000009</v>
      </c>
      <c r="N7176" s="598">
        <v>0.45833333333333331</v>
      </c>
      <c r="O7176" s="897" t="s">
        <v>2456</v>
      </c>
      <c r="P7176" s="867" t="s">
        <v>2516</v>
      </c>
    </row>
    <row r="7177" spans="1:16" ht="19.5" hidden="1" thickBot="1" x14ac:dyDescent="0.3">
      <c r="A7177" s="1112">
        <f>MAX(A7020:A7176)+1</f>
        <v>4424</v>
      </c>
      <c r="B7177" s="610" t="s">
        <v>2415</v>
      </c>
      <c r="C7177" s="480" t="s">
        <v>26</v>
      </c>
      <c r="D7177" s="481">
        <v>17.504999999999999</v>
      </c>
      <c r="E7177" s="482">
        <v>14.920999999999999</v>
      </c>
      <c r="F7177" s="483" t="s">
        <v>16</v>
      </c>
      <c r="G7177" s="549"/>
      <c r="H7177" s="483" t="s">
        <v>2452</v>
      </c>
      <c r="I7177" s="484" t="s">
        <v>2452</v>
      </c>
      <c r="J7177" s="485"/>
      <c r="K7177" s="483" t="str">
        <f t="shared" si="215"/>
        <v>09,26</v>
      </c>
      <c r="L7177" s="483" t="s">
        <v>265</v>
      </c>
      <c r="M7177" s="483">
        <v>17674.04</v>
      </c>
      <c r="N7177" s="486">
        <v>0.375</v>
      </c>
      <c r="O7177" s="897" t="s">
        <v>2457</v>
      </c>
      <c r="P7177" s="867" t="s">
        <v>2520</v>
      </c>
    </row>
    <row r="7178" spans="1:16" ht="19.5" hidden="1" thickBot="1" x14ac:dyDescent="0.3">
      <c r="A7178" s="1113"/>
      <c r="B7178" s="769" t="s">
        <v>2415</v>
      </c>
      <c r="C7178" s="764" t="s">
        <v>952</v>
      </c>
      <c r="D7178" s="765">
        <v>2.4489999999999998</v>
      </c>
      <c r="E7178" s="766">
        <v>2.1019999999999999</v>
      </c>
      <c r="F7178" s="763" t="s">
        <v>16</v>
      </c>
      <c r="G7178" s="767"/>
      <c r="H7178" s="763" t="s">
        <v>2452</v>
      </c>
      <c r="I7178" s="768" t="s">
        <v>2452</v>
      </c>
      <c r="J7178" s="779"/>
      <c r="K7178" s="763" t="str">
        <f t="shared" si="215"/>
        <v>09,26</v>
      </c>
      <c r="L7178" s="763" t="s">
        <v>265</v>
      </c>
      <c r="M7178" s="763">
        <v>2533.3200000000002</v>
      </c>
      <c r="N7178" s="770">
        <v>0.375</v>
      </c>
      <c r="O7178" s="897" t="s">
        <v>2458</v>
      </c>
      <c r="P7178" s="867" t="s">
        <v>2521</v>
      </c>
    </row>
    <row r="7179" spans="1:16" ht="19.5" hidden="1" thickBot="1" x14ac:dyDescent="0.3">
      <c r="A7179" s="1114"/>
      <c r="B7179" s="805" t="s">
        <v>2452</v>
      </c>
      <c r="C7179" s="806" t="s">
        <v>26</v>
      </c>
      <c r="D7179" s="807">
        <v>0.5</v>
      </c>
      <c r="E7179" s="807">
        <v>0.52400000000000002</v>
      </c>
      <c r="F7179" s="808" t="s">
        <v>16</v>
      </c>
      <c r="G7179" s="809" t="s">
        <v>76</v>
      </c>
      <c r="H7179" s="808" t="s">
        <v>2452</v>
      </c>
      <c r="I7179" s="808" t="s">
        <v>2452</v>
      </c>
      <c r="J7179" s="810"/>
      <c r="K7179" s="808" t="str">
        <f t="shared" si="215"/>
        <v>09,26</v>
      </c>
      <c r="L7179" s="808" t="s">
        <v>265</v>
      </c>
      <c r="M7179" s="808">
        <v>525</v>
      </c>
      <c r="N7179" s="778">
        <v>0.375</v>
      </c>
      <c r="O7179" s="897" t="s">
        <v>2508</v>
      </c>
      <c r="P7179" s="867" t="s">
        <v>2522</v>
      </c>
    </row>
    <row r="7180" spans="1:16" ht="19.5" hidden="1" thickBot="1" x14ac:dyDescent="0.3">
      <c r="A7180" s="1098">
        <f>MAX(A7022:A7179)+1</f>
        <v>4425</v>
      </c>
      <c r="B7180" s="531" t="s">
        <v>2415</v>
      </c>
      <c r="C7180" s="532" t="s">
        <v>839</v>
      </c>
      <c r="D7180" s="533">
        <v>0.76500000000000001</v>
      </c>
      <c r="E7180" s="534">
        <v>0.77500000000000002</v>
      </c>
      <c r="F7180" s="535" t="s">
        <v>16</v>
      </c>
      <c r="G7180" s="536"/>
      <c r="H7180" s="535" t="s">
        <v>2452</v>
      </c>
      <c r="I7180" s="537" t="s">
        <v>2452</v>
      </c>
      <c r="J7180" s="538"/>
      <c r="K7180" s="535" t="str">
        <f t="shared" si="215"/>
        <v>09,26</v>
      </c>
      <c r="L7180" s="535" t="s">
        <v>28</v>
      </c>
      <c r="M7180" s="535">
        <v>772.8</v>
      </c>
      <c r="N7180" s="539">
        <v>0.41666666666666669</v>
      </c>
      <c r="O7180" s="897" t="s">
        <v>2460</v>
      </c>
      <c r="P7180" s="867" t="s">
        <v>2528</v>
      </c>
    </row>
    <row r="7181" spans="1:16" ht="19.5" hidden="1" thickBot="1" x14ac:dyDescent="0.3">
      <c r="A7181" s="1099"/>
      <c r="B7181" s="824" t="s">
        <v>2415</v>
      </c>
      <c r="C7181" s="820" t="s">
        <v>23</v>
      </c>
      <c r="D7181" s="821">
        <v>16.699000000000002</v>
      </c>
      <c r="E7181" s="822">
        <v>15.773999999999999</v>
      </c>
      <c r="F7181" s="819" t="s">
        <v>16</v>
      </c>
      <c r="G7181" s="823"/>
      <c r="H7181" s="819" t="s">
        <v>2452</v>
      </c>
      <c r="I7181" s="782" t="s">
        <v>2452</v>
      </c>
      <c r="J7181" s="825"/>
      <c r="K7181" s="819" t="str">
        <f t="shared" si="215"/>
        <v>09,26</v>
      </c>
      <c r="L7181" s="819" t="s">
        <v>28</v>
      </c>
      <c r="M7181" s="819">
        <v>16789.900000000001</v>
      </c>
      <c r="N7181" s="811">
        <v>0.41666666666666669</v>
      </c>
      <c r="O7181" s="897" t="s">
        <v>2459</v>
      </c>
      <c r="P7181" s="867" t="s">
        <v>2527</v>
      </c>
    </row>
    <row r="7182" spans="1:16" ht="19.5" hidden="1" thickBot="1" x14ac:dyDescent="0.3">
      <c r="A7182" s="1099"/>
      <c r="B7182" s="836" t="s">
        <v>2452</v>
      </c>
      <c r="C7182" s="837" t="s">
        <v>23</v>
      </c>
      <c r="D7182" s="838">
        <v>1.2</v>
      </c>
      <c r="E7182" s="838">
        <v>1.218</v>
      </c>
      <c r="F7182" s="839" t="s">
        <v>16</v>
      </c>
      <c r="G7182" s="850"/>
      <c r="H7182" s="839" t="s">
        <v>2452</v>
      </c>
      <c r="I7182" s="839" t="s">
        <v>2452</v>
      </c>
      <c r="J7182" s="840"/>
      <c r="K7182" s="839" t="str">
        <f t="shared" si="215"/>
        <v>09,26</v>
      </c>
      <c r="L7182" s="839" t="s">
        <v>28</v>
      </c>
      <c r="M7182" s="839">
        <v>1214.1599999999999</v>
      </c>
      <c r="N7182" s="598">
        <v>0.41666666666666669</v>
      </c>
      <c r="O7182" s="897" t="s">
        <v>2509</v>
      </c>
      <c r="P7182" s="867" t="s">
        <v>2529</v>
      </c>
    </row>
    <row r="7183" spans="1:16" ht="19.5" hidden="1" thickBot="1" x14ac:dyDescent="0.3">
      <c r="A7183" s="513">
        <f>MAX(A7024:A7182)+1</f>
        <v>4426</v>
      </c>
      <c r="B7183" s="514" t="s">
        <v>2422</v>
      </c>
      <c r="C7183" s="515" t="s">
        <v>26</v>
      </c>
      <c r="D7183" s="516">
        <v>16.669</v>
      </c>
      <c r="E7183" s="517">
        <v>16.669</v>
      </c>
      <c r="F7183" s="518" t="s">
        <v>30</v>
      </c>
      <c r="G7183" s="519"/>
      <c r="H7183" s="518" t="s">
        <v>2470</v>
      </c>
      <c r="I7183" s="520" t="s">
        <v>2470</v>
      </c>
      <c r="J7183" s="521"/>
      <c r="K7183" s="518" t="str">
        <f t="shared" ref="K7183:K7246" si="218">RIGHT(I7183,5)</f>
        <v>09,26</v>
      </c>
      <c r="L7183" s="518" t="s">
        <v>265</v>
      </c>
      <c r="M7183" s="518">
        <v>16669.04</v>
      </c>
      <c r="N7183" s="522">
        <v>0.375</v>
      </c>
      <c r="O7183" s="897" t="s">
        <v>2472</v>
      </c>
      <c r="P7183" s="867" t="s">
        <v>2517</v>
      </c>
    </row>
    <row r="7184" spans="1:16" ht="57" hidden="1" thickBot="1" x14ac:dyDescent="0.3">
      <c r="A7184" s="503">
        <f>MAX(A7025:A7183)+1</f>
        <v>4427</v>
      </c>
      <c r="B7184" s="504" t="s">
        <v>2422</v>
      </c>
      <c r="C7184" s="505" t="s">
        <v>913</v>
      </c>
      <c r="D7184" s="506">
        <v>10.739000000000001</v>
      </c>
      <c r="E7184" s="507">
        <v>10.74</v>
      </c>
      <c r="F7184" s="508" t="s">
        <v>30</v>
      </c>
      <c r="G7184" s="509" t="s">
        <v>2471</v>
      </c>
      <c r="H7184" s="508" t="s">
        <v>2470</v>
      </c>
      <c r="I7184" s="510" t="s">
        <v>2524</v>
      </c>
      <c r="J7184" s="511"/>
      <c r="K7184" s="508" t="str">
        <f t="shared" si="218"/>
        <v>09,26</v>
      </c>
      <c r="L7184" s="508" t="s">
        <v>266</v>
      </c>
      <c r="M7184" s="508">
        <v>10739.76</v>
      </c>
      <c r="N7184" s="512">
        <v>0.5</v>
      </c>
      <c r="O7184" s="897" t="s">
        <v>2473</v>
      </c>
      <c r="P7184" s="867" t="s">
        <v>2608</v>
      </c>
    </row>
    <row r="7185" spans="1:16" ht="19.5" hidden="1" thickBot="1" x14ac:dyDescent="0.3">
      <c r="A7185" s="1112">
        <f>MAX(A7026:A7184)+1</f>
        <v>4428</v>
      </c>
      <c r="B7185" s="610" t="s">
        <v>2422</v>
      </c>
      <c r="C7185" s="480" t="s">
        <v>26</v>
      </c>
      <c r="D7185" s="481">
        <v>17.45</v>
      </c>
      <c r="E7185" s="482">
        <v>12.798</v>
      </c>
      <c r="F7185" s="483" t="s">
        <v>16</v>
      </c>
      <c r="G7185" s="549"/>
      <c r="H7185" s="483" t="s">
        <v>2470</v>
      </c>
      <c r="I7185" s="484" t="s">
        <v>2475</v>
      </c>
      <c r="J7185" s="485"/>
      <c r="K7185" s="483" t="str">
        <f t="shared" si="218"/>
        <v>09,26</v>
      </c>
      <c r="L7185" s="483" t="s">
        <v>265</v>
      </c>
      <c r="M7185" s="483">
        <v>17597.66</v>
      </c>
      <c r="N7185" s="486">
        <v>0.375</v>
      </c>
      <c r="O7185" s="897" t="s">
        <v>2477</v>
      </c>
      <c r="P7185" s="867" t="s">
        <v>2553</v>
      </c>
    </row>
    <row r="7186" spans="1:16" ht="19.5" hidden="1" thickBot="1" x14ac:dyDescent="0.3">
      <c r="A7186" s="1113"/>
      <c r="B7186" s="792" t="s">
        <v>2475</v>
      </c>
      <c r="C7186" s="793" t="s">
        <v>26</v>
      </c>
      <c r="D7186" s="794">
        <v>2.2999999999999998</v>
      </c>
      <c r="E7186" s="794">
        <v>2.347</v>
      </c>
      <c r="F7186" s="795" t="s">
        <v>16</v>
      </c>
      <c r="G7186" s="796" t="s">
        <v>76</v>
      </c>
      <c r="H7186" s="795" t="s">
        <v>2470</v>
      </c>
      <c r="I7186" s="795" t="s">
        <v>2475</v>
      </c>
      <c r="J7186" s="797"/>
      <c r="K7186" s="795" t="str">
        <f t="shared" si="218"/>
        <v>09,26</v>
      </c>
      <c r="L7186" s="795" t="s">
        <v>265</v>
      </c>
      <c r="M7186" s="795">
        <v>2325</v>
      </c>
      <c r="N7186" s="502">
        <v>0.375</v>
      </c>
      <c r="O7186" s="897" t="s">
        <v>2541</v>
      </c>
      <c r="P7186" s="867" t="s">
        <v>2562</v>
      </c>
    </row>
    <row r="7187" spans="1:16" ht="19.5" hidden="1" thickBot="1" x14ac:dyDescent="0.3">
      <c r="A7187" s="1114"/>
      <c r="B7187" s="805" t="s">
        <v>2452</v>
      </c>
      <c r="C7187" s="806" t="s">
        <v>26</v>
      </c>
      <c r="D7187" s="807">
        <v>2.5</v>
      </c>
      <c r="E7187" s="807">
        <v>2.5539999999999998</v>
      </c>
      <c r="F7187" s="808" t="s">
        <v>16</v>
      </c>
      <c r="G7187" s="809" t="s">
        <v>76</v>
      </c>
      <c r="H7187" s="808" t="s">
        <v>2470</v>
      </c>
      <c r="I7187" s="808" t="s">
        <v>2475</v>
      </c>
      <c r="J7187" s="810"/>
      <c r="K7187" s="808" t="str">
        <f t="shared" si="218"/>
        <v>09,26</v>
      </c>
      <c r="L7187" s="808" t="s">
        <v>265</v>
      </c>
      <c r="M7187" s="808">
        <v>2550</v>
      </c>
      <c r="N7187" s="778">
        <v>0.375</v>
      </c>
      <c r="O7187" s="897" t="s">
        <v>2510</v>
      </c>
      <c r="P7187" s="867" t="s">
        <v>2554</v>
      </c>
    </row>
    <row r="7188" spans="1:16" ht="19.5" hidden="1" thickBot="1" x14ac:dyDescent="0.3">
      <c r="A7188" s="1109">
        <f>MAX(A7027:A7185)+1</f>
        <v>4429</v>
      </c>
      <c r="B7188" s="759" t="s">
        <v>2422</v>
      </c>
      <c r="C7188" s="532" t="s">
        <v>26</v>
      </c>
      <c r="D7188" s="533">
        <v>17.744</v>
      </c>
      <c r="E7188" s="534">
        <v>15.416</v>
      </c>
      <c r="F7188" s="535" t="s">
        <v>16</v>
      </c>
      <c r="G7188" s="536"/>
      <c r="H7188" s="535" t="s">
        <v>2470</v>
      </c>
      <c r="I7188" s="537" t="s">
        <v>2475</v>
      </c>
      <c r="J7188" s="538"/>
      <c r="K7188" s="535" t="str">
        <f t="shared" si="218"/>
        <v>09,26</v>
      </c>
      <c r="L7188" s="535" t="s">
        <v>265</v>
      </c>
      <c r="M7188" s="535">
        <v>17908.080000000002</v>
      </c>
      <c r="N7188" s="539">
        <v>0.41666666666666669</v>
      </c>
      <c r="O7188" s="897" t="s">
        <v>2476</v>
      </c>
      <c r="P7188" s="867" t="s">
        <v>2558</v>
      </c>
    </row>
    <row r="7189" spans="1:16" ht="19.5" hidden="1" thickBot="1" x14ac:dyDescent="0.3">
      <c r="A7189" s="1110"/>
      <c r="B7189" s="852" t="s">
        <v>2475</v>
      </c>
      <c r="C7189" s="837" t="s">
        <v>26</v>
      </c>
      <c r="D7189" s="838">
        <v>1.6</v>
      </c>
      <c r="E7189" s="838">
        <v>0.436</v>
      </c>
      <c r="F7189" s="839" t="s">
        <v>16</v>
      </c>
      <c r="G7189" s="850" t="s">
        <v>76</v>
      </c>
      <c r="H7189" s="839" t="s">
        <v>2470</v>
      </c>
      <c r="I7189" s="839" t="s">
        <v>2475</v>
      </c>
      <c r="J7189" s="840"/>
      <c r="K7189" s="839" t="str">
        <f t="shared" si="218"/>
        <v>09,26</v>
      </c>
      <c r="L7189" s="839" t="s">
        <v>265</v>
      </c>
      <c r="M7189" s="839">
        <v>1620</v>
      </c>
      <c r="N7189" s="598">
        <v>0.41666666666666669</v>
      </c>
      <c r="O7189" s="897" t="s">
        <v>2542</v>
      </c>
      <c r="P7189" s="867" t="s">
        <v>2559</v>
      </c>
    </row>
    <row r="7190" spans="1:16" ht="19.5" hidden="1" thickBot="1" x14ac:dyDescent="0.3">
      <c r="A7190" s="1111"/>
      <c r="B7190" s="798" t="s">
        <v>2452</v>
      </c>
      <c r="C7190" s="799" t="s">
        <v>26</v>
      </c>
      <c r="D7190" s="800">
        <v>1.7</v>
      </c>
      <c r="E7190" s="800">
        <v>1.722</v>
      </c>
      <c r="F7190" s="801" t="s">
        <v>16</v>
      </c>
      <c r="G7190" s="802" t="s">
        <v>76</v>
      </c>
      <c r="H7190" s="801" t="s">
        <v>2470</v>
      </c>
      <c r="I7190" s="801" t="s">
        <v>2475</v>
      </c>
      <c r="J7190" s="803"/>
      <c r="K7190" s="801" t="str">
        <f t="shared" si="218"/>
        <v>09,26</v>
      </c>
      <c r="L7190" s="801" t="s">
        <v>265</v>
      </c>
      <c r="M7190" s="801">
        <v>1725</v>
      </c>
      <c r="N7190" s="804">
        <v>0.41666666666666669</v>
      </c>
      <c r="O7190" s="897" t="s">
        <v>2511</v>
      </c>
      <c r="P7190" s="867" t="s">
        <v>2560</v>
      </c>
    </row>
    <row r="7191" spans="1:16" ht="19.5" hidden="1" thickBot="1" x14ac:dyDescent="0.3">
      <c r="A7191" s="1112">
        <f>MAX(A7030:A7188)+1</f>
        <v>4430</v>
      </c>
      <c r="B7191" s="610" t="s">
        <v>2422</v>
      </c>
      <c r="C7191" s="480" t="s">
        <v>15</v>
      </c>
      <c r="D7191" s="481">
        <v>8.6010000000000009</v>
      </c>
      <c r="E7191" s="482">
        <v>7.8769999999999998</v>
      </c>
      <c r="F7191" s="483" t="s">
        <v>16</v>
      </c>
      <c r="G7191" s="1106" t="s">
        <v>2474</v>
      </c>
      <c r="H7191" s="483" t="s">
        <v>2470</v>
      </c>
      <c r="I7191" s="484" t="s">
        <v>2475</v>
      </c>
      <c r="J7191" s="485"/>
      <c r="K7191" s="483" t="str">
        <f t="shared" si="218"/>
        <v>09,26</v>
      </c>
      <c r="L7191" s="483" t="s">
        <v>28</v>
      </c>
      <c r="M7191" s="483">
        <v>8730.48</v>
      </c>
      <c r="N7191" s="486">
        <v>0.5</v>
      </c>
      <c r="O7191" s="897" t="s">
        <v>2479</v>
      </c>
      <c r="P7191" s="867" t="s">
        <v>2576</v>
      </c>
    </row>
    <row r="7192" spans="1:16" ht="19.5" hidden="1" thickBot="1" x14ac:dyDescent="0.3">
      <c r="A7192" s="1113"/>
      <c r="B7192" s="769" t="s">
        <v>2422</v>
      </c>
      <c r="C7192" s="764" t="s">
        <v>24</v>
      </c>
      <c r="D7192" s="765">
        <v>6.9950000000000001</v>
      </c>
      <c r="E7192" s="766">
        <v>6.3310000000000004</v>
      </c>
      <c r="F7192" s="763" t="s">
        <v>16</v>
      </c>
      <c r="G7192" s="1107"/>
      <c r="H7192" s="763" t="s">
        <v>2470</v>
      </c>
      <c r="I7192" s="768" t="s">
        <v>2475</v>
      </c>
      <c r="J7192" s="779"/>
      <c r="K7192" s="763" t="str">
        <f t="shared" si="218"/>
        <v>09,26</v>
      </c>
      <c r="L7192" s="763" t="s">
        <v>28</v>
      </c>
      <c r="M7192" s="763">
        <v>7135.9200000000019</v>
      </c>
      <c r="N7192" s="770">
        <v>0.5</v>
      </c>
      <c r="O7192" s="897" t="s">
        <v>2478</v>
      </c>
      <c r="P7192" s="867" t="s">
        <v>2575</v>
      </c>
    </row>
    <row r="7193" spans="1:16" ht="19.5" hidden="1" thickBot="1" x14ac:dyDescent="0.3">
      <c r="A7193" s="1113"/>
      <c r="B7193" s="864" t="s">
        <v>2470</v>
      </c>
      <c r="C7193" s="861" t="s">
        <v>15</v>
      </c>
      <c r="D7193" s="862">
        <v>0.86</v>
      </c>
      <c r="E7193" s="862">
        <v>0.86899999999999999</v>
      </c>
      <c r="F7193" s="860" t="s">
        <v>16</v>
      </c>
      <c r="G7193" s="1107"/>
      <c r="H7193" s="860" t="s">
        <v>2470</v>
      </c>
      <c r="I7193" s="860" t="s">
        <v>2475</v>
      </c>
      <c r="J7193" s="865"/>
      <c r="K7193" s="860" t="str">
        <f t="shared" si="218"/>
        <v>09,26</v>
      </c>
      <c r="L7193" s="860" t="s">
        <v>28</v>
      </c>
      <c r="M7193" s="860">
        <v>870</v>
      </c>
      <c r="N7193" s="979">
        <v>0.5</v>
      </c>
      <c r="O7193" s="897" t="s">
        <v>2532</v>
      </c>
      <c r="P7193" s="867" t="s">
        <v>2577</v>
      </c>
    </row>
    <row r="7194" spans="1:16" ht="19.5" hidden="1" thickBot="1" x14ac:dyDescent="0.3">
      <c r="A7194" s="1114"/>
      <c r="B7194" s="805" t="s">
        <v>2470</v>
      </c>
      <c r="C7194" s="806" t="s">
        <v>24</v>
      </c>
      <c r="D7194" s="807">
        <v>0.78</v>
      </c>
      <c r="E7194" s="807">
        <v>0.79200000000000004</v>
      </c>
      <c r="F7194" s="808" t="s">
        <v>16</v>
      </c>
      <c r="G7194" s="1108"/>
      <c r="H7194" s="808" t="s">
        <v>2470</v>
      </c>
      <c r="I7194" s="808" t="s">
        <v>2475</v>
      </c>
      <c r="J7194" s="810"/>
      <c r="K7194" s="808" t="str">
        <f t="shared" si="218"/>
        <v>09,26</v>
      </c>
      <c r="L7194" s="808" t="s">
        <v>28</v>
      </c>
      <c r="M7194" s="808">
        <v>795</v>
      </c>
      <c r="N7194" s="980">
        <v>0.5</v>
      </c>
      <c r="O7194" s="897" t="s">
        <v>2531</v>
      </c>
      <c r="P7194" s="867" t="s">
        <v>2578</v>
      </c>
    </row>
    <row r="7195" spans="1:16" ht="19.5" hidden="1" thickBot="1" x14ac:dyDescent="0.3">
      <c r="A7195" s="503">
        <f>MAX(A7032:A7194)+1</f>
        <v>4431</v>
      </c>
      <c r="B7195" s="636" t="s">
        <v>2422</v>
      </c>
      <c r="C7195" s="637" t="s">
        <v>587</v>
      </c>
      <c r="D7195" s="638">
        <v>8.6890000000000001</v>
      </c>
      <c r="E7195" s="639">
        <v>8.6890000000000001</v>
      </c>
      <c r="F7195" s="640" t="s">
        <v>30</v>
      </c>
      <c r="G7195" s="641" t="s">
        <v>23</v>
      </c>
      <c r="H7195" s="640" t="s">
        <v>2470</v>
      </c>
      <c r="I7195" s="642" t="s">
        <v>2475</v>
      </c>
      <c r="J7195" s="643"/>
      <c r="K7195" s="640" t="str">
        <f t="shared" si="218"/>
        <v>09,26</v>
      </c>
      <c r="L7195" s="640" t="s">
        <v>28</v>
      </c>
      <c r="M7195" s="640">
        <v>8689.0400000000009</v>
      </c>
      <c r="N7195" s="644">
        <v>0.45833333333333331</v>
      </c>
      <c r="O7195" s="897" t="s">
        <v>2486</v>
      </c>
      <c r="P7195" s="867" t="s">
        <v>2582</v>
      </c>
    </row>
    <row r="7196" spans="1:16" ht="19.5" hidden="1" thickBot="1" x14ac:dyDescent="0.3">
      <c r="A7196" s="1101">
        <f>MAX(A7033:A7195)+1</f>
        <v>4432</v>
      </c>
      <c r="B7196" s="479" t="s">
        <v>2422</v>
      </c>
      <c r="C7196" s="480" t="s">
        <v>320</v>
      </c>
      <c r="D7196" s="481">
        <v>2.0259999999999998</v>
      </c>
      <c r="E7196" s="482">
        <v>2.0259999999999998</v>
      </c>
      <c r="F7196" s="483" t="s">
        <v>30</v>
      </c>
      <c r="G7196" s="549"/>
      <c r="H7196" s="483" t="s">
        <v>2470</v>
      </c>
      <c r="I7196" s="484" t="s">
        <v>2470</v>
      </c>
      <c r="J7196" s="485"/>
      <c r="K7196" s="483" t="str">
        <f t="shared" si="218"/>
        <v>09,26</v>
      </c>
      <c r="L7196" s="483" t="s">
        <v>266</v>
      </c>
      <c r="M7196" s="483">
        <v>2026.08</v>
      </c>
      <c r="N7196" s="486">
        <v>0.41666666666666669</v>
      </c>
      <c r="O7196" s="897" t="s">
        <v>2485</v>
      </c>
      <c r="P7196" s="867" t="s">
        <v>2538</v>
      </c>
    </row>
    <row r="7197" spans="1:16" ht="19.5" hidden="1" thickBot="1" x14ac:dyDescent="0.3">
      <c r="A7197" s="1102"/>
      <c r="B7197" s="523" t="s">
        <v>2422</v>
      </c>
      <c r="C7197" s="524" t="s">
        <v>587</v>
      </c>
      <c r="D7197" s="525">
        <v>9.7870000000000008</v>
      </c>
      <c r="E7197" s="526">
        <v>9.7520000000000007</v>
      </c>
      <c r="F7197" s="527" t="s">
        <v>30</v>
      </c>
      <c r="G7197" s="561" t="s">
        <v>47</v>
      </c>
      <c r="H7197" s="527" t="s">
        <v>2470</v>
      </c>
      <c r="I7197" s="528" t="s">
        <v>2470</v>
      </c>
      <c r="J7197" s="529"/>
      <c r="K7197" s="527" t="str">
        <f t="shared" si="218"/>
        <v>09,26</v>
      </c>
      <c r="L7197" s="527" t="s">
        <v>28</v>
      </c>
      <c r="M7197" s="527">
        <v>9787.68</v>
      </c>
      <c r="N7197" s="530">
        <v>0.41666666666666669</v>
      </c>
      <c r="O7197" s="897" t="s">
        <v>2487</v>
      </c>
      <c r="P7197" s="867" t="s">
        <v>2539</v>
      </c>
    </row>
    <row r="7198" spans="1:16" ht="19.5" hidden="1" thickBot="1" x14ac:dyDescent="0.3">
      <c r="A7198" s="1103"/>
      <c r="B7198" s="645" t="s">
        <v>2422</v>
      </c>
      <c r="C7198" s="646" t="s">
        <v>47</v>
      </c>
      <c r="D7198" s="647">
        <v>1.2569999999999999</v>
      </c>
      <c r="E7198" s="648">
        <v>1.2569999999999999</v>
      </c>
      <c r="F7198" s="649" t="s">
        <v>30</v>
      </c>
      <c r="G7198" s="650"/>
      <c r="H7198" s="649" t="s">
        <v>2470</v>
      </c>
      <c r="I7198" s="651" t="s">
        <v>2470</v>
      </c>
      <c r="J7198" s="652"/>
      <c r="K7198" s="649" t="str">
        <f t="shared" si="218"/>
        <v>09,26</v>
      </c>
      <c r="L7198" s="649" t="s">
        <v>28</v>
      </c>
      <c r="M7198" s="649">
        <v>1257.5999999999999</v>
      </c>
      <c r="N7198" s="653">
        <v>0.41666666666666669</v>
      </c>
      <c r="O7198" s="897" t="s">
        <v>2484</v>
      </c>
      <c r="P7198" s="867" t="s">
        <v>2540</v>
      </c>
    </row>
    <row r="7199" spans="1:16" ht="19.5" hidden="1" thickBot="1" x14ac:dyDescent="0.3">
      <c r="A7199" s="1109">
        <f t="shared" ref="A7199" si="219">MAX(A7036:A7198)+1</f>
        <v>4433</v>
      </c>
      <c r="B7199" s="759" t="s">
        <v>2422</v>
      </c>
      <c r="C7199" s="532" t="s">
        <v>26</v>
      </c>
      <c r="D7199" s="533">
        <v>17.440000000000001</v>
      </c>
      <c r="E7199" s="534">
        <v>14.901999999999999</v>
      </c>
      <c r="F7199" s="535" t="s">
        <v>16</v>
      </c>
      <c r="G7199" s="536"/>
      <c r="H7199" s="535" t="s">
        <v>2475</v>
      </c>
      <c r="I7199" s="537" t="s">
        <v>2475</v>
      </c>
      <c r="J7199" s="538"/>
      <c r="K7199" s="535" t="str">
        <f t="shared" si="218"/>
        <v>09,26</v>
      </c>
      <c r="L7199" s="535" t="s">
        <v>265</v>
      </c>
      <c r="M7199" s="535">
        <v>17575.240000000002</v>
      </c>
      <c r="N7199" s="539">
        <v>0.375</v>
      </c>
      <c r="O7199" s="897" t="s">
        <v>2480</v>
      </c>
      <c r="P7199" s="867" t="s">
        <v>2556</v>
      </c>
    </row>
    <row r="7200" spans="1:16" ht="19.5" hidden="1" thickBot="1" x14ac:dyDescent="0.3">
      <c r="A7200" s="1111"/>
      <c r="B7200" s="798" t="s">
        <v>2470</v>
      </c>
      <c r="C7200" s="799" t="s">
        <v>26</v>
      </c>
      <c r="D7200" s="800">
        <v>2.7</v>
      </c>
      <c r="E7200" s="800">
        <v>2.722</v>
      </c>
      <c r="F7200" s="801" t="s">
        <v>16</v>
      </c>
      <c r="G7200" s="802" t="s">
        <v>76</v>
      </c>
      <c r="H7200" s="801" t="s">
        <v>2475</v>
      </c>
      <c r="I7200" s="801" t="s">
        <v>2475</v>
      </c>
      <c r="J7200" s="803"/>
      <c r="K7200" s="801" t="str">
        <f t="shared" si="218"/>
        <v>09,26</v>
      </c>
      <c r="L7200" s="801" t="s">
        <v>265</v>
      </c>
      <c r="M7200" s="801">
        <v>2700</v>
      </c>
      <c r="N7200" s="804">
        <v>0.375</v>
      </c>
      <c r="O7200" s="897" t="s">
        <v>2533</v>
      </c>
      <c r="P7200" s="867" t="s">
        <v>2557</v>
      </c>
    </row>
    <row r="7201" spans="1:18" ht="19.5" hidden="1" thickBot="1" x14ac:dyDescent="0.3">
      <c r="A7201" s="1112">
        <f>MAX(A7037:A7199)+1</f>
        <v>4434</v>
      </c>
      <c r="B7201" s="610" t="s">
        <v>2422</v>
      </c>
      <c r="C7201" s="480" t="s">
        <v>26</v>
      </c>
      <c r="D7201" s="481">
        <v>17.748999999999999</v>
      </c>
      <c r="E7201" s="482">
        <v>14.715</v>
      </c>
      <c r="F7201" s="483" t="s">
        <v>16</v>
      </c>
      <c r="G7201" s="549"/>
      <c r="H7201" s="483" t="s">
        <v>2475</v>
      </c>
      <c r="I7201" s="484" t="s">
        <v>2475</v>
      </c>
      <c r="J7201" s="485"/>
      <c r="K7201" s="483" t="str">
        <f t="shared" si="218"/>
        <v>09,26</v>
      </c>
      <c r="L7201" s="483" t="s">
        <v>265</v>
      </c>
      <c r="M7201" s="483">
        <v>17884.45</v>
      </c>
      <c r="N7201" s="486">
        <v>0.41666666666666669</v>
      </c>
      <c r="O7201" s="897" t="s">
        <v>2481</v>
      </c>
      <c r="P7201" s="867" t="s">
        <v>2561</v>
      </c>
    </row>
    <row r="7202" spans="1:18" ht="19.5" hidden="1" thickBot="1" x14ac:dyDescent="0.3">
      <c r="A7202" s="1113"/>
      <c r="B7202" s="792" t="s">
        <v>2475</v>
      </c>
      <c r="C7202" s="793" t="s">
        <v>26</v>
      </c>
      <c r="D7202" s="794">
        <v>0.5</v>
      </c>
      <c r="E7202" s="794">
        <v>0.52200000000000002</v>
      </c>
      <c r="F7202" s="795" t="s">
        <v>16</v>
      </c>
      <c r="G7202" s="796" t="s">
        <v>76</v>
      </c>
      <c r="H7202" s="795" t="s">
        <v>2475</v>
      </c>
      <c r="I7202" s="795" t="s">
        <v>2475</v>
      </c>
      <c r="J7202" s="797"/>
      <c r="K7202" s="795" t="str">
        <f t="shared" si="218"/>
        <v>09,26</v>
      </c>
      <c r="L7202" s="795" t="s">
        <v>265</v>
      </c>
      <c r="M7202" s="795">
        <v>510</v>
      </c>
      <c r="N7202" s="502">
        <v>0.41666666666666669</v>
      </c>
      <c r="O7202" s="897" t="s">
        <v>2544</v>
      </c>
      <c r="P7202" s="867" t="s">
        <v>2563</v>
      </c>
    </row>
    <row r="7203" spans="1:18" ht="19.5" hidden="1" thickBot="1" x14ac:dyDescent="0.3">
      <c r="A7203" s="1113"/>
      <c r="B7203" s="841" t="s">
        <v>2470</v>
      </c>
      <c r="C7203" s="842" t="s">
        <v>26</v>
      </c>
      <c r="D7203" s="843">
        <v>3.2</v>
      </c>
      <c r="E7203" s="843">
        <v>2.343</v>
      </c>
      <c r="F7203" s="844" t="s">
        <v>16</v>
      </c>
      <c r="G7203" s="851" t="s">
        <v>76</v>
      </c>
      <c r="H7203" s="844" t="s">
        <v>2475</v>
      </c>
      <c r="I7203" s="844" t="s">
        <v>2475</v>
      </c>
      <c r="J7203" s="845"/>
      <c r="K7203" s="844" t="str">
        <f t="shared" si="218"/>
        <v>09,26</v>
      </c>
      <c r="L7203" s="844" t="s">
        <v>265</v>
      </c>
      <c r="M7203" s="844">
        <v>3225</v>
      </c>
      <c r="N7203" s="846">
        <v>0.41666666666666669</v>
      </c>
      <c r="O7203" s="897" t="s">
        <v>2534</v>
      </c>
      <c r="P7203" s="867" t="s">
        <v>2555</v>
      </c>
    </row>
    <row r="7204" spans="1:18" ht="19.5" hidden="1" thickBot="1" x14ac:dyDescent="0.3">
      <c r="A7204" s="1191">
        <f>MAX(A7038:A7201)+1</f>
        <v>4435</v>
      </c>
      <c r="B7204" s="759" t="s">
        <v>2422</v>
      </c>
      <c r="C7204" s="532" t="s">
        <v>23</v>
      </c>
      <c r="D7204" s="533">
        <v>17.199000000000002</v>
      </c>
      <c r="E7204" s="534">
        <v>15.475</v>
      </c>
      <c r="F7204" s="535" t="s">
        <v>16</v>
      </c>
      <c r="G7204" s="1187" t="s">
        <v>1634</v>
      </c>
      <c r="H7204" s="535" t="s">
        <v>2475</v>
      </c>
      <c r="I7204" s="537" t="s">
        <v>2475</v>
      </c>
      <c r="J7204" s="538"/>
      <c r="K7204" s="535" t="str">
        <f t="shared" si="218"/>
        <v>09,26</v>
      </c>
      <c r="L7204" s="535" t="s">
        <v>28</v>
      </c>
      <c r="M7204" s="535">
        <v>17311.98</v>
      </c>
      <c r="N7204" s="539">
        <v>0.45833333333333331</v>
      </c>
      <c r="O7204" s="897" t="s">
        <v>2482</v>
      </c>
      <c r="P7204" s="867" t="s">
        <v>2573</v>
      </c>
    </row>
    <row r="7205" spans="1:18" ht="19.5" hidden="1" thickBot="1" x14ac:dyDescent="0.3">
      <c r="A7205" s="1192"/>
      <c r="B7205" s="798" t="s">
        <v>2475</v>
      </c>
      <c r="C7205" s="799" t="s">
        <v>23</v>
      </c>
      <c r="D7205" s="800">
        <v>1.7</v>
      </c>
      <c r="E7205" s="800">
        <v>1.718</v>
      </c>
      <c r="F7205" s="801" t="s">
        <v>16</v>
      </c>
      <c r="G7205" s="1188"/>
      <c r="H7205" s="801" t="s">
        <v>2475</v>
      </c>
      <c r="I7205" s="801" t="s">
        <v>2475</v>
      </c>
      <c r="J7205" s="803"/>
      <c r="K7205" s="801" t="str">
        <f t="shared" si="218"/>
        <v>09,26</v>
      </c>
      <c r="L7205" s="801" t="s">
        <v>28</v>
      </c>
      <c r="M7205" s="801">
        <v>1717.56</v>
      </c>
      <c r="N7205" s="804">
        <v>0.45833333333333331</v>
      </c>
      <c r="O7205" s="897" t="s">
        <v>2546</v>
      </c>
      <c r="P7205" s="867" t="s">
        <v>2574</v>
      </c>
    </row>
    <row r="7206" spans="1:18" ht="19.5" hidden="1" thickBot="1" x14ac:dyDescent="0.3">
      <c r="A7206" s="1101">
        <f>MAX(A7039:A7204)+1</f>
        <v>4436</v>
      </c>
      <c r="B7206" s="610" t="s">
        <v>2422</v>
      </c>
      <c r="C7206" s="480" t="s">
        <v>47</v>
      </c>
      <c r="D7206" s="481">
        <v>17.166</v>
      </c>
      <c r="E7206" s="482">
        <v>16.512</v>
      </c>
      <c r="F7206" s="483" t="s">
        <v>16</v>
      </c>
      <c r="G7206" s="1189" t="s">
        <v>1634</v>
      </c>
      <c r="H7206" s="483" t="s">
        <v>2475</v>
      </c>
      <c r="I7206" s="484" t="s">
        <v>2545</v>
      </c>
      <c r="J7206" s="485"/>
      <c r="K7206" s="483" t="str">
        <f t="shared" si="218"/>
        <v>09,26</v>
      </c>
      <c r="L7206" s="483" t="s">
        <v>28</v>
      </c>
      <c r="M7206" s="483">
        <v>17304.93</v>
      </c>
      <c r="N7206" s="486">
        <v>0.5</v>
      </c>
      <c r="O7206" s="897" t="s">
        <v>2483</v>
      </c>
      <c r="P7206" s="867" t="s">
        <v>2579</v>
      </c>
    </row>
    <row r="7207" spans="1:18" ht="19.5" hidden="1" thickBot="1" x14ac:dyDescent="0.3">
      <c r="A7207" s="1103"/>
      <c r="B7207" s="805" t="s">
        <v>2475</v>
      </c>
      <c r="C7207" s="806" t="s">
        <v>47</v>
      </c>
      <c r="D7207" s="807">
        <v>0.82</v>
      </c>
      <c r="E7207" s="807">
        <v>0.83099999999999996</v>
      </c>
      <c r="F7207" s="808" t="s">
        <v>16</v>
      </c>
      <c r="G7207" s="1190"/>
      <c r="H7207" s="808" t="s">
        <v>2475</v>
      </c>
      <c r="I7207" s="808" t="s">
        <v>2545</v>
      </c>
      <c r="J7207" s="810"/>
      <c r="K7207" s="808" t="str">
        <f t="shared" si="218"/>
        <v>09,26</v>
      </c>
      <c r="L7207" s="808" t="s">
        <v>28</v>
      </c>
      <c r="M7207" s="808">
        <v>825</v>
      </c>
      <c r="N7207" s="778">
        <v>0.5</v>
      </c>
      <c r="O7207" s="897" t="s">
        <v>2547</v>
      </c>
      <c r="P7207" s="867" t="s">
        <v>2580</v>
      </c>
    </row>
    <row r="7208" spans="1:18" ht="19.5" hidden="1" thickBot="1" x14ac:dyDescent="0.3">
      <c r="A7208" s="503">
        <f>MAX(A7040:A7206)+1</f>
        <v>4437</v>
      </c>
      <c r="B7208" s="636" t="s">
        <v>2422</v>
      </c>
      <c r="C7208" s="637" t="s">
        <v>23</v>
      </c>
      <c r="D7208" s="638">
        <v>12.076000000000001</v>
      </c>
      <c r="E7208" s="639">
        <v>12.076000000000001</v>
      </c>
      <c r="F7208" s="640" t="s">
        <v>30</v>
      </c>
      <c r="G7208" s="641"/>
      <c r="H7208" s="640" t="s">
        <v>2475</v>
      </c>
      <c r="I7208" s="642" t="s">
        <v>2545</v>
      </c>
      <c r="J7208" s="643"/>
      <c r="K7208" s="640" t="str">
        <f t="shared" si="218"/>
        <v>09,26</v>
      </c>
      <c r="L7208" s="640" t="s">
        <v>28</v>
      </c>
      <c r="M7208" s="640">
        <v>12076.199999999999</v>
      </c>
      <c r="N7208" s="644">
        <v>0.41666666666666669</v>
      </c>
      <c r="O7208" s="897" t="s">
        <v>2488</v>
      </c>
      <c r="P7208" s="867" t="s">
        <v>2581</v>
      </c>
    </row>
    <row r="7209" spans="1:18" ht="19.5" hidden="1" thickBot="1" x14ac:dyDescent="0.3">
      <c r="A7209" s="1101">
        <f>MAX(A7041:A7208)+1</f>
        <v>4438</v>
      </c>
      <c r="B7209" s="479" t="s">
        <v>2470</v>
      </c>
      <c r="C7209" s="480" t="s">
        <v>55</v>
      </c>
      <c r="D7209" s="481">
        <v>2.87</v>
      </c>
      <c r="E7209" s="482">
        <v>2.137</v>
      </c>
      <c r="F7209" s="483" t="s">
        <v>16</v>
      </c>
      <c r="G7209" s="549" t="s">
        <v>844</v>
      </c>
      <c r="H7209" s="483" t="s">
        <v>2545</v>
      </c>
      <c r="I7209" s="484" t="s">
        <v>2524</v>
      </c>
      <c r="J7209" s="485"/>
      <c r="K7209" s="483" t="str">
        <f t="shared" si="218"/>
        <v>09,26</v>
      </c>
      <c r="L7209" s="483" t="s">
        <v>266</v>
      </c>
      <c r="M7209" s="483">
        <v>2937.4599999999996</v>
      </c>
      <c r="N7209" s="486">
        <v>0.5</v>
      </c>
      <c r="O7209" s="897" t="s">
        <v>2525</v>
      </c>
      <c r="P7209" s="867" t="s">
        <v>2610</v>
      </c>
    </row>
    <row r="7210" spans="1:18" ht="19.5" hidden="1" thickBot="1" x14ac:dyDescent="0.3">
      <c r="A7210" s="1102"/>
      <c r="B7210" s="495" t="s">
        <v>2470</v>
      </c>
      <c r="C7210" s="496" t="s">
        <v>55</v>
      </c>
      <c r="D7210" s="497">
        <v>14.9</v>
      </c>
      <c r="E7210" s="498">
        <v>8.2240000000000002</v>
      </c>
      <c r="F7210" s="499" t="s">
        <v>16</v>
      </c>
      <c r="G7210" s="562" t="s">
        <v>845</v>
      </c>
      <c r="H7210" s="499" t="s">
        <v>2545</v>
      </c>
      <c r="I7210" s="500" t="s">
        <v>2524</v>
      </c>
      <c r="J7210" s="501"/>
      <c r="K7210" s="499" t="str">
        <f t="shared" si="218"/>
        <v>09,26</v>
      </c>
      <c r="L7210" s="499" t="s">
        <v>266</v>
      </c>
      <c r="M7210" s="499">
        <v>15070.84</v>
      </c>
      <c r="N7210" s="502">
        <v>0.5</v>
      </c>
      <c r="O7210" s="897" t="s">
        <v>2526</v>
      </c>
      <c r="P7210" s="867" t="s">
        <v>2611</v>
      </c>
    </row>
    <row r="7211" spans="1:18" ht="19.5" hidden="1" thickBot="1" x14ac:dyDescent="0.3">
      <c r="A7211" s="503">
        <f t="shared" ref="A7211:A7216" si="220">MAX(A7043:A7210)+1</f>
        <v>4439</v>
      </c>
      <c r="B7211" s="504" t="s">
        <v>2475</v>
      </c>
      <c r="C7211" s="505" t="s">
        <v>32</v>
      </c>
      <c r="D7211" s="506">
        <v>18.055</v>
      </c>
      <c r="E7211" s="507">
        <v>17.273</v>
      </c>
      <c r="F7211" s="508" t="s">
        <v>16</v>
      </c>
      <c r="G7211" s="509"/>
      <c r="H7211" s="508" t="s">
        <v>2524</v>
      </c>
      <c r="I7211" s="510" t="s">
        <v>2524</v>
      </c>
      <c r="J7211" s="511"/>
      <c r="K7211" s="508" t="str">
        <f t="shared" si="218"/>
        <v>09,26</v>
      </c>
      <c r="L7211" s="508" t="s">
        <v>266</v>
      </c>
      <c r="M7211" s="508">
        <v>18206.340000000004</v>
      </c>
      <c r="N7211" s="512">
        <v>0.41666666666666669</v>
      </c>
      <c r="O7211" s="897" t="s">
        <v>2548</v>
      </c>
      <c r="P7211" s="867" t="s">
        <v>2609</v>
      </c>
    </row>
    <row r="7212" spans="1:18" ht="19.5" hidden="1" thickBot="1" x14ac:dyDescent="0.3">
      <c r="A7212" s="513">
        <f t="shared" si="220"/>
        <v>4440</v>
      </c>
      <c r="B7212" s="514" t="s">
        <v>2475</v>
      </c>
      <c r="C7212" s="515" t="s">
        <v>32</v>
      </c>
      <c r="D7212" s="516">
        <v>17.968</v>
      </c>
      <c r="E7212" s="517">
        <v>17.437999999999999</v>
      </c>
      <c r="F7212" s="518" t="s">
        <v>16</v>
      </c>
      <c r="G7212" s="519"/>
      <c r="H7212" s="518" t="s">
        <v>2524</v>
      </c>
      <c r="I7212" s="520" t="s">
        <v>2564</v>
      </c>
      <c r="J7212" s="521"/>
      <c r="K7212" s="518" t="str">
        <f t="shared" si="218"/>
        <v>09,26</v>
      </c>
      <c r="L7212" s="518" t="s">
        <v>266</v>
      </c>
      <c r="M7212" s="518">
        <v>18073.95</v>
      </c>
      <c r="N7212" s="522">
        <v>0.45833333333333331</v>
      </c>
      <c r="O7212" s="897" t="s">
        <v>2549</v>
      </c>
      <c r="P7212" s="867" t="s">
        <v>2646</v>
      </c>
    </row>
    <row r="7213" spans="1:18" ht="19.5" hidden="1" thickBot="1" x14ac:dyDescent="0.3">
      <c r="A7213" s="503">
        <f t="shared" si="220"/>
        <v>4441</v>
      </c>
      <c r="B7213" s="504" t="s">
        <v>2475</v>
      </c>
      <c r="C7213" s="505" t="s">
        <v>32</v>
      </c>
      <c r="D7213" s="506">
        <v>18.05</v>
      </c>
      <c r="E7213" s="507">
        <v>17.577999999999999</v>
      </c>
      <c r="F7213" s="508" t="s">
        <v>16</v>
      </c>
      <c r="G7213" s="509"/>
      <c r="H7213" s="508" t="s">
        <v>2524</v>
      </c>
      <c r="I7213" s="510" t="s">
        <v>2586</v>
      </c>
      <c r="J7213" s="511"/>
      <c r="K7213" s="508" t="str">
        <f t="shared" si="218"/>
        <v>09,26</v>
      </c>
      <c r="L7213" s="508" t="s">
        <v>266</v>
      </c>
      <c r="M7213" s="508">
        <v>18103.2</v>
      </c>
      <c r="N7213" s="512">
        <v>0.5</v>
      </c>
      <c r="O7213" s="897" t="s">
        <v>2551</v>
      </c>
      <c r="P7213" s="867" t="s">
        <v>2658</v>
      </c>
    </row>
    <row r="7214" spans="1:18" ht="19.5" hidden="1" thickBot="1" x14ac:dyDescent="0.3">
      <c r="A7214" s="513">
        <f t="shared" si="220"/>
        <v>4442</v>
      </c>
      <c r="B7214" s="663" t="s">
        <v>2475</v>
      </c>
      <c r="C7214" s="664" t="s">
        <v>32</v>
      </c>
      <c r="D7214" s="665">
        <v>17.600000000000001</v>
      </c>
      <c r="E7214" s="666" t="s">
        <v>1496</v>
      </c>
      <c r="F7214" s="667" t="s">
        <v>16</v>
      </c>
      <c r="G7214" s="668" t="s">
        <v>2299</v>
      </c>
      <c r="H7214" s="667" t="s">
        <v>2524</v>
      </c>
      <c r="I7214" s="669" t="s">
        <v>1496</v>
      </c>
      <c r="J7214" s="670"/>
      <c r="K7214" s="667" t="str">
        <f t="shared" si="218"/>
        <v>тмена</v>
      </c>
      <c r="L7214" s="667" t="s">
        <v>266</v>
      </c>
      <c r="M7214" s="667">
        <v>17604.599999999999</v>
      </c>
      <c r="N7214" s="671">
        <v>0.54166666666666663</v>
      </c>
      <c r="O7214" s="920" t="s">
        <v>2550</v>
      </c>
      <c r="P7214" s="921" t="s">
        <v>1024</v>
      </c>
    </row>
    <row r="7215" spans="1:18" ht="19.5" hidden="1" thickBot="1" x14ac:dyDescent="0.3">
      <c r="A7215" s="551">
        <f t="shared" si="220"/>
        <v>4443</v>
      </c>
      <c r="B7215" s="552" t="s">
        <v>2475</v>
      </c>
      <c r="C7215" s="553" t="s">
        <v>848</v>
      </c>
      <c r="D7215" s="554">
        <v>18.02</v>
      </c>
      <c r="E7215" s="555">
        <v>17.952000000000002</v>
      </c>
      <c r="F7215" s="556" t="s">
        <v>16</v>
      </c>
      <c r="G7215" s="557"/>
      <c r="H7215" s="556" t="s">
        <v>2524</v>
      </c>
      <c r="I7215" s="558" t="s">
        <v>2564</v>
      </c>
      <c r="J7215" s="559"/>
      <c r="K7215" s="556" t="str">
        <f t="shared" si="218"/>
        <v>09,26</v>
      </c>
      <c r="L7215" s="556" t="s">
        <v>266</v>
      </c>
      <c r="M7215" s="556">
        <v>18066.18</v>
      </c>
      <c r="N7215" s="560">
        <v>0.58333333333333337</v>
      </c>
      <c r="O7215" s="897" t="s">
        <v>2552</v>
      </c>
      <c r="P7215" s="867" t="s">
        <v>2645</v>
      </c>
    </row>
    <row r="7216" spans="1:18" ht="19.5" hidden="1" thickBot="1" x14ac:dyDescent="0.3">
      <c r="A7216" s="1112">
        <f t="shared" si="220"/>
        <v>4444</v>
      </c>
      <c r="B7216" s="610" t="s">
        <v>2545</v>
      </c>
      <c r="C7216" s="480" t="s">
        <v>26</v>
      </c>
      <c r="D7216" s="481">
        <v>17.861999999999998</v>
      </c>
      <c r="E7216" s="482">
        <f>16.177+0.324+0.245</f>
        <v>16.746000000000002</v>
      </c>
      <c r="F7216" s="483" t="s">
        <v>16</v>
      </c>
      <c r="G7216" s="549"/>
      <c r="H7216" s="483" t="s">
        <v>2564</v>
      </c>
      <c r="I7216" s="484" t="s">
        <v>2564</v>
      </c>
      <c r="J7216" s="485"/>
      <c r="K7216" s="483" t="str">
        <f t="shared" si="218"/>
        <v>09,26</v>
      </c>
      <c r="L7216" s="483" t="s">
        <v>265</v>
      </c>
      <c r="M7216" s="483">
        <v>18021.300000000003</v>
      </c>
      <c r="N7216" s="486">
        <v>0.375</v>
      </c>
      <c r="O7216" s="897" t="s">
        <v>2565</v>
      </c>
      <c r="P7216" s="867" t="s">
        <v>2639</v>
      </c>
      <c r="Q7216" s="847" t="s">
        <v>2640</v>
      </c>
      <c r="R7216" s="847" t="s">
        <v>2641</v>
      </c>
    </row>
    <row r="7217" spans="1:17" ht="19.5" hidden="1" thickBot="1" x14ac:dyDescent="0.3">
      <c r="A7217" s="1114"/>
      <c r="B7217" s="805" t="s">
        <v>2564</v>
      </c>
      <c r="C7217" s="806" t="s">
        <v>26</v>
      </c>
      <c r="D7217" s="807">
        <v>3</v>
      </c>
      <c r="E7217" s="807">
        <v>0.71799999999999997</v>
      </c>
      <c r="F7217" s="808" t="s">
        <v>16</v>
      </c>
      <c r="G7217" s="809" t="s">
        <v>76</v>
      </c>
      <c r="H7217" s="808" t="s">
        <v>2564</v>
      </c>
      <c r="I7217" s="808" t="s">
        <v>2564</v>
      </c>
      <c r="J7217" s="810"/>
      <c r="K7217" s="808" t="str">
        <f t="shared" si="218"/>
        <v>09,26</v>
      </c>
      <c r="L7217" s="808" t="s">
        <v>265</v>
      </c>
      <c r="M7217" s="808">
        <v>3030</v>
      </c>
      <c r="N7217" s="778">
        <v>0.375</v>
      </c>
      <c r="O7217" s="897" t="s">
        <v>2634</v>
      </c>
      <c r="P7217" s="867" t="s">
        <v>2638</v>
      </c>
    </row>
    <row r="7218" spans="1:17" ht="19.5" hidden="1" thickBot="1" x14ac:dyDescent="0.3">
      <c r="A7218" s="1109">
        <f>MAX(A7049:A7216)+1</f>
        <v>4445</v>
      </c>
      <c r="B7218" s="760" t="s">
        <v>2545</v>
      </c>
      <c r="C7218" s="564" t="s">
        <v>26</v>
      </c>
      <c r="D7218" s="565">
        <v>18.989000000000001</v>
      </c>
      <c r="E7218" s="566">
        <f>14.717+0.675</f>
        <v>15.392000000000001</v>
      </c>
      <c r="F7218" s="567" t="s">
        <v>16</v>
      </c>
      <c r="G7218" s="568"/>
      <c r="H7218" s="567" t="s">
        <v>2564</v>
      </c>
      <c r="I7218" s="569" t="s">
        <v>2564</v>
      </c>
      <c r="J7218" s="570"/>
      <c r="K7218" s="567" t="str">
        <f t="shared" si="218"/>
        <v>09,26</v>
      </c>
      <c r="L7218" s="567" t="s">
        <v>265</v>
      </c>
      <c r="M7218" s="567">
        <v>19042.120000000003</v>
      </c>
      <c r="N7218" s="571">
        <v>0.41666666666666669</v>
      </c>
      <c r="O7218" s="897" t="s">
        <v>2566</v>
      </c>
      <c r="P7218" s="867" t="s">
        <v>2642</v>
      </c>
      <c r="Q7218" s="847" t="s">
        <v>2644</v>
      </c>
    </row>
    <row r="7219" spans="1:17" ht="19.5" hidden="1" thickBot="1" x14ac:dyDescent="0.3">
      <c r="A7219" s="1111"/>
      <c r="B7219" s="798" t="s">
        <v>2524</v>
      </c>
      <c r="C7219" s="799" t="s">
        <v>26</v>
      </c>
      <c r="D7219" s="800">
        <v>2.5499999999999998</v>
      </c>
      <c r="E7219" s="800">
        <v>1.869</v>
      </c>
      <c r="F7219" s="801" t="s">
        <v>16</v>
      </c>
      <c r="G7219" s="802" t="s">
        <v>76</v>
      </c>
      <c r="H7219" s="801" t="s">
        <v>2564</v>
      </c>
      <c r="I7219" s="801" t="s">
        <v>2564</v>
      </c>
      <c r="J7219" s="803"/>
      <c r="K7219" s="801" t="str">
        <f t="shared" si="218"/>
        <v>09,26</v>
      </c>
      <c r="L7219" s="801" t="s">
        <v>265</v>
      </c>
      <c r="M7219" s="801">
        <v>2551.5</v>
      </c>
      <c r="N7219" s="804">
        <v>0.41666666666666669</v>
      </c>
      <c r="O7219" s="897" t="s">
        <v>2583</v>
      </c>
      <c r="P7219" s="867" t="s">
        <v>2643</v>
      </c>
    </row>
    <row r="7220" spans="1:17" ht="19.5" hidden="1" thickBot="1" x14ac:dyDescent="0.3">
      <c r="A7220" s="513">
        <f>MAX(A7050:A7218)+1</f>
        <v>4446</v>
      </c>
      <c r="B7220" s="514" t="s">
        <v>2545</v>
      </c>
      <c r="C7220" s="515" t="s">
        <v>47</v>
      </c>
      <c r="D7220" s="516">
        <v>13.638</v>
      </c>
      <c r="E7220" s="517">
        <v>13.638</v>
      </c>
      <c r="F7220" s="518" t="s">
        <v>30</v>
      </c>
      <c r="G7220" s="519"/>
      <c r="H7220" s="518" t="s">
        <v>2564</v>
      </c>
      <c r="I7220" s="520" t="s">
        <v>2614</v>
      </c>
      <c r="J7220" s="521"/>
      <c r="K7220" s="518" t="str">
        <f t="shared" si="218"/>
        <v>09,26</v>
      </c>
      <c r="L7220" s="518" t="s">
        <v>28</v>
      </c>
      <c r="M7220" s="518">
        <v>13638.64</v>
      </c>
      <c r="N7220" s="522">
        <v>0.41666666666666669</v>
      </c>
      <c r="O7220" s="897" t="s">
        <v>2568</v>
      </c>
      <c r="P7220" s="867" t="s">
        <v>2723</v>
      </c>
    </row>
    <row r="7221" spans="1:17" ht="19.5" hidden="1" thickBot="1" x14ac:dyDescent="0.3">
      <c r="A7221" s="1109">
        <f t="shared" ref="A7221" si="221">MAX(A7051:A7220)+1</f>
        <v>4447</v>
      </c>
      <c r="B7221" s="760" t="s">
        <v>2545</v>
      </c>
      <c r="C7221" s="564" t="s">
        <v>26</v>
      </c>
      <c r="D7221" s="565">
        <v>20.817</v>
      </c>
      <c r="E7221" s="566">
        <v>16.991</v>
      </c>
      <c r="F7221" s="567" t="s">
        <v>16</v>
      </c>
      <c r="G7221" s="568"/>
      <c r="H7221" s="567" t="s">
        <v>2567</v>
      </c>
      <c r="I7221" s="569" t="s">
        <v>2586</v>
      </c>
      <c r="J7221" s="570"/>
      <c r="K7221" s="567" t="str">
        <f t="shared" si="218"/>
        <v>09,26</v>
      </c>
      <c r="L7221" s="567" t="s">
        <v>265</v>
      </c>
      <c r="M7221" s="567">
        <v>21025.500000000004</v>
      </c>
      <c r="N7221" s="571">
        <v>0.375</v>
      </c>
      <c r="O7221" s="897" t="s">
        <v>2569</v>
      </c>
      <c r="P7221" s="867" t="s">
        <v>2656</v>
      </c>
    </row>
    <row r="7222" spans="1:17" ht="19.5" hidden="1" thickBot="1" x14ac:dyDescent="0.3">
      <c r="A7222" s="1111"/>
      <c r="B7222" s="798" t="s">
        <v>2586</v>
      </c>
      <c r="C7222" s="799" t="s">
        <v>26</v>
      </c>
      <c r="D7222" s="800">
        <v>0.5</v>
      </c>
      <c r="E7222" s="800">
        <v>0.51100000000000001</v>
      </c>
      <c r="F7222" s="801" t="s">
        <v>16</v>
      </c>
      <c r="G7222" s="802" t="s">
        <v>76</v>
      </c>
      <c r="H7222" s="801" t="s">
        <v>2567</v>
      </c>
      <c r="I7222" s="801" t="s">
        <v>2586</v>
      </c>
      <c r="J7222" s="803"/>
      <c r="K7222" s="801" t="str">
        <f t="shared" si="218"/>
        <v>09,26</v>
      </c>
      <c r="L7222" s="801" t="s">
        <v>265</v>
      </c>
      <c r="M7222" s="801">
        <v>510</v>
      </c>
      <c r="N7222" s="804">
        <v>0.375</v>
      </c>
      <c r="O7222" s="897" t="s">
        <v>2647</v>
      </c>
      <c r="P7222" s="867" t="s">
        <v>2657</v>
      </c>
    </row>
    <row r="7223" spans="1:17" ht="19.5" hidden="1" thickBot="1" x14ac:dyDescent="0.3">
      <c r="A7223" s="1112">
        <f>MAX(A7052:A7221)+1</f>
        <v>4448</v>
      </c>
      <c r="B7223" s="610" t="s">
        <v>2545</v>
      </c>
      <c r="C7223" s="480" t="s">
        <v>24</v>
      </c>
      <c r="D7223" s="481">
        <v>17.606999999999999</v>
      </c>
      <c r="E7223" s="482">
        <f>16.887+0.205</f>
        <v>17.091999999999999</v>
      </c>
      <c r="F7223" s="483" t="s">
        <v>16</v>
      </c>
      <c r="G7223" s="549"/>
      <c r="H7223" s="483" t="s">
        <v>2567</v>
      </c>
      <c r="I7223" s="484" t="s">
        <v>2614</v>
      </c>
      <c r="J7223" s="485"/>
      <c r="K7223" s="483" t="str">
        <f t="shared" si="218"/>
        <v>09,26</v>
      </c>
      <c r="L7223" s="483" t="s">
        <v>28</v>
      </c>
      <c r="M7223" s="483">
        <v>17783.120000000003</v>
      </c>
      <c r="N7223" s="486">
        <v>0.41666666666666669</v>
      </c>
      <c r="O7223" s="897" t="s">
        <v>2570</v>
      </c>
      <c r="P7223" s="867" t="s">
        <v>2686</v>
      </c>
      <c r="Q7223" s="847" t="s">
        <v>2688</v>
      </c>
    </row>
    <row r="7224" spans="1:17" ht="19.5" hidden="1" thickBot="1" x14ac:dyDescent="0.3">
      <c r="A7224" s="1114"/>
      <c r="B7224" s="805" t="s">
        <v>2567</v>
      </c>
      <c r="C7224" s="806" t="s">
        <v>24</v>
      </c>
      <c r="D7224" s="807">
        <v>0.67</v>
      </c>
      <c r="E7224" s="807">
        <v>0.67300000000000004</v>
      </c>
      <c r="F7224" s="808" t="s">
        <v>16</v>
      </c>
      <c r="G7224" s="809"/>
      <c r="H7224" s="808" t="s">
        <v>2567</v>
      </c>
      <c r="I7224" s="808" t="s">
        <v>2614</v>
      </c>
      <c r="J7224" s="810"/>
      <c r="K7224" s="808" t="str">
        <f t="shared" si="218"/>
        <v>09,26</v>
      </c>
      <c r="L7224" s="808" t="s">
        <v>28</v>
      </c>
      <c r="M7224" s="808">
        <v>675</v>
      </c>
      <c r="N7224" s="778">
        <v>0.41666666666666669</v>
      </c>
      <c r="O7224" s="897" t="s">
        <v>2635</v>
      </c>
      <c r="P7224" s="867" t="s">
        <v>2687</v>
      </c>
    </row>
    <row r="7225" spans="1:17" ht="19.5" hidden="1" thickBot="1" x14ac:dyDescent="0.3">
      <c r="A7225" s="1109">
        <f>MAX(A7053:A7223)+1</f>
        <v>4449</v>
      </c>
      <c r="B7225" s="760" t="s">
        <v>2545</v>
      </c>
      <c r="C7225" s="564" t="s">
        <v>23</v>
      </c>
      <c r="D7225" s="565">
        <v>17.388999999999999</v>
      </c>
      <c r="E7225" s="566">
        <v>16.681000000000001</v>
      </c>
      <c r="F7225" s="567" t="s">
        <v>16</v>
      </c>
      <c r="G7225" s="568"/>
      <c r="H7225" s="567" t="s">
        <v>2567</v>
      </c>
      <c r="I7225" s="569" t="s">
        <v>2567</v>
      </c>
      <c r="J7225" s="570"/>
      <c r="K7225" s="567" t="str">
        <f t="shared" si="218"/>
        <v>09,26</v>
      </c>
      <c r="L7225" s="567" t="s">
        <v>28</v>
      </c>
      <c r="M7225" s="567">
        <v>17540.11</v>
      </c>
      <c r="N7225" s="571">
        <v>0.45833333333333331</v>
      </c>
      <c r="O7225" s="897" t="s">
        <v>2571</v>
      </c>
      <c r="P7225" s="867" t="s">
        <v>2667</v>
      </c>
    </row>
    <row r="7226" spans="1:17" ht="19.5" hidden="1" thickBot="1" x14ac:dyDescent="0.3">
      <c r="A7226" s="1111"/>
      <c r="B7226" s="798" t="s">
        <v>2567</v>
      </c>
      <c r="C7226" s="799" t="s">
        <v>23</v>
      </c>
      <c r="D7226" s="800">
        <v>0.79</v>
      </c>
      <c r="E7226" s="800">
        <v>0.79700000000000004</v>
      </c>
      <c r="F7226" s="801" t="s">
        <v>16</v>
      </c>
      <c r="G7226" s="802"/>
      <c r="H7226" s="801" t="s">
        <v>2567</v>
      </c>
      <c r="I7226" s="801" t="s">
        <v>2567</v>
      </c>
      <c r="J7226" s="803"/>
      <c r="K7226" s="801" t="str">
        <f t="shared" si="218"/>
        <v>09,26</v>
      </c>
      <c r="L7226" s="801" t="s">
        <v>28</v>
      </c>
      <c r="M7226" s="801">
        <v>795</v>
      </c>
      <c r="N7226" s="804">
        <v>0.45833333333333331</v>
      </c>
      <c r="O7226" s="897" t="s">
        <v>2636</v>
      </c>
      <c r="P7226" s="867" t="s">
        <v>2668</v>
      </c>
    </row>
    <row r="7227" spans="1:17" ht="19.5" hidden="1" thickBot="1" x14ac:dyDescent="0.3">
      <c r="A7227" s="1112">
        <f>MAX(A7054:A7225)+1</f>
        <v>4450</v>
      </c>
      <c r="B7227" s="610" t="s">
        <v>2545</v>
      </c>
      <c r="C7227" s="480" t="s">
        <v>47</v>
      </c>
      <c r="D7227" s="481">
        <v>17.614999999999998</v>
      </c>
      <c r="E7227" s="482">
        <v>17.048999999999999</v>
      </c>
      <c r="F7227" s="483" t="s">
        <v>16</v>
      </c>
      <c r="G7227" s="549"/>
      <c r="H7227" s="483" t="s">
        <v>2567</v>
      </c>
      <c r="I7227" s="484" t="s">
        <v>2567</v>
      </c>
      <c r="J7227" s="485"/>
      <c r="K7227" s="483" t="str">
        <f t="shared" si="218"/>
        <v>09,26</v>
      </c>
      <c r="L7227" s="483" t="s">
        <v>28</v>
      </c>
      <c r="M7227" s="483">
        <v>17846.140000000003</v>
      </c>
      <c r="N7227" s="486">
        <v>0.5</v>
      </c>
      <c r="O7227" s="897" t="s">
        <v>2572</v>
      </c>
      <c r="P7227" s="867" t="s">
        <v>2677</v>
      </c>
    </row>
    <row r="7228" spans="1:17" ht="19.5" hidden="1" thickBot="1" x14ac:dyDescent="0.3">
      <c r="A7228" s="1114"/>
      <c r="B7228" s="805" t="s">
        <v>2567</v>
      </c>
      <c r="C7228" s="806" t="s">
        <v>47</v>
      </c>
      <c r="D7228" s="807">
        <v>0.8</v>
      </c>
      <c r="E7228" s="807">
        <v>0.80800000000000005</v>
      </c>
      <c r="F7228" s="808" t="s">
        <v>16</v>
      </c>
      <c r="G7228" s="809"/>
      <c r="H7228" s="808" t="s">
        <v>2567</v>
      </c>
      <c r="I7228" s="808" t="s">
        <v>2567</v>
      </c>
      <c r="J7228" s="810"/>
      <c r="K7228" s="808" t="str">
        <f t="shared" si="218"/>
        <v>09,26</v>
      </c>
      <c r="L7228" s="808" t="s">
        <v>28</v>
      </c>
      <c r="M7228" s="808">
        <v>810</v>
      </c>
      <c r="N7228" s="778">
        <v>0.5</v>
      </c>
      <c r="O7228" s="897" t="s">
        <v>2637</v>
      </c>
      <c r="P7228" s="867" t="s">
        <v>2678</v>
      </c>
    </row>
    <row r="7229" spans="1:17" ht="19.5" hidden="1" thickBot="1" x14ac:dyDescent="0.3">
      <c r="A7229" s="503">
        <f>MAX(A7055:A7227)+1</f>
        <v>4451</v>
      </c>
      <c r="B7229" s="504" t="s">
        <v>2524</v>
      </c>
      <c r="C7229" s="505" t="s">
        <v>26</v>
      </c>
      <c r="D7229" s="506">
        <v>15.326000000000001</v>
      </c>
      <c r="E7229" s="507">
        <v>15.326000000000001</v>
      </c>
      <c r="F7229" s="508" t="s">
        <v>30</v>
      </c>
      <c r="G7229" s="509"/>
      <c r="H7229" s="508" t="s">
        <v>2567</v>
      </c>
      <c r="I7229" s="510" t="s">
        <v>2567</v>
      </c>
      <c r="J7229" s="511"/>
      <c r="K7229" s="508" t="str">
        <f t="shared" si="218"/>
        <v>09,26</v>
      </c>
      <c r="L7229" s="508" t="s">
        <v>265</v>
      </c>
      <c r="M7229" s="508">
        <v>15326.64</v>
      </c>
      <c r="N7229" s="512">
        <v>0.375</v>
      </c>
      <c r="O7229" s="897" t="s">
        <v>2584</v>
      </c>
      <c r="P7229" s="867" t="s">
        <v>2661</v>
      </c>
    </row>
    <row r="7230" spans="1:17" ht="19.5" hidden="1" thickBot="1" x14ac:dyDescent="0.3">
      <c r="A7230" s="1101">
        <f>MAX(A7056:A7229)+1</f>
        <v>4452</v>
      </c>
      <c r="B7230" s="479" t="s">
        <v>2524</v>
      </c>
      <c r="C7230" s="480" t="s">
        <v>1382</v>
      </c>
      <c r="D7230" s="481">
        <v>12.715</v>
      </c>
      <c r="E7230" s="482">
        <v>14.143000000000001</v>
      </c>
      <c r="F7230" s="483" t="s">
        <v>16</v>
      </c>
      <c r="G7230" s="549"/>
      <c r="H7230" s="483" t="s">
        <v>2567</v>
      </c>
      <c r="I7230" s="484" t="s">
        <v>2586</v>
      </c>
      <c r="J7230" s="485"/>
      <c r="K7230" s="483" t="str">
        <f t="shared" si="218"/>
        <v>09,26</v>
      </c>
      <c r="L7230" s="483" t="s">
        <v>266</v>
      </c>
      <c r="M7230" s="483">
        <v>12825.84</v>
      </c>
      <c r="N7230" s="486">
        <v>0.54166666666666663</v>
      </c>
      <c r="O7230" s="897" t="s">
        <v>2590</v>
      </c>
      <c r="P7230" s="867" t="s">
        <v>2652</v>
      </c>
    </row>
    <row r="7231" spans="1:17" ht="19.5" hidden="1" thickBot="1" x14ac:dyDescent="0.3">
      <c r="A7231" s="1103"/>
      <c r="B7231" s="645" t="s">
        <v>2524</v>
      </c>
      <c r="C7231" s="646" t="s">
        <v>981</v>
      </c>
      <c r="D7231" s="647">
        <v>4.2160000000000002</v>
      </c>
      <c r="E7231" s="648">
        <v>3.8029999999999999</v>
      </c>
      <c r="F7231" s="649" t="s">
        <v>16</v>
      </c>
      <c r="G7231" s="650"/>
      <c r="H7231" s="649" t="s">
        <v>2567</v>
      </c>
      <c r="I7231" s="651" t="s">
        <v>2613</v>
      </c>
      <c r="J7231" s="652"/>
      <c r="K7231" s="649" t="str">
        <f t="shared" si="218"/>
        <v>09,26</v>
      </c>
      <c r="L7231" s="649" t="s">
        <v>266</v>
      </c>
      <c r="M7231" s="649">
        <v>4217.8600000000006</v>
      </c>
      <c r="N7231" s="653">
        <v>0.54166666666666663</v>
      </c>
      <c r="O7231" s="897" t="s">
        <v>2591</v>
      </c>
      <c r="P7231" s="867" t="s">
        <v>2679</v>
      </c>
    </row>
    <row r="7232" spans="1:17" ht="19.5" hidden="1" thickBot="1" x14ac:dyDescent="0.3">
      <c r="A7232" s="1098">
        <f>MAX(A7058:A7231)+1</f>
        <v>4453</v>
      </c>
      <c r="B7232" s="531" t="s">
        <v>2524</v>
      </c>
      <c r="C7232" s="532" t="s">
        <v>41</v>
      </c>
      <c r="D7232" s="533">
        <v>3.7850000000000001</v>
      </c>
      <c r="E7232" s="534">
        <v>3.8460000000000001</v>
      </c>
      <c r="F7232" s="535" t="s">
        <v>16</v>
      </c>
      <c r="G7232" s="536"/>
      <c r="H7232" s="535" t="s">
        <v>2567</v>
      </c>
      <c r="I7232" s="537" t="s">
        <v>2613</v>
      </c>
      <c r="J7232" s="538"/>
      <c r="K7232" s="535" t="str">
        <f t="shared" si="218"/>
        <v>09,26</v>
      </c>
      <c r="L7232" s="535" t="s">
        <v>266</v>
      </c>
      <c r="M7232" s="535">
        <v>3859.44</v>
      </c>
      <c r="N7232" s="539">
        <v>0.58333333333333337</v>
      </c>
      <c r="O7232" s="897" t="s">
        <v>2594</v>
      </c>
      <c r="P7232" s="867" t="s">
        <v>2680</v>
      </c>
    </row>
    <row r="7233" spans="1:16" ht="19.5" hidden="1" thickBot="1" x14ac:dyDescent="0.3">
      <c r="A7233" s="1099"/>
      <c r="B7233" s="563" t="s">
        <v>2524</v>
      </c>
      <c r="C7233" s="564" t="s">
        <v>480</v>
      </c>
      <c r="D7233" s="565">
        <v>9.3000000000000007</v>
      </c>
      <c r="E7233" s="566">
        <v>8.0540000000000003</v>
      </c>
      <c r="F7233" s="567" t="s">
        <v>16</v>
      </c>
      <c r="G7233" s="568"/>
      <c r="H7233" s="567" t="s">
        <v>2567</v>
      </c>
      <c r="I7233" s="569" t="s">
        <v>2613</v>
      </c>
      <c r="J7233" s="570"/>
      <c r="K7233" s="567" t="str">
        <f t="shared" si="218"/>
        <v>09,26</v>
      </c>
      <c r="L7233" s="567" t="s">
        <v>266</v>
      </c>
      <c r="M7233" s="567">
        <v>9427.0800000000017</v>
      </c>
      <c r="N7233" s="571">
        <v>0.58333333333333337</v>
      </c>
      <c r="O7233" s="897" t="s">
        <v>2592</v>
      </c>
      <c r="P7233" s="867" t="s">
        <v>2681</v>
      </c>
    </row>
    <row r="7234" spans="1:16" ht="19.5" hidden="1" thickBot="1" x14ac:dyDescent="0.3">
      <c r="A7234" s="1100"/>
      <c r="B7234" s="636" t="s">
        <v>2524</v>
      </c>
      <c r="C7234" s="637" t="s">
        <v>32</v>
      </c>
      <c r="D7234" s="638">
        <v>1.657</v>
      </c>
      <c r="E7234" s="639">
        <v>1.619</v>
      </c>
      <c r="F7234" s="640" t="s">
        <v>16</v>
      </c>
      <c r="G7234" s="641" t="s">
        <v>1702</v>
      </c>
      <c r="H7234" s="640" t="s">
        <v>2567</v>
      </c>
      <c r="I7234" s="642" t="s">
        <v>2613</v>
      </c>
      <c r="J7234" s="643"/>
      <c r="K7234" s="640" t="str">
        <f t="shared" si="218"/>
        <v>09,26</v>
      </c>
      <c r="L7234" s="640" t="s">
        <v>266</v>
      </c>
      <c r="M7234" s="640">
        <v>1657</v>
      </c>
      <c r="N7234" s="644">
        <v>0.58333333333333337</v>
      </c>
      <c r="O7234" s="897" t="s">
        <v>2593</v>
      </c>
      <c r="P7234" s="867" t="s">
        <v>2682</v>
      </c>
    </row>
    <row r="7235" spans="1:16" ht="57" hidden="1" thickBot="1" x14ac:dyDescent="0.3">
      <c r="A7235" s="1101">
        <f>MAX(A7061:A7234)+1</f>
        <v>4454</v>
      </c>
      <c r="B7235" s="479" t="s">
        <v>2524</v>
      </c>
      <c r="C7235" s="480" t="s">
        <v>840</v>
      </c>
      <c r="D7235" s="481">
        <v>15.624000000000001</v>
      </c>
      <c r="E7235" s="482">
        <v>13.901999999999999</v>
      </c>
      <c r="F7235" s="483" t="s">
        <v>16</v>
      </c>
      <c r="G7235" s="984" t="s">
        <v>2612</v>
      </c>
      <c r="H7235" s="483" t="s">
        <v>2567</v>
      </c>
      <c r="I7235" s="484" t="s">
        <v>2586</v>
      </c>
      <c r="J7235" s="485"/>
      <c r="K7235" s="483" t="str">
        <f t="shared" si="218"/>
        <v>09,26</v>
      </c>
      <c r="L7235" s="483" t="s">
        <v>266</v>
      </c>
      <c r="M7235" s="483">
        <v>15748.080000000004</v>
      </c>
      <c r="N7235" s="486">
        <v>0.625</v>
      </c>
      <c r="O7235" s="897" t="s">
        <v>2606</v>
      </c>
      <c r="P7235" s="867" t="s">
        <v>2660</v>
      </c>
    </row>
    <row r="7236" spans="1:16" ht="19.5" hidden="1" thickBot="1" x14ac:dyDescent="0.3">
      <c r="A7236" s="1103"/>
      <c r="B7236" s="645" t="s">
        <v>2524</v>
      </c>
      <c r="C7236" s="646" t="s">
        <v>840</v>
      </c>
      <c r="D7236" s="647">
        <v>4.5</v>
      </c>
      <c r="E7236" s="648">
        <v>3.9460000000000002</v>
      </c>
      <c r="F7236" s="649" t="s">
        <v>16</v>
      </c>
      <c r="G7236" s="650" t="s">
        <v>2299</v>
      </c>
      <c r="H7236" s="649" t="s">
        <v>2567</v>
      </c>
      <c r="I7236" s="651" t="s">
        <v>2586</v>
      </c>
      <c r="J7236" s="652"/>
      <c r="K7236" s="649" t="str">
        <f t="shared" si="218"/>
        <v>09,26</v>
      </c>
      <c r="L7236" s="649" t="s">
        <v>266</v>
      </c>
      <c r="M7236" s="649">
        <v>4500</v>
      </c>
      <c r="N7236" s="653">
        <v>0.625</v>
      </c>
      <c r="O7236" s="897" t="s">
        <v>2607</v>
      </c>
      <c r="P7236" s="867" t="s">
        <v>2659</v>
      </c>
    </row>
    <row r="7237" spans="1:16" ht="19.5" hidden="1" thickBot="1" x14ac:dyDescent="0.3">
      <c r="A7237" s="1098">
        <f>MAX(A7063:A7236)+1</f>
        <v>4455</v>
      </c>
      <c r="B7237" s="750" t="s">
        <v>2524</v>
      </c>
      <c r="C7237" s="751" t="s">
        <v>41</v>
      </c>
      <c r="D7237" s="752">
        <v>2</v>
      </c>
      <c r="E7237" s="753" t="s">
        <v>1496</v>
      </c>
      <c r="F7237" s="754" t="s">
        <v>16</v>
      </c>
      <c r="G7237" s="931" t="s">
        <v>2299</v>
      </c>
      <c r="H7237" s="754" t="s">
        <v>2567</v>
      </c>
      <c r="I7237" s="932" t="s">
        <v>1496</v>
      </c>
      <c r="J7237" s="755"/>
      <c r="K7237" s="754" t="str">
        <f t="shared" si="218"/>
        <v>тмена</v>
      </c>
      <c r="L7237" s="754" t="s">
        <v>266</v>
      </c>
      <c r="M7237" s="754">
        <v>2004.6</v>
      </c>
      <c r="N7237" s="756">
        <v>0.66666666666666663</v>
      </c>
      <c r="O7237" s="920" t="s">
        <v>2603</v>
      </c>
      <c r="P7237" s="921" t="s">
        <v>1024</v>
      </c>
    </row>
    <row r="7238" spans="1:16" ht="19.5" hidden="1" thickBot="1" x14ac:dyDescent="0.3">
      <c r="A7238" s="1099"/>
      <c r="B7238" s="563" t="s">
        <v>2524</v>
      </c>
      <c r="C7238" s="564" t="s">
        <v>1382</v>
      </c>
      <c r="D7238" s="565">
        <v>4</v>
      </c>
      <c r="E7238" s="566">
        <v>3.9969999999999999</v>
      </c>
      <c r="F7238" s="567" t="s">
        <v>16</v>
      </c>
      <c r="G7238" s="568" t="s">
        <v>2299</v>
      </c>
      <c r="H7238" s="567" t="s">
        <v>2567</v>
      </c>
      <c r="I7238" s="569" t="s">
        <v>2586</v>
      </c>
      <c r="J7238" s="570"/>
      <c r="K7238" s="567" t="str">
        <f t="shared" si="218"/>
        <v>09,26</v>
      </c>
      <c r="L7238" s="567" t="s">
        <v>266</v>
      </c>
      <c r="M7238" s="567">
        <v>4005</v>
      </c>
      <c r="N7238" s="571">
        <v>0.66666666666666663</v>
      </c>
      <c r="O7238" s="897" t="s">
        <v>2601</v>
      </c>
      <c r="P7238" s="867" t="s">
        <v>2654</v>
      </c>
    </row>
    <row r="7239" spans="1:16" ht="19.5" hidden="1" thickBot="1" x14ac:dyDescent="0.3">
      <c r="A7239" s="1099"/>
      <c r="B7239" s="563" t="s">
        <v>2524</v>
      </c>
      <c r="C7239" s="564" t="s">
        <v>480</v>
      </c>
      <c r="D7239" s="565">
        <v>1</v>
      </c>
      <c r="E7239" s="566">
        <v>0.505</v>
      </c>
      <c r="F7239" s="567" t="s">
        <v>16</v>
      </c>
      <c r="G7239" s="568" t="s">
        <v>2299</v>
      </c>
      <c r="H7239" s="567" t="s">
        <v>2567</v>
      </c>
      <c r="I7239" s="569" t="s">
        <v>2586</v>
      </c>
      <c r="J7239" s="570"/>
      <c r="K7239" s="567" t="str">
        <f t="shared" si="218"/>
        <v>09,26</v>
      </c>
      <c r="L7239" s="567" t="s">
        <v>266</v>
      </c>
      <c r="M7239" s="567">
        <v>1008</v>
      </c>
      <c r="N7239" s="571">
        <v>0.66666666666666663</v>
      </c>
      <c r="O7239" s="897" t="s">
        <v>2602</v>
      </c>
      <c r="P7239" s="867" t="s">
        <v>2655</v>
      </c>
    </row>
    <row r="7240" spans="1:16" ht="19.5" hidden="1" thickBot="1" x14ac:dyDescent="0.3">
      <c r="A7240" s="1099"/>
      <c r="B7240" s="911" t="s">
        <v>2524</v>
      </c>
      <c r="C7240" s="912" t="s">
        <v>981</v>
      </c>
      <c r="D7240" s="913">
        <v>0.998</v>
      </c>
      <c r="E7240" s="914" t="s">
        <v>1496</v>
      </c>
      <c r="F7240" s="915" t="s">
        <v>16</v>
      </c>
      <c r="G7240" s="916" t="s">
        <v>2299</v>
      </c>
      <c r="H7240" s="915" t="s">
        <v>2567</v>
      </c>
      <c r="I7240" s="917" t="s">
        <v>1496</v>
      </c>
      <c r="J7240" s="918"/>
      <c r="K7240" s="915" t="str">
        <f t="shared" si="218"/>
        <v>тмена</v>
      </c>
      <c r="L7240" s="915" t="s">
        <v>266</v>
      </c>
      <c r="M7240" s="915">
        <v>998.4</v>
      </c>
      <c r="N7240" s="919">
        <v>0.66666666666666663</v>
      </c>
      <c r="O7240" s="920" t="s">
        <v>2605</v>
      </c>
      <c r="P7240" s="921" t="s">
        <v>1024</v>
      </c>
    </row>
    <row r="7241" spans="1:16" ht="19.5" hidden="1" thickBot="1" x14ac:dyDescent="0.3">
      <c r="A7241" s="1100"/>
      <c r="B7241" s="933" t="s">
        <v>2524</v>
      </c>
      <c r="C7241" s="934" t="s">
        <v>32</v>
      </c>
      <c r="D7241" s="935">
        <v>2.496</v>
      </c>
      <c r="E7241" s="936" t="s">
        <v>1496</v>
      </c>
      <c r="F7241" s="937" t="s">
        <v>16</v>
      </c>
      <c r="G7241" s="938" t="s">
        <v>2585</v>
      </c>
      <c r="H7241" s="937" t="s">
        <v>2567</v>
      </c>
      <c r="I7241" s="939" t="s">
        <v>1496</v>
      </c>
      <c r="J7241" s="940"/>
      <c r="K7241" s="937" t="str">
        <f t="shared" si="218"/>
        <v>тмена</v>
      </c>
      <c r="L7241" s="937" t="s">
        <v>266</v>
      </c>
      <c r="M7241" s="937">
        <v>2496</v>
      </c>
      <c r="N7241" s="941">
        <v>0.66666666666666663</v>
      </c>
      <c r="O7241" s="920" t="s">
        <v>2604</v>
      </c>
      <c r="P7241" s="921" t="s">
        <v>1024</v>
      </c>
    </row>
    <row r="7242" spans="1:16" ht="19.5" hidden="1" thickBot="1" x14ac:dyDescent="0.3">
      <c r="A7242" s="1112">
        <f>MAX(A7068:A7241)+1</f>
        <v>4456</v>
      </c>
      <c r="B7242" s="610" t="s">
        <v>2524</v>
      </c>
      <c r="C7242" s="480" t="s">
        <v>26</v>
      </c>
      <c r="D7242" s="481">
        <v>17.407</v>
      </c>
      <c r="E7242" s="482">
        <v>16.178999999999998</v>
      </c>
      <c r="F7242" s="483" t="s">
        <v>16</v>
      </c>
      <c r="G7242" s="549"/>
      <c r="H7242" s="483" t="s">
        <v>2586</v>
      </c>
      <c r="I7242" s="484" t="s">
        <v>2614</v>
      </c>
      <c r="J7242" s="485"/>
      <c r="K7242" s="483" t="str">
        <f t="shared" si="218"/>
        <v>09,26</v>
      </c>
      <c r="L7242" s="483" t="s">
        <v>265</v>
      </c>
      <c r="M7242" s="483">
        <v>17582.64</v>
      </c>
      <c r="N7242" s="486">
        <v>4.1666666666666664E-2</v>
      </c>
      <c r="O7242" s="897" t="s">
        <v>2587</v>
      </c>
      <c r="P7242" s="867" t="s">
        <v>2684</v>
      </c>
    </row>
    <row r="7243" spans="1:16" ht="19.5" hidden="1" thickBot="1" x14ac:dyDescent="0.3">
      <c r="A7243" s="1114"/>
      <c r="B7243" s="805" t="s">
        <v>2613</v>
      </c>
      <c r="C7243" s="806" t="s">
        <v>26</v>
      </c>
      <c r="D7243" s="807">
        <v>1.4</v>
      </c>
      <c r="E7243" s="807">
        <v>1.411</v>
      </c>
      <c r="F7243" s="808" t="s">
        <v>16</v>
      </c>
      <c r="G7243" s="809" t="s">
        <v>76</v>
      </c>
      <c r="H7243" s="808" t="s">
        <v>2586</v>
      </c>
      <c r="I7243" s="808" t="s">
        <v>2614</v>
      </c>
      <c r="J7243" s="810"/>
      <c r="K7243" s="808" t="str">
        <f t="shared" si="218"/>
        <v>09,26</v>
      </c>
      <c r="L7243" s="808" t="s">
        <v>265</v>
      </c>
      <c r="M7243" s="808">
        <v>1410</v>
      </c>
      <c r="N7243" s="778">
        <v>4.1666666666666664E-2</v>
      </c>
      <c r="O7243" s="897" t="s">
        <v>2669</v>
      </c>
      <c r="P7243" s="867" t="s">
        <v>2683</v>
      </c>
    </row>
    <row r="7244" spans="1:16" ht="19.5" hidden="1" thickBot="1" x14ac:dyDescent="0.3">
      <c r="A7244" s="1098">
        <f>MAX(A7069:A7242)+1</f>
        <v>4457</v>
      </c>
      <c r="B7244" s="531" t="s">
        <v>2524</v>
      </c>
      <c r="C7244" s="532" t="s">
        <v>26</v>
      </c>
      <c r="D7244" s="533">
        <v>15.430999999999999</v>
      </c>
      <c r="E7244" s="534">
        <v>11.743</v>
      </c>
      <c r="F7244" s="535" t="s">
        <v>16</v>
      </c>
      <c r="G7244" s="536"/>
      <c r="H7244" s="535" t="s">
        <v>2586</v>
      </c>
      <c r="I7244" s="537" t="s">
        <v>2614</v>
      </c>
      <c r="J7244" s="538"/>
      <c r="K7244" s="535" t="str">
        <f t="shared" si="218"/>
        <v>09,26</v>
      </c>
      <c r="L7244" s="535" t="s">
        <v>265</v>
      </c>
      <c r="M7244" s="535">
        <v>15567.38</v>
      </c>
      <c r="N7244" s="539">
        <v>8.3333333333333329E-2</v>
      </c>
      <c r="O7244" s="897" t="s">
        <v>2588</v>
      </c>
      <c r="P7244" s="867" t="s">
        <v>2707</v>
      </c>
    </row>
    <row r="7245" spans="1:16" ht="19.5" hidden="1" thickBot="1" x14ac:dyDescent="0.3">
      <c r="A7245" s="1099"/>
      <c r="B7245" s="563" t="s">
        <v>2524</v>
      </c>
      <c r="C7245" s="564" t="s">
        <v>952</v>
      </c>
      <c r="D7245" s="565">
        <v>2.246</v>
      </c>
      <c r="E7245" s="566">
        <v>1.974</v>
      </c>
      <c r="F7245" s="567" t="s">
        <v>16</v>
      </c>
      <c r="G7245" s="568"/>
      <c r="H7245" s="567" t="s">
        <v>2586</v>
      </c>
      <c r="I7245" s="569" t="s">
        <v>2614</v>
      </c>
      <c r="J7245" s="570"/>
      <c r="K7245" s="567" t="str">
        <f t="shared" si="218"/>
        <v>09,26</v>
      </c>
      <c r="L7245" s="567" t="s">
        <v>265</v>
      </c>
      <c r="M7245" s="567">
        <v>2315.7800000000007</v>
      </c>
      <c r="N7245" s="571">
        <v>8.3333333333333329E-2</v>
      </c>
      <c r="O7245" s="897" t="s">
        <v>2589</v>
      </c>
      <c r="P7245" s="867" t="s">
        <v>2705</v>
      </c>
    </row>
    <row r="7246" spans="1:16" ht="19.5" hidden="1" thickBot="1" x14ac:dyDescent="0.3">
      <c r="A7246" s="1099"/>
      <c r="B7246" s="905" t="s">
        <v>2614</v>
      </c>
      <c r="C7246" s="906" t="s">
        <v>26</v>
      </c>
      <c r="D7246" s="907">
        <v>1.6</v>
      </c>
      <c r="E7246" s="907">
        <v>1.6459999999999999</v>
      </c>
      <c r="F7246" s="908" t="s">
        <v>16</v>
      </c>
      <c r="G7246" s="909" t="s">
        <v>76</v>
      </c>
      <c r="H7246" s="908" t="s">
        <v>2586</v>
      </c>
      <c r="I7246" s="908" t="s">
        <v>2614</v>
      </c>
      <c r="J7246" s="910"/>
      <c r="K7246" s="908" t="str">
        <f t="shared" si="218"/>
        <v>09,26</v>
      </c>
      <c r="L7246" s="908" t="s">
        <v>265</v>
      </c>
      <c r="M7246" s="908">
        <v>1620</v>
      </c>
      <c r="N7246" s="571">
        <v>8.3333333333333329E-2</v>
      </c>
      <c r="O7246" s="897" t="s">
        <v>2689</v>
      </c>
      <c r="P7246" s="867" t="s">
        <v>2708</v>
      </c>
    </row>
    <row r="7247" spans="1:16" ht="19.5" hidden="1" thickBot="1" x14ac:dyDescent="0.3">
      <c r="A7247" s="1100"/>
      <c r="B7247" s="832" t="s">
        <v>2613</v>
      </c>
      <c r="C7247" s="827" t="s">
        <v>26</v>
      </c>
      <c r="D7247" s="828">
        <v>2.1</v>
      </c>
      <c r="E7247" s="828">
        <v>2.1379999999999999</v>
      </c>
      <c r="F7247" s="829" t="s">
        <v>16</v>
      </c>
      <c r="G7247" s="830" t="s">
        <v>76</v>
      </c>
      <c r="H7247" s="829" t="s">
        <v>2586</v>
      </c>
      <c r="I7247" s="829" t="s">
        <v>2614</v>
      </c>
      <c r="J7247" s="831"/>
      <c r="K7247" s="829" t="str">
        <f t="shared" ref="K7247:K7310" si="222">RIGHT(I7247,5)</f>
        <v>09,26</v>
      </c>
      <c r="L7247" s="829" t="s">
        <v>265</v>
      </c>
      <c r="M7247" s="829">
        <v>2130</v>
      </c>
      <c r="N7247" s="644">
        <v>8.3333333333333329E-2</v>
      </c>
      <c r="O7247" s="897" t="s">
        <v>2670</v>
      </c>
      <c r="P7247" s="867" t="s">
        <v>2706</v>
      </c>
    </row>
    <row r="7248" spans="1:16" ht="57" hidden="1" thickBot="1" x14ac:dyDescent="0.3">
      <c r="A7248" s="1101">
        <f>MAX(A7071:A7247)+1</f>
        <v>4458</v>
      </c>
      <c r="B7248" s="479" t="s">
        <v>2524</v>
      </c>
      <c r="C7248" s="480" t="s">
        <v>587</v>
      </c>
      <c r="D7248" s="481">
        <v>0.96399999999999997</v>
      </c>
      <c r="E7248" s="482">
        <v>0.87</v>
      </c>
      <c r="F7248" s="483" t="s">
        <v>16</v>
      </c>
      <c r="G7248" s="549" t="s">
        <v>794</v>
      </c>
      <c r="H7248" s="483" t="s">
        <v>2586</v>
      </c>
      <c r="I7248" s="484" t="s">
        <v>2614</v>
      </c>
      <c r="J7248" s="485"/>
      <c r="K7248" s="483" t="str">
        <f t="shared" si="222"/>
        <v>09,26</v>
      </c>
      <c r="L7248" s="483" t="s">
        <v>28</v>
      </c>
      <c r="M7248" s="483">
        <v>964.8</v>
      </c>
      <c r="N7248" s="486">
        <v>0.41666666666666669</v>
      </c>
      <c r="O7248" s="897" t="s">
        <v>2596</v>
      </c>
      <c r="P7248" s="867" t="s">
        <v>2726</v>
      </c>
    </row>
    <row r="7249" spans="1:16" ht="19.5" hidden="1" thickBot="1" x14ac:dyDescent="0.3">
      <c r="A7249" s="1102"/>
      <c r="B7249" s="523" t="s">
        <v>2524</v>
      </c>
      <c r="C7249" s="524" t="s">
        <v>587</v>
      </c>
      <c r="D7249" s="525">
        <v>7.2750000000000004</v>
      </c>
      <c r="E7249" s="526">
        <v>6.6449999999999996</v>
      </c>
      <c r="F7249" s="527" t="s">
        <v>16</v>
      </c>
      <c r="G7249" s="561" t="s">
        <v>47</v>
      </c>
      <c r="H7249" s="527" t="s">
        <v>2586</v>
      </c>
      <c r="I7249" s="528" t="s">
        <v>2614</v>
      </c>
      <c r="J7249" s="529"/>
      <c r="K7249" s="527" t="str">
        <f t="shared" si="222"/>
        <v>09,26</v>
      </c>
      <c r="L7249" s="527" t="s">
        <v>28</v>
      </c>
      <c r="M7249" s="527">
        <v>7275.92</v>
      </c>
      <c r="N7249" s="530">
        <v>0.41666666666666669</v>
      </c>
      <c r="O7249" s="897" t="s">
        <v>2597</v>
      </c>
      <c r="P7249" s="867" t="s">
        <v>2727</v>
      </c>
    </row>
    <row r="7250" spans="1:16" ht="19.5" hidden="1" thickBot="1" x14ac:dyDescent="0.3">
      <c r="A7250" s="1102"/>
      <c r="B7250" s="523" t="s">
        <v>2524</v>
      </c>
      <c r="C7250" s="524" t="s">
        <v>47</v>
      </c>
      <c r="D7250" s="525">
        <v>9.3019999999999996</v>
      </c>
      <c r="E7250" s="526">
        <v>9.0429999999999993</v>
      </c>
      <c r="F7250" s="527" t="s">
        <v>16</v>
      </c>
      <c r="G7250" s="561"/>
      <c r="H7250" s="527" t="s">
        <v>2586</v>
      </c>
      <c r="I7250" s="528" t="s">
        <v>2614</v>
      </c>
      <c r="J7250" s="529"/>
      <c r="K7250" s="527" t="str">
        <f t="shared" si="222"/>
        <v>09,26</v>
      </c>
      <c r="L7250" s="527" t="s">
        <v>28</v>
      </c>
      <c r="M7250" s="527">
        <v>9418.86</v>
      </c>
      <c r="N7250" s="530">
        <v>0.41666666666666669</v>
      </c>
      <c r="O7250" s="897" t="s">
        <v>2595</v>
      </c>
      <c r="P7250" s="867" t="s">
        <v>2728</v>
      </c>
    </row>
    <row r="7251" spans="1:16" ht="19.5" hidden="1" thickBot="1" x14ac:dyDescent="0.3">
      <c r="A7251" s="1103"/>
      <c r="B7251" s="859" t="s">
        <v>2586</v>
      </c>
      <c r="C7251" s="854" t="s">
        <v>47</v>
      </c>
      <c r="D7251" s="855">
        <v>0.8</v>
      </c>
      <c r="E7251" s="855">
        <v>0.81100000000000005</v>
      </c>
      <c r="F7251" s="856" t="s">
        <v>16</v>
      </c>
      <c r="G7251" s="857" t="s">
        <v>76</v>
      </c>
      <c r="H7251" s="856" t="s">
        <v>2586</v>
      </c>
      <c r="I7251" s="856" t="s">
        <v>2614</v>
      </c>
      <c r="J7251" s="858"/>
      <c r="K7251" s="856" t="str">
        <f t="shared" si="222"/>
        <v>09,26</v>
      </c>
      <c r="L7251" s="856" t="s">
        <v>28</v>
      </c>
      <c r="M7251" s="856">
        <v>810</v>
      </c>
      <c r="N7251" s="653">
        <v>0.41666666666666669</v>
      </c>
      <c r="O7251" s="897" t="s">
        <v>2649</v>
      </c>
      <c r="P7251" s="867" t="s">
        <v>2729</v>
      </c>
    </row>
    <row r="7252" spans="1:16" ht="19.5" hidden="1" thickBot="1" x14ac:dyDescent="0.3">
      <c r="A7252" s="1098">
        <f>MAX(A7074:A7251)+1</f>
        <v>4459</v>
      </c>
      <c r="B7252" s="531" t="s">
        <v>2524</v>
      </c>
      <c r="C7252" s="532" t="s">
        <v>913</v>
      </c>
      <c r="D7252" s="533">
        <v>1.55</v>
      </c>
      <c r="E7252" s="534">
        <v>1.4430000000000001</v>
      </c>
      <c r="F7252" s="535" t="s">
        <v>16</v>
      </c>
      <c r="G7252" s="536"/>
      <c r="H7252" s="535" t="s">
        <v>2586</v>
      </c>
      <c r="I7252" s="537" t="s">
        <v>2586</v>
      </c>
      <c r="J7252" s="538"/>
      <c r="K7252" s="535" t="str">
        <f t="shared" si="222"/>
        <v>09,26</v>
      </c>
      <c r="L7252" s="535" t="s">
        <v>266</v>
      </c>
      <c r="M7252" s="535">
        <v>1556.3</v>
      </c>
      <c r="N7252" s="539">
        <v>0.45833333333333331</v>
      </c>
      <c r="O7252" s="897" t="s">
        <v>2599</v>
      </c>
      <c r="P7252" s="867" t="s">
        <v>2653</v>
      </c>
    </row>
    <row r="7253" spans="1:16" ht="19.5" hidden="1" thickBot="1" x14ac:dyDescent="0.3">
      <c r="A7253" s="1099"/>
      <c r="B7253" s="563" t="s">
        <v>2524</v>
      </c>
      <c r="C7253" s="564" t="s">
        <v>23</v>
      </c>
      <c r="D7253" s="565">
        <v>16.050999999999998</v>
      </c>
      <c r="E7253" s="566">
        <v>15.628</v>
      </c>
      <c r="F7253" s="567" t="s">
        <v>16</v>
      </c>
      <c r="G7253" s="568"/>
      <c r="H7253" s="567" t="s">
        <v>2586</v>
      </c>
      <c r="I7253" s="569" t="s">
        <v>2614</v>
      </c>
      <c r="J7253" s="570"/>
      <c r="K7253" s="567" t="str">
        <f t="shared" si="222"/>
        <v>09,26</v>
      </c>
      <c r="L7253" s="567" t="s">
        <v>28</v>
      </c>
      <c r="M7253" s="567">
        <v>16165.960000000001</v>
      </c>
      <c r="N7253" s="571">
        <v>0.45833333333333331</v>
      </c>
      <c r="O7253" s="897" t="s">
        <v>2598</v>
      </c>
      <c r="P7253" s="867" t="s">
        <v>2730</v>
      </c>
    </row>
    <row r="7254" spans="1:16" ht="19.5" hidden="1" thickBot="1" x14ac:dyDescent="0.3">
      <c r="A7254" s="1099"/>
      <c r="B7254" s="905" t="s">
        <v>2613</v>
      </c>
      <c r="C7254" s="906" t="s">
        <v>23</v>
      </c>
      <c r="D7254" s="907">
        <v>1.2</v>
      </c>
      <c r="E7254" s="907">
        <v>1.2010000000000001</v>
      </c>
      <c r="F7254" s="908" t="s">
        <v>16</v>
      </c>
      <c r="G7254" s="909" t="s">
        <v>76</v>
      </c>
      <c r="H7254" s="908" t="s">
        <v>2586</v>
      </c>
      <c r="I7254" s="908" t="s">
        <v>2614</v>
      </c>
      <c r="J7254" s="910"/>
      <c r="K7254" s="908" t="str">
        <f t="shared" si="222"/>
        <v>09,26</v>
      </c>
      <c r="L7254" s="908" t="s">
        <v>28</v>
      </c>
      <c r="M7254" s="908">
        <v>1200</v>
      </c>
      <c r="N7254" s="571">
        <v>0.45833333333333331</v>
      </c>
      <c r="O7254" s="897" t="s">
        <v>2674</v>
      </c>
      <c r="P7254" s="867" t="s">
        <v>2732</v>
      </c>
    </row>
    <row r="7255" spans="1:16" ht="19.5" hidden="1" thickBot="1" x14ac:dyDescent="0.3">
      <c r="A7255" s="1100"/>
      <c r="B7255" s="832" t="s">
        <v>2586</v>
      </c>
      <c r="C7255" s="827" t="s">
        <v>23</v>
      </c>
      <c r="D7255" s="828">
        <v>0.6</v>
      </c>
      <c r="E7255" s="828">
        <v>0.60099999999999998</v>
      </c>
      <c r="F7255" s="829" t="s">
        <v>16</v>
      </c>
      <c r="G7255" s="830" t="s">
        <v>76</v>
      </c>
      <c r="H7255" s="829" t="s">
        <v>2586</v>
      </c>
      <c r="I7255" s="829" t="s">
        <v>2614</v>
      </c>
      <c r="J7255" s="831"/>
      <c r="K7255" s="829" t="str">
        <f t="shared" si="222"/>
        <v>09,26</v>
      </c>
      <c r="L7255" s="829" t="s">
        <v>28</v>
      </c>
      <c r="M7255" s="829">
        <v>600</v>
      </c>
      <c r="N7255" s="644">
        <v>0.45833333333333331</v>
      </c>
      <c r="O7255" s="897" t="s">
        <v>2650</v>
      </c>
      <c r="P7255" s="867" t="s">
        <v>2731</v>
      </c>
    </row>
    <row r="7256" spans="1:16" ht="19.5" hidden="1" thickBot="1" x14ac:dyDescent="0.3">
      <c r="A7256" s="1112">
        <f>MAX(A7076:A7255)+1</f>
        <v>4460</v>
      </c>
      <c r="B7256" s="610" t="s">
        <v>2524</v>
      </c>
      <c r="C7256" s="480" t="s">
        <v>15</v>
      </c>
      <c r="D7256" s="481">
        <v>17.529</v>
      </c>
      <c r="E7256" s="482">
        <v>17.158000000000001</v>
      </c>
      <c r="F7256" s="483" t="s">
        <v>16</v>
      </c>
      <c r="G7256" s="549"/>
      <c r="H7256" s="483" t="s">
        <v>2586</v>
      </c>
      <c r="I7256" s="484" t="s">
        <v>2663</v>
      </c>
      <c r="J7256" s="485"/>
      <c r="K7256" s="483" t="str">
        <f t="shared" si="222"/>
        <v>09,26</v>
      </c>
      <c r="L7256" s="483" t="s">
        <v>28</v>
      </c>
      <c r="M7256" s="483">
        <v>17727.21</v>
      </c>
      <c r="N7256" s="486">
        <v>0.5</v>
      </c>
      <c r="O7256" s="897" t="s">
        <v>2600</v>
      </c>
      <c r="P7256" s="867" t="s">
        <v>2736</v>
      </c>
    </row>
    <row r="7257" spans="1:16" ht="19.5" hidden="1" thickBot="1" x14ac:dyDescent="0.3">
      <c r="A7257" s="1114"/>
      <c r="B7257" s="805" t="s">
        <v>2586</v>
      </c>
      <c r="C7257" s="806" t="s">
        <v>15</v>
      </c>
      <c r="D7257" s="807">
        <v>0.5</v>
      </c>
      <c r="E7257" s="807">
        <v>0.50900000000000001</v>
      </c>
      <c r="F7257" s="808" t="s">
        <v>16</v>
      </c>
      <c r="G7257" s="857" t="s">
        <v>76</v>
      </c>
      <c r="H7257" s="808" t="s">
        <v>2586</v>
      </c>
      <c r="I7257" s="808" t="s">
        <v>2663</v>
      </c>
      <c r="J7257" s="810"/>
      <c r="K7257" s="808" t="str">
        <f t="shared" si="222"/>
        <v>09,26</v>
      </c>
      <c r="L7257" s="808" t="s">
        <v>28</v>
      </c>
      <c r="M7257" s="808">
        <v>510</v>
      </c>
      <c r="N7257" s="778">
        <v>0.5</v>
      </c>
      <c r="O7257" s="897" t="s">
        <v>2648</v>
      </c>
      <c r="P7257" s="867" t="s">
        <v>2737</v>
      </c>
    </row>
    <row r="7258" spans="1:16" ht="19.5" hidden="1" thickBot="1" x14ac:dyDescent="0.3">
      <c r="A7258" s="503">
        <f>MAX(A7077:A7256)+1</f>
        <v>4461</v>
      </c>
      <c r="B7258" s="504" t="s">
        <v>2564</v>
      </c>
      <c r="C7258" s="505" t="s">
        <v>26</v>
      </c>
      <c r="D7258" s="506">
        <v>15.423</v>
      </c>
      <c r="E7258" s="507">
        <v>15.423</v>
      </c>
      <c r="F7258" s="508" t="s">
        <v>30</v>
      </c>
      <c r="G7258" s="509"/>
      <c r="H7258" s="508" t="s">
        <v>2586</v>
      </c>
      <c r="I7258" s="510" t="s">
        <v>2586</v>
      </c>
      <c r="J7258" s="511"/>
      <c r="K7258" s="508" t="str">
        <f t="shared" si="222"/>
        <v>09,26</v>
      </c>
      <c r="L7258" s="508" t="s">
        <v>265</v>
      </c>
      <c r="M7258" s="508">
        <v>15423.2</v>
      </c>
      <c r="N7258" s="512">
        <v>4.1666666666666664E-2</v>
      </c>
      <c r="O7258" s="897" t="s">
        <v>2615</v>
      </c>
      <c r="P7258" s="867" t="s">
        <v>2651</v>
      </c>
    </row>
    <row r="7259" spans="1:16" ht="19.5" hidden="1" thickBot="1" x14ac:dyDescent="0.3">
      <c r="A7259" s="1101">
        <f>MAX(A7078:A7258)+1</f>
        <v>4462</v>
      </c>
      <c r="B7259" s="479" t="s">
        <v>2564</v>
      </c>
      <c r="C7259" s="480" t="s">
        <v>26</v>
      </c>
      <c r="D7259" s="481">
        <v>17.606000000000002</v>
      </c>
      <c r="E7259" s="482">
        <v>14.776</v>
      </c>
      <c r="F7259" s="483" t="s">
        <v>16</v>
      </c>
      <c r="G7259" s="549"/>
      <c r="H7259" s="483" t="s">
        <v>2613</v>
      </c>
      <c r="I7259" s="484" t="s">
        <v>2614</v>
      </c>
      <c r="J7259" s="485"/>
      <c r="K7259" s="483" t="str">
        <f t="shared" si="222"/>
        <v>09,26</v>
      </c>
      <c r="L7259" s="483" t="s">
        <v>265</v>
      </c>
      <c r="M7259" s="483">
        <v>17751.039999999997</v>
      </c>
      <c r="N7259" s="486">
        <v>4.1666666666666664E-2</v>
      </c>
      <c r="O7259" s="897" t="s">
        <v>2619</v>
      </c>
      <c r="P7259" s="867" t="s">
        <v>2695</v>
      </c>
    </row>
    <row r="7260" spans="1:16" ht="19.5" hidden="1" thickBot="1" x14ac:dyDescent="0.3">
      <c r="A7260" s="1102"/>
      <c r="B7260" s="985" t="s">
        <v>2614</v>
      </c>
      <c r="C7260" s="986" t="s">
        <v>26</v>
      </c>
      <c r="D7260" s="987">
        <v>0.4</v>
      </c>
      <c r="E7260" s="987" t="s">
        <v>1496</v>
      </c>
      <c r="F7260" s="988" t="s">
        <v>16</v>
      </c>
      <c r="G7260" s="989" t="s">
        <v>76</v>
      </c>
      <c r="H7260" s="988" t="s">
        <v>2613</v>
      </c>
      <c r="I7260" s="988" t="s">
        <v>1496</v>
      </c>
      <c r="J7260" s="990"/>
      <c r="K7260" s="988" t="str">
        <f t="shared" si="222"/>
        <v>тмена</v>
      </c>
      <c r="L7260" s="988" t="s">
        <v>265</v>
      </c>
      <c r="M7260" s="988">
        <v>420</v>
      </c>
      <c r="N7260" s="919">
        <v>4.1666666666666664E-2</v>
      </c>
      <c r="O7260" s="920" t="s">
        <v>2690</v>
      </c>
      <c r="P7260" s="921" t="s">
        <v>1024</v>
      </c>
    </row>
    <row r="7261" spans="1:16" ht="19.5" hidden="1" thickBot="1" x14ac:dyDescent="0.3">
      <c r="A7261" s="1103"/>
      <c r="B7261" s="887" t="s">
        <v>2613</v>
      </c>
      <c r="C7261" s="806" t="s">
        <v>26</v>
      </c>
      <c r="D7261" s="807">
        <v>2.2000000000000002</v>
      </c>
      <c r="E7261" s="807">
        <v>2.2189999999999999</v>
      </c>
      <c r="F7261" s="808" t="s">
        <v>16</v>
      </c>
      <c r="G7261" s="809" t="s">
        <v>76</v>
      </c>
      <c r="H7261" s="808" t="s">
        <v>2613</v>
      </c>
      <c r="I7261" s="808" t="s">
        <v>2614</v>
      </c>
      <c r="J7261" s="810"/>
      <c r="K7261" s="808" t="str">
        <f t="shared" si="222"/>
        <v>09,26</v>
      </c>
      <c r="L7261" s="808" t="s">
        <v>265</v>
      </c>
      <c r="M7261" s="808">
        <v>2220</v>
      </c>
      <c r="N7261" s="778">
        <v>4.1666666666666664E-2</v>
      </c>
      <c r="O7261" s="897" t="s">
        <v>2671</v>
      </c>
      <c r="P7261" s="867" t="s">
        <v>2696</v>
      </c>
    </row>
    <row r="7262" spans="1:16" ht="19.5" hidden="1" thickBot="1" x14ac:dyDescent="0.3">
      <c r="A7262" s="1098">
        <f>MAX(A7079:A7259)+1</f>
        <v>4463</v>
      </c>
      <c r="B7262" s="531" t="s">
        <v>2564</v>
      </c>
      <c r="C7262" s="532" t="s">
        <v>26</v>
      </c>
      <c r="D7262" s="533">
        <v>10.585000000000001</v>
      </c>
      <c r="E7262" s="534">
        <v>8.5050000000000008</v>
      </c>
      <c r="F7262" s="535" t="s">
        <v>16</v>
      </c>
      <c r="G7262" s="536"/>
      <c r="H7262" s="535" t="s">
        <v>2613</v>
      </c>
      <c r="I7262" s="537" t="s">
        <v>2614</v>
      </c>
      <c r="J7262" s="538"/>
      <c r="K7262" s="535" t="str">
        <f t="shared" si="222"/>
        <v>09,26</v>
      </c>
      <c r="L7262" s="535" t="s">
        <v>265</v>
      </c>
      <c r="M7262" s="535">
        <v>10686.22</v>
      </c>
      <c r="N7262" s="539">
        <v>8.3333333333333329E-2</v>
      </c>
      <c r="O7262" s="897" t="s">
        <v>2621</v>
      </c>
      <c r="P7262" s="867" t="s">
        <v>2704</v>
      </c>
    </row>
    <row r="7263" spans="1:16" ht="19.5" hidden="1" thickBot="1" x14ac:dyDescent="0.3">
      <c r="A7263" s="1099"/>
      <c r="B7263" s="563" t="s">
        <v>2564</v>
      </c>
      <c r="C7263" s="564" t="s">
        <v>1358</v>
      </c>
      <c r="D7263" s="565">
        <v>2.1509999999999998</v>
      </c>
      <c r="E7263" s="566">
        <v>1.869</v>
      </c>
      <c r="F7263" s="567" t="s">
        <v>16</v>
      </c>
      <c r="G7263" s="568" t="s">
        <v>844</v>
      </c>
      <c r="H7263" s="567" t="s">
        <v>2613</v>
      </c>
      <c r="I7263" s="569" t="s">
        <v>2614</v>
      </c>
      <c r="J7263" s="570"/>
      <c r="K7263" s="567" t="str">
        <f t="shared" si="222"/>
        <v>09,26</v>
      </c>
      <c r="L7263" s="567" t="s">
        <v>265</v>
      </c>
      <c r="M7263" s="567">
        <v>2259.3000000000002</v>
      </c>
      <c r="N7263" s="571">
        <v>8.3333333333333329E-2</v>
      </c>
      <c r="O7263" s="897" t="s">
        <v>2622</v>
      </c>
      <c r="P7263" s="867" t="s">
        <v>2701</v>
      </c>
    </row>
    <row r="7264" spans="1:16" ht="19.5" hidden="1" thickBot="1" x14ac:dyDescent="0.3">
      <c r="A7264" s="1099"/>
      <c r="B7264" s="563" t="s">
        <v>2564</v>
      </c>
      <c r="C7264" s="564" t="s">
        <v>1358</v>
      </c>
      <c r="D7264" s="565">
        <v>4.8019999999999996</v>
      </c>
      <c r="E7264" s="566">
        <v>3.194</v>
      </c>
      <c r="F7264" s="567" t="s">
        <v>16</v>
      </c>
      <c r="G7264" s="568" t="s">
        <v>845</v>
      </c>
      <c r="H7264" s="567" t="s">
        <v>2613</v>
      </c>
      <c r="I7264" s="569" t="s">
        <v>2614</v>
      </c>
      <c r="J7264" s="570"/>
      <c r="K7264" s="567" t="str">
        <f t="shared" si="222"/>
        <v>09,26</v>
      </c>
      <c r="L7264" s="567" t="s">
        <v>265</v>
      </c>
      <c r="M7264" s="567">
        <v>4914</v>
      </c>
      <c r="N7264" s="571">
        <v>8.3333333333333329E-2</v>
      </c>
      <c r="O7264" s="897" t="s">
        <v>2623</v>
      </c>
      <c r="P7264" s="867" t="s">
        <v>2702</v>
      </c>
    </row>
    <row r="7265" spans="1:16" ht="19.5" hidden="1" thickBot="1" x14ac:dyDescent="0.3">
      <c r="A7265" s="1099"/>
      <c r="B7265" s="905" t="s">
        <v>2614</v>
      </c>
      <c r="C7265" s="906" t="s">
        <v>26</v>
      </c>
      <c r="D7265" s="907">
        <v>0.75</v>
      </c>
      <c r="E7265" s="907">
        <v>0.76100000000000001</v>
      </c>
      <c r="F7265" s="908" t="s">
        <v>16</v>
      </c>
      <c r="G7265" s="909" t="s">
        <v>76</v>
      </c>
      <c r="H7265" s="908" t="s">
        <v>2613</v>
      </c>
      <c r="I7265" s="908" t="s">
        <v>2614</v>
      </c>
      <c r="J7265" s="910"/>
      <c r="K7265" s="908" t="str">
        <f t="shared" si="222"/>
        <v>09,26</v>
      </c>
      <c r="L7265" s="908" t="s">
        <v>265</v>
      </c>
      <c r="M7265" s="908">
        <v>765</v>
      </c>
      <c r="N7265" s="571">
        <v>8.3333333333333329E-2</v>
      </c>
      <c r="O7265" s="897" t="s">
        <v>2691</v>
      </c>
      <c r="P7265" s="867" t="s">
        <v>2700</v>
      </c>
    </row>
    <row r="7266" spans="1:16" ht="19.5" hidden="1" thickBot="1" x14ac:dyDescent="0.3">
      <c r="A7266" s="1100"/>
      <c r="B7266" s="832" t="s">
        <v>2613</v>
      </c>
      <c r="C7266" s="827" t="s">
        <v>26</v>
      </c>
      <c r="D7266" s="828">
        <v>3.9</v>
      </c>
      <c r="E7266" s="828">
        <v>3.9449999999999998</v>
      </c>
      <c r="F7266" s="829" t="s">
        <v>16</v>
      </c>
      <c r="G7266" s="830" t="s">
        <v>76</v>
      </c>
      <c r="H7266" s="829" t="s">
        <v>2613</v>
      </c>
      <c r="I7266" s="829" t="s">
        <v>2614</v>
      </c>
      <c r="J7266" s="831"/>
      <c r="K7266" s="829" t="str">
        <f t="shared" si="222"/>
        <v>09,26</v>
      </c>
      <c r="L7266" s="829" t="s">
        <v>265</v>
      </c>
      <c r="M7266" s="829">
        <v>3930</v>
      </c>
      <c r="N7266" s="644">
        <v>8.3333333333333329E-2</v>
      </c>
      <c r="O7266" s="897" t="s">
        <v>2672</v>
      </c>
      <c r="P7266" s="867" t="s">
        <v>2703</v>
      </c>
    </row>
    <row r="7267" spans="1:16" ht="19.5" hidden="1" thickBot="1" x14ac:dyDescent="0.3">
      <c r="A7267" s="1101">
        <f>MAX(A7082:A7266)+1</f>
        <v>4464</v>
      </c>
      <c r="B7267" s="479" t="s">
        <v>2564</v>
      </c>
      <c r="C7267" s="480" t="s">
        <v>15</v>
      </c>
      <c r="D7267" s="481">
        <v>9.3030000000000008</v>
      </c>
      <c r="E7267" s="482">
        <v>7.9249999999999998</v>
      </c>
      <c r="F7267" s="483" t="s">
        <v>16</v>
      </c>
      <c r="G7267" s="549"/>
      <c r="H7267" s="483" t="s">
        <v>2613</v>
      </c>
      <c r="I7267" s="484" t="s">
        <v>2709</v>
      </c>
      <c r="J7267" s="485"/>
      <c r="K7267" s="483" t="str">
        <f t="shared" si="222"/>
        <v>09,26</v>
      </c>
      <c r="L7267" s="483" t="s">
        <v>28</v>
      </c>
      <c r="M7267" s="483">
        <v>9525.1799999999985</v>
      </c>
      <c r="N7267" s="486">
        <v>0.41666666666666669</v>
      </c>
      <c r="O7267" s="897" t="s">
        <v>2629</v>
      </c>
      <c r="P7267" s="867" t="s">
        <v>2773</v>
      </c>
    </row>
    <row r="7268" spans="1:16" ht="19.5" hidden="1" thickBot="1" x14ac:dyDescent="0.3">
      <c r="A7268" s="1102"/>
      <c r="B7268" s="523" t="s">
        <v>2564</v>
      </c>
      <c r="C7268" s="524" t="s">
        <v>24</v>
      </c>
      <c r="D7268" s="525">
        <v>8.202</v>
      </c>
      <c r="E7268" s="526">
        <v>7.5759999999999996</v>
      </c>
      <c r="F7268" s="527" t="s">
        <v>16</v>
      </c>
      <c r="G7268" s="561"/>
      <c r="H7268" s="527" t="s">
        <v>2613</v>
      </c>
      <c r="I7268" s="528" t="s">
        <v>2709</v>
      </c>
      <c r="J7268" s="529"/>
      <c r="K7268" s="527" t="str">
        <f t="shared" si="222"/>
        <v>09,26</v>
      </c>
      <c r="L7268" s="527" t="s">
        <v>28</v>
      </c>
      <c r="M7268" s="527">
        <v>8393.86</v>
      </c>
      <c r="N7268" s="530">
        <v>0.41666666666666669</v>
      </c>
      <c r="O7268" s="897" t="s">
        <v>2628</v>
      </c>
      <c r="P7268" s="867" t="s">
        <v>2774</v>
      </c>
    </row>
    <row r="7269" spans="1:16" ht="19.5" hidden="1" thickBot="1" x14ac:dyDescent="0.3">
      <c r="A7269" s="1102"/>
      <c r="B7269" s="944" t="s">
        <v>2709</v>
      </c>
      <c r="C7269" s="945" t="s">
        <v>24</v>
      </c>
      <c r="D7269" s="946">
        <v>0.7</v>
      </c>
      <c r="E7269" s="946">
        <v>0.71699999999999997</v>
      </c>
      <c r="F7269" s="947" t="s">
        <v>16</v>
      </c>
      <c r="G7269" s="948" t="s">
        <v>76</v>
      </c>
      <c r="H7269" s="947" t="s">
        <v>2613</v>
      </c>
      <c r="I7269" s="947" t="s">
        <v>2709</v>
      </c>
      <c r="J7269" s="949"/>
      <c r="K7269" s="947" t="str">
        <f t="shared" si="222"/>
        <v>09,26</v>
      </c>
      <c r="L7269" s="947" t="s">
        <v>28</v>
      </c>
      <c r="M7269" s="947">
        <v>705</v>
      </c>
      <c r="N7269" s="530">
        <v>0.41666666666666669</v>
      </c>
      <c r="O7269" s="897" t="s">
        <v>2762</v>
      </c>
      <c r="P7269" s="867" t="s">
        <v>2776</v>
      </c>
    </row>
    <row r="7270" spans="1:16" ht="19.5" hidden="1" thickBot="1" x14ac:dyDescent="0.3">
      <c r="A7270" s="1103"/>
      <c r="B7270" s="859" t="s">
        <v>2613</v>
      </c>
      <c r="C7270" s="854" t="s">
        <v>15</v>
      </c>
      <c r="D7270" s="855">
        <v>1.5</v>
      </c>
      <c r="E7270" s="855">
        <v>1.51</v>
      </c>
      <c r="F7270" s="856" t="s">
        <v>16</v>
      </c>
      <c r="G7270" s="857" t="s">
        <v>76</v>
      </c>
      <c r="H7270" s="856" t="s">
        <v>2613</v>
      </c>
      <c r="I7270" s="856" t="s">
        <v>2709</v>
      </c>
      <c r="J7270" s="858"/>
      <c r="K7270" s="856" t="str">
        <f t="shared" si="222"/>
        <v>09,26</v>
      </c>
      <c r="L7270" s="856" t="s">
        <v>28</v>
      </c>
      <c r="M7270" s="856">
        <v>1500</v>
      </c>
      <c r="N7270" s="653">
        <v>0.41666666666666669</v>
      </c>
      <c r="O7270" s="897" t="s">
        <v>2673</v>
      </c>
      <c r="P7270" s="867" t="s">
        <v>2775</v>
      </c>
    </row>
    <row r="7271" spans="1:16" ht="19.5" hidden="1" thickBot="1" x14ac:dyDescent="0.3">
      <c r="A7271" s="1109">
        <f>MAX(A7084:A7270)+1</f>
        <v>4465</v>
      </c>
      <c r="B7271" s="760" t="s">
        <v>2564</v>
      </c>
      <c r="C7271" s="564" t="s">
        <v>23</v>
      </c>
      <c r="D7271" s="565">
        <v>17.399999999999999</v>
      </c>
      <c r="E7271" s="566">
        <v>16.966999999999999</v>
      </c>
      <c r="F7271" s="567" t="s">
        <v>16</v>
      </c>
      <c r="G7271" s="568"/>
      <c r="H7271" s="567" t="s">
        <v>2613</v>
      </c>
      <c r="I7271" s="569" t="s">
        <v>2614</v>
      </c>
      <c r="J7271" s="570"/>
      <c r="K7271" s="567" t="str">
        <f t="shared" si="222"/>
        <v>09,26</v>
      </c>
      <c r="L7271" s="567" t="s">
        <v>28</v>
      </c>
      <c r="M7271" s="567">
        <v>17593.480000000003</v>
      </c>
      <c r="N7271" s="571">
        <v>0.45833333333333331</v>
      </c>
      <c r="O7271" s="897" t="s">
        <v>2630</v>
      </c>
      <c r="P7271" s="867" t="s">
        <v>2724</v>
      </c>
    </row>
    <row r="7272" spans="1:16" ht="19.5" hidden="1" thickBot="1" x14ac:dyDescent="0.3">
      <c r="A7272" s="1111"/>
      <c r="B7272" s="798" t="s">
        <v>2613</v>
      </c>
      <c r="C7272" s="799" t="s">
        <v>23</v>
      </c>
      <c r="D7272" s="800">
        <v>0.6</v>
      </c>
      <c r="E7272" s="800">
        <v>0.59899999999999998</v>
      </c>
      <c r="F7272" s="801" t="s">
        <v>16</v>
      </c>
      <c r="G7272" s="802" t="s">
        <v>76</v>
      </c>
      <c r="H7272" s="801" t="s">
        <v>2613</v>
      </c>
      <c r="I7272" s="801" t="s">
        <v>2614</v>
      </c>
      <c r="J7272" s="803"/>
      <c r="K7272" s="801" t="str">
        <f t="shared" si="222"/>
        <v>09,26</v>
      </c>
      <c r="L7272" s="801" t="s">
        <v>28</v>
      </c>
      <c r="M7272" s="801">
        <v>600</v>
      </c>
      <c r="N7272" s="804">
        <v>0.45833333333333331</v>
      </c>
      <c r="O7272" s="897" t="s">
        <v>2675</v>
      </c>
      <c r="P7272" s="867" t="s">
        <v>2725</v>
      </c>
    </row>
    <row r="7273" spans="1:16" ht="19.5" hidden="1" thickBot="1" x14ac:dyDescent="0.3">
      <c r="A7273" s="1112">
        <f>MAX(A7085:A7271)+1</f>
        <v>4466</v>
      </c>
      <c r="B7273" s="610" t="s">
        <v>2564</v>
      </c>
      <c r="C7273" s="480" t="s">
        <v>47</v>
      </c>
      <c r="D7273" s="481">
        <v>17.597999999999999</v>
      </c>
      <c r="E7273" s="482">
        <v>16.617999999999999</v>
      </c>
      <c r="F7273" s="483" t="s">
        <v>16</v>
      </c>
      <c r="G7273" s="549"/>
      <c r="H7273" s="483" t="s">
        <v>2613</v>
      </c>
      <c r="I7273" s="484" t="s">
        <v>2614</v>
      </c>
      <c r="J7273" s="485"/>
      <c r="K7273" s="483" t="str">
        <f t="shared" si="222"/>
        <v>09,26</v>
      </c>
      <c r="L7273" s="483" t="s">
        <v>28</v>
      </c>
      <c r="M7273" s="483">
        <v>17815.55</v>
      </c>
      <c r="N7273" s="486">
        <v>0.5</v>
      </c>
      <c r="O7273" s="897" t="s">
        <v>2631</v>
      </c>
      <c r="P7273" s="867" t="s">
        <v>2721</v>
      </c>
    </row>
    <row r="7274" spans="1:16" ht="19.5" hidden="1" thickBot="1" x14ac:dyDescent="0.3">
      <c r="A7274" s="1114"/>
      <c r="B7274" s="805" t="s">
        <v>2613</v>
      </c>
      <c r="C7274" s="806" t="s">
        <v>47</v>
      </c>
      <c r="D7274" s="807">
        <v>1.1100000000000001</v>
      </c>
      <c r="E7274" s="807">
        <v>1.1160000000000001</v>
      </c>
      <c r="F7274" s="808" t="s">
        <v>16</v>
      </c>
      <c r="G7274" s="857" t="s">
        <v>76</v>
      </c>
      <c r="H7274" s="808" t="s">
        <v>2613</v>
      </c>
      <c r="I7274" s="808" t="s">
        <v>2614</v>
      </c>
      <c r="J7274" s="810"/>
      <c r="K7274" s="808" t="str">
        <f t="shared" si="222"/>
        <v>09,26</v>
      </c>
      <c r="L7274" s="808" t="s">
        <v>28</v>
      </c>
      <c r="M7274" s="808">
        <v>1110</v>
      </c>
      <c r="N7274" s="778">
        <v>0.5</v>
      </c>
      <c r="O7274" s="897" t="s">
        <v>2676</v>
      </c>
      <c r="P7274" s="867" t="s">
        <v>2722</v>
      </c>
    </row>
    <row r="7275" spans="1:16" ht="19.5" hidden="1" thickBot="1" x14ac:dyDescent="0.3">
      <c r="A7275" s="1098">
        <f>MAX(A7086:A7273)+1</f>
        <v>4467</v>
      </c>
      <c r="B7275" s="531" t="s">
        <v>2564</v>
      </c>
      <c r="C7275" s="532" t="s">
        <v>23</v>
      </c>
      <c r="D7275" s="533">
        <v>6.44</v>
      </c>
      <c r="E7275" s="534">
        <v>6.44</v>
      </c>
      <c r="F7275" s="535" t="s">
        <v>30</v>
      </c>
      <c r="G7275" s="536"/>
      <c r="H7275" s="535" t="s">
        <v>2613</v>
      </c>
      <c r="I7275" s="537" t="s">
        <v>2709</v>
      </c>
      <c r="J7275" s="538"/>
      <c r="K7275" s="535" t="str">
        <f t="shared" si="222"/>
        <v>09,26</v>
      </c>
      <c r="L7275" s="535" t="s">
        <v>28</v>
      </c>
      <c r="M7275" s="535">
        <v>6440.84</v>
      </c>
      <c r="N7275" s="539">
        <v>0.41666666666666669</v>
      </c>
      <c r="O7275" s="897" t="s">
        <v>2624</v>
      </c>
      <c r="P7275" s="867" t="s">
        <v>2827</v>
      </c>
    </row>
    <row r="7276" spans="1:16" ht="19.5" hidden="1" thickBot="1" x14ac:dyDescent="0.3">
      <c r="A7276" s="1100"/>
      <c r="B7276" s="636" t="s">
        <v>2564</v>
      </c>
      <c r="C7276" s="637" t="s">
        <v>587</v>
      </c>
      <c r="D7276" s="638">
        <v>6.43</v>
      </c>
      <c r="E7276" s="639">
        <v>6.3719999999999999</v>
      </c>
      <c r="F7276" s="640" t="s">
        <v>30</v>
      </c>
      <c r="G7276" s="641" t="s">
        <v>23</v>
      </c>
      <c r="H7276" s="640" t="s">
        <v>2613</v>
      </c>
      <c r="I7276" s="642" t="s">
        <v>2709</v>
      </c>
      <c r="J7276" s="643"/>
      <c r="K7276" s="640" t="str">
        <f t="shared" si="222"/>
        <v>09,26</v>
      </c>
      <c r="L7276" s="640" t="s">
        <v>28</v>
      </c>
      <c r="M7276" s="640">
        <v>6430.28</v>
      </c>
      <c r="N7276" s="644">
        <v>0.41666666666666669</v>
      </c>
      <c r="O7276" s="897" t="s">
        <v>2627</v>
      </c>
      <c r="P7276" s="867" t="s">
        <v>2828</v>
      </c>
    </row>
    <row r="7277" spans="1:16" ht="19.5" hidden="1" thickBot="1" x14ac:dyDescent="0.3">
      <c r="A7277" s="513">
        <f>MAX(A7088:A7276)+1</f>
        <v>4468</v>
      </c>
      <c r="B7277" s="514" t="s">
        <v>2564</v>
      </c>
      <c r="C7277" s="515" t="s">
        <v>26</v>
      </c>
      <c r="D7277" s="516">
        <v>15.627000000000001</v>
      </c>
      <c r="E7277" s="517">
        <v>15.627000000000001</v>
      </c>
      <c r="F7277" s="518" t="s">
        <v>30</v>
      </c>
      <c r="G7277" s="519"/>
      <c r="H7277" s="518" t="s">
        <v>2614</v>
      </c>
      <c r="I7277" s="520" t="s">
        <v>2614</v>
      </c>
      <c r="J7277" s="521"/>
      <c r="K7277" s="518" t="str">
        <f t="shared" si="222"/>
        <v>09,26</v>
      </c>
      <c r="L7277" s="518" t="s">
        <v>265</v>
      </c>
      <c r="M7277" s="518">
        <v>15627.560000000001</v>
      </c>
      <c r="N7277" s="522">
        <v>4.1666666666666664E-2</v>
      </c>
      <c r="O7277" s="897" t="s">
        <v>2616</v>
      </c>
      <c r="P7277" s="867" t="s">
        <v>2697</v>
      </c>
    </row>
    <row r="7278" spans="1:16" ht="19.5" hidden="1" thickBot="1" x14ac:dyDescent="0.3">
      <c r="A7278" s="1109">
        <f>MAX(A7089:A7277)+1</f>
        <v>4469</v>
      </c>
      <c r="B7278" s="760" t="s">
        <v>2564</v>
      </c>
      <c r="C7278" s="564" t="s">
        <v>26</v>
      </c>
      <c r="D7278" s="565">
        <v>18.628</v>
      </c>
      <c r="E7278" s="566">
        <v>15.15</v>
      </c>
      <c r="F7278" s="567" t="s">
        <v>16</v>
      </c>
      <c r="G7278" s="568"/>
      <c r="H7278" s="567" t="s">
        <v>2614</v>
      </c>
      <c r="I7278" s="569" t="s">
        <v>2614</v>
      </c>
      <c r="J7278" s="570"/>
      <c r="K7278" s="567" t="str">
        <f t="shared" si="222"/>
        <v>09,26</v>
      </c>
      <c r="L7278" s="567" t="s">
        <v>265</v>
      </c>
      <c r="M7278" s="567">
        <v>18819.259999999998</v>
      </c>
      <c r="N7278" s="571">
        <v>4.1666666666666664E-2</v>
      </c>
      <c r="O7278" s="897" t="s">
        <v>2620</v>
      </c>
      <c r="P7278" s="867" t="s">
        <v>2698</v>
      </c>
    </row>
    <row r="7279" spans="1:16" ht="19.5" hidden="1" thickBot="1" x14ac:dyDescent="0.3">
      <c r="A7279" s="1111"/>
      <c r="B7279" s="798" t="s">
        <v>2614</v>
      </c>
      <c r="C7279" s="799" t="s">
        <v>26</v>
      </c>
      <c r="D7279" s="800">
        <v>1.7</v>
      </c>
      <c r="E7279" s="800">
        <v>1.712</v>
      </c>
      <c r="F7279" s="801" t="s">
        <v>16</v>
      </c>
      <c r="G7279" s="802" t="s">
        <v>76</v>
      </c>
      <c r="H7279" s="801" t="s">
        <v>2614</v>
      </c>
      <c r="I7279" s="801" t="s">
        <v>2614</v>
      </c>
      <c r="J7279" s="803"/>
      <c r="K7279" s="801" t="str">
        <f t="shared" si="222"/>
        <v>09,26</v>
      </c>
      <c r="L7279" s="801" t="s">
        <v>265</v>
      </c>
      <c r="M7279" s="801">
        <v>1710</v>
      </c>
      <c r="N7279" s="804">
        <v>4.1666666666666664E-2</v>
      </c>
      <c r="O7279" s="897" t="s">
        <v>2685</v>
      </c>
      <c r="P7279" s="867" t="s">
        <v>2699</v>
      </c>
    </row>
    <row r="7280" spans="1:16" ht="169.5" hidden="1" thickBot="1" x14ac:dyDescent="0.3">
      <c r="A7280" s="513">
        <f>MAX(A7090:A7278)+1</f>
        <v>4470</v>
      </c>
      <c r="B7280" s="514" t="s">
        <v>2564</v>
      </c>
      <c r="C7280" s="515" t="s">
        <v>24</v>
      </c>
      <c r="D7280" s="516">
        <v>5.4640000000000004</v>
      </c>
      <c r="E7280" s="517">
        <v>5.5</v>
      </c>
      <c r="F7280" s="518" t="s">
        <v>16</v>
      </c>
      <c r="G7280" s="519" t="s">
        <v>2617</v>
      </c>
      <c r="H7280" s="518" t="s">
        <v>2614</v>
      </c>
      <c r="I7280" s="520" t="s">
        <v>2663</v>
      </c>
      <c r="J7280" s="521"/>
      <c r="K7280" s="518" t="str">
        <f t="shared" si="222"/>
        <v>09,26</v>
      </c>
      <c r="L7280" s="518" t="s">
        <v>28</v>
      </c>
      <c r="M7280" s="518">
        <v>5549.28</v>
      </c>
      <c r="N7280" s="522">
        <v>0.41666666666666669</v>
      </c>
      <c r="O7280" s="897" t="s">
        <v>2632</v>
      </c>
      <c r="P7280" s="867" t="s">
        <v>2733</v>
      </c>
    </row>
    <row r="7281" spans="1:16" ht="19.5" hidden="1" thickBot="1" x14ac:dyDescent="0.3">
      <c r="A7281" s="1109">
        <f>MAX(A7091:A7280)+1</f>
        <v>4471</v>
      </c>
      <c r="B7281" s="760" t="s">
        <v>2564</v>
      </c>
      <c r="C7281" s="564" t="s">
        <v>47</v>
      </c>
      <c r="D7281" s="565">
        <v>17.265000000000001</v>
      </c>
      <c r="E7281" s="566">
        <v>16.221</v>
      </c>
      <c r="F7281" s="567" t="s">
        <v>16</v>
      </c>
      <c r="G7281" s="1115" t="s">
        <v>2618</v>
      </c>
      <c r="H7281" s="567" t="s">
        <v>2614</v>
      </c>
      <c r="I7281" s="569" t="s">
        <v>2692</v>
      </c>
      <c r="J7281" s="570"/>
      <c r="K7281" s="567" t="str">
        <f t="shared" si="222"/>
        <v>09,26</v>
      </c>
      <c r="L7281" s="567" t="s">
        <v>28</v>
      </c>
      <c r="M7281" s="567">
        <v>17410.560000000001</v>
      </c>
      <c r="N7281" s="571">
        <v>0.45833333333333331</v>
      </c>
      <c r="O7281" s="897" t="s">
        <v>2633</v>
      </c>
      <c r="P7281" s="867" t="s">
        <v>2757</v>
      </c>
    </row>
    <row r="7282" spans="1:16" ht="19.5" hidden="1" thickBot="1" x14ac:dyDescent="0.3">
      <c r="A7282" s="1111"/>
      <c r="B7282" s="798" t="s">
        <v>2692</v>
      </c>
      <c r="C7282" s="799" t="s">
        <v>47</v>
      </c>
      <c r="D7282" s="800">
        <v>1.0049999999999999</v>
      </c>
      <c r="E7282" s="800">
        <v>1.0049999999999999</v>
      </c>
      <c r="F7282" s="801" t="s">
        <v>16</v>
      </c>
      <c r="G7282" s="1117"/>
      <c r="H7282" s="801" t="s">
        <v>2614</v>
      </c>
      <c r="I7282" s="801" t="s">
        <v>2692</v>
      </c>
      <c r="J7282" s="803"/>
      <c r="K7282" s="801" t="str">
        <f t="shared" si="222"/>
        <v>09,26</v>
      </c>
      <c r="L7282" s="801" t="s">
        <v>28</v>
      </c>
      <c r="M7282" s="801">
        <v>1005</v>
      </c>
      <c r="N7282" s="804">
        <v>0.45833333333333331</v>
      </c>
      <c r="O7282" s="897" t="s">
        <v>2738</v>
      </c>
      <c r="P7282" s="867" t="s">
        <v>2758</v>
      </c>
    </row>
    <row r="7283" spans="1:16" ht="19.5" hidden="1" thickBot="1" x14ac:dyDescent="0.3">
      <c r="A7283" s="1101">
        <f>MAX(A7092:A7281)+1</f>
        <v>4472</v>
      </c>
      <c r="B7283" s="479" t="s">
        <v>2564</v>
      </c>
      <c r="C7283" s="480" t="s">
        <v>15</v>
      </c>
      <c r="D7283" s="481">
        <v>10.851000000000001</v>
      </c>
      <c r="E7283" s="482">
        <v>10.851000000000001</v>
      </c>
      <c r="F7283" s="483" t="s">
        <v>30</v>
      </c>
      <c r="G7283" s="549"/>
      <c r="H7283" s="483" t="s">
        <v>2614</v>
      </c>
      <c r="I7283" s="484" t="s">
        <v>2692</v>
      </c>
      <c r="J7283" s="485"/>
      <c r="K7283" s="483" t="str">
        <f t="shared" si="222"/>
        <v>09,26</v>
      </c>
      <c r="L7283" s="483" t="s">
        <v>28</v>
      </c>
      <c r="M7283" s="483">
        <v>10851.199999999999</v>
      </c>
      <c r="N7283" s="486">
        <v>0.41666666666666669</v>
      </c>
      <c r="O7283" s="897" t="s">
        <v>2626</v>
      </c>
      <c r="P7283" s="867" t="s">
        <v>2760</v>
      </c>
    </row>
    <row r="7284" spans="1:16" ht="19.5" hidden="1" thickBot="1" x14ac:dyDescent="0.3">
      <c r="A7284" s="1103"/>
      <c r="B7284" s="645" t="s">
        <v>2564</v>
      </c>
      <c r="C7284" s="646" t="s">
        <v>24</v>
      </c>
      <c r="D7284" s="647">
        <v>3.746</v>
      </c>
      <c r="E7284" s="648">
        <v>3.746</v>
      </c>
      <c r="F7284" s="649" t="s">
        <v>30</v>
      </c>
      <c r="G7284" s="650"/>
      <c r="H7284" s="649" t="s">
        <v>2614</v>
      </c>
      <c r="I7284" s="651" t="s">
        <v>2692</v>
      </c>
      <c r="J7284" s="652"/>
      <c r="K7284" s="649" t="str">
        <f t="shared" si="222"/>
        <v>09,26</v>
      </c>
      <c r="L7284" s="649" t="s">
        <v>28</v>
      </c>
      <c r="M7284" s="649">
        <v>3746.52</v>
      </c>
      <c r="N7284" s="653">
        <v>0.41666666666666669</v>
      </c>
      <c r="O7284" s="897" t="s">
        <v>2625</v>
      </c>
      <c r="P7284" s="867" t="s">
        <v>2759</v>
      </c>
    </row>
    <row r="7285" spans="1:16" ht="19.5" hidden="1" thickBot="1" x14ac:dyDescent="0.3">
      <c r="A7285" s="1098">
        <f>MAX(A7094:A7284)+1</f>
        <v>4473</v>
      </c>
      <c r="B7285" s="531" t="s">
        <v>2613</v>
      </c>
      <c r="C7285" s="532" t="s">
        <v>2662</v>
      </c>
      <c r="D7285" s="533">
        <v>4.085</v>
      </c>
      <c r="E7285" s="534">
        <v>4.0090000000000003</v>
      </c>
      <c r="F7285" s="535" t="s">
        <v>16</v>
      </c>
      <c r="G7285" s="536" t="s">
        <v>844</v>
      </c>
      <c r="H7285" s="535" t="s">
        <v>2663</v>
      </c>
      <c r="I7285" s="537" t="s">
        <v>2663</v>
      </c>
      <c r="J7285" s="538"/>
      <c r="K7285" s="535" t="str">
        <f t="shared" si="222"/>
        <v>09,26</v>
      </c>
      <c r="L7285" s="535" t="s">
        <v>266</v>
      </c>
      <c r="M7285" s="535">
        <v>4197.7699999999995</v>
      </c>
      <c r="N7285" s="539">
        <v>0.41666666666666669</v>
      </c>
      <c r="O7285" s="897" t="s">
        <v>2664</v>
      </c>
      <c r="P7285" s="867" t="s">
        <v>2734</v>
      </c>
    </row>
    <row r="7286" spans="1:16" ht="19.5" hidden="1" thickBot="1" x14ac:dyDescent="0.3">
      <c r="A7286" s="1100"/>
      <c r="B7286" s="636" t="s">
        <v>2613</v>
      </c>
      <c r="C7286" s="637" t="s">
        <v>2662</v>
      </c>
      <c r="D7286" s="638">
        <v>2.1040000000000001</v>
      </c>
      <c r="E7286" s="639">
        <v>1.917</v>
      </c>
      <c r="F7286" s="640" t="s">
        <v>16</v>
      </c>
      <c r="G7286" s="641" t="s">
        <v>845</v>
      </c>
      <c r="H7286" s="640" t="s">
        <v>2663</v>
      </c>
      <c r="I7286" s="642" t="s">
        <v>2663</v>
      </c>
      <c r="J7286" s="643"/>
      <c r="K7286" s="640" t="str">
        <f t="shared" si="222"/>
        <v>09,26</v>
      </c>
      <c r="L7286" s="640" t="s">
        <v>266</v>
      </c>
      <c r="M7286" s="640">
        <v>2167.4700000000003</v>
      </c>
      <c r="N7286" s="644">
        <v>0.41666666666666669</v>
      </c>
      <c r="O7286" s="897" t="s">
        <v>2665</v>
      </c>
      <c r="P7286" s="867" t="s">
        <v>2735</v>
      </c>
    </row>
    <row r="7287" spans="1:16" ht="19.5" hidden="1" thickBot="1" x14ac:dyDescent="0.3">
      <c r="A7287" s="662">
        <f t="shared" ref="A7287:A7290" si="223">MAX(A7096:A7286)+1</f>
        <v>4474</v>
      </c>
      <c r="B7287" s="663" t="s">
        <v>2613</v>
      </c>
      <c r="C7287" s="664" t="s">
        <v>32</v>
      </c>
      <c r="D7287" s="665">
        <v>17.600000000000001</v>
      </c>
      <c r="E7287" s="666" t="s">
        <v>1496</v>
      </c>
      <c r="F7287" s="667" t="s">
        <v>16</v>
      </c>
      <c r="G7287" s="668" t="s">
        <v>2299</v>
      </c>
      <c r="H7287" s="667" t="s">
        <v>2663</v>
      </c>
      <c r="I7287" s="669" t="s">
        <v>1496</v>
      </c>
      <c r="J7287" s="670"/>
      <c r="K7287" s="667" t="str">
        <f t="shared" si="222"/>
        <v>тмена</v>
      </c>
      <c r="L7287" s="667" t="s">
        <v>266</v>
      </c>
      <c r="M7287" s="667">
        <v>17604.599999999999</v>
      </c>
      <c r="N7287" s="671">
        <v>0.45833333333333331</v>
      </c>
      <c r="O7287" s="920" t="s">
        <v>2666</v>
      </c>
      <c r="P7287" s="921" t="s">
        <v>1024</v>
      </c>
    </row>
    <row r="7288" spans="1:16" ht="19.5" hidden="1" thickBot="1" x14ac:dyDescent="0.3">
      <c r="A7288" s="503">
        <f t="shared" si="223"/>
        <v>4475</v>
      </c>
      <c r="B7288" s="504" t="s">
        <v>2614</v>
      </c>
      <c r="C7288" s="505" t="s">
        <v>32</v>
      </c>
      <c r="D7288" s="506">
        <v>18.300999999999998</v>
      </c>
      <c r="E7288" s="507">
        <v>14.843</v>
      </c>
      <c r="F7288" s="508" t="s">
        <v>16</v>
      </c>
      <c r="G7288" s="509"/>
      <c r="H7288" s="508" t="s">
        <v>2692</v>
      </c>
      <c r="I7288" s="510" t="s">
        <v>2692</v>
      </c>
      <c r="J7288" s="511"/>
      <c r="K7288" s="508" t="str">
        <f t="shared" si="222"/>
        <v>09,26</v>
      </c>
      <c r="L7288" s="508" t="s">
        <v>266</v>
      </c>
      <c r="M7288" s="508">
        <v>18438.29</v>
      </c>
      <c r="N7288" s="512">
        <v>0.41666666666666669</v>
      </c>
      <c r="O7288" s="897" t="s">
        <v>2693</v>
      </c>
      <c r="P7288" s="867" t="s">
        <v>2761</v>
      </c>
    </row>
    <row r="7289" spans="1:16" ht="19.5" hidden="1" thickBot="1" x14ac:dyDescent="0.3">
      <c r="A7289" s="662">
        <f t="shared" si="223"/>
        <v>4476</v>
      </c>
      <c r="B7289" s="663" t="s">
        <v>2614</v>
      </c>
      <c r="C7289" s="664" t="s">
        <v>32</v>
      </c>
      <c r="D7289" s="665">
        <v>17.600000000000001</v>
      </c>
      <c r="E7289" s="666" t="s">
        <v>1496</v>
      </c>
      <c r="F7289" s="667" t="s">
        <v>16</v>
      </c>
      <c r="G7289" s="668" t="s">
        <v>2299</v>
      </c>
      <c r="H7289" s="667" t="s">
        <v>2692</v>
      </c>
      <c r="I7289" s="669" t="s">
        <v>1496</v>
      </c>
      <c r="J7289" s="670"/>
      <c r="K7289" s="667" t="str">
        <f t="shared" si="222"/>
        <v>тмена</v>
      </c>
      <c r="L7289" s="667" t="s">
        <v>266</v>
      </c>
      <c r="M7289" s="667">
        <v>17604.599999999999</v>
      </c>
      <c r="N7289" s="671">
        <v>0.45833333333333331</v>
      </c>
      <c r="O7289" s="920" t="s">
        <v>2694</v>
      </c>
      <c r="P7289" s="921" t="s">
        <v>1024</v>
      </c>
    </row>
    <row r="7290" spans="1:16" ht="19.5" hidden="1" thickBot="1" x14ac:dyDescent="0.3">
      <c r="A7290" s="1109">
        <f t="shared" si="223"/>
        <v>4477</v>
      </c>
      <c r="B7290" s="759" t="s">
        <v>2663</v>
      </c>
      <c r="C7290" s="532" t="s">
        <v>26</v>
      </c>
      <c r="D7290" s="533">
        <v>17.349</v>
      </c>
      <c r="E7290" s="534">
        <v>14.646000000000001</v>
      </c>
      <c r="F7290" s="535" t="s">
        <v>16</v>
      </c>
      <c r="G7290" s="536"/>
      <c r="H7290" s="535" t="s">
        <v>2709</v>
      </c>
      <c r="I7290" s="537" t="s">
        <v>2709</v>
      </c>
      <c r="J7290" s="538"/>
      <c r="K7290" s="535" t="str">
        <f t="shared" si="222"/>
        <v>09,26</v>
      </c>
      <c r="L7290" s="535" t="s">
        <v>265</v>
      </c>
      <c r="M7290" s="535">
        <v>17519.439999999999</v>
      </c>
      <c r="N7290" s="539">
        <v>4.1666666666666664E-2</v>
      </c>
      <c r="O7290" s="897" t="s">
        <v>2710</v>
      </c>
      <c r="P7290" s="867" t="s">
        <v>2783</v>
      </c>
    </row>
    <row r="7291" spans="1:16" ht="19.5" hidden="1" thickBot="1" x14ac:dyDescent="0.3">
      <c r="A7291" s="1110"/>
      <c r="B7291" s="852" t="s">
        <v>2709</v>
      </c>
      <c r="C7291" s="837" t="s">
        <v>26</v>
      </c>
      <c r="D7291" s="838">
        <v>1</v>
      </c>
      <c r="E7291" s="838">
        <v>1.0509999999999999</v>
      </c>
      <c r="F7291" s="839" t="s">
        <v>16</v>
      </c>
      <c r="G7291" s="850" t="s">
        <v>76</v>
      </c>
      <c r="H7291" s="839" t="s">
        <v>2709</v>
      </c>
      <c r="I7291" s="839" t="s">
        <v>2709</v>
      </c>
      <c r="J7291" s="840"/>
      <c r="K7291" s="839" t="str">
        <f t="shared" si="222"/>
        <v>09,26</v>
      </c>
      <c r="L7291" s="839" t="s">
        <v>265</v>
      </c>
      <c r="M7291" s="839">
        <v>1050</v>
      </c>
      <c r="N7291" s="598">
        <v>4.1666666666666664E-2</v>
      </c>
      <c r="O7291" s="897" t="s">
        <v>2763</v>
      </c>
      <c r="P7291" s="867" t="s">
        <v>2784</v>
      </c>
    </row>
    <row r="7292" spans="1:16" ht="19.5" hidden="1" thickBot="1" x14ac:dyDescent="0.3">
      <c r="A7292" s="1111"/>
      <c r="B7292" s="785" t="s">
        <v>2692</v>
      </c>
      <c r="C7292" s="786" t="s">
        <v>26</v>
      </c>
      <c r="D7292" s="787">
        <v>2.2000000000000002</v>
      </c>
      <c r="E7292" s="787">
        <v>2.2639999999999998</v>
      </c>
      <c r="F7292" s="788" t="s">
        <v>16</v>
      </c>
      <c r="G7292" s="789" t="s">
        <v>76</v>
      </c>
      <c r="H7292" s="788" t="s">
        <v>2709</v>
      </c>
      <c r="I7292" s="788" t="s">
        <v>2709</v>
      </c>
      <c r="J7292" s="790"/>
      <c r="K7292" s="788" t="str">
        <f t="shared" si="222"/>
        <v>09,26</v>
      </c>
      <c r="L7292" s="788" t="s">
        <v>265</v>
      </c>
      <c r="M7292" s="788">
        <v>2250</v>
      </c>
      <c r="N7292" s="784">
        <v>4.1666666666666664E-2</v>
      </c>
      <c r="O7292" s="897" t="s">
        <v>2756</v>
      </c>
      <c r="P7292" s="867" t="s">
        <v>2785</v>
      </c>
    </row>
    <row r="7293" spans="1:16" ht="19.5" hidden="1" thickBot="1" x14ac:dyDescent="0.3">
      <c r="A7293" s="1112">
        <f>MAX(A7100:A7290)+1</f>
        <v>4478</v>
      </c>
      <c r="B7293" s="610" t="s">
        <v>2663</v>
      </c>
      <c r="C7293" s="480" t="s">
        <v>26</v>
      </c>
      <c r="D7293" s="481">
        <v>17.004999999999999</v>
      </c>
      <c r="E7293" s="482">
        <v>3.9820000000000002</v>
      </c>
      <c r="F7293" s="483" t="s">
        <v>16</v>
      </c>
      <c r="G7293" s="549"/>
      <c r="H7293" s="483" t="s">
        <v>2709</v>
      </c>
      <c r="I7293" s="484" t="s">
        <v>2711</v>
      </c>
      <c r="J7293" s="485"/>
      <c r="K7293" s="483" t="str">
        <f t="shared" si="222"/>
        <v>09,26</v>
      </c>
      <c r="L7293" s="483" t="s">
        <v>265</v>
      </c>
      <c r="M7293" s="483">
        <v>17012.7</v>
      </c>
      <c r="N7293" s="486">
        <v>8.3333333333333329E-2</v>
      </c>
      <c r="O7293" s="897" t="s">
        <v>2712</v>
      </c>
      <c r="P7293" s="867" t="s">
        <v>2807</v>
      </c>
    </row>
    <row r="7294" spans="1:16" ht="19.5" hidden="1" thickBot="1" x14ac:dyDescent="0.3">
      <c r="A7294" s="1113"/>
      <c r="B7294" s="864" t="s">
        <v>2711</v>
      </c>
      <c r="C7294" s="861" t="s">
        <v>26</v>
      </c>
      <c r="D7294" s="862">
        <v>6</v>
      </c>
      <c r="E7294" s="862">
        <v>6.0010000000000003</v>
      </c>
      <c r="F7294" s="860" t="s">
        <v>16</v>
      </c>
      <c r="G7294" s="863" t="s">
        <v>76</v>
      </c>
      <c r="H7294" s="860" t="s">
        <v>2709</v>
      </c>
      <c r="I7294" s="860" t="s">
        <v>2711</v>
      </c>
      <c r="J7294" s="865"/>
      <c r="K7294" s="860" t="str">
        <f t="shared" si="222"/>
        <v>09,26</v>
      </c>
      <c r="L7294" s="860" t="s">
        <v>265</v>
      </c>
      <c r="M7294" s="860">
        <v>6001.8</v>
      </c>
      <c r="N7294" s="770">
        <v>8.3333333333333329E-2</v>
      </c>
      <c r="O7294" s="897" t="s">
        <v>2793</v>
      </c>
      <c r="P7294" s="867" t="s">
        <v>2808</v>
      </c>
    </row>
    <row r="7295" spans="1:16" ht="19.5" hidden="1" thickBot="1" x14ac:dyDescent="0.3">
      <c r="A7295" s="1114"/>
      <c r="B7295" s="805" t="s">
        <v>2709</v>
      </c>
      <c r="C7295" s="806" t="s">
        <v>26</v>
      </c>
      <c r="D7295" s="807">
        <v>7</v>
      </c>
      <c r="E7295" s="807">
        <v>7.08</v>
      </c>
      <c r="F7295" s="808" t="s">
        <v>16</v>
      </c>
      <c r="G7295" s="809" t="s">
        <v>76</v>
      </c>
      <c r="H7295" s="808" t="s">
        <v>2709</v>
      </c>
      <c r="I7295" s="808" t="s">
        <v>2711</v>
      </c>
      <c r="J7295" s="810"/>
      <c r="K7295" s="808" t="str">
        <f t="shared" si="222"/>
        <v>09,26</v>
      </c>
      <c r="L7295" s="808" t="s">
        <v>265</v>
      </c>
      <c r="M7295" s="808">
        <v>7035</v>
      </c>
      <c r="N7295" s="778">
        <v>8.3333333333333329E-2</v>
      </c>
      <c r="O7295" s="897" t="s">
        <v>2792</v>
      </c>
      <c r="P7295" s="867" t="s">
        <v>2809</v>
      </c>
    </row>
    <row r="7296" spans="1:16" ht="19.5" hidden="1" thickBot="1" x14ac:dyDescent="0.3">
      <c r="A7296" s="1098">
        <f>MAX(A7101:A7293)+1</f>
        <v>4479</v>
      </c>
      <c r="B7296" s="531" t="s">
        <v>2663</v>
      </c>
      <c r="C7296" s="532" t="s">
        <v>2714</v>
      </c>
      <c r="D7296" s="533">
        <v>10.076000000000001</v>
      </c>
      <c r="E7296" s="534">
        <v>10.071</v>
      </c>
      <c r="F7296" s="535" t="s">
        <v>16</v>
      </c>
      <c r="G7296" s="536"/>
      <c r="H7296" s="535" t="s">
        <v>2709</v>
      </c>
      <c r="I7296" s="537" t="s">
        <v>2764</v>
      </c>
      <c r="J7296" s="538"/>
      <c r="K7296" s="535" t="str">
        <f t="shared" si="222"/>
        <v>09,26</v>
      </c>
      <c r="L7296" s="535" t="s">
        <v>265</v>
      </c>
      <c r="M7296" s="535">
        <v>10186.780000000001</v>
      </c>
      <c r="N7296" s="539">
        <v>0.41666666666666669</v>
      </c>
      <c r="O7296" s="897" t="s">
        <v>2716</v>
      </c>
      <c r="P7296" s="867" t="s">
        <v>2835</v>
      </c>
    </row>
    <row r="7297" spans="1:16" ht="19.5" hidden="1" thickBot="1" x14ac:dyDescent="0.3">
      <c r="A7297" s="1100"/>
      <c r="B7297" s="590" t="s">
        <v>2663</v>
      </c>
      <c r="C7297" s="591" t="s">
        <v>764</v>
      </c>
      <c r="D7297" s="592">
        <v>6.15</v>
      </c>
      <c r="E7297" s="593">
        <v>6.1980000000000004</v>
      </c>
      <c r="F7297" s="594" t="s">
        <v>16</v>
      </c>
      <c r="G7297" s="595"/>
      <c r="H7297" s="594" t="s">
        <v>2709</v>
      </c>
      <c r="I7297" s="596" t="s">
        <v>2764</v>
      </c>
      <c r="J7297" s="597"/>
      <c r="K7297" s="594" t="str">
        <f t="shared" si="222"/>
        <v>09,26</v>
      </c>
      <c r="L7297" s="594" t="s">
        <v>28</v>
      </c>
      <c r="M7297" s="594">
        <v>6172.44</v>
      </c>
      <c r="N7297" s="598">
        <v>0.41666666666666669</v>
      </c>
      <c r="O7297" s="897" t="s">
        <v>2715</v>
      </c>
      <c r="P7297" s="867" t="s">
        <v>2841</v>
      </c>
    </row>
    <row r="7298" spans="1:16" ht="19.5" hidden="1" thickBot="1" x14ac:dyDescent="0.3">
      <c r="A7298" s="1112">
        <f>MAX(A7104:A7297)+1</f>
        <v>4480</v>
      </c>
      <c r="B7298" s="610" t="s">
        <v>2663</v>
      </c>
      <c r="C7298" s="480" t="s">
        <v>26</v>
      </c>
      <c r="D7298" s="481">
        <v>18.831</v>
      </c>
      <c r="E7298" s="482">
        <v>15.694000000000001</v>
      </c>
      <c r="F7298" s="483" t="s">
        <v>16</v>
      </c>
      <c r="G7298" s="549"/>
      <c r="H7298" s="483" t="s">
        <v>2711</v>
      </c>
      <c r="I7298" s="484" t="s">
        <v>2711</v>
      </c>
      <c r="J7298" s="485"/>
      <c r="K7298" s="483" t="str">
        <f t="shared" si="222"/>
        <v>09,26</v>
      </c>
      <c r="L7298" s="483" t="s">
        <v>265</v>
      </c>
      <c r="M7298" s="483">
        <v>19045.059999999998</v>
      </c>
      <c r="N7298" s="486">
        <v>4.1666666666666664E-2</v>
      </c>
      <c r="O7298" s="897" t="s">
        <v>2713</v>
      </c>
      <c r="P7298" s="867" t="s">
        <v>2810</v>
      </c>
    </row>
    <row r="7299" spans="1:16" ht="19.5" hidden="1" thickBot="1" x14ac:dyDescent="0.3">
      <c r="A7299" s="1113"/>
      <c r="B7299" s="864" t="s">
        <v>2711</v>
      </c>
      <c r="C7299" s="861" t="s">
        <v>26</v>
      </c>
      <c r="D7299" s="862">
        <v>0.7</v>
      </c>
      <c r="E7299" s="862">
        <v>0.70499999999999996</v>
      </c>
      <c r="F7299" s="860" t="s">
        <v>16</v>
      </c>
      <c r="G7299" s="863" t="s">
        <v>76</v>
      </c>
      <c r="H7299" s="860" t="s">
        <v>2711</v>
      </c>
      <c r="I7299" s="860" t="s">
        <v>2711</v>
      </c>
      <c r="J7299" s="865"/>
      <c r="K7299" s="860" t="str">
        <f t="shared" si="222"/>
        <v>09,26</v>
      </c>
      <c r="L7299" s="860" t="s">
        <v>265</v>
      </c>
      <c r="M7299" s="860">
        <v>705</v>
      </c>
      <c r="N7299" s="770">
        <v>4.1666666666666664E-2</v>
      </c>
      <c r="O7299" s="897" t="s">
        <v>2794</v>
      </c>
      <c r="P7299" s="867" t="s">
        <v>2812</v>
      </c>
    </row>
    <row r="7300" spans="1:16" ht="19.5" hidden="1" thickBot="1" x14ac:dyDescent="0.3">
      <c r="A7300" s="1114"/>
      <c r="B7300" s="805" t="s">
        <v>2709</v>
      </c>
      <c r="C7300" s="806" t="s">
        <v>26</v>
      </c>
      <c r="D7300" s="807">
        <v>1</v>
      </c>
      <c r="E7300" s="807">
        <v>1.05</v>
      </c>
      <c r="F7300" s="808" t="s">
        <v>16</v>
      </c>
      <c r="G7300" s="809" t="s">
        <v>76</v>
      </c>
      <c r="H7300" s="808" t="s">
        <v>2711</v>
      </c>
      <c r="I7300" s="808" t="s">
        <v>2711</v>
      </c>
      <c r="J7300" s="810"/>
      <c r="K7300" s="808" t="str">
        <f t="shared" si="222"/>
        <v>09,26</v>
      </c>
      <c r="L7300" s="808" t="s">
        <v>265</v>
      </c>
      <c r="M7300" s="808">
        <v>1050</v>
      </c>
      <c r="N7300" s="778">
        <v>4.1666666666666664E-2</v>
      </c>
      <c r="O7300" s="897" t="s">
        <v>2791</v>
      </c>
      <c r="P7300" s="867" t="s">
        <v>2811</v>
      </c>
    </row>
    <row r="7301" spans="1:16" ht="19.5" hidden="1" thickBot="1" x14ac:dyDescent="0.3">
      <c r="A7301" s="1109">
        <f>MAX(A7105:A7298)+1</f>
        <v>4481</v>
      </c>
      <c r="B7301" s="760" t="s">
        <v>2663</v>
      </c>
      <c r="C7301" s="564" t="s">
        <v>913</v>
      </c>
      <c r="D7301" s="565">
        <v>0.80700000000000005</v>
      </c>
      <c r="E7301" s="566">
        <v>0.80600000000000005</v>
      </c>
      <c r="F7301" s="567" t="s">
        <v>16</v>
      </c>
      <c r="G7301" s="568"/>
      <c r="H7301" s="567" t="s">
        <v>2711</v>
      </c>
      <c r="I7301" s="569" t="s">
        <v>2739</v>
      </c>
      <c r="J7301" s="570"/>
      <c r="K7301" s="567" t="str">
        <f t="shared" si="222"/>
        <v>09,26</v>
      </c>
      <c r="L7301" s="567" t="s">
        <v>266</v>
      </c>
      <c r="M7301" s="567">
        <v>810</v>
      </c>
      <c r="N7301" s="571">
        <v>0.41666666666666669</v>
      </c>
      <c r="O7301" s="897" t="s">
        <v>2719</v>
      </c>
      <c r="P7301" s="867" t="s">
        <v>2805</v>
      </c>
    </row>
    <row r="7302" spans="1:16" ht="19.5" hidden="1" thickBot="1" x14ac:dyDescent="0.3">
      <c r="A7302" s="1110"/>
      <c r="B7302" s="824" t="s">
        <v>2663</v>
      </c>
      <c r="C7302" s="820" t="s">
        <v>839</v>
      </c>
      <c r="D7302" s="821">
        <v>1.89</v>
      </c>
      <c r="E7302" s="822">
        <v>1.909</v>
      </c>
      <c r="F7302" s="819" t="s">
        <v>16</v>
      </c>
      <c r="G7302" s="823"/>
      <c r="H7302" s="819" t="s">
        <v>2711</v>
      </c>
      <c r="I7302" s="782" t="s">
        <v>2739</v>
      </c>
      <c r="J7302" s="825"/>
      <c r="K7302" s="819" t="str">
        <f t="shared" si="222"/>
        <v>09,26</v>
      </c>
      <c r="L7302" s="819" t="s">
        <v>28</v>
      </c>
      <c r="M7302" s="819">
        <v>1907.4600000000003</v>
      </c>
      <c r="N7302" s="811">
        <v>0.41666666666666669</v>
      </c>
      <c r="O7302" s="897" t="s">
        <v>2718</v>
      </c>
      <c r="P7302" s="867" t="s">
        <v>2831</v>
      </c>
    </row>
    <row r="7303" spans="1:16" ht="19.5" hidden="1" thickBot="1" x14ac:dyDescent="0.3">
      <c r="A7303" s="1110"/>
      <c r="B7303" s="824" t="s">
        <v>2663</v>
      </c>
      <c r="C7303" s="820" t="s">
        <v>23</v>
      </c>
      <c r="D7303" s="821">
        <v>14.839</v>
      </c>
      <c r="E7303" s="822">
        <v>13.492000000000001</v>
      </c>
      <c r="F7303" s="819" t="s">
        <v>16</v>
      </c>
      <c r="G7303" s="823"/>
      <c r="H7303" s="819" t="s">
        <v>2711</v>
      </c>
      <c r="I7303" s="782" t="s">
        <v>2739</v>
      </c>
      <c r="J7303" s="825"/>
      <c r="K7303" s="819" t="str">
        <f t="shared" si="222"/>
        <v>09,26</v>
      </c>
      <c r="L7303" s="819" t="s">
        <v>28</v>
      </c>
      <c r="M7303" s="819">
        <v>15001</v>
      </c>
      <c r="N7303" s="811">
        <v>0.41666666666666669</v>
      </c>
      <c r="O7303" s="897" t="s">
        <v>2717</v>
      </c>
      <c r="P7303" s="867" t="s">
        <v>2832</v>
      </c>
    </row>
    <row r="7304" spans="1:16" ht="19.5" hidden="1" thickBot="1" x14ac:dyDescent="0.3">
      <c r="A7304" s="1110"/>
      <c r="B7304" s="798" t="s">
        <v>2739</v>
      </c>
      <c r="C7304" s="799" t="s">
        <v>23</v>
      </c>
      <c r="D7304" s="800">
        <v>0.9</v>
      </c>
      <c r="E7304" s="800">
        <v>0.90100000000000002</v>
      </c>
      <c r="F7304" s="801" t="s">
        <v>16</v>
      </c>
      <c r="G7304" s="802" t="s">
        <v>76</v>
      </c>
      <c r="H7304" s="801" t="s">
        <v>2711</v>
      </c>
      <c r="I7304" s="801" t="s">
        <v>2739</v>
      </c>
      <c r="J7304" s="803"/>
      <c r="K7304" s="801" t="str">
        <f t="shared" si="222"/>
        <v>09,26</v>
      </c>
      <c r="L7304" s="801" t="s">
        <v>28</v>
      </c>
      <c r="M7304" s="801">
        <v>900</v>
      </c>
      <c r="N7304" s="811">
        <v>0.41666666666666669</v>
      </c>
      <c r="O7304" s="897" t="s">
        <v>2798</v>
      </c>
      <c r="P7304" s="867" t="s">
        <v>2834</v>
      </c>
    </row>
    <row r="7305" spans="1:16" ht="19.5" hidden="1" thickBot="1" x14ac:dyDescent="0.3">
      <c r="A7305" s="1111"/>
      <c r="B7305" s="785" t="s">
        <v>2711</v>
      </c>
      <c r="C7305" s="786" t="s">
        <v>23</v>
      </c>
      <c r="D7305" s="787">
        <v>0.6</v>
      </c>
      <c r="E7305" s="787">
        <v>0.61099999999999999</v>
      </c>
      <c r="F7305" s="788" t="s">
        <v>16</v>
      </c>
      <c r="G7305" s="789" t="s">
        <v>76</v>
      </c>
      <c r="H7305" s="788" t="s">
        <v>2711</v>
      </c>
      <c r="I7305" s="788" t="s">
        <v>2739</v>
      </c>
      <c r="J7305" s="790"/>
      <c r="K7305" s="788" t="str">
        <f t="shared" si="222"/>
        <v>09,26</v>
      </c>
      <c r="L7305" s="788" t="s">
        <v>28</v>
      </c>
      <c r="M7305" s="788">
        <v>600</v>
      </c>
      <c r="N7305" s="784">
        <v>0.41666666666666669</v>
      </c>
      <c r="O7305" s="897" t="s">
        <v>2795</v>
      </c>
      <c r="P7305" s="867" t="s">
        <v>2833</v>
      </c>
    </row>
    <row r="7306" spans="1:16" ht="19.5" hidden="1" thickBot="1" x14ac:dyDescent="0.3">
      <c r="A7306" s="1112">
        <f>MAX(A7108:A7303)+1</f>
        <v>4482</v>
      </c>
      <c r="B7306" s="610" t="s">
        <v>2663</v>
      </c>
      <c r="C7306" s="480" t="s">
        <v>47</v>
      </c>
      <c r="D7306" s="481">
        <v>17.588999999999999</v>
      </c>
      <c r="E7306" s="482">
        <v>15.832000000000001</v>
      </c>
      <c r="F7306" s="483" t="s">
        <v>16</v>
      </c>
      <c r="G7306" s="549"/>
      <c r="H7306" s="483" t="s">
        <v>2711</v>
      </c>
      <c r="I7306" s="484" t="s">
        <v>2739</v>
      </c>
      <c r="J7306" s="485"/>
      <c r="K7306" s="483" t="str">
        <f t="shared" si="222"/>
        <v>09,26</v>
      </c>
      <c r="L7306" s="483" t="s">
        <v>28</v>
      </c>
      <c r="M7306" s="483">
        <v>17809.12</v>
      </c>
      <c r="N7306" s="486">
        <v>0.45833333333333331</v>
      </c>
      <c r="O7306" s="897" t="s">
        <v>2720</v>
      </c>
      <c r="P7306" s="867" t="s">
        <v>2825</v>
      </c>
    </row>
    <row r="7307" spans="1:16" ht="19.5" hidden="1" thickBot="1" x14ac:dyDescent="0.3">
      <c r="A7307" s="1113"/>
      <c r="B7307" s="994" t="s">
        <v>2739</v>
      </c>
      <c r="C7307" s="995" t="s">
        <v>47</v>
      </c>
      <c r="D7307" s="996">
        <v>3.09</v>
      </c>
      <c r="E7307" s="996" t="s">
        <v>1496</v>
      </c>
      <c r="F7307" s="997" t="s">
        <v>16</v>
      </c>
      <c r="G7307" s="998" t="s">
        <v>76</v>
      </c>
      <c r="H7307" s="997" t="s">
        <v>2711</v>
      </c>
      <c r="I7307" s="997" t="s">
        <v>1496</v>
      </c>
      <c r="J7307" s="999"/>
      <c r="K7307" s="997" t="str">
        <f t="shared" si="222"/>
        <v>тмена</v>
      </c>
      <c r="L7307" s="997" t="s">
        <v>28</v>
      </c>
      <c r="M7307" s="997">
        <v>3091.6800000000003</v>
      </c>
      <c r="N7307" s="961">
        <v>0.45833333333333331</v>
      </c>
      <c r="O7307" s="920" t="s">
        <v>2797</v>
      </c>
      <c r="P7307" s="921" t="s">
        <v>1024</v>
      </c>
    </row>
    <row r="7308" spans="1:16" ht="19.5" hidden="1" thickBot="1" x14ac:dyDescent="0.3">
      <c r="A7308" s="1114"/>
      <c r="B7308" s="805" t="s">
        <v>2711</v>
      </c>
      <c r="C7308" s="806" t="s">
        <v>47</v>
      </c>
      <c r="D7308" s="807">
        <v>1.41</v>
      </c>
      <c r="E7308" s="807">
        <v>1.4350000000000001</v>
      </c>
      <c r="F7308" s="808" t="s">
        <v>16</v>
      </c>
      <c r="G7308" s="857" t="s">
        <v>76</v>
      </c>
      <c r="H7308" s="808" t="s">
        <v>2711</v>
      </c>
      <c r="I7308" s="808" t="s">
        <v>2739</v>
      </c>
      <c r="J7308" s="810"/>
      <c r="K7308" s="808" t="str">
        <f t="shared" si="222"/>
        <v>09,26</v>
      </c>
      <c r="L7308" s="808" t="s">
        <v>28</v>
      </c>
      <c r="M7308" s="808">
        <v>1410</v>
      </c>
      <c r="N7308" s="778">
        <v>0.45833333333333331</v>
      </c>
      <c r="O7308" s="897" t="s">
        <v>2796</v>
      </c>
      <c r="P7308" s="867" t="s">
        <v>2826</v>
      </c>
    </row>
    <row r="7309" spans="1:16" ht="19.5" hidden="1" thickBot="1" x14ac:dyDescent="0.3">
      <c r="A7309" s="503">
        <f>MAX(A7111:A7306)+1</f>
        <v>4483</v>
      </c>
      <c r="B7309" s="504" t="s">
        <v>2692</v>
      </c>
      <c r="C7309" s="505" t="s">
        <v>26</v>
      </c>
      <c r="D7309" s="506">
        <v>14.404999999999999</v>
      </c>
      <c r="E7309" s="507">
        <v>14.404999999999999</v>
      </c>
      <c r="F7309" s="508" t="s">
        <v>30</v>
      </c>
      <c r="G7309" s="509"/>
      <c r="H7309" s="508" t="s">
        <v>2711</v>
      </c>
      <c r="I7309" s="510" t="s">
        <v>2711</v>
      </c>
      <c r="J7309" s="511"/>
      <c r="K7309" s="508" t="str">
        <f t="shared" si="222"/>
        <v>09,26</v>
      </c>
      <c r="L7309" s="508" t="s">
        <v>265</v>
      </c>
      <c r="M7309" s="508">
        <v>14405.88</v>
      </c>
      <c r="N7309" s="512">
        <v>4.1666666666666664E-2</v>
      </c>
      <c r="O7309" s="897" t="s">
        <v>2740</v>
      </c>
      <c r="P7309" s="867" t="s">
        <v>2806</v>
      </c>
    </row>
    <row r="7310" spans="1:16" ht="19.5" hidden="1" thickBot="1" x14ac:dyDescent="0.3">
      <c r="A7310" s="513">
        <f>MAX(A7112:A7309)+1</f>
        <v>4484</v>
      </c>
      <c r="B7310" s="514" t="s">
        <v>2692</v>
      </c>
      <c r="C7310" s="515" t="s">
        <v>47</v>
      </c>
      <c r="D7310" s="516">
        <v>13.048</v>
      </c>
      <c r="E7310" s="517">
        <v>13.048</v>
      </c>
      <c r="F7310" s="518" t="s">
        <v>30</v>
      </c>
      <c r="G7310" s="519"/>
      <c r="H7310" s="518" t="s">
        <v>2711</v>
      </c>
      <c r="I7310" s="520" t="s">
        <v>2739</v>
      </c>
      <c r="J7310" s="521"/>
      <c r="K7310" s="518" t="str">
        <f t="shared" si="222"/>
        <v>09,26</v>
      </c>
      <c r="L7310" s="518" t="s">
        <v>28</v>
      </c>
      <c r="M7310" s="518">
        <v>13048.8</v>
      </c>
      <c r="N7310" s="522">
        <v>0.41666666666666669</v>
      </c>
      <c r="O7310" s="897" t="s">
        <v>2741</v>
      </c>
      <c r="P7310" s="867" t="s">
        <v>2836</v>
      </c>
    </row>
    <row r="7311" spans="1:16" ht="19.5" hidden="1" thickBot="1" x14ac:dyDescent="0.3">
      <c r="A7311" s="1098">
        <f>MAX(A7113:A7310)+1</f>
        <v>4485</v>
      </c>
      <c r="B7311" s="750" t="s">
        <v>2692</v>
      </c>
      <c r="C7311" s="751" t="s">
        <v>981</v>
      </c>
      <c r="D7311" s="752">
        <v>0.998</v>
      </c>
      <c r="E7311" s="753" t="s">
        <v>1496</v>
      </c>
      <c r="F7311" s="993" t="s">
        <v>16</v>
      </c>
      <c r="G7311" s="931" t="s">
        <v>2299</v>
      </c>
      <c r="H7311" s="754" t="s">
        <v>2711</v>
      </c>
      <c r="I7311" s="932" t="s">
        <v>1496</v>
      </c>
      <c r="J7311" s="755"/>
      <c r="K7311" s="754" t="str">
        <f t="shared" ref="K7311:K7374" si="224">RIGHT(I7311,5)</f>
        <v>тмена</v>
      </c>
      <c r="L7311" s="754" t="s">
        <v>266</v>
      </c>
      <c r="M7311" s="754">
        <v>998.4</v>
      </c>
      <c r="N7311" s="756">
        <v>0.5</v>
      </c>
      <c r="O7311" s="920" t="s">
        <v>2744</v>
      </c>
      <c r="P7311" s="921" t="s">
        <v>1024</v>
      </c>
    </row>
    <row r="7312" spans="1:16" ht="19.5" hidden="1" thickBot="1" x14ac:dyDescent="0.3">
      <c r="A7312" s="1099"/>
      <c r="B7312" s="563" t="s">
        <v>2692</v>
      </c>
      <c r="C7312" s="564" t="s">
        <v>480</v>
      </c>
      <c r="D7312" s="565">
        <v>8.77</v>
      </c>
      <c r="E7312" s="566">
        <v>7.319</v>
      </c>
      <c r="F7312" s="991" t="s">
        <v>16</v>
      </c>
      <c r="G7312" s="568"/>
      <c r="H7312" s="567" t="s">
        <v>2711</v>
      </c>
      <c r="I7312" s="569" t="s">
        <v>2739</v>
      </c>
      <c r="J7312" s="570"/>
      <c r="K7312" s="567" t="str">
        <f t="shared" si="224"/>
        <v>09,26</v>
      </c>
      <c r="L7312" s="567" t="s">
        <v>266</v>
      </c>
      <c r="M7312" s="567">
        <v>8886.4399999999987</v>
      </c>
      <c r="N7312" s="571">
        <v>0.5</v>
      </c>
      <c r="O7312" s="897" t="s">
        <v>2749</v>
      </c>
      <c r="P7312" s="867" t="s">
        <v>2803</v>
      </c>
    </row>
    <row r="7313" spans="1:16" ht="19.5" hidden="1" thickBot="1" x14ac:dyDescent="0.3">
      <c r="A7313" s="1099"/>
      <c r="B7313" s="563" t="s">
        <v>2692</v>
      </c>
      <c r="C7313" s="564" t="s">
        <v>480</v>
      </c>
      <c r="D7313" s="565">
        <v>0.5</v>
      </c>
      <c r="E7313" s="566">
        <v>0.505</v>
      </c>
      <c r="F7313" s="991" t="s">
        <v>16</v>
      </c>
      <c r="G7313" s="568" t="s">
        <v>2299</v>
      </c>
      <c r="H7313" s="567" t="s">
        <v>2711</v>
      </c>
      <c r="I7313" s="569" t="s">
        <v>2739</v>
      </c>
      <c r="J7313" s="570"/>
      <c r="K7313" s="567" t="str">
        <f t="shared" si="224"/>
        <v>09,26</v>
      </c>
      <c r="L7313" s="567" t="s">
        <v>266</v>
      </c>
      <c r="M7313" s="567">
        <v>504</v>
      </c>
      <c r="N7313" s="571">
        <v>0.5</v>
      </c>
      <c r="O7313" s="897" t="s">
        <v>2750</v>
      </c>
      <c r="P7313" s="867" t="s">
        <v>2800</v>
      </c>
    </row>
    <row r="7314" spans="1:16" ht="19.5" hidden="1" thickBot="1" x14ac:dyDescent="0.3">
      <c r="A7314" s="1099"/>
      <c r="B7314" s="563" t="s">
        <v>2692</v>
      </c>
      <c r="C7314" s="564" t="s">
        <v>981</v>
      </c>
      <c r="D7314" s="565">
        <v>4.9359999999999999</v>
      </c>
      <c r="E7314" s="566">
        <v>4.4569999999999999</v>
      </c>
      <c r="F7314" s="991" t="s">
        <v>16</v>
      </c>
      <c r="G7314" s="568"/>
      <c r="H7314" s="567" t="s">
        <v>2711</v>
      </c>
      <c r="I7314" s="569" t="s">
        <v>2739</v>
      </c>
      <c r="J7314" s="570"/>
      <c r="K7314" s="567" t="str">
        <f t="shared" si="224"/>
        <v>09,26</v>
      </c>
      <c r="L7314" s="567" t="s">
        <v>266</v>
      </c>
      <c r="M7314" s="567">
        <v>4937.8600000000006</v>
      </c>
      <c r="N7314" s="571">
        <v>0.5</v>
      </c>
      <c r="O7314" s="897" t="s">
        <v>2746</v>
      </c>
      <c r="P7314" s="867" t="s">
        <v>2804</v>
      </c>
    </row>
    <row r="7315" spans="1:16" ht="19.5" hidden="1" thickBot="1" x14ac:dyDescent="0.3">
      <c r="A7315" s="1099"/>
      <c r="B7315" s="563" t="s">
        <v>2692</v>
      </c>
      <c r="C7315" s="564" t="s">
        <v>32</v>
      </c>
      <c r="D7315" s="565">
        <v>3.3860000000000001</v>
      </c>
      <c r="E7315" s="566">
        <v>3.3460000000000001</v>
      </c>
      <c r="F7315" s="991" t="s">
        <v>16</v>
      </c>
      <c r="G7315" s="568" t="s">
        <v>1702</v>
      </c>
      <c r="H7315" s="567" t="s">
        <v>2711</v>
      </c>
      <c r="I7315" s="569" t="s">
        <v>2739</v>
      </c>
      <c r="J7315" s="570"/>
      <c r="K7315" s="567" t="str">
        <f t="shared" si="224"/>
        <v>09,26</v>
      </c>
      <c r="L7315" s="567" t="s">
        <v>266</v>
      </c>
      <c r="M7315" s="567">
        <v>3396.4500000000003</v>
      </c>
      <c r="N7315" s="571">
        <v>0.5</v>
      </c>
      <c r="O7315" s="897" t="s">
        <v>2745</v>
      </c>
      <c r="P7315" s="867" t="s">
        <v>2802</v>
      </c>
    </row>
    <row r="7316" spans="1:16" ht="19.5" hidden="1" thickBot="1" x14ac:dyDescent="0.3">
      <c r="A7316" s="1099"/>
      <c r="B7316" s="750" t="s">
        <v>2692</v>
      </c>
      <c r="C7316" s="751" t="s">
        <v>32</v>
      </c>
      <c r="D7316" s="752">
        <v>2.496</v>
      </c>
      <c r="E7316" s="753" t="s">
        <v>1496</v>
      </c>
      <c r="F7316" s="993" t="s">
        <v>16</v>
      </c>
      <c r="G7316" s="931" t="s">
        <v>2585</v>
      </c>
      <c r="H7316" s="754" t="s">
        <v>2711</v>
      </c>
      <c r="I7316" s="932" t="s">
        <v>1496</v>
      </c>
      <c r="J7316" s="755"/>
      <c r="K7316" s="754" t="str">
        <f t="shared" si="224"/>
        <v>тмена</v>
      </c>
      <c r="L7316" s="754" t="s">
        <v>266</v>
      </c>
      <c r="M7316" s="754">
        <v>2496</v>
      </c>
      <c r="N7316" s="756">
        <v>0.5</v>
      </c>
      <c r="O7316" s="920" t="s">
        <v>2748</v>
      </c>
      <c r="P7316" s="921" t="s">
        <v>1024</v>
      </c>
    </row>
    <row r="7317" spans="1:16" ht="19.5" hidden="1" thickBot="1" x14ac:dyDescent="0.3">
      <c r="A7317" s="1100"/>
      <c r="B7317" s="590" t="s">
        <v>2692</v>
      </c>
      <c r="C7317" s="591" t="s">
        <v>32</v>
      </c>
      <c r="D7317" s="592">
        <v>0.63</v>
      </c>
      <c r="E7317" s="593">
        <v>0.628</v>
      </c>
      <c r="F7317" s="992" t="s">
        <v>16</v>
      </c>
      <c r="G7317" s="595" t="s">
        <v>2585</v>
      </c>
      <c r="H7317" s="594" t="s">
        <v>2711</v>
      </c>
      <c r="I7317" s="596" t="s">
        <v>2711</v>
      </c>
      <c r="J7317" s="597"/>
      <c r="K7317" s="594" t="str">
        <f t="shared" si="224"/>
        <v>09,26</v>
      </c>
      <c r="L7317" s="594" t="s">
        <v>266</v>
      </c>
      <c r="M7317" s="594">
        <v>630</v>
      </c>
      <c r="N7317" s="598">
        <v>0.5</v>
      </c>
      <c r="O7317" s="897" t="s">
        <v>2747</v>
      </c>
      <c r="P7317" s="867" t="s">
        <v>2801</v>
      </c>
    </row>
    <row r="7318" spans="1:16" ht="19.5" hidden="1" thickBot="1" x14ac:dyDescent="0.3">
      <c r="A7318" s="1112">
        <f>MAX(A7129:A7317)+1</f>
        <v>4486</v>
      </c>
      <c r="B7318" s="610" t="s">
        <v>2692</v>
      </c>
      <c r="C7318" s="480" t="s">
        <v>26</v>
      </c>
      <c r="D7318" s="481">
        <v>16.863</v>
      </c>
      <c r="E7318" s="482">
        <v>14.013</v>
      </c>
      <c r="F7318" s="483" t="s">
        <v>16</v>
      </c>
      <c r="G7318" s="549"/>
      <c r="H7318" s="483" t="s">
        <v>2739</v>
      </c>
      <c r="I7318" s="484" t="s">
        <v>2764</v>
      </c>
      <c r="J7318" s="485"/>
      <c r="K7318" s="483" t="str">
        <f t="shared" si="224"/>
        <v>09,26</v>
      </c>
      <c r="L7318" s="483" t="s">
        <v>265</v>
      </c>
      <c r="M7318" s="483">
        <v>17019.879999999997</v>
      </c>
      <c r="N7318" s="486">
        <v>4.1666666666666664E-2</v>
      </c>
      <c r="O7318" s="897" t="s">
        <v>2743</v>
      </c>
      <c r="P7318" s="867" t="s">
        <v>2837</v>
      </c>
    </row>
    <row r="7319" spans="1:16" ht="19.5" hidden="1" thickBot="1" x14ac:dyDescent="0.3">
      <c r="A7319" s="1113"/>
      <c r="B7319" s="769" t="s">
        <v>2692</v>
      </c>
      <c r="C7319" s="764" t="s">
        <v>952</v>
      </c>
      <c r="D7319" s="765">
        <v>1.7569999999999999</v>
      </c>
      <c r="E7319" s="766">
        <v>1.6339999999999999</v>
      </c>
      <c r="F7319" s="763" t="s">
        <v>16</v>
      </c>
      <c r="G7319" s="767"/>
      <c r="H7319" s="763" t="s">
        <v>2739</v>
      </c>
      <c r="I7319" s="768" t="s">
        <v>2764</v>
      </c>
      <c r="J7319" s="779"/>
      <c r="K7319" s="763" t="str">
        <f t="shared" si="224"/>
        <v>09,26</v>
      </c>
      <c r="L7319" s="763" t="s">
        <v>265</v>
      </c>
      <c r="M7319" s="763">
        <v>1811.24</v>
      </c>
      <c r="N7319" s="770">
        <v>4.1666666666666664E-2</v>
      </c>
      <c r="O7319" s="897" t="s">
        <v>2742</v>
      </c>
      <c r="P7319" s="867" t="s">
        <v>2838</v>
      </c>
    </row>
    <row r="7320" spans="1:16" ht="19.5" hidden="1" thickBot="1" x14ac:dyDescent="0.3">
      <c r="A7320" s="1114"/>
      <c r="B7320" s="841" t="s">
        <v>2739</v>
      </c>
      <c r="C7320" s="842" t="s">
        <v>26</v>
      </c>
      <c r="D7320" s="843">
        <v>2</v>
      </c>
      <c r="E7320" s="843">
        <v>2.0230000000000001</v>
      </c>
      <c r="F7320" s="844" t="s">
        <v>16</v>
      </c>
      <c r="G7320" s="851" t="s">
        <v>76</v>
      </c>
      <c r="H7320" s="844" t="s">
        <v>2739</v>
      </c>
      <c r="I7320" s="844" t="s">
        <v>2764</v>
      </c>
      <c r="J7320" s="845"/>
      <c r="K7320" s="844" t="str">
        <f t="shared" si="224"/>
        <v>09,26</v>
      </c>
      <c r="L7320" s="844" t="s">
        <v>265</v>
      </c>
      <c r="M7320" s="844">
        <v>2025</v>
      </c>
      <c r="N7320" s="846">
        <v>4.1666666666666664E-2</v>
      </c>
      <c r="O7320" s="897" t="s">
        <v>2799</v>
      </c>
      <c r="P7320" s="867" t="s">
        <v>2839</v>
      </c>
    </row>
    <row r="7321" spans="1:16" ht="19.5" hidden="1" thickBot="1" x14ac:dyDescent="0.3">
      <c r="A7321" s="1193">
        <f>MAX(A7131:A7320)+1</f>
        <v>4487</v>
      </c>
      <c r="B7321" s="1000" t="s">
        <v>2692</v>
      </c>
      <c r="C7321" s="1001" t="s">
        <v>15</v>
      </c>
      <c r="D7321" s="1002">
        <v>9.1549999999999994</v>
      </c>
      <c r="E7321" s="1003">
        <v>7.4660000000000002</v>
      </c>
      <c r="F7321" s="1004" t="s">
        <v>16</v>
      </c>
      <c r="G7321" s="1030" t="s">
        <v>2842</v>
      </c>
      <c r="H7321" s="1004" t="s">
        <v>2739</v>
      </c>
      <c r="I7321" s="1005" t="s">
        <v>2766</v>
      </c>
      <c r="J7321" s="1006"/>
      <c r="K7321" s="1004" t="str">
        <f t="shared" si="224"/>
        <v>09,26</v>
      </c>
      <c r="L7321" s="1004" t="s">
        <v>28</v>
      </c>
      <c r="M7321" s="1004">
        <v>9325.31</v>
      </c>
      <c r="N7321" s="1007">
        <v>0.41666666666666669</v>
      </c>
      <c r="O7321" s="897" t="s">
        <v>2752</v>
      </c>
      <c r="P7321" s="867" t="s">
        <v>2877</v>
      </c>
    </row>
    <row r="7322" spans="1:16" ht="19.5" hidden="1" thickBot="1" x14ac:dyDescent="0.3">
      <c r="A7322" s="1194"/>
      <c r="B7322" s="1008" t="s">
        <v>2692</v>
      </c>
      <c r="C7322" s="1009" t="s">
        <v>24</v>
      </c>
      <c r="D7322" s="1010">
        <v>8.4339999999999993</v>
      </c>
      <c r="E7322" s="1011">
        <v>6.9450000000000003</v>
      </c>
      <c r="F7322" s="1012" t="s">
        <v>16</v>
      </c>
      <c r="G7322" s="1013"/>
      <c r="H7322" s="1012" t="s">
        <v>2739</v>
      </c>
      <c r="I7322" s="1014" t="s">
        <v>2766</v>
      </c>
      <c r="J7322" s="1015"/>
      <c r="K7322" s="1012" t="str">
        <f t="shared" si="224"/>
        <v>09,26</v>
      </c>
      <c r="L7322" s="1012" t="s">
        <v>28</v>
      </c>
      <c r="M7322" s="1012">
        <v>8606.24</v>
      </c>
      <c r="N7322" s="1016">
        <v>0.41666666666666669</v>
      </c>
      <c r="O7322" s="897" t="s">
        <v>2751</v>
      </c>
      <c r="P7322" s="867" t="s">
        <v>2876</v>
      </c>
    </row>
    <row r="7323" spans="1:16" ht="38.25" hidden="1" thickBot="1" x14ac:dyDescent="0.3">
      <c r="A7323" s="1194"/>
      <c r="B7323" s="1017" t="s">
        <v>2764</v>
      </c>
      <c r="C7323" s="1018" t="s">
        <v>15</v>
      </c>
      <c r="D7323" s="1019">
        <v>1.56</v>
      </c>
      <c r="E7323" s="1019">
        <v>1.571</v>
      </c>
      <c r="F7323" s="1020" t="s">
        <v>16</v>
      </c>
      <c r="G7323" s="1021" t="s">
        <v>2843</v>
      </c>
      <c r="H7323" s="1020" t="s">
        <v>2739</v>
      </c>
      <c r="I7323" s="1020" t="s">
        <v>2766</v>
      </c>
      <c r="J7323" s="1022"/>
      <c r="K7323" s="1020" t="str">
        <f t="shared" si="224"/>
        <v>09,26</v>
      </c>
      <c r="L7323" s="1020" t="s">
        <v>28</v>
      </c>
      <c r="M7323" s="1020">
        <v>1560</v>
      </c>
      <c r="N7323" s="1016">
        <v>0.41666666666666669</v>
      </c>
      <c r="O7323" s="897" t="s">
        <v>2847</v>
      </c>
      <c r="P7323" s="867" t="s">
        <v>2878</v>
      </c>
    </row>
    <row r="7324" spans="1:16" ht="19.5" hidden="1" thickBot="1" x14ac:dyDescent="0.3">
      <c r="A7324" s="1195"/>
      <c r="B7324" s="1023" t="s">
        <v>2764</v>
      </c>
      <c r="C7324" s="1024" t="s">
        <v>24</v>
      </c>
      <c r="D7324" s="1025">
        <v>1.59</v>
      </c>
      <c r="E7324" s="1025">
        <v>1.597</v>
      </c>
      <c r="F7324" s="1026" t="s">
        <v>16</v>
      </c>
      <c r="G7324" s="1027" t="s">
        <v>76</v>
      </c>
      <c r="H7324" s="1026" t="s">
        <v>2739</v>
      </c>
      <c r="I7324" s="1026" t="s">
        <v>2766</v>
      </c>
      <c r="J7324" s="1028"/>
      <c r="K7324" s="1026" t="str">
        <f t="shared" si="224"/>
        <v>09,26</v>
      </c>
      <c r="L7324" s="1026" t="s">
        <v>28</v>
      </c>
      <c r="M7324" s="1026">
        <v>1590</v>
      </c>
      <c r="N7324" s="1029">
        <v>0.41666666666666669</v>
      </c>
      <c r="O7324" s="897" t="s">
        <v>2813</v>
      </c>
      <c r="P7324" s="867" t="s">
        <v>2879</v>
      </c>
    </row>
    <row r="7325" spans="1:16" ht="19.5" hidden="1" thickBot="1" x14ac:dyDescent="0.3">
      <c r="A7325" s="1101">
        <f>MAX(A7133:A7324)+1</f>
        <v>4488</v>
      </c>
      <c r="B7325" s="523" t="s">
        <v>2692</v>
      </c>
      <c r="C7325" s="524" t="s">
        <v>587</v>
      </c>
      <c r="D7325" s="525">
        <v>7.93</v>
      </c>
      <c r="E7325" s="526">
        <v>6.9539999999999997</v>
      </c>
      <c r="F7325" s="527" t="s">
        <v>16</v>
      </c>
      <c r="G7325" s="561" t="s">
        <v>47</v>
      </c>
      <c r="H7325" s="527" t="s">
        <v>2739</v>
      </c>
      <c r="I7325" s="528" t="s">
        <v>2766</v>
      </c>
      <c r="J7325" s="529"/>
      <c r="K7325" s="527" t="str">
        <f t="shared" si="224"/>
        <v>09,26</v>
      </c>
      <c r="L7325" s="527" t="s">
        <v>28</v>
      </c>
      <c r="M7325" s="527">
        <v>7930.4400000000014</v>
      </c>
      <c r="N7325" s="530">
        <v>0.45833333333333331</v>
      </c>
      <c r="O7325" s="897" t="s">
        <v>2754</v>
      </c>
      <c r="P7325" s="867" t="s">
        <v>2868</v>
      </c>
    </row>
    <row r="7326" spans="1:16" ht="19.5" hidden="1" thickBot="1" x14ac:dyDescent="0.3">
      <c r="A7326" s="1102"/>
      <c r="B7326" s="523" t="s">
        <v>2692</v>
      </c>
      <c r="C7326" s="524" t="s">
        <v>47</v>
      </c>
      <c r="D7326" s="525">
        <v>9.65</v>
      </c>
      <c r="E7326" s="526">
        <v>8.4139999999999997</v>
      </c>
      <c r="F7326" s="527" t="s">
        <v>16</v>
      </c>
      <c r="G7326" s="561"/>
      <c r="H7326" s="527" t="s">
        <v>2739</v>
      </c>
      <c r="I7326" s="528" t="s">
        <v>2766</v>
      </c>
      <c r="J7326" s="529"/>
      <c r="K7326" s="527" t="str">
        <f t="shared" si="224"/>
        <v>09,26</v>
      </c>
      <c r="L7326" s="527" t="s">
        <v>28</v>
      </c>
      <c r="M7326" s="527">
        <v>9749.8799999999974</v>
      </c>
      <c r="N7326" s="530">
        <v>0.45833333333333331</v>
      </c>
      <c r="O7326" s="897" t="s">
        <v>2753</v>
      </c>
      <c r="P7326" s="867" t="s">
        <v>2869</v>
      </c>
    </row>
    <row r="7327" spans="1:16" ht="19.5" hidden="1" thickBot="1" x14ac:dyDescent="0.3">
      <c r="A7327" s="1103"/>
      <c r="B7327" s="859" t="s">
        <v>2764</v>
      </c>
      <c r="C7327" s="854" t="s">
        <v>47</v>
      </c>
      <c r="D7327" s="855">
        <v>2.34</v>
      </c>
      <c r="E7327" s="855">
        <v>2.3610000000000002</v>
      </c>
      <c r="F7327" s="856" t="s">
        <v>16</v>
      </c>
      <c r="G7327" s="857" t="s">
        <v>76</v>
      </c>
      <c r="H7327" s="856" t="s">
        <v>2739</v>
      </c>
      <c r="I7327" s="856" t="s">
        <v>2766</v>
      </c>
      <c r="J7327" s="858"/>
      <c r="K7327" s="856" t="str">
        <f t="shared" si="224"/>
        <v>09,26</v>
      </c>
      <c r="L7327" s="856" t="s">
        <v>28</v>
      </c>
      <c r="M7327" s="856">
        <v>2340</v>
      </c>
      <c r="N7327" s="653">
        <v>0.45833333333333331</v>
      </c>
      <c r="O7327" s="897" t="s">
        <v>2814</v>
      </c>
      <c r="P7327" s="867" t="s">
        <v>2870</v>
      </c>
    </row>
    <row r="7328" spans="1:16" ht="19.5" hidden="1" thickBot="1" x14ac:dyDescent="0.3">
      <c r="A7328" s="1109">
        <f>MAX(A7135:A7327)+1</f>
        <v>4489</v>
      </c>
      <c r="B7328" s="760" t="s">
        <v>2692</v>
      </c>
      <c r="C7328" s="564" t="s">
        <v>23</v>
      </c>
      <c r="D7328" s="565">
        <v>17.599</v>
      </c>
      <c r="E7328" s="566">
        <v>16.259</v>
      </c>
      <c r="F7328" s="567" t="s">
        <v>16</v>
      </c>
      <c r="G7328" s="568"/>
      <c r="H7328" s="567" t="s">
        <v>2739</v>
      </c>
      <c r="I7328" s="569" t="s">
        <v>2766</v>
      </c>
      <c r="J7328" s="570"/>
      <c r="K7328" s="567" t="str">
        <f t="shared" si="224"/>
        <v>09,26</v>
      </c>
      <c r="L7328" s="567" t="s">
        <v>28</v>
      </c>
      <c r="M7328" s="567">
        <v>17671.72</v>
      </c>
      <c r="N7328" s="571">
        <v>0.5</v>
      </c>
      <c r="O7328" s="897" t="s">
        <v>2755</v>
      </c>
      <c r="P7328" s="867" t="s">
        <v>2884</v>
      </c>
    </row>
    <row r="7329" spans="1:17" ht="19.5" hidden="1" thickBot="1" x14ac:dyDescent="0.3">
      <c r="A7329" s="1111"/>
      <c r="B7329" s="798" t="s">
        <v>2764</v>
      </c>
      <c r="C7329" s="799" t="s">
        <v>23</v>
      </c>
      <c r="D7329" s="800">
        <v>1.41</v>
      </c>
      <c r="E7329" s="800">
        <v>1.41</v>
      </c>
      <c r="F7329" s="801" t="s">
        <v>16</v>
      </c>
      <c r="G7329" s="802" t="s">
        <v>76</v>
      </c>
      <c r="H7329" s="801" t="s">
        <v>2739</v>
      </c>
      <c r="I7329" s="801" t="s">
        <v>2766</v>
      </c>
      <c r="J7329" s="803"/>
      <c r="K7329" s="801" t="str">
        <f t="shared" si="224"/>
        <v>09,26</v>
      </c>
      <c r="L7329" s="801" t="s">
        <v>28</v>
      </c>
      <c r="M7329" s="801">
        <v>1410</v>
      </c>
      <c r="N7329" s="804">
        <v>0.5</v>
      </c>
      <c r="O7329" s="897" t="s">
        <v>2815</v>
      </c>
      <c r="P7329" s="867" t="s">
        <v>2885</v>
      </c>
    </row>
    <row r="7330" spans="1:17" ht="19.5" hidden="1" thickBot="1" x14ac:dyDescent="0.3">
      <c r="A7330" s="1112">
        <f>MAX(A7136:A7328)+1</f>
        <v>4490</v>
      </c>
      <c r="B7330" s="610" t="s">
        <v>2709</v>
      </c>
      <c r="C7330" s="480" t="s">
        <v>26</v>
      </c>
      <c r="D7330" s="481">
        <v>17.420999999999999</v>
      </c>
      <c r="E7330" s="482">
        <v>14</v>
      </c>
      <c r="F7330" s="483" t="s">
        <v>16</v>
      </c>
      <c r="G7330" s="549"/>
      <c r="H7330" s="483" t="s">
        <v>2764</v>
      </c>
      <c r="I7330" s="484" t="s">
        <v>2764</v>
      </c>
      <c r="J7330" s="485"/>
      <c r="K7330" s="483" t="str">
        <f t="shared" si="224"/>
        <v>09,26</v>
      </c>
      <c r="L7330" s="483" t="s">
        <v>265</v>
      </c>
      <c r="M7330" s="483">
        <v>17603.78</v>
      </c>
      <c r="N7330" s="486">
        <v>4.1666666666666664E-2</v>
      </c>
      <c r="O7330" s="897" t="s">
        <v>2767</v>
      </c>
      <c r="P7330" s="867" t="s">
        <v>2829</v>
      </c>
    </row>
    <row r="7331" spans="1:17" ht="19.5" hidden="1" thickBot="1" x14ac:dyDescent="0.3">
      <c r="A7331" s="1114"/>
      <c r="B7331" s="805" t="s">
        <v>2764</v>
      </c>
      <c r="C7331" s="806" t="s">
        <v>26</v>
      </c>
      <c r="D7331" s="807">
        <v>3.42</v>
      </c>
      <c r="E7331" s="807">
        <v>3.4449999999999998</v>
      </c>
      <c r="F7331" s="808" t="s">
        <v>16</v>
      </c>
      <c r="G7331" s="857" t="s">
        <v>76</v>
      </c>
      <c r="H7331" s="808" t="s">
        <v>2764</v>
      </c>
      <c r="I7331" s="808" t="s">
        <v>2764</v>
      </c>
      <c r="J7331" s="810"/>
      <c r="K7331" s="808" t="str">
        <f t="shared" si="224"/>
        <v>09,26</v>
      </c>
      <c r="L7331" s="808" t="s">
        <v>265</v>
      </c>
      <c r="M7331" s="808">
        <v>3420</v>
      </c>
      <c r="N7331" s="778">
        <v>4.1666666666666664E-2</v>
      </c>
      <c r="O7331" s="897" t="s">
        <v>2817</v>
      </c>
      <c r="P7331" s="867" t="s">
        <v>2830</v>
      </c>
    </row>
    <row r="7332" spans="1:17" ht="26.25" hidden="1" customHeight="1" x14ac:dyDescent="0.3">
      <c r="A7332" s="1109">
        <f>MAX(A7137:A7330)+1</f>
        <v>4491</v>
      </c>
      <c r="B7332" s="759" t="s">
        <v>2709</v>
      </c>
      <c r="C7332" s="532" t="s">
        <v>15</v>
      </c>
      <c r="D7332" s="533">
        <v>7.9119999999999999</v>
      </c>
      <c r="E7332" s="534">
        <f>7.253+0.118</f>
        <v>7.3710000000000004</v>
      </c>
      <c r="F7332" s="535" t="s">
        <v>16</v>
      </c>
      <c r="G7332" s="1196" t="s">
        <v>2765</v>
      </c>
      <c r="H7332" s="535" t="s">
        <v>2764</v>
      </c>
      <c r="I7332" s="537" t="s">
        <v>2844</v>
      </c>
      <c r="J7332" s="538"/>
      <c r="K7332" s="535" t="str">
        <f t="shared" si="224"/>
        <v>09,26</v>
      </c>
      <c r="L7332" s="535" t="s">
        <v>28</v>
      </c>
      <c r="M7332" s="535">
        <v>8078.6400000000012</v>
      </c>
      <c r="N7332" s="539">
        <v>0.41666666666666669</v>
      </c>
      <c r="O7332" s="897" t="s">
        <v>2770</v>
      </c>
      <c r="P7332" s="867" t="s">
        <v>2899</v>
      </c>
      <c r="Q7332" s="847" t="s">
        <v>2900</v>
      </c>
    </row>
    <row r="7333" spans="1:17" ht="26.25" hidden="1" customHeight="1" x14ac:dyDescent="0.3">
      <c r="A7333" s="1110"/>
      <c r="B7333" s="824" t="s">
        <v>2709</v>
      </c>
      <c r="C7333" s="820" t="s">
        <v>24</v>
      </c>
      <c r="D7333" s="821">
        <v>5.5549999999999997</v>
      </c>
      <c r="E7333" s="822">
        <v>5.3369999999999997</v>
      </c>
      <c r="F7333" s="819" t="s">
        <v>16</v>
      </c>
      <c r="G7333" s="1197"/>
      <c r="H7333" s="819" t="s">
        <v>2764</v>
      </c>
      <c r="I7333" s="782" t="s">
        <v>2844</v>
      </c>
      <c r="J7333" s="825"/>
      <c r="K7333" s="819" t="str">
        <f t="shared" si="224"/>
        <v>09,26</v>
      </c>
      <c r="L7333" s="819" t="s">
        <v>28</v>
      </c>
      <c r="M7333" s="819">
        <v>5692.6</v>
      </c>
      <c r="N7333" s="811">
        <v>0.41666666666666669</v>
      </c>
      <c r="O7333" s="897" t="s">
        <v>2769</v>
      </c>
      <c r="P7333" s="867" t="s">
        <v>2898</v>
      </c>
    </row>
    <row r="7334" spans="1:17" ht="26.25" hidden="1" customHeight="1" thickBot="1" x14ac:dyDescent="0.3">
      <c r="A7334" s="1111"/>
      <c r="B7334" s="798" t="s">
        <v>2764</v>
      </c>
      <c r="C7334" s="799" t="s">
        <v>15</v>
      </c>
      <c r="D7334" s="800">
        <v>1.1100000000000001</v>
      </c>
      <c r="E7334" s="800">
        <v>1.127</v>
      </c>
      <c r="F7334" s="801" t="s">
        <v>16</v>
      </c>
      <c r="G7334" s="1198"/>
      <c r="H7334" s="801" t="s">
        <v>2764</v>
      </c>
      <c r="I7334" s="801" t="s">
        <v>2844</v>
      </c>
      <c r="J7334" s="803"/>
      <c r="K7334" s="801" t="str">
        <f t="shared" si="224"/>
        <v>09,26</v>
      </c>
      <c r="L7334" s="801" t="s">
        <v>28</v>
      </c>
      <c r="M7334" s="801">
        <v>1110</v>
      </c>
      <c r="N7334" s="804">
        <v>0.41666666666666669</v>
      </c>
      <c r="O7334" s="920" t="s">
        <v>2824</v>
      </c>
      <c r="P7334" s="867" t="s">
        <v>2901</v>
      </c>
    </row>
    <row r="7335" spans="1:17" ht="19.5" hidden="1" thickBot="1" x14ac:dyDescent="0.3">
      <c r="A7335" s="1112">
        <f>MAX(A7139:A7334)+1</f>
        <v>4492</v>
      </c>
      <c r="B7335" s="610" t="s">
        <v>2709</v>
      </c>
      <c r="C7335" s="480" t="s">
        <v>23</v>
      </c>
      <c r="D7335" s="481">
        <v>16.652000000000001</v>
      </c>
      <c r="E7335" s="482">
        <v>14.968999999999999</v>
      </c>
      <c r="F7335" s="483" t="s">
        <v>16</v>
      </c>
      <c r="G7335" s="1106" t="s">
        <v>1633</v>
      </c>
      <c r="H7335" s="483" t="s">
        <v>2764</v>
      </c>
      <c r="I7335" s="484" t="s">
        <v>2854</v>
      </c>
      <c r="J7335" s="485"/>
      <c r="K7335" s="483" t="str">
        <f t="shared" si="224"/>
        <v>09,26</v>
      </c>
      <c r="L7335" s="483" t="s">
        <v>28</v>
      </c>
      <c r="M7335" s="483">
        <v>16838.939999999999</v>
      </c>
      <c r="N7335" s="486">
        <v>0.45833333333333331</v>
      </c>
      <c r="O7335" s="897" t="s">
        <v>2771</v>
      </c>
      <c r="P7335" s="867" t="s">
        <v>2942</v>
      </c>
    </row>
    <row r="7336" spans="1:17" ht="19.5" hidden="1" thickBot="1" x14ac:dyDescent="0.3">
      <c r="A7336" s="1114"/>
      <c r="B7336" s="805" t="s">
        <v>2764</v>
      </c>
      <c r="C7336" s="806" t="s">
        <v>23</v>
      </c>
      <c r="D7336" s="807">
        <v>1.905</v>
      </c>
      <c r="E7336" s="807">
        <v>1.9079999999999999</v>
      </c>
      <c r="F7336" s="808" t="s">
        <v>16</v>
      </c>
      <c r="G7336" s="1108"/>
      <c r="H7336" s="808" t="s">
        <v>2764</v>
      </c>
      <c r="I7336" s="808" t="s">
        <v>2854</v>
      </c>
      <c r="J7336" s="810"/>
      <c r="K7336" s="808" t="str">
        <f t="shared" si="224"/>
        <v>09,26</v>
      </c>
      <c r="L7336" s="808" t="s">
        <v>28</v>
      </c>
      <c r="M7336" s="808">
        <v>1905</v>
      </c>
      <c r="N7336" s="778">
        <v>0.45833333333333331</v>
      </c>
      <c r="O7336" s="897" t="s">
        <v>2816</v>
      </c>
      <c r="P7336" s="867" t="s">
        <v>2943</v>
      </c>
    </row>
    <row r="7337" spans="1:17" ht="19.5" hidden="1" thickBot="1" x14ac:dyDescent="0.3">
      <c r="A7337" s="503">
        <f>MAX(A7140:A7335)+1</f>
        <v>4493</v>
      </c>
      <c r="B7337" s="636" t="s">
        <v>2709</v>
      </c>
      <c r="C7337" s="637" t="s">
        <v>26</v>
      </c>
      <c r="D7337" s="638">
        <v>15.191000000000001</v>
      </c>
      <c r="E7337" s="639">
        <v>15.191000000000001</v>
      </c>
      <c r="F7337" s="640" t="s">
        <v>30</v>
      </c>
      <c r="G7337" s="641"/>
      <c r="H7337" s="640" t="s">
        <v>2764</v>
      </c>
      <c r="I7337" s="642" t="s">
        <v>2764</v>
      </c>
      <c r="J7337" s="643"/>
      <c r="K7337" s="640" t="str">
        <f t="shared" si="224"/>
        <v>09,26</v>
      </c>
      <c r="L7337" s="640" t="s">
        <v>265</v>
      </c>
      <c r="M7337" s="640">
        <v>15191.000000000004</v>
      </c>
      <c r="N7337" s="644">
        <v>4.1666666666666664E-2</v>
      </c>
      <c r="O7337" s="897" t="s">
        <v>2777</v>
      </c>
      <c r="P7337" s="867" t="s">
        <v>2840</v>
      </c>
    </row>
    <row r="7338" spans="1:17" ht="19.5" hidden="1" thickBot="1" x14ac:dyDescent="0.3">
      <c r="A7338" s="1101">
        <f>MAX(A7141:A7337)+1</f>
        <v>4494</v>
      </c>
      <c r="B7338" s="479" t="s">
        <v>2709</v>
      </c>
      <c r="C7338" s="480" t="s">
        <v>667</v>
      </c>
      <c r="D7338" s="481">
        <v>6.0410000000000004</v>
      </c>
      <c r="E7338" s="482">
        <v>6.0410000000000004</v>
      </c>
      <c r="F7338" s="483" t="s">
        <v>30</v>
      </c>
      <c r="G7338" s="549"/>
      <c r="H7338" s="483" t="s">
        <v>2764</v>
      </c>
      <c r="I7338" s="484" t="s">
        <v>2766</v>
      </c>
      <c r="J7338" s="485"/>
      <c r="K7338" s="483" t="str">
        <f t="shared" si="224"/>
        <v>09,26</v>
      </c>
      <c r="L7338" s="483" t="s">
        <v>28</v>
      </c>
      <c r="M7338" s="483">
        <v>6041.5199999999995</v>
      </c>
      <c r="N7338" s="486">
        <v>0.41666666666666669</v>
      </c>
      <c r="O7338" s="897" t="s">
        <v>2789</v>
      </c>
      <c r="P7338" s="867" t="s">
        <v>2881</v>
      </c>
    </row>
    <row r="7339" spans="1:17" ht="19.5" hidden="1" thickBot="1" x14ac:dyDescent="0.3">
      <c r="A7339" s="1102"/>
      <c r="B7339" s="523" t="s">
        <v>2709</v>
      </c>
      <c r="C7339" s="524" t="s">
        <v>15</v>
      </c>
      <c r="D7339" s="525">
        <v>4.8330000000000002</v>
      </c>
      <c r="E7339" s="526">
        <v>4.8330000000000002</v>
      </c>
      <c r="F7339" s="527" t="s">
        <v>30</v>
      </c>
      <c r="G7339" s="561"/>
      <c r="H7339" s="527" t="s">
        <v>2764</v>
      </c>
      <c r="I7339" s="528" t="s">
        <v>2766</v>
      </c>
      <c r="J7339" s="529"/>
      <c r="K7339" s="527" t="str">
        <f t="shared" si="224"/>
        <v>09,26</v>
      </c>
      <c r="L7339" s="527" t="s">
        <v>28</v>
      </c>
      <c r="M7339" s="527">
        <v>4833.12</v>
      </c>
      <c r="N7339" s="530">
        <v>0.41666666666666669</v>
      </c>
      <c r="O7339" s="897" t="s">
        <v>2781</v>
      </c>
      <c r="P7339" s="867" t="s">
        <v>2882</v>
      </c>
    </row>
    <row r="7340" spans="1:17" ht="19.5" hidden="1" thickBot="1" x14ac:dyDescent="0.3">
      <c r="A7340" s="1103"/>
      <c r="B7340" s="645" t="s">
        <v>2709</v>
      </c>
      <c r="C7340" s="646" t="s">
        <v>24</v>
      </c>
      <c r="D7340" s="647">
        <v>2.4369999999999998</v>
      </c>
      <c r="E7340" s="648">
        <v>2.4369999999999998</v>
      </c>
      <c r="F7340" s="649" t="s">
        <v>30</v>
      </c>
      <c r="G7340" s="650"/>
      <c r="H7340" s="649" t="s">
        <v>2764</v>
      </c>
      <c r="I7340" s="651" t="s">
        <v>2766</v>
      </c>
      <c r="J7340" s="652"/>
      <c r="K7340" s="649" t="str">
        <f t="shared" si="224"/>
        <v>09,26</v>
      </c>
      <c r="L7340" s="649" t="s">
        <v>28</v>
      </c>
      <c r="M7340" s="649">
        <v>2437.6799999999998</v>
      </c>
      <c r="N7340" s="653">
        <v>0.41666666666666669</v>
      </c>
      <c r="O7340" s="897" t="s">
        <v>2779</v>
      </c>
      <c r="P7340" s="867" t="s">
        <v>2883</v>
      </c>
    </row>
    <row r="7341" spans="1:17" ht="19.5" hidden="1" thickBot="1" x14ac:dyDescent="0.3">
      <c r="A7341" s="1098">
        <f>MAX(A7144:A7340)+1</f>
        <v>4495</v>
      </c>
      <c r="B7341" s="531" t="s">
        <v>2709</v>
      </c>
      <c r="C7341" s="532" t="s">
        <v>587</v>
      </c>
      <c r="D7341" s="533">
        <v>9.3539999999999992</v>
      </c>
      <c r="E7341" s="534">
        <v>9.2870000000000008</v>
      </c>
      <c r="F7341" s="535" t="s">
        <v>30</v>
      </c>
      <c r="G7341" s="536" t="s">
        <v>23</v>
      </c>
      <c r="H7341" s="535" t="s">
        <v>2764</v>
      </c>
      <c r="I7341" s="537" t="s">
        <v>2766</v>
      </c>
      <c r="J7341" s="538"/>
      <c r="K7341" s="535" t="str">
        <f t="shared" si="224"/>
        <v>09,26</v>
      </c>
      <c r="L7341" s="535" t="s">
        <v>28</v>
      </c>
      <c r="M7341" s="535">
        <v>9354.24</v>
      </c>
      <c r="N7341" s="539">
        <v>0.45833333333333331</v>
      </c>
      <c r="O7341" s="897" t="s">
        <v>2790</v>
      </c>
      <c r="P7341" s="867" t="s">
        <v>2887</v>
      </c>
    </row>
    <row r="7342" spans="1:17" ht="19.5" hidden="1" thickBot="1" x14ac:dyDescent="0.3">
      <c r="A7342" s="1100"/>
      <c r="B7342" s="636" t="s">
        <v>2709</v>
      </c>
      <c r="C7342" s="637" t="s">
        <v>23</v>
      </c>
      <c r="D7342" s="638">
        <v>5.0990000000000002</v>
      </c>
      <c r="E7342" s="639">
        <v>5.0990000000000002</v>
      </c>
      <c r="F7342" s="640" t="s">
        <v>30</v>
      </c>
      <c r="G7342" s="641"/>
      <c r="H7342" s="640" t="s">
        <v>2764</v>
      </c>
      <c r="I7342" s="642" t="s">
        <v>2766</v>
      </c>
      <c r="J7342" s="643"/>
      <c r="K7342" s="640" t="str">
        <f t="shared" si="224"/>
        <v>09,26</v>
      </c>
      <c r="L7342" s="640" t="s">
        <v>28</v>
      </c>
      <c r="M7342" s="640">
        <v>5099.5200000000004</v>
      </c>
      <c r="N7342" s="644">
        <v>0.45833333333333331</v>
      </c>
      <c r="O7342" s="897" t="s">
        <v>2788</v>
      </c>
      <c r="P7342" s="867" t="s">
        <v>2888</v>
      </c>
    </row>
    <row r="7343" spans="1:17" ht="19.5" hidden="1" thickBot="1" x14ac:dyDescent="0.3">
      <c r="A7343" s="513">
        <f t="shared" ref="A7343:A7344" si="225">MAX(A7146:A7342)+1</f>
        <v>4496</v>
      </c>
      <c r="B7343" s="514" t="s">
        <v>2709</v>
      </c>
      <c r="C7343" s="515" t="s">
        <v>26</v>
      </c>
      <c r="D7343" s="516">
        <v>18.998000000000001</v>
      </c>
      <c r="E7343" s="517">
        <v>17.835999999999999</v>
      </c>
      <c r="F7343" s="518" t="s">
        <v>16</v>
      </c>
      <c r="G7343" s="519"/>
      <c r="H7343" s="518" t="s">
        <v>2766</v>
      </c>
      <c r="I7343" s="520" t="s">
        <v>2766</v>
      </c>
      <c r="J7343" s="521"/>
      <c r="K7343" s="518" t="str">
        <f t="shared" si="224"/>
        <v>09,26</v>
      </c>
      <c r="L7343" s="518" t="s">
        <v>265</v>
      </c>
      <c r="M7343" s="518">
        <v>19177.359999999997</v>
      </c>
      <c r="N7343" s="522">
        <v>4.1666666666666664E-2</v>
      </c>
      <c r="O7343" s="897" t="s">
        <v>2768</v>
      </c>
      <c r="P7343" s="867" t="s">
        <v>2848</v>
      </c>
    </row>
    <row r="7344" spans="1:17" ht="19.5" hidden="1" thickBot="1" x14ac:dyDescent="0.3">
      <c r="A7344" s="1109">
        <f t="shared" si="225"/>
        <v>4497</v>
      </c>
      <c r="B7344" s="760" t="s">
        <v>2709</v>
      </c>
      <c r="C7344" s="564" t="s">
        <v>23</v>
      </c>
      <c r="D7344" s="565">
        <v>17.602</v>
      </c>
      <c r="E7344" s="566">
        <v>17.105</v>
      </c>
      <c r="F7344" s="567" t="s">
        <v>16</v>
      </c>
      <c r="G7344" s="568"/>
      <c r="H7344" s="567" t="s">
        <v>2766</v>
      </c>
      <c r="I7344" s="569" t="s">
        <v>2766</v>
      </c>
      <c r="J7344" s="570"/>
      <c r="K7344" s="567" t="str">
        <f t="shared" si="224"/>
        <v>09,26</v>
      </c>
      <c r="L7344" s="567" t="s">
        <v>28</v>
      </c>
      <c r="M7344" s="567">
        <v>17741.260000000002</v>
      </c>
      <c r="N7344" s="571">
        <v>0.41666666666666669</v>
      </c>
      <c r="O7344" s="897" t="s">
        <v>2778</v>
      </c>
      <c r="P7344" s="867" t="s">
        <v>2880</v>
      </c>
    </row>
    <row r="7345" spans="1:18" ht="19.5" hidden="1" thickBot="1" x14ac:dyDescent="0.3">
      <c r="A7345" s="1111"/>
      <c r="B7345" s="1040" t="s">
        <v>2844</v>
      </c>
      <c r="C7345" s="1041" t="s">
        <v>23</v>
      </c>
      <c r="D7345" s="1042">
        <v>0.39</v>
      </c>
      <c r="E7345" s="1042" t="s">
        <v>1496</v>
      </c>
      <c r="F7345" s="1043" t="s">
        <v>16</v>
      </c>
      <c r="G7345" s="1044" t="s">
        <v>76</v>
      </c>
      <c r="H7345" s="1043" t="s">
        <v>2766</v>
      </c>
      <c r="I7345" s="1043" t="s">
        <v>1496</v>
      </c>
      <c r="J7345" s="1045"/>
      <c r="K7345" s="1043" t="str">
        <f t="shared" si="224"/>
        <v>тмена</v>
      </c>
      <c r="L7345" s="1043" t="s">
        <v>28</v>
      </c>
      <c r="M7345" s="1043">
        <v>390</v>
      </c>
      <c r="N7345" s="1046">
        <v>0.41666666666666669</v>
      </c>
      <c r="O7345" s="920" t="s">
        <v>2886</v>
      </c>
      <c r="P7345" s="921" t="s">
        <v>1024</v>
      </c>
    </row>
    <row r="7346" spans="1:18" ht="19.5" hidden="1" thickBot="1" x14ac:dyDescent="0.3">
      <c r="A7346" s="1112">
        <f>MAX(A7148:A7344)+1</f>
        <v>4498</v>
      </c>
      <c r="B7346" s="610" t="s">
        <v>2709</v>
      </c>
      <c r="C7346" s="480" t="s">
        <v>47</v>
      </c>
      <c r="D7346" s="481">
        <v>16.655999999999999</v>
      </c>
      <c r="E7346" s="482">
        <v>16.018999999999998</v>
      </c>
      <c r="F7346" s="483" t="s">
        <v>16</v>
      </c>
      <c r="G7346" s="1106" t="s">
        <v>1633</v>
      </c>
      <c r="H7346" s="483" t="s">
        <v>2766</v>
      </c>
      <c r="I7346" s="484" t="s">
        <v>2854</v>
      </c>
      <c r="J7346" s="485"/>
      <c r="K7346" s="483" t="str">
        <f t="shared" si="224"/>
        <v>09,26</v>
      </c>
      <c r="L7346" s="483" t="s">
        <v>28</v>
      </c>
      <c r="M7346" s="483">
        <v>16888.060000000001</v>
      </c>
      <c r="N7346" s="486">
        <v>0.45833333333333331</v>
      </c>
      <c r="O7346" s="897" t="s">
        <v>2786</v>
      </c>
      <c r="P7346" s="867" t="s">
        <v>2937</v>
      </c>
    </row>
    <row r="7347" spans="1:18" ht="19.5" hidden="1" thickBot="1" x14ac:dyDescent="0.3">
      <c r="A7347" s="1114"/>
      <c r="B7347" s="805" t="s">
        <v>2854</v>
      </c>
      <c r="C7347" s="806" t="s">
        <v>47</v>
      </c>
      <c r="D7347" s="807">
        <v>0.9</v>
      </c>
      <c r="E7347" s="807">
        <v>0.90600000000000003</v>
      </c>
      <c r="F7347" s="808" t="s">
        <v>16</v>
      </c>
      <c r="G7347" s="1108"/>
      <c r="H7347" s="808" t="s">
        <v>2766</v>
      </c>
      <c r="I7347" s="808" t="s">
        <v>2905</v>
      </c>
      <c r="J7347" s="810"/>
      <c r="K7347" s="808" t="str">
        <f t="shared" si="224"/>
        <v>09,26</v>
      </c>
      <c r="L7347" s="808" t="s">
        <v>28</v>
      </c>
      <c r="M7347" s="808">
        <v>900</v>
      </c>
      <c r="N7347" s="778">
        <v>0.45833333333333331</v>
      </c>
      <c r="O7347" s="897" t="s">
        <v>2929</v>
      </c>
      <c r="P7347" s="867" t="s">
        <v>2964</v>
      </c>
    </row>
    <row r="7348" spans="1:18" ht="38.25" hidden="1" thickBot="1" x14ac:dyDescent="0.3">
      <c r="A7348" s="503">
        <f>MAX(A7149:A7346)+1</f>
        <v>4499</v>
      </c>
      <c r="B7348" s="504" t="s">
        <v>2709</v>
      </c>
      <c r="C7348" s="505" t="s">
        <v>2772</v>
      </c>
      <c r="D7348" s="506">
        <v>18.163</v>
      </c>
      <c r="E7348" s="507">
        <v>16.058</v>
      </c>
      <c r="F7348" s="508" t="s">
        <v>16</v>
      </c>
      <c r="G7348" s="509" t="s">
        <v>2780</v>
      </c>
      <c r="H7348" s="508" t="s">
        <v>2766</v>
      </c>
      <c r="I7348" s="510" t="s">
        <v>2818</v>
      </c>
      <c r="J7348" s="511" t="s">
        <v>25</v>
      </c>
      <c r="K7348" s="508" t="str">
        <f t="shared" si="224"/>
        <v>09,26</v>
      </c>
      <c r="L7348" s="508" t="s">
        <v>265</v>
      </c>
      <c r="M7348" s="508">
        <v>18284.600000000002</v>
      </c>
      <c r="N7348" s="512">
        <v>0.5</v>
      </c>
      <c r="O7348" s="897" t="s">
        <v>2787</v>
      </c>
      <c r="P7348" s="867" t="s">
        <v>2867</v>
      </c>
    </row>
    <row r="7349" spans="1:18" ht="19.5" hidden="1" thickBot="1" x14ac:dyDescent="0.3">
      <c r="A7349" s="513">
        <f>MAX(A7150:A7348)+1</f>
        <v>4500</v>
      </c>
      <c r="B7349" s="514" t="s">
        <v>2709</v>
      </c>
      <c r="C7349" s="515" t="s">
        <v>587</v>
      </c>
      <c r="D7349" s="516">
        <v>11.188000000000001</v>
      </c>
      <c r="E7349" s="517">
        <v>11.188000000000001</v>
      </c>
      <c r="F7349" s="518" t="s">
        <v>30</v>
      </c>
      <c r="G7349" s="519" t="s">
        <v>47</v>
      </c>
      <c r="H7349" s="518" t="s">
        <v>2766</v>
      </c>
      <c r="I7349" s="520" t="s">
        <v>2818</v>
      </c>
      <c r="J7349" s="521"/>
      <c r="K7349" s="518" t="str">
        <f t="shared" si="224"/>
        <v>09,26</v>
      </c>
      <c r="L7349" s="518" t="s">
        <v>28</v>
      </c>
      <c r="M7349" s="518">
        <v>11188.800000000001</v>
      </c>
      <c r="N7349" s="522">
        <v>0.41666666666666669</v>
      </c>
      <c r="O7349" s="897" t="s">
        <v>2782</v>
      </c>
      <c r="P7349" s="867" t="s">
        <v>2875</v>
      </c>
    </row>
    <row r="7350" spans="1:18" ht="19.5" hidden="1" thickBot="1" x14ac:dyDescent="0.3">
      <c r="A7350" s="503">
        <f>MAX(A7151:A7349)+1</f>
        <v>4501</v>
      </c>
      <c r="B7350" s="504" t="s">
        <v>2764</v>
      </c>
      <c r="C7350" s="505" t="s">
        <v>32</v>
      </c>
      <c r="D7350" s="506">
        <v>17.600000000000001</v>
      </c>
      <c r="E7350" s="507">
        <v>8.4930000000000003</v>
      </c>
      <c r="F7350" s="508" t="s">
        <v>16</v>
      </c>
      <c r="G7350" s="509" t="s">
        <v>2299</v>
      </c>
      <c r="H7350" s="508" t="s">
        <v>2818</v>
      </c>
      <c r="I7350" s="510" t="s">
        <v>2970</v>
      </c>
      <c r="J7350" s="511"/>
      <c r="K7350" s="508" t="str">
        <f t="shared" si="224"/>
        <v>10,26</v>
      </c>
      <c r="L7350" s="508" t="s">
        <v>266</v>
      </c>
      <c r="M7350" s="508">
        <v>17604.599999999999</v>
      </c>
      <c r="N7350" s="512">
        <v>0.41666666666666669</v>
      </c>
      <c r="O7350" s="897" t="s">
        <v>2819</v>
      </c>
      <c r="P7350" s="867" t="s">
        <v>3010</v>
      </c>
      <c r="Q7350" s="847">
        <v>8493</v>
      </c>
      <c r="R7350" s="833" t="s">
        <v>3009</v>
      </c>
    </row>
    <row r="7351" spans="1:18" ht="19.5" hidden="1" thickBot="1" x14ac:dyDescent="0.3">
      <c r="A7351" s="1101">
        <f>MAX(A7152:A7350)+1</f>
        <v>4502</v>
      </c>
      <c r="B7351" s="479" t="s">
        <v>2764</v>
      </c>
      <c r="C7351" s="480" t="s">
        <v>55</v>
      </c>
      <c r="D7351" s="481">
        <v>2.0419999999999998</v>
      </c>
      <c r="E7351" s="482">
        <v>1.863</v>
      </c>
      <c r="F7351" s="483" t="s">
        <v>16</v>
      </c>
      <c r="G7351" s="549" t="s">
        <v>844</v>
      </c>
      <c r="H7351" s="483" t="s">
        <v>2818</v>
      </c>
      <c r="I7351" s="484" t="s">
        <v>2818</v>
      </c>
      <c r="J7351" s="485"/>
      <c r="K7351" s="483" t="str">
        <f t="shared" si="224"/>
        <v>09,26</v>
      </c>
      <c r="L7351" s="483" t="s">
        <v>266</v>
      </c>
      <c r="M7351" s="483">
        <v>2042.1699999999998</v>
      </c>
      <c r="N7351" s="486">
        <v>0.45833333333333331</v>
      </c>
      <c r="O7351" s="897" t="s">
        <v>2820</v>
      </c>
      <c r="P7351" s="867" t="s">
        <v>2871</v>
      </c>
    </row>
    <row r="7352" spans="1:18" ht="19.5" hidden="1" thickBot="1" x14ac:dyDescent="0.3">
      <c r="A7352" s="1102"/>
      <c r="B7352" s="523" t="s">
        <v>2764</v>
      </c>
      <c r="C7352" s="524" t="s">
        <v>55</v>
      </c>
      <c r="D7352" s="525">
        <v>7.2949999999999999</v>
      </c>
      <c r="E7352" s="526">
        <v>6.5309999999999997</v>
      </c>
      <c r="F7352" s="527" t="s">
        <v>16</v>
      </c>
      <c r="G7352" s="561" t="s">
        <v>845</v>
      </c>
      <c r="H7352" s="527" t="s">
        <v>2818</v>
      </c>
      <c r="I7352" s="528" t="s">
        <v>2818</v>
      </c>
      <c r="J7352" s="529"/>
      <c r="K7352" s="527" t="str">
        <f t="shared" si="224"/>
        <v>09,26</v>
      </c>
      <c r="L7352" s="527" t="s">
        <v>266</v>
      </c>
      <c r="M7352" s="527">
        <v>7295.6399999999994</v>
      </c>
      <c r="N7352" s="530">
        <v>0.45833333333333331</v>
      </c>
      <c r="O7352" s="897" t="s">
        <v>2823</v>
      </c>
      <c r="P7352" s="867" t="s">
        <v>2872</v>
      </c>
    </row>
    <row r="7353" spans="1:18" ht="19.5" hidden="1" thickBot="1" x14ac:dyDescent="0.3">
      <c r="A7353" s="1102"/>
      <c r="B7353" s="523" t="s">
        <v>2764</v>
      </c>
      <c r="C7353" s="524" t="s">
        <v>55</v>
      </c>
      <c r="D7353" s="525">
        <v>5.5060000000000002</v>
      </c>
      <c r="E7353" s="526">
        <v>5.4749999999999996</v>
      </c>
      <c r="F7353" s="527" t="s">
        <v>16</v>
      </c>
      <c r="G7353" s="561" t="s">
        <v>2299</v>
      </c>
      <c r="H7353" s="527" t="s">
        <v>2818</v>
      </c>
      <c r="I7353" s="528" t="s">
        <v>2818</v>
      </c>
      <c r="J7353" s="529"/>
      <c r="K7353" s="527" t="str">
        <f t="shared" si="224"/>
        <v>09,26</v>
      </c>
      <c r="L7353" s="527" t="s">
        <v>266</v>
      </c>
      <c r="M7353" s="527">
        <v>5506.8</v>
      </c>
      <c r="N7353" s="530">
        <v>0.45833333333333331</v>
      </c>
      <c r="O7353" s="897" t="s">
        <v>2821</v>
      </c>
      <c r="P7353" s="867" t="s">
        <v>2873</v>
      </c>
    </row>
    <row r="7354" spans="1:18" ht="19.5" hidden="1" thickBot="1" x14ac:dyDescent="0.3">
      <c r="A7354" s="1103"/>
      <c r="B7354" s="645" t="s">
        <v>2764</v>
      </c>
      <c r="C7354" s="646" t="s">
        <v>32</v>
      </c>
      <c r="D7354" s="647">
        <v>3.5019999999999998</v>
      </c>
      <c r="E7354" s="648">
        <v>3.4969999999999999</v>
      </c>
      <c r="F7354" s="649" t="s">
        <v>16</v>
      </c>
      <c r="G7354" s="650" t="s">
        <v>2585</v>
      </c>
      <c r="H7354" s="649" t="s">
        <v>2818</v>
      </c>
      <c r="I7354" s="651" t="s">
        <v>2818</v>
      </c>
      <c r="J7354" s="652"/>
      <c r="K7354" s="649" t="str">
        <f t="shared" si="224"/>
        <v>09,26</v>
      </c>
      <c r="L7354" s="649" t="s">
        <v>266</v>
      </c>
      <c r="M7354" s="649">
        <v>3502.2</v>
      </c>
      <c r="N7354" s="653">
        <v>0.45833333333333331</v>
      </c>
      <c r="O7354" s="897" t="s">
        <v>2822</v>
      </c>
      <c r="P7354" s="867" t="s">
        <v>2874</v>
      </c>
    </row>
    <row r="7355" spans="1:18" ht="19.5" hidden="1" thickBot="1" x14ac:dyDescent="0.3">
      <c r="A7355" s="503">
        <f>MAX(A7156:A7354)+1</f>
        <v>4503</v>
      </c>
      <c r="B7355" s="504" t="s">
        <v>2766</v>
      </c>
      <c r="C7355" s="505" t="s">
        <v>32</v>
      </c>
      <c r="D7355" s="506">
        <v>18.038</v>
      </c>
      <c r="E7355" s="507">
        <v>16.675000000000001</v>
      </c>
      <c r="F7355" s="508" t="s">
        <v>16</v>
      </c>
      <c r="G7355" s="509"/>
      <c r="H7355" s="508" t="s">
        <v>2844</v>
      </c>
      <c r="I7355" s="510" t="s">
        <v>2849</v>
      </c>
      <c r="J7355" s="511"/>
      <c r="K7355" s="508" t="str">
        <f t="shared" si="224"/>
        <v>09,26</v>
      </c>
      <c r="L7355" s="508" t="s">
        <v>266</v>
      </c>
      <c r="M7355" s="508">
        <v>18146.96</v>
      </c>
      <c r="N7355" s="512">
        <v>0.41666666666666669</v>
      </c>
      <c r="O7355" s="897" t="s">
        <v>2845</v>
      </c>
      <c r="P7355" s="867" t="s">
        <v>2902</v>
      </c>
    </row>
    <row r="7356" spans="1:18" ht="19.5" hidden="1" thickBot="1" x14ac:dyDescent="0.3">
      <c r="A7356" s="572">
        <f>MAX(A7157:A7355)+1</f>
        <v>4504</v>
      </c>
      <c r="B7356" s="573" t="s">
        <v>2766</v>
      </c>
      <c r="C7356" s="574" t="s">
        <v>32</v>
      </c>
      <c r="D7356" s="575">
        <v>18.001999999999999</v>
      </c>
      <c r="E7356" s="576">
        <v>17.004000000000001</v>
      </c>
      <c r="F7356" s="577" t="s">
        <v>16</v>
      </c>
      <c r="G7356" s="578"/>
      <c r="H7356" s="577" t="s">
        <v>2844</v>
      </c>
      <c r="I7356" s="579" t="s">
        <v>2854</v>
      </c>
      <c r="J7356" s="580"/>
      <c r="K7356" s="577" t="str">
        <f t="shared" si="224"/>
        <v>09,26</v>
      </c>
      <c r="L7356" s="577" t="s">
        <v>266</v>
      </c>
      <c r="M7356" s="577">
        <v>18098.380000000005</v>
      </c>
      <c r="N7356" s="581">
        <v>0.45833333333333331</v>
      </c>
      <c r="O7356" s="897" t="s">
        <v>2846</v>
      </c>
      <c r="P7356" s="867" t="s">
        <v>2936</v>
      </c>
    </row>
    <row r="7357" spans="1:18" ht="19.5" hidden="1" thickBot="1" x14ac:dyDescent="0.3">
      <c r="A7357" s="1109">
        <f t="shared" ref="A7357" si="226">MAX(A7159:A7356)+1</f>
        <v>4505</v>
      </c>
      <c r="B7357" s="759" t="s">
        <v>2818</v>
      </c>
      <c r="C7357" s="532" t="s">
        <v>26</v>
      </c>
      <c r="D7357" s="533">
        <v>17.472999999999999</v>
      </c>
      <c r="E7357" s="534">
        <f>16.174+0.213</f>
        <v>16.387</v>
      </c>
      <c r="F7357" s="535" t="s">
        <v>16</v>
      </c>
      <c r="G7357" s="536"/>
      <c r="H7357" s="535" t="s">
        <v>2849</v>
      </c>
      <c r="I7357" s="537" t="s">
        <v>2854</v>
      </c>
      <c r="J7357" s="538"/>
      <c r="K7357" s="535" t="str">
        <f t="shared" si="224"/>
        <v>09,26</v>
      </c>
      <c r="L7357" s="535" t="s">
        <v>265</v>
      </c>
      <c r="M7357" s="535">
        <v>17648.800000000003</v>
      </c>
      <c r="N7357" s="539">
        <v>4.1666666666666664E-2</v>
      </c>
      <c r="O7357" s="897" t="s">
        <v>2852</v>
      </c>
      <c r="P7357" s="867" t="s">
        <v>2932</v>
      </c>
      <c r="Q7357" s="847" t="s">
        <v>2933</v>
      </c>
    </row>
    <row r="7358" spans="1:18" ht="19.5" hidden="1" thickBot="1" x14ac:dyDescent="0.3">
      <c r="A7358" s="1110"/>
      <c r="B7358" s="852" t="s">
        <v>2854</v>
      </c>
      <c r="C7358" s="837" t="s">
        <v>26</v>
      </c>
      <c r="D7358" s="838">
        <v>0.8</v>
      </c>
      <c r="E7358" s="838">
        <v>0.82199999999999995</v>
      </c>
      <c r="F7358" s="839" t="s">
        <v>16</v>
      </c>
      <c r="G7358" s="850" t="s">
        <v>76</v>
      </c>
      <c r="H7358" s="839" t="s">
        <v>2849</v>
      </c>
      <c r="I7358" s="839" t="s">
        <v>2854</v>
      </c>
      <c r="J7358" s="840"/>
      <c r="K7358" s="839" t="str">
        <f t="shared" si="224"/>
        <v>09,26</v>
      </c>
      <c r="L7358" s="839" t="s">
        <v>265</v>
      </c>
      <c r="M7358" s="839">
        <v>825</v>
      </c>
      <c r="N7358" s="598">
        <v>4.1666666666666664E-2</v>
      </c>
      <c r="O7358" s="897" t="s">
        <v>2923</v>
      </c>
      <c r="P7358" s="867" t="s">
        <v>2946</v>
      </c>
    </row>
    <row r="7359" spans="1:18" ht="19.5" hidden="1" thickBot="1" x14ac:dyDescent="0.3">
      <c r="A7359" s="1111"/>
      <c r="B7359" s="785" t="s">
        <v>2849</v>
      </c>
      <c r="C7359" s="786" t="s">
        <v>26</v>
      </c>
      <c r="D7359" s="787">
        <v>0.3</v>
      </c>
      <c r="E7359" s="787">
        <v>0.316</v>
      </c>
      <c r="F7359" s="788" t="s">
        <v>16</v>
      </c>
      <c r="G7359" s="789" t="s">
        <v>76</v>
      </c>
      <c r="H7359" s="788" t="s">
        <v>2849</v>
      </c>
      <c r="I7359" s="788" t="s">
        <v>2854</v>
      </c>
      <c r="J7359" s="790"/>
      <c r="K7359" s="788" t="str">
        <f t="shared" si="224"/>
        <v>09,26</v>
      </c>
      <c r="L7359" s="788" t="s">
        <v>265</v>
      </c>
      <c r="M7359" s="788">
        <v>315</v>
      </c>
      <c r="N7359" s="784">
        <v>4.1666666666666664E-2</v>
      </c>
      <c r="O7359" s="897" t="s">
        <v>2903</v>
      </c>
      <c r="P7359" s="867" t="s">
        <v>2934</v>
      </c>
    </row>
    <row r="7360" spans="1:18" ht="19.5" hidden="1" thickBot="1" x14ac:dyDescent="0.3">
      <c r="A7360" s="1112">
        <f>MAX(A7160:A7357)+1</f>
        <v>4506</v>
      </c>
      <c r="B7360" s="610" t="s">
        <v>2818</v>
      </c>
      <c r="C7360" s="480" t="s">
        <v>26</v>
      </c>
      <c r="D7360" s="481">
        <v>17.004999999999999</v>
      </c>
      <c r="E7360" s="482">
        <v>13.169</v>
      </c>
      <c r="F7360" s="483" t="s">
        <v>16</v>
      </c>
      <c r="G7360" s="549"/>
      <c r="H7360" s="483" t="s">
        <v>2849</v>
      </c>
      <c r="I7360" s="484" t="s">
        <v>2854</v>
      </c>
      <c r="J7360" s="485"/>
      <c r="K7360" s="483" t="str">
        <f t="shared" si="224"/>
        <v>09,26</v>
      </c>
      <c r="L7360" s="483" t="s">
        <v>265</v>
      </c>
      <c r="M7360" s="483">
        <v>17019</v>
      </c>
      <c r="N7360" s="486">
        <v>8.3333333333333329E-2</v>
      </c>
      <c r="O7360" s="897" t="s">
        <v>2853</v>
      </c>
      <c r="P7360" s="867" t="s">
        <v>2944</v>
      </c>
    </row>
    <row r="7361" spans="1:16" ht="19.5" hidden="1" thickBot="1" x14ac:dyDescent="0.3">
      <c r="A7361" s="1113"/>
      <c r="B7361" s="792" t="s">
        <v>2854</v>
      </c>
      <c r="C7361" s="793" t="s">
        <v>26</v>
      </c>
      <c r="D7361" s="794">
        <v>1.3</v>
      </c>
      <c r="E7361" s="794">
        <v>1.302</v>
      </c>
      <c r="F7361" s="795" t="s">
        <v>16</v>
      </c>
      <c r="G7361" s="863" t="s">
        <v>76</v>
      </c>
      <c r="H7361" s="795" t="s">
        <v>2849</v>
      </c>
      <c r="I7361" s="795" t="s">
        <v>2854</v>
      </c>
      <c r="J7361" s="797"/>
      <c r="K7361" s="795" t="str">
        <f t="shared" si="224"/>
        <v>09,26</v>
      </c>
      <c r="L7361" s="795" t="s">
        <v>265</v>
      </c>
      <c r="M7361" s="795">
        <v>1302</v>
      </c>
      <c r="N7361" s="502">
        <v>8.3333333333333329E-2</v>
      </c>
      <c r="O7361" s="897" t="s">
        <v>2924</v>
      </c>
      <c r="P7361" s="867" t="s">
        <v>2935</v>
      </c>
    </row>
    <row r="7362" spans="1:16" ht="19.5" hidden="1" thickBot="1" x14ac:dyDescent="0.3">
      <c r="A7362" s="1114"/>
      <c r="B7362" s="805" t="s">
        <v>2849</v>
      </c>
      <c r="C7362" s="806" t="s">
        <v>26</v>
      </c>
      <c r="D7362" s="807">
        <v>2.58</v>
      </c>
      <c r="E7362" s="807">
        <v>2.6320000000000001</v>
      </c>
      <c r="F7362" s="808" t="s">
        <v>16</v>
      </c>
      <c r="G7362" s="857" t="s">
        <v>76</v>
      </c>
      <c r="H7362" s="808" t="s">
        <v>2849</v>
      </c>
      <c r="I7362" s="808" t="s">
        <v>2854</v>
      </c>
      <c r="J7362" s="810"/>
      <c r="K7362" s="808" t="str">
        <f t="shared" si="224"/>
        <v>09,26</v>
      </c>
      <c r="L7362" s="808" t="s">
        <v>265</v>
      </c>
      <c r="M7362" s="808">
        <v>2625</v>
      </c>
      <c r="N7362" s="778">
        <v>8.3333333333333329E-2</v>
      </c>
      <c r="O7362" s="897" t="s">
        <v>2907</v>
      </c>
      <c r="P7362" s="867" t="s">
        <v>2945</v>
      </c>
    </row>
    <row r="7363" spans="1:16" ht="19.5" hidden="1" thickBot="1" x14ac:dyDescent="0.3">
      <c r="A7363" s="503">
        <f>MAX(A7161:A7360)+1</f>
        <v>4507</v>
      </c>
      <c r="B7363" s="504" t="s">
        <v>2818</v>
      </c>
      <c r="C7363" s="505" t="s">
        <v>23</v>
      </c>
      <c r="D7363" s="506">
        <v>12.382999999999999</v>
      </c>
      <c r="E7363" s="507">
        <v>12.382999999999999</v>
      </c>
      <c r="F7363" s="508" t="s">
        <v>30</v>
      </c>
      <c r="G7363" s="509"/>
      <c r="H7363" s="508" t="s">
        <v>2849</v>
      </c>
      <c r="I7363" s="510" t="s">
        <v>2905</v>
      </c>
      <c r="J7363" s="511"/>
      <c r="K7363" s="508" t="str">
        <f t="shared" si="224"/>
        <v>09,26</v>
      </c>
      <c r="L7363" s="508" t="s">
        <v>28</v>
      </c>
      <c r="M7363" s="508">
        <v>12383.240000000002</v>
      </c>
      <c r="N7363" s="512">
        <v>0.41666666666666669</v>
      </c>
      <c r="O7363" s="897" t="s">
        <v>2851</v>
      </c>
      <c r="P7363" s="867" t="s">
        <v>2956</v>
      </c>
    </row>
    <row r="7364" spans="1:16" ht="19.5" hidden="1" thickBot="1" x14ac:dyDescent="0.3">
      <c r="A7364" s="513">
        <f>MAX(A7162:A7363)+1</f>
        <v>4508</v>
      </c>
      <c r="B7364" s="514" t="s">
        <v>2818</v>
      </c>
      <c r="C7364" s="515" t="s">
        <v>764</v>
      </c>
      <c r="D7364" s="516">
        <v>11.73</v>
      </c>
      <c r="E7364" s="517">
        <v>11.731</v>
      </c>
      <c r="F7364" s="518" t="s">
        <v>30</v>
      </c>
      <c r="G7364" s="519"/>
      <c r="H7364" s="518" t="s">
        <v>2849</v>
      </c>
      <c r="I7364" s="520" t="s">
        <v>2988</v>
      </c>
      <c r="J7364" s="521"/>
      <c r="K7364" s="518" t="str">
        <f t="shared" si="224"/>
        <v>10,26</v>
      </c>
      <c r="L7364" s="518" t="s">
        <v>28</v>
      </c>
      <c r="M7364" s="518">
        <v>11730.6</v>
      </c>
      <c r="N7364" s="522">
        <v>0.45833333333333331</v>
      </c>
      <c r="O7364" s="897" t="s">
        <v>2850</v>
      </c>
      <c r="P7364" s="867" t="s">
        <v>3071</v>
      </c>
    </row>
    <row r="7365" spans="1:16" ht="19.5" hidden="1" thickBot="1" x14ac:dyDescent="0.3">
      <c r="A7365" s="1109">
        <f>MAX(A7163:A7364)+1</f>
        <v>4509</v>
      </c>
      <c r="B7365" s="760" t="s">
        <v>2818</v>
      </c>
      <c r="C7365" s="564" t="s">
        <v>26</v>
      </c>
      <c r="D7365" s="565">
        <v>17.542999999999999</v>
      </c>
      <c r="E7365" s="566">
        <v>16.308</v>
      </c>
      <c r="F7365" s="567" t="s">
        <v>16</v>
      </c>
      <c r="G7365" s="568"/>
      <c r="H7365" s="567" t="s">
        <v>2854</v>
      </c>
      <c r="I7365" s="569" t="s">
        <v>2905</v>
      </c>
      <c r="J7365" s="570"/>
      <c r="K7365" s="567" t="str">
        <f t="shared" si="224"/>
        <v>09,26</v>
      </c>
      <c r="L7365" s="567" t="s">
        <v>265</v>
      </c>
      <c r="M7365" s="567">
        <v>17716.34</v>
      </c>
      <c r="N7365" s="571">
        <v>4.1666666666666664E-2</v>
      </c>
      <c r="O7365" s="897" t="s">
        <v>2855</v>
      </c>
      <c r="P7365" s="867" t="s">
        <v>2953</v>
      </c>
    </row>
    <row r="7366" spans="1:16" ht="19.5" hidden="1" thickBot="1" x14ac:dyDescent="0.3">
      <c r="A7366" s="1111"/>
      <c r="B7366" s="798" t="s">
        <v>2905</v>
      </c>
      <c r="C7366" s="799" t="s">
        <v>26</v>
      </c>
      <c r="D7366" s="800">
        <v>0.4</v>
      </c>
      <c r="E7366" s="800">
        <v>0.42299999999999999</v>
      </c>
      <c r="F7366" s="801" t="s">
        <v>16</v>
      </c>
      <c r="G7366" s="802" t="s">
        <v>76</v>
      </c>
      <c r="H7366" s="801" t="s">
        <v>2854</v>
      </c>
      <c r="I7366" s="801" t="s">
        <v>2905</v>
      </c>
      <c r="J7366" s="803"/>
      <c r="K7366" s="801" t="str">
        <f t="shared" si="224"/>
        <v>09,26</v>
      </c>
      <c r="L7366" s="801" t="s">
        <v>265</v>
      </c>
      <c r="M7366" s="801">
        <v>420</v>
      </c>
      <c r="N7366" s="804">
        <v>4.1666666666666664E-2</v>
      </c>
      <c r="O7366" s="897" t="s">
        <v>2951</v>
      </c>
      <c r="P7366" s="867" t="s">
        <v>2954</v>
      </c>
    </row>
    <row r="7367" spans="1:16" ht="19.5" hidden="1" thickBot="1" x14ac:dyDescent="0.3">
      <c r="A7367" s="1112">
        <f>MAX(A7164:A7365)+1</f>
        <v>4510</v>
      </c>
      <c r="B7367" s="610" t="s">
        <v>2818</v>
      </c>
      <c r="C7367" s="480" t="s">
        <v>26</v>
      </c>
      <c r="D7367" s="481">
        <v>17.510000000000002</v>
      </c>
      <c r="E7367" s="482">
        <v>16.779</v>
      </c>
      <c r="F7367" s="483" t="s">
        <v>16</v>
      </c>
      <c r="G7367" s="549"/>
      <c r="H7367" s="483" t="s">
        <v>2854</v>
      </c>
      <c r="I7367" s="484" t="s">
        <v>2854</v>
      </c>
      <c r="J7367" s="485"/>
      <c r="K7367" s="483" t="str">
        <f t="shared" si="224"/>
        <v>09,26</v>
      </c>
      <c r="L7367" s="483" t="s">
        <v>265</v>
      </c>
      <c r="M7367" s="483">
        <v>17700.18</v>
      </c>
      <c r="N7367" s="486">
        <v>8.3333333333333329E-2</v>
      </c>
      <c r="O7367" s="897" t="s">
        <v>2856</v>
      </c>
      <c r="P7367" s="867" t="s">
        <v>2939</v>
      </c>
    </row>
    <row r="7368" spans="1:16" ht="19.5" hidden="1" thickBot="1" x14ac:dyDescent="0.3">
      <c r="A7368" s="1113"/>
      <c r="B7368" s="864" t="s">
        <v>2890</v>
      </c>
      <c r="C7368" s="861" t="s">
        <v>26</v>
      </c>
      <c r="D7368" s="862">
        <v>0.4</v>
      </c>
      <c r="E7368" s="862">
        <v>0.41899999999999998</v>
      </c>
      <c r="F7368" s="860" t="s">
        <v>16</v>
      </c>
      <c r="G7368" s="863" t="s">
        <v>76</v>
      </c>
      <c r="H7368" s="860" t="s">
        <v>2854</v>
      </c>
      <c r="I7368" s="860" t="s">
        <v>2890</v>
      </c>
      <c r="J7368" s="865"/>
      <c r="K7368" s="860" t="str">
        <f t="shared" si="224"/>
        <v>09,26</v>
      </c>
      <c r="L7368" s="860" t="s">
        <v>265</v>
      </c>
      <c r="M7368" s="860">
        <v>420</v>
      </c>
      <c r="N7368" s="770">
        <v>8.3333333333333329E-2</v>
      </c>
      <c r="O7368" s="897" t="s">
        <v>2931</v>
      </c>
      <c r="P7368" s="867" t="s">
        <v>2950</v>
      </c>
    </row>
    <row r="7369" spans="1:16" ht="19.5" hidden="1" thickBot="1" x14ac:dyDescent="0.3">
      <c r="A7369" s="1114"/>
      <c r="B7369" s="841" t="s">
        <v>2854</v>
      </c>
      <c r="C7369" s="842" t="s">
        <v>26</v>
      </c>
      <c r="D7369" s="843">
        <v>0.5</v>
      </c>
      <c r="E7369" s="843">
        <v>0.50900000000000001</v>
      </c>
      <c r="F7369" s="844" t="s">
        <v>16</v>
      </c>
      <c r="G7369" s="851" t="s">
        <v>76</v>
      </c>
      <c r="H7369" s="844" t="s">
        <v>2854</v>
      </c>
      <c r="I7369" s="844" t="s">
        <v>2854</v>
      </c>
      <c r="J7369" s="845"/>
      <c r="K7369" s="844" t="str">
        <f t="shared" si="224"/>
        <v>09,26</v>
      </c>
      <c r="L7369" s="844" t="s">
        <v>265</v>
      </c>
      <c r="M7369" s="844">
        <v>525</v>
      </c>
      <c r="N7369" s="846">
        <v>8.3333333333333329E-2</v>
      </c>
      <c r="O7369" s="897" t="s">
        <v>2925</v>
      </c>
      <c r="P7369" s="867" t="s">
        <v>2940</v>
      </c>
    </row>
    <row r="7370" spans="1:16" ht="57" hidden="1" thickBot="1" x14ac:dyDescent="0.3">
      <c r="A7370" s="1109">
        <f>MAX(A7165:A7367)+1</f>
        <v>4511</v>
      </c>
      <c r="B7370" s="759" t="s">
        <v>2818</v>
      </c>
      <c r="C7370" s="532" t="s">
        <v>587</v>
      </c>
      <c r="D7370" s="533">
        <v>0.90400000000000003</v>
      </c>
      <c r="E7370" s="534">
        <v>0.91300000000000003</v>
      </c>
      <c r="F7370" s="535" t="s">
        <v>16</v>
      </c>
      <c r="G7370" s="536" t="s">
        <v>794</v>
      </c>
      <c r="H7370" s="535" t="s">
        <v>2854</v>
      </c>
      <c r="I7370" s="537" t="s">
        <v>2909</v>
      </c>
      <c r="J7370" s="538"/>
      <c r="K7370" s="535" t="str">
        <f t="shared" si="224"/>
        <v>09,26</v>
      </c>
      <c r="L7370" s="535" t="s">
        <v>28</v>
      </c>
      <c r="M7370" s="535">
        <v>917.64</v>
      </c>
      <c r="N7370" s="539">
        <v>0.41666666666666669</v>
      </c>
      <c r="O7370" s="897" t="s">
        <v>2859</v>
      </c>
      <c r="P7370" s="867" t="s">
        <v>2981</v>
      </c>
    </row>
    <row r="7371" spans="1:16" ht="19.5" hidden="1" thickBot="1" x14ac:dyDescent="0.3">
      <c r="A7371" s="1110"/>
      <c r="B7371" s="824" t="s">
        <v>2818</v>
      </c>
      <c r="C7371" s="820" t="s">
        <v>587</v>
      </c>
      <c r="D7371" s="821">
        <v>8.1349999999999998</v>
      </c>
      <c r="E7371" s="822">
        <v>7.4359999999999999</v>
      </c>
      <c r="F7371" s="819" t="s">
        <v>16</v>
      </c>
      <c r="G7371" s="823" t="s">
        <v>47</v>
      </c>
      <c r="H7371" s="819" t="s">
        <v>2854</v>
      </c>
      <c r="I7371" s="782" t="s">
        <v>2909</v>
      </c>
      <c r="J7371" s="825"/>
      <c r="K7371" s="819" t="str">
        <f t="shared" si="224"/>
        <v>09,26</v>
      </c>
      <c r="L7371" s="819" t="s">
        <v>28</v>
      </c>
      <c r="M7371" s="819">
        <v>8135.2799999999988</v>
      </c>
      <c r="N7371" s="811">
        <v>0.41666666666666669</v>
      </c>
      <c r="O7371" s="897" t="s">
        <v>2860</v>
      </c>
      <c r="P7371" s="867" t="s">
        <v>2982</v>
      </c>
    </row>
    <row r="7372" spans="1:16" ht="19.5" hidden="1" thickBot="1" x14ac:dyDescent="0.3">
      <c r="A7372" s="1110"/>
      <c r="B7372" s="824" t="s">
        <v>2818</v>
      </c>
      <c r="C7372" s="820" t="s">
        <v>47</v>
      </c>
      <c r="D7372" s="821">
        <v>8.4789999999999992</v>
      </c>
      <c r="E7372" s="822">
        <v>8.1329999999999991</v>
      </c>
      <c r="F7372" s="819" t="s">
        <v>16</v>
      </c>
      <c r="G7372" s="823"/>
      <c r="H7372" s="819" t="s">
        <v>2854</v>
      </c>
      <c r="I7372" s="782" t="s">
        <v>2909</v>
      </c>
      <c r="J7372" s="825"/>
      <c r="K7372" s="819" t="str">
        <f t="shared" si="224"/>
        <v>09,26</v>
      </c>
      <c r="L7372" s="819" t="s">
        <v>28</v>
      </c>
      <c r="M7372" s="819">
        <v>8702.58</v>
      </c>
      <c r="N7372" s="811">
        <v>0.41666666666666669</v>
      </c>
      <c r="O7372" s="897" t="s">
        <v>2857</v>
      </c>
      <c r="P7372" s="867" t="s">
        <v>2984</v>
      </c>
    </row>
    <row r="7373" spans="1:16" ht="19.5" hidden="1" thickBot="1" x14ac:dyDescent="0.3">
      <c r="A7373" s="1110"/>
      <c r="B7373" s="813" t="s">
        <v>2909</v>
      </c>
      <c r="C7373" s="814" t="s">
        <v>47</v>
      </c>
      <c r="D7373" s="815">
        <v>0.6</v>
      </c>
      <c r="E7373" s="815">
        <v>0.61299999999999999</v>
      </c>
      <c r="F7373" s="816" t="s">
        <v>16</v>
      </c>
      <c r="G7373" s="817" t="s">
        <v>76</v>
      </c>
      <c r="H7373" s="816" t="s">
        <v>2854</v>
      </c>
      <c r="I7373" s="816" t="s">
        <v>2909</v>
      </c>
      <c r="J7373" s="818"/>
      <c r="K7373" s="816" t="str">
        <f t="shared" si="224"/>
        <v>09,26</v>
      </c>
      <c r="L7373" s="816" t="s">
        <v>28</v>
      </c>
      <c r="M7373" s="816">
        <v>600</v>
      </c>
      <c r="N7373" s="811">
        <v>0.41666666666666669</v>
      </c>
      <c r="O7373" s="897" t="s">
        <v>2969</v>
      </c>
      <c r="P7373" s="867" t="s">
        <v>2985</v>
      </c>
    </row>
    <row r="7374" spans="1:16" ht="19.5" hidden="1" thickBot="1" x14ac:dyDescent="0.3">
      <c r="A7374" s="1111"/>
      <c r="B7374" s="785" t="s">
        <v>2854</v>
      </c>
      <c r="C7374" s="786" t="s">
        <v>47</v>
      </c>
      <c r="D7374" s="787">
        <v>0.96</v>
      </c>
      <c r="E7374" s="787">
        <v>0.96299999999999997</v>
      </c>
      <c r="F7374" s="788" t="s">
        <v>16</v>
      </c>
      <c r="G7374" s="789" t="s">
        <v>76</v>
      </c>
      <c r="H7374" s="788" t="s">
        <v>2854</v>
      </c>
      <c r="I7374" s="788" t="s">
        <v>2854</v>
      </c>
      <c r="J7374" s="790"/>
      <c r="K7374" s="788" t="str">
        <f t="shared" si="224"/>
        <v>09,26</v>
      </c>
      <c r="L7374" s="788" t="s">
        <v>28</v>
      </c>
      <c r="M7374" s="788">
        <v>960</v>
      </c>
      <c r="N7374" s="784">
        <v>0.41666666666666669</v>
      </c>
      <c r="O7374" s="897" t="s">
        <v>2928</v>
      </c>
      <c r="P7374" s="867" t="s">
        <v>2938</v>
      </c>
    </row>
    <row r="7375" spans="1:16" ht="19.5" hidden="1" thickBot="1" x14ac:dyDescent="0.3">
      <c r="A7375" s="1101">
        <f>MAX(A7168:A7374)+1</f>
        <v>4512</v>
      </c>
      <c r="B7375" s="523" t="s">
        <v>2818</v>
      </c>
      <c r="C7375" s="524" t="s">
        <v>913</v>
      </c>
      <c r="D7375" s="525">
        <v>0.91500000000000004</v>
      </c>
      <c r="E7375" s="526">
        <v>0.92</v>
      </c>
      <c r="F7375" s="527" t="s">
        <v>16</v>
      </c>
      <c r="G7375" s="1118" t="s">
        <v>2904</v>
      </c>
      <c r="H7375" s="527" t="s">
        <v>2854</v>
      </c>
      <c r="I7375" s="528" t="s">
        <v>2970</v>
      </c>
      <c r="J7375" s="529"/>
      <c r="K7375" s="527" t="str">
        <f t="shared" ref="K7375:K7430" si="227">RIGHT(I7375,5)</f>
        <v>10,26</v>
      </c>
      <c r="L7375" s="527" t="s">
        <v>266</v>
      </c>
      <c r="M7375" s="527">
        <v>920.1</v>
      </c>
      <c r="N7375" s="530">
        <v>0.45833333333333331</v>
      </c>
      <c r="O7375" s="897" t="s">
        <v>2863</v>
      </c>
      <c r="P7375" s="867" t="s">
        <v>3024</v>
      </c>
    </row>
    <row r="7376" spans="1:16" ht="19.5" hidden="1" thickBot="1" x14ac:dyDescent="0.3">
      <c r="A7376" s="1102"/>
      <c r="B7376" s="523" t="s">
        <v>2818</v>
      </c>
      <c r="C7376" s="524" t="s">
        <v>839</v>
      </c>
      <c r="D7376" s="525">
        <v>2.2000000000000002</v>
      </c>
      <c r="E7376" s="526">
        <v>2.2200000000000002</v>
      </c>
      <c r="F7376" s="527" t="s">
        <v>16</v>
      </c>
      <c r="G7376" s="1118"/>
      <c r="H7376" s="527" t="s">
        <v>2854</v>
      </c>
      <c r="I7376" s="528" t="s">
        <v>2970</v>
      </c>
      <c r="J7376" s="529"/>
      <c r="K7376" s="527" t="str">
        <f t="shared" si="227"/>
        <v>10,26</v>
      </c>
      <c r="L7376" s="527" t="s">
        <v>28</v>
      </c>
      <c r="M7376" s="527">
        <v>2218.1999999999998</v>
      </c>
      <c r="N7376" s="530">
        <v>0.45833333333333331</v>
      </c>
      <c r="O7376" s="897" t="s">
        <v>2861</v>
      </c>
      <c r="P7376" s="867" t="s">
        <v>3025</v>
      </c>
    </row>
    <row r="7377" spans="1:16" ht="19.5" hidden="1" thickBot="1" x14ac:dyDescent="0.3">
      <c r="A7377" s="1102"/>
      <c r="B7377" s="523" t="s">
        <v>2818</v>
      </c>
      <c r="C7377" s="524" t="s">
        <v>23</v>
      </c>
      <c r="D7377" s="525">
        <v>10.568</v>
      </c>
      <c r="E7377" s="526">
        <v>9.9109999999999996</v>
      </c>
      <c r="F7377" s="527" t="s">
        <v>16</v>
      </c>
      <c r="G7377" s="1118"/>
      <c r="H7377" s="527" t="s">
        <v>2854</v>
      </c>
      <c r="I7377" s="528" t="s">
        <v>2970</v>
      </c>
      <c r="J7377" s="529"/>
      <c r="K7377" s="527" t="str">
        <f t="shared" si="227"/>
        <v>10,26</v>
      </c>
      <c r="L7377" s="527" t="s">
        <v>28</v>
      </c>
      <c r="M7377" s="527">
        <v>10736.63</v>
      </c>
      <c r="N7377" s="530">
        <v>0.45833333333333331</v>
      </c>
      <c r="O7377" s="897" t="s">
        <v>2858</v>
      </c>
      <c r="P7377" s="867" t="s">
        <v>3026</v>
      </c>
    </row>
    <row r="7378" spans="1:16" ht="19.5" hidden="1" thickBot="1" x14ac:dyDescent="0.3">
      <c r="A7378" s="1102"/>
      <c r="B7378" s="944" t="s">
        <v>2854</v>
      </c>
      <c r="C7378" s="945" t="s">
        <v>23</v>
      </c>
      <c r="D7378" s="946">
        <v>0.81</v>
      </c>
      <c r="E7378" s="946">
        <v>0.81100000000000005</v>
      </c>
      <c r="F7378" s="947" t="s">
        <v>16</v>
      </c>
      <c r="G7378" s="1118"/>
      <c r="H7378" s="947" t="s">
        <v>2854</v>
      </c>
      <c r="I7378" s="947" t="s">
        <v>2970</v>
      </c>
      <c r="J7378" s="949"/>
      <c r="K7378" s="947" t="str">
        <f t="shared" si="227"/>
        <v>10,26</v>
      </c>
      <c r="L7378" s="947" t="s">
        <v>28</v>
      </c>
      <c r="M7378" s="947">
        <v>810</v>
      </c>
      <c r="N7378" s="530">
        <v>0.45833333333333331</v>
      </c>
      <c r="O7378" s="897" t="s">
        <v>2926</v>
      </c>
      <c r="P7378" s="867" t="s">
        <v>3027</v>
      </c>
    </row>
    <row r="7379" spans="1:16" ht="19.5" hidden="1" thickBot="1" x14ac:dyDescent="0.3">
      <c r="A7379" s="1103"/>
      <c r="B7379" s="1031" t="s">
        <v>2849</v>
      </c>
      <c r="C7379" s="1032" t="s">
        <v>840</v>
      </c>
      <c r="D7379" s="1033">
        <v>3.75</v>
      </c>
      <c r="E7379" s="1034">
        <v>3.7530000000000001</v>
      </c>
      <c r="F7379" s="1035" t="s">
        <v>16</v>
      </c>
      <c r="G7379" s="1119"/>
      <c r="H7379" s="1035" t="s">
        <v>2890</v>
      </c>
      <c r="I7379" s="1036" t="s">
        <v>2970</v>
      </c>
      <c r="J7379" s="1037"/>
      <c r="K7379" s="1035" t="str">
        <f t="shared" si="227"/>
        <v>10,26</v>
      </c>
      <c r="L7379" s="1035" t="s">
        <v>266</v>
      </c>
      <c r="M7379" s="1035">
        <v>3755.04</v>
      </c>
      <c r="N7379" s="1038">
        <v>0.45833333333333331</v>
      </c>
      <c r="O7379" s="897" t="s">
        <v>2908</v>
      </c>
      <c r="P7379" s="867" t="s">
        <v>3023</v>
      </c>
    </row>
    <row r="7380" spans="1:16" ht="19.5" hidden="1" thickBot="1" x14ac:dyDescent="0.3">
      <c r="A7380" s="503">
        <f>MAX(A7171:A7379)+1</f>
        <v>4513</v>
      </c>
      <c r="B7380" s="504" t="s">
        <v>2818</v>
      </c>
      <c r="C7380" s="505" t="s">
        <v>840</v>
      </c>
      <c r="D7380" s="506">
        <v>17.908000000000001</v>
      </c>
      <c r="E7380" s="507">
        <v>17.52</v>
      </c>
      <c r="F7380" s="508" t="s">
        <v>16</v>
      </c>
      <c r="G7380" s="509"/>
      <c r="H7380" s="508" t="s">
        <v>2854</v>
      </c>
      <c r="I7380" s="510" t="s">
        <v>2905</v>
      </c>
      <c r="J7380" s="511"/>
      <c r="K7380" s="508" t="str">
        <f t="shared" si="227"/>
        <v>09,26</v>
      </c>
      <c r="L7380" s="508" t="s">
        <v>266</v>
      </c>
      <c r="M7380" s="508">
        <v>18018.059999999998</v>
      </c>
      <c r="N7380" s="512">
        <v>0.5</v>
      </c>
      <c r="O7380" s="897" t="s">
        <v>2862</v>
      </c>
      <c r="P7380" s="867" t="s">
        <v>2959</v>
      </c>
    </row>
    <row r="7381" spans="1:16" ht="19.5" hidden="1" thickBot="1" x14ac:dyDescent="0.3">
      <c r="A7381" s="1101">
        <f>MAX(A7172:A7380)+1</f>
        <v>4514</v>
      </c>
      <c r="B7381" s="479" t="s">
        <v>2818</v>
      </c>
      <c r="C7381" s="480" t="s">
        <v>981</v>
      </c>
      <c r="D7381" s="481">
        <v>2.5</v>
      </c>
      <c r="E7381" s="482">
        <v>2.5</v>
      </c>
      <c r="F7381" s="483" t="s">
        <v>16</v>
      </c>
      <c r="G7381" s="549" t="s">
        <v>2299</v>
      </c>
      <c r="H7381" s="483" t="s">
        <v>2854</v>
      </c>
      <c r="I7381" s="484" t="s">
        <v>2905</v>
      </c>
      <c r="J7381" s="485"/>
      <c r="K7381" s="483" t="str">
        <f t="shared" si="227"/>
        <v>09,26</v>
      </c>
      <c r="L7381" s="483" t="s">
        <v>266</v>
      </c>
      <c r="M7381" s="483">
        <v>2503.7999999999997</v>
      </c>
      <c r="N7381" s="486">
        <v>0.54166666666666663</v>
      </c>
      <c r="O7381" s="897" t="s">
        <v>2865</v>
      </c>
      <c r="P7381" s="867" t="s">
        <v>2962</v>
      </c>
    </row>
    <row r="7382" spans="1:16" ht="19.5" hidden="1" thickBot="1" x14ac:dyDescent="0.3">
      <c r="A7382" s="1102"/>
      <c r="B7382" s="523" t="s">
        <v>2818</v>
      </c>
      <c r="C7382" s="524" t="s">
        <v>32</v>
      </c>
      <c r="D7382" s="525">
        <v>5.7220000000000004</v>
      </c>
      <c r="E7382" s="526">
        <v>5.601</v>
      </c>
      <c r="F7382" s="527" t="s">
        <v>16</v>
      </c>
      <c r="G7382" s="561" t="s">
        <v>1702</v>
      </c>
      <c r="H7382" s="527" t="s">
        <v>2854</v>
      </c>
      <c r="I7382" s="528" t="s">
        <v>2905</v>
      </c>
      <c r="J7382" s="529"/>
      <c r="K7382" s="527" t="str">
        <f t="shared" si="227"/>
        <v>09,26</v>
      </c>
      <c r="L7382" s="527" t="s">
        <v>266</v>
      </c>
      <c r="M7382" s="527">
        <v>5722.3</v>
      </c>
      <c r="N7382" s="530">
        <v>0.54166666666666663</v>
      </c>
      <c r="O7382" s="897" t="s">
        <v>2866</v>
      </c>
      <c r="P7382" s="867" t="s">
        <v>2961</v>
      </c>
    </row>
    <row r="7383" spans="1:16" ht="19.5" hidden="1" thickBot="1" x14ac:dyDescent="0.3">
      <c r="A7383" s="1102"/>
      <c r="B7383" s="523" t="s">
        <v>2818</v>
      </c>
      <c r="C7383" s="524" t="s">
        <v>47</v>
      </c>
      <c r="D7383" s="525">
        <v>9.3130000000000006</v>
      </c>
      <c r="E7383" s="526">
        <v>8.923</v>
      </c>
      <c r="F7383" s="527" t="s">
        <v>16</v>
      </c>
      <c r="G7383" s="561"/>
      <c r="H7383" s="527" t="s">
        <v>2854</v>
      </c>
      <c r="I7383" s="528" t="s">
        <v>2905</v>
      </c>
      <c r="J7383" s="529"/>
      <c r="K7383" s="527" t="str">
        <f t="shared" si="227"/>
        <v>09,26</v>
      </c>
      <c r="L7383" s="527" t="s">
        <v>28</v>
      </c>
      <c r="M7383" s="527">
        <v>9429.26</v>
      </c>
      <c r="N7383" s="530">
        <v>0.54166666666666663</v>
      </c>
      <c r="O7383" s="897" t="s">
        <v>2864</v>
      </c>
      <c r="P7383" s="867" t="s">
        <v>2963</v>
      </c>
    </row>
    <row r="7384" spans="1:16" ht="19.5" hidden="1" thickBot="1" x14ac:dyDescent="0.3">
      <c r="A7384" s="1102"/>
      <c r="B7384" s="1039" t="s">
        <v>2854</v>
      </c>
      <c r="C7384" s="793" t="s">
        <v>47</v>
      </c>
      <c r="D7384" s="794">
        <v>0.6</v>
      </c>
      <c r="E7384" s="794">
        <v>0.60199999999999998</v>
      </c>
      <c r="F7384" s="795" t="s">
        <v>16</v>
      </c>
      <c r="G7384" s="796" t="s">
        <v>76</v>
      </c>
      <c r="H7384" s="795" t="s">
        <v>2854</v>
      </c>
      <c r="I7384" s="795" t="s">
        <v>2909</v>
      </c>
      <c r="J7384" s="797"/>
      <c r="K7384" s="795" t="str">
        <f t="shared" si="227"/>
        <v>09,26</v>
      </c>
      <c r="L7384" s="795" t="s">
        <v>28</v>
      </c>
      <c r="M7384" s="795">
        <v>600</v>
      </c>
      <c r="N7384" s="502">
        <v>0.54166666666666663</v>
      </c>
      <c r="O7384" s="897" t="s">
        <v>2927</v>
      </c>
      <c r="P7384" s="867" t="s">
        <v>2983</v>
      </c>
    </row>
    <row r="7385" spans="1:16" ht="19.5" hidden="1" thickBot="1" x14ac:dyDescent="0.3">
      <c r="A7385" s="503">
        <f>MAX(A7175:A7384)+1</f>
        <v>4515</v>
      </c>
      <c r="B7385" s="504" t="s">
        <v>2844</v>
      </c>
      <c r="C7385" s="505" t="s">
        <v>26</v>
      </c>
      <c r="D7385" s="506">
        <v>13.975</v>
      </c>
      <c r="E7385" s="507">
        <v>13.975</v>
      </c>
      <c r="F7385" s="508" t="s">
        <v>30</v>
      </c>
      <c r="G7385" s="509"/>
      <c r="H7385" s="508" t="s">
        <v>2854</v>
      </c>
      <c r="I7385" s="510" t="s">
        <v>2905</v>
      </c>
      <c r="J7385" s="511"/>
      <c r="K7385" s="508" t="str">
        <f t="shared" si="227"/>
        <v>09,26</v>
      </c>
      <c r="L7385" s="508" t="s">
        <v>265</v>
      </c>
      <c r="M7385" s="508">
        <v>13975.440000000002</v>
      </c>
      <c r="N7385" s="512">
        <v>4.1666666666666664E-2</v>
      </c>
      <c r="O7385" s="897" t="s">
        <v>2889</v>
      </c>
      <c r="P7385" s="867" t="s">
        <v>2941</v>
      </c>
    </row>
    <row r="7386" spans="1:16" ht="19.5" hidden="1" thickBot="1" x14ac:dyDescent="0.3">
      <c r="A7386" s="1101">
        <f>MAX(A7176:A7385)+1</f>
        <v>4516</v>
      </c>
      <c r="B7386" s="479" t="s">
        <v>2844</v>
      </c>
      <c r="C7386" s="480" t="s">
        <v>26</v>
      </c>
      <c r="D7386" s="481">
        <v>15.369</v>
      </c>
      <c r="E7386" s="482">
        <v>13.154</v>
      </c>
      <c r="F7386" s="483" t="s">
        <v>16</v>
      </c>
      <c r="G7386" s="549"/>
      <c r="H7386" s="483" t="s">
        <v>2890</v>
      </c>
      <c r="I7386" s="484" t="s">
        <v>2890</v>
      </c>
      <c r="J7386" s="485"/>
      <c r="K7386" s="483" t="str">
        <f t="shared" si="227"/>
        <v>09,26</v>
      </c>
      <c r="L7386" s="483" t="s">
        <v>265</v>
      </c>
      <c r="M7386" s="483">
        <v>15524.040000000003</v>
      </c>
      <c r="N7386" s="486">
        <v>4.1666666666666664E-2</v>
      </c>
      <c r="O7386" s="897" t="s">
        <v>2891</v>
      </c>
      <c r="P7386" s="867" t="s">
        <v>2948</v>
      </c>
    </row>
    <row r="7387" spans="1:16" ht="19.5" hidden="1" thickBot="1" x14ac:dyDescent="0.3">
      <c r="A7387" s="1102"/>
      <c r="B7387" s="523" t="s">
        <v>2844</v>
      </c>
      <c r="C7387" s="524" t="s">
        <v>952</v>
      </c>
      <c r="D7387" s="525">
        <v>2.3119999999999998</v>
      </c>
      <c r="E7387" s="526">
        <v>2.1150000000000002</v>
      </c>
      <c r="F7387" s="527" t="s">
        <v>16</v>
      </c>
      <c r="G7387" s="561"/>
      <c r="H7387" s="527" t="s">
        <v>2890</v>
      </c>
      <c r="I7387" s="528" t="s">
        <v>2890</v>
      </c>
      <c r="J7387" s="529"/>
      <c r="K7387" s="527" t="str">
        <f t="shared" si="227"/>
        <v>09,26</v>
      </c>
      <c r="L7387" s="527" t="s">
        <v>265</v>
      </c>
      <c r="M7387" s="527">
        <v>2391.2400000000002</v>
      </c>
      <c r="N7387" s="530">
        <v>4.1666666666666664E-2</v>
      </c>
      <c r="O7387" s="897" t="s">
        <v>2892</v>
      </c>
      <c r="P7387" s="867" t="s">
        <v>2947</v>
      </c>
    </row>
    <row r="7388" spans="1:16" ht="19.5" hidden="1" thickBot="1" x14ac:dyDescent="0.3">
      <c r="A7388" s="1103"/>
      <c r="B7388" s="859" t="s">
        <v>2854</v>
      </c>
      <c r="C7388" s="854" t="s">
        <v>26</v>
      </c>
      <c r="D7388" s="855">
        <v>2.5</v>
      </c>
      <c r="E7388" s="855">
        <v>1.786</v>
      </c>
      <c r="F7388" s="856" t="s">
        <v>16</v>
      </c>
      <c r="G7388" s="857" t="s">
        <v>76</v>
      </c>
      <c r="H7388" s="856" t="s">
        <v>2890</v>
      </c>
      <c r="I7388" s="856" t="s">
        <v>2890</v>
      </c>
      <c r="J7388" s="858"/>
      <c r="K7388" s="856" t="str">
        <f t="shared" si="227"/>
        <v>09,26</v>
      </c>
      <c r="L7388" s="856" t="s">
        <v>265</v>
      </c>
      <c r="M7388" s="856">
        <v>2520</v>
      </c>
      <c r="N7388" s="653">
        <v>4.1666666666666664E-2</v>
      </c>
      <c r="O7388" s="897" t="s">
        <v>2930</v>
      </c>
      <c r="P7388" s="867" t="s">
        <v>2949</v>
      </c>
    </row>
    <row r="7389" spans="1:16" ht="19.5" hidden="1" thickBot="1" x14ac:dyDescent="0.3">
      <c r="A7389" s="1098">
        <f>MAX(A7178:A7388)+1</f>
        <v>4517</v>
      </c>
      <c r="B7389" s="531" t="s">
        <v>2844</v>
      </c>
      <c r="C7389" s="532" t="s">
        <v>24</v>
      </c>
      <c r="D7389" s="533">
        <v>13.776999999999999</v>
      </c>
      <c r="E7389" s="534">
        <v>13.282999999999999</v>
      </c>
      <c r="F7389" s="535" t="s">
        <v>16</v>
      </c>
      <c r="G7389" s="536"/>
      <c r="H7389" s="535" t="s">
        <v>2890</v>
      </c>
      <c r="I7389" s="537" t="s">
        <v>2909</v>
      </c>
      <c r="J7389" s="538"/>
      <c r="K7389" s="535" t="str">
        <f t="shared" si="227"/>
        <v>09,26</v>
      </c>
      <c r="L7389" s="535" t="s">
        <v>28</v>
      </c>
      <c r="M7389" s="535">
        <v>13937.400000000001</v>
      </c>
      <c r="N7389" s="539">
        <v>0.41666666666666669</v>
      </c>
      <c r="O7389" s="897" t="s">
        <v>2894</v>
      </c>
      <c r="P7389" s="867" t="s">
        <v>2977</v>
      </c>
    </row>
    <row r="7390" spans="1:16" ht="19.5" hidden="1" thickBot="1" x14ac:dyDescent="0.3">
      <c r="A7390" s="1099"/>
      <c r="B7390" s="563" t="s">
        <v>2844</v>
      </c>
      <c r="C7390" s="564" t="s">
        <v>20</v>
      </c>
      <c r="D7390" s="565">
        <v>3.7589999999999999</v>
      </c>
      <c r="E7390" s="566">
        <v>3.6989999999999998</v>
      </c>
      <c r="F7390" s="567" t="s">
        <v>16</v>
      </c>
      <c r="G7390" s="568"/>
      <c r="H7390" s="567" t="s">
        <v>2890</v>
      </c>
      <c r="I7390" s="569" t="s">
        <v>2909</v>
      </c>
      <c r="J7390" s="570"/>
      <c r="K7390" s="567" t="str">
        <f t="shared" si="227"/>
        <v>09,26</v>
      </c>
      <c r="L7390" s="567" t="s">
        <v>28</v>
      </c>
      <c r="M7390" s="567">
        <v>3941.5599999999995</v>
      </c>
      <c r="N7390" s="571">
        <v>0.41666666666666669</v>
      </c>
      <c r="O7390" s="897" t="s">
        <v>2895</v>
      </c>
      <c r="P7390" s="867" t="s">
        <v>2986</v>
      </c>
    </row>
    <row r="7391" spans="1:16" ht="19.5" hidden="1" thickBot="1" x14ac:dyDescent="0.3">
      <c r="A7391" s="1100"/>
      <c r="B7391" s="832" t="s">
        <v>2909</v>
      </c>
      <c r="C7391" s="827" t="s">
        <v>24</v>
      </c>
      <c r="D7391" s="828">
        <v>0.8</v>
      </c>
      <c r="E7391" s="828">
        <v>0.82299999999999995</v>
      </c>
      <c r="F7391" s="829" t="s">
        <v>16</v>
      </c>
      <c r="G7391" s="830" t="s">
        <v>76</v>
      </c>
      <c r="H7391" s="829" t="s">
        <v>2890</v>
      </c>
      <c r="I7391" s="829" t="s">
        <v>2909</v>
      </c>
      <c r="J7391" s="831"/>
      <c r="K7391" s="829" t="str">
        <f t="shared" si="227"/>
        <v>09,26</v>
      </c>
      <c r="L7391" s="829" t="s">
        <v>28</v>
      </c>
      <c r="M7391" s="829">
        <v>810</v>
      </c>
      <c r="N7391" s="644">
        <v>0.41666666666666669</v>
      </c>
      <c r="O7391" s="897" t="s">
        <v>2968</v>
      </c>
      <c r="P7391" s="867" t="s">
        <v>3008</v>
      </c>
    </row>
    <row r="7392" spans="1:16" ht="19.5" hidden="1" thickBot="1" x14ac:dyDescent="0.3">
      <c r="A7392" s="1101">
        <f>MAX(A7180:A7391)+1</f>
        <v>4518</v>
      </c>
      <c r="B7392" s="479" t="s">
        <v>2844</v>
      </c>
      <c r="C7392" s="480" t="s">
        <v>2714</v>
      </c>
      <c r="D7392" s="481">
        <v>12.05</v>
      </c>
      <c r="E7392" s="482">
        <v>11.643000000000001</v>
      </c>
      <c r="F7392" s="483" t="s">
        <v>16</v>
      </c>
      <c r="G7392" s="549"/>
      <c r="H7392" s="483" t="s">
        <v>2890</v>
      </c>
      <c r="I7392" s="484" t="s">
        <v>2987</v>
      </c>
      <c r="J7392" s="485"/>
      <c r="K7392" s="483" t="str">
        <f t="shared" si="227"/>
        <v>09,26</v>
      </c>
      <c r="L7392" s="483" t="s">
        <v>265</v>
      </c>
      <c r="M7392" s="483">
        <v>12165.6</v>
      </c>
      <c r="N7392" s="486">
        <v>0.45833333333333331</v>
      </c>
      <c r="O7392" s="897" t="s">
        <v>2893</v>
      </c>
      <c r="P7392" s="867" t="s">
        <v>3004</v>
      </c>
    </row>
    <row r="7393" spans="1:16" ht="19.5" hidden="1" thickBot="1" x14ac:dyDescent="0.3">
      <c r="A7393" s="1102"/>
      <c r="B7393" s="523" t="s">
        <v>2844</v>
      </c>
      <c r="C7393" s="524" t="s">
        <v>15</v>
      </c>
      <c r="D7393" s="525">
        <v>5.3390000000000004</v>
      </c>
      <c r="E7393" s="526">
        <v>4.984</v>
      </c>
      <c r="F7393" s="527" t="s">
        <v>16</v>
      </c>
      <c r="G7393" s="561"/>
      <c r="H7393" s="527" t="s">
        <v>2890</v>
      </c>
      <c r="I7393" s="528" t="s">
        <v>2987</v>
      </c>
      <c r="J7393" s="529"/>
      <c r="K7393" s="527" t="str">
        <f t="shared" si="227"/>
        <v>09,26</v>
      </c>
      <c r="L7393" s="527" t="s">
        <v>28</v>
      </c>
      <c r="M7393" s="527">
        <v>5486.38</v>
      </c>
      <c r="N7393" s="530">
        <v>0.45833333333333331</v>
      </c>
      <c r="O7393" s="897" t="s">
        <v>2896</v>
      </c>
      <c r="P7393" s="867" t="s">
        <v>3005</v>
      </c>
    </row>
    <row r="7394" spans="1:16" ht="19.5" hidden="1" thickBot="1" x14ac:dyDescent="0.3">
      <c r="A7394" s="1102"/>
      <c r="B7394" s="864" t="s">
        <v>2987</v>
      </c>
      <c r="C7394" s="861" t="s">
        <v>15</v>
      </c>
      <c r="D7394" s="862">
        <v>0.40500000000000003</v>
      </c>
      <c r="E7394" s="862">
        <v>0.40500000000000003</v>
      </c>
      <c r="F7394" s="860" t="s">
        <v>16</v>
      </c>
      <c r="G7394" s="863" t="s">
        <v>76</v>
      </c>
      <c r="H7394" s="860" t="s">
        <v>2890</v>
      </c>
      <c r="I7394" s="860" t="s">
        <v>2987</v>
      </c>
      <c r="J7394" s="865"/>
      <c r="K7394" s="860" t="str">
        <f t="shared" si="227"/>
        <v>09,26</v>
      </c>
      <c r="L7394" s="860" t="s">
        <v>28</v>
      </c>
      <c r="M7394" s="860">
        <v>405</v>
      </c>
      <c r="N7394" s="770">
        <v>0.45833333333333331</v>
      </c>
      <c r="O7394" s="897" t="s">
        <v>2994</v>
      </c>
      <c r="P7394" s="867" t="s">
        <v>3007</v>
      </c>
    </row>
    <row r="7395" spans="1:16" ht="19.5" hidden="1" thickBot="1" x14ac:dyDescent="0.3">
      <c r="A7395" s="1103"/>
      <c r="B7395" s="859" t="s">
        <v>2909</v>
      </c>
      <c r="C7395" s="854" t="s">
        <v>15</v>
      </c>
      <c r="D7395" s="855">
        <v>0.6</v>
      </c>
      <c r="E7395" s="855">
        <v>0.60399999999999998</v>
      </c>
      <c r="F7395" s="856" t="s">
        <v>16</v>
      </c>
      <c r="G7395" s="857" t="s">
        <v>76</v>
      </c>
      <c r="H7395" s="856" t="s">
        <v>2890</v>
      </c>
      <c r="I7395" s="856" t="s">
        <v>2987</v>
      </c>
      <c r="J7395" s="858"/>
      <c r="K7395" s="856" t="str">
        <f t="shared" si="227"/>
        <v>09,26</v>
      </c>
      <c r="L7395" s="856" t="s">
        <v>28</v>
      </c>
      <c r="M7395" s="856">
        <v>600</v>
      </c>
      <c r="N7395" s="653">
        <v>0.45833333333333331</v>
      </c>
      <c r="O7395" s="897" t="s">
        <v>2973</v>
      </c>
      <c r="P7395" s="867" t="s">
        <v>3006</v>
      </c>
    </row>
    <row r="7396" spans="1:16" ht="19.5" hidden="1" thickBot="1" x14ac:dyDescent="0.3">
      <c r="A7396" s="551">
        <f>MAX(A7182:A7395)+1</f>
        <v>4519</v>
      </c>
      <c r="B7396" s="552" t="s">
        <v>2844</v>
      </c>
      <c r="C7396" s="553" t="s">
        <v>23</v>
      </c>
      <c r="D7396" s="554">
        <v>17.504999999999999</v>
      </c>
      <c r="E7396" s="555">
        <v>17.408999999999999</v>
      </c>
      <c r="F7396" s="556" t="s">
        <v>16</v>
      </c>
      <c r="G7396" s="557"/>
      <c r="H7396" s="556" t="s">
        <v>2890</v>
      </c>
      <c r="I7396" s="558" t="s">
        <v>2905</v>
      </c>
      <c r="J7396" s="559"/>
      <c r="K7396" s="556" t="str">
        <f t="shared" si="227"/>
        <v>09,26</v>
      </c>
      <c r="L7396" s="556" t="s">
        <v>28</v>
      </c>
      <c r="M7396" s="556">
        <v>17596.78</v>
      </c>
      <c r="N7396" s="560">
        <v>0.5</v>
      </c>
      <c r="O7396" s="897" t="s">
        <v>2897</v>
      </c>
      <c r="P7396" s="867" t="s">
        <v>2965</v>
      </c>
    </row>
    <row r="7397" spans="1:16" ht="19.5" hidden="1" thickBot="1" x14ac:dyDescent="0.3">
      <c r="A7397" s="1047">
        <f>MAX(A7183:A7396)+1</f>
        <v>4520</v>
      </c>
      <c r="B7397" s="1048" t="s">
        <v>2849</v>
      </c>
      <c r="C7397" s="515" t="s">
        <v>26</v>
      </c>
      <c r="D7397" s="516">
        <v>14.704000000000001</v>
      </c>
      <c r="E7397" s="517">
        <v>14.704000000000001</v>
      </c>
      <c r="F7397" s="518" t="s">
        <v>30</v>
      </c>
      <c r="G7397" s="519"/>
      <c r="H7397" s="518" t="s">
        <v>2905</v>
      </c>
      <c r="I7397" s="520" t="s">
        <v>2905</v>
      </c>
      <c r="J7397" s="521"/>
      <c r="K7397" s="518" t="str">
        <f t="shared" si="227"/>
        <v>09,26</v>
      </c>
      <c r="L7397" s="518" t="s">
        <v>265</v>
      </c>
      <c r="M7397" s="518">
        <v>14704.919999999998</v>
      </c>
      <c r="N7397" s="522">
        <v>4.1666666666666664E-2</v>
      </c>
      <c r="O7397" s="897" t="s">
        <v>2906</v>
      </c>
      <c r="P7397" s="867" t="s">
        <v>2960</v>
      </c>
    </row>
    <row r="7398" spans="1:16" ht="19.5" hidden="1" thickBot="1" x14ac:dyDescent="0.3">
      <c r="A7398" s="1110">
        <f>MAX(A7184:A7397)+1</f>
        <v>4521</v>
      </c>
      <c r="B7398" s="760" t="s">
        <v>2849</v>
      </c>
      <c r="C7398" s="564" t="s">
        <v>26</v>
      </c>
      <c r="D7398" s="565">
        <v>17.597000000000001</v>
      </c>
      <c r="E7398" s="566">
        <v>16.018999999999998</v>
      </c>
      <c r="F7398" s="567" t="s">
        <v>16</v>
      </c>
      <c r="G7398" s="568"/>
      <c r="H7398" s="567" t="s">
        <v>2905</v>
      </c>
      <c r="I7398" s="569" t="s">
        <v>2909</v>
      </c>
      <c r="J7398" s="570"/>
      <c r="K7398" s="567" t="str">
        <f t="shared" si="227"/>
        <v>09,26</v>
      </c>
      <c r="L7398" s="567" t="s">
        <v>265</v>
      </c>
      <c r="M7398" s="567">
        <v>17766.599999999999</v>
      </c>
      <c r="N7398" s="571">
        <v>4.1666666666666664E-2</v>
      </c>
      <c r="O7398" s="897" t="s">
        <v>2915</v>
      </c>
      <c r="P7398" s="867" t="s">
        <v>3012</v>
      </c>
    </row>
    <row r="7399" spans="1:16" ht="19.5" hidden="1" thickBot="1" x14ac:dyDescent="0.3">
      <c r="A7399" s="1110"/>
      <c r="B7399" s="852" t="s">
        <v>2909</v>
      </c>
      <c r="C7399" s="837" t="s">
        <v>26</v>
      </c>
      <c r="D7399" s="838">
        <v>1.2</v>
      </c>
      <c r="E7399" s="838">
        <v>1.2350000000000001</v>
      </c>
      <c r="F7399" s="839" t="s">
        <v>16</v>
      </c>
      <c r="G7399" s="850" t="s">
        <v>76</v>
      </c>
      <c r="H7399" s="839" t="s">
        <v>2905</v>
      </c>
      <c r="I7399" s="839" t="s">
        <v>2909</v>
      </c>
      <c r="J7399" s="840"/>
      <c r="K7399" s="839" t="str">
        <f t="shared" si="227"/>
        <v>09,26</v>
      </c>
      <c r="L7399" s="839" t="s">
        <v>265</v>
      </c>
      <c r="M7399" s="839">
        <v>1230</v>
      </c>
      <c r="N7399" s="598">
        <v>4.1666666666666664E-2</v>
      </c>
      <c r="O7399" s="897" t="s">
        <v>2966</v>
      </c>
      <c r="P7399" s="867" t="s">
        <v>2978</v>
      </c>
    </row>
    <row r="7400" spans="1:16" ht="19.5" hidden="1" thickBot="1" x14ac:dyDescent="0.3">
      <c r="A7400" s="1111"/>
      <c r="B7400" s="798" t="s">
        <v>2905</v>
      </c>
      <c r="C7400" s="799" t="s">
        <v>26</v>
      </c>
      <c r="D7400" s="800">
        <v>1.1499999999999999</v>
      </c>
      <c r="E7400" s="800">
        <v>0.82599999999999996</v>
      </c>
      <c r="F7400" s="801" t="s">
        <v>16</v>
      </c>
      <c r="G7400" s="802" t="s">
        <v>76</v>
      </c>
      <c r="H7400" s="801" t="s">
        <v>2905</v>
      </c>
      <c r="I7400" s="801" t="s">
        <v>2905</v>
      </c>
      <c r="J7400" s="803"/>
      <c r="K7400" s="801" t="str">
        <f t="shared" si="227"/>
        <v>09,26</v>
      </c>
      <c r="L7400" s="801" t="s">
        <v>265</v>
      </c>
      <c r="M7400" s="801">
        <v>1185</v>
      </c>
      <c r="N7400" s="804">
        <v>4.1666666666666664E-2</v>
      </c>
      <c r="O7400" s="897" t="s">
        <v>2952</v>
      </c>
      <c r="P7400" s="867" t="s">
        <v>2955</v>
      </c>
    </row>
    <row r="7401" spans="1:16" ht="19.5" hidden="1" thickBot="1" x14ac:dyDescent="0.3">
      <c r="A7401" s="1112">
        <f>MAX(A7185:A7398)+1</f>
        <v>4522</v>
      </c>
      <c r="B7401" s="610" t="s">
        <v>2849</v>
      </c>
      <c r="C7401" s="480" t="s">
        <v>47</v>
      </c>
      <c r="D7401" s="481">
        <v>17.055</v>
      </c>
      <c r="E7401" s="482">
        <v>16.864999999999998</v>
      </c>
      <c r="F7401" s="483" t="s">
        <v>16</v>
      </c>
      <c r="G7401" s="1106" t="s">
        <v>1634</v>
      </c>
      <c r="H7401" s="483" t="s">
        <v>2905</v>
      </c>
      <c r="I7401" s="484" t="s">
        <v>2989</v>
      </c>
      <c r="J7401" s="485"/>
      <c r="K7401" s="483" t="str">
        <f t="shared" si="227"/>
        <v>10,26</v>
      </c>
      <c r="L7401" s="483" t="s">
        <v>28</v>
      </c>
      <c r="M7401" s="483">
        <v>17258.82</v>
      </c>
      <c r="N7401" s="486">
        <v>0.41666666666666669</v>
      </c>
      <c r="O7401" s="897" t="s">
        <v>2916</v>
      </c>
      <c r="P7401" s="867" t="s">
        <v>3077</v>
      </c>
    </row>
    <row r="7402" spans="1:16" ht="19.5" hidden="1" thickBot="1" x14ac:dyDescent="0.3">
      <c r="A7402" s="1114"/>
      <c r="B7402" s="841" t="s">
        <v>2909</v>
      </c>
      <c r="C7402" s="842" t="s">
        <v>47</v>
      </c>
      <c r="D7402" s="843">
        <v>0.40500000000000003</v>
      </c>
      <c r="E7402" s="843">
        <v>0.40899999999999997</v>
      </c>
      <c r="F7402" s="844" t="s">
        <v>16</v>
      </c>
      <c r="G7402" s="1126"/>
      <c r="H7402" s="844" t="s">
        <v>2905</v>
      </c>
      <c r="I7402" s="844" t="s">
        <v>2989</v>
      </c>
      <c r="J7402" s="845"/>
      <c r="K7402" s="844" t="str">
        <f t="shared" si="227"/>
        <v>10,26</v>
      </c>
      <c r="L7402" s="844" t="s">
        <v>28</v>
      </c>
      <c r="M7402" s="844">
        <v>405</v>
      </c>
      <c r="N7402" s="846">
        <v>0.41666666666666669</v>
      </c>
      <c r="O7402" s="897" t="s">
        <v>2972</v>
      </c>
      <c r="P7402" s="867" t="s">
        <v>3078</v>
      </c>
    </row>
    <row r="7403" spans="1:16" ht="19.5" hidden="1" thickBot="1" x14ac:dyDescent="0.3">
      <c r="A7403" s="1109">
        <f>MAX(A7186:A7401)+1</f>
        <v>4523</v>
      </c>
      <c r="B7403" s="759" t="s">
        <v>2849</v>
      </c>
      <c r="C7403" s="532" t="s">
        <v>23</v>
      </c>
      <c r="D7403" s="533">
        <v>16.55</v>
      </c>
      <c r="E7403" s="534">
        <v>16.216000000000001</v>
      </c>
      <c r="F7403" s="535" t="s">
        <v>16</v>
      </c>
      <c r="G7403" s="1125" t="s">
        <v>1633</v>
      </c>
      <c r="H7403" s="535" t="s">
        <v>2905</v>
      </c>
      <c r="I7403" s="537" t="s">
        <v>2988</v>
      </c>
      <c r="J7403" s="538"/>
      <c r="K7403" s="535" t="str">
        <f t="shared" si="227"/>
        <v>10,26</v>
      </c>
      <c r="L7403" s="535" t="s">
        <v>28</v>
      </c>
      <c r="M7403" s="535">
        <v>16703.240000000002</v>
      </c>
      <c r="N7403" s="539">
        <v>0.45833333333333331</v>
      </c>
      <c r="O7403" s="897" t="s">
        <v>2917</v>
      </c>
      <c r="P7403" s="867" t="s">
        <v>3057</v>
      </c>
    </row>
    <row r="7404" spans="1:16" ht="19.5" hidden="1" thickBot="1" x14ac:dyDescent="0.3">
      <c r="A7404" s="1111"/>
      <c r="B7404" s="785" t="s">
        <v>2909</v>
      </c>
      <c r="C7404" s="786" t="s">
        <v>23</v>
      </c>
      <c r="D7404" s="787">
        <v>0.51</v>
      </c>
      <c r="E7404" s="787">
        <v>0.51400000000000001</v>
      </c>
      <c r="F7404" s="788" t="s">
        <v>16</v>
      </c>
      <c r="G7404" s="1124"/>
      <c r="H7404" s="788" t="s">
        <v>2905</v>
      </c>
      <c r="I7404" s="788" t="s">
        <v>2988</v>
      </c>
      <c r="J7404" s="790"/>
      <c r="K7404" s="788" t="str">
        <f t="shared" si="227"/>
        <v>10,26</v>
      </c>
      <c r="L7404" s="788" t="s">
        <v>28</v>
      </c>
      <c r="M7404" s="788">
        <v>510</v>
      </c>
      <c r="N7404" s="784">
        <v>0.45833333333333331</v>
      </c>
      <c r="O7404" s="897" t="s">
        <v>2975</v>
      </c>
      <c r="P7404" s="867" t="s">
        <v>3058</v>
      </c>
    </row>
    <row r="7405" spans="1:16" ht="19.5" hidden="1" thickBot="1" x14ac:dyDescent="0.3">
      <c r="A7405" s="1101">
        <f>MAX(A7187:A7403)+1</f>
        <v>4524</v>
      </c>
      <c r="B7405" s="523" t="s">
        <v>2849</v>
      </c>
      <c r="C7405" s="524" t="s">
        <v>587</v>
      </c>
      <c r="D7405" s="525">
        <v>11.419</v>
      </c>
      <c r="E7405" s="526">
        <v>11.419</v>
      </c>
      <c r="F7405" s="527" t="s">
        <v>30</v>
      </c>
      <c r="G7405" s="561"/>
      <c r="H7405" s="527" t="s">
        <v>2905</v>
      </c>
      <c r="I7405" s="528" t="s">
        <v>2909</v>
      </c>
      <c r="J7405" s="529"/>
      <c r="K7405" s="527" t="str">
        <f t="shared" si="227"/>
        <v>09,26</v>
      </c>
      <c r="L7405" s="527" t="s">
        <v>28</v>
      </c>
      <c r="M7405" s="527">
        <v>11419.76</v>
      </c>
      <c r="N7405" s="530">
        <v>0.41666666666666669</v>
      </c>
      <c r="O7405" s="897" t="s">
        <v>2913</v>
      </c>
      <c r="P7405" s="867" t="s">
        <v>2957</v>
      </c>
    </row>
    <row r="7406" spans="1:16" ht="19.5" hidden="1" thickBot="1" x14ac:dyDescent="0.3">
      <c r="A7406" s="1103"/>
      <c r="B7406" s="645" t="s">
        <v>2849</v>
      </c>
      <c r="C7406" s="646" t="s">
        <v>23</v>
      </c>
      <c r="D7406" s="647">
        <v>1.982</v>
      </c>
      <c r="E7406" s="648">
        <v>1.982</v>
      </c>
      <c r="F7406" s="649" t="s">
        <v>30</v>
      </c>
      <c r="G7406" s="650"/>
      <c r="H7406" s="649" t="s">
        <v>2905</v>
      </c>
      <c r="I7406" s="651" t="s">
        <v>2909</v>
      </c>
      <c r="J7406" s="652"/>
      <c r="K7406" s="649" t="str">
        <f t="shared" si="227"/>
        <v>09,26</v>
      </c>
      <c r="L7406" s="649" t="s">
        <v>28</v>
      </c>
      <c r="M7406" s="649">
        <v>1982.72</v>
      </c>
      <c r="N7406" s="653">
        <v>0.41666666666666669</v>
      </c>
      <c r="O7406" s="897" t="s">
        <v>2911</v>
      </c>
      <c r="P7406" s="867" t="s">
        <v>2958</v>
      </c>
    </row>
    <row r="7407" spans="1:16" ht="19.5" hidden="1" thickBot="1" x14ac:dyDescent="0.3">
      <c r="A7407" s="1110">
        <f>MAX(A7189:A7406)+1</f>
        <v>4525</v>
      </c>
      <c r="B7407" s="760" t="s">
        <v>2849</v>
      </c>
      <c r="C7407" s="564" t="s">
        <v>26</v>
      </c>
      <c r="D7407" s="565">
        <v>17.548999999999999</v>
      </c>
      <c r="E7407" s="566">
        <v>16.632999999999999</v>
      </c>
      <c r="F7407" s="567" t="s">
        <v>16</v>
      </c>
      <c r="G7407" s="568"/>
      <c r="H7407" s="567" t="s">
        <v>2909</v>
      </c>
      <c r="I7407" s="569" t="s">
        <v>2987</v>
      </c>
      <c r="J7407" s="570"/>
      <c r="K7407" s="567" t="str">
        <f t="shared" si="227"/>
        <v>09,26</v>
      </c>
      <c r="L7407" s="567" t="s">
        <v>265</v>
      </c>
      <c r="M7407" s="567">
        <v>17744.580000000002</v>
      </c>
      <c r="N7407" s="571">
        <v>4.1666666666666664E-2</v>
      </c>
      <c r="O7407" s="897" t="s">
        <v>2918</v>
      </c>
      <c r="P7407" s="867" t="s">
        <v>3003</v>
      </c>
    </row>
    <row r="7408" spans="1:16" ht="19.5" hidden="1" thickBot="1" x14ac:dyDescent="0.3">
      <c r="A7408" s="1111"/>
      <c r="B7408" s="798" t="s">
        <v>2909</v>
      </c>
      <c r="C7408" s="799" t="s">
        <v>26</v>
      </c>
      <c r="D7408" s="800">
        <v>0.5</v>
      </c>
      <c r="E7408" s="800">
        <v>0.54</v>
      </c>
      <c r="F7408" s="801" t="s">
        <v>16</v>
      </c>
      <c r="G7408" s="802" t="s">
        <v>76</v>
      </c>
      <c r="H7408" s="801" t="s">
        <v>2909</v>
      </c>
      <c r="I7408" s="801" t="s">
        <v>2987</v>
      </c>
      <c r="J7408" s="803"/>
      <c r="K7408" s="801" t="str">
        <f t="shared" si="227"/>
        <v>09,26</v>
      </c>
      <c r="L7408" s="801" t="s">
        <v>265</v>
      </c>
      <c r="M7408" s="801">
        <v>525</v>
      </c>
      <c r="N7408" s="804">
        <v>4.1666666666666664E-2</v>
      </c>
      <c r="O7408" s="897" t="s">
        <v>2967</v>
      </c>
      <c r="P7408" s="867" t="s">
        <v>3011</v>
      </c>
    </row>
    <row r="7409" spans="1:16" ht="19.5" hidden="1" thickBot="1" x14ac:dyDescent="0.3">
      <c r="A7409" s="1112">
        <f>MAX(A7190:A7407)+1</f>
        <v>4526</v>
      </c>
      <c r="B7409" s="610" t="s">
        <v>2849</v>
      </c>
      <c r="C7409" s="480" t="s">
        <v>15</v>
      </c>
      <c r="D7409" s="481">
        <v>10.916</v>
      </c>
      <c r="E7409" s="482">
        <v>10.789</v>
      </c>
      <c r="F7409" s="483" t="s">
        <v>16</v>
      </c>
      <c r="G7409" s="1106" t="s">
        <v>2910</v>
      </c>
      <c r="H7409" s="483" t="s">
        <v>2909</v>
      </c>
      <c r="I7409" s="484" t="s">
        <v>2989</v>
      </c>
      <c r="J7409" s="485"/>
      <c r="K7409" s="483" t="str">
        <f t="shared" si="227"/>
        <v>10,26</v>
      </c>
      <c r="L7409" s="483" t="s">
        <v>28</v>
      </c>
      <c r="M7409" s="483">
        <v>11063.15</v>
      </c>
      <c r="N7409" s="486">
        <v>0.41666666666666669</v>
      </c>
      <c r="O7409" s="897" t="s">
        <v>2919</v>
      </c>
      <c r="P7409" s="867" t="s">
        <v>3072</v>
      </c>
    </row>
    <row r="7410" spans="1:16" ht="19.5" hidden="1" thickBot="1" x14ac:dyDescent="0.3">
      <c r="A7410" s="1113"/>
      <c r="B7410" s="769" t="s">
        <v>2849</v>
      </c>
      <c r="C7410" s="764" t="s">
        <v>20</v>
      </c>
      <c r="D7410" s="765">
        <v>4.0220000000000002</v>
      </c>
      <c r="E7410" s="766">
        <v>3.8210000000000002</v>
      </c>
      <c r="F7410" s="763" t="s">
        <v>16</v>
      </c>
      <c r="G7410" s="1107"/>
      <c r="H7410" s="763" t="s">
        <v>2909</v>
      </c>
      <c r="I7410" s="768" t="s">
        <v>2989</v>
      </c>
      <c r="J7410" s="779"/>
      <c r="K7410" s="763" t="str">
        <f t="shared" si="227"/>
        <v>10,26</v>
      </c>
      <c r="L7410" s="763" t="s">
        <v>28</v>
      </c>
      <c r="M7410" s="763">
        <v>4115.1400000000003</v>
      </c>
      <c r="N7410" s="770">
        <v>0.41666666666666669</v>
      </c>
      <c r="O7410" s="897" t="s">
        <v>2920</v>
      </c>
      <c r="P7410" s="867" t="s">
        <v>3081</v>
      </c>
    </row>
    <row r="7411" spans="1:16" ht="19.5" hidden="1" thickBot="1" x14ac:dyDescent="0.3">
      <c r="A7411" s="1114"/>
      <c r="B7411" s="805" t="s">
        <v>2909</v>
      </c>
      <c r="C7411" s="806" t="s">
        <v>15</v>
      </c>
      <c r="D7411" s="807">
        <v>0.45</v>
      </c>
      <c r="E7411" s="807">
        <v>0.45200000000000001</v>
      </c>
      <c r="F7411" s="808" t="s">
        <v>16</v>
      </c>
      <c r="G7411" s="1108"/>
      <c r="H7411" s="808" t="s">
        <v>2909</v>
      </c>
      <c r="I7411" s="808" t="s">
        <v>2989</v>
      </c>
      <c r="J7411" s="810"/>
      <c r="K7411" s="808" t="str">
        <f t="shared" si="227"/>
        <v>10,26</v>
      </c>
      <c r="L7411" s="808" t="s">
        <v>28</v>
      </c>
      <c r="M7411" s="808">
        <v>450</v>
      </c>
      <c r="N7411" s="778">
        <v>0.41666666666666669</v>
      </c>
      <c r="O7411" s="897" t="s">
        <v>2974</v>
      </c>
      <c r="P7411" s="867" t="s">
        <v>3073</v>
      </c>
    </row>
    <row r="7412" spans="1:16" ht="19.5" hidden="1" thickBot="1" x14ac:dyDescent="0.3">
      <c r="A7412" s="1109">
        <f>MAX(A7192:A7411)+1</f>
        <v>4527</v>
      </c>
      <c r="B7412" s="759" t="s">
        <v>2849</v>
      </c>
      <c r="C7412" s="532" t="s">
        <v>24</v>
      </c>
      <c r="D7412" s="533">
        <v>16.771000000000001</v>
      </c>
      <c r="E7412" s="534">
        <v>16.689</v>
      </c>
      <c r="F7412" s="535" t="s">
        <v>16</v>
      </c>
      <c r="G7412" s="1125" t="s">
        <v>1633</v>
      </c>
      <c r="H7412" s="535" t="s">
        <v>2909</v>
      </c>
      <c r="I7412" s="537" t="s">
        <v>3033</v>
      </c>
      <c r="J7412" s="538"/>
      <c r="K7412" s="535" t="str">
        <f t="shared" si="227"/>
        <v>10,26</v>
      </c>
      <c r="L7412" s="535" t="s">
        <v>28</v>
      </c>
      <c r="M7412" s="535">
        <v>16905.98</v>
      </c>
      <c r="N7412" s="539">
        <v>0.45833333333333331</v>
      </c>
      <c r="O7412" s="897" t="s">
        <v>2921</v>
      </c>
      <c r="P7412" s="867" t="s">
        <v>3102</v>
      </c>
    </row>
    <row r="7413" spans="1:16" ht="19.5" hidden="1" thickBot="1" x14ac:dyDescent="0.3">
      <c r="A7413" s="1111"/>
      <c r="B7413" s="785" t="s">
        <v>2909</v>
      </c>
      <c r="C7413" s="786" t="s">
        <v>24</v>
      </c>
      <c r="D7413" s="787">
        <v>0.24</v>
      </c>
      <c r="E7413" s="787">
        <v>0.24</v>
      </c>
      <c r="F7413" s="788" t="s">
        <v>16</v>
      </c>
      <c r="G7413" s="1124"/>
      <c r="H7413" s="788" t="s">
        <v>2909</v>
      </c>
      <c r="I7413" s="788" t="s">
        <v>3033</v>
      </c>
      <c r="J7413" s="790"/>
      <c r="K7413" s="788" t="str">
        <f t="shared" si="227"/>
        <v>10,26</v>
      </c>
      <c r="L7413" s="788" t="s">
        <v>28</v>
      </c>
      <c r="M7413" s="788">
        <v>240</v>
      </c>
      <c r="N7413" s="784">
        <v>0.45833333333333331</v>
      </c>
      <c r="O7413" s="897" t="s">
        <v>2976</v>
      </c>
      <c r="P7413" s="867" t="s">
        <v>3103</v>
      </c>
    </row>
    <row r="7414" spans="1:16" ht="19.5" hidden="1" thickBot="1" x14ac:dyDescent="0.3">
      <c r="A7414" s="513">
        <f>MAX(A7193:A7412)+1</f>
        <v>4528</v>
      </c>
      <c r="B7414" s="514" t="s">
        <v>2849</v>
      </c>
      <c r="C7414" s="515" t="s">
        <v>25</v>
      </c>
      <c r="D7414" s="516">
        <v>18.077000000000002</v>
      </c>
      <c r="E7414" s="517">
        <v>17.331</v>
      </c>
      <c r="F7414" s="518" t="s">
        <v>16</v>
      </c>
      <c r="G7414" s="519"/>
      <c r="H7414" s="518" t="s">
        <v>2909</v>
      </c>
      <c r="I7414" s="520" t="s">
        <v>2988</v>
      </c>
      <c r="J7414" s="521"/>
      <c r="K7414" s="518" t="str">
        <f t="shared" si="227"/>
        <v>10,26</v>
      </c>
      <c r="L7414" s="518" t="s">
        <v>265</v>
      </c>
      <c r="M7414" s="518">
        <v>18187.610000000004</v>
      </c>
      <c r="N7414" s="522">
        <v>0.5</v>
      </c>
      <c r="O7414" s="897" t="s">
        <v>2922</v>
      </c>
      <c r="P7414" s="867" t="s">
        <v>3074</v>
      </c>
    </row>
    <row r="7415" spans="1:16" ht="19.5" hidden="1" thickBot="1" x14ac:dyDescent="0.3">
      <c r="A7415" s="1098">
        <f>MAX(A7194:A7414)+1</f>
        <v>4529</v>
      </c>
      <c r="B7415" s="531" t="s">
        <v>2849</v>
      </c>
      <c r="C7415" s="532" t="s">
        <v>320</v>
      </c>
      <c r="D7415" s="533">
        <v>2.75</v>
      </c>
      <c r="E7415" s="534">
        <v>2.75</v>
      </c>
      <c r="F7415" s="535" t="s">
        <v>30</v>
      </c>
      <c r="G7415" s="536"/>
      <c r="H7415" s="535" t="s">
        <v>2909</v>
      </c>
      <c r="I7415" s="537" t="s">
        <v>2909</v>
      </c>
      <c r="J7415" s="538"/>
      <c r="K7415" s="535" t="str">
        <f t="shared" si="227"/>
        <v>09,26</v>
      </c>
      <c r="L7415" s="535" t="s">
        <v>266</v>
      </c>
      <c r="M7415" s="535">
        <v>2750.16</v>
      </c>
      <c r="N7415" s="539">
        <v>0.41666666666666669</v>
      </c>
      <c r="O7415" s="897" t="s">
        <v>2912</v>
      </c>
      <c r="P7415" s="867" t="s">
        <v>2979</v>
      </c>
    </row>
    <row r="7416" spans="1:16" ht="19.5" hidden="1" thickBot="1" x14ac:dyDescent="0.3">
      <c r="A7416" s="1100"/>
      <c r="B7416" s="636" t="s">
        <v>2849</v>
      </c>
      <c r="C7416" s="637" t="s">
        <v>47</v>
      </c>
      <c r="D7416" s="638">
        <v>9.5500000000000007</v>
      </c>
      <c r="E7416" s="639">
        <v>9.5500000000000007</v>
      </c>
      <c r="F7416" s="640" t="s">
        <v>30</v>
      </c>
      <c r="G7416" s="641"/>
      <c r="H7416" s="640" t="s">
        <v>2909</v>
      </c>
      <c r="I7416" s="642" t="s">
        <v>2909</v>
      </c>
      <c r="J7416" s="643"/>
      <c r="K7416" s="640" t="str">
        <f t="shared" si="227"/>
        <v>09,26</v>
      </c>
      <c r="L7416" s="640" t="s">
        <v>28</v>
      </c>
      <c r="M7416" s="640">
        <v>9550.6400000000012</v>
      </c>
      <c r="N7416" s="644">
        <v>0.41666666666666669</v>
      </c>
      <c r="O7416" s="897" t="s">
        <v>2914</v>
      </c>
      <c r="P7416" s="867" t="s">
        <v>2980</v>
      </c>
    </row>
    <row r="7417" spans="1:16" ht="19.5" hidden="1" thickBot="1" x14ac:dyDescent="0.3">
      <c r="A7417" s="572">
        <f>MAX(A7196:A7416)+1</f>
        <v>4530</v>
      </c>
      <c r="B7417" s="573" t="s">
        <v>2909</v>
      </c>
      <c r="C7417" s="574" t="s">
        <v>32</v>
      </c>
      <c r="D7417" s="575">
        <v>18.062000000000001</v>
      </c>
      <c r="E7417" s="576">
        <v>16.658999999999999</v>
      </c>
      <c r="F7417" s="577" t="s">
        <v>16</v>
      </c>
      <c r="G7417" s="578"/>
      <c r="H7417" s="577" t="s">
        <v>2970</v>
      </c>
      <c r="I7417" s="579" t="s">
        <v>2988</v>
      </c>
      <c r="J7417" s="580"/>
      <c r="K7417" s="577" t="str">
        <f t="shared" si="227"/>
        <v>10,26</v>
      </c>
      <c r="L7417" s="577" t="s">
        <v>266</v>
      </c>
      <c r="M7417" s="577">
        <v>18138.23</v>
      </c>
      <c r="N7417" s="581">
        <v>0.41666666666666669</v>
      </c>
      <c r="O7417" s="897" t="s">
        <v>2971</v>
      </c>
      <c r="P7417" s="867" t="s">
        <v>3054</v>
      </c>
    </row>
    <row r="7418" spans="1:16" ht="19.5" hidden="1" thickBot="1" x14ac:dyDescent="0.3">
      <c r="A7418" s="1109">
        <f>MAX(A7197:A7417)+1</f>
        <v>4531</v>
      </c>
      <c r="B7418" s="759" t="s">
        <v>2987</v>
      </c>
      <c r="C7418" s="532" t="s">
        <v>26</v>
      </c>
      <c r="D7418" s="533">
        <v>17.568999999999999</v>
      </c>
      <c r="E7418" s="534">
        <v>17.187999999999999</v>
      </c>
      <c r="F7418" s="535" t="s">
        <v>16</v>
      </c>
      <c r="G7418" s="1049"/>
      <c r="H7418" s="535" t="s">
        <v>2988</v>
      </c>
      <c r="I7418" s="537" t="s">
        <v>2988</v>
      </c>
      <c r="J7418" s="538"/>
      <c r="K7418" s="535" t="str">
        <f t="shared" si="227"/>
        <v>10,26</v>
      </c>
      <c r="L7418" s="535" t="s">
        <v>265</v>
      </c>
      <c r="M7418" s="535">
        <v>17700.500000000004</v>
      </c>
      <c r="N7418" s="539">
        <v>4.1666666666666664E-2</v>
      </c>
      <c r="O7418" s="897" t="s">
        <v>2993</v>
      </c>
      <c r="P7418" s="867" t="s">
        <v>3075</v>
      </c>
    </row>
    <row r="7419" spans="1:16" ht="19.5" hidden="1" thickBot="1" x14ac:dyDescent="0.3">
      <c r="A7419" s="1110"/>
      <c r="B7419" s="852" t="s">
        <v>2988</v>
      </c>
      <c r="C7419" s="837" t="s">
        <v>26</v>
      </c>
      <c r="D7419" s="838">
        <v>0.5</v>
      </c>
      <c r="E7419" s="838">
        <v>0.52600000000000002</v>
      </c>
      <c r="F7419" s="839" t="s">
        <v>16</v>
      </c>
      <c r="G7419" s="850"/>
      <c r="H7419" s="839" t="s">
        <v>2988</v>
      </c>
      <c r="I7419" s="839" t="s">
        <v>2988</v>
      </c>
      <c r="J7419" s="840"/>
      <c r="K7419" s="839" t="str">
        <f t="shared" si="227"/>
        <v>10,26</v>
      </c>
      <c r="L7419" s="839" t="s">
        <v>265</v>
      </c>
      <c r="M7419" s="839">
        <v>525</v>
      </c>
      <c r="N7419" s="598">
        <v>4.1666666666666664E-2</v>
      </c>
      <c r="O7419" s="897" t="s">
        <v>3030</v>
      </c>
      <c r="P7419" s="867" t="s">
        <v>3076</v>
      </c>
    </row>
    <row r="7420" spans="1:16" ht="19.5" hidden="1" thickBot="1" x14ac:dyDescent="0.3">
      <c r="A7420" s="1111"/>
      <c r="B7420" s="798" t="s">
        <v>2988</v>
      </c>
      <c r="C7420" s="799" t="s">
        <v>26</v>
      </c>
      <c r="D7420" s="800">
        <v>0.52</v>
      </c>
      <c r="E7420" s="800">
        <v>0.54100000000000004</v>
      </c>
      <c r="F7420" s="801" t="s">
        <v>16</v>
      </c>
      <c r="G7420" s="802" t="s">
        <v>76</v>
      </c>
      <c r="H7420" s="801" t="s">
        <v>2988</v>
      </c>
      <c r="I7420" s="801" t="s">
        <v>3013</v>
      </c>
      <c r="J7420" s="803"/>
      <c r="K7420" s="801" t="str">
        <f t="shared" si="227"/>
        <v>10,26</v>
      </c>
      <c r="L7420" s="801" t="s">
        <v>265</v>
      </c>
      <c r="M7420" s="801">
        <v>540</v>
      </c>
      <c r="N7420" s="804">
        <v>4.1666666666666664E-2</v>
      </c>
      <c r="O7420" s="897" t="s">
        <v>3028</v>
      </c>
      <c r="P7420" s="867" t="s">
        <v>3069</v>
      </c>
    </row>
    <row r="7421" spans="1:16" ht="19.5" hidden="1" thickBot="1" x14ac:dyDescent="0.3">
      <c r="A7421" s="1112">
        <f>MAX(A7198:A7418)+1</f>
        <v>4532</v>
      </c>
      <c r="B7421" s="610" t="s">
        <v>2987</v>
      </c>
      <c r="C7421" s="480" t="s">
        <v>26</v>
      </c>
      <c r="D7421" s="481">
        <v>17.094999999999999</v>
      </c>
      <c r="E7421" s="482">
        <v>15.776999999999999</v>
      </c>
      <c r="F7421" s="483" t="s">
        <v>16</v>
      </c>
      <c r="G7421" s="1056"/>
      <c r="H7421" s="483" t="s">
        <v>2988</v>
      </c>
      <c r="I7421" s="484" t="s">
        <v>3013</v>
      </c>
      <c r="J7421" s="485"/>
      <c r="K7421" s="483" t="str">
        <f t="shared" si="227"/>
        <v>10,26</v>
      </c>
      <c r="L7421" s="483" t="s">
        <v>265</v>
      </c>
      <c r="M7421" s="483">
        <v>17119.800000000003</v>
      </c>
      <c r="N7421" s="486">
        <v>8.3333333333333329E-2</v>
      </c>
      <c r="O7421" s="897" t="s">
        <v>2995</v>
      </c>
      <c r="P7421" s="867" t="s">
        <v>3067</v>
      </c>
    </row>
    <row r="7422" spans="1:16" ht="19.5" hidden="1" thickBot="1" x14ac:dyDescent="0.3">
      <c r="A7422" s="1113"/>
      <c r="B7422" s="864" t="s">
        <v>2989</v>
      </c>
      <c r="C7422" s="861" t="s">
        <v>26</v>
      </c>
      <c r="D7422" s="862">
        <v>2.9</v>
      </c>
      <c r="E7422" s="862">
        <v>1.909</v>
      </c>
      <c r="F7422" s="860" t="s">
        <v>16</v>
      </c>
      <c r="G7422" s="863" t="s">
        <v>76</v>
      </c>
      <c r="H7422" s="860" t="s">
        <v>2988</v>
      </c>
      <c r="I7422" s="860" t="s">
        <v>3033</v>
      </c>
      <c r="J7422" s="865"/>
      <c r="K7422" s="860" t="str">
        <f t="shared" si="227"/>
        <v>10,26</v>
      </c>
      <c r="L7422" s="860" t="s">
        <v>265</v>
      </c>
      <c r="M7422" s="860">
        <v>2910</v>
      </c>
      <c r="N7422" s="770">
        <v>8.3333333333333329E-2</v>
      </c>
      <c r="O7422" s="897" t="s">
        <v>3092</v>
      </c>
      <c r="P7422" s="867" t="s">
        <v>3098</v>
      </c>
    </row>
    <row r="7423" spans="1:16" ht="19.5" hidden="1" thickBot="1" x14ac:dyDescent="0.3">
      <c r="A7423" s="1114"/>
      <c r="B7423" s="805" t="s">
        <v>2988</v>
      </c>
      <c r="C7423" s="806" t="s">
        <v>26</v>
      </c>
      <c r="D7423" s="807">
        <v>0.18</v>
      </c>
      <c r="E7423" s="807">
        <v>0.18</v>
      </c>
      <c r="F7423" s="808" t="s">
        <v>16</v>
      </c>
      <c r="G7423" s="809" t="s">
        <v>76</v>
      </c>
      <c r="H7423" s="808" t="s">
        <v>2988</v>
      </c>
      <c r="I7423" s="808" t="s">
        <v>3013</v>
      </c>
      <c r="J7423" s="810"/>
      <c r="K7423" s="808" t="str">
        <f t="shared" si="227"/>
        <v>10,26</v>
      </c>
      <c r="L7423" s="808" t="s">
        <v>265</v>
      </c>
      <c r="M7423" s="808">
        <v>180</v>
      </c>
      <c r="N7423" s="778">
        <v>8.3333333333333329E-2</v>
      </c>
      <c r="O7423" s="897" t="s">
        <v>3029</v>
      </c>
      <c r="P7423" s="867" t="s">
        <v>3068</v>
      </c>
    </row>
    <row r="7424" spans="1:16" ht="19.5" hidden="1" thickBot="1" x14ac:dyDescent="0.3">
      <c r="A7424" s="1098">
        <f>MAX(A7199:A7421)+1</f>
        <v>4533</v>
      </c>
      <c r="B7424" s="563" t="s">
        <v>2987</v>
      </c>
      <c r="C7424" s="564" t="s">
        <v>15</v>
      </c>
      <c r="D7424" s="565">
        <v>4.6390000000000002</v>
      </c>
      <c r="E7424" s="566">
        <v>4.6390000000000002</v>
      </c>
      <c r="F7424" s="567" t="s">
        <v>30</v>
      </c>
      <c r="G7424" s="568"/>
      <c r="H7424" s="567" t="s">
        <v>2988</v>
      </c>
      <c r="I7424" s="569" t="s">
        <v>2989</v>
      </c>
      <c r="J7424" s="570"/>
      <c r="K7424" s="567" t="str">
        <f t="shared" si="227"/>
        <v>10,26</v>
      </c>
      <c r="L7424" s="567" t="s">
        <v>28</v>
      </c>
      <c r="M7424" s="567">
        <v>4639.88</v>
      </c>
      <c r="N7424" s="571">
        <v>0.41666666666666669</v>
      </c>
      <c r="O7424" s="897" t="s">
        <v>2991</v>
      </c>
      <c r="P7424" s="867" t="s">
        <v>3056</v>
      </c>
    </row>
    <row r="7425" spans="1:17" ht="19.5" hidden="1" customHeight="1" x14ac:dyDescent="0.3">
      <c r="A7425" s="1099"/>
      <c r="B7425" s="563" t="s">
        <v>2987</v>
      </c>
      <c r="C7425" s="564" t="s">
        <v>24</v>
      </c>
      <c r="D7425" s="565">
        <v>5.6150000000000002</v>
      </c>
      <c r="E7425" s="566">
        <v>5.6150000000000002</v>
      </c>
      <c r="F7425" s="567" t="s">
        <v>30</v>
      </c>
      <c r="G7425" s="568"/>
      <c r="H7425" s="567" t="s">
        <v>2988</v>
      </c>
      <c r="I7425" s="569" t="s">
        <v>2989</v>
      </c>
      <c r="J7425" s="570"/>
      <c r="K7425" s="567" t="str">
        <f t="shared" si="227"/>
        <v>10,26</v>
      </c>
      <c r="L7425" s="567" t="s">
        <v>28</v>
      </c>
      <c r="M7425" s="567">
        <v>5615.6400000000012</v>
      </c>
      <c r="N7425" s="571">
        <v>0.41666666666666669</v>
      </c>
      <c r="O7425" s="897" t="s">
        <v>2990</v>
      </c>
      <c r="P7425" s="867" t="s">
        <v>3055</v>
      </c>
    </row>
    <row r="7426" spans="1:17" ht="19.5" hidden="1" thickBot="1" x14ac:dyDescent="0.3">
      <c r="A7426" s="1100"/>
      <c r="B7426" s="636" t="s">
        <v>2987</v>
      </c>
      <c r="C7426" s="637" t="s">
        <v>20</v>
      </c>
      <c r="D7426" s="638">
        <v>5.7270000000000003</v>
      </c>
      <c r="E7426" s="639">
        <v>5.2350000000000003</v>
      </c>
      <c r="F7426" s="640" t="s">
        <v>30</v>
      </c>
      <c r="G7426" s="641"/>
      <c r="H7426" s="640" t="s">
        <v>2988</v>
      </c>
      <c r="I7426" s="642" t="s">
        <v>2989</v>
      </c>
      <c r="J7426" s="643"/>
      <c r="K7426" s="640" t="str">
        <f t="shared" si="227"/>
        <v>10,26</v>
      </c>
      <c r="L7426" s="640" t="s">
        <v>28</v>
      </c>
      <c r="M7426" s="640">
        <v>5727.1200000000008</v>
      </c>
      <c r="N7426" s="644">
        <v>0.41666666666666669</v>
      </c>
      <c r="O7426" s="897" t="s">
        <v>2992</v>
      </c>
      <c r="P7426" s="867" t="s">
        <v>3080</v>
      </c>
    </row>
    <row r="7427" spans="1:17" ht="19.5" hidden="1" thickBot="1" x14ac:dyDescent="0.3">
      <c r="A7427" s="513">
        <f>MAX(A7202:A7426)+1</f>
        <v>4534</v>
      </c>
      <c r="B7427" s="514" t="s">
        <v>2987</v>
      </c>
      <c r="C7427" s="515" t="s">
        <v>26</v>
      </c>
      <c r="D7427" s="516">
        <v>14.672000000000001</v>
      </c>
      <c r="E7427" s="517">
        <v>14.672000000000001</v>
      </c>
      <c r="F7427" s="518" t="s">
        <v>30</v>
      </c>
      <c r="G7427" s="519"/>
      <c r="H7427" s="518" t="s">
        <v>2988</v>
      </c>
      <c r="I7427" s="520" t="s">
        <v>2989</v>
      </c>
      <c r="J7427" s="521"/>
      <c r="K7427" s="518" t="str">
        <f t="shared" si="227"/>
        <v>10,26</v>
      </c>
      <c r="L7427" s="518" t="s">
        <v>265</v>
      </c>
      <c r="M7427" s="518">
        <v>14672.52</v>
      </c>
      <c r="N7427" s="522">
        <v>4.1666666666666664E-2</v>
      </c>
      <c r="O7427" s="897" t="s">
        <v>2997</v>
      </c>
      <c r="P7427" s="867" t="s">
        <v>3079</v>
      </c>
    </row>
    <row r="7428" spans="1:17" ht="19.5" hidden="1" thickBot="1" x14ac:dyDescent="0.3">
      <c r="A7428" s="503">
        <f>MAX(A7203:A7427)+1</f>
        <v>4535</v>
      </c>
      <c r="B7428" s="504" t="s">
        <v>2987</v>
      </c>
      <c r="C7428" s="505" t="s">
        <v>26</v>
      </c>
      <c r="D7428" s="506">
        <v>17.728999999999999</v>
      </c>
      <c r="E7428" s="507">
        <v>17.698</v>
      </c>
      <c r="F7428" s="508" t="s">
        <v>16</v>
      </c>
      <c r="G7428" s="509"/>
      <c r="H7428" s="508" t="s">
        <v>2989</v>
      </c>
      <c r="I7428" s="510" t="s">
        <v>3088</v>
      </c>
      <c r="J7428" s="511"/>
      <c r="K7428" s="508" t="str">
        <f t="shared" si="227"/>
        <v>10,26</v>
      </c>
      <c r="L7428" s="508" t="s">
        <v>265</v>
      </c>
      <c r="M7428" s="508">
        <v>17889.14</v>
      </c>
      <c r="N7428" s="512">
        <v>4.1666666666666664E-2</v>
      </c>
      <c r="O7428" s="897" t="s">
        <v>2996</v>
      </c>
      <c r="P7428" s="867" t="s">
        <v>3127</v>
      </c>
    </row>
    <row r="7429" spans="1:17" ht="19.5" hidden="1" thickBot="1" x14ac:dyDescent="0.3">
      <c r="A7429" s="1101">
        <f>MAX(A7204:A7428)+1</f>
        <v>4536</v>
      </c>
      <c r="B7429" s="479" t="s">
        <v>2987</v>
      </c>
      <c r="C7429" s="480" t="s">
        <v>23</v>
      </c>
      <c r="D7429" s="481">
        <v>14.750999999999999</v>
      </c>
      <c r="E7429" s="482">
        <v>14.968999999999999</v>
      </c>
      <c r="F7429" s="483" t="s">
        <v>16</v>
      </c>
      <c r="G7429" s="549"/>
      <c r="H7429" s="483" t="s">
        <v>2989</v>
      </c>
      <c r="I7429" s="484" t="s">
        <v>3033</v>
      </c>
      <c r="J7429" s="485"/>
      <c r="K7429" s="483" t="str">
        <f t="shared" si="227"/>
        <v>10,26</v>
      </c>
      <c r="L7429" s="483" t="s">
        <v>28</v>
      </c>
      <c r="M7429" s="483">
        <v>14923.7</v>
      </c>
      <c r="N7429" s="486">
        <v>0.41666666666666669</v>
      </c>
      <c r="O7429" s="897" t="s">
        <v>2999</v>
      </c>
      <c r="P7429" s="867" t="s">
        <v>3117</v>
      </c>
    </row>
    <row r="7430" spans="1:17" ht="19.5" hidden="1" thickBot="1" x14ac:dyDescent="0.3">
      <c r="A7430" s="1103"/>
      <c r="B7430" s="645" t="s">
        <v>2987</v>
      </c>
      <c r="C7430" s="646" t="s">
        <v>20</v>
      </c>
      <c r="D7430" s="647">
        <v>2.7170000000000001</v>
      </c>
      <c r="E7430" s="648">
        <v>2.5059999999999998</v>
      </c>
      <c r="F7430" s="649" t="s">
        <v>16</v>
      </c>
      <c r="G7430" s="650"/>
      <c r="H7430" s="649" t="s">
        <v>2989</v>
      </c>
      <c r="I7430" s="651" t="s">
        <v>3083</v>
      </c>
      <c r="J7430" s="652"/>
      <c r="K7430" s="649" t="str">
        <f t="shared" si="227"/>
        <v>10,26</v>
      </c>
      <c r="L7430" s="649" t="s">
        <v>28</v>
      </c>
      <c r="M7430" s="649">
        <v>2809.78</v>
      </c>
      <c r="N7430" s="653">
        <v>0.41666666666666669</v>
      </c>
      <c r="O7430" s="897" t="s">
        <v>2998</v>
      </c>
      <c r="P7430" s="867" t="s">
        <v>3118</v>
      </c>
    </row>
    <row r="7431" spans="1:17" ht="56.25" x14ac:dyDescent="0.25">
      <c r="A7431" s="1098">
        <f>MAX(A7206:A7430)+1</f>
        <v>4537</v>
      </c>
      <c r="B7431" s="531" t="s">
        <v>2987</v>
      </c>
      <c r="C7431" s="532" t="s">
        <v>587</v>
      </c>
      <c r="D7431" s="533">
        <v>1.075</v>
      </c>
      <c r="E7431" s="534">
        <v>1.1040000000000001</v>
      </c>
      <c r="F7431" s="535" t="s">
        <v>16</v>
      </c>
      <c r="G7431" s="536" t="s">
        <v>794</v>
      </c>
      <c r="H7431" s="535" t="s">
        <v>2989</v>
      </c>
      <c r="I7431" s="537" t="s">
        <v>3106</v>
      </c>
      <c r="J7431" s="538"/>
      <c r="K7431" s="531"/>
      <c r="L7431" s="535" t="s">
        <v>28</v>
      </c>
      <c r="M7431" s="535">
        <v>1075.04</v>
      </c>
      <c r="N7431" s="539">
        <v>0.45833333333333331</v>
      </c>
      <c r="O7431" s="897" t="s">
        <v>3001</v>
      </c>
      <c r="P7431" s="867" t="s">
        <v>3177</v>
      </c>
    </row>
    <row r="7432" spans="1:17" x14ac:dyDescent="0.25">
      <c r="A7432" s="1099"/>
      <c r="B7432" s="563" t="s">
        <v>2987</v>
      </c>
      <c r="C7432" s="564" t="s">
        <v>587</v>
      </c>
      <c r="D7432" s="565">
        <v>7.423</v>
      </c>
      <c r="E7432" s="566">
        <v>7.3879999999999999</v>
      </c>
      <c r="F7432" s="567" t="s">
        <v>16</v>
      </c>
      <c r="G7432" s="568" t="s">
        <v>47</v>
      </c>
      <c r="H7432" s="567" t="s">
        <v>2989</v>
      </c>
      <c r="I7432" s="569" t="s">
        <v>3106</v>
      </c>
      <c r="J7432" s="570"/>
      <c r="K7432" s="563"/>
      <c r="L7432" s="567" t="s">
        <v>28</v>
      </c>
      <c r="M7432" s="567">
        <v>7423.5599999999995</v>
      </c>
      <c r="N7432" s="571">
        <v>0.45833333333333331</v>
      </c>
      <c r="O7432" s="897" t="s">
        <v>3002</v>
      </c>
      <c r="P7432" s="867" t="s">
        <v>3178</v>
      </c>
    </row>
    <row r="7433" spans="1:17" ht="19.5" thickBot="1" x14ac:dyDescent="0.3">
      <c r="A7433" s="1099"/>
      <c r="B7433" s="590" t="s">
        <v>2987</v>
      </c>
      <c r="C7433" s="591" t="s">
        <v>47</v>
      </c>
      <c r="D7433" s="592">
        <v>9.1080000000000005</v>
      </c>
      <c r="E7433" s="593">
        <v>9.2769999999999992</v>
      </c>
      <c r="F7433" s="594" t="s">
        <v>16</v>
      </c>
      <c r="G7433" s="595"/>
      <c r="H7433" s="594" t="s">
        <v>2989</v>
      </c>
      <c r="I7433" s="596" t="s">
        <v>3106</v>
      </c>
      <c r="J7433" s="597"/>
      <c r="K7433" s="590"/>
      <c r="L7433" s="594" t="s">
        <v>28</v>
      </c>
      <c r="M7433" s="594">
        <v>9340.3799999999992</v>
      </c>
      <c r="N7433" s="598">
        <v>0.45833333333333331</v>
      </c>
      <c r="O7433" s="897" t="s">
        <v>3000</v>
      </c>
      <c r="P7433" s="867" t="s">
        <v>3179</v>
      </c>
    </row>
    <row r="7434" spans="1:17" x14ac:dyDescent="0.25">
      <c r="A7434" s="1101">
        <f>MAX(A7209:A7433)+1</f>
        <v>4538</v>
      </c>
      <c r="B7434" s="479" t="s">
        <v>2970</v>
      </c>
      <c r="C7434" s="480" t="s">
        <v>480</v>
      </c>
      <c r="D7434" s="481">
        <v>4.0999999999999996</v>
      </c>
      <c r="E7434" s="482">
        <f>4.001+0.08</f>
        <v>4.0810000000000004</v>
      </c>
      <c r="F7434" s="483" t="s">
        <v>16</v>
      </c>
      <c r="G7434" s="549"/>
      <c r="H7434" s="483" t="s">
        <v>2989</v>
      </c>
      <c r="I7434" s="484" t="s">
        <v>3031</v>
      </c>
      <c r="J7434" s="485"/>
      <c r="K7434" s="479"/>
      <c r="L7434" s="483" t="s">
        <v>266</v>
      </c>
      <c r="M7434" s="483">
        <v>4163.92</v>
      </c>
      <c r="N7434" s="486">
        <v>0.5</v>
      </c>
      <c r="O7434" s="897" t="s">
        <v>3021</v>
      </c>
      <c r="P7434" s="867" t="s">
        <v>3060</v>
      </c>
      <c r="Q7434" s="847" t="s">
        <v>3066</v>
      </c>
    </row>
    <row r="7435" spans="1:17" x14ac:dyDescent="0.25">
      <c r="A7435" s="1102"/>
      <c r="B7435" s="523" t="s">
        <v>2970</v>
      </c>
      <c r="C7435" s="524" t="s">
        <v>981</v>
      </c>
      <c r="D7435" s="525">
        <v>6.2190000000000003</v>
      </c>
      <c r="E7435" s="526">
        <f>6.13+0.02</f>
        <v>6.1499999999999995</v>
      </c>
      <c r="F7435" s="527" t="s">
        <v>16</v>
      </c>
      <c r="G7435" s="561"/>
      <c r="H7435" s="527" t="s">
        <v>2989</v>
      </c>
      <c r="I7435" s="528" t="s">
        <v>3031</v>
      </c>
      <c r="J7435" s="529"/>
      <c r="K7435" s="523"/>
      <c r="L7435" s="527" t="s">
        <v>266</v>
      </c>
      <c r="M7435" s="527">
        <v>6222.5400000000009</v>
      </c>
      <c r="N7435" s="530">
        <v>0.5</v>
      </c>
      <c r="O7435" s="897" t="s">
        <v>3018</v>
      </c>
      <c r="P7435" s="867" t="s">
        <v>3062</v>
      </c>
      <c r="Q7435" s="847" t="s">
        <v>3063</v>
      </c>
    </row>
    <row r="7436" spans="1:17" x14ac:dyDescent="0.25">
      <c r="A7436" s="1102"/>
      <c r="B7436" s="523" t="s">
        <v>2970</v>
      </c>
      <c r="C7436" s="524" t="s">
        <v>32</v>
      </c>
      <c r="D7436" s="525">
        <v>5.59</v>
      </c>
      <c r="E7436" s="526">
        <f>5.568+0.04</f>
        <v>5.6079999999999997</v>
      </c>
      <c r="F7436" s="527" t="s">
        <v>16</v>
      </c>
      <c r="G7436" s="561" t="s">
        <v>1702</v>
      </c>
      <c r="H7436" s="527" t="s">
        <v>2989</v>
      </c>
      <c r="I7436" s="528" t="s">
        <v>3031</v>
      </c>
      <c r="J7436" s="529"/>
      <c r="K7436" s="523"/>
      <c r="L7436" s="527" t="s">
        <v>266</v>
      </c>
      <c r="M7436" s="527">
        <v>5593.7000000000007</v>
      </c>
      <c r="N7436" s="530">
        <v>0.5</v>
      </c>
      <c r="O7436" s="897" t="s">
        <v>3019</v>
      </c>
      <c r="P7436" s="867" t="s">
        <v>3061</v>
      </c>
      <c r="Q7436" s="847" t="s">
        <v>3065</v>
      </c>
    </row>
    <row r="7437" spans="1:17" ht="19.5" thickBot="1" x14ac:dyDescent="0.3">
      <c r="A7437" s="1103"/>
      <c r="B7437" s="495" t="s">
        <v>2970</v>
      </c>
      <c r="C7437" s="496" t="s">
        <v>913</v>
      </c>
      <c r="D7437" s="497">
        <v>1.8380000000000001</v>
      </c>
      <c r="E7437" s="498">
        <f>1.597+0.12</f>
        <v>1.7170000000000001</v>
      </c>
      <c r="F7437" s="499" t="s">
        <v>16</v>
      </c>
      <c r="G7437" s="1057"/>
      <c r="H7437" s="499" t="s">
        <v>2989</v>
      </c>
      <c r="I7437" s="500" t="s">
        <v>3031</v>
      </c>
      <c r="J7437" s="501"/>
      <c r="K7437" s="495"/>
      <c r="L7437" s="499" t="s">
        <v>266</v>
      </c>
      <c r="M7437" s="499">
        <v>1846.2</v>
      </c>
      <c r="N7437" s="502">
        <v>0.5</v>
      </c>
      <c r="O7437" s="897" t="s">
        <v>3020</v>
      </c>
      <c r="P7437" s="867" t="s">
        <v>3059</v>
      </c>
      <c r="Q7437" s="847" t="s">
        <v>3064</v>
      </c>
    </row>
    <row r="7438" spans="1:17" x14ac:dyDescent="0.25">
      <c r="A7438" s="1109">
        <f>MAX(A7213:A7437)+1</f>
        <v>4539</v>
      </c>
      <c r="B7438" s="759" t="s">
        <v>2970</v>
      </c>
      <c r="C7438" s="532" t="s">
        <v>26</v>
      </c>
      <c r="D7438" s="533">
        <v>15.757999999999999</v>
      </c>
      <c r="E7438" s="534">
        <v>15.455</v>
      </c>
      <c r="F7438" s="535" t="s">
        <v>16</v>
      </c>
      <c r="G7438" s="1058"/>
      <c r="H7438" s="535" t="s">
        <v>3013</v>
      </c>
      <c r="I7438" s="537" t="s">
        <v>3033</v>
      </c>
      <c r="J7438" s="538"/>
      <c r="K7438" s="531"/>
      <c r="L7438" s="535" t="s">
        <v>265</v>
      </c>
      <c r="M7438" s="535">
        <v>15933.300000000001</v>
      </c>
      <c r="N7438" s="539">
        <v>4.1666666666666664E-2</v>
      </c>
      <c r="O7438" s="897" t="s">
        <v>3016</v>
      </c>
      <c r="P7438" s="867" t="s">
        <v>3097</v>
      </c>
    </row>
    <row r="7439" spans="1:17" x14ac:dyDescent="0.25">
      <c r="A7439" s="1110"/>
      <c r="B7439" s="1088" t="s">
        <v>3031</v>
      </c>
      <c r="C7439" s="1089" t="s">
        <v>952</v>
      </c>
      <c r="D7439" s="1090">
        <v>1.9990000000000001</v>
      </c>
      <c r="E7439" s="1091" t="s">
        <v>1496</v>
      </c>
      <c r="F7439" s="1092" t="s">
        <v>16</v>
      </c>
      <c r="G7439" s="1093" t="s">
        <v>3053</v>
      </c>
      <c r="H7439" s="1092" t="s">
        <v>3013</v>
      </c>
      <c r="I7439" s="1094" t="s">
        <v>1496</v>
      </c>
      <c r="J7439" s="1095"/>
      <c r="K7439" s="1096"/>
      <c r="L7439" s="1092" t="s">
        <v>265</v>
      </c>
      <c r="M7439" s="1092">
        <v>2066.52</v>
      </c>
      <c r="N7439" s="1097">
        <v>4.1666666666666664E-2</v>
      </c>
      <c r="O7439" s="920" t="s">
        <v>3082</v>
      </c>
      <c r="P7439" s="921" t="s">
        <v>1024</v>
      </c>
    </row>
    <row r="7440" spans="1:17" ht="38.25" thickBot="1" x14ac:dyDescent="0.3">
      <c r="A7440" s="1111"/>
      <c r="B7440" s="951" t="s">
        <v>2970</v>
      </c>
      <c r="C7440" s="870" t="s">
        <v>952</v>
      </c>
      <c r="D7440" s="871">
        <v>1.9990000000000001</v>
      </c>
      <c r="E7440" s="872">
        <v>1.1839999999999999</v>
      </c>
      <c r="F7440" s="873" t="s">
        <v>16</v>
      </c>
      <c r="G7440" s="789" t="s">
        <v>3052</v>
      </c>
      <c r="H7440" s="873" t="s">
        <v>3013</v>
      </c>
      <c r="I7440" s="875" t="s">
        <v>3013</v>
      </c>
      <c r="J7440" s="876"/>
      <c r="K7440" s="869"/>
      <c r="L7440" s="873" t="s">
        <v>265</v>
      </c>
      <c r="M7440" s="873">
        <v>2066.52</v>
      </c>
      <c r="N7440" s="784">
        <v>4.1666666666666664E-2</v>
      </c>
      <c r="O7440" s="897" t="s">
        <v>3017</v>
      </c>
      <c r="P7440" s="867" t="s">
        <v>3070</v>
      </c>
    </row>
    <row r="7441" spans="1:16" x14ac:dyDescent="0.25">
      <c r="A7441" s="1101">
        <f>MAX(A7215:A7440)+1</f>
        <v>4540</v>
      </c>
      <c r="B7441" s="523" t="s">
        <v>2970</v>
      </c>
      <c r="C7441" s="524" t="s">
        <v>839</v>
      </c>
      <c r="D7441" s="525">
        <v>2.2000000000000002</v>
      </c>
      <c r="E7441" s="526">
        <v>2.23</v>
      </c>
      <c r="F7441" s="527" t="s">
        <v>16</v>
      </c>
      <c r="G7441" s="561"/>
      <c r="H7441" s="527" t="s">
        <v>3013</v>
      </c>
      <c r="I7441" s="528" t="s">
        <v>3033</v>
      </c>
      <c r="J7441" s="529"/>
      <c r="K7441" s="523"/>
      <c r="L7441" s="527" t="s">
        <v>28</v>
      </c>
      <c r="M7441" s="527">
        <v>2218.1999999999998</v>
      </c>
      <c r="N7441" s="530">
        <v>0.41666666666666669</v>
      </c>
      <c r="O7441" s="897" t="s">
        <v>3014</v>
      </c>
      <c r="P7441" s="867" t="s">
        <v>3094</v>
      </c>
    </row>
    <row r="7442" spans="1:16" ht="19.5" thickBot="1" x14ac:dyDescent="0.3">
      <c r="A7442" s="1103"/>
      <c r="B7442" s="645" t="s">
        <v>2970</v>
      </c>
      <c r="C7442" s="646" t="s">
        <v>23</v>
      </c>
      <c r="D7442" s="647">
        <v>15.404999999999999</v>
      </c>
      <c r="E7442" s="648">
        <v>15.531000000000001</v>
      </c>
      <c r="F7442" s="649" t="s">
        <v>16</v>
      </c>
      <c r="G7442" s="650"/>
      <c r="H7442" s="649" t="s">
        <v>3013</v>
      </c>
      <c r="I7442" s="651" t="s">
        <v>3033</v>
      </c>
      <c r="J7442" s="652"/>
      <c r="K7442" s="645"/>
      <c r="L7442" s="649" t="s">
        <v>28</v>
      </c>
      <c r="M7442" s="649">
        <v>15542.44</v>
      </c>
      <c r="N7442" s="653">
        <v>0.41666666666666669</v>
      </c>
      <c r="O7442" s="897" t="s">
        <v>3015</v>
      </c>
      <c r="P7442" s="867" t="s">
        <v>3095</v>
      </c>
    </row>
    <row r="7443" spans="1:16" ht="19.5" thickBot="1" x14ac:dyDescent="0.3">
      <c r="A7443" s="1050">
        <f>MAX(A7217:A7442)+1</f>
        <v>4541</v>
      </c>
      <c r="B7443" s="552" t="s">
        <v>2970</v>
      </c>
      <c r="C7443" s="553" t="s">
        <v>21</v>
      </c>
      <c r="D7443" s="554">
        <v>17.045999999999999</v>
      </c>
      <c r="E7443" s="555">
        <v>17.119</v>
      </c>
      <c r="F7443" s="556" t="s">
        <v>16</v>
      </c>
      <c r="G7443" s="1053"/>
      <c r="H7443" s="556" t="s">
        <v>3013</v>
      </c>
      <c r="I7443" s="558" t="s">
        <v>3083</v>
      </c>
      <c r="J7443" s="559"/>
      <c r="K7443" s="552"/>
      <c r="L7443" s="556" t="s">
        <v>265</v>
      </c>
      <c r="M7443" s="556">
        <v>17098.8</v>
      </c>
      <c r="N7443" s="560">
        <v>0.45833333333333331</v>
      </c>
      <c r="O7443" s="897" t="s">
        <v>3022</v>
      </c>
      <c r="P7443" s="867" t="s">
        <v>3116</v>
      </c>
    </row>
    <row r="7444" spans="1:16" ht="19.5" thickBot="1" x14ac:dyDescent="0.3">
      <c r="A7444" s="513">
        <f>MAX(A7218:A7443)+1</f>
        <v>4542</v>
      </c>
      <c r="B7444" s="514" t="s">
        <v>2988</v>
      </c>
      <c r="C7444" s="515" t="s">
        <v>26</v>
      </c>
      <c r="D7444" s="516">
        <v>17.558</v>
      </c>
      <c r="E7444" s="517">
        <v>17.372</v>
      </c>
      <c r="F7444" s="518" t="s">
        <v>16</v>
      </c>
      <c r="G7444" s="519"/>
      <c r="H7444" s="518" t="s">
        <v>3031</v>
      </c>
      <c r="I7444" s="520" t="s">
        <v>3033</v>
      </c>
      <c r="J7444" s="521"/>
      <c r="K7444" s="514"/>
      <c r="L7444" s="518" t="s">
        <v>265</v>
      </c>
      <c r="M7444" s="518">
        <v>17716.500000000004</v>
      </c>
      <c r="N7444" s="522">
        <v>4.1666666666666664E-2</v>
      </c>
      <c r="O7444" s="897" t="s">
        <v>3044</v>
      </c>
      <c r="P7444" s="867" t="s">
        <v>3093</v>
      </c>
    </row>
    <row r="7445" spans="1:16" ht="19.5" thickBot="1" x14ac:dyDescent="0.3">
      <c r="A7445" s="503">
        <f>MAX(A7219:A7444)+1</f>
        <v>4543</v>
      </c>
      <c r="B7445" s="504" t="s">
        <v>2988</v>
      </c>
      <c r="C7445" s="505" t="s">
        <v>26</v>
      </c>
      <c r="D7445" s="506">
        <v>15.004</v>
      </c>
      <c r="E7445" s="507">
        <v>15.004</v>
      </c>
      <c r="F7445" s="508" t="s">
        <v>30</v>
      </c>
      <c r="G7445" s="509"/>
      <c r="H7445" s="508" t="s">
        <v>3031</v>
      </c>
      <c r="I7445" s="510" t="s">
        <v>3031</v>
      </c>
      <c r="J7445" s="511"/>
      <c r="K7445" s="504"/>
      <c r="L7445" s="508" t="s">
        <v>265</v>
      </c>
      <c r="M7445" s="508">
        <v>15004.08</v>
      </c>
      <c r="N7445" s="512">
        <v>4.1666666666666664E-2</v>
      </c>
      <c r="O7445" s="897" t="s">
        <v>3034</v>
      </c>
      <c r="P7445" s="867" t="s">
        <v>3086</v>
      </c>
    </row>
    <row r="7446" spans="1:16" x14ac:dyDescent="0.25">
      <c r="A7446" s="1101">
        <f>MAX(A7220:A7445)+1</f>
        <v>4544</v>
      </c>
      <c r="B7446" s="479" t="s">
        <v>2988</v>
      </c>
      <c r="C7446" s="480" t="s">
        <v>23</v>
      </c>
      <c r="D7446" s="481">
        <v>12.334</v>
      </c>
      <c r="E7446" s="482">
        <v>12.473000000000001</v>
      </c>
      <c r="F7446" s="483" t="s">
        <v>16</v>
      </c>
      <c r="G7446" s="1121" t="s">
        <v>3032</v>
      </c>
      <c r="H7446" s="483" t="s">
        <v>3031</v>
      </c>
      <c r="I7446" s="484" t="s">
        <v>3088</v>
      </c>
      <c r="J7446" s="485"/>
      <c r="K7446" s="479"/>
      <c r="L7446" s="483" t="s">
        <v>28</v>
      </c>
      <c r="M7446" s="483">
        <v>12474.890000000003</v>
      </c>
      <c r="N7446" s="486">
        <v>0.41666666666666669</v>
      </c>
      <c r="O7446" s="897" t="s">
        <v>3036</v>
      </c>
      <c r="P7446" s="867" t="s">
        <v>3132</v>
      </c>
    </row>
    <row r="7447" spans="1:16" ht="19.5" thickBot="1" x14ac:dyDescent="0.3">
      <c r="A7447" s="1103"/>
      <c r="B7447" s="645" t="s">
        <v>2988</v>
      </c>
      <c r="C7447" s="646" t="s">
        <v>20</v>
      </c>
      <c r="D7447" s="647">
        <v>2.67</v>
      </c>
      <c r="E7447" s="648">
        <v>2.7679999999999998</v>
      </c>
      <c r="F7447" s="649" t="s">
        <v>16</v>
      </c>
      <c r="G7447" s="1122"/>
      <c r="H7447" s="649" t="s">
        <v>3031</v>
      </c>
      <c r="I7447" s="651" t="s">
        <v>3088</v>
      </c>
      <c r="J7447" s="652"/>
      <c r="K7447" s="645"/>
      <c r="L7447" s="649" t="s">
        <v>28</v>
      </c>
      <c r="M7447" s="649">
        <v>2770.3900000000003</v>
      </c>
      <c r="N7447" s="653">
        <v>0.41666666666666669</v>
      </c>
      <c r="O7447" s="897" t="s">
        <v>3037</v>
      </c>
      <c r="P7447" s="867" t="s">
        <v>3133</v>
      </c>
    </row>
    <row r="7448" spans="1:16" ht="38.25" thickBot="1" x14ac:dyDescent="0.3">
      <c r="A7448" s="503">
        <f>MAX(A7222:A7447)+1</f>
        <v>4545</v>
      </c>
      <c r="B7448" s="504" t="s">
        <v>2988</v>
      </c>
      <c r="C7448" s="505" t="s">
        <v>47</v>
      </c>
      <c r="D7448" s="506">
        <v>16.86</v>
      </c>
      <c r="E7448" s="507">
        <v>16.998000000000001</v>
      </c>
      <c r="F7448" s="508" t="s">
        <v>16</v>
      </c>
      <c r="G7448" s="509" t="s">
        <v>1633</v>
      </c>
      <c r="H7448" s="508" t="s">
        <v>3031</v>
      </c>
      <c r="I7448" s="510" t="s">
        <v>3083</v>
      </c>
      <c r="J7448" s="511"/>
      <c r="K7448" s="504"/>
      <c r="L7448" s="508" t="s">
        <v>28</v>
      </c>
      <c r="M7448" s="508">
        <v>17039.13</v>
      </c>
      <c r="N7448" s="512">
        <v>0.45833333333333331</v>
      </c>
      <c r="O7448" s="897" t="s">
        <v>3048</v>
      </c>
      <c r="P7448" s="867" t="s">
        <v>3096</v>
      </c>
    </row>
    <row r="7449" spans="1:16" x14ac:dyDescent="0.25">
      <c r="A7449" s="1101">
        <f>MAX(A7223:A7448)+1</f>
        <v>4546</v>
      </c>
      <c r="B7449" s="479" t="s">
        <v>2988</v>
      </c>
      <c r="C7449" s="480" t="s">
        <v>587</v>
      </c>
      <c r="D7449" s="481">
        <v>7.5279999999999996</v>
      </c>
      <c r="E7449" s="482">
        <v>7.5129999999999999</v>
      </c>
      <c r="F7449" s="483" t="s">
        <v>30</v>
      </c>
      <c r="G7449" s="1051" t="s">
        <v>23</v>
      </c>
      <c r="H7449" s="483" t="s">
        <v>3031</v>
      </c>
      <c r="I7449" s="484" t="s">
        <v>3033</v>
      </c>
      <c r="J7449" s="485"/>
      <c r="K7449" s="479"/>
      <c r="L7449" s="483" t="s">
        <v>28</v>
      </c>
      <c r="M7449" s="483">
        <v>7528.88</v>
      </c>
      <c r="N7449" s="486">
        <v>0.41666666666666669</v>
      </c>
      <c r="O7449" s="897" t="s">
        <v>3043</v>
      </c>
      <c r="P7449" s="867" t="s">
        <v>3100</v>
      </c>
    </row>
    <row r="7450" spans="1:16" ht="19.5" thickBot="1" x14ac:dyDescent="0.3">
      <c r="A7450" s="1103"/>
      <c r="B7450" s="645" t="s">
        <v>2988</v>
      </c>
      <c r="C7450" s="646" t="s">
        <v>23</v>
      </c>
      <c r="D7450" s="647">
        <v>5.7789999999999999</v>
      </c>
      <c r="E7450" s="648">
        <v>5.7789999999999999</v>
      </c>
      <c r="F7450" s="649" t="s">
        <v>30</v>
      </c>
      <c r="G7450" s="1055"/>
      <c r="H7450" s="649" t="s">
        <v>3031</v>
      </c>
      <c r="I7450" s="651" t="s">
        <v>3033</v>
      </c>
      <c r="J7450" s="652"/>
      <c r="K7450" s="645"/>
      <c r="L7450" s="649" t="s">
        <v>28</v>
      </c>
      <c r="M7450" s="649">
        <v>5779.5199999999995</v>
      </c>
      <c r="N7450" s="653">
        <v>0.41666666666666669</v>
      </c>
      <c r="O7450" s="897" t="s">
        <v>3038</v>
      </c>
      <c r="P7450" s="867" t="s">
        <v>3101</v>
      </c>
    </row>
    <row r="7451" spans="1:16" x14ac:dyDescent="0.25">
      <c r="A7451" s="1098">
        <f>MAX(A7225:A7450)+1</f>
        <v>4547</v>
      </c>
      <c r="B7451" s="531" t="s">
        <v>2988</v>
      </c>
      <c r="C7451" s="532" t="s">
        <v>587</v>
      </c>
      <c r="D7451" s="533">
        <v>7.641</v>
      </c>
      <c r="E7451" s="534">
        <v>7.641</v>
      </c>
      <c r="F7451" s="535" t="s">
        <v>30</v>
      </c>
      <c r="G7451" s="1052" t="s">
        <v>47</v>
      </c>
      <c r="H7451" s="535" t="s">
        <v>3031</v>
      </c>
      <c r="I7451" s="537" t="s">
        <v>3088</v>
      </c>
      <c r="J7451" s="538"/>
      <c r="K7451" s="531"/>
      <c r="L7451" s="535" t="s">
        <v>28</v>
      </c>
      <c r="M7451" s="535">
        <v>7641.4800000000005</v>
      </c>
      <c r="N7451" s="539">
        <v>0.45833333333333331</v>
      </c>
      <c r="O7451" s="897" t="s">
        <v>3039</v>
      </c>
      <c r="P7451" s="867" t="s">
        <v>3163</v>
      </c>
    </row>
    <row r="7452" spans="1:16" ht="19.5" thickBot="1" x14ac:dyDescent="0.3">
      <c r="A7452" s="1100"/>
      <c r="B7452" s="636" t="s">
        <v>2988</v>
      </c>
      <c r="C7452" s="637" t="s">
        <v>47</v>
      </c>
      <c r="D7452" s="638">
        <v>5.8040000000000003</v>
      </c>
      <c r="E7452" s="639">
        <v>5.8040000000000003</v>
      </c>
      <c r="F7452" s="640" t="s">
        <v>30</v>
      </c>
      <c r="G7452" s="1054"/>
      <c r="H7452" s="640" t="s">
        <v>3031</v>
      </c>
      <c r="I7452" s="642" t="s">
        <v>3088</v>
      </c>
      <c r="J7452" s="643"/>
      <c r="K7452" s="636"/>
      <c r="L7452" s="640" t="s">
        <v>28</v>
      </c>
      <c r="M7452" s="640">
        <v>5804.4</v>
      </c>
      <c r="N7452" s="644">
        <v>0.45833333333333331</v>
      </c>
      <c r="O7452" s="897" t="s">
        <v>3046</v>
      </c>
      <c r="P7452" s="867" t="s">
        <v>3128</v>
      </c>
    </row>
    <row r="7453" spans="1:16" ht="19.5" thickBot="1" x14ac:dyDescent="0.3">
      <c r="A7453" s="513">
        <f>MAX(A7227:A7452)+1</f>
        <v>4548</v>
      </c>
      <c r="B7453" s="514" t="s">
        <v>2988</v>
      </c>
      <c r="C7453" s="515" t="s">
        <v>26</v>
      </c>
      <c r="D7453" s="516">
        <v>17.600999999999999</v>
      </c>
      <c r="E7453" s="517">
        <v>17.815999999999999</v>
      </c>
      <c r="F7453" s="518" t="s">
        <v>16</v>
      </c>
      <c r="G7453" s="519"/>
      <c r="H7453" s="518" t="s">
        <v>3033</v>
      </c>
      <c r="I7453" s="520" t="s">
        <v>3033</v>
      </c>
      <c r="J7453" s="521"/>
      <c r="K7453" s="514"/>
      <c r="L7453" s="518" t="s">
        <v>265</v>
      </c>
      <c r="M7453" s="518">
        <v>17798.7</v>
      </c>
      <c r="N7453" s="522">
        <v>4.1666666666666664E-2</v>
      </c>
      <c r="O7453" s="897" t="s">
        <v>3045</v>
      </c>
      <c r="P7453" s="867" t="s">
        <v>3099</v>
      </c>
    </row>
    <row r="7454" spans="1:16" x14ac:dyDescent="0.25">
      <c r="A7454" s="1098">
        <f>MAX(A7228:A7453)+1</f>
        <v>4549</v>
      </c>
      <c r="B7454" s="531" t="s">
        <v>2988</v>
      </c>
      <c r="C7454" s="532" t="s">
        <v>2714</v>
      </c>
      <c r="D7454" s="533">
        <v>5.0339999999999998</v>
      </c>
      <c r="E7454" s="534">
        <v>5.1079999999999997</v>
      </c>
      <c r="F7454" s="535" t="s">
        <v>16</v>
      </c>
      <c r="G7454" s="1115" t="s">
        <v>2910</v>
      </c>
      <c r="H7454" s="535" t="s">
        <v>3033</v>
      </c>
      <c r="I7454" s="537" t="s">
        <v>3088</v>
      </c>
      <c r="J7454" s="538"/>
      <c r="K7454" s="531"/>
      <c r="L7454" s="535" t="s">
        <v>265</v>
      </c>
      <c r="M7454" s="535">
        <v>5082.3600000000006</v>
      </c>
      <c r="N7454" s="539">
        <v>0.41666666666666669</v>
      </c>
      <c r="O7454" s="897" t="s">
        <v>3050</v>
      </c>
      <c r="P7454" s="867" t="s">
        <v>3129</v>
      </c>
    </row>
    <row r="7455" spans="1:16" x14ac:dyDescent="0.25">
      <c r="A7455" s="1099"/>
      <c r="B7455" s="563" t="s">
        <v>2988</v>
      </c>
      <c r="C7455" s="564" t="s">
        <v>15</v>
      </c>
      <c r="D7455" s="565">
        <v>3.8580000000000001</v>
      </c>
      <c r="E7455" s="566">
        <v>4.0140000000000002</v>
      </c>
      <c r="F7455" s="567" t="s">
        <v>16</v>
      </c>
      <c r="G7455" s="1116"/>
      <c r="H7455" s="567" t="s">
        <v>3033</v>
      </c>
      <c r="I7455" s="569" t="s">
        <v>3088</v>
      </c>
      <c r="J7455" s="570"/>
      <c r="K7455" s="563"/>
      <c r="L7455" s="567" t="s">
        <v>28</v>
      </c>
      <c r="M7455" s="567">
        <v>4000.5099999999998</v>
      </c>
      <c r="N7455" s="571">
        <v>0.41666666666666669</v>
      </c>
      <c r="O7455" s="897" t="s">
        <v>3040</v>
      </c>
      <c r="P7455" s="867" t="s">
        <v>3130</v>
      </c>
    </row>
    <row r="7456" spans="1:16" ht="19.5" thickBot="1" x14ac:dyDescent="0.3">
      <c r="A7456" s="1100"/>
      <c r="B7456" s="636" t="s">
        <v>2988</v>
      </c>
      <c r="C7456" s="637" t="s">
        <v>24</v>
      </c>
      <c r="D7456" s="638">
        <v>5.8319999999999999</v>
      </c>
      <c r="E7456" s="639">
        <v>5.9219999999999997</v>
      </c>
      <c r="F7456" s="640" t="s">
        <v>16</v>
      </c>
      <c r="G7456" s="1117"/>
      <c r="H7456" s="640" t="s">
        <v>3033</v>
      </c>
      <c r="I7456" s="642" t="s">
        <v>3088</v>
      </c>
      <c r="J7456" s="643"/>
      <c r="K7456" s="636"/>
      <c r="L7456" s="640" t="s">
        <v>28</v>
      </c>
      <c r="M7456" s="640">
        <v>5923.8099999999995</v>
      </c>
      <c r="N7456" s="644">
        <v>0.41666666666666669</v>
      </c>
      <c r="O7456" s="897" t="s">
        <v>3041</v>
      </c>
      <c r="P7456" s="867" t="s">
        <v>3131</v>
      </c>
    </row>
    <row r="7457" spans="1:16" ht="38.25" thickBot="1" x14ac:dyDescent="0.3">
      <c r="A7457" s="662">
        <f>MAX(A7231:A7456)+1</f>
        <v>4550</v>
      </c>
      <c r="B7457" s="663" t="s">
        <v>2988</v>
      </c>
      <c r="C7457" s="664" t="s">
        <v>25</v>
      </c>
      <c r="D7457" s="665">
        <v>16.893000000000001</v>
      </c>
      <c r="E7457" s="666" t="s">
        <v>1496</v>
      </c>
      <c r="F7457" s="667" t="s">
        <v>16</v>
      </c>
      <c r="G7457" s="668" t="s">
        <v>3087</v>
      </c>
      <c r="H7457" s="667" t="s">
        <v>3033</v>
      </c>
      <c r="I7457" s="669" t="s">
        <v>1496</v>
      </c>
      <c r="J7457" s="670"/>
      <c r="K7457" s="663"/>
      <c r="L7457" s="667" t="s">
        <v>265</v>
      </c>
      <c r="M7457" s="667">
        <v>17023.750000000004</v>
      </c>
      <c r="N7457" s="671">
        <v>0.5</v>
      </c>
      <c r="O7457" s="920" t="s">
        <v>3049</v>
      </c>
      <c r="P7457" s="921" t="s">
        <v>1024</v>
      </c>
    </row>
    <row r="7458" spans="1:16" x14ac:dyDescent="0.25">
      <c r="A7458" s="1098">
        <f>MAX(A7232:A7457)+1</f>
        <v>4551</v>
      </c>
      <c r="B7458" s="531" t="s">
        <v>2988</v>
      </c>
      <c r="C7458" s="532" t="s">
        <v>20</v>
      </c>
      <c r="D7458" s="533">
        <v>6.6379999999999999</v>
      </c>
      <c r="E7458" s="534">
        <v>6.6379999999999999</v>
      </c>
      <c r="F7458" s="535" t="s">
        <v>30</v>
      </c>
      <c r="G7458" s="1052"/>
      <c r="H7458" s="535" t="s">
        <v>3033</v>
      </c>
      <c r="I7458" s="537" t="s">
        <v>3119</v>
      </c>
      <c r="J7458" s="538"/>
      <c r="K7458" s="531"/>
      <c r="L7458" s="535" t="s">
        <v>28</v>
      </c>
      <c r="M7458" s="535">
        <v>6638.9600000000009</v>
      </c>
      <c r="N7458" s="539">
        <v>0.41666666666666669</v>
      </c>
      <c r="O7458" s="897" t="s">
        <v>3042</v>
      </c>
      <c r="P7458" s="867" t="s">
        <v>3169</v>
      </c>
    </row>
    <row r="7459" spans="1:16" ht="19.5" thickBot="1" x14ac:dyDescent="0.3">
      <c r="A7459" s="1100"/>
      <c r="B7459" s="636" t="s">
        <v>2988</v>
      </c>
      <c r="C7459" s="637" t="s">
        <v>23</v>
      </c>
      <c r="D7459" s="638">
        <v>7.1879999999999997</v>
      </c>
      <c r="E7459" s="639">
        <v>7.1929999999999996</v>
      </c>
      <c r="F7459" s="640" t="s">
        <v>30</v>
      </c>
      <c r="G7459" s="1054"/>
      <c r="H7459" s="640" t="s">
        <v>3033</v>
      </c>
      <c r="I7459" s="642" t="s">
        <v>3119</v>
      </c>
      <c r="J7459" s="643"/>
      <c r="K7459" s="636"/>
      <c r="L7459" s="640" t="s">
        <v>28</v>
      </c>
      <c r="M7459" s="640">
        <v>7188.24</v>
      </c>
      <c r="N7459" s="644">
        <v>0.41666666666666669</v>
      </c>
      <c r="O7459" s="897" t="s">
        <v>3047</v>
      </c>
      <c r="P7459" s="867" t="s">
        <v>3170</v>
      </c>
    </row>
    <row r="7460" spans="1:16" ht="57" thickBot="1" x14ac:dyDescent="0.3">
      <c r="A7460" s="513">
        <f t="shared" ref="A7460:A7467" si="228">MAX(A7234:A7459)+1</f>
        <v>4552</v>
      </c>
      <c r="B7460" s="514" t="s">
        <v>2988</v>
      </c>
      <c r="C7460" s="515" t="s">
        <v>26</v>
      </c>
      <c r="D7460" s="516">
        <v>11.6</v>
      </c>
      <c r="E7460" s="517">
        <v>11.775</v>
      </c>
      <c r="F7460" s="518" t="s">
        <v>16</v>
      </c>
      <c r="G7460" s="519" t="s">
        <v>3035</v>
      </c>
      <c r="H7460" s="518" t="s">
        <v>3033</v>
      </c>
      <c r="I7460" s="520" t="s">
        <v>3083</v>
      </c>
      <c r="J7460" s="521"/>
      <c r="K7460" s="514"/>
      <c r="L7460" s="518" t="s">
        <v>265</v>
      </c>
      <c r="M7460" s="518">
        <v>11727.48</v>
      </c>
      <c r="N7460" s="522">
        <v>0.58333333333333337</v>
      </c>
      <c r="O7460" s="897" t="s">
        <v>3051</v>
      </c>
      <c r="P7460" s="867" t="s">
        <v>3115</v>
      </c>
    </row>
    <row r="7461" spans="1:16" x14ac:dyDescent="0.25">
      <c r="A7461" s="1098">
        <f t="shared" si="228"/>
        <v>4553</v>
      </c>
      <c r="B7461" s="531" t="s">
        <v>3031</v>
      </c>
      <c r="C7461" s="532" t="s">
        <v>55</v>
      </c>
      <c r="D7461" s="533">
        <v>2.96</v>
      </c>
      <c r="E7461" s="534">
        <v>2.9790000000000001</v>
      </c>
      <c r="F7461" s="535" t="s">
        <v>16</v>
      </c>
      <c r="G7461" s="1059" t="s">
        <v>844</v>
      </c>
      <c r="H7461" s="535" t="s">
        <v>3083</v>
      </c>
      <c r="I7461" s="537" t="s">
        <v>3088</v>
      </c>
      <c r="J7461" s="538"/>
      <c r="K7461" s="531"/>
      <c r="L7461" s="535" t="s">
        <v>266</v>
      </c>
      <c r="M7461" s="535">
        <v>2960.6099999999997</v>
      </c>
      <c r="N7461" s="539">
        <v>0.5</v>
      </c>
      <c r="O7461" s="897" t="s">
        <v>3084</v>
      </c>
      <c r="P7461" s="867" t="s">
        <v>3135</v>
      </c>
    </row>
    <row r="7462" spans="1:16" ht="19.5" thickBot="1" x14ac:dyDescent="0.3">
      <c r="A7462" s="1099"/>
      <c r="B7462" s="590" t="s">
        <v>3031</v>
      </c>
      <c r="C7462" s="591" t="s">
        <v>55</v>
      </c>
      <c r="D7462" s="592">
        <v>9.7780000000000005</v>
      </c>
      <c r="E7462" s="593">
        <v>9.7509999999999994</v>
      </c>
      <c r="F7462" s="594" t="s">
        <v>16</v>
      </c>
      <c r="G7462" s="1060" t="s">
        <v>845</v>
      </c>
      <c r="H7462" s="594" t="s">
        <v>3083</v>
      </c>
      <c r="I7462" s="596" t="s">
        <v>3088</v>
      </c>
      <c r="J7462" s="597"/>
      <c r="K7462" s="590"/>
      <c r="L7462" s="594" t="s">
        <v>266</v>
      </c>
      <c r="M7462" s="594">
        <v>9778.23</v>
      </c>
      <c r="N7462" s="598">
        <v>0.5</v>
      </c>
      <c r="O7462" s="897" t="s">
        <v>3085</v>
      </c>
      <c r="P7462" s="867" t="s">
        <v>3134</v>
      </c>
    </row>
    <row r="7463" spans="1:16" ht="19.5" thickBot="1" x14ac:dyDescent="0.3">
      <c r="A7463" s="513">
        <f t="shared" si="228"/>
        <v>4554</v>
      </c>
      <c r="B7463" s="514" t="s">
        <v>3033</v>
      </c>
      <c r="C7463" s="515" t="s">
        <v>32</v>
      </c>
      <c r="D7463" s="516">
        <v>18.061</v>
      </c>
      <c r="E7463" s="517">
        <v>18.256</v>
      </c>
      <c r="F7463" s="518" t="s">
        <v>16</v>
      </c>
      <c r="G7463" s="519"/>
      <c r="H7463" s="518" t="s">
        <v>3088</v>
      </c>
      <c r="I7463" s="520" t="s">
        <v>3137</v>
      </c>
      <c r="J7463" s="521"/>
      <c r="K7463" s="514"/>
      <c r="L7463" s="518" t="s">
        <v>266</v>
      </c>
      <c r="M7463" s="518">
        <v>18200.600000000006</v>
      </c>
      <c r="N7463" s="522">
        <v>0.41666666666666669</v>
      </c>
      <c r="O7463" s="897" t="s">
        <v>3089</v>
      </c>
      <c r="P7463" s="867" t="s">
        <v>3166</v>
      </c>
    </row>
    <row r="7464" spans="1:16" ht="19.5" thickBot="1" x14ac:dyDescent="0.3">
      <c r="A7464" s="503">
        <f t="shared" si="228"/>
        <v>4555</v>
      </c>
      <c r="B7464" s="504" t="s">
        <v>3033</v>
      </c>
      <c r="C7464" s="505" t="s">
        <v>32</v>
      </c>
      <c r="D7464" s="506">
        <v>18.026</v>
      </c>
      <c r="E7464" s="507">
        <v>18.056000000000001</v>
      </c>
      <c r="F7464" s="508" t="s">
        <v>16</v>
      </c>
      <c r="G7464" s="509"/>
      <c r="H7464" s="508" t="s">
        <v>3088</v>
      </c>
      <c r="I7464" s="510" t="s">
        <v>3104</v>
      </c>
      <c r="J7464" s="511"/>
      <c r="K7464" s="504"/>
      <c r="L7464" s="508" t="s">
        <v>266</v>
      </c>
      <c r="M7464" s="508">
        <v>18150.86</v>
      </c>
      <c r="N7464" s="512">
        <v>0.45833333333333331</v>
      </c>
      <c r="O7464" s="897" t="s">
        <v>3091</v>
      </c>
      <c r="P7464" s="867" t="s">
        <v>3180</v>
      </c>
    </row>
    <row r="7465" spans="1:16" ht="19.5" thickBot="1" x14ac:dyDescent="0.3">
      <c r="A7465" s="1061">
        <f t="shared" si="228"/>
        <v>4556</v>
      </c>
      <c r="B7465" s="573" t="s">
        <v>3033</v>
      </c>
      <c r="C7465" s="574" t="s">
        <v>32</v>
      </c>
      <c r="D7465" s="575">
        <v>18</v>
      </c>
      <c r="E7465" s="576">
        <v>18.006</v>
      </c>
      <c r="F7465" s="577" t="s">
        <v>16</v>
      </c>
      <c r="G7465" s="1062"/>
      <c r="H7465" s="577" t="s">
        <v>3088</v>
      </c>
      <c r="I7465" s="579" t="s">
        <v>3119</v>
      </c>
      <c r="J7465" s="580"/>
      <c r="K7465" s="573"/>
      <c r="L7465" s="577" t="s">
        <v>266</v>
      </c>
      <c r="M7465" s="577">
        <v>18014.400000000001</v>
      </c>
      <c r="N7465" s="581">
        <v>0.5</v>
      </c>
      <c r="O7465" s="897" t="s">
        <v>3090</v>
      </c>
      <c r="P7465" s="867" t="s">
        <v>3172</v>
      </c>
    </row>
    <row r="7466" spans="1:16" ht="19.5" thickBot="1" x14ac:dyDescent="0.3">
      <c r="A7466" s="503">
        <f t="shared" si="228"/>
        <v>4557</v>
      </c>
      <c r="B7466" s="552" t="s">
        <v>3083</v>
      </c>
      <c r="C7466" s="553" t="s">
        <v>26</v>
      </c>
      <c r="D7466" s="554">
        <v>17.561</v>
      </c>
      <c r="E7466" s="555">
        <v>17.561</v>
      </c>
      <c r="F7466" s="556" t="s">
        <v>16</v>
      </c>
      <c r="G7466" s="1072"/>
      <c r="H7466" s="556" t="s">
        <v>3104</v>
      </c>
      <c r="I7466" s="558" t="s">
        <v>3104</v>
      </c>
      <c r="J7466" s="559"/>
      <c r="K7466" s="552"/>
      <c r="L7466" s="556" t="s">
        <v>265</v>
      </c>
      <c r="M7466" s="556">
        <v>17728.400000000001</v>
      </c>
      <c r="N7466" s="560">
        <v>4.1666666666666664E-2</v>
      </c>
      <c r="O7466" s="897" t="s">
        <v>3105</v>
      </c>
      <c r="P7466" s="867" t="s">
        <v>3164</v>
      </c>
    </row>
    <row r="7467" spans="1:16" x14ac:dyDescent="0.25">
      <c r="A7467" s="1112">
        <f t="shared" si="228"/>
        <v>4558</v>
      </c>
      <c r="B7467" s="610" t="s">
        <v>3083</v>
      </c>
      <c r="C7467" s="480" t="s">
        <v>26</v>
      </c>
      <c r="D7467" s="481">
        <v>17.178999999999998</v>
      </c>
      <c r="E7467" s="482">
        <v>16.550999999999998</v>
      </c>
      <c r="F7467" s="483" t="s">
        <v>16</v>
      </c>
      <c r="G7467" s="1071"/>
      <c r="H7467" s="483" t="s">
        <v>3104</v>
      </c>
      <c r="I7467" s="484" t="s">
        <v>3104</v>
      </c>
      <c r="J7467" s="485"/>
      <c r="K7467" s="479"/>
      <c r="L7467" s="483" t="s">
        <v>265</v>
      </c>
      <c r="M7467" s="483">
        <v>17408.010000000002</v>
      </c>
      <c r="N7467" s="486">
        <v>8.3333333333333329E-2</v>
      </c>
      <c r="O7467" s="897" t="s">
        <v>3108</v>
      </c>
      <c r="P7467" s="867" t="s">
        <v>3167</v>
      </c>
    </row>
    <row r="7468" spans="1:16" ht="19.5" thickBot="1" x14ac:dyDescent="0.3">
      <c r="A7468" s="1114"/>
      <c r="B7468" s="805" t="s">
        <v>3104</v>
      </c>
      <c r="C7468" s="806" t="s">
        <v>26</v>
      </c>
      <c r="D7468" s="807">
        <v>0.6</v>
      </c>
      <c r="E7468" s="807">
        <v>0.60299999999999998</v>
      </c>
      <c r="F7468" s="808" t="s">
        <v>16</v>
      </c>
      <c r="G7468" s="809" t="s">
        <v>76</v>
      </c>
      <c r="H7468" s="808" t="s">
        <v>3104</v>
      </c>
      <c r="I7468" s="808" t="s">
        <v>3104</v>
      </c>
      <c r="J7468" s="810"/>
      <c r="K7468" s="887"/>
      <c r="L7468" s="808" t="s">
        <v>265</v>
      </c>
      <c r="M7468" s="808">
        <v>600</v>
      </c>
      <c r="N7468" s="778">
        <v>8.3333333333333329E-2</v>
      </c>
      <c r="O7468" s="897" t="s">
        <v>3136</v>
      </c>
      <c r="P7468" s="867" t="s">
        <v>3168</v>
      </c>
    </row>
    <row r="7469" spans="1:16" ht="19.5" thickBot="1" x14ac:dyDescent="0.3">
      <c r="A7469" s="503">
        <f>MAX(A7242:A7467)+1</f>
        <v>4559</v>
      </c>
      <c r="B7469" s="636" t="s">
        <v>3083</v>
      </c>
      <c r="C7469" s="637" t="s">
        <v>3176</v>
      </c>
      <c r="D7469" s="638">
        <v>15.561</v>
      </c>
      <c r="E7469" s="639">
        <v>15.87</v>
      </c>
      <c r="F7469" s="640" t="s">
        <v>16</v>
      </c>
      <c r="G7469" s="1073" t="s">
        <v>715</v>
      </c>
      <c r="H7469" s="640" t="s">
        <v>3104</v>
      </c>
      <c r="I7469" s="642" t="s">
        <v>3104</v>
      </c>
      <c r="J7469" s="643"/>
      <c r="K7469" s="636"/>
      <c r="L7469" s="640" t="s">
        <v>265</v>
      </c>
      <c r="M7469" s="640">
        <v>15784.580000000002</v>
      </c>
      <c r="N7469" s="644">
        <v>0.125</v>
      </c>
      <c r="O7469" s="897" t="s">
        <v>3109</v>
      </c>
      <c r="P7469" s="867" t="s">
        <v>3175</v>
      </c>
    </row>
    <row r="7470" spans="1:16" ht="19.5" thickBot="1" x14ac:dyDescent="0.3">
      <c r="A7470" s="513">
        <f>MAX(A7243:A7469)+1</f>
        <v>4560</v>
      </c>
      <c r="B7470" s="514" t="s">
        <v>3083</v>
      </c>
      <c r="C7470" s="515" t="s">
        <v>26</v>
      </c>
      <c r="D7470" s="516">
        <v>15.605</v>
      </c>
      <c r="E7470" s="517">
        <v>15.605</v>
      </c>
      <c r="F7470" s="518" t="s">
        <v>30</v>
      </c>
      <c r="G7470" s="519"/>
      <c r="H7470" s="518" t="s">
        <v>3104</v>
      </c>
      <c r="I7470" s="520" t="s">
        <v>3104</v>
      </c>
      <c r="J7470" s="521"/>
      <c r="K7470" s="514"/>
      <c r="L7470" s="518" t="s">
        <v>265</v>
      </c>
      <c r="M7470" s="518">
        <v>15605.36</v>
      </c>
      <c r="N7470" s="522">
        <v>4.1666666666666664E-2</v>
      </c>
      <c r="O7470" s="897" t="s">
        <v>3107</v>
      </c>
      <c r="P7470" s="867" t="s">
        <v>3171</v>
      </c>
    </row>
    <row r="7471" spans="1:16" ht="19.5" thickBot="1" x14ac:dyDescent="0.3">
      <c r="A7471" s="503">
        <f>MAX(A7244:A7470)+1</f>
        <v>4561</v>
      </c>
      <c r="B7471" s="504" t="s">
        <v>3083</v>
      </c>
      <c r="C7471" s="505" t="s">
        <v>26</v>
      </c>
      <c r="D7471" s="506">
        <v>17.713999999999999</v>
      </c>
      <c r="E7471" s="507">
        <v>17.812999999999999</v>
      </c>
      <c r="F7471" s="508" t="s">
        <v>16</v>
      </c>
      <c r="G7471" s="509"/>
      <c r="H7471" s="508" t="s">
        <v>3106</v>
      </c>
      <c r="I7471" s="510" t="s">
        <v>3106</v>
      </c>
      <c r="J7471" s="511"/>
      <c r="K7471" s="504"/>
      <c r="L7471" s="508" t="s">
        <v>265</v>
      </c>
      <c r="M7471" s="508">
        <v>17929.160000000003</v>
      </c>
      <c r="N7471" s="512">
        <v>4.1666666666666664E-2</v>
      </c>
      <c r="O7471" s="897" t="s">
        <v>3110</v>
      </c>
      <c r="P7471" s="867" t="s">
        <v>3165</v>
      </c>
    </row>
    <row r="7472" spans="1:16" x14ac:dyDescent="0.25">
      <c r="A7472" s="1101">
        <f>MAX(A7245:A7471)+1</f>
        <v>4562</v>
      </c>
      <c r="B7472" s="479" t="s">
        <v>3083</v>
      </c>
      <c r="C7472" s="480" t="s">
        <v>23</v>
      </c>
      <c r="D7472" s="481">
        <v>13.973000000000001</v>
      </c>
      <c r="E7472" s="482">
        <v>14.134</v>
      </c>
      <c r="F7472" s="483" t="s">
        <v>16</v>
      </c>
      <c r="G7472" s="1064"/>
      <c r="H7472" s="483" t="s">
        <v>3106</v>
      </c>
      <c r="I7472" s="484" t="s">
        <v>3137</v>
      </c>
      <c r="J7472" s="485"/>
      <c r="K7472" s="479"/>
      <c r="L7472" s="483" t="s">
        <v>28</v>
      </c>
      <c r="M7472" s="483">
        <v>14102.140000000001</v>
      </c>
      <c r="N7472" s="486">
        <v>0.41666666666666669</v>
      </c>
      <c r="O7472" s="897" t="s">
        <v>3112</v>
      </c>
      <c r="P7472" s="867" t="s">
        <v>3182</v>
      </c>
    </row>
    <row r="7473" spans="1:16" ht="19.5" thickBot="1" x14ac:dyDescent="0.3">
      <c r="A7473" s="1103"/>
      <c r="B7473" s="645" t="s">
        <v>3083</v>
      </c>
      <c r="C7473" s="646" t="s">
        <v>20</v>
      </c>
      <c r="D7473" s="647">
        <v>3.5840000000000001</v>
      </c>
      <c r="E7473" s="648">
        <v>3.4460000000000002</v>
      </c>
      <c r="F7473" s="649" t="s">
        <v>16</v>
      </c>
      <c r="G7473" s="1063"/>
      <c r="H7473" s="649" t="s">
        <v>3106</v>
      </c>
      <c r="I7473" s="651" t="s">
        <v>3137</v>
      </c>
      <c r="J7473" s="652"/>
      <c r="K7473" s="645"/>
      <c r="L7473" s="649" t="s">
        <v>28</v>
      </c>
      <c r="M7473" s="649">
        <v>3696.49</v>
      </c>
      <c r="N7473" s="653">
        <v>0.41666666666666669</v>
      </c>
      <c r="O7473" s="897" t="s">
        <v>3111</v>
      </c>
      <c r="P7473" s="867" t="s">
        <v>3181</v>
      </c>
    </row>
    <row r="7474" spans="1:16" x14ac:dyDescent="0.25">
      <c r="A7474" s="1098">
        <f>MAX(A7247:A7473)+1</f>
        <v>4563</v>
      </c>
      <c r="B7474" s="531" t="s">
        <v>3083</v>
      </c>
      <c r="C7474" s="532" t="s">
        <v>587</v>
      </c>
      <c r="D7474" s="533">
        <v>5.5819999999999999</v>
      </c>
      <c r="E7474" s="534">
        <v>5.6260000000000003</v>
      </c>
      <c r="F7474" s="535" t="s">
        <v>16</v>
      </c>
      <c r="G7474" s="1065" t="s">
        <v>47</v>
      </c>
      <c r="H7474" s="535" t="s">
        <v>3106</v>
      </c>
      <c r="I7474" s="537" t="s">
        <v>3106</v>
      </c>
      <c r="J7474" s="538"/>
      <c r="K7474" s="531"/>
      <c r="L7474" s="535" t="s">
        <v>28</v>
      </c>
      <c r="M7474" s="535">
        <v>5582.8</v>
      </c>
      <c r="N7474" s="539">
        <v>0.45833333333333331</v>
      </c>
      <c r="O7474" s="897" t="s">
        <v>3113</v>
      </c>
      <c r="P7474" s="867" t="s">
        <v>3174</v>
      </c>
    </row>
    <row r="7475" spans="1:16" ht="19.5" thickBot="1" x14ac:dyDescent="0.3">
      <c r="A7475" s="1099"/>
      <c r="B7475" s="590" t="s">
        <v>3083</v>
      </c>
      <c r="C7475" s="591" t="s">
        <v>47</v>
      </c>
      <c r="D7475" s="592">
        <v>12.006</v>
      </c>
      <c r="E7475" s="593">
        <v>11.999000000000001</v>
      </c>
      <c r="F7475" s="594" t="s">
        <v>16</v>
      </c>
      <c r="G7475" s="1069"/>
      <c r="H7475" s="594" t="s">
        <v>3106</v>
      </c>
      <c r="I7475" s="596" t="s">
        <v>3106</v>
      </c>
      <c r="J7475" s="597"/>
      <c r="K7475" s="590"/>
      <c r="L7475" s="594" t="s">
        <v>28</v>
      </c>
      <c r="M7475" s="594">
        <v>12198.04</v>
      </c>
      <c r="N7475" s="598">
        <v>0.45833333333333331</v>
      </c>
      <c r="O7475" s="897" t="s">
        <v>3114</v>
      </c>
      <c r="P7475" s="867" t="s">
        <v>3173</v>
      </c>
    </row>
    <row r="7476" spans="1:16" x14ac:dyDescent="0.25">
      <c r="A7476" s="1101">
        <f>MAX(A7249:A7475)+1</f>
        <v>4564</v>
      </c>
      <c r="B7476" s="479" t="s">
        <v>3088</v>
      </c>
      <c r="C7476" s="480" t="s">
        <v>26</v>
      </c>
      <c r="D7476" s="481">
        <v>15.461</v>
      </c>
      <c r="E7476" s="482">
        <v>15.500999999999999</v>
      </c>
      <c r="F7476" s="483" t="s">
        <v>16</v>
      </c>
      <c r="G7476" s="1066"/>
      <c r="H7476" s="483" t="s">
        <v>3119</v>
      </c>
      <c r="I7476" s="484" t="s">
        <v>3137</v>
      </c>
      <c r="J7476" s="485"/>
      <c r="K7476" s="479"/>
      <c r="L7476" s="483" t="s">
        <v>265</v>
      </c>
      <c r="M7476" s="483">
        <v>15593.119999999999</v>
      </c>
      <c r="N7476" s="486">
        <v>4.1666666666666664E-2</v>
      </c>
      <c r="O7476" s="897" t="s">
        <v>3125</v>
      </c>
      <c r="P7476" s="867" t="s">
        <v>3186</v>
      </c>
    </row>
    <row r="7477" spans="1:16" ht="19.5" thickBot="1" x14ac:dyDescent="0.3">
      <c r="A7477" s="1103"/>
      <c r="B7477" s="645" t="s">
        <v>3088</v>
      </c>
      <c r="C7477" s="646" t="s">
        <v>952</v>
      </c>
      <c r="D7477" s="647">
        <v>2.0259999999999998</v>
      </c>
      <c r="E7477" s="648">
        <v>2.1080000000000001</v>
      </c>
      <c r="F7477" s="649" t="s">
        <v>16</v>
      </c>
      <c r="G7477" s="1068"/>
      <c r="H7477" s="649" t="s">
        <v>3119</v>
      </c>
      <c r="I7477" s="651" t="s">
        <v>3137</v>
      </c>
      <c r="J7477" s="652"/>
      <c r="K7477" s="645"/>
      <c r="L7477" s="649" t="s">
        <v>265</v>
      </c>
      <c r="M7477" s="649">
        <v>2102.7200000000003</v>
      </c>
      <c r="N7477" s="653">
        <v>4.1666666666666664E-2</v>
      </c>
      <c r="O7477" s="897" t="s">
        <v>3124</v>
      </c>
      <c r="P7477" s="867" t="s">
        <v>3187</v>
      </c>
    </row>
    <row r="7478" spans="1:16" x14ac:dyDescent="0.25">
      <c r="A7478" s="1098">
        <f>MAX(A7251:A7477)+1</f>
        <v>4565</v>
      </c>
      <c r="B7478" s="531" t="s">
        <v>3088</v>
      </c>
      <c r="C7478" s="532" t="s">
        <v>21</v>
      </c>
      <c r="D7478" s="533">
        <v>4.0999999999999996</v>
      </c>
      <c r="E7478" s="534"/>
      <c r="F7478" s="535" t="s">
        <v>16</v>
      </c>
      <c r="G7478" s="1067"/>
      <c r="H7478" s="535" t="s">
        <v>3119</v>
      </c>
      <c r="I7478" s="537"/>
      <c r="J7478" s="538"/>
      <c r="K7478" s="531"/>
      <c r="L7478" s="535" t="s">
        <v>265</v>
      </c>
      <c r="M7478" s="535">
        <v>4158.96</v>
      </c>
      <c r="N7478" s="539">
        <v>0.41666666666666669</v>
      </c>
      <c r="O7478" s="897" t="s">
        <v>3126</v>
      </c>
    </row>
    <row r="7479" spans="1:16" x14ac:dyDescent="0.25">
      <c r="A7479" s="1099"/>
      <c r="B7479" s="563" t="s">
        <v>3088</v>
      </c>
      <c r="C7479" s="564" t="s">
        <v>15</v>
      </c>
      <c r="D7479" s="565">
        <v>8.4</v>
      </c>
      <c r="E7479" s="566"/>
      <c r="F7479" s="567" t="s">
        <v>16</v>
      </c>
      <c r="G7479" s="568"/>
      <c r="H7479" s="567" t="s">
        <v>3119</v>
      </c>
      <c r="I7479" s="569"/>
      <c r="J7479" s="570"/>
      <c r="K7479" s="563"/>
      <c r="L7479" s="567" t="s">
        <v>28</v>
      </c>
      <c r="M7479" s="567">
        <v>8560.6200000000008</v>
      </c>
      <c r="N7479" s="571">
        <v>0.41666666666666669</v>
      </c>
      <c r="O7479" s="897" t="s">
        <v>3120</v>
      </c>
    </row>
    <row r="7480" spans="1:16" ht="19.5" thickBot="1" x14ac:dyDescent="0.3">
      <c r="A7480" s="1100"/>
      <c r="B7480" s="636" t="s">
        <v>3088</v>
      </c>
      <c r="C7480" s="637" t="s">
        <v>24</v>
      </c>
      <c r="D7480" s="638">
        <v>4.8550000000000004</v>
      </c>
      <c r="E7480" s="639"/>
      <c r="F7480" s="640" t="s">
        <v>16</v>
      </c>
      <c r="G7480" s="1070"/>
      <c r="H7480" s="640" t="s">
        <v>3119</v>
      </c>
      <c r="I7480" s="642"/>
      <c r="J7480" s="643"/>
      <c r="K7480" s="636"/>
      <c r="L7480" s="640" t="s">
        <v>28</v>
      </c>
      <c r="M7480" s="640">
        <v>4960.67</v>
      </c>
      <c r="N7480" s="644">
        <v>0.41666666666666669</v>
      </c>
      <c r="O7480" s="897" t="s">
        <v>3121</v>
      </c>
    </row>
    <row r="7481" spans="1:16" ht="19.5" thickBot="1" x14ac:dyDescent="0.3">
      <c r="A7481" s="1101">
        <f>MAX(A7254:A7480)+1</f>
        <v>4566</v>
      </c>
      <c r="B7481" s="479" t="s">
        <v>3088</v>
      </c>
      <c r="C7481" s="480" t="s">
        <v>839</v>
      </c>
      <c r="D7481" s="481">
        <v>3.1</v>
      </c>
      <c r="E7481" s="482">
        <v>3.125</v>
      </c>
      <c r="F7481" s="483" t="s">
        <v>16</v>
      </c>
      <c r="G7481" s="1079"/>
      <c r="H7481" s="483" t="s">
        <v>3119</v>
      </c>
      <c r="I7481" s="484" t="s">
        <v>3139</v>
      </c>
      <c r="J7481" s="485"/>
      <c r="K7481" s="479"/>
      <c r="L7481" s="483" t="s">
        <v>28</v>
      </c>
      <c r="M7481" s="483">
        <v>3111.66</v>
      </c>
      <c r="N7481" s="486">
        <v>0.45833333333333331</v>
      </c>
      <c r="O7481" s="897" t="s">
        <v>3122</v>
      </c>
      <c r="P7481" s="867" t="s">
        <v>3188</v>
      </c>
    </row>
    <row r="7482" spans="1:16" ht="19.5" thickBot="1" x14ac:dyDescent="0.3">
      <c r="A7482" s="1102"/>
      <c r="B7482" s="495" t="s">
        <v>3088</v>
      </c>
      <c r="C7482" s="496" t="s">
        <v>23</v>
      </c>
      <c r="D7482" s="497">
        <v>14.444000000000001</v>
      </c>
      <c r="E7482" s="498">
        <v>14.563000000000001</v>
      </c>
      <c r="F7482" s="499" t="s">
        <v>16</v>
      </c>
      <c r="G7482" s="1077"/>
      <c r="H7482" s="499" t="s">
        <v>3119</v>
      </c>
      <c r="I7482" s="500" t="s">
        <v>3139</v>
      </c>
      <c r="J7482" s="501"/>
      <c r="K7482" s="495"/>
      <c r="L7482" s="499" t="s">
        <v>28</v>
      </c>
      <c r="M7482" s="499">
        <v>14539.51</v>
      </c>
      <c r="N7482" s="502">
        <v>0.45833333333333331</v>
      </c>
      <c r="O7482" s="897" t="s">
        <v>3123</v>
      </c>
      <c r="P7482" s="867" t="s">
        <v>3189</v>
      </c>
    </row>
    <row r="7483" spans="1:16" x14ac:dyDescent="0.25">
      <c r="A7483" s="1098">
        <f t="shared" ref="A7483:A7494" si="229">MAX(A7256:A7482)+1</f>
        <v>4567</v>
      </c>
      <c r="B7483" s="531" t="s">
        <v>3104</v>
      </c>
      <c r="C7483" s="532" t="s">
        <v>1382</v>
      </c>
      <c r="D7483" s="533">
        <v>5.8680000000000003</v>
      </c>
      <c r="E7483" s="534">
        <v>5.9390000000000001</v>
      </c>
      <c r="F7483" s="535" t="s">
        <v>16</v>
      </c>
      <c r="G7483" s="1078"/>
      <c r="H7483" s="535" t="s">
        <v>3119</v>
      </c>
      <c r="I7483" s="537" t="s">
        <v>3137</v>
      </c>
      <c r="J7483" s="538"/>
      <c r="K7483" s="531"/>
      <c r="L7483" s="535" t="s">
        <v>266</v>
      </c>
      <c r="M7483" s="535">
        <v>5915.28</v>
      </c>
      <c r="N7483" s="539">
        <v>0.5</v>
      </c>
      <c r="O7483" s="897" t="s">
        <v>3142</v>
      </c>
      <c r="P7483" s="867" t="s">
        <v>3183</v>
      </c>
    </row>
    <row r="7484" spans="1:16" x14ac:dyDescent="0.25">
      <c r="A7484" s="1099"/>
      <c r="B7484" s="563" t="s">
        <v>3104</v>
      </c>
      <c r="C7484" s="564" t="s">
        <v>480</v>
      </c>
      <c r="D7484" s="565">
        <v>5.73</v>
      </c>
      <c r="E7484" s="566">
        <v>5.8369999999999997</v>
      </c>
      <c r="F7484" s="567" t="s">
        <v>16</v>
      </c>
      <c r="G7484" s="568"/>
      <c r="H7484" s="567" t="s">
        <v>3119</v>
      </c>
      <c r="I7484" s="569" t="s">
        <v>3137</v>
      </c>
      <c r="J7484" s="570"/>
      <c r="K7484" s="563"/>
      <c r="L7484" s="567" t="s">
        <v>266</v>
      </c>
      <c r="M7484" s="567">
        <v>5851.6800000000012</v>
      </c>
      <c r="N7484" s="571">
        <v>0.5</v>
      </c>
      <c r="O7484" s="897" t="s">
        <v>3141</v>
      </c>
      <c r="P7484" s="867" t="s">
        <v>3184</v>
      </c>
    </row>
    <row r="7485" spans="1:16" ht="19.5" thickBot="1" x14ac:dyDescent="0.3">
      <c r="A7485" s="1100"/>
      <c r="B7485" s="636" t="s">
        <v>3104</v>
      </c>
      <c r="C7485" s="637" t="s">
        <v>32</v>
      </c>
      <c r="D7485" s="638">
        <v>6.27</v>
      </c>
      <c r="E7485" s="639">
        <v>6.351</v>
      </c>
      <c r="F7485" s="640" t="s">
        <v>16</v>
      </c>
      <c r="G7485" s="1076" t="s">
        <v>1702</v>
      </c>
      <c r="H7485" s="640" t="s">
        <v>3119</v>
      </c>
      <c r="I7485" s="642" t="s">
        <v>3137</v>
      </c>
      <c r="J7485" s="643"/>
      <c r="K7485" s="636"/>
      <c r="L7485" s="640" t="s">
        <v>266</v>
      </c>
      <c r="M7485" s="640">
        <v>6303.6200000000008</v>
      </c>
      <c r="N7485" s="644">
        <v>0.5</v>
      </c>
      <c r="O7485" s="897" t="s">
        <v>3140</v>
      </c>
      <c r="P7485" s="867" t="s">
        <v>3185</v>
      </c>
    </row>
    <row r="7486" spans="1:16" ht="19.5" thickBot="1" x14ac:dyDescent="0.3">
      <c r="A7486" s="513">
        <f t="shared" si="229"/>
        <v>4568</v>
      </c>
      <c r="B7486" s="514" t="s">
        <v>3104</v>
      </c>
      <c r="C7486" s="515" t="s">
        <v>26</v>
      </c>
      <c r="D7486" s="516">
        <v>14.151999999999999</v>
      </c>
      <c r="E7486" s="517">
        <v>14.151999999999999</v>
      </c>
      <c r="F7486" s="518" t="s">
        <v>30</v>
      </c>
      <c r="G7486" s="519"/>
      <c r="H7486" s="518" t="s">
        <v>3119</v>
      </c>
      <c r="I7486" s="520" t="s">
        <v>3119</v>
      </c>
      <c r="J7486" s="521"/>
      <c r="K7486" s="514"/>
      <c r="L7486" s="518" t="s">
        <v>265</v>
      </c>
      <c r="M7486" s="518">
        <v>14152.36</v>
      </c>
      <c r="N7486" s="522">
        <v>4.1666666666666664E-2</v>
      </c>
      <c r="O7486" s="897" t="s">
        <v>3138</v>
      </c>
      <c r="P7486" s="867" t="s">
        <v>3190</v>
      </c>
    </row>
    <row r="7487" spans="1:16" ht="19.5" thickBot="1" x14ac:dyDescent="0.3">
      <c r="A7487" s="503">
        <f t="shared" si="229"/>
        <v>4569</v>
      </c>
      <c r="B7487" s="504" t="s">
        <v>3104</v>
      </c>
      <c r="C7487" s="505" t="s">
        <v>26</v>
      </c>
      <c r="D7487" s="506">
        <v>17.513000000000002</v>
      </c>
      <c r="E7487" s="507">
        <v>17.216000000000001</v>
      </c>
      <c r="F7487" s="508" t="s">
        <v>16</v>
      </c>
      <c r="G7487" s="509"/>
      <c r="H7487" s="508" t="s">
        <v>3137</v>
      </c>
      <c r="I7487" s="510" t="s">
        <v>3139</v>
      </c>
      <c r="J7487" s="511"/>
      <c r="K7487" s="504"/>
      <c r="L7487" s="508" t="s">
        <v>265</v>
      </c>
      <c r="M7487" s="508">
        <v>17699.060000000001</v>
      </c>
      <c r="N7487" s="512">
        <v>4.1666666666666664E-2</v>
      </c>
      <c r="O7487" s="897" t="s">
        <v>3147</v>
      </c>
      <c r="P7487" s="867" t="s">
        <v>3191</v>
      </c>
    </row>
    <row r="7488" spans="1:16" x14ac:dyDescent="0.25">
      <c r="A7488" s="1101">
        <f t="shared" si="229"/>
        <v>4570</v>
      </c>
      <c r="B7488" s="479" t="s">
        <v>3104</v>
      </c>
      <c r="C7488" s="480" t="s">
        <v>15</v>
      </c>
      <c r="D7488" s="481">
        <v>3.339</v>
      </c>
      <c r="E7488" s="482"/>
      <c r="F7488" s="483" t="s">
        <v>16</v>
      </c>
      <c r="G7488" s="1075"/>
      <c r="H7488" s="483" t="s">
        <v>3137</v>
      </c>
      <c r="I7488" s="484"/>
      <c r="J7488" s="485"/>
      <c r="K7488" s="479"/>
      <c r="L7488" s="483" t="s">
        <v>28</v>
      </c>
      <c r="M7488" s="483">
        <v>3466.6200000000003</v>
      </c>
      <c r="N7488" s="486">
        <v>0.41666666666666669</v>
      </c>
      <c r="O7488" s="897" t="s">
        <v>3157</v>
      </c>
    </row>
    <row r="7489" spans="1:16" x14ac:dyDescent="0.25">
      <c r="A7489" s="1102"/>
      <c r="B7489" s="523" t="s">
        <v>3104</v>
      </c>
      <c r="C7489" s="524" t="s">
        <v>24</v>
      </c>
      <c r="D7489" s="525">
        <v>10.218</v>
      </c>
      <c r="E7489" s="526"/>
      <c r="F7489" s="527" t="s">
        <v>16</v>
      </c>
      <c r="G7489" s="561"/>
      <c r="H7489" s="527" t="s">
        <v>3137</v>
      </c>
      <c r="I7489" s="528"/>
      <c r="J7489" s="529"/>
      <c r="K7489" s="523"/>
      <c r="L7489" s="527" t="s">
        <v>28</v>
      </c>
      <c r="M7489" s="527">
        <v>10412.210000000003</v>
      </c>
      <c r="N7489" s="530">
        <v>0.41666666666666669</v>
      </c>
      <c r="O7489" s="897" t="s">
        <v>3148</v>
      </c>
    </row>
    <row r="7490" spans="1:16" ht="19.5" thickBot="1" x14ac:dyDescent="0.3">
      <c r="A7490" s="1103"/>
      <c r="B7490" s="645" t="s">
        <v>3104</v>
      </c>
      <c r="C7490" s="646" t="s">
        <v>20</v>
      </c>
      <c r="D7490" s="647">
        <v>3.891</v>
      </c>
      <c r="E7490" s="648"/>
      <c r="F7490" s="649" t="s">
        <v>16</v>
      </c>
      <c r="G7490" s="1074"/>
      <c r="H7490" s="649" t="s">
        <v>3137</v>
      </c>
      <c r="I7490" s="651"/>
      <c r="J7490" s="652"/>
      <c r="K7490" s="645"/>
      <c r="L7490" s="649" t="s">
        <v>28</v>
      </c>
      <c r="M7490" s="649">
        <v>4034.2400000000007</v>
      </c>
      <c r="N7490" s="653">
        <v>0.41666666666666669</v>
      </c>
      <c r="O7490" s="897" t="s">
        <v>3156</v>
      </c>
    </row>
    <row r="7491" spans="1:16" ht="19.5" thickBot="1" x14ac:dyDescent="0.3">
      <c r="A7491" s="503">
        <f t="shared" si="229"/>
        <v>4571</v>
      </c>
      <c r="B7491" s="504" t="s">
        <v>3104</v>
      </c>
      <c r="C7491" s="505" t="s">
        <v>47</v>
      </c>
      <c r="D7491" s="506">
        <v>17.593</v>
      </c>
      <c r="E7491" s="507"/>
      <c r="F7491" s="508" t="s">
        <v>16</v>
      </c>
      <c r="G7491" s="509"/>
      <c r="H7491" s="508" t="s">
        <v>3137</v>
      </c>
      <c r="I7491" s="510"/>
      <c r="J7491" s="511"/>
      <c r="K7491" s="504"/>
      <c r="L7491" s="508" t="s">
        <v>28</v>
      </c>
      <c r="M7491" s="508">
        <v>17814.129999999997</v>
      </c>
      <c r="N7491" s="512">
        <v>0.45833333333333331</v>
      </c>
      <c r="O7491" s="897" t="s">
        <v>3158</v>
      </c>
    </row>
    <row r="7492" spans="1:16" ht="38.25" thickBot="1" x14ac:dyDescent="0.3">
      <c r="A7492" s="513">
        <f t="shared" si="229"/>
        <v>4572</v>
      </c>
      <c r="B7492" s="514" t="s">
        <v>3104</v>
      </c>
      <c r="C7492" s="515" t="s">
        <v>23</v>
      </c>
      <c r="D7492" s="516">
        <v>16.576000000000001</v>
      </c>
      <c r="E7492" s="517"/>
      <c r="F7492" s="518" t="s">
        <v>16</v>
      </c>
      <c r="G7492" s="519" t="s">
        <v>1633</v>
      </c>
      <c r="H7492" s="518" t="s">
        <v>3137</v>
      </c>
      <c r="I7492" s="520"/>
      <c r="J7492" s="521"/>
      <c r="K7492" s="514"/>
      <c r="L7492" s="518" t="s">
        <v>28</v>
      </c>
      <c r="M7492" s="518">
        <v>16723.899999999998</v>
      </c>
      <c r="N7492" s="522">
        <v>0.5</v>
      </c>
      <c r="O7492" s="897" t="s">
        <v>3159</v>
      </c>
    </row>
    <row r="7493" spans="1:16" ht="19.5" thickBot="1" x14ac:dyDescent="0.3">
      <c r="A7493" s="503">
        <f t="shared" si="229"/>
        <v>4573</v>
      </c>
      <c r="B7493" s="504" t="s">
        <v>3104</v>
      </c>
      <c r="C7493" s="505" t="s">
        <v>47</v>
      </c>
      <c r="D7493" s="506">
        <v>11.917999999999999</v>
      </c>
      <c r="E7493" s="507"/>
      <c r="F7493" s="508" t="s">
        <v>30</v>
      </c>
      <c r="G7493" s="509"/>
      <c r="H7493" s="508" t="s">
        <v>3137</v>
      </c>
      <c r="I7493" s="510"/>
      <c r="J7493" s="511"/>
      <c r="K7493" s="504"/>
      <c r="L7493" s="508" t="s">
        <v>28</v>
      </c>
      <c r="M7493" s="508">
        <v>11918.440000000002</v>
      </c>
      <c r="N7493" s="512">
        <v>0.45833333333333331</v>
      </c>
      <c r="O7493" s="897" t="s">
        <v>3151</v>
      </c>
    </row>
    <row r="7494" spans="1:16" ht="19.5" thickBot="1" x14ac:dyDescent="0.3">
      <c r="A7494" s="513">
        <f t="shared" si="229"/>
        <v>4574</v>
      </c>
      <c r="B7494" s="514" t="s">
        <v>3104</v>
      </c>
      <c r="C7494" s="515" t="s">
        <v>587</v>
      </c>
      <c r="D7494" s="516">
        <v>12.26</v>
      </c>
      <c r="E7494" s="517"/>
      <c r="F7494" s="518" t="s">
        <v>30</v>
      </c>
      <c r="G7494" s="519" t="s">
        <v>23</v>
      </c>
      <c r="H7494" s="518" t="s">
        <v>3137</v>
      </c>
      <c r="I7494" s="520"/>
      <c r="J7494" s="521"/>
      <c r="K7494" s="514"/>
      <c r="L7494" s="518" t="s">
        <v>28</v>
      </c>
      <c r="M7494" s="518">
        <v>12260.56</v>
      </c>
      <c r="N7494" s="522">
        <v>0.5</v>
      </c>
      <c r="O7494" s="897" t="s">
        <v>3152</v>
      </c>
    </row>
    <row r="7495" spans="1:16" x14ac:dyDescent="0.25">
      <c r="A7495" s="1098">
        <f t="shared" ref="A7495:A7508" si="230">MAX(A7268:A7494)+1</f>
        <v>4575</v>
      </c>
      <c r="B7495" s="531" t="s">
        <v>3104</v>
      </c>
      <c r="C7495" s="532" t="s">
        <v>913</v>
      </c>
      <c r="D7495" s="533">
        <v>2.395</v>
      </c>
      <c r="E7495" s="534">
        <v>2.395</v>
      </c>
      <c r="F7495" s="535" t="s">
        <v>30</v>
      </c>
      <c r="G7495" s="1078"/>
      <c r="H7495" s="535" t="s">
        <v>3137</v>
      </c>
      <c r="I7495" s="537" t="s">
        <v>3139</v>
      </c>
      <c r="J7495" s="538"/>
      <c r="K7495" s="531"/>
      <c r="L7495" s="535" t="s">
        <v>266</v>
      </c>
      <c r="M7495" s="535">
        <v>2395.6799999999998</v>
      </c>
      <c r="N7495" s="539">
        <v>0.41666666666666669</v>
      </c>
      <c r="O7495" s="897" t="s">
        <v>3150</v>
      </c>
      <c r="P7495" s="867" t="s">
        <v>3196</v>
      </c>
    </row>
    <row r="7496" spans="1:16" ht="19.5" thickBot="1" x14ac:dyDescent="0.3">
      <c r="A7496" s="1100"/>
      <c r="B7496" s="636" t="s">
        <v>3104</v>
      </c>
      <c r="C7496" s="637" t="s">
        <v>23</v>
      </c>
      <c r="D7496" s="638">
        <v>9.9280000000000008</v>
      </c>
      <c r="E7496" s="639">
        <v>9.9280000000000008</v>
      </c>
      <c r="F7496" s="640" t="s">
        <v>30</v>
      </c>
      <c r="G7496" s="1076"/>
      <c r="H7496" s="640" t="s">
        <v>3137</v>
      </c>
      <c r="I7496" s="642" t="s">
        <v>3139</v>
      </c>
      <c r="J7496" s="643"/>
      <c r="K7496" s="636"/>
      <c r="L7496" s="640" t="s">
        <v>28</v>
      </c>
      <c r="M7496" s="640">
        <v>9928.64</v>
      </c>
      <c r="N7496" s="644">
        <v>0.41666666666666669</v>
      </c>
      <c r="O7496" s="897" t="s">
        <v>3149</v>
      </c>
      <c r="P7496" s="867" t="s">
        <v>3197</v>
      </c>
    </row>
    <row r="7497" spans="1:16" ht="19.5" thickBot="1" x14ac:dyDescent="0.3">
      <c r="A7497" s="513">
        <f t="shared" si="230"/>
        <v>4576</v>
      </c>
      <c r="B7497" s="514" t="s">
        <v>3104</v>
      </c>
      <c r="C7497" s="515" t="s">
        <v>26</v>
      </c>
      <c r="D7497" s="516">
        <v>17.483000000000001</v>
      </c>
      <c r="E7497" s="517"/>
      <c r="F7497" s="518" t="s">
        <v>16</v>
      </c>
      <c r="G7497" s="519"/>
      <c r="H7497" s="518" t="s">
        <v>3139</v>
      </c>
      <c r="I7497" s="520"/>
      <c r="J7497" s="521"/>
      <c r="K7497" s="514"/>
      <c r="L7497" s="518" t="s">
        <v>265</v>
      </c>
      <c r="M7497" s="518">
        <v>17698.190000000002</v>
      </c>
      <c r="N7497" s="522">
        <v>4.1666666666666664E-2</v>
      </c>
      <c r="O7497" s="897" t="s">
        <v>3143</v>
      </c>
    </row>
    <row r="7498" spans="1:16" ht="19.5" thickBot="1" x14ac:dyDescent="0.3">
      <c r="A7498" s="503">
        <f t="shared" si="230"/>
        <v>4577</v>
      </c>
      <c r="B7498" s="504" t="s">
        <v>3104</v>
      </c>
      <c r="C7498" s="505" t="s">
        <v>26</v>
      </c>
      <c r="D7498" s="506">
        <v>15.032</v>
      </c>
      <c r="E7498" s="507">
        <v>15.032</v>
      </c>
      <c r="F7498" s="508" t="s">
        <v>30</v>
      </c>
      <c r="G7498" s="509"/>
      <c r="H7498" s="508" t="s">
        <v>3139</v>
      </c>
      <c r="I7498" s="510" t="s">
        <v>3139</v>
      </c>
      <c r="J7498" s="511"/>
      <c r="K7498" s="504"/>
      <c r="L7498" s="508" t="s">
        <v>265</v>
      </c>
      <c r="M7498" s="508">
        <v>15032.2</v>
      </c>
      <c r="N7498" s="512">
        <v>4.1666666666666664E-2</v>
      </c>
      <c r="O7498" s="897" t="s">
        <v>3144</v>
      </c>
      <c r="P7498" s="867" t="s">
        <v>3195</v>
      </c>
    </row>
    <row r="7499" spans="1:16" ht="38.25" thickBot="1" x14ac:dyDescent="0.3">
      <c r="A7499" s="513">
        <f t="shared" si="230"/>
        <v>4578</v>
      </c>
      <c r="B7499" s="514" t="s">
        <v>3104</v>
      </c>
      <c r="C7499" s="515" t="s">
        <v>47</v>
      </c>
      <c r="D7499" s="516">
        <v>17.097999999999999</v>
      </c>
      <c r="E7499" s="517"/>
      <c r="F7499" s="518" t="s">
        <v>16</v>
      </c>
      <c r="G7499" s="519" t="s">
        <v>1634</v>
      </c>
      <c r="H7499" s="518" t="s">
        <v>3139</v>
      </c>
      <c r="I7499" s="520"/>
      <c r="J7499" s="521"/>
      <c r="K7499" s="514"/>
      <c r="L7499" s="518" t="s">
        <v>28</v>
      </c>
      <c r="M7499" s="518">
        <v>17222.939999999999</v>
      </c>
      <c r="N7499" s="522">
        <v>0.41666666666666669</v>
      </c>
      <c r="O7499" s="897" t="s">
        <v>3160</v>
      </c>
    </row>
    <row r="7500" spans="1:16" ht="19.5" thickBot="1" x14ac:dyDescent="0.3">
      <c r="A7500" s="503">
        <f t="shared" si="230"/>
        <v>4579</v>
      </c>
      <c r="B7500" s="504" t="s">
        <v>3104</v>
      </c>
      <c r="C7500" s="505" t="s">
        <v>23</v>
      </c>
      <c r="D7500" s="506">
        <v>17.587</v>
      </c>
      <c r="E7500" s="507"/>
      <c r="F7500" s="508" t="s">
        <v>16</v>
      </c>
      <c r="G7500" s="509"/>
      <c r="H7500" s="508" t="s">
        <v>3139</v>
      </c>
      <c r="I7500" s="510"/>
      <c r="J7500" s="511"/>
      <c r="K7500" s="504"/>
      <c r="L7500" s="508" t="s">
        <v>28</v>
      </c>
      <c r="M7500" s="508">
        <v>17705.48</v>
      </c>
      <c r="N7500" s="512">
        <v>0.45833333333333331</v>
      </c>
      <c r="O7500" s="897" t="s">
        <v>3161</v>
      </c>
    </row>
    <row r="7501" spans="1:16" x14ac:dyDescent="0.25">
      <c r="A7501" s="1101">
        <f t="shared" si="230"/>
        <v>4580</v>
      </c>
      <c r="B7501" s="479" t="s">
        <v>3104</v>
      </c>
      <c r="C7501" s="480" t="s">
        <v>15</v>
      </c>
      <c r="D7501" s="481">
        <v>5.6550000000000002</v>
      </c>
      <c r="E7501" s="482"/>
      <c r="F7501" s="483" t="s">
        <v>30</v>
      </c>
      <c r="G7501" s="1075"/>
      <c r="H7501" s="483" t="s">
        <v>3139</v>
      </c>
      <c r="I7501" s="484"/>
      <c r="J7501" s="485"/>
      <c r="K7501" s="479"/>
      <c r="L7501" s="483" t="s">
        <v>28</v>
      </c>
      <c r="M7501" s="483">
        <v>5655.6</v>
      </c>
      <c r="N7501" s="486">
        <v>0.41666666666666669</v>
      </c>
      <c r="O7501" s="897" t="s">
        <v>3153</v>
      </c>
    </row>
    <row r="7502" spans="1:16" x14ac:dyDescent="0.25">
      <c r="A7502" s="1102"/>
      <c r="B7502" s="523" t="s">
        <v>3104</v>
      </c>
      <c r="C7502" s="524" t="s">
        <v>24</v>
      </c>
      <c r="D7502" s="525">
        <v>5.7779999999999996</v>
      </c>
      <c r="E7502" s="526"/>
      <c r="F7502" s="527" t="s">
        <v>30</v>
      </c>
      <c r="G7502" s="561"/>
      <c r="H7502" s="527" t="s">
        <v>3139</v>
      </c>
      <c r="I7502" s="528"/>
      <c r="J7502" s="529"/>
      <c r="K7502" s="523"/>
      <c r="L7502" s="527" t="s">
        <v>28</v>
      </c>
      <c r="M7502" s="527">
        <v>5778.7599999999993</v>
      </c>
      <c r="N7502" s="530">
        <v>0.41666666666666669</v>
      </c>
      <c r="O7502" s="897" t="s">
        <v>3155</v>
      </c>
    </row>
    <row r="7503" spans="1:16" ht="19.5" thickBot="1" x14ac:dyDescent="0.3">
      <c r="A7503" s="1103"/>
      <c r="B7503" s="645" t="s">
        <v>3104</v>
      </c>
      <c r="C7503" s="646" t="s">
        <v>20</v>
      </c>
      <c r="D7503" s="647">
        <v>3.6389999999999998</v>
      </c>
      <c r="E7503" s="648"/>
      <c r="F7503" s="649" t="s">
        <v>30</v>
      </c>
      <c r="G7503" s="1074"/>
      <c r="H7503" s="649" t="s">
        <v>3139</v>
      </c>
      <c r="I7503" s="651"/>
      <c r="J7503" s="652"/>
      <c r="K7503" s="645"/>
      <c r="L7503" s="649" t="s">
        <v>28</v>
      </c>
      <c r="M7503" s="649">
        <v>3639.96</v>
      </c>
      <c r="N7503" s="653">
        <v>0.41666666666666669</v>
      </c>
      <c r="O7503" s="897" t="s">
        <v>3154</v>
      </c>
    </row>
    <row r="7504" spans="1:16" ht="38.25" thickBot="1" x14ac:dyDescent="0.3">
      <c r="A7504" s="503">
        <f t="shared" si="230"/>
        <v>4581</v>
      </c>
      <c r="B7504" s="504" t="s">
        <v>3137</v>
      </c>
      <c r="C7504" s="505" t="s">
        <v>25</v>
      </c>
      <c r="D7504" s="506">
        <v>16.893000000000001</v>
      </c>
      <c r="E7504" s="507"/>
      <c r="F7504" s="508" t="s">
        <v>16</v>
      </c>
      <c r="G7504" s="509" t="s">
        <v>3146</v>
      </c>
      <c r="H7504" s="508" t="s">
        <v>3145</v>
      </c>
      <c r="I7504" s="510"/>
      <c r="J7504" s="511"/>
      <c r="K7504" s="504"/>
      <c r="L7504" s="508" t="s">
        <v>265</v>
      </c>
      <c r="M7504" s="508">
        <v>17023.750000000004</v>
      </c>
      <c r="N7504" s="512">
        <v>0.375</v>
      </c>
      <c r="O7504" s="897" t="s">
        <v>3162</v>
      </c>
    </row>
    <row r="7505" spans="1:15" ht="19.5" thickBot="1" x14ac:dyDescent="0.3">
      <c r="A7505" s="513">
        <f t="shared" si="230"/>
        <v>4582</v>
      </c>
      <c r="B7505" s="514" t="s">
        <v>3139</v>
      </c>
      <c r="C7505" s="515" t="s">
        <v>32</v>
      </c>
      <c r="D7505" s="516">
        <v>18.027000000000001</v>
      </c>
      <c r="E7505" s="517"/>
      <c r="F7505" s="518" t="s">
        <v>16</v>
      </c>
      <c r="G7505" s="519"/>
      <c r="H7505" s="518" t="s">
        <v>3192</v>
      </c>
      <c r="I7505" s="520"/>
      <c r="J7505" s="521"/>
      <c r="K7505" s="514"/>
      <c r="L7505" s="518" t="s">
        <v>266</v>
      </c>
      <c r="M7505" s="518">
        <v>18027.12</v>
      </c>
      <c r="N7505" s="522">
        <v>0.41666666666666669</v>
      </c>
      <c r="O7505" s="897" t="s">
        <v>3193</v>
      </c>
    </row>
    <row r="7506" spans="1:15" ht="19.5" thickBot="1" x14ac:dyDescent="0.3">
      <c r="A7506" s="1082">
        <f t="shared" si="230"/>
        <v>4583</v>
      </c>
      <c r="B7506" s="552" t="s">
        <v>3139</v>
      </c>
      <c r="C7506" s="553" t="s">
        <v>840</v>
      </c>
      <c r="D7506" s="554">
        <v>16.571000000000002</v>
      </c>
      <c r="E7506" s="555"/>
      <c r="F7506" s="556" t="s">
        <v>16</v>
      </c>
      <c r="G7506" s="1083"/>
      <c r="H7506" s="556" t="s">
        <v>3192</v>
      </c>
      <c r="I7506" s="558"/>
      <c r="J7506" s="559"/>
      <c r="K7506" s="552"/>
      <c r="L7506" s="556" t="s">
        <v>266</v>
      </c>
      <c r="M7506" s="556">
        <v>16571.16</v>
      </c>
      <c r="N7506" s="560">
        <v>0.45833333333333331</v>
      </c>
      <c r="O7506" s="897" t="s">
        <v>3194</v>
      </c>
    </row>
    <row r="7507" spans="1:15" ht="19.5" thickBot="1" x14ac:dyDescent="0.3">
      <c r="A7507" s="513">
        <f t="shared" si="230"/>
        <v>4584</v>
      </c>
      <c r="B7507" s="514" t="s">
        <v>3145</v>
      </c>
      <c r="C7507" s="515" t="s">
        <v>26</v>
      </c>
      <c r="D7507" s="516">
        <v>17.797000000000001</v>
      </c>
      <c r="E7507" s="517"/>
      <c r="F7507" s="518" t="s">
        <v>16</v>
      </c>
      <c r="G7507" s="519"/>
      <c r="H7507" s="518" t="s">
        <v>3198</v>
      </c>
      <c r="I7507" s="520"/>
      <c r="J7507" s="521"/>
      <c r="K7507" s="514"/>
      <c r="L7507" s="518" t="s">
        <v>265</v>
      </c>
      <c r="M7507" s="518">
        <v>17952.140000000003</v>
      </c>
      <c r="N7507" s="522">
        <v>4.1666666666666664E-2</v>
      </c>
      <c r="O7507" s="897" t="s">
        <v>3202</v>
      </c>
    </row>
    <row r="7508" spans="1:15" x14ac:dyDescent="0.25">
      <c r="A7508" s="1098">
        <f t="shared" si="230"/>
        <v>4585</v>
      </c>
      <c r="B7508" s="531" t="s">
        <v>3145</v>
      </c>
      <c r="C7508" s="532" t="s">
        <v>26</v>
      </c>
      <c r="D7508" s="533">
        <v>17.483000000000001</v>
      </c>
      <c r="E7508" s="534"/>
      <c r="F7508" s="535" t="s">
        <v>16</v>
      </c>
      <c r="G7508" s="1086"/>
      <c r="H7508" s="535" t="s">
        <v>3198</v>
      </c>
      <c r="I7508" s="537"/>
      <c r="J7508" s="538"/>
      <c r="K7508" s="531"/>
      <c r="L7508" s="535" t="s">
        <v>265</v>
      </c>
      <c r="M7508" s="535">
        <v>17629.28</v>
      </c>
      <c r="N7508" s="539">
        <v>8.3333333333333329E-2</v>
      </c>
      <c r="O7508" s="897" t="s">
        <v>3204</v>
      </c>
    </row>
    <row r="7509" spans="1:15" ht="19.5" thickBot="1" x14ac:dyDescent="0.3">
      <c r="A7509" s="1100"/>
      <c r="B7509" s="636" t="s">
        <v>3145</v>
      </c>
      <c r="C7509" s="637" t="s">
        <v>26</v>
      </c>
      <c r="D7509" s="638">
        <v>0.4</v>
      </c>
      <c r="E7509" s="639"/>
      <c r="F7509" s="640" t="s">
        <v>16</v>
      </c>
      <c r="G7509" s="1084"/>
      <c r="H7509" s="640" t="s">
        <v>3198</v>
      </c>
      <c r="I7509" s="642"/>
      <c r="J7509" s="643"/>
      <c r="K7509" s="636"/>
      <c r="L7509" s="640" t="s">
        <v>265</v>
      </c>
      <c r="M7509" s="640">
        <v>403.2</v>
      </c>
      <c r="N7509" s="644">
        <v>8.3333333333333329E-2</v>
      </c>
      <c r="O7509" s="897" t="s">
        <v>3213</v>
      </c>
    </row>
    <row r="7510" spans="1:15" x14ac:dyDescent="0.25">
      <c r="A7510" s="1101">
        <f>MAX(A7282:A7508)+1</f>
        <v>4586</v>
      </c>
      <c r="B7510" s="479" t="s">
        <v>3145</v>
      </c>
      <c r="C7510" s="480" t="s">
        <v>320</v>
      </c>
      <c r="D7510" s="481">
        <v>2</v>
      </c>
      <c r="E7510" s="482"/>
      <c r="F7510" s="483" t="s">
        <v>30</v>
      </c>
      <c r="G7510" s="1081"/>
      <c r="H7510" s="483" t="s">
        <v>3198</v>
      </c>
      <c r="I7510" s="484"/>
      <c r="J7510" s="485"/>
      <c r="K7510" s="479"/>
      <c r="L7510" s="483" t="s">
        <v>266</v>
      </c>
      <c r="M7510" s="483">
        <v>2000.8799999999999</v>
      </c>
      <c r="N7510" s="486">
        <v>0.41666666666666669</v>
      </c>
      <c r="O7510" s="897" t="s">
        <v>3201</v>
      </c>
    </row>
    <row r="7511" spans="1:15" ht="19.5" thickBot="1" x14ac:dyDescent="0.3">
      <c r="A7511" s="1103"/>
      <c r="B7511" s="645" t="s">
        <v>3145</v>
      </c>
      <c r="C7511" s="646" t="s">
        <v>47</v>
      </c>
      <c r="D7511" s="647">
        <v>9.7040000000000006</v>
      </c>
      <c r="E7511" s="648"/>
      <c r="F7511" s="649" t="s">
        <v>30</v>
      </c>
      <c r="G7511" s="1085"/>
      <c r="H7511" s="649" t="s">
        <v>3198</v>
      </c>
      <c r="I7511" s="651"/>
      <c r="J7511" s="652"/>
      <c r="K7511" s="645"/>
      <c r="L7511" s="649" t="s">
        <v>28</v>
      </c>
      <c r="M7511" s="649">
        <v>9704.36</v>
      </c>
      <c r="N7511" s="653">
        <v>0.41666666666666669</v>
      </c>
      <c r="O7511" s="897" t="s">
        <v>3200</v>
      </c>
    </row>
    <row r="7512" spans="1:15" ht="19.5" thickBot="1" x14ac:dyDescent="0.3">
      <c r="A7512" s="503">
        <f>MAX(A7284:A7511)+1</f>
        <v>4587</v>
      </c>
      <c r="B7512" s="504" t="s">
        <v>3145</v>
      </c>
      <c r="C7512" s="505" t="s">
        <v>26</v>
      </c>
      <c r="D7512" s="506">
        <v>17.704999999999998</v>
      </c>
      <c r="E7512" s="507"/>
      <c r="F7512" s="508" t="s">
        <v>16</v>
      </c>
      <c r="G7512" s="509"/>
      <c r="H7512" s="508" t="s">
        <v>3199</v>
      </c>
      <c r="I7512" s="510"/>
      <c r="J7512" s="511"/>
      <c r="K7512" s="504"/>
      <c r="L7512" s="508" t="s">
        <v>265</v>
      </c>
      <c r="M7512" s="508">
        <v>17892.980000000003</v>
      </c>
      <c r="N7512" s="512">
        <v>4.1666666666666664E-2</v>
      </c>
      <c r="O7512" s="897" t="s">
        <v>3203</v>
      </c>
    </row>
    <row r="7513" spans="1:15" ht="19.5" thickBot="1" x14ac:dyDescent="0.3">
      <c r="A7513" s="513">
        <f>MAX(A7285:A7512)+1</f>
        <v>4588</v>
      </c>
      <c r="B7513" s="514" t="s">
        <v>3145</v>
      </c>
      <c r="C7513" s="515" t="s">
        <v>26</v>
      </c>
      <c r="D7513" s="516">
        <v>17.454999999999998</v>
      </c>
      <c r="E7513" s="517"/>
      <c r="F7513" s="518" t="s">
        <v>16</v>
      </c>
      <c r="G7513" s="519"/>
      <c r="H7513" s="518" t="s">
        <v>3199</v>
      </c>
      <c r="I7513" s="520"/>
      <c r="J7513" s="521"/>
      <c r="K7513" s="514"/>
      <c r="L7513" s="518" t="s">
        <v>265</v>
      </c>
      <c r="M7513" s="518">
        <v>17602.579999999998</v>
      </c>
      <c r="N7513" s="522">
        <v>8.3333333333333329E-2</v>
      </c>
      <c r="O7513" s="897" t="s">
        <v>3205</v>
      </c>
    </row>
    <row r="7514" spans="1:15" x14ac:dyDescent="0.25">
      <c r="A7514" s="1098">
        <f>MAX(A7286:A7513)+1</f>
        <v>4589</v>
      </c>
      <c r="B7514" s="531" t="s">
        <v>3145</v>
      </c>
      <c r="C7514" s="532" t="s">
        <v>21</v>
      </c>
      <c r="D7514" s="533">
        <v>3.2810000000000001</v>
      </c>
      <c r="E7514" s="534"/>
      <c r="F7514" s="535" t="s">
        <v>16</v>
      </c>
      <c r="G7514" s="1086"/>
      <c r="H7514" s="535" t="s">
        <v>3199</v>
      </c>
      <c r="I7514" s="537"/>
      <c r="J7514" s="538"/>
      <c r="K7514" s="531"/>
      <c r="L7514" s="535" t="s">
        <v>265</v>
      </c>
      <c r="M7514" s="535">
        <v>3281.2800000000007</v>
      </c>
      <c r="N7514" s="539">
        <v>0.41666666666666669</v>
      </c>
      <c r="O7514" s="897" t="s">
        <v>3208</v>
      </c>
    </row>
    <row r="7515" spans="1:15" x14ac:dyDescent="0.25">
      <c r="A7515" s="1099"/>
      <c r="B7515" s="563" t="s">
        <v>3145</v>
      </c>
      <c r="C7515" s="564" t="s">
        <v>21</v>
      </c>
      <c r="D7515" s="565">
        <v>5.4029999999999996</v>
      </c>
      <c r="E7515" s="566"/>
      <c r="F7515" s="567" t="s">
        <v>16</v>
      </c>
      <c r="G7515" s="568"/>
      <c r="H7515" s="567" t="s">
        <v>3199</v>
      </c>
      <c r="I7515" s="569"/>
      <c r="J7515" s="570"/>
      <c r="K7515" s="563"/>
      <c r="L7515" s="567" t="s">
        <v>28</v>
      </c>
      <c r="M7515" s="567">
        <v>5403.42</v>
      </c>
      <c r="N7515" s="571">
        <v>0.41666666666666669</v>
      </c>
      <c r="O7515" s="1087" t="s">
        <v>3210</v>
      </c>
    </row>
    <row r="7516" spans="1:15" x14ac:dyDescent="0.25">
      <c r="A7516" s="1099"/>
      <c r="B7516" s="563" t="s">
        <v>3145</v>
      </c>
      <c r="C7516" s="564" t="s">
        <v>24</v>
      </c>
      <c r="D7516" s="565">
        <v>5.7009999999999996</v>
      </c>
      <c r="E7516" s="566"/>
      <c r="F7516" s="567" t="s">
        <v>16</v>
      </c>
      <c r="G7516" s="568"/>
      <c r="H7516" s="567" t="s">
        <v>3199</v>
      </c>
      <c r="I7516" s="569"/>
      <c r="J7516" s="570"/>
      <c r="K7516" s="563"/>
      <c r="L7516" s="567" t="s">
        <v>28</v>
      </c>
      <c r="M7516" s="567">
        <v>5817.8799999999992</v>
      </c>
      <c r="N7516" s="571">
        <v>0.41666666666666669</v>
      </c>
      <c r="O7516" s="1087" t="s">
        <v>3209</v>
      </c>
    </row>
    <row r="7517" spans="1:15" ht="19.5" thickBot="1" x14ac:dyDescent="0.3">
      <c r="A7517" s="1100"/>
      <c r="B7517" s="636" t="s">
        <v>3145</v>
      </c>
      <c r="C7517" s="637" t="s">
        <v>20</v>
      </c>
      <c r="D7517" s="638">
        <v>3.0680000000000001</v>
      </c>
      <c r="E7517" s="639"/>
      <c r="F7517" s="640" t="s">
        <v>16</v>
      </c>
      <c r="G7517" s="1084"/>
      <c r="H7517" s="640" t="s">
        <v>3199</v>
      </c>
      <c r="I7517" s="642"/>
      <c r="J7517" s="643"/>
      <c r="K7517" s="636"/>
      <c r="L7517" s="640" t="s">
        <v>28</v>
      </c>
      <c r="M7517" s="640">
        <v>3184.11</v>
      </c>
      <c r="N7517" s="644">
        <v>0.41666666666666669</v>
      </c>
      <c r="O7517" s="897" t="s">
        <v>3206</v>
      </c>
    </row>
    <row r="7518" spans="1:15" x14ac:dyDescent="0.25">
      <c r="A7518" s="1101">
        <f>MAX(A7290:A7517)+1</f>
        <v>4590</v>
      </c>
      <c r="B7518" s="479" t="s">
        <v>3145</v>
      </c>
      <c r="C7518" s="480" t="s">
        <v>913</v>
      </c>
      <c r="D7518" s="481">
        <v>2.5489999999999999</v>
      </c>
      <c r="E7518" s="482"/>
      <c r="F7518" s="483" t="s">
        <v>16</v>
      </c>
      <c r="G7518" s="1081"/>
      <c r="H7518" s="483" t="s">
        <v>3199</v>
      </c>
      <c r="I7518" s="484"/>
      <c r="J7518" s="485"/>
      <c r="K7518" s="479"/>
      <c r="L7518" s="483" t="s">
        <v>266</v>
      </c>
      <c r="M7518" s="483">
        <v>2549.6</v>
      </c>
      <c r="N7518" s="486">
        <v>0.45833333333333331</v>
      </c>
      <c r="O7518" s="897" t="s">
        <v>3207</v>
      </c>
    </row>
    <row r="7519" spans="1:15" x14ac:dyDescent="0.25">
      <c r="A7519" s="1102"/>
      <c r="B7519" s="523" t="s">
        <v>3145</v>
      </c>
      <c r="C7519" s="524" t="s">
        <v>839</v>
      </c>
      <c r="D7519" s="525">
        <v>4.0270000000000001</v>
      </c>
      <c r="E7519" s="526"/>
      <c r="F7519" s="527" t="s">
        <v>16</v>
      </c>
      <c r="G7519" s="561"/>
      <c r="H7519" s="527" t="s">
        <v>3199</v>
      </c>
      <c r="I7519" s="528"/>
      <c r="J7519" s="529"/>
      <c r="K7519" s="523"/>
      <c r="L7519" s="527" t="s">
        <v>28</v>
      </c>
      <c r="M7519" s="527">
        <v>4027.02</v>
      </c>
      <c r="N7519" s="530">
        <v>0.45833333333333331</v>
      </c>
      <c r="O7519" s="897" t="s">
        <v>3212</v>
      </c>
    </row>
    <row r="7520" spans="1:15" ht="19.5" thickBot="1" x14ac:dyDescent="0.3">
      <c r="A7520" s="1103"/>
      <c r="B7520" s="645" t="s">
        <v>3145</v>
      </c>
      <c r="C7520" s="646" t="s">
        <v>23</v>
      </c>
      <c r="D7520" s="647">
        <v>11.099</v>
      </c>
      <c r="E7520" s="648"/>
      <c r="F7520" s="649" t="s">
        <v>16</v>
      </c>
      <c r="G7520" s="1085"/>
      <c r="H7520" s="649" t="s">
        <v>3199</v>
      </c>
      <c r="I7520" s="651"/>
      <c r="J7520" s="652"/>
      <c r="K7520" s="645"/>
      <c r="L7520" s="649" t="s">
        <v>28</v>
      </c>
      <c r="M7520" s="649">
        <v>11208.2</v>
      </c>
      <c r="N7520" s="653">
        <v>0.45833333333333331</v>
      </c>
      <c r="O7520" s="897" t="s">
        <v>3211</v>
      </c>
    </row>
    <row r="7521" spans="1:14" x14ac:dyDescent="0.25">
      <c r="A7521" s="676">
        <f t="shared" ref="A7521:A7529" si="231">MAX(A7293:A7520)+1</f>
        <v>4591</v>
      </c>
      <c r="B7521" s="676"/>
      <c r="C7521" s="473"/>
      <c r="D7521" s="474"/>
      <c r="E7521" s="475"/>
      <c r="F7521" s="676"/>
      <c r="G7521" s="476"/>
      <c r="H7521" s="676"/>
      <c r="I7521" s="477"/>
      <c r="J7521" s="1080"/>
      <c r="K7521" s="676"/>
      <c r="L7521" s="676"/>
      <c r="M7521" s="676"/>
      <c r="N7521" s="676"/>
    </row>
    <row r="7522" spans="1:14" x14ac:dyDescent="0.25">
      <c r="A7522" s="676">
        <f t="shared" si="231"/>
        <v>4592</v>
      </c>
      <c r="B7522" s="676"/>
      <c r="C7522" s="473"/>
      <c r="D7522" s="474"/>
      <c r="E7522" s="475"/>
      <c r="F7522" s="676"/>
      <c r="G7522" s="476"/>
      <c r="H7522" s="676"/>
      <c r="I7522" s="477"/>
      <c r="J7522" s="1080"/>
      <c r="K7522" s="676"/>
      <c r="L7522" s="676"/>
      <c r="M7522" s="676"/>
      <c r="N7522" s="676"/>
    </row>
    <row r="7523" spans="1:14" x14ac:dyDescent="0.25">
      <c r="A7523" s="676">
        <f t="shared" si="231"/>
        <v>4593</v>
      </c>
      <c r="B7523" s="676"/>
      <c r="C7523" s="473"/>
      <c r="D7523" s="474"/>
      <c r="E7523" s="475"/>
      <c r="F7523" s="676"/>
      <c r="G7523" s="476"/>
      <c r="H7523" s="676"/>
      <c r="I7523" s="477"/>
      <c r="J7523" s="1080"/>
      <c r="K7523" s="676"/>
      <c r="L7523" s="676"/>
      <c r="M7523" s="676"/>
      <c r="N7523" s="676"/>
    </row>
    <row r="7524" spans="1:14" x14ac:dyDescent="0.25">
      <c r="A7524" s="676">
        <f t="shared" si="231"/>
        <v>4594</v>
      </c>
      <c r="B7524" s="676"/>
      <c r="C7524" s="473"/>
      <c r="D7524" s="474"/>
      <c r="E7524" s="475"/>
      <c r="F7524" s="676"/>
      <c r="G7524" s="476"/>
      <c r="H7524" s="676"/>
      <c r="I7524" s="477"/>
      <c r="J7524" s="1080"/>
      <c r="K7524" s="676"/>
      <c r="L7524" s="676"/>
      <c r="M7524" s="676"/>
      <c r="N7524" s="676"/>
    </row>
    <row r="7525" spans="1:14" x14ac:dyDescent="0.25">
      <c r="A7525" s="676">
        <f t="shared" si="231"/>
        <v>4595</v>
      </c>
      <c r="B7525" s="676"/>
      <c r="C7525" s="473"/>
      <c r="D7525" s="474"/>
      <c r="E7525" s="475"/>
      <c r="F7525" s="676"/>
      <c r="G7525" s="476"/>
      <c r="H7525" s="676"/>
      <c r="I7525" s="477"/>
      <c r="J7525" s="1080"/>
      <c r="K7525" s="676"/>
      <c r="L7525" s="676"/>
      <c r="M7525" s="676"/>
      <c r="N7525" s="676"/>
    </row>
    <row r="7526" spans="1:14" x14ac:dyDescent="0.25">
      <c r="A7526" s="676">
        <f t="shared" si="231"/>
        <v>4596</v>
      </c>
      <c r="B7526" s="676"/>
      <c r="C7526" s="473"/>
      <c r="D7526" s="474"/>
      <c r="E7526" s="475"/>
      <c r="F7526" s="676"/>
      <c r="G7526" s="476"/>
      <c r="H7526" s="676"/>
      <c r="I7526" s="477"/>
      <c r="J7526" s="1080"/>
      <c r="K7526" s="676"/>
      <c r="L7526" s="676"/>
      <c r="M7526" s="676"/>
      <c r="N7526" s="676"/>
    </row>
    <row r="7527" spans="1:14" x14ac:dyDescent="0.25">
      <c r="A7527" s="676">
        <f t="shared" si="231"/>
        <v>4597</v>
      </c>
      <c r="B7527" s="676"/>
      <c r="C7527" s="473"/>
      <c r="D7527" s="474"/>
      <c r="E7527" s="475"/>
      <c r="F7527" s="676"/>
      <c r="G7527" s="476"/>
      <c r="H7527" s="676"/>
      <c r="I7527" s="477"/>
      <c r="J7527" s="1080"/>
      <c r="K7527" s="676"/>
      <c r="L7527" s="676"/>
      <c r="M7527" s="676"/>
      <c r="N7527" s="676"/>
    </row>
    <row r="7528" spans="1:14" x14ac:dyDescent="0.25">
      <c r="A7528" s="676">
        <f t="shared" si="231"/>
        <v>4598</v>
      </c>
      <c r="B7528" s="676"/>
      <c r="C7528" s="473"/>
      <c r="D7528" s="474"/>
      <c r="E7528" s="475"/>
      <c r="F7528" s="676"/>
      <c r="G7528" s="476"/>
      <c r="H7528" s="676"/>
      <c r="I7528" s="477"/>
      <c r="J7528" s="1080"/>
      <c r="K7528" s="676"/>
      <c r="L7528" s="676"/>
      <c r="M7528" s="676"/>
      <c r="N7528" s="676"/>
    </row>
    <row r="7529" spans="1:14" x14ac:dyDescent="0.25">
      <c r="A7529" s="676">
        <f t="shared" si="231"/>
        <v>4599</v>
      </c>
      <c r="B7529" s="676"/>
      <c r="C7529" s="473"/>
      <c r="D7529" s="474"/>
      <c r="E7529" s="475"/>
      <c r="F7529" s="676"/>
      <c r="G7529" s="476"/>
      <c r="H7529" s="676"/>
      <c r="I7529" s="477"/>
      <c r="J7529" s="1080"/>
      <c r="K7529" s="676"/>
      <c r="L7529" s="676"/>
      <c r="M7529" s="676"/>
      <c r="N7529" s="676"/>
    </row>
  </sheetData>
  <autoFilter ref="A2:R7529" xr:uid="{9E4C531E-AD50-422A-AC7C-8C5AF4C19268}">
    <filterColumn colId="10">
      <filters blank="1"/>
    </filterColumn>
  </autoFilter>
  <mergeCells count="2008">
    <mergeCell ref="A7510:A7511"/>
    <mergeCell ref="A7483:A7485"/>
    <mergeCell ref="A7488:A7490"/>
    <mergeCell ref="A7495:A7496"/>
    <mergeCell ref="A7476:A7477"/>
    <mergeCell ref="A7478:A7480"/>
    <mergeCell ref="A7481:A7482"/>
    <mergeCell ref="A7405:A7406"/>
    <mergeCell ref="A7409:A7411"/>
    <mergeCell ref="G7409:G7411"/>
    <mergeCell ref="A7434:A7437"/>
    <mergeCell ref="A7438:A7440"/>
    <mergeCell ref="A7441:A7442"/>
    <mergeCell ref="A7401:A7402"/>
    <mergeCell ref="G7401:G7402"/>
    <mergeCell ref="A7403:A7404"/>
    <mergeCell ref="G7403:G7404"/>
    <mergeCell ref="A7412:A7413"/>
    <mergeCell ref="G7412:G7413"/>
    <mergeCell ref="A7467:A7468"/>
    <mergeCell ref="A7472:A7473"/>
    <mergeCell ref="A7474:A7475"/>
    <mergeCell ref="A7501:A7503"/>
    <mergeCell ref="A7398:A7400"/>
    <mergeCell ref="A7330:A7331"/>
    <mergeCell ref="A7332:A7334"/>
    <mergeCell ref="G7332:G7334"/>
    <mergeCell ref="A7461:A7462"/>
    <mergeCell ref="A7418:A7420"/>
    <mergeCell ref="A7421:A7423"/>
    <mergeCell ref="A7446:A7447"/>
    <mergeCell ref="G7446:G7447"/>
    <mergeCell ref="A7449:A7450"/>
    <mergeCell ref="A7451:A7452"/>
    <mergeCell ref="A7454:A7456"/>
    <mergeCell ref="G7454:G7456"/>
    <mergeCell ref="A7424:A7426"/>
    <mergeCell ref="A7429:A7430"/>
    <mergeCell ref="A7431:A7433"/>
    <mergeCell ref="A7407:A7408"/>
    <mergeCell ref="A7415:A7416"/>
    <mergeCell ref="A7370:A7374"/>
    <mergeCell ref="A7375:A7379"/>
    <mergeCell ref="A7458:A7459"/>
    <mergeCell ref="A7321:A7324"/>
    <mergeCell ref="A7325:A7327"/>
    <mergeCell ref="A7285:A7286"/>
    <mergeCell ref="A7267:A7270"/>
    <mergeCell ref="A7275:A7276"/>
    <mergeCell ref="A7283:A7284"/>
    <mergeCell ref="A7386:A7388"/>
    <mergeCell ref="A7389:A7391"/>
    <mergeCell ref="A7392:A7395"/>
    <mergeCell ref="A7381:A7384"/>
    <mergeCell ref="G7281:G7282"/>
    <mergeCell ref="A7338:A7340"/>
    <mergeCell ref="A7341:A7342"/>
    <mergeCell ref="A7344:A7345"/>
    <mergeCell ref="A7357:A7359"/>
    <mergeCell ref="G7375:G7379"/>
    <mergeCell ref="A7360:A7362"/>
    <mergeCell ref="A7281:A7282"/>
    <mergeCell ref="A7296:A7297"/>
    <mergeCell ref="A7328:A7329"/>
    <mergeCell ref="A7365:A7366"/>
    <mergeCell ref="A7346:A7347"/>
    <mergeCell ref="G7346:G7347"/>
    <mergeCell ref="A7367:A7369"/>
    <mergeCell ref="A7335:A7336"/>
    <mergeCell ref="G7335:G7336"/>
    <mergeCell ref="A7351:A7354"/>
    <mergeCell ref="A7199:A7200"/>
    <mergeCell ref="A7201:A7203"/>
    <mergeCell ref="A7262:A7266"/>
    <mergeCell ref="A7216:A7217"/>
    <mergeCell ref="A7225:A7226"/>
    <mergeCell ref="A7223:A7224"/>
    <mergeCell ref="A7227:A7228"/>
    <mergeCell ref="A7256:A7257"/>
    <mergeCell ref="A7221:A7222"/>
    <mergeCell ref="A7242:A7243"/>
    <mergeCell ref="A7259:A7261"/>
    <mergeCell ref="A7273:A7274"/>
    <mergeCell ref="A7271:A7272"/>
    <mergeCell ref="A7278:A7279"/>
    <mergeCell ref="A7318:A7320"/>
    <mergeCell ref="A7311:A7317"/>
    <mergeCell ref="A7290:A7292"/>
    <mergeCell ref="A7301:A7305"/>
    <mergeCell ref="A7306:A7308"/>
    <mergeCell ref="A7298:A7300"/>
    <mergeCell ref="A7293:A7295"/>
    <mergeCell ref="A7230:A7231"/>
    <mergeCell ref="A7232:A7234"/>
    <mergeCell ref="A7235:A7236"/>
    <mergeCell ref="A7237:A7241"/>
    <mergeCell ref="A7244:A7247"/>
    <mergeCell ref="A7248:A7251"/>
    <mergeCell ref="A7252:A7255"/>
    <mergeCell ref="A7218:A7219"/>
    <mergeCell ref="A7204:A7205"/>
    <mergeCell ref="A7167:A7168"/>
    <mergeCell ref="A7185:A7187"/>
    <mergeCell ref="A7188:A7190"/>
    <mergeCell ref="G7173:G7176"/>
    <mergeCell ref="A7196:A7198"/>
    <mergeCell ref="A7161:A7162"/>
    <mergeCell ref="A7163:A7164"/>
    <mergeCell ref="A7129:A7130"/>
    <mergeCell ref="G7129:G7130"/>
    <mergeCell ref="G7127:G7128"/>
    <mergeCell ref="A7127:A7128"/>
    <mergeCell ref="A7209:A7210"/>
    <mergeCell ref="A7110:A7111"/>
    <mergeCell ref="A7144:A7147"/>
    <mergeCell ref="A7148:A7150"/>
    <mergeCell ref="G7148:G7150"/>
    <mergeCell ref="A7151:A7153"/>
    <mergeCell ref="A7131:A7134"/>
    <mergeCell ref="A7112:A7114"/>
    <mergeCell ref="A7115:A7118"/>
    <mergeCell ref="A7120:A7123"/>
    <mergeCell ref="A7191:A7194"/>
    <mergeCell ref="G7191:G7194"/>
    <mergeCell ref="A7173:A7176"/>
    <mergeCell ref="A7177:A7179"/>
    <mergeCell ref="A7180:A7182"/>
    <mergeCell ref="A7165:A7166"/>
    <mergeCell ref="A7169:A7171"/>
    <mergeCell ref="A7142:A7143"/>
    <mergeCell ref="G7204:G7205"/>
    <mergeCell ref="A7206:A7207"/>
    <mergeCell ref="G7206:G7207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A6735:A6736"/>
    <mergeCell ref="A7093:A7094"/>
    <mergeCell ref="G7115:G7118"/>
    <mergeCell ref="A7095:A7096"/>
    <mergeCell ref="A6721:A6722"/>
    <mergeCell ref="A6992:A6995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402:A5403"/>
    <mergeCell ref="A5497:A5498"/>
    <mergeCell ref="A5499:A5500"/>
    <mergeCell ref="A5599:A5600"/>
    <mergeCell ref="A6601:A6602"/>
    <mergeCell ref="A6552:A6554"/>
    <mergeCell ref="A6663:A6664"/>
    <mergeCell ref="A6644:A6647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5385:A5386"/>
    <mergeCell ref="A5387:A5388"/>
    <mergeCell ref="A5577:A5578"/>
    <mergeCell ref="A5342:A5343"/>
    <mergeCell ref="A5542:A5546"/>
    <mergeCell ref="G5489:G5490"/>
    <mergeCell ref="G5534:G5538"/>
    <mergeCell ref="A5575:A5576"/>
    <mergeCell ref="G5549:G5550"/>
    <mergeCell ref="A5518:A5522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A5326:A5327"/>
    <mergeCell ref="A5452:A5453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305:A5308"/>
    <mergeCell ref="A5267:A5269"/>
    <mergeCell ref="A5311:A5312"/>
    <mergeCell ref="A5296:A5297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A5625:A5626"/>
    <mergeCell ref="A6822:A6828"/>
    <mergeCell ref="A6791:A6793"/>
    <mergeCell ref="A6789:A6790"/>
    <mergeCell ref="A6836:A6838"/>
    <mergeCell ref="A6833:A6835"/>
    <mergeCell ref="A6729:A6730"/>
    <mergeCell ref="A6731:A6732"/>
    <mergeCell ref="A6680:A6681"/>
    <mergeCell ref="A6682:A6683"/>
    <mergeCell ref="A6635:A6637"/>
    <mergeCell ref="A6709:A6712"/>
    <mergeCell ref="A6698:A6699"/>
    <mergeCell ref="A6611:A6612"/>
    <mergeCell ref="G6560:G6561"/>
    <mergeCell ref="A6763:A6765"/>
    <mergeCell ref="A6771:A6774"/>
    <mergeCell ref="A6640:A6642"/>
    <mergeCell ref="A6675:A6676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589:A6590"/>
    <mergeCell ref="A6668:A6669"/>
    <mergeCell ref="A6595:A6599"/>
    <mergeCell ref="G6718:G6720"/>
    <mergeCell ref="A6604:A6605"/>
    <mergeCell ref="A6673:A6674"/>
    <mergeCell ref="A6856:A6859"/>
    <mergeCell ref="A6817:A6821"/>
    <mergeCell ref="A6891:A6892"/>
    <mergeCell ref="A6881:A6882"/>
    <mergeCell ref="A6861:A6863"/>
    <mergeCell ref="A6889:A6890"/>
    <mergeCell ref="A6785:A6786"/>
    <mergeCell ref="A6780:A6781"/>
    <mergeCell ref="A6908:A6911"/>
    <mergeCell ref="A6912:A6913"/>
    <mergeCell ref="A6893:A6895"/>
    <mergeCell ref="A5606:A5607"/>
    <mergeCell ref="A6617:A6618"/>
    <mergeCell ref="A6678:A6679"/>
    <mergeCell ref="G6604:G6605"/>
    <mergeCell ref="A6840:A6843"/>
    <mergeCell ref="A6844:A6846"/>
    <mergeCell ref="A6847:A6851"/>
    <mergeCell ref="A6727:A6728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688:A6690"/>
    <mergeCell ref="A6695:A6697"/>
    <mergeCell ref="A6700:A6702"/>
    <mergeCell ref="G6721:G6722"/>
    <mergeCell ref="A5623:A5624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941:A6942"/>
    <mergeCell ref="A7017:A7019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G6876:G6877"/>
    <mergeCell ref="A6808:A6811"/>
    <mergeCell ref="A6797:A6800"/>
    <mergeCell ref="A6787:A6788"/>
    <mergeCell ref="A7058:A7061"/>
    <mergeCell ref="G6948:G6950"/>
    <mergeCell ref="A6775:A6777"/>
    <mergeCell ref="A6864:A6865"/>
    <mergeCell ref="A6866:A6867"/>
    <mergeCell ref="A6878:A6879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6985:A6986"/>
    <mergeCell ref="A6987:A6988"/>
    <mergeCell ref="A6968:A6969"/>
    <mergeCell ref="A6948:A6950"/>
    <mergeCell ref="A7514:A7517"/>
    <mergeCell ref="A7518:A7520"/>
    <mergeCell ref="A7508:A7509"/>
    <mergeCell ref="G6878:G6879"/>
    <mergeCell ref="G6861:G6863"/>
    <mergeCell ref="A6870:A6872"/>
    <mergeCell ref="A7138:A7139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135:A7137"/>
    <mergeCell ref="G7135:G7137"/>
    <mergeCell ref="A7104:A7105"/>
    <mergeCell ref="A6999:A7003"/>
    <mergeCell ref="G6999:G7003"/>
    <mergeCell ref="A7004:A7005"/>
    <mergeCell ref="A7076:A7077"/>
    <mergeCell ref="A7078:A7079"/>
    <mergeCell ref="A7080:A7081"/>
    <mergeCell ref="G7080:G7081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2026-10-14T13:28:28Z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