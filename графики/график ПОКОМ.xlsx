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AECDB757-5BC2-44D3-BF84-B3F50496B44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Лист1!$A$2:$R$6994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960" i="1" l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s="1"/>
  <c r="A6896" i="1" s="1"/>
  <c r="A6899" i="1" l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/>
  <c r="A6926" i="1" s="1"/>
  <c r="A6928" i="1" s="1"/>
  <c r="A6932" i="1" s="1"/>
  <c r="A6936" i="1" s="1"/>
  <c r="A6938" i="1" l="1"/>
  <c r="A6939" i="1" s="1"/>
  <c r="A6941" i="1" s="1"/>
  <c r="A6943" i="1" s="1"/>
  <c r="A6948" i="1" s="1"/>
  <c r="A6951" i="1" s="1"/>
  <c r="A6953" i="1" s="1"/>
  <c r="A6954" i="1" l="1"/>
  <c r="A6955" i="1" s="1"/>
  <c r="A6956" i="1" s="1"/>
  <c r="A6957" i="1" s="1"/>
  <c r="A6958" i="1" s="1"/>
  <c r="A6962" i="1" l="1"/>
  <c r="A6967" i="1" s="1"/>
  <c r="A6968" i="1" l="1"/>
  <c r="A6971" i="1" s="1"/>
  <c r="A6974" i="1" s="1"/>
  <c r="A6975" i="1" s="1"/>
  <c r="A6976" i="1" s="1"/>
  <c r="A6978" i="1" s="1"/>
  <c r="A6979" i="1" s="1"/>
  <c r="A6981" i="1" s="1"/>
  <c r="A6984" i="1" l="1"/>
  <c r="A6985" i="1" s="1"/>
  <c r="A6986" i="1" s="1"/>
  <c r="A6987" i="1" s="1"/>
  <c r="A6988" i="1" s="1"/>
  <c r="A6989" i="1" l="1"/>
  <c r="A6990" i="1" s="1"/>
  <c r="A6991" i="1" l="1"/>
  <c r="A6992" i="1" s="1"/>
  <c r="A6993" i="1" s="1"/>
  <c r="A6994" i="1" s="1"/>
  <c r="A6995" i="1" l="1"/>
  <c r="A6996" i="1"/>
  <c r="A6997" i="1" l="1"/>
  <c r="A6998" i="1" s="1"/>
  <c r="A6999" i="1" s="1"/>
  <c r="A7000" i="1" s="1"/>
  <c r="A7001" i="1" s="1"/>
  <c r="A7002" i="1" l="1"/>
  <c r="A7003" i="1" s="1"/>
  <c r="A7004" i="1" s="1"/>
  <c r="A7005" i="1" s="1"/>
</calcChain>
</file>

<file path=xl/sharedStrings.xml><?xml version="1.0" encoding="utf-8"?>
<sst xmlns="http://schemas.openxmlformats.org/spreadsheetml/2006/main" count="44421" uniqueCount="2068">
  <si>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</si>
  <si>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</si>
  <si>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</si>
  <si>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</si>
  <si>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</si>
  <si>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</si>
  <si>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</si>
  <si>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</si>
  <si>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</si>
  <si>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</si>
  <si>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</si>
  <si>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</si>
  <si>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</si>
  <si>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</si>
  <si>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</si>
  <si>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</si>
  <si>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</si>
  <si>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</si>
  <si>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</si>
  <si>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</si>
  <si>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</si>
  <si>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</si>
  <si>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</si>
  <si>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</si>
  <si>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</si>
  <si>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</si>
  <si>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</si>
  <si>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</si>
  <si>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</si>
  <si>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</si>
  <si>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</si>
  <si>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</si>
  <si>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</si>
  <si>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</si>
  <si>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</si>
  <si>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</si>
  <si>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</si>
  <si>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</si>
  <si>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</si>
  <si>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</si>
  <si>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</si>
  <si>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</si>
  <si>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</si>
  <si>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</si>
  <si>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</si>
  <si>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</si>
  <si>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</si>
  <si>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</si>
  <si>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</si>
  <si>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</si>
  <si>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</si>
  <si>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</si>
  <si>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</si>
  <si>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</si>
  <si>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</si>
  <si>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</si>
  <si>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</si>
  <si>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</si>
  <si>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</si>
  <si>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</si>
  <si>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</si>
  <si>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</si>
  <si>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</si>
  <si>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</si>
  <si>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</si>
  <si>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</si>
  <si>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</si>
  <si>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</si>
  <si>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</si>
  <si>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</si>
  <si>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</si>
  <si>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</si>
  <si>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</si>
  <si>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</si>
  <si>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</si>
  <si>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</si>
  <si>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</si>
  <si>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</si>
  <si>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</si>
  <si>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</si>
  <si>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</si>
  <si>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</si>
  <si>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</si>
  <si>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</si>
  <si>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</si>
  <si>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</si>
  <si>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</si>
  <si>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</si>
  <si>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</si>
  <si>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</si>
  <si>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</si>
  <si>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</si>
  <si>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</si>
  <si>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</si>
  <si>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</si>
  <si>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</si>
  <si>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</si>
  <si>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</si>
  <si>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</si>
  <si>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</si>
  <si>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</si>
  <si>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</si>
  <si>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</si>
  <si>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</si>
  <si>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</si>
  <si>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</si>
  <si>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</si>
  <si>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</si>
  <si>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</si>
  <si>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</si>
  <si>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</si>
  <si>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</si>
  <si>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</si>
  <si>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</si>
  <si>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</si>
  <si>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</si>
  <si>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</si>
  <si>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</si>
  <si>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</si>
  <si>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</si>
  <si>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</si>
  <si>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</si>
  <si>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</si>
  <si>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</si>
  <si>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</si>
  <si>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</si>
  <si>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</si>
  <si>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</si>
  <si>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</si>
  <si>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</si>
  <si>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</si>
  <si>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</si>
  <si>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</si>
  <si>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</si>
  <si>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</si>
  <si>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</si>
  <si>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</si>
  <si>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</si>
  <si>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</si>
  <si>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</si>
  <si>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</si>
  <si>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</si>
  <si>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</si>
  <si>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</si>
  <si>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</si>
  <si>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</si>
  <si>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</si>
  <si>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</si>
  <si>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</si>
  <si>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</si>
  <si>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</si>
  <si>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</si>
  <si>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</si>
  <si>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</si>
  <si>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</si>
  <si>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</si>
  <si>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</si>
  <si>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</si>
  <si>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</si>
  <si>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</si>
  <si>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</si>
  <si>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</si>
  <si>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</si>
  <si>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</si>
  <si>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</si>
  <si>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</si>
  <si>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</si>
  <si>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</si>
  <si>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</si>
  <si>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</si>
  <si>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</si>
  <si>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</si>
  <si>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</si>
  <si>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</si>
  <si>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</si>
  <si>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</si>
  <si>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</si>
  <si>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</si>
  <si>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</si>
  <si>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</si>
  <si>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</si>
  <si>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</si>
  <si>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</si>
  <si>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</si>
  <si>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</si>
  <si>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</si>
  <si>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</si>
  <si>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</si>
  <si>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</si>
  <si>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</si>
  <si>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</si>
  <si>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</si>
  <si>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</si>
  <si>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</si>
  <si>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</si>
  <si>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</si>
  <si>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</si>
  <si>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</si>
  <si>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</si>
  <si>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</si>
  <si>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</si>
  <si>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</si>
  <si>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</si>
  <si>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</si>
  <si>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</si>
  <si>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</si>
  <si>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</si>
  <si>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</si>
  <si>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</si>
  <si>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</si>
  <si>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</si>
  <si>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</si>
  <si>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</si>
  <si>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</si>
  <si>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</si>
  <si>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</si>
  <si>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</si>
  <si>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</si>
  <si>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</si>
  <si>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</si>
  <si>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</si>
  <si>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</si>
  <si>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</si>
  <si>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</si>
  <si>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</si>
  <si>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</si>
  <si>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</si>
  <si>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</si>
  <si>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</si>
  <si>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</si>
  <si>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</si>
  <si>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</si>
  <si>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</si>
  <si>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</si>
  <si>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</si>
  <si>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</si>
  <si>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</si>
  <si>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</si>
  <si>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</si>
  <si>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</si>
  <si>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</si>
  <si>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</si>
  <si>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</si>
  <si>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</si>
  <si>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</si>
  <si>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</si>
  <si>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</si>
  <si>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</si>
  <si>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</si>
  <si>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</si>
  <si>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</si>
  <si>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</si>
  <si>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</si>
  <si>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</si>
  <si>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</si>
  <si>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</si>
  <si>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</si>
  <si>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</si>
  <si>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</si>
  <si>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</si>
  <si>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</si>
  <si>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</si>
  <si>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</si>
  <si>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</si>
  <si>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</si>
  <si>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</si>
  <si>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</si>
  <si>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</si>
  <si>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</si>
  <si>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</si>
  <si>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</si>
  <si>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</si>
  <si>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</si>
  <si>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</si>
  <si>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</si>
  <si>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</si>
  <si>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</si>
  <si>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</si>
  <si>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</si>
  <si>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</si>
  <si>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</si>
  <si>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</si>
  <si>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</si>
  <si>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</si>
  <si>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</si>
  <si>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</si>
  <si>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</si>
  <si>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</si>
  <si>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</si>
  <si>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</si>
  <si>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</si>
  <si>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</si>
  <si>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</si>
  <si>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</si>
  <si>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</si>
  <si>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</si>
  <si>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</si>
  <si>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</si>
  <si>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</si>
  <si>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</si>
  <si>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</si>
  <si>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</si>
  <si>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</si>
  <si>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</si>
  <si>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</si>
  <si>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</si>
  <si>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</si>
  <si>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</si>
  <si>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</si>
  <si>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</si>
  <si>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</si>
  <si>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</si>
  <si>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</si>
  <si>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</si>
  <si>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</si>
  <si>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</si>
  <si>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</si>
  <si>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</si>
  <si>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</si>
  <si>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</si>
  <si>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</si>
  <si>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</si>
  <si>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</si>
  <si>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</si>
  <si>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</si>
  <si>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</si>
  <si>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</si>
  <si>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</si>
  <si>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</si>
  <si>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</si>
  <si>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</si>
  <si>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</si>
  <si>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</si>
  <si>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</si>
  <si>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</si>
  <si>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</si>
  <si>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</si>
  <si>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</si>
  <si>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</si>
  <si>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</si>
  <si>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</si>
  <si>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</si>
  <si>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</si>
  <si>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</si>
  <si>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</si>
  <si>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</si>
  <si>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</si>
  <si>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</si>
  <si>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</si>
  <si>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</si>
  <si>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</si>
  <si>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</si>
  <si>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</si>
  <si>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</si>
  <si>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</si>
  <si>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</si>
  <si>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</si>
  <si>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</si>
  <si>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</si>
  <si>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</si>
  <si>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</si>
  <si>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</si>
  <si>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</si>
  <si>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</si>
  <si>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</si>
  <si>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</si>
  <si>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</si>
  <si>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</si>
  <si>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</si>
  <si>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</si>
  <si>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</si>
  <si>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</si>
  <si>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</si>
  <si>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</si>
  <si>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</si>
  <si>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</si>
  <si>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</si>
  <si>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</si>
  <si>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</si>
  <si>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</si>
  <si>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</si>
  <si>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</si>
  <si>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</si>
  <si>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</si>
  <si>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</si>
  <si>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</si>
  <si>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</si>
  <si>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</si>
  <si>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</si>
  <si>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</si>
  <si>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</si>
  <si>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</si>
  <si>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</si>
  <si>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</si>
  <si>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</si>
  <si>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</si>
  <si>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</si>
  <si>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</si>
  <si>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</si>
  <si>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</si>
  <si>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</si>
  <si>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</si>
  <si>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</si>
  <si>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</si>
  <si>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</si>
  <si>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</si>
  <si>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</si>
  <si>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</si>
  <si>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</si>
  <si>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</si>
  <si>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</si>
  <si>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</si>
  <si>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</si>
  <si>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</si>
  <si>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</si>
  <si>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</si>
  <si>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</si>
  <si>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</si>
  <si>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</si>
  <si>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</si>
  <si>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</si>
  <si>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</si>
  <si>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</si>
  <si>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</si>
  <si>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</si>
  <si>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</si>
  <si>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</si>
  <si>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</si>
  <si>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</si>
  <si>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</si>
  <si>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</si>
  <si>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</si>
  <si>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</si>
  <si>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</si>
  <si>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</si>
  <si>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</si>
  <si>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</si>
  <si>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</si>
  <si>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</si>
  <si>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</si>
  <si>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</si>
  <si>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</si>
  <si>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</si>
  <si>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</si>
  <si>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</si>
  <si>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</si>
  <si>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</si>
  <si>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</si>
  <si>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</si>
  <si>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</si>
  <si>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</si>
  <si>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</si>
  <si>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</si>
  <si>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</si>
  <si>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</si>
  <si>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</si>
  <si>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</si>
  <si>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</si>
  <si>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</si>
  <si>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</si>
  <si>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</si>
  <si>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</si>
  <si>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</si>
  <si>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</si>
  <si>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</si>
  <si>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</si>
  <si>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</si>
  <si>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</si>
  <si>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</si>
  <si>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</si>
  <si>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</si>
  <si>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</si>
  <si>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</si>
  <si>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</si>
  <si>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</si>
  <si>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</si>
  <si>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</si>
  <si>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</si>
  <si>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</si>
  <si>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</si>
  <si>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</si>
  <si>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</si>
  <si>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</si>
  <si>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</si>
  <si>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</si>
  <si>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</si>
  <si>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</si>
  <si>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</si>
  <si>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</si>
  <si>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</si>
  <si>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</si>
  <si>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</si>
  <si>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</si>
  <si>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</si>
  <si>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</si>
  <si>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</si>
  <si>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</si>
  <si>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</si>
  <si>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</si>
  <si>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</si>
  <si>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</si>
  <si>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</si>
  <si>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</si>
  <si>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</si>
  <si>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</si>
  <si>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</si>
  <si>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</si>
  <si>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</si>
  <si>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</si>
  <si>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</si>
  <si>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</si>
  <si>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</si>
  <si>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</si>
  <si>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</si>
  <si>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</si>
  <si>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</si>
  <si>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</si>
  <si>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</si>
  <si>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</si>
  <si>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</si>
  <si>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</si>
  <si>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</si>
  <si>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</si>
  <si>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</si>
  <si>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</si>
  <si>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</si>
  <si>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</si>
  <si>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</si>
  <si>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</si>
  <si>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</si>
  <si>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</si>
  <si>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</si>
  <si>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</si>
  <si>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</si>
  <si>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</si>
  <si>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</si>
  <si>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</si>
  <si>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</si>
  <si>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</si>
  <si>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</si>
  <si>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</si>
  <si>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</si>
  <si>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</si>
  <si>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</si>
  <si>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</si>
  <si>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</si>
  <si>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</si>
  <si>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</si>
  <si>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</si>
  <si>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</si>
  <si>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</si>
  <si>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</si>
  <si>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</si>
  <si>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</si>
  <si>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</si>
  <si>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</si>
  <si>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</si>
  <si>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</si>
  <si>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</si>
  <si>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</si>
  <si>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</si>
  <si>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</si>
  <si>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</si>
  <si>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</si>
  <si>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</si>
  <si>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</si>
  <si>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</si>
  <si>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</si>
  <si>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</si>
  <si>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</si>
  <si>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</si>
  <si>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</si>
  <si>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</si>
  <si>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</si>
  <si>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</si>
  <si>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</si>
  <si>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</si>
  <si>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</si>
  <si>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</si>
  <si>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</si>
  <si>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</si>
  <si>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</si>
  <si>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</si>
  <si>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</si>
  <si>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</si>
  <si>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</si>
  <si>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</si>
  <si>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</si>
  <si>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</si>
  <si>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</si>
  <si>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</si>
  <si>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</si>
  <si>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</si>
  <si>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</si>
  <si>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</si>
  <si>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</si>
  <si>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</si>
  <si>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</si>
  <si>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</si>
  <si>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</si>
  <si>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</si>
  <si>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</si>
  <si>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</si>
  <si>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</si>
  <si>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</si>
  <si>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</si>
  <si>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</si>
  <si>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</si>
  <si>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</si>
  <si>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</si>
  <si>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</si>
  <si>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</si>
  <si>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</si>
  <si>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</si>
  <si>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</si>
  <si>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</si>
  <si>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</si>
  <si>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</si>
  <si>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</si>
  <si>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</si>
  <si>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</si>
  <si>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</si>
  <si>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</si>
  <si>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</si>
  <si>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</si>
  <si>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</si>
  <si>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</si>
  <si>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</si>
  <si>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</si>
  <si>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</si>
  <si>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</si>
  <si>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</si>
  <si>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</si>
  <si>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</si>
  <si>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</si>
  <si>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</si>
  <si>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</si>
  <si>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</si>
  <si>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</si>
  <si>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</si>
  <si>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</si>
  <si>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</si>
  <si>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</si>
  <si>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</si>
  <si>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</si>
  <si>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</si>
  <si>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</si>
  <si>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</si>
  <si>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</si>
  <si>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</si>
  <si>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</si>
  <si>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</si>
  <si>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</si>
  <si>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</si>
  <si>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</si>
  <si>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</si>
  <si>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</si>
  <si>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</si>
  <si>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</si>
  <si>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</si>
  <si>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</si>
  <si>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</si>
  <si>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</si>
  <si>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</si>
  <si>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</si>
  <si>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</si>
  <si>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</si>
  <si>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</si>
  <si>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</si>
  <si>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</si>
  <si>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</si>
  <si>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</si>
  <si>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</si>
  <si>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</si>
  <si>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</si>
  <si>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</si>
  <si>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</si>
  <si>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</si>
  <si>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</si>
  <si>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</si>
  <si>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</si>
  <si>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</si>
  <si>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</si>
  <si>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</si>
  <si>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</si>
  <si>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</si>
  <si>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</si>
  <si>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</si>
  <si>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</si>
  <si>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</si>
  <si>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</si>
  <si>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</si>
  <si>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</si>
  <si>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</si>
  <si>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</si>
  <si>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</si>
  <si>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</si>
  <si>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</si>
  <si>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</si>
  <si>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</si>
  <si>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</si>
  <si>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</si>
  <si>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</si>
  <si>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</si>
  <si>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</si>
  <si>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</si>
  <si>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</si>
  <si>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</si>
  <si>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</si>
  <si>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</si>
  <si>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</si>
  <si>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</si>
  <si>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</si>
  <si>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</si>
  <si>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</si>
  <si>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</si>
  <si>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</si>
  <si>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</si>
  <si>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</si>
  <si>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</si>
  <si>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</si>
  <si>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</si>
  <si>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</si>
  <si>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</si>
  <si>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</si>
  <si>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</si>
  <si>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</si>
  <si>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</si>
  <si>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</si>
  <si>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</si>
  <si>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</si>
  <si>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</si>
  <si>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</si>
  <si>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</si>
  <si>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</si>
  <si>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</si>
  <si>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</si>
  <si>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</si>
  <si>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</si>
  <si>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</si>
  <si>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</si>
  <si>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</si>
  <si>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</si>
  <si>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</si>
  <si>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</si>
  <si>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</si>
  <si>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</si>
  <si>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</si>
  <si>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</si>
  <si>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</si>
  <si>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</si>
  <si>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</si>
  <si>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</si>
  <si>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</si>
  <si>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</si>
  <si>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</si>
  <si>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</si>
  <si>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</si>
  <si>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</si>
  <si>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</si>
  <si>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</si>
  <si>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</si>
  <si>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</si>
  <si>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</si>
  <si>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</si>
  <si>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</si>
  <si>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</si>
  <si>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</si>
  <si>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</si>
  <si>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</si>
  <si>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</si>
  <si>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</si>
  <si>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</si>
  <si>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</si>
  <si>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</si>
  <si>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</si>
  <si>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</si>
  <si>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</si>
  <si>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</si>
  <si>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</si>
  <si>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</si>
  <si>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</si>
  <si>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</si>
  <si>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</si>
  <si>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</si>
  <si>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</si>
  <si>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</si>
  <si>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</si>
  <si>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</si>
  <si>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</si>
  <si>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</si>
  <si>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</si>
  <si>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</si>
  <si>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</si>
  <si>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</si>
  <si>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</si>
  <si>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</si>
  <si>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</si>
  <si>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</si>
  <si>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</si>
  <si>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</si>
  <si>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</si>
  <si>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</si>
  <si>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</si>
  <si>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</si>
  <si>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</si>
  <si>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</si>
  <si>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</si>
  <si>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</si>
  <si>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</si>
  <si>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</si>
  <si>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</si>
  <si>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</si>
  <si>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</si>
  <si>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</si>
  <si>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</si>
  <si>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</si>
  <si>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</si>
  <si>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</si>
  <si>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</si>
  <si>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</si>
  <si>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</si>
  <si>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</si>
  <si>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</si>
  <si>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</si>
  <si>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</si>
  <si>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</si>
  <si>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</si>
  <si>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</si>
  <si>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</si>
  <si>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</si>
  <si>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</si>
  <si>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</si>
  <si>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</si>
  <si>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</si>
  <si>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</si>
  <si>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</si>
  <si>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</si>
  <si>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</si>
  <si>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</si>
  <si>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</si>
  <si>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</si>
  <si>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</si>
  <si>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</si>
  <si>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</si>
  <si>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</si>
  <si>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</si>
  <si>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</si>
  <si>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</si>
  <si>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</si>
  <si>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</si>
  <si>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</si>
  <si>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</si>
  <si>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</si>
  <si>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</si>
  <si>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</si>
  <si>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</si>
  <si>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</si>
  <si>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</si>
  <si>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</si>
  <si>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</si>
  <si>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</si>
  <si>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</si>
  <si>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</si>
  <si>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</si>
  <si>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</si>
  <si>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</si>
  <si>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</si>
  <si>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</si>
  <si>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</si>
  <si>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</si>
  <si>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</si>
  <si>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</si>
  <si>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</si>
  <si>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</si>
  <si>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</si>
  <si>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</si>
  <si>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</si>
  <si>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</si>
  <si>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</si>
  <si>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</si>
  <si>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</si>
  <si>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</si>
  <si>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</si>
  <si>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</si>
  <si>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</si>
  <si>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</si>
  <si>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</si>
  <si>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</si>
  <si>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</si>
  <si>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</si>
  <si>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</si>
  <si>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</si>
  <si>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</si>
  <si>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</si>
  <si>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</si>
  <si>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</si>
  <si>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</si>
  <si>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</si>
  <si>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</si>
  <si>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</si>
  <si>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</si>
  <si>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</si>
  <si>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</si>
  <si>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</si>
  <si>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</si>
  <si>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</si>
  <si>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</si>
  <si>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</si>
  <si>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</si>
  <si>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</si>
  <si>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</si>
  <si>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</si>
  <si>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</si>
  <si>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</si>
  <si>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</si>
  <si>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</si>
  <si>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</si>
  <si>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</si>
  <si>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</si>
  <si>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</si>
  <si>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</si>
  <si>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</si>
  <si>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</si>
  <si>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</si>
  <si>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</si>
  <si>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</si>
  <si>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</si>
  <si>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</si>
  <si>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</si>
  <si>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</si>
  <si>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</si>
  <si>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</si>
  <si>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</si>
  <si>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</si>
  <si>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</si>
  <si>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</si>
  <si>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</si>
  <si>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</si>
  <si>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</si>
  <si>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</si>
  <si>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</si>
  <si>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</si>
  <si>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</si>
  <si>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</si>
  <si>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</si>
  <si>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</si>
  <si>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</si>
  <si>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</si>
  <si>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</si>
  <si>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</si>
  <si>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</si>
  <si>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</si>
  <si>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</si>
  <si>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</si>
  <si>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</si>
  <si>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</si>
  <si>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</si>
  <si>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</si>
  <si>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</si>
  <si>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</si>
  <si>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</si>
  <si>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</si>
  <si>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</si>
  <si>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</si>
  <si>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</si>
  <si>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</si>
  <si>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</si>
  <si>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</si>
  <si>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</si>
  <si>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</si>
  <si>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</si>
  <si>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</si>
  <si>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</si>
  <si>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</si>
  <si>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</si>
  <si>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</si>
  <si>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</si>
  <si>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</si>
  <si>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</si>
  <si>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</si>
  <si>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</si>
  <si>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</si>
  <si>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</si>
  <si>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</si>
  <si>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</si>
  <si>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</si>
  <si>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</si>
  <si>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</si>
  <si>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</si>
  <si>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</si>
  <si>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</si>
  <si>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</si>
  <si>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</si>
  <si>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</si>
  <si>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</si>
  <si>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</si>
  <si>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</si>
  <si>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</si>
  <si>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</si>
  <si>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</si>
  <si>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</si>
  <si>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</si>
  <si>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</si>
  <si>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</si>
  <si>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</si>
  <si>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</si>
  <si>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</si>
  <si>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</si>
  <si>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</si>
  <si>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</si>
  <si>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</si>
  <si>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</si>
  <si>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</si>
  <si>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</si>
  <si>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</si>
  <si>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</si>
  <si>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</si>
  <si>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</si>
  <si>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</si>
  <si>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</si>
  <si>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</si>
  <si>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</si>
  <si>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</si>
  <si>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</si>
  <si>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</si>
  <si>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</si>
  <si>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</si>
  <si>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</si>
  <si>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</si>
  <si>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</si>
  <si>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</si>
  <si>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</si>
  <si>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</si>
  <si>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</si>
  <si>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</si>
  <si>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</si>
  <si>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</si>
  <si>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</si>
  <si>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</si>
  <si>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</si>
  <si>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</si>
  <si>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</si>
  <si>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</si>
  <si>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</si>
  <si>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</si>
  <si>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</si>
  <si>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</si>
  <si>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</si>
  <si>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</si>
  <si>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</si>
  <si>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</si>
  <si>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</si>
  <si>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</si>
  <si>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</si>
  <si>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</si>
  <si>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</si>
  <si>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</si>
  <si>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</si>
  <si>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</si>
  <si>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</si>
  <si>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</si>
  <si>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</si>
  <si>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</si>
  <si>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</si>
  <si>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</si>
  <si>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</si>
  <si>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</si>
  <si>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</si>
  <si>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</si>
  <si>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</si>
  <si>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</si>
  <si>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</si>
  <si>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</si>
  <si>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</si>
  <si>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</si>
  <si>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</si>
  <si>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</si>
  <si>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</si>
  <si>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</si>
  <si>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</si>
  <si>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</si>
  <si>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</si>
  <si>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</si>
  <si>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</si>
  <si>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</si>
  <si>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</si>
  <si>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</si>
  <si>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</si>
  <si>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</si>
  <si>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</si>
  <si>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</si>
  <si>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</si>
  <si>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</si>
  <si>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</si>
  <si>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</si>
  <si>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</si>
  <si>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</si>
  <si>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</si>
  <si>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</si>
  <si>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</si>
  <si>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</si>
  <si>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</si>
  <si>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</si>
  <si>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</si>
  <si>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</si>
  <si>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</si>
  <si>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</si>
  <si>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</si>
  <si>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</si>
  <si>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</si>
  <si>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</si>
  <si>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</si>
  <si>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</si>
  <si>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</si>
  <si>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</si>
  <si>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</si>
  <si>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</si>
  <si>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</si>
  <si>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</si>
  <si>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</si>
  <si>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</si>
  <si>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</si>
  <si>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</si>
  <si>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</si>
  <si>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</si>
  <si>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</si>
  <si>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</si>
  <si>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</si>
  <si>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</si>
  <si>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</si>
  <si>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</si>
  <si>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</si>
  <si>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</si>
  <si>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</si>
  <si>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</si>
  <si>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</si>
  <si>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</si>
  <si>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</si>
  <si>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</si>
  <si>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</si>
  <si>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</si>
  <si>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</si>
  <si>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</si>
  <si>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</si>
  <si>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</si>
  <si>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</si>
  <si>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</si>
  <si>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</si>
  <si>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</si>
  <si>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</si>
  <si>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</si>
  <si>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</si>
  <si>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</si>
  <si>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</si>
  <si>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</si>
  <si>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</si>
  <si>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</si>
  <si>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</si>
  <si>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</si>
  <si>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</si>
  <si>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</si>
  <si>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</si>
  <si>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</si>
  <si>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</si>
  <si>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</si>
  <si>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</si>
  <si>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</si>
  <si>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</si>
  <si>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</si>
  <si>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</si>
  <si>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</si>
  <si>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</si>
  <si>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</si>
  <si>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</si>
  <si>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</si>
  <si>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</si>
  <si>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</si>
  <si>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</si>
  <si>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</si>
  <si>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</si>
  <si>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</si>
  <si>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</si>
  <si>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</si>
  <si>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</si>
  <si>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</si>
  <si>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</si>
  <si>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</si>
  <si>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</si>
  <si>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</si>
  <si>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</si>
  <si>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</si>
  <si>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</si>
  <si>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</si>
  <si>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</si>
  <si>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</si>
  <si>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</si>
  <si>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</si>
  <si>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</si>
  <si>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</si>
  <si>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</si>
  <si>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</si>
  <si>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</si>
  <si>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</si>
  <si>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</si>
  <si>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</si>
  <si>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</si>
  <si>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</si>
  <si>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</si>
  <si>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</si>
  <si>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</si>
  <si>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</si>
  <si>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</si>
  <si>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</si>
  <si>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</si>
  <si>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</si>
  <si>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</si>
  <si>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</si>
  <si>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</si>
  <si>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</si>
  <si>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</si>
  <si>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</si>
  <si>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</si>
  <si>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</si>
  <si>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</si>
  <si>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</si>
  <si>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</si>
  <si>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</si>
  <si>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</si>
  <si>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</si>
  <si>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</si>
  <si>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</si>
  <si>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</si>
  <si>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</si>
  <si>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</si>
  <si>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</si>
  <si>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</si>
  <si>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</si>
  <si>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</si>
  <si>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</si>
  <si>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</si>
  <si>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</si>
  <si>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</si>
  <si>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</si>
  <si>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</si>
  <si>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</si>
  <si>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</si>
  <si>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</si>
  <si>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</si>
  <si>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</si>
  <si>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</si>
  <si>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</si>
  <si>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</si>
  <si>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</si>
  <si>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</si>
  <si>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</si>
  <si>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</si>
  <si>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</si>
  <si>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</si>
  <si>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</si>
  <si>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</si>
  <si>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</si>
  <si>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</si>
  <si>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</si>
  <si>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</si>
  <si>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</si>
  <si>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</si>
  <si>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</si>
  <si>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</si>
  <si>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</si>
  <si>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</si>
  <si>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</si>
  <si>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</si>
  <si>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</si>
  <si>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</si>
  <si>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</si>
  <si>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</si>
  <si>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</si>
  <si>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</si>
  <si>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</si>
  <si>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</si>
  <si>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</si>
  <si>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</si>
  <si>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</si>
  <si>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</si>
  <si>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</si>
  <si>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</si>
  <si>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</si>
  <si>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</si>
  <si>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</si>
  <si>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</si>
  <si>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</si>
  <si>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</si>
  <si>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</si>
  <si>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</si>
  <si>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</si>
  <si>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</si>
  <si>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</si>
  <si>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</si>
  <si>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</si>
  <si>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</si>
  <si>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</si>
  <si>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</si>
  <si>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</si>
  <si>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</si>
  <si>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</si>
  <si>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</si>
  <si>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</si>
  <si>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</si>
  <si>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</si>
  <si>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</si>
  <si>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</si>
  <si>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</si>
  <si>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</si>
  <si>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</si>
  <si>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</si>
  <si>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</si>
  <si>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</si>
  <si>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</si>
  <si>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</si>
  <si>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</si>
  <si>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</si>
  <si>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</si>
  <si>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</si>
  <si>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</si>
  <si>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</si>
  <si>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</si>
  <si>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</si>
  <si>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</si>
  <si>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</si>
  <si>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</si>
  <si>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</si>
  <si>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</si>
  <si>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</si>
  <si>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</si>
  <si>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</si>
  <si>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</si>
  <si>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</si>
  <si>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</si>
  <si>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</si>
  <si>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</si>
  <si>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</si>
  <si>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</si>
  <si>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</si>
  <si>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</si>
  <si>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</si>
  <si>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</si>
  <si>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</si>
  <si>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</si>
  <si>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</si>
  <si>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</si>
  <si>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</si>
  <si>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</si>
  <si>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</si>
  <si>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</si>
  <si>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</si>
  <si>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</si>
  <si>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</si>
  <si>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</si>
  <si>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</si>
  <si>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</si>
  <si>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</si>
  <si>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</si>
  <si>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</si>
  <si>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</si>
  <si>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</si>
  <si>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</si>
  <si>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</si>
  <si>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</si>
  <si>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</si>
  <si>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</si>
  <si>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</si>
  <si>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</si>
  <si>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</si>
  <si>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</si>
  <si>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</si>
  <si>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</si>
  <si>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</si>
  <si>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</si>
  <si>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</si>
  <si>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</si>
  <si>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</si>
  <si>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</si>
  <si>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</si>
  <si>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</si>
  <si>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</si>
  <si>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</si>
  <si>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</si>
  <si>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</si>
  <si>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</si>
  <si>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</si>
  <si>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</si>
  <si>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</si>
  <si>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</si>
  <si>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</si>
  <si>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</si>
  <si>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</si>
  <si>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</si>
  <si>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</si>
  <si>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</si>
  <si>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</si>
  <si>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</si>
  <si>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</si>
  <si>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</si>
  <si>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</si>
  <si>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</si>
  <si>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</si>
  <si>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</si>
  <si>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</si>
  <si>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</si>
  <si>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</si>
  <si>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</si>
  <si>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</si>
  <si>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</si>
  <si>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</si>
  <si>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</si>
  <si>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</si>
  <si>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</si>
  <si>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</si>
  <si>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</si>
  <si>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</si>
  <si>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</si>
  <si>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</si>
  <si>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</si>
  <si>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</si>
  <si>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</si>
  <si>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</si>
  <si>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</si>
  <si>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</si>
  <si>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</si>
  <si>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</si>
  <si>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</si>
  <si>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</si>
  <si>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</si>
  <si>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</si>
  <si>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</si>
  <si>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</si>
  <si>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</si>
  <si>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</si>
  <si>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</si>
  <si>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</si>
  <si>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</si>
  <si>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</si>
  <si>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</si>
  <si>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</si>
  <si>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</si>
  <si>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</si>
  <si>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</si>
  <si>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</si>
  <si>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</si>
  <si>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</si>
  <si>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</si>
  <si>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</si>
  <si>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</si>
  <si>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</si>
  <si>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</si>
  <si>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</si>
  <si>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</si>
  <si>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</si>
  <si>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</si>
  <si>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</si>
  <si>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</si>
  <si>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</si>
  <si>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</si>
  <si>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</si>
  <si>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</si>
  <si>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</si>
  <si>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</si>
  <si>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</si>
  <si>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</si>
  <si>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</si>
  <si>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</si>
  <si>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</si>
  <si>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</si>
  <si>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</si>
  <si>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</si>
  <si>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</si>
  <si>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</si>
  <si>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</si>
  <si>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</si>
  <si>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</si>
  <si>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</si>
  <si>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</si>
  <si>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</si>
  <si>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</si>
  <si>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</si>
  <si>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</si>
  <si>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</si>
  <si>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</si>
  <si>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</si>
  <si>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</si>
  <si>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</si>
  <si>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</si>
  <si>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</si>
  <si>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</si>
  <si>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</si>
  <si>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</si>
  <si>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</si>
  <si>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</si>
  <si>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</si>
  <si>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</si>
  <si>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</si>
  <si>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</si>
  <si>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</si>
  <si>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</si>
  <si>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</si>
  <si>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</si>
  <si>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</si>
  <si>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</si>
  <si>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</si>
  <si>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</si>
  <si>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</si>
  <si>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</si>
  <si>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</si>
  <si>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</si>
  <si>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</si>
  <si>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</si>
  <si>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</si>
  <si>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</si>
  <si>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</si>
  <si>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</si>
  <si>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</si>
  <si>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</si>
  <si>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</si>
  <si>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</si>
  <si>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</si>
  <si>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</si>
  <si>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</si>
  <si>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</si>
  <si>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</si>
  <si>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</si>
  <si>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</si>
  <si>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</si>
  <si>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</si>
  <si>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</si>
  <si>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</si>
  <si>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</si>
  <si>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</si>
  <si>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</si>
  <si>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</si>
  <si>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</si>
  <si>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</si>
  <si>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</si>
  <si>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</si>
  <si>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</si>
  <si>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</si>
  <si>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</si>
  <si>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</si>
  <si>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</si>
  <si>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</si>
  <si>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</si>
  <si>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</si>
  <si>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</si>
  <si>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</si>
  <si>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</si>
  <si>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</si>
  <si>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</si>
  <si>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</si>
  <si>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</si>
  <si>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</si>
  <si>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</si>
  <si>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</si>
  <si>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</si>
  <si>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</si>
  <si>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</si>
  <si>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</si>
  <si>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</si>
  <si>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</si>
  <si>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</si>
  <si>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</si>
  <si>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</si>
  <si>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</si>
  <si>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</si>
  <si>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</si>
  <si>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</si>
  <si>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</si>
  <si>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</si>
  <si>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</si>
  <si>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</si>
  <si>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</si>
  <si>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</si>
  <si>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</si>
  <si>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</si>
  <si>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</si>
  <si>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</si>
  <si>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</si>
  <si>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</si>
  <si>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</si>
  <si>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</si>
  <si>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</si>
  <si>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</si>
  <si>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</si>
  <si>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</si>
  <si>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</si>
  <si>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</si>
  <si>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</si>
  <si>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</si>
  <si>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</si>
  <si>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</si>
  <si>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</si>
  <si>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</si>
  <si>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</si>
  <si>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</si>
  <si>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</si>
  <si>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</si>
  <si>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</si>
  <si>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</si>
  <si>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</si>
  <si>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</si>
  <si>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</si>
  <si>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</si>
  <si>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</si>
  <si>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</si>
  <si>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</si>
  <si>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</si>
  <si>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</si>
  <si>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</si>
  <si>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</si>
  <si>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</si>
  <si>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</si>
  <si>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</si>
  <si>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</si>
  <si>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</si>
  <si>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</si>
  <si>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</si>
  <si>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</si>
  <si>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</si>
  <si>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</si>
  <si>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</si>
  <si>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</si>
  <si>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</si>
  <si>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</si>
  <si>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</si>
  <si>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</si>
  <si>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</si>
  <si>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</si>
  <si>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</si>
  <si>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</si>
  <si>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</si>
  <si>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</si>
  <si>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</si>
  <si>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</si>
  <si>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</si>
  <si>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</si>
  <si>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</si>
  <si>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</si>
  <si>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</si>
  <si>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</si>
  <si>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</si>
  <si>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</si>
  <si>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</si>
  <si>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</si>
  <si>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</si>
  <si>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</si>
  <si>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</si>
  <si>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</si>
  <si>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</si>
  <si>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</si>
  <si>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</si>
  <si>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</si>
  <si>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</si>
  <si>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</si>
  <si>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</si>
  <si>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</si>
  <si>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</si>
  <si>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</si>
  <si>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</si>
  <si>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</si>
  <si>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</si>
  <si>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</si>
  <si>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</si>
  <si>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</si>
  <si>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</si>
  <si>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</si>
  <si>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</si>
  <si>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</si>
  <si>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</si>
  <si>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</si>
  <si>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</si>
  <si>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</si>
  <si>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</si>
  <si>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</si>
  <si>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</si>
  <si>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</si>
  <si>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</si>
  <si>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</si>
  <si>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</si>
  <si>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</si>
  <si>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</si>
  <si>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</si>
  <si>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</si>
  <si>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</si>
  <si>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</si>
  <si>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</si>
  <si>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</si>
  <si>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</si>
  <si>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</si>
  <si>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</si>
  <si>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</si>
  <si>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</si>
  <si>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</si>
  <si>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</si>
  <si>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</si>
  <si>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</si>
  <si>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</si>
  <si>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</si>
  <si>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</si>
  <si>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</si>
  <si>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</si>
  <si>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</si>
  <si>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</si>
  <si>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</si>
  <si>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</si>
  <si>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</si>
  <si>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</si>
  <si>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</si>
  <si>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</si>
  <si>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</si>
  <si>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</si>
  <si>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</si>
  <si>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</si>
  <si>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</si>
  <si>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</si>
  <si>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</si>
  <si>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</si>
  <si>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</si>
  <si>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</si>
  <si>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</si>
  <si>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</si>
  <si>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</si>
  <si>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</si>
  <si>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</si>
  <si>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</si>
  <si>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</si>
  <si>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</si>
  <si>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</si>
  <si>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</si>
  <si>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</si>
  <si>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</si>
  <si>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</si>
  <si>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</si>
  <si>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</si>
  <si>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</si>
  <si>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</si>
  <si>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</si>
  <si>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</si>
  <si>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</si>
  <si>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</si>
  <si>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</si>
  <si>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</si>
  <si>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</si>
  <si>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</si>
  <si>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</si>
  <si>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</si>
  <si>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</si>
  <si>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</si>
  <si>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</si>
  <si>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</si>
  <si>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</si>
  <si>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</si>
  <si>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</si>
  <si>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</si>
  <si>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</si>
  <si>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</si>
  <si>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</si>
  <si>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</si>
  <si>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</si>
  <si>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</si>
  <si>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</si>
  <si>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</si>
  <si>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</si>
  <si>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</si>
  <si>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</si>
  <si>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</si>
  <si>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</si>
  <si>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</si>
  <si>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</si>
  <si>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</si>
  <si>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</si>
  <si>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</si>
  <si>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</si>
  <si>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</si>
  <si>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</si>
  <si>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</si>
  <si>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</si>
  <si>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</si>
  <si>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</si>
  <si>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</si>
  <si>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</si>
  <si>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</si>
  <si>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</si>
  <si>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</si>
  <si>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</si>
  <si>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</si>
  <si>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</si>
  <si>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</si>
  <si>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</si>
  <si>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</si>
  <si>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</si>
  <si>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</si>
  <si>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</si>
  <si>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</si>
  <si>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</si>
  <si>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</si>
  <si>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</si>
  <si>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</si>
  <si>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</si>
  <si>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</si>
  <si>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</si>
  <si>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</si>
  <si>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</si>
  <si>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</si>
  <si>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</si>
  <si>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</si>
  <si>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</si>
  <si>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</si>
  <si>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</si>
  <si>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</si>
  <si>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</si>
  <si>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</si>
  <si>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</si>
  <si>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</si>
  <si>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</si>
  <si>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</si>
  <si>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</si>
  <si>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</si>
  <si>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</si>
  <si>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</si>
  <si>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</si>
  <si>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</si>
  <si>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</si>
  <si>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</si>
  <si>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</si>
  <si>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</si>
  <si>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</si>
  <si>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</si>
  <si>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</si>
  <si>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</si>
  <si>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</si>
  <si>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</si>
  <si>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</si>
  <si>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</si>
  <si>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</si>
  <si>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</si>
  <si>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</si>
  <si>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</si>
  <si>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</si>
  <si>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</si>
  <si>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</si>
  <si>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</si>
  <si>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</si>
  <si>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</si>
  <si>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</si>
  <si>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</si>
  <si>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</si>
  <si>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</si>
  <si>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</si>
  <si>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</si>
  <si>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</si>
  <si>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</si>
  <si>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</si>
  <si>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</si>
  <si>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</si>
  <si>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</si>
  <si>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</si>
  <si>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</si>
  <si>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</si>
  <si>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</si>
  <si>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</si>
  <si>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</si>
  <si>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</si>
  <si>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</si>
  <si>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</si>
  <si>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</si>
  <si>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</si>
  <si>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</si>
  <si>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</si>
  <si>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</si>
  <si>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</si>
  <si>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</si>
  <si>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</si>
  <si>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</si>
  <si>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</si>
  <si>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</si>
  <si>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</si>
  <si>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</si>
  <si>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</si>
  <si>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</si>
  <si>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</si>
  <si>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</si>
  <si>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</si>
  <si>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</si>
  <si>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</si>
  <si>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</si>
  <si>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</si>
  <si>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</si>
  <si>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</si>
  <si>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</si>
  <si>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</si>
  <si>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</si>
  <si>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</si>
  <si>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</si>
  <si>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</si>
  <si>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</si>
  <si>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</si>
  <si>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</si>
  <si>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</si>
  <si>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</si>
  <si>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</si>
  <si>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</si>
  <si>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</si>
  <si>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</si>
  <si>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</si>
  <si>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</si>
  <si>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</si>
  <si>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</si>
  <si>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</si>
  <si>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</si>
  <si>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</si>
  <si>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</si>
  <si>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</si>
  <si>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</si>
  <si>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</si>
  <si>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</si>
  <si>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</si>
  <si>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</si>
  <si>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</si>
  <si>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</si>
  <si>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</si>
  <si>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</si>
  <si>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</si>
  <si>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</si>
  <si>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</si>
  <si>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</si>
  <si>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</si>
  <si>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</si>
  <si>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</si>
  <si>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</si>
  <si>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</si>
  <si>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</si>
  <si>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</si>
  <si>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</si>
  <si>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</si>
  <si>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</si>
  <si>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</si>
  <si>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</si>
  <si>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</si>
  <si>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</si>
  <si>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</si>
  <si>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</si>
  <si>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</si>
  <si>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</si>
  <si>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</si>
  <si>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</si>
  <si>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</si>
  <si>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</si>
  <si>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</si>
  <si>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</si>
  <si>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</si>
  <si>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</si>
  <si>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</si>
  <si>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</si>
  <si>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</si>
  <si>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</si>
  <si>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</si>
  <si>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</si>
  <si>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</si>
  <si>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</si>
  <si>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</si>
  <si>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</si>
  <si>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</si>
  <si>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</si>
  <si>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</si>
  <si>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</si>
  <si>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</si>
  <si>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</si>
  <si>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</si>
  <si>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</si>
  <si>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</si>
  <si>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</si>
  <si>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</si>
  <si>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</si>
  <si>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</si>
  <si>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</si>
  <si>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</si>
  <si>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</si>
  <si>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</si>
  <si>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</si>
  <si>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</si>
  <si>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</si>
  <si>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</si>
  <si>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</si>
  <si>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</si>
  <si>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</si>
  <si>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</si>
  <si>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</si>
  <si>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</si>
  <si>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</si>
  <si>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</si>
  <si>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</si>
  <si>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</si>
  <si>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</si>
  <si>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</si>
  <si>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</si>
  <si>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</si>
  <si>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</si>
  <si>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</si>
  <si>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</si>
  <si>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</si>
  <si>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</si>
  <si>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</si>
  <si>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</si>
  <si>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</si>
  <si>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</si>
  <si>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</si>
  <si>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</si>
  <si>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</si>
  <si>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</si>
  <si>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</si>
  <si>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</si>
  <si>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</si>
  <si>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</si>
  <si>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</si>
  <si>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</si>
  <si>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</si>
  <si>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</si>
  <si>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</si>
  <si>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</si>
  <si>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</si>
  <si>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</si>
  <si>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</si>
  <si>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</si>
  <si>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</si>
  <si>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</si>
  <si>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</si>
  <si>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</si>
  <si>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</si>
  <si>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</si>
  <si>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</si>
  <si>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</si>
  <si>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</si>
  <si>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недогруз 100%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</si>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</sst>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32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0" fontId="45" fillId="17" borderId="83" xfId="0" applyFont="1" applyFill="1" applyBorder="1" applyAlignment="1">
      <alignment horizontal="center" vertical="center" wrapText="1"/>
    </xf>
    <xf numFmtId="166" fontId="15" fillId="0" borderId="0" xfId="0" applyNumberFormat="1" applyFont="1" applyAlignment="1">
      <alignment vertical="center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5" fillId="0" borderId="16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20" fontId="15" fillId="0" borderId="16" xfId="0" applyNumberFormat="1" applyFont="1" applyBorder="1" applyAlignment="1">
      <alignment horizontal="center" vertical="center" wrapText="1"/>
    </xf>
    <xf numFmtId="0" fontId="15" fillId="0" borderId="29" xfId="0" applyFont="1" applyBorder="1" applyAlignment="1">
      <alignment horizontal="center" vertical="center" wrapText="1"/>
    </xf>
    <xf numFmtId="0" fontId="15" fillId="0" borderId="24" xfId="0" applyFont="1" applyBorder="1" applyAlignment="1">
      <alignment horizontal="center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005"/>
  <sheetViews>
    <sheetView tabSelected="1" zoomScale="80" zoomScaleNormal="80" workbookViewId="0">
      <pane ySplit="2" topLeftCell="A6975" activePane="bottomLeft" state="frozen"/>
      <selection pane="bottomLeft" activeCell="M6991" sqref="M699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02" t="s">
        <v>0</v>
      </c>
      <c r="B1" s="1002"/>
      <c r="C1" s="1002"/>
      <c r="D1" s="1002"/>
      <c r="E1" s="1002"/>
      <c r="F1" s="1002"/>
      <c r="G1" s="1002"/>
      <c r="H1" s="1002"/>
      <c r="I1" s="1002"/>
      <c r="J1" s="1002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03">
        <v>1</v>
      </c>
      <c r="B3" s="100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03"/>
      <c r="B4" s="100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04">
        <v>3</v>
      </c>
      <c r="B6" s="100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04"/>
      <c r="B7" s="100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04"/>
      <c r="B8" s="100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04">
        <v>5</v>
      </c>
      <c r="B10" s="100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04"/>
      <c r="B11" s="100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05">
        <v>8</v>
      </c>
      <c r="B14" s="100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05"/>
      <c r="B15" s="100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04">
        <v>11</v>
      </c>
      <c r="B18" s="100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04"/>
      <c r="B19" s="100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04"/>
      <c r="B20" s="100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04"/>
      <c r="B21" s="100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04">
        <v>13</v>
      </c>
      <c r="B23" s="100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04"/>
      <c r="B24" s="100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05">
        <v>14</v>
      </c>
      <c r="B25" s="100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05"/>
      <c r="B26" s="100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04">
        <v>15</v>
      </c>
      <c r="B27" s="100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04"/>
      <c r="B28" s="100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04"/>
      <c r="B29" s="100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04"/>
      <c r="B30" s="100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05">
        <v>16</v>
      </c>
      <c r="B31" s="100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05"/>
      <c r="B32" s="100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05"/>
      <c r="B33" s="100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05"/>
      <c r="B34" s="100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04">
        <v>17</v>
      </c>
      <c r="B35" s="100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04"/>
      <c r="B36" s="100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04">
        <v>21</v>
      </c>
      <c r="B40" s="100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04"/>
      <c r="B41" s="100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04">
        <v>23</v>
      </c>
      <c r="B43" s="100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04"/>
      <c r="B44" s="100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04"/>
      <c r="B45" s="100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05">
        <v>24</v>
      </c>
      <c r="B46" s="100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05"/>
      <c r="B47" s="100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04">
        <v>25</v>
      </c>
      <c r="B48" s="100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04"/>
      <c r="B49" s="100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04"/>
      <c r="B50" s="100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05">
        <v>26</v>
      </c>
      <c r="B51" s="100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05"/>
      <c r="B52" s="100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04">
        <v>29</v>
      </c>
      <c r="B55" s="100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04"/>
      <c r="B56" s="100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05">
        <v>32</v>
      </c>
      <c r="B59" s="100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05"/>
      <c r="B60" s="100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05">
        <v>34</v>
      </c>
      <c r="B62" s="100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05"/>
      <c r="B63" s="100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05"/>
      <c r="B64" s="100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05"/>
      <c r="B65" s="100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05"/>
      <c r="B66" s="100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04">
        <v>35</v>
      </c>
      <c r="B67" s="100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04"/>
      <c r="B68" s="100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77">
        <v>40</v>
      </c>
      <c r="B73" s="100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77"/>
      <c r="B74" s="100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78">
        <v>41</v>
      </c>
      <c r="B75" s="100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78"/>
      <c r="B76" s="100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78"/>
      <c r="B77" s="100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77">
        <v>42</v>
      </c>
      <c r="B78" s="100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77"/>
      <c r="B79" s="100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78">
        <v>49</v>
      </c>
      <c r="B86" s="100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78"/>
      <c r="B87" s="100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78"/>
      <c r="B88" s="100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77">
        <v>50</v>
      </c>
      <c r="B89" s="100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77"/>
      <c r="B90" s="100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78">
        <v>51</v>
      </c>
      <c r="B91" s="100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78"/>
      <c r="B92" s="100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78">
        <v>53</v>
      </c>
      <c r="B94" s="100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78"/>
      <c r="B95" s="100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77">
        <v>54</v>
      </c>
      <c r="B96" s="100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77"/>
      <c r="B97" s="100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77"/>
      <c r="B98" s="100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77">
        <v>58</v>
      </c>
      <c r="B102" s="100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77"/>
      <c r="B103" s="100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77">
        <v>60</v>
      </c>
      <c r="B105" s="100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77"/>
      <c r="B106" s="100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77"/>
      <c r="B107" s="100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78">
        <v>61</v>
      </c>
      <c r="B108" s="100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78"/>
      <c r="B109" s="100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78"/>
      <c r="B110" s="100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77">
        <v>64</v>
      </c>
      <c r="B113" s="100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77"/>
      <c r="B114" s="100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77">
        <v>66</v>
      </c>
      <c r="B116" s="100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77"/>
      <c r="B117" s="100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78">
        <v>67</v>
      </c>
      <c r="B118" s="100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78"/>
      <c r="B119" s="100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78"/>
      <c r="B120" s="100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77">
        <v>68</v>
      </c>
      <c r="B121" s="100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77"/>
      <c r="B122" s="100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78">
        <v>69</v>
      </c>
      <c r="B123" s="100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78"/>
      <c r="B124" s="100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77">
        <v>72</v>
      </c>
      <c r="B127" s="1005" t="s">
        <v>65</v>
      </c>
      <c r="C127" s="119" t="s">
        <v>26</v>
      </c>
      <c r="D127" s="120">
        <v>3.3</v>
      </c>
      <c r="E127" s="121"/>
      <c r="F127" s="122" t="s">
        <v>30</v>
      </c>
      <c r="G127" s="99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77"/>
      <c r="B128" s="1005"/>
      <c r="C128" s="103" t="s">
        <v>26</v>
      </c>
      <c r="D128" s="88">
        <v>12.9</v>
      </c>
      <c r="E128" s="106"/>
      <c r="F128" s="107" t="s">
        <v>16</v>
      </c>
      <c r="G128" s="99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77">
        <v>76</v>
      </c>
      <c r="B132" s="100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77"/>
      <c r="B133" s="100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77"/>
      <c r="B134" s="100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77"/>
      <c r="B135" s="100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77">
        <v>78</v>
      </c>
      <c r="B137" s="100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77"/>
      <c r="B138" s="100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0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0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7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7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7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7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7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7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7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7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7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7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7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7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7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7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7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7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7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7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7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7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7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7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01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7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01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7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7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7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7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7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7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7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7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7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7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7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7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7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7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7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7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7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7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7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7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7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7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7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7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7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7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7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7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7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7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7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7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7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7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7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7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7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7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7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7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7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9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7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9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7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7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7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7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7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7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7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7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7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7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7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7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7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7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7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7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7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7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7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7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7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7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7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7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7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7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7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7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7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7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7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7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89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7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89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7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7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7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9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7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9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7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7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7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7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7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7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7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7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7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7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7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7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7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7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7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7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7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7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7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7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7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7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7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7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7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7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7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7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7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01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7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01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7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7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7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7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7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7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7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7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7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7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7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7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7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7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7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7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7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7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7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7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7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7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7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7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7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7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7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7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7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7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7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7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7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7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83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7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83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7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7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7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7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7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7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7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7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7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7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7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7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7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7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7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7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7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7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7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7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7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7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7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7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7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7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7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7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7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7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7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7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7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7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83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7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83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7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7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7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7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7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7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98" t="s">
        <v>133</v>
      </c>
      <c r="J420" s="998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7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7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7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7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7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7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7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7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7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7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7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7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7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7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7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7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7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7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7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7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7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7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7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7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7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8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7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8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7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7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7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7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7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7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7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7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8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8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8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7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7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7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7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7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7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7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7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7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7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7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7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7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7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7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7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7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7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7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7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7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7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83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7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83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7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7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7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9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7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94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7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94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7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94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7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94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7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7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7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7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7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7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7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7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7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7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7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7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7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7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7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7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7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7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7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7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7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7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7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7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7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7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7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7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7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7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7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7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7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7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7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7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7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7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7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7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8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7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8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7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7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7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7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7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7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7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7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7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7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7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7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7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7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7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7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7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7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7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7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7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7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7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7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7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7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7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7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7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7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7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7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7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83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7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83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7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7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7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7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7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7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7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7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7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7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7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7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7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7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7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7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7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7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7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7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7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7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7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7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7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7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7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7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7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7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7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7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7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7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7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7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7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7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7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7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7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7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7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7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83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7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83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7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7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9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7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96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7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7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7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7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7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7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7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7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7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7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7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7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7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7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7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7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7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7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7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7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7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7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7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7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7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7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7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7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7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83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7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83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99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99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9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7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7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7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99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9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7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7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7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99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9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7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7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7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7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7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7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7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7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7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7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7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7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7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7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7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7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7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7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7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7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7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7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95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7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95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7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7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7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7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7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7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7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7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7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7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7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7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7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7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7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7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0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0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0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0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0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0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7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83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7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83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7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7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7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7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7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7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7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7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7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7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7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7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7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7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7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7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0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0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7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7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7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7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7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7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7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7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7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7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7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7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7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7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7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7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7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7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7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7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7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7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7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7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7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8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7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8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7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7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7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7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7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7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7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7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7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7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7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7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7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7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7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7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7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7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7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7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7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7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7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7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7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7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7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7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7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7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7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7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7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7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7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7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7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7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7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7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7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7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7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7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7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7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7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7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7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7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7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7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7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7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7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7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7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7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7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7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7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7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7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7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7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7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7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7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7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7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7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7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7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7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7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7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7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7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7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7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7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7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7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7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7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7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7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7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7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7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7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7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7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8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7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8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7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7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7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7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7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7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7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7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7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7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7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7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7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7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7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7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7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7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7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7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7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1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1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7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7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7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7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7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7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7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7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7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7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7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7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7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7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7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7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7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7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7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7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7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7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7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7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83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7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83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7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7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7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7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7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7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7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7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7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7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7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7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7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7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7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8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8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7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7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7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7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7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7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7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7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7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7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7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7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7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7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7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7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7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7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7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7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7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7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7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7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7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83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7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83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7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7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7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7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7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7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7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7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7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7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7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7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7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7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7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7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7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7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7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7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7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7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7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7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7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7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7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7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7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7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7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7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7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7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7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7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7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7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8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7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8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7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7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7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7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7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7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7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7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7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7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7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7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7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7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7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7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7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7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7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7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7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7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7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7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7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7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8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7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8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7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7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7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7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7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7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7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7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7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7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7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7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7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7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7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7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7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7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7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7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7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7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7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7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7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7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7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7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7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7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7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8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7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8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7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7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7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7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7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7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7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7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7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7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7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7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7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7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7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7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7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7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7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7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7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7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7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7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7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7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8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7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8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7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7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7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7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7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7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7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7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7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7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7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7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7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7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7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7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7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7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7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7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7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7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7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7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7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7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7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7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7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7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7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7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7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7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7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7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8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7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8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7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7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7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7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7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7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7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7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7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7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7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7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7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7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7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7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7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7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7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7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7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7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7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7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7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7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7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7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7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83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7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83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7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7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7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7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7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7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7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7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7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7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7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7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7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7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7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7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7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7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7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7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7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7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7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7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7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7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7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93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7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93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7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7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7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7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7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7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7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7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7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7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7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7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7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7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7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7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7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7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7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7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7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7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7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7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7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7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7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83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7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83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7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7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7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7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7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7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7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7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7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7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7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7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7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7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7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83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7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83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7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83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7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83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7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7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7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7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7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7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7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7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7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83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7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83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7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7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7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7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7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7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7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7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7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7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7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7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7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7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7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7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7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7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7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7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7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7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7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7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7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83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7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83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7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7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7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7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7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7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7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7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7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7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7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7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7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7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7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7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7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7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7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7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8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7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8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7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7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7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7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7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7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7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7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7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7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7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7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7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7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7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7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7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7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7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7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7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83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7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83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7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7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7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7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7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7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7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7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7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7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7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7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7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7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7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7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7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7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7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7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7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7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7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7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7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7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7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7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7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7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7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7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7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7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7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7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7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7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7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7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7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7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7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7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7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7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7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8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7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8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7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7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7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7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7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7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7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7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7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7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7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7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7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7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7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7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7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7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7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7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7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7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7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7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7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7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83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7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83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7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7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7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7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7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7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7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7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7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7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7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7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8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7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8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7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7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7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7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7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7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7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7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7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7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7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7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7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7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7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7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7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7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7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7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7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7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7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83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7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83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7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7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7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7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7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7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7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7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7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7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7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7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7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7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7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78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7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7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7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7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7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7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7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7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83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7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83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7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83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7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7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7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7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7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7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7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7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7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7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7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7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8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7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8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7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7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7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7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7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7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7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7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7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7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7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7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7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77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7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77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7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7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7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7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7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7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7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7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77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7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7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7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7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7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83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7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83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7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7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7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7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7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7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7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7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7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7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7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7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7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7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7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7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7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7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7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7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83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7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83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7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7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7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7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7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7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7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7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7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7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7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78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7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7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7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7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78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7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7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7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7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7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83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7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83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7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7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7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7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7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7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7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7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7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7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7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7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7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7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7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7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7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7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7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7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8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7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8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78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7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7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7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7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7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7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7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7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7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7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7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7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7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7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7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7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7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7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7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7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7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77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7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7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7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7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77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7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7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7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7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7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7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7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7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7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7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7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7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8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8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8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7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7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7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7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7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83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7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83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78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7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7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7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7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7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7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7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7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7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83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7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83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7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7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7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7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7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7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7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7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7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7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7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7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78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7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7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7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7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8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7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8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78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7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7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7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7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7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7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7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7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7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7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7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7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7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7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7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7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7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7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7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7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7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77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7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7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7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7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7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7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7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7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7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7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7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7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7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7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7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78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7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7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7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7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7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7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7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7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7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77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7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7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7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7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7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7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7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7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7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7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7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7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9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91" t="s">
        <v>467</v>
      </c>
      <c r="H2160" s="414" t="s">
        <v>515</v>
      </c>
      <c r="I2160" s="415" t="s">
        <v>516</v>
      </c>
      <c r="J2160" s="992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9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91"/>
      <c r="H2161" s="421" t="s">
        <v>515</v>
      </c>
      <c r="I2161" s="422" t="s">
        <v>516</v>
      </c>
      <c r="J2161" s="992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9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91"/>
      <c r="H2162" s="429" t="s">
        <v>515</v>
      </c>
      <c r="I2162" s="430" t="s">
        <v>516</v>
      </c>
      <c r="J2162" s="992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9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91" t="s">
        <v>467</v>
      </c>
      <c r="H2165" s="414" t="s">
        <v>516</v>
      </c>
      <c r="I2165" s="415" t="s">
        <v>516</v>
      </c>
      <c r="J2165" s="992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9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91"/>
      <c r="H2166" s="429" t="s">
        <v>516</v>
      </c>
      <c r="I2166" s="430" t="s">
        <v>516</v>
      </c>
      <c r="J2166" s="992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7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7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7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7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7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78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7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7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7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7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7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7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83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7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83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78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7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7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7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8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7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8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78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88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7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88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7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89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7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89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78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7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7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7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7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7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7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7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7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7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7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7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7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7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7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7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7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7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7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78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7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7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7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7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7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7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7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7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7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7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7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7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7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7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7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7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77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7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7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77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7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7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7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7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7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7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7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7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7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7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7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7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7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7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7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7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7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7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7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7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7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7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7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7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77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7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8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8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7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7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7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7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7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7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7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7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7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7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7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7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7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7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7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7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78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7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7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7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79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7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7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7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7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7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7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7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7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7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7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7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7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7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7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7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7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7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7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7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78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7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7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7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7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7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78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7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7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7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78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7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7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7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7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7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7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7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7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7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7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7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7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7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7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7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7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7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7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7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7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7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8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8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7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7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7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7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7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7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7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7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7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7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7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7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7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7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78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7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7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7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8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8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7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7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7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7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7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7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7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7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7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7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7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7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78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7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7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7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7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81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8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8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7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7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7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7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7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7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7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7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7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7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77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8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7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8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7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8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8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8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8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8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78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7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7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7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8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8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7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8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7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8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7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7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7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7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7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7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7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7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78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7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7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7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8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8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8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87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7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7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7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83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7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83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7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7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7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7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77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7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7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7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7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7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7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8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8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7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7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7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7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8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82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8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82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7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7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7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8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7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8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7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7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7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7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7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7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77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7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7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7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7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7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7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7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7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7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7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7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7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7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7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7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7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8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7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8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7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7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7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7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8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8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8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7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7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7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7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7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7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7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7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7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7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7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7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7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7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7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7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7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8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8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7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7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7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7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7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7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7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7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7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7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7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7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7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7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81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8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8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8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8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8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7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7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7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7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7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7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7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7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7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7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7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7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7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7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7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7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7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7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7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7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7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7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8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7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8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7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8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8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8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8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8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7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7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7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7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7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7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7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7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7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78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7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7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7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7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7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7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7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7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8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8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8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8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8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7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7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7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7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7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7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7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7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8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8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7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7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7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7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7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7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7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7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7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7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7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7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84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7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84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7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7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78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83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7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83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7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7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7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7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7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8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8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78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7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7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7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7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7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7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7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7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7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7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7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79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7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7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7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7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7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7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7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8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7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8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7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7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7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7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7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7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8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8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7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7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7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7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7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7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7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8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8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8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7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83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7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83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7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7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7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7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7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7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7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83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7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83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7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7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7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7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7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8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8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7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7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7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7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8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8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7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7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79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7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7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7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7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7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7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78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7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7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7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7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8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83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8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83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7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7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7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7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7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7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7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8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8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8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7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7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7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7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7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7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7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7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7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7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7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7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7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7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7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7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7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8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7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8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7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8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78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7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7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7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7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7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7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7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7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7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7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7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7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7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7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7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7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7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7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7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8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7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8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7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8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7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8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8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8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8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8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8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7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7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7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8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7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8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7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8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7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7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7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7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7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7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7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7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7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7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7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7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7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7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7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7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7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7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7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7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8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7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8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8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8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7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7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7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7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7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7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7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7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7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7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7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7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7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7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7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7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7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7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7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7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7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7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7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7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7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7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7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7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7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7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7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7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7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7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7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7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7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7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7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7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7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7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7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7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7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7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7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7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7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7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7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7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7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7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7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7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7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7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8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7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83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7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83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7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83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7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7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7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7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7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7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7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7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7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7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7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7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7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7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7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7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7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7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7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7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7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7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7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7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7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7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7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7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7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7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7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7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7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8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8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7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7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7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7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7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7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8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82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8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82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8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82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8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82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8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82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8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82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7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7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7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7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7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7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7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7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8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8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8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8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77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7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7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7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7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7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7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7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7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7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7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7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8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8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8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7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7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7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7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7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7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7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7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7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7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7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7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7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7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7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7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7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7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8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8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8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7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7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7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7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7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7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7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7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7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7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7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7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7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8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8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7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7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7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7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7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7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7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7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7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7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7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7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7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7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7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81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8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8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78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7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7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7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7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7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7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7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7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7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7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7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7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8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8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8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7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7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7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7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7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7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8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8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8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8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8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8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8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8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7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7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7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7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7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7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8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83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8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83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7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7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7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7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7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7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7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7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7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7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83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7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83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81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8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8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8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8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8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7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7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7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7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7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7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7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83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7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83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7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7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7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7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7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7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7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7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7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7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7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7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8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8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7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7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7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7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7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7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7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7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7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7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7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8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82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8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82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8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82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7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7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7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7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7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7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7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7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7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7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7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7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7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79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7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7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7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7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7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7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7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8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7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8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7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7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8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8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7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7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7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7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7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7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7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7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7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7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79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7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7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7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7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7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7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7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7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7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8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7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8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7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7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7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7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7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7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7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7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7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7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7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7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7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7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7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7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8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7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8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48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64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5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63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48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64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5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63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5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63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5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63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51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7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48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7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48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64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7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7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48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5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5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5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51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5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5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5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7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48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7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51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7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48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5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5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5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5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5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51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5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7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73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48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7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51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5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7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73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48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5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5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7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48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5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51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5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5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7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51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5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5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48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5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5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5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5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5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51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7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48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64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7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7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48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64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7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7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48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7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51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7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48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5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48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7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51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7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48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5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7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51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5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7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51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5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5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5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5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5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48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7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51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5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7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73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48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7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51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7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48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5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5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7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48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64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7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7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51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5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7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48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7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51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5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7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73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48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5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5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5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5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5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5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7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51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7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51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5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7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73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48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5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7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51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5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7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48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5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7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51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5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5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5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51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7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48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5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7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48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5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5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5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51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5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51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5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5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5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5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5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48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7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48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64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5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63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7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7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4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5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7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5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5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7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4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5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5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4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64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7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7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51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5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5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7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48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7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48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7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51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7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51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5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5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5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5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48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7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48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5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7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51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7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48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7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51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7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48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64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7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7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51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5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48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5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7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51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7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48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7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51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7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48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7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48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5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5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5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5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5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5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5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48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7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48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7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51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5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5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7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48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5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5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5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5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7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48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7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51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5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5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7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51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5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5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5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5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5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48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7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48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64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7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7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51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5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7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48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5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5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7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51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5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7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48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64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5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63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7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7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51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5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7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73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48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7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51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7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48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5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5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5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5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5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51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7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48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7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51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5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7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48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5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5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7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51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7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48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64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7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7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48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7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51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5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7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51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7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48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5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51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5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51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5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5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5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5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48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7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48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5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51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5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7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73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48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5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5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5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5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5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7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51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5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5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5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48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5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7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48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7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51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7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48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5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7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48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7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74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7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7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48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5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5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5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5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7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51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7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48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5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7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51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7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48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7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48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7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51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5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5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48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5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4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51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5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48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64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4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65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48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5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51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5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5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5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48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5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5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5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5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51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5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48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4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48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5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4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51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5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48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5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5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51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5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5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6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5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5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51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5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51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5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5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48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5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4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51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5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5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5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5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48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4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51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5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5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48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5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5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4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51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5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48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5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5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4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48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4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51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5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5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48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4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51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5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5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5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5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48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4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51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5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5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48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4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51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5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48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4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48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5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4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48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4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51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5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51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5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5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48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5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5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5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4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48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5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51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5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51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5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51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5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48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5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4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51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5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5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5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48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5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4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48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64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4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65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51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5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5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51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5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5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48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5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5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4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48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4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51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5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5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6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5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6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5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5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48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5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4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48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4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51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5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5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48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4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51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5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5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51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5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5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5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48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4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51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5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5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51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5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48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4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51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5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48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4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51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5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5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5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5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48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5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4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48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64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5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63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5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63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4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65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51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5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48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4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48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4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51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5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5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48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4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51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5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5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5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51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5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51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5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5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5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5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5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48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5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51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5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5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48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4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48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5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4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51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5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5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48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5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4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51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5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5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51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5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48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4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5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5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5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4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5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5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4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5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5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5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5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4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5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4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51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5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48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5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5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5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51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5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48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4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51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5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5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5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48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4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5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5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5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5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4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4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5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5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48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5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5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4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48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4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48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5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5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4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51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5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51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5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48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5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4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51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5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5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51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5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5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51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5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5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48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4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48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5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5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4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51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5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5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6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48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4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51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5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48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4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51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5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48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4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48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5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4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51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5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48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4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51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5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5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48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5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4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51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5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48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4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48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5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51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5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5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48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5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4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48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4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48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4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51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5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48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4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51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5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48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5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4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51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5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5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51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5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5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48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4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51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5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5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48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64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5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63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4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65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51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5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5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51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5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51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5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48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5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4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48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4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51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5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48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5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5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4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48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4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48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64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4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65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51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5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51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5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51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5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48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5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5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4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51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5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48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4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48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4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48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5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4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51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5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5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48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4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51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5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5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48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4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51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5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48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4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51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5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5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50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5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51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5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48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4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51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5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5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5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48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4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51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5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48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4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48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64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4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65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48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5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4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51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5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5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48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5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4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51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5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51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5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48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5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51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5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48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4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51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5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5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6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5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6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5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5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51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5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5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51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5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5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5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48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5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48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5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4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51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5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5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48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64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4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65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48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4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51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5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51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5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5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5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48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64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5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63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51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5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51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5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48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4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51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5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48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64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4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65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48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5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4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51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5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5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51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5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5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5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48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4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48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5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48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4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51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5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5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5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48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4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51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5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48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4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51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5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5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6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5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5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48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4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48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64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4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65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51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5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48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5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5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4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51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5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5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5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48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4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51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5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48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4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51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5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48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64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4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65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51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5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5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48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4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48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64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4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65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51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5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5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5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48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4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51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5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5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48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5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5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4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51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5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48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4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51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5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48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64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4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65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51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5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51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5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5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48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64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5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63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51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5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51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5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5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48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5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4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48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4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48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4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51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5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5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5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48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64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4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65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48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4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51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5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5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5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48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5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5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51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5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48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4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51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5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48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6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4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65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51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5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48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4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51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5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5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5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48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4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51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5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5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48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4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51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5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5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51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5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5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5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48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5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51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5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5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48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4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48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5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4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51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5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5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51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5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5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5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51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5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5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5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48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5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48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5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4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51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5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5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48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4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51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5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51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5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5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5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51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5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5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48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4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51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5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5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5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48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4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51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5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5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48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64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5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63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5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63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51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5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5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5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50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5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5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5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50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5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48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5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51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5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48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64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5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69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5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5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5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51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5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48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5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4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51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5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48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4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48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4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51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5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5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6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5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5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48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5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51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5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5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5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51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5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5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5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51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5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5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48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5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4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48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64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5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63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5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63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5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63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51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5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48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64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4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65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48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4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51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5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5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48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64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4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65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51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5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48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5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5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4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51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5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48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64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4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65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51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5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5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51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5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48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5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5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51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5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51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5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5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5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51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5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51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5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48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5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5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4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51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5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5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48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4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51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5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48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4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48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64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5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63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51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5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5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5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48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64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4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65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48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4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48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64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4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65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48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5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4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51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5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48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4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51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5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5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5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51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5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5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48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5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5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4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51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5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5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48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5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48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64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4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65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51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5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48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5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5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51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5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48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5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4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51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5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48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4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51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5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48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4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48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4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51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5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5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48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4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51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5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51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5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5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6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48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5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5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51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5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48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5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5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4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51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5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5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5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5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4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4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51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5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5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48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5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5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49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51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5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48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4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48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5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48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64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5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63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5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63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5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63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5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63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51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5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51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5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5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5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51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5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5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5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48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49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51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5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5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48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5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49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48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5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49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51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5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51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5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5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5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51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5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5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6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5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6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5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6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48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49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51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5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48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49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48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49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51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5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51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5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5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5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50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5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51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5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50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63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5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63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51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5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48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64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49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65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51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5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48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64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5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63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51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5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48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49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51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53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48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49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51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53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48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64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49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65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48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49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51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53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48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49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51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53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48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50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49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51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53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51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53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51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5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5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48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49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48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49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51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5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53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51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5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53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48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50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49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51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5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53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48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50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51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5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53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5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48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50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49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48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49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51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53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48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49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48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64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49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65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48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49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51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53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48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49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51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5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53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5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51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5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5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5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53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48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50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49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48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50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51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5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53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5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51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5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5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6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5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6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5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6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53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5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48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50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49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51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5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5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5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53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4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64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49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65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5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53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4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50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49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48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49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48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49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51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5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53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48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49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51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53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48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50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48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50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50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49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51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53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48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50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49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51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53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48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49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51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5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53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5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51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5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48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49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48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49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48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50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50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49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48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49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51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53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48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49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51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5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53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5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48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49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16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17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58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5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6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51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53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58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5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6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6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6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58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6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51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5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74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5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18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1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12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2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21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22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7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18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5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53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5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5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5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5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5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51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53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51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6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53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6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48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49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48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49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48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50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49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51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53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51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53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51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5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53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48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50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49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51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5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5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48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49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51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5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53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51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5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5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53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5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5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53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4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49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5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5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53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5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51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5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74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18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12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12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5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46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47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48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49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48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50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46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47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5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5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46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11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11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47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5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12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5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46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47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5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5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46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11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47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5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5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46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11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47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48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50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50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50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51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5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5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53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5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5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5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23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12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24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5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25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51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6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53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6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5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64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5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63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46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47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48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49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51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53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48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50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74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13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5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5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5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5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5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12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5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51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5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53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48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50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49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51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5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53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51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53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5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12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5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46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11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11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47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5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12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12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51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5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51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53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5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12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12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5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46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11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11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5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5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46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11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11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5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64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5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65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51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54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5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5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48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49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51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5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5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46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11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11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11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48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50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48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50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50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49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51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5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5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53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51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5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5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5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53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48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50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50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50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50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50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49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46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11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11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47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48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50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49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46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11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47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46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11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11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11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48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50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49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11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11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11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11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47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56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57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46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47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56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12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12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57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56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23" t="s">
        <v>1633</v>
      </c>
      <c r="H6861" s="483" t="s">
        <v>1795</v>
      </c>
      <c r="I6861" s="484" t="s">
        <v>1795</v>
      </c>
      <c r="J6861" s="485"/>
      <c r="K6861" s="483" t="str">
        <f t="shared" ref="K6861:K6922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12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24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57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25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51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53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48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49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46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11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47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56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12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57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46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68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47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68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48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64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49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65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48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49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46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47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48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49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51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53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48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50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49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46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11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47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56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12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57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51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5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5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5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/>
      <c r="F6907" s="508" t="s">
        <v>30</v>
      </c>
      <c r="G6907" s="509"/>
      <c r="H6907" s="508" t="s">
        <v>1892</v>
      </c>
      <c r="I6907" s="510"/>
      <c r="J6907" s="511"/>
      <c r="K6907" s="508"/>
      <c r="L6907" s="508" t="s">
        <v>266</v>
      </c>
      <c r="M6907" s="508">
        <v>11680.56</v>
      </c>
      <c r="N6907" s="512">
        <v>0.41666666666666669</v>
      </c>
      <c r="O6907" s="897" t="s">
        <v>1901</v>
      </c>
    </row>
    <row r="6908" spans="1:17" ht="19.5" hidden="1" thickBot="1" x14ac:dyDescent="0.3">
      <c r="A6908" s="948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50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50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49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14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15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51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5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5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5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53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48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50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49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4"/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x14ac:dyDescent="0.25">
      <c r="A6924" s="948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79"/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thickBot="1" x14ac:dyDescent="0.3">
      <c r="A6925" s="949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87"/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x14ac:dyDescent="0.25">
      <c r="A6926" s="946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63"/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thickBot="1" x14ac:dyDescent="0.3">
      <c r="A6927" s="947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48"/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x14ac:dyDescent="0.25">
      <c r="A6928" s="948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79"/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x14ac:dyDescent="0.25">
      <c r="A6929" s="950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91"/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x14ac:dyDescent="0.25">
      <c r="A6930" s="950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91"/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thickBot="1" x14ac:dyDescent="0.3">
      <c r="A6931" s="949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86"/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x14ac:dyDescent="0.25">
      <c r="A6932" s="946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54" t="s">
        <v>1634</v>
      </c>
      <c r="H6932" s="535" t="s">
        <v>1926</v>
      </c>
      <c r="I6932" s="537" t="s">
        <v>1928</v>
      </c>
      <c r="J6932" s="538"/>
      <c r="K6932" s="531"/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x14ac:dyDescent="0.25">
      <c r="A6933" s="1011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68"/>
      <c r="H6933" s="816" t="s">
        <v>1926</v>
      </c>
      <c r="I6933" s="816" t="s">
        <v>1928</v>
      </c>
      <c r="J6933" s="818"/>
      <c r="K6933" s="943"/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x14ac:dyDescent="0.25">
      <c r="A6934" s="1011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68"/>
      <c r="H6934" s="816" t="s">
        <v>1926</v>
      </c>
      <c r="I6934" s="816" t="s">
        <v>1928</v>
      </c>
      <c r="J6934" s="818"/>
      <c r="K6934" s="943"/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thickBot="1" x14ac:dyDescent="0.3">
      <c r="A6935" s="947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55"/>
      <c r="H6935" s="788" t="s">
        <v>1926</v>
      </c>
      <c r="I6935" s="788" t="s">
        <v>1928</v>
      </c>
      <c r="J6935" s="790"/>
      <c r="K6935" s="877"/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x14ac:dyDescent="0.25">
      <c r="A6936" s="948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3"/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thickBot="1" x14ac:dyDescent="0.3">
      <c r="A6937" s="949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5"/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thickBot="1" x14ac:dyDescent="0.3">
      <c r="A6938" s="503">
        <f>MAX(A6858:A6937)+1</f>
        <v>4313</v>
      </c>
      <c r="B6938" s="636" t="s">
        <v>1891</v>
      </c>
      <c r="C6938" s="637" t="s">
        <v>32</v>
      </c>
      <c r="D6938" s="638">
        <v>17.8</v>
      </c>
      <c r="E6938" s="639"/>
      <c r="F6938" s="640" t="s">
        <v>16</v>
      </c>
      <c r="G6938" s="641"/>
      <c r="H6938" s="640" t="s">
        <v>1926</v>
      </c>
      <c r="I6938" s="642"/>
      <c r="J6938" s="643"/>
      <c r="K6938" s="636"/>
      <c r="L6938" s="640" t="s">
        <v>266</v>
      </c>
      <c r="M6938" s="640">
        <v>17807.399999999998</v>
      </c>
      <c r="N6938" s="644">
        <v>0.58333333333333337</v>
      </c>
      <c r="O6938" s="897" t="s">
        <v>1945</v>
      </c>
    </row>
    <row r="6939" spans="1:18" x14ac:dyDescent="0.25">
      <c r="A6939" s="948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79"/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thickBot="1" x14ac:dyDescent="0.3">
      <c r="A6940" s="949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87"/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x14ac:dyDescent="0.25">
      <c r="A6941" s="946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63"/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thickBot="1" x14ac:dyDescent="0.3">
      <c r="A6942" s="947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48"/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x14ac:dyDescent="0.25">
      <c r="A6943" s="956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23" t="s">
        <v>1724</v>
      </c>
      <c r="H6943" s="483" t="s">
        <v>1928</v>
      </c>
      <c r="I6943" s="484" t="s">
        <v>1984</v>
      </c>
      <c r="J6943" s="485"/>
      <c r="K6943" s="479"/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4"/>
    </row>
    <row r="6944" spans="1:18" x14ac:dyDescent="0.25">
      <c r="A6944" s="1012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24"/>
      <c r="H6944" s="763" t="s">
        <v>1928</v>
      </c>
      <c r="I6944" s="768" t="s">
        <v>1984</v>
      </c>
      <c r="J6944" s="779"/>
      <c r="K6944" s="791"/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x14ac:dyDescent="0.25">
      <c r="A6945" s="1012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26"/>
      <c r="H6945" s="844" t="s">
        <v>1928</v>
      </c>
      <c r="I6945" s="844" t="s">
        <v>1984</v>
      </c>
      <c r="J6945" s="845"/>
      <c r="K6945" s="886"/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x14ac:dyDescent="0.25">
      <c r="A6946" s="1012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26"/>
      <c r="H6946" s="844" t="s">
        <v>1928</v>
      </c>
      <c r="I6946" s="844" t="s">
        <v>1984</v>
      </c>
      <c r="J6946" s="845"/>
      <c r="K6946" s="886"/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thickBot="1" x14ac:dyDescent="0.3">
      <c r="A6947" s="957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25"/>
      <c r="H6947" s="808" t="s">
        <v>1928</v>
      </c>
      <c r="I6947" s="808" t="s">
        <v>1984</v>
      </c>
      <c r="J6947" s="810"/>
      <c r="K6947" s="887"/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x14ac:dyDescent="0.25">
      <c r="A6948" s="946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68" t="s">
        <v>1633</v>
      </c>
      <c r="H6948" s="567" t="s">
        <v>1928</v>
      </c>
      <c r="I6948" s="569" t="s">
        <v>1928</v>
      </c>
      <c r="J6948" s="570"/>
      <c r="K6948" s="563"/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4"/>
    </row>
    <row r="6949" spans="1:18" x14ac:dyDescent="0.25">
      <c r="A6949" s="1011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68"/>
      <c r="H6949" s="839" t="s">
        <v>1928</v>
      </c>
      <c r="I6949" s="839" t="s">
        <v>1928</v>
      </c>
      <c r="J6949" s="840"/>
      <c r="K6949" s="836"/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4"/>
    </row>
    <row r="6950" spans="1:18" ht="19.5" thickBot="1" x14ac:dyDescent="0.3">
      <c r="A6950" s="947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55"/>
      <c r="H6950" s="788" t="s">
        <v>1928</v>
      </c>
      <c r="I6950" s="788" t="s">
        <v>1928</v>
      </c>
      <c r="J6950" s="790"/>
      <c r="K6950" s="877"/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x14ac:dyDescent="0.25">
      <c r="A6951" s="948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79"/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2048</v>
      </c>
    </row>
    <row r="6952" spans="1:18" ht="19.5" thickBot="1" x14ac:dyDescent="0.3">
      <c r="A6952" s="949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5"/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2049</v>
      </c>
    </row>
    <row r="6953" spans="1:18" ht="19.5" thickBot="1" x14ac:dyDescent="0.3">
      <c r="A6953" s="551">
        <f t="shared" ref="A6953:A6958" si="208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/>
      <c r="F6953" s="556" t="s">
        <v>30</v>
      </c>
      <c r="G6953" s="557"/>
      <c r="H6953" s="556" t="s">
        <v>1984</v>
      </c>
      <c r="I6953" s="558"/>
      <c r="J6953" s="559"/>
      <c r="K6953" s="552"/>
      <c r="L6953" s="556" t="s">
        <v>28</v>
      </c>
      <c r="M6953" s="556">
        <v>13088.68</v>
      </c>
      <c r="N6953" s="560">
        <v>0.41666666666666669</v>
      </c>
      <c r="O6953" s="897" t="s">
        <v>1991</v>
      </c>
    </row>
    <row r="6954" spans="1:18" ht="19.5" thickBot="1" x14ac:dyDescent="0.3">
      <c r="A6954" s="513">
        <f t="shared" si="208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4"/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2057</v>
      </c>
    </row>
    <row r="6955" spans="1:18" ht="19.5" thickBot="1" x14ac:dyDescent="0.3">
      <c r="A6955" s="503">
        <f t="shared" si="208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4"/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2059</v>
      </c>
    </row>
    <row r="6956" spans="1:18" ht="19.5" thickBot="1" x14ac:dyDescent="0.3">
      <c r="A6956" s="513">
        <f t="shared" si="208"/>
        <v>4322</v>
      </c>
      <c r="B6956" s="514" t="s">
        <v>1928</v>
      </c>
      <c r="C6956" s="515" t="s">
        <v>32</v>
      </c>
      <c r="D6956" s="516">
        <v>17.5</v>
      </c>
      <c r="E6956" s="517"/>
      <c r="F6956" s="518" t="s">
        <v>16</v>
      </c>
      <c r="G6956" s="519"/>
      <c r="H6956" s="518" t="s">
        <v>2006</v>
      </c>
      <c r="I6956" s="520"/>
      <c r="J6956" s="521"/>
      <c r="K6956" s="514"/>
      <c r="L6956" s="518" t="s">
        <v>266</v>
      </c>
      <c r="M6956" s="518">
        <v>17503.2</v>
      </c>
      <c r="N6956" s="522">
        <v>0.5</v>
      </c>
      <c r="O6956" s="897" t="s">
        <v>2008</v>
      </c>
      <c r="P6956" s="867" t="s">
        <v>2041</v>
      </c>
    </row>
    <row r="6957" spans="1:18" ht="19.5" thickBot="1" x14ac:dyDescent="0.3">
      <c r="A6957" s="551">
        <f t="shared" si="208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2"/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2058</v>
      </c>
    </row>
    <row r="6958" spans="1:18" x14ac:dyDescent="0.25">
      <c r="A6958" s="948">
        <f t="shared" si="208"/>
        <v>4324</v>
      </c>
      <c r="B6958" s="610" t="s">
        <v>1984</v>
      </c>
      <c r="C6958" s="480" t="s">
        <v>26</v>
      </c>
      <c r="D6958" s="481">
        <v>17</v>
      </c>
      <c r="E6958" s="482"/>
      <c r="F6958" s="483" t="s">
        <v>16</v>
      </c>
      <c r="G6958" s="899"/>
      <c r="H6958" s="483" t="s">
        <v>2031</v>
      </c>
      <c r="I6958" s="484"/>
      <c r="J6958" s="485"/>
      <c r="K6958" s="479"/>
      <c r="L6958" s="483" t="s">
        <v>265</v>
      </c>
      <c r="M6958" s="483">
        <v>17009.400000000001</v>
      </c>
      <c r="N6958" s="486">
        <v>0.375</v>
      </c>
      <c r="O6958" s="897" t="s">
        <v>2032</v>
      </c>
    </row>
    <row r="6959" spans="1:18" ht="19.5" thickBot="1" x14ac:dyDescent="0.3">
      <c r="A6959" s="949"/>
      <c r="B6959" s="805" t="s">
        <v>2031</v>
      </c>
      <c r="C6959" s="806" t="s">
        <v>26</v>
      </c>
      <c r="D6959" s="807">
        <v>2.4</v>
      </c>
      <c r="E6959" s="807"/>
      <c r="F6959" s="808" t="s">
        <v>16</v>
      </c>
      <c r="G6959" s="902" t="s">
        <v>76</v>
      </c>
      <c r="H6959" s="808" t="s">
        <v>2031</v>
      </c>
      <c r="I6959" s="808"/>
      <c r="J6959" s="810"/>
      <c r="K6959" s="887"/>
      <c r="L6959" s="808" t="s">
        <v>265</v>
      </c>
      <c r="M6959" s="808">
        <v>2400</v>
      </c>
      <c r="N6959" s="778">
        <v>0.375</v>
      </c>
      <c r="O6959" s="897" t="s">
        <v>2060</v>
      </c>
    </row>
    <row r="6960" spans="1:18" x14ac:dyDescent="0.25">
      <c r="A6960" s="946">
        <f>MAX(A6872:A6959)+1</f>
        <v>4325</v>
      </c>
      <c r="B6960" s="759" t="s">
        <v>1984</v>
      </c>
      <c r="C6960" s="532" t="s">
        <v>26</v>
      </c>
      <c r="D6960" s="533">
        <v>17.47</v>
      </c>
      <c r="E6960" s="534">
        <v>12.959</v>
      </c>
      <c r="F6960" s="535" t="s">
        <v>16</v>
      </c>
      <c r="G6960" s="898"/>
      <c r="H6960" s="535" t="s">
        <v>2031</v>
      </c>
      <c r="I6960" s="537" t="s">
        <v>2031</v>
      </c>
      <c r="J6960" s="538"/>
      <c r="K6960" s="563"/>
      <c r="L6960" s="567" t="s">
        <v>265</v>
      </c>
      <c r="M6960" s="567">
        <v>17628.839999999997</v>
      </c>
      <c r="N6960" s="571">
        <v>0.41666666666666669</v>
      </c>
      <c r="O6960" s="897" t="s">
        <v>2033</v>
      </c>
      <c r="P6960" s="867" t="s">
        <v>2061</v>
      </c>
    </row>
    <row r="6961" spans="1:16" ht="19.5" thickBot="1" x14ac:dyDescent="0.3">
      <c r="A6961" s="947"/>
      <c r="B6961" s="798" t="s">
        <v>2006</v>
      </c>
      <c r="C6961" s="799" t="s">
        <v>26</v>
      </c>
      <c r="D6961" s="800">
        <v>4.5999999999999996</v>
      </c>
      <c r="E6961" s="800">
        <v>4.6369999999999996</v>
      </c>
      <c r="F6961" s="801" t="s">
        <v>16</v>
      </c>
      <c r="G6961" s="942" t="s">
        <v>76</v>
      </c>
      <c r="H6961" s="801" t="s">
        <v>2031</v>
      </c>
      <c r="I6961" s="801" t="s">
        <v>2031</v>
      </c>
      <c r="J6961" s="803"/>
      <c r="K6961" s="848"/>
      <c r="L6961" s="801" t="s">
        <v>265</v>
      </c>
      <c r="M6961" s="801">
        <v>4620</v>
      </c>
      <c r="N6961" s="804">
        <v>0.41666666666666669</v>
      </c>
      <c r="O6961" s="897" t="s">
        <v>2056</v>
      </c>
      <c r="P6961" s="867" t="s">
        <v>2062</v>
      </c>
    </row>
    <row r="6962" spans="1:16" x14ac:dyDescent="0.25">
      <c r="A6962" s="948">
        <f>MAX(A6873:A6961)+1</f>
        <v>4326</v>
      </c>
      <c r="B6962" s="479" t="s">
        <v>1984</v>
      </c>
      <c r="C6962" s="480" t="s">
        <v>981</v>
      </c>
      <c r="D6962" s="481">
        <v>4.726</v>
      </c>
      <c r="E6962" s="482"/>
      <c r="F6962" s="483" t="s">
        <v>16</v>
      </c>
      <c r="G6962" s="549" t="s">
        <v>844</v>
      </c>
      <c r="H6962" s="483" t="s">
        <v>2031</v>
      </c>
      <c r="I6962" s="484"/>
      <c r="J6962" s="485"/>
      <c r="K6962" s="479"/>
      <c r="L6962" s="483" t="s">
        <v>266</v>
      </c>
      <c r="M6962" s="483">
        <v>4727.74</v>
      </c>
      <c r="N6962" s="486">
        <v>0.45833333333333331</v>
      </c>
      <c r="O6962" s="897" t="s">
        <v>2036</v>
      </c>
    </row>
    <row r="6963" spans="1:16" x14ac:dyDescent="0.25">
      <c r="A6963" s="950"/>
      <c r="B6963" s="523" t="s">
        <v>1984</v>
      </c>
      <c r="C6963" s="524" t="s">
        <v>981</v>
      </c>
      <c r="D6963" s="525">
        <v>2</v>
      </c>
      <c r="E6963" s="526"/>
      <c r="F6963" s="527" t="s">
        <v>16</v>
      </c>
      <c r="G6963" s="561" t="s">
        <v>845</v>
      </c>
      <c r="H6963" s="527" t="s">
        <v>2031</v>
      </c>
      <c r="I6963" s="528"/>
      <c r="J6963" s="529"/>
      <c r="K6963" s="523"/>
      <c r="L6963" s="527" t="s">
        <v>266</v>
      </c>
      <c r="M6963" s="527">
        <v>2004.6</v>
      </c>
      <c r="N6963" s="530">
        <v>0.45833333333333331</v>
      </c>
      <c r="O6963" s="897" t="s">
        <v>2035</v>
      </c>
      <c r="P6963" s="867" t="s">
        <v>2041</v>
      </c>
    </row>
    <row r="6964" spans="1:16" x14ac:dyDescent="0.25">
      <c r="A6964" s="950"/>
      <c r="B6964" s="523" t="s">
        <v>1984</v>
      </c>
      <c r="C6964" s="524" t="s">
        <v>41</v>
      </c>
      <c r="D6964" s="525">
        <v>4.5149999999999997</v>
      </c>
      <c r="E6964" s="526"/>
      <c r="F6964" s="527" t="s">
        <v>16</v>
      </c>
      <c r="G6964" s="561" t="s">
        <v>844</v>
      </c>
      <c r="H6964" s="527" t="s">
        <v>2031</v>
      </c>
      <c r="I6964" s="528"/>
      <c r="J6964" s="529"/>
      <c r="K6964" s="523"/>
      <c r="L6964" s="527" t="s">
        <v>266</v>
      </c>
      <c r="M6964" s="527">
        <v>4606.380000000001</v>
      </c>
      <c r="N6964" s="530">
        <v>0.45833333333333331</v>
      </c>
      <c r="O6964" s="897" t="s">
        <v>2039</v>
      </c>
    </row>
    <row r="6965" spans="1:16" x14ac:dyDescent="0.25">
      <c r="A6965" s="950"/>
      <c r="B6965" s="523" t="s">
        <v>1984</v>
      </c>
      <c r="C6965" s="524" t="s">
        <v>41</v>
      </c>
      <c r="D6965" s="525">
        <v>5</v>
      </c>
      <c r="E6965" s="526"/>
      <c r="F6965" s="527" t="s">
        <v>16</v>
      </c>
      <c r="G6965" s="561" t="s">
        <v>845</v>
      </c>
      <c r="H6965" s="527" t="s">
        <v>2031</v>
      </c>
      <c r="I6965" s="528"/>
      <c r="J6965" s="529"/>
      <c r="K6965" s="523"/>
      <c r="L6965" s="527" t="s">
        <v>266</v>
      </c>
      <c r="M6965" s="527">
        <v>5007.5999999999995</v>
      </c>
      <c r="N6965" s="530">
        <v>0.45833333333333331</v>
      </c>
      <c r="O6965" s="897" t="s">
        <v>2037</v>
      </c>
      <c r="P6965" s="867" t="s">
        <v>2041</v>
      </c>
    </row>
    <row r="6966" spans="1:16" ht="19.5" thickBot="1" x14ac:dyDescent="0.3">
      <c r="A6966" s="949"/>
      <c r="B6966" s="645" t="s">
        <v>1984</v>
      </c>
      <c r="C6966" s="646" t="s">
        <v>32</v>
      </c>
      <c r="D6966" s="647">
        <v>3.9649999999999999</v>
      </c>
      <c r="E6966" s="648"/>
      <c r="F6966" s="649" t="s">
        <v>16</v>
      </c>
      <c r="G6966" s="650" t="s">
        <v>1702</v>
      </c>
      <c r="H6966" s="649" t="s">
        <v>2031</v>
      </c>
      <c r="I6966" s="651"/>
      <c r="J6966" s="652"/>
      <c r="K6966" s="645"/>
      <c r="L6966" s="649" t="s">
        <v>266</v>
      </c>
      <c r="M6966" s="649">
        <v>3968.3</v>
      </c>
      <c r="N6966" s="653">
        <v>0.45833333333333331</v>
      </c>
      <c r="O6966" s="897" t="s">
        <v>2038</v>
      </c>
    </row>
    <row r="6967" spans="1:16" ht="19.5" thickBot="1" x14ac:dyDescent="0.3">
      <c r="A6967" s="503">
        <f>MAX(A6878:A6966)+1</f>
        <v>4327</v>
      </c>
      <c r="B6967" s="504" t="s">
        <v>1984</v>
      </c>
      <c r="C6967" s="505" t="s">
        <v>26</v>
      </c>
      <c r="D6967" s="506">
        <v>17.405000000000001</v>
      </c>
      <c r="E6967" s="507"/>
      <c r="F6967" s="508" t="s">
        <v>16</v>
      </c>
      <c r="G6967" s="509"/>
      <c r="H6967" s="508" t="s">
        <v>2034</v>
      </c>
      <c r="I6967" s="510"/>
      <c r="J6967" s="511"/>
      <c r="K6967" s="504"/>
      <c r="L6967" s="508" t="s">
        <v>265</v>
      </c>
      <c r="M6967" s="508">
        <v>17570.419999999998</v>
      </c>
      <c r="N6967" s="512">
        <v>0.375</v>
      </c>
      <c r="O6967" s="897" t="s">
        <v>2040</v>
      </c>
    </row>
    <row r="6968" spans="1:16" x14ac:dyDescent="0.25">
      <c r="A6968" s="948">
        <f>MAX(A6879:A6967)+1</f>
        <v>4328</v>
      </c>
      <c r="B6968" s="479" t="s">
        <v>1984</v>
      </c>
      <c r="C6968" s="480" t="s">
        <v>15</v>
      </c>
      <c r="D6968" s="481">
        <v>4.8869999999999996</v>
      </c>
      <c r="E6968" s="482"/>
      <c r="F6968" s="483" t="s">
        <v>16</v>
      </c>
      <c r="G6968" s="549"/>
      <c r="H6968" s="483" t="s">
        <v>2034</v>
      </c>
      <c r="I6968" s="484"/>
      <c r="J6968" s="485"/>
      <c r="K6968" s="479"/>
      <c r="L6968" s="483" t="s">
        <v>28</v>
      </c>
      <c r="M6968" s="483">
        <v>5035.8899999999994</v>
      </c>
      <c r="N6968" s="486">
        <v>0.41666666666666669</v>
      </c>
      <c r="O6968" s="897" t="s">
        <v>2042</v>
      </c>
    </row>
    <row r="6969" spans="1:16" x14ac:dyDescent="0.25">
      <c r="A6969" s="950"/>
      <c r="B6969" s="523" t="s">
        <v>1984</v>
      </c>
      <c r="C6969" s="524" t="s">
        <v>24</v>
      </c>
      <c r="D6969" s="525">
        <v>3.7</v>
      </c>
      <c r="E6969" s="526"/>
      <c r="F6969" s="527" t="s">
        <v>16</v>
      </c>
      <c r="G6969" s="561"/>
      <c r="H6969" s="527" t="s">
        <v>2034</v>
      </c>
      <c r="I6969" s="528"/>
      <c r="J6969" s="529"/>
      <c r="K6969" s="523"/>
      <c r="L6969" s="527" t="s">
        <v>28</v>
      </c>
      <c r="M6969" s="527">
        <v>3810.32</v>
      </c>
      <c r="N6969" s="530">
        <v>0.41666666666666669</v>
      </c>
      <c r="O6969" s="897" t="s">
        <v>2044</v>
      </c>
    </row>
    <row r="6970" spans="1:16" ht="19.5" thickBot="1" x14ac:dyDescent="0.3">
      <c r="A6970" s="949"/>
      <c r="B6970" s="645" t="s">
        <v>1984</v>
      </c>
      <c r="C6970" s="646" t="s">
        <v>764</v>
      </c>
      <c r="D6970" s="647">
        <v>9.1</v>
      </c>
      <c r="E6970" s="648"/>
      <c r="F6970" s="649" t="s">
        <v>16</v>
      </c>
      <c r="G6970" s="650"/>
      <c r="H6970" s="649" t="s">
        <v>2034</v>
      </c>
      <c r="I6970" s="651"/>
      <c r="J6970" s="652"/>
      <c r="K6970" s="645"/>
      <c r="L6970" s="649" t="s">
        <v>28</v>
      </c>
      <c r="M6970" s="649">
        <v>9153.0000000000018</v>
      </c>
      <c r="N6970" s="653">
        <v>0.41666666666666669</v>
      </c>
      <c r="O6970" s="897" t="s">
        <v>2043</v>
      </c>
    </row>
    <row r="6971" spans="1:16" ht="56.25" x14ac:dyDescent="0.25">
      <c r="A6971" s="951">
        <f>MAX(A6882:A6970)+1</f>
        <v>4329</v>
      </c>
      <c r="B6971" s="531" t="s">
        <v>1984</v>
      </c>
      <c r="C6971" s="532" t="s">
        <v>587</v>
      </c>
      <c r="D6971" s="533">
        <v>0.59299999999999997</v>
      </c>
      <c r="E6971" s="534"/>
      <c r="F6971" s="535" t="s">
        <v>16</v>
      </c>
      <c r="G6971" s="536" t="s">
        <v>794</v>
      </c>
      <c r="H6971" s="535" t="s">
        <v>2034</v>
      </c>
      <c r="I6971" s="537"/>
      <c r="J6971" s="538"/>
      <c r="K6971" s="531"/>
      <c r="L6971" s="535" t="s">
        <v>28</v>
      </c>
      <c r="M6971" s="535">
        <v>593.28</v>
      </c>
      <c r="N6971" s="539">
        <v>0.45833333333333331</v>
      </c>
      <c r="O6971" s="897" t="s">
        <v>2046</v>
      </c>
    </row>
    <row r="6972" spans="1:16" x14ac:dyDescent="0.25">
      <c r="A6972" s="952"/>
      <c r="B6972" s="563" t="s">
        <v>1984</v>
      </c>
      <c r="C6972" s="564" t="s">
        <v>587</v>
      </c>
      <c r="D6972" s="565">
        <v>8.36</v>
      </c>
      <c r="E6972" s="566"/>
      <c r="F6972" s="567" t="s">
        <v>16</v>
      </c>
      <c r="G6972" s="568" t="s">
        <v>47</v>
      </c>
      <c r="H6972" s="567" t="s">
        <v>2034</v>
      </c>
      <c r="I6972" s="569"/>
      <c r="J6972" s="570"/>
      <c r="K6972" s="563"/>
      <c r="L6972" s="567" t="s">
        <v>28</v>
      </c>
      <c r="M6972" s="567">
        <v>8360.8799999999992</v>
      </c>
      <c r="N6972" s="571">
        <v>0.45833333333333331</v>
      </c>
      <c r="O6972" s="897" t="s">
        <v>2047</v>
      </c>
    </row>
    <row r="6973" spans="1:16" ht="19.5" thickBot="1" x14ac:dyDescent="0.3">
      <c r="A6973" s="952"/>
      <c r="B6973" s="590" t="s">
        <v>1984</v>
      </c>
      <c r="C6973" s="591" t="s">
        <v>47</v>
      </c>
      <c r="D6973" s="592">
        <v>8.7309999999999999</v>
      </c>
      <c r="E6973" s="593"/>
      <c r="F6973" s="594" t="s">
        <v>16</v>
      </c>
      <c r="G6973" s="595"/>
      <c r="H6973" s="594" t="s">
        <v>2034</v>
      </c>
      <c r="I6973" s="596"/>
      <c r="J6973" s="597"/>
      <c r="K6973" s="590"/>
      <c r="L6973" s="594" t="s">
        <v>28</v>
      </c>
      <c r="M6973" s="594">
        <v>8891.8900000000012</v>
      </c>
      <c r="N6973" s="598">
        <v>0.45833333333333331</v>
      </c>
      <c r="O6973" s="897" t="s">
        <v>2045</v>
      </c>
    </row>
    <row r="6974" spans="1:16" ht="19.5" thickBot="1" x14ac:dyDescent="0.3">
      <c r="A6974" s="513">
        <f>MAX(A6885:A6973)+1</f>
        <v>4330</v>
      </c>
      <c r="B6974" s="514" t="s">
        <v>2006</v>
      </c>
      <c r="C6974" s="515" t="s">
        <v>26</v>
      </c>
      <c r="D6974" s="516">
        <v>14.669</v>
      </c>
      <c r="E6974" s="517"/>
      <c r="F6974" s="518" t="s">
        <v>30</v>
      </c>
      <c r="G6974" s="519"/>
      <c r="H6974" s="518" t="s">
        <v>2034</v>
      </c>
      <c r="I6974" s="520"/>
      <c r="J6974" s="521"/>
      <c r="K6974" s="514"/>
      <c r="L6974" s="518" t="s">
        <v>265</v>
      </c>
      <c r="M6974" s="518">
        <v>14669.72</v>
      </c>
      <c r="N6974" s="522">
        <v>0.375</v>
      </c>
      <c r="O6974" s="897" t="s">
        <v>2051</v>
      </c>
    </row>
    <row r="6975" spans="1:16" ht="19.5" thickBot="1" x14ac:dyDescent="0.3">
      <c r="A6975" s="503">
        <f>MAX(A6886:A6974)+1</f>
        <v>4331</v>
      </c>
      <c r="B6975" s="504" t="s">
        <v>2006</v>
      </c>
      <c r="C6975" s="505" t="s">
        <v>32</v>
      </c>
      <c r="D6975" s="506">
        <v>17.5</v>
      </c>
      <c r="E6975" s="507"/>
      <c r="F6975" s="508" t="s">
        <v>16</v>
      </c>
      <c r="G6975" s="509"/>
      <c r="H6975" s="508" t="s">
        <v>2034</v>
      </c>
      <c r="I6975" s="510"/>
      <c r="J6975" s="511"/>
      <c r="K6975" s="504"/>
      <c r="L6975" s="508" t="s">
        <v>266</v>
      </c>
      <c r="M6975" s="508">
        <v>17503.2</v>
      </c>
      <c r="N6975" s="512">
        <v>0.5</v>
      </c>
      <c r="O6975" s="897" t="s">
        <v>2053</v>
      </c>
    </row>
    <row r="6976" spans="1:16" x14ac:dyDescent="0.25">
      <c r="A6976" s="948">
        <f>MAX(A6887:A6975)+1</f>
        <v>4332</v>
      </c>
      <c r="B6976" s="479" t="s">
        <v>2006</v>
      </c>
      <c r="C6976" s="480" t="s">
        <v>26</v>
      </c>
      <c r="D6976" s="481">
        <v>15.587</v>
      </c>
      <c r="E6976" s="482"/>
      <c r="F6976" s="483" t="s">
        <v>16</v>
      </c>
      <c r="G6976" s="549"/>
      <c r="H6976" s="483" t="s">
        <v>2050</v>
      </c>
      <c r="I6976" s="484"/>
      <c r="J6976" s="485"/>
      <c r="K6976" s="479"/>
      <c r="L6976" s="483" t="s">
        <v>265</v>
      </c>
      <c r="M6976" s="483">
        <v>15744.24</v>
      </c>
      <c r="N6976" s="486">
        <v>0.375</v>
      </c>
      <c r="O6976" s="897" t="s">
        <v>2054</v>
      </c>
    </row>
    <row r="6977" spans="1:15" ht="19.5" thickBot="1" x14ac:dyDescent="0.3">
      <c r="A6977" s="949"/>
      <c r="B6977" s="645" t="s">
        <v>2006</v>
      </c>
      <c r="C6977" s="646" t="s">
        <v>952</v>
      </c>
      <c r="D6977" s="647">
        <v>1.8919999999999999</v>
      </c>
      <c r="E6977" s="648"/>
      <c r="F6977" s="649" t="s">
        <v>16</v>
      </c>
      <c r="G6977" s="650"/>
      <c r="H6977" s="649" t="s">
        <v>2050</v>
      </c>
      <c r="I6977" s="651"/>
      <c r="J6977" s="652"/>
      <c r="K6977" s="645"/>
      <c r="L6977" s="649" t="s">
        <v>265</v>
      </c>
      <c r="M6977" s="649">
        <v>1968.0600000000002</v>
      </c>
      <c r="N6977" s="653">
        <v>0.375</v>
      </c>
      <c r="O6977" s="897" t="s">
        <v>2052</v>
      </c>
    </row>
    <row r="6978" spans="1:15" ht="19.5" thickBot="1" x14ac:dyDescent="0.3">
      <c r="A6978" s="503">
        <f t="shared" ref="A6978:A7005" si="209">MAX(A6889:A6977)+1</f>
        <v>4333</v>
      </c>
      <c r="B6978" s="504" t="s">
        <v>2006</v>
      </c>
      <c r="C6978" s="505" t="s">
        <v>23</v>
      </c>
      <c r="D6978" s="506">
        <v>17.716999999999999</v>
      </c>
      <c r="E6978" s="507"/>
      <c r="F6978" s="508" t="s">
        <v>16</v>
      </c>
      <c r="G6978" s="509"/>
      <c r="H6978" s="508" t="s">
        <v>2050</v>
      </c>
      <c r="I6978" s="510"/>
      <c r="J6978" s="511"/>
      <c r="K6978" s="504"/>
      <c r="L6978" s="508" t="s">
        <v>28</v>
      </c>
      <c r="M6978" s="508">
        <v>17859.079999999998</v>
      </c>
      <c r="N6978" s="512">
        <v>0.41666666666666669</v>
      </c>
      <c r="O6978" s="897" t="s">
        <v>2055</v>
      </c>
    </row>
    <row r="6979" spans="1:15" x14ac:dyDescent="0.25">
      <c r="A6979" s="1028">
        <f t="shared" si="209"/>
        <v>4334</v>
      </c>
      <c r="B6979" s="676" t="s">
        <v>2031</v>
      </c>
      <c r="C6979" s="473" t="s">
        <v>667</v>
      </c>
      <c r="D6979" s="474">
        <v>3.2759999999999998</v>
      </c>
      <c r="E6979" s="475"/>
      <c r="F6979" s="676" t="s">
        <v>30</v>
      </c>
      <c r="G6979" s="476"/>
      <c r="H6979" s="676" t="s">
        <v>2050</v>
      </c>
      <c r="I6979" s="477"/>
      <c r="J6979" s="478"/>
      <c r="K6979" s="676"/>
      <c r="L6979" s="676" t="s">
        <v>28</v>
      </c>
      <c r="M6979" s="676">
        <v>3276.3599999999997</v>
      </c>
      <c r="N6979" s="1029">
        <v>0.41666666666666669</v>
      </c>
      <c r="O6979" s="897" t="s">
        <v>2064</v>
      </c>
    </row>
    <row r="6980" spans="1:15" x14ac:dyDescent="0.25">
      <c r="A6980" s="1027"/>
      <c r="B6980" s="676" t="s">
        <v>2031</v>
      </c>
      <c r="C6980" s="473" t="s">
        <v>764</v>
      </c>
      <c r="D6980" s="474">
        <v>6.9630000000000001</v>
      </c>
      <c r="E6980" s="475"/>
      <c r="F6980" s="676" t="s">
        <v>30</v>
      </c>
      <c r="G6980" s="476"/>
      <c r="H6980" s="676" t="s">
        <v>2050</v>
      </c>
      <c r="I6980" s="477"/>
      <c r="J6980" s="478"/>
      <c r="K6980" s="676"/>
      <c r="L6980" s="676" t="s">
        <v>28</v>
      </c>
      <c r="M6980" s="676">
        <v>6962.9999999999991</v>
      </c>
      <c r="N6980" s="1029">
        <v>0.41666666666666669</v>
      </c>
      <c r="O6980" s="897" t="s">
        <v>2063</v>
      </c>
    </row>
    <row r="6981" spans="1:15" x14ac:dyDescent="0.25">
      <c r="A6981" s="1030">
        <f t="shared" si="209"/>
        <v>4335</v>
      </c>
      <c r="B6981" s="676" t="s">
        <v>2031</v>
      </c>
      <c r="C6981" s="473" t="s">
        <v>840</v>
      </c>
      <c r="D6981" s="474">
        <v>9.0020000000000007</v>
      </c>
      <c r="E6981" s="475"/>
      <c r="F6981" s="676" t="s">
        <v>16</v>
      </c>
      <c r="G6981" s="476" t="s">
        <v>844</v>
      </c>
      <c r="H6981" s="676" t="s">
        <v>2050</v>
      </c>
      <c r="I6981" s="477"/>
      <c r="J6981" s="478"/>
      <c r="K6981" s="676"/>
      <c r="L6981" s="676" t="s">
        <v>266</v>
      </c>
      <c r="M6981" s="676">
        <v>9082.1999999999989</v>
      </c>
      <c r="N6981" s="1029">
        <v>0.45833333333333331</v>
      </c>
      <c r="O6981" s="897" t="s">
        <v>2066</v>
      </c>
    </row>
    <row r="6982" spans="1:15" x14ac:dyDescent="0.25">
      <c r="A6982" s="1031"/>
      <c r="B6982" s="676" t="s">
        <v>2031</v>
      </c>
      <c r="C6982" s="473" t="s">
        <v>840</v>
      </c>
      <c r="D6982" s="474">
        <v>5</v>
      </c>
      <c r="E6982" s="475"/>
      <c r="F6982" s="676" t="s">
        <v>16</v>
      </c>
      <c r="G6982" s="476" t="s">
        <v>845</v>
      </c>
      <c r="H6982" s="676" t="s">
        <v>2050</v>
      </c>
      <c r="I6982" s="477"/>
      <c r="J6982" s="478"/>
      <c r="K6982" s="676"/>
      <c r="L6982" s="676" t="s">
        <v>266</v>
      </c>
      <c r="M6982" s="676">
        <v>5004</v>
      </c>
      <c r="N6982" s="1029">
        <v>0.45833333333333331</v>
      </c>
      <c r="O6982" s="897" t="s">
        <v>2067</v>
      </c>
    </row>
    <row r="6983" spans="1:15" x14ac:dyDescent="0.25">
      <c r="A6983" s="1027"/>
      <c r="B6983" s="676" t="s">
        <v>2031</v>
      </c>
      <c r="C6983" s="473" t="s">
        <v>480</v>
      </c>
      <c r="D6983" s="474">
        <v>8.84</v>
      </c>
      <c r="E6983" s="475"/>
      <c r="F6983" s="676" t="s">
        <v>16</v>
      </c>
      <c r="G6983" s="476"/>
      <c r="H6983" s="676" t="s">
        <v>2050</v>
      </c>
      <c r="I6983" s="477"/>
      <c r="J6983" s="478"/>
      <c r="K6983" s="676"/>
      <c r="L6983" s="676" t="s">
        <v>266</v>
      </c>
      <c r="M6983" s="676">
        <v>8964.15</v>
      </c>
      <c r="N6983" s="1029">
        <v>0.45833333333333331</v>
      </c>
      <c r="O6983" s="897" t="s">
        <v>2065</v>
      </c>
    </row>
    <row r="6984" spans="1:15" x14ac:dyDescent="0.25">
      <c r="A6984" s="676">
        <f t="shared" si="209"/>
        <v>4336</v>
      </c>
      <c r="B6984" s="676"/>
      <c r="C6984" s="473"/>
      <c r="D6984" s="474"/>
      <c r="E6984" s="475"/>
      <c r="F6984" s="676"/>
      <c r="G6984" s="476"/>
      <c r="H6984" s="676"/>
      <c r="I6984" s="477"/>
      <c r="J6984" s="478"/>
      <c r="K6984" s="676"/>
      <c r="L6984" s="676"/>
      <c r="M6984" s="676"/>
      <c r="N6984" s="676"/>
    </row>
    <row r="6985" spans="1:15" x14ac:dyDescent="0.25">
      <c r="A6985" s="676">
        <f t="shared" si="209"/>
        <v>4337</v>
      </c>
      <c r="B6985" s="676"/>
      <c r="C6985" s="473"/>
      <c r="D6985" s="474"/>
      <c r="E6985" s="475"/>
      <c r="F6985" s="676"/>
      <c r="G6985" s="476"/>
      <c r="H6985" s="676"/>
      <c r="I6985" s="477"/>
      <c r="J6985" s="478"/>
      <c r="K6985" s="676"/>
      <c r="L6985" s="676"/>
      <c r="M6985" s="676"/>
      <c r="N6985" s="676"/>
    </row>
    <row r="6986" spans="1:15" x14ac:dyDescent="0.25">
      <c r="A6986" s="676">
        <f t="shared" si="209"/>
        <v>4338</v>
      </c>
      <c r="B6986" s="676"/>
      <c r="C6986" s="473"/>
      <c r="D6986" s="474"/>
      <c r="E6986" s="475"/>
      <c r="F6986" s="676"/>
      <c r="G6986" s="476"/>
      <c r="H6986" s="676"/>
      <c r="I6986" s="477"/>
      <c r="J6986" s="478"/>
      <c r="K6986" s="676"/>
      <c r="L6986" s="676"/>
      <c r="M6986" s="676"/>
      <c r="N6986" s="676"/>
    </row>
    <row r="6987" spans="1:15" x14ac:dyDescent="0.25">
      <c r="A6987" s="676">
        <f t="shared" si="209"/>
        <v>4339</v>
      </c>
      <c r="B6987" s="676"/>
      <c r="C6987" s="473"/>
      <c r="D6987" s="474"/>
      <c r="E6987" s="475"/>
      <c r="F6987" s="676"/>
      <c r="G6987" s="476"/>
      <c r="H6987" s="676"/>
      <c r="I6987" s="477"/>
      <c r="J6987" s="478"/>
      <c r="K6987" s="676"/>
      <c r="L6987" s="676"/>
      <c r="M6987" s="676"/>
      <c r="N6987" s="676"/>
    </row>
    <row r="6988" spans="1:15" x14ac:dyDescent="0.25">
      <c r="A6988" s="676">
        <f t="shared" si="209"/>
        <v>4340</v>
      </c>
      <c r="B6988" s="676"/>
      <c r="C6988" s="473"/>
      <c r="D6988" s="474"/>
      <c r="E6988" s="475"/>
      <c r="F6988" s="676"/>
      <c r="G6988" s="476"/>
      <c r="H6988" s="676"/>
      <c r="I6988" s="477"/>
      <c r="J6988" s="478"/>
      <c r="K6988" s="676"/>
      <c r="L6988" s="676"/>
      <c r="M6988" s="676"/>
      <c r="N6988" s="676"/>
    </row>
    <row r="6989" spans="1:15" x14ac:dyDescent="0.25">
      <c r="A6989" s="676">
        <f t="shared" si="209"/>
        <v>4341</v>
      </c>
      <c r="B6989" s="676"/>
      <c r="C6989" s="473"/>
      <c r="D6989" s="474"/>
      <c r="E6989" s="475"/>
      <c r="F6989" s="676"/>
      <c r="G6989" s="476"/>
      <c r="H6989" s="676"/>
      <c r="I6989" s="477"/>
      <c r="J6989" s="478"/>
      <c r="K6989" s="676"/>
      <c r="L6989" s="676"/>
      <c r="M6989" s="676"/>
      <c r="N6989" s="676"/>
    </row>
    <row r="6990" spans="1:15" x14ac:dyDescent="0.25">
      <c r="A6990" s="676">
        <f t="shared" si="209"/>
        <v>4342</v>
      </c>
      <c r="B6990" s="676"/>
      <c r="C6990" s="473"/>
      <c r="D6990" s="474"/>
      <c r="E6990" s="475"/>
      <c r="F6990" s="676"/>
      <c r="G6990" s="476"/>
      <c r="H6990" s="676"/>
      <c r="I6990" s="477"/>
      <c r="J6990" s="478"/>
      <c r="K6990" s="676"/>
      <c r="L6990" s="676"/>
      <c r="M6990" s="676"/>
      <c r="N6990" s="676"/>
    </row>
    <row r="6991" spans="1:15" x14ac:dyDescent="0.25">
      <c r="A6991" s="676">
        <f t="shared" si="209"/>
        <v>4343</v>
      </c>
      <c r="B6991" s="676"/>
      <c r="C6991" s="473"/>
      <c r="D6991" s="474"/>
      <c r="E6991" s="475"/>
      <c r="F6991" s="676"/>
      <c r="G6991" s="476"/>
      <c r="H6991" s="676"/>
      <c r="I6991" s="477"/>
      <c r="J6991" s="478"/>
      <c r="K6991" s="676"/>
      <c r="L6991" s="676"/>
      <c r="M6991" s="676"/>
      <c r="N6991" s="676"/>
    </row>
    <row r="6992" spans="1:15" x14ac:dyDescent="0.25">
      <c r="A6992" s="676">
        <f t="shared" si="209"/>
        <v>4344</v>
      </c>
      <c r="B6992" s="676"/>
      <c r="C6992" s="473"/>
      <c r="D6992" s="474"/>
      <c r="E6992" s="475"/>
      <c r="F6992" s="676"/>
      <c r="G6992" s="476"/>
      <c r="H6992" s="676"/>
      <c r="I6992" s="477"/>
      <c r="J6992" s="478"/>
      <c r="K6992" s="676"/>
      <c r="L6992" s="676"/>
      <c r="M6992" s="676"/>
      <c r="N6992" s="676"/>
    </row>
    <row r="6993" spans="1:14" x14ac:dyDescent="0.25">
      <c r="A6993" s="676">
        <f t="shared" si="209"/>
        <v>4345</v>
      </c>
      <c r="B6993" s="676"/>
      <c r="C6993" s="473"/>
      <c r="D6993" s="474"/>
      <c r="E6993" s="475"/>
      <c r="F6993" s="676"/>
      <c r="G6993" s="476"/>
      <c r="H6993" s="676"/>
      <c r="I6993" s="477"/>
      <c r="J6993" s="478"/>
      <c r="K6993" s="676"/>
      <c r="L6993" s="676"/>
      <c r="M6993" s="676"/>
      <c r="N6993" s="676"/>
    </row>
    <row r="6994" spans="1:14" x14ac:dyDescent="0.25">
      <c r="A6994" s="676">
        <f t="shared" si="209"/>
        <v>4346</v>
      </c>
      <c r="B6994" s="676"/>
      <c r="C6994" s="473"/>
      <c r="D6994" s="474"/>
      <c r="E6994" s="475"/>
      <c r="F6994" s="676"/>
      <c r="G6994" s="476"/>
      <c r="H6994" s="676"/>
      <c r="I6994" s="477"/>
      <c r="J6994" s="478"/>
      <c r="K6994" s="676"/>
      <c r="L6994" s="676"/>
      <c r="M6994" s="676"/>
      <c r="N6994" s="676"/>
    </row>
    <row r="6995" spans="1:14" x14ac:dyDescent="0.25">
      <c r="A6995" s="676">
        <f t="shared" si="209"/>
        <v>4347</v>
      </c>
      <c r="B6995" s="676"/>
      <c r="C6995" s="473"/>
      <c r="D6995" s="474"/>
      <c r="E6995" s="475"/>
      <c r="F6995" s="676"/>
      <c r="G6995" s="476"/>
      <c r="H6995" s="676"/>
      <c r="I6995" s="477"/>
      <c r="J6995" s="945"/>
      <c r="K6995" s="676"/>
      <c r="L6995" s="676"/>
      <c r="M6995" s="676"/>
      <c r="N6995" s="676"/>
    </row>
    <row r="6996" spans="1:14" x14ac:dyDescent="0.25">
      <c r="A6996" s="676">
        <f t="shared" si="209"/>
        <v>4348</v>
      </c>
      <c r="B6996" s="676"/>
      <c r="C6996" s="473"/>
      <c r="D6996" s="474"/>
      <c r="E6996" s="475"/>
      <c r="F6996" s="676"/>
      <c r="G6996" s="476"/>
      <c r="H6996" s="676"/>
      <c r="I6996" s="477"/>
      <c r="J6996" s="945"/>
      <c r="K6996" s="676"/>
      <c r="L6996" s="676"/>
      <c r="M6996" s="676"/>
      <c r="N6996" s="676"/>
    </row>
    <row r="6997" spans="1:14" x14ac:dyDescent="0.25">
      <c r="A6997" s="676">
        <f t="shared" si="209"/>
        <v>4349</v>
      </c>
      <c r="B6997" s="676"/>
      <c r="C6997" s="473"/>
      <c r="D6997" s="474"/>
      <c r="E6997" s="475"/>
      <c r="F6997" s="676"/>
      <c r="G6997" s="476"/>
      <c r="H6997" s="676"/>
      <c r="I6997" s="477"/>
      <c r="J6997" s="945"/>
      <c r="K6997" s="676"/>
      <c r="L6997" s="676"/>
      <c r="M6997" s="676"/>
      <c r="N6997" s="676"/>
    </row>
    <row r="6998" spans="1:14" x14ac:dyDescent="0.25">
      <c r="A6998" s="676">
        <f t="shared" si="209"/>
        <v>4350</v>
      </c>
      <c r="B6998" s="676"/>
      <c r="C6998" s="473"/>
      <c r="D6998" s="474"/>
      <c r="E6998" s="475"/>
      <c r="F6998" s="676"/>
      <c r="G6998" s="476"/>
      <c r="H6998" s="676"/>
      <c r="I6998" s="477"/>
      <c r="J6998" s="945"/>
      <c r="K6998" s="676"/>
      <c r="L6998" s="676"/>
      <c r="M6998" s="676"/>
      <c r="N6998" s="676"/>
    </row>
    <row r="6999" spans="1:14" x14ac:dyDescent="0.25">
      <c r="A6999" s="676">
        <f t="shared" si="209"/>
        <v>4351</v>
      </c>
      <c r="B6999" s="676"/>
      <c r="C6999" s="473"/>
      <c r="D6999" s="474"/>
      <c r="E6999" s="475"/>
      <c r="F6999" s="676"/>
      <c r="G6999" s="476"/>
      <c r="H6999" s="676"/>
      <c r="I6999" s="477"/>
      <c r="J6999" s="945"/>
      <c r="K6999" s="676"/>
      <c r="L6999" s="676"/>
      <c r="M6999" s="676"/>
      <c r="N6999" s="676"/>
    </row>
    <row r="7000" spans="1:14" x14ac:dyDescent="0.25">
      <c r="A7000" s="676">
        <f t="shared" si="209"/>
        <v>4352</v>
      </c>
      <c r="B7000" s="676"/>
      <c r="C7000" s="473"/>
      <c r="D7000" s="474"/>
      <c r="E7000" s="475"/>
      <c r="F7000" s="676"/>
      <c r="G7000" s="476"/>
      <c r="H7000" s="676"/>
      <c r="I7000" s="477"/>
      <c r="J7000" s="945"/>
      <c r="K7000" s="676"/>
      <c r="L7000" s="676"/>
      <c r="M7000" s="676"/>
      <c r="N7000" s="676"/>
    </row>
    <row r="7001" spans="1:14" x14ac:dyDescent="0.25">
      <c r="A7001" s="676">
        <f t="shared" si="209"/>
        <v>4353</v>
      </c>
      <c r="B7001" s="676"/>
      <c r="C7001" s="473"/>
      <c r="D7001" s="474"/>
      <c r="E7001" s="475"/>
      <c r="F7001" s="676"/>
      <c r="G7001" s="476"/>
      <c r="H7001" s="676"/>
      <c r="I7001" s="477"/>
      <c r="J7001" s="945"/>
      <c r="K7001" s="676"/>
      <c r="L7001" s="676"/>
      <c r="M7001" s="676"/>
      <c r="N7001" s="676"/>
    </row>
    <row r="7002" spans="1:14" x14ac:dyDescent="0.25">
      <c r="A7002" s="676">
        <f t="shared" si="209"/>
        <v>4354</v>
      </c>
      <c r="B7002" s="676"/>
      <c r="C7002" s="473"/>
      <c r="D7002" s="474"/>
      <c r="E7002" s="475"/>
      <c r="F7002" s="676"/>
      <c r="G7002" s="476"/>
      <c r="H7002" s="676"/>
      <c r="I7002" s="477"/>
      <c r="J7002" s="945"/>
      <c r="K7002" s="676"/>
      <c r="L7002" s="676"/>
      <c r="M7002" s="676"/>
      <c r="N7002" s="676"/>
    </row>
    <row r="7003" spans="1:14" x14ac:dyDescent="0.25">
      <c r="A7003" s="676">
        <f t="shared" si="209"/>
        <v>4355</v>
      </c>
      <c r="B7003" s="676"/>
      <c r="C7003" s="473"/>
      <c r="D7003" s="474"/>
      <c r="E7003" s="475"/>
      <c r="F7003" s="676"/>
      <c r="G7003" s="476"/>
      <c r="H7003" s="676"/>
      <c r="I7003" s="477"/>
      <c r="J7003" s="945"/>
      <c r="K7003" s="676"/>
      <c r="L7003" s="676"/>
      <c r="M7003" s="676"/>
      <c r="N7003" s="676"/>
    </row>
    <row r="7004" spans="1:14" x14ac:dyDescent="0.25">
      <c r="A7004" s="676">
        <f t="shared" si="209"/>
        <v>4356</v>
      </c>
      <c r="B7004" s="676"/>
      <c r="C7004" s="473"/>
      <c r="D7004" s="474"/>
      <c r="E7004" s="475"/>
      <c r="F7004" s="676"/>
      <c r="G7004" s="476"/>
      <c r="H7004" s="676"/>
      <c r="I7004" s="477"/>
      <c r="J7004" s="945"/>
      <c r="K7004" s="676"/>
      <c r="L7004" s="676"/>
      <c r="M7004" s="676"/>
      <c r="N7004" s="676"/>
    </row>
    <row r="7005" spans="1:14" x14ac:dyDescent="0.25">
      <c r="A7005" s="676">
        <f t="shared" si="209"/>
        <v>4357</v>
      </c>
      <c r="B7005" s="676"/>
      <c r="C7005" s="473"/>
      <c r="D7005" s="474"/>
      <c r="E7005" s="475"/>
      <c r="F7005" s="676"/>
      <c r="G7005" s="476"/>
      <c r="H7005" s="676"/>
      <c r="I7005" s="477"/>
      <c r="J7005" s="945"/>
      <c r="K7005" s="676"/>
      <c r="L7005" s="676"/>
      <c r="M7005" s="676"/>
      <c r="N7005" s="676"/>
    </row>
  </sheetData>
  <autoFilter ref="A2:R6994" xr:uid="{9E4C531E-AD50-422A-AC7C-8C5AF4C19268}">
    <filterColumn colId="10">
      <filters blank="1"/>
    </filterColumn>
  </autoFilter>
  <mergeCells count="1826">
    <mergeCell ref="A6979:A6980"/>
    <mergeCell ref="A6981:A6983"/>
    <mergeCell ref="G6876:G6877"/>
    <mergeCell ref="A6958:A6959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908:A6911"/>
    <mergeCell ref="A6912:A6913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785:A6786"/>
    <mergeCell ref="A6632:A6634"/>
    <mergeCell ref="A6635:A6637"/>
    <mergeCell ref="A6601:A6602"/>
    <mergeCell ref="A6604:A6605"/>
    <mergeCell ref="A5612:A5615"/>
    <mergeCell ref="A5617:A5618"/>
    <mergeCell ref="A6592:A6593"/>
    <mergeCell ref="A6595:A6599"/>
    <mergeCell ref="A6754:A6755"/>
    <mergeCell ref="A6691:A6692"/>
    <mergeCell ref="A6663:A6664"/>
    <mergeCell ref="A6644:A6647"/>
    <mergeCell ref="A6649:A6651"/>
    <mergeCell ref="A6780:A6781"/>
    <mergeCell ref="A6782:A6784"/>
    <mergeCell ref="A6713:A6714"/>
    <mergeCell ref="A6750:A6752"/>
    <mergeCell ref="A6733:A6734"/>
    <mergeCell ref="A6756:A6758"/>
    <mergeCell ref="A6654:A6655"/>
    <mergeCell ref="A6617:A6618"/>
    <mergeCell ref="A6678:A6679"/>
    <mergeCell ref="A6738:A6739"/>
    <mergeCell ref="A6766:A6767"/>
    <mergeCell ref="A6771:A6774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684:A6687"/>
    <mergeCell ref="A5219:A5221"/>
    <mergeCell ref="A6611:A6612"/>
    <mergeCell ref="A6614:A6616"/>
    <mergeCell ref="A5305:A5308"/>
    <mergeCell ref="A5402:A5403"/>
    <mergeCell ref="A5472:A5474"/>
    <mergeCell ref="A5489:A5490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6675:A6676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643:A4645"/>
    <mergeCell ref="A4646:A4648"/>
    <mergeCell ref="A4679:A4680"/>
    <mergeCell ref="A4653:A4655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830:A4831"/>
    <mergeCell ref="A4891:A4892"/>
    <mergeCell ref="G4820:G4822"/>
    <mergeCell ref="A4933:A4934"/>
    <mergeCell ref="A4935:A4936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935:G4936"/>
    <mergeCell ref="G4999:G5000"/>
    <mergeCell ref="A4989:A4991"/>
    <mergeCell ref="A4992:A4994"/>
    <mergeCell ref="G4950:G4951"/>
    <mergeCell ref="G4838:G4839"/>
    <mergeCell ref="A4840:A4841"/>
    <mergeCell ref="A5006:A5008"/>
    <mergeCell ref="A5009:A5011"/>
    <mergeCell ref="A5012:A50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49:A5052"/>
    <mergeCell ref="A4956:A4957"/>
    <mergeCell ref="A5035:A5036"/>
    <mergeCell ref="G5047:G5048"/>
    <mergeCell ref="A5029:A5030"/>
    <mergeCell ref="A5142:A5144"/>
    <mergeCell ref="A5150:A5152"/>
    <mergeCell ref="A5146:A5147"/>
    <mergeCell ref="G5202:G5203"/>
    <mergeCell ref="G5232:G5233"/>
    <mergeCell ref="A5172:A5175"/>
    <mergeCell ref="A5183:A5184"/>
    <mergeCell ref="A5250:A5251"/>
    <mergeCell ref="A5240:A5242"/>
    <mergeCell ref="A5205:A5207"/>
    <mergeCell ref="A5226:A5228"/>
    <mergeCell ref="A5192:A5195"/>
    <mergeCell ref="A5212:A5213"/>
    <mergeCell ref="A5321:A5325"/>
    <mergeCell ref="A5059:A5060"/>
    <mergeCell ref="A5063:A5064"/>
    <mergeCell ref="A5065:A5069"/>
    <mergeCell ref="G5091:G5092"/>
    <mergeCell ref="A5102:A5104"/>
    <mergeCell ref="G5116:G5117"/>
    <mergeCell ref="A5298:A5299"/>
    <mergeCell ref="A5126:A5127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A5202:A5203"/>
    <mergeCell ref="A5286:A5289"/>
    <mergeCell ref="G5216:G5217"/>
    <mergeCell ref="A5222:A5225"/>
    <mergeCell ref="G5188:G5189"/>
    <mergeCell ref="A5275:A5276"/>
    <mergeCell ref="G5196:G5197"/>
    <mergeCell ref="G5126:G5127"/>
    <mergeCell ref="A5515:A5516"/>
    <mergeCell ref="A5412:A5413"/>
    <mergeCell ref="A5534:A5538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38:A5139"/>
    <mergeCell ref="A5134:A5137"/>
    <mergeCell ref="A5210:A5211"/>
    <mergeCell ref="A5179:A5180"/>
    <mergeCell ref="A5181:A5182"/>
    <mergeCell ref="A5164:A5165"/>
    <mergeCell ref="G5436:G5437"/>
    <mergeCell ref="A5370:A5373"/>
    <mergeCell ref="G5370:G5373"/>
    <mergeCell ref="A5445:A5446"/>
    <mergeCell ref="A5270:A5271"/>
    <mergeCell ref="G5408:G5409"/>
    <mergeCell ref="G5275:G5276"/>
    <mergeCell ref="A5338:A5341"/>
    <mergeCell ref="A5196:A5197"/>
    <mergeCell ref="A5188:A5189"/>
    <mergeCell ref="A5176:A5178"/>
    <mergeCell ref="A5385:A5386"/>
    <mergeCell ref="A5387:A5388"/>
    <mergeCell ref="A5199:A5200"/>
    <mergeCell ref="A6608:A6609"/>
    <mergeCell ref="A5331:A5334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A5282:A5283"/>
    <mergeCell ref="A5229:A5230"/>
    <mergeCell ref="A5342:A5343"/>
    <mergeCell ref="A5348:A5350"/>
    <mergeCell ref="A5290:A5292"/>
    <mergeCell ref="A5243:A5244"/>
    <mergeCell ref="A5262:A5263"/>
    <mergeCell ref="A5232:A5233"/>
    <mergeCell ref="A5539:A5541"/>
    <mergeCell ref="A5527:A5528"/>
    <mergeCell ref="A5504:A5505"/>
    <mergeCell ref="G6604:G6605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428:A5429"/>
    <mergeCell ref="A5272:A5273"/>
    <mergeCell ref="A5418:A5419"/>
    <mergeCell ref="A5513:A5514"/>
    <mergeCell ref="A5326:A5327"/>
    <mergeCell ref="A5452:A5453"/>
    <mergeCell ref="A5577:A5578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549:A5550"/>
    <mergeCell ref="A5595:A5596"/>
    <mergeCell ref="A6960:A6961"/>
    <mergeCell ref="A6976:A6977"/>
    <mergeCell ref="A6962:A6966"/>
    <mergeCell ref="A6968:A6970"/>
    <mergeCell ref="A6971:A6973"/>
    <mergeCell ref="A6941:A6942"/>
    <mergeCell ref="A6939:A6940"/>
    <mergeCell ref="A5121:A5122"/>
    <mergeCell ref="A5153:A5154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G5531:G5532"/>
    <mergeCell ref="A5140:A514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2026-08-14T10:55:29Z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