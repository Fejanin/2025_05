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302A6D47-98EF-4287-95DF-473BDC8BBDF0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Лист1!$A$2:$R$7508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410" i="1" l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09" i="1"/>
  <c r="K7365" i="1" l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364" i="1"/>
  <c r="E7434" i="1" l="1"/>
  <c r="E7436" i="1"/>
  <c r="E7437" i="1"/>
  <c r="E7435" i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l="1"/>
  <c r="A7229" i="1" s="1"/>
  <c r="A7230" i="1" l="1"/>
  <c r="A7232" i="1" l="1"/>
  <c r="A7235" i="1" l="1"/>
  <c r="A7237" i="1" l="1"/>
  <c r="A7242" i="1" l="1"/>
  <c r="A7244" i="1" l="1"/>
  <c r="A7248" i="1" l="1"/>
  <c r="A7252" i="1" l="1"/>
  <c r="A7256" i="1" l="1"/>
  <c r="A7258" i="1" l="1"/>
  <c r="A7259" i="1" l="1"/>
  <c r="A7262" i="1" l="1"/>
  <c r="A7267" i="1" l="1"/>
  <c r="A7271" i="1" l="1"/>
  <c r="A7273" i="1" l="1"/>
  <c r="A7275" i="1" l="1"/>
  <c r="A7277" i="1" l="1"/>
  <c r="A7278" i="1" l="1"/>
  <c r="A7280" i="1" l="1"/>
  <c r="A7281" i="1" l="1"/>
  <c r="A7283" i="1" s="1"/>
  <c r="A7285" i="1" s="1"/>
  <c r="A7287" i="1" s="1"/>
  <c r="A7288" i="1" s="1"/>
  <c r="A7289" i="1" s="1"/>
  <c r="A7290" i="1" s="1"/>
  <c r="A7293" i="1" s="1"/>
  <c r="A7296" i="1" s="1"/>
  <c r="A7298" i="1" s="1"/>
  <c r="A7301" i="1" s="1"/>
  <c r="A7306" i="1" s="1"/>
  <c r="A7309" i="1" s="1"/>
  <c r="A7310" i="1" s="1"/>
  <c r="A7311" i="1" s="1"/>
  <c r="A7318" i="1" s="1"/>
  <c r="A7321" i="1" s="1"/>
  <c r="A7325" i="1" s="1"/>
  <c r="A7328" i="1" s="1"/>
  <c r="A7330" i="1" s="1"/>
  <c r="A7332" i="1" s="1"/>
  <c r="A7335" i="1" s="1"/>
  <c r="A7337" i="1" s="1"/>
  <c r="A7338" i="1" s="1"/>
  <c r="A7341" i="1" s="1"/>
  <c r="A7343" i="1" s="1"/>
  <c r="A7344" i="1" s="1"/>
  <c r="A7346" i="1" s="1"/>
  <c r="A7348" i="1" s="1"/>
  <c r="A7349" i="1" s="1"/>
  <c r="A7350" i="1" s="1"/>
  <c r="A7351" i="1" s="1"/>
  <c r="A7355" i="1" s="1"/>
  <c r="A7356" i="1" s="1"/>
  <c r="A7357" i="1" s="1"/>
  <c r="A7360" i="1" s="1"/>
  <c r="A7363" i="1" s="1"/>
  <c r="A7364" i="1" s="1"/>
  <c r="A7365" i="1" s="1"/>
  <c r="A7367" i="1" s="1"/>
  <c r="A7370" i="1" s="1"/>
  <c r="A7375" i="1" s="1"/>
  <c r="A7380" i="1" s="1"/>
  <c r="A7381" i="1" s="1"/>
  <c r="A7385" i="1" s="1"/>
  <c r="A7386" i="1" s="1"/>
  <c r="A7389" i="1" s="1"/>
  <c r="A7392" i="1" s="1"/>
  <c r="A7396" i="1" s="1"/>
  <c r="A7397" i="1" s="1"/>
  <c r="A7398" i="1" s="1"/>
  <c r="A7401" i="1" s="1"/>
  <c r="A7403" i="1" s="1"/>
  <c r="A7405" i="1" s="1"/>
  <c r="A7407" i="1" s="1"/>
  <c r="A7409" i="1" s="1"/>
  <c r="A7412" i="1" s="1"/>
  <c r="A7414" i="1" s="1"/>
  <c r="A7415" i="1" s="1"/>
  <c r="A7417" i="1" s="1"/>
  <c r="A7418" i="1" s="1"/>
  <c r="A7421" i="1" s="1"/>
  <c r="A7424" i="1" s="1"/>
  <c r="A7427" i="1" l="1"/>
  <c r="A7428" i="1" s="1"/>
  <c r="A7429" i="1" s="1"/>
  <c r="A7431" i="1" s="1"/>
  <c r="A7434" i="1" s="1"/>
  <c r="A7438" i="1" s="1"/>
  <c r="A7441" i="1" s="1"/>
  <c r="A7443" i="1" l="1"/>
  <c r="A7444" i="1" s="1"/>
  <c r="A7445" i="1" s="1"/>
  <c r="A7446" i="1" s="1"/>
  <c r="A7448" i="1" s="1"/>
  <c r="A7449" i="1" l="1"/>
  <c r="A7451" i="1" s="1"/>
  <c r="A7453" i="1" s="1"/>
  <c r="A7454" i="1" s="1"/>
  <c r="A7457" i="1" s="1"/>
  <c r="A7458" i="1" s="1"/>
  <c r="A7460" i="1" l="1"/>
  <c r="A7461" i="1" l="1"/>
  <c r="A7463" i="1" s="1"/>
  <c r="A7464" i="1" l="1"/>
  <c r="A7465" i="1" s="1"/>
  <c r="A7466" i="1" s="1"/>
  <c r="A7467" i="1" s="1"/>
  <c r="A7469" i="1" l="1"/>
  <c r="A7470" i="1" s="1"/>
  <c r="A7471" i="1" s="1"/>
  <c r="A7472" i="1" s="1"/>
  <c r="A7474" i="1" l="1"/>
  <c r="A7476" i="1" s="1"/>
  <c r="A7478" i="1" s="1"/>
  <c r="A7481" i="1" s="1"/>
  <c r="A7483" i="1" s="1"/>
  <c r="A7486" i="1" l="1"/>
  <c r="A7487" i="1" l="1"/>
  <c r="A7488" i="1" s="1"/>
  <c r="A7491" i="1" s="1"/>
  <c r="A7492" i="1" s="1"/>
  <c r="A7493" i="1" s="1"/>
  <c r="A7494" i="1" s="1"/>
  <c r="A7495" i="1" l="1"/>
  <c r="A7497" i="1" s="1"/>
  <c r="A7498" i="1" s="1"/>
  <c r="A7499" i="1" l="1"/>
  <c r="A7500" i="1" l="1"/>
  <c r="A7501" i="1" l="1"/>
  <c r="A7504" i="1" l="1"/>
  <c r="A7505" i="1" l="1"/>
  <c r="A7506" i="1" s="1"/>
  <c r="A7507" i="1" l="1"/>
  <c r="A7508" i="1" s="1"/>
</calcChain>
</file>

<file path=xl/sharedStrings.xml><?xml version="1.0" encoding="utf-8"?>
<sst xmlns="http://schemas.openxmlformats.org/spreadsheetml/2006/main" count="48889" uniqueCount="3196">
  <si>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</si>
  <si>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</si>
  <si>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</si>
  <si>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</si>
  <si>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</si>
  <si>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</si>
  <si>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</si>
  <si>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</si>
  <si>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</si>
  <si>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</si>
  <si>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</si>
  <si>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</si>
  <si>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</si>
  <si>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</si>
  <si>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</si>
  <si>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</si>
  <si>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</si>
  <si>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</si>
  <si>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</si>
  <si>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</si>
  <si>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</si>
  <si>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</si>
  <si>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</si>
  <si>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</si>
  <si>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</si>
  <si>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</si>
  <si>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</si>
  <si>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</si>
  <si>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</si>
  <si>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</si>
  <si>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</si>
  <si>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</si>
  <si>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</si>
  <si>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</si>
  <si>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</si>
  <si>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</si>
  <si>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</si>
  <si>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</si>
  <si>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</si>
  <si>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</si>
  <si>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</si>
  <si>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</si>
  <si>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</si>
  <si>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</si>
  <si>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</si>
  <si>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</si>
  <si>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</si>
  <si>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</si>
  <si>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</si>
  <si>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</si>
  <si>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</si>
  <si>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</si>
  <si>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</si>
  <si>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</si>
  <si>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</si>
  <si>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</si>
  <si>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</si>
  <si>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</si>
  <si>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</si>
  <si>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</si>
  <si>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</si>
  <si>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</si>
  <si>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</si>
  <si>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</si>
  <si>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</si>
  <si>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</si>
  <si>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</si>
  <si>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</si>
  <si>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</si>
  <si>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</si>
  <si>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</si>
  <si>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</si>
  <si>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</si>
  <si>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</si>
  <si>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</si>
  <si>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</si>
  <si>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</si>
  <si>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</si>
  <si>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</si>
  <si>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</si>
  <si>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</si>
  <si>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</si>
  <si>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</si>
  <si>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</si>
  <si>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</si>
  <si>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</si>
  <si>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</si>
  <si>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</si>
  <si>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</si>
  <si>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</si>
  <si>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</si>
  <si>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</si>
  <si>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</si>
  <si>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</si>
  <si>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</si>
  <si>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</si>
  <si>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</si>
  <si>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</si>
  <si>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</si>
  <si>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</si>
  <si>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</si>
  <si>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</si>
  <si>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</si>
  <si>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</si>
  <si>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</si>
  <si>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</si>
  <si>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</si>
  <si>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</si>
  <si>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</si>
  <si>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</si>
  <si>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</si>
  <si>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</si>
  <si>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</si>
  <si>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</si>
  <si>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</si>
  <si>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</si>
  <si>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</si>
  <si>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</si>
  <si>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</si>
  <si>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</si>
  <si>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</si>
  <si>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</si>
  <si>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</si>
  <si>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</si>
  <si>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</si>
  <si>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</si>
  <si>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</si>
  <si>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</si>
  <si>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</si>
  <si>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</si>
  <si>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</si>
  <si>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</si>
  <si>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</si>
  <si>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</si>
  <si>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</si>
  <si>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</si>
  <si>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</si>
  <si>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</si>
  <si>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</si>
  <si>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</si>
  <si>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</si>
  <si>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</si>
  <si>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</si>
  <si>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</si>
  <si>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</si>
  <si>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</si>
  <si>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</si>
  <si>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</si>
  <si>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</si>
  <si>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</si>
  <si>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</si>
  <si>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</si>
  <si>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</si>
  <si>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</si>
  <si>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</si>
  <si>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</si>
  <si>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</si>
  <si>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</si>
  <si>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</si>
  <si>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</si>
  <si>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</si>
  <si>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</si>
  <si>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</si>
  <si>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</si>
  <si>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</si>
  <si>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</si>
  <si>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</si>
  <si>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</si>
  <si>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</si>
  <si>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</si>
  <si>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</si>
  <si>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</si>
  <si>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</si>
  <si>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</si>
  <si>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</si>
  <si>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</si>
  <si>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</si>
  <si>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</si>
  <si>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</si>
  <si>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</si>
  <si>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</si>
  <si>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</si>
  <si>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</si>
  <si>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</si>
  <si>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</si>
  <si>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</si>
  <si>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</si>
  <si>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</si>
  <si>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</si>
  <si>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</si>
  <si>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</si>
  <si>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</si>
  <si>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</si>
  <si>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</si>
  <si>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</si>
  <si>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</si>
  <si>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</si>
  <si>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</si>
  <si>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</si>
  <si>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</si>
  <si>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</si>
  <si>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</si>
  <si>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</si>
  <si>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</si>
  <si>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</si>
  <si>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</si>
  <si>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</si>
  <si>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</si>
  <si>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</si>
  <si>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</si>
  <si>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</si>
  <si>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</si>
  <si>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</si>
  <si>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</si>
  <si>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</si>
  <si>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</si>
  <si>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</si>
  <si>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</si>
  <si>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</si>
  <si>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</si>
  <si>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</si>
  <si>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</si>
  <si>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</si>
  <si>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</si>
  <si>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</si>
  <si>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</si>
  <si>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</si>
  <si>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</si>
  <si>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</si>
  <si>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</si>
  <si>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</si>
  <si>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</si>
  <si>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</si>
  <si>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</si>
  <si>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</si>
  <si>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</si>
  <si>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</si>
  <si>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</si>
  <si>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</si>
  <si>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</si>
  <si>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</si>
  <si>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</si>
  <si>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</si>
  <si>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</si>
  <si>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</si>
  <si>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</si>
  <si>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</si>
  <si>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</si>
  <si>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</si>
  <si>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</si>
  <si>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</si>
  <si>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</si>
  <si>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</si>
  <si>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</si>
  <si>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</si>
  <si>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</si>
  <si>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</si>
  <si>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</si>
  <si>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</si>
  <si>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</si>
  <si>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</si>
  <si>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</si>
  <si>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</si>
  <si>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</si>
  <si>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</si>
  <si>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</si>
  <si>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</si>
  <si>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</si>
  <si>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</si>
  <si>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</si>
  <si>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</si>
  <si>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</si>
  <si>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</si>
  <si>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</si>
  <si>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</si>
  <si>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</si>
  <si>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</si>
  <si>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</si>
  <si>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</si>
  <si>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</si>
  <si>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</si>
  <si>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</si>
  <si>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</si>
  <si>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</si>
  <si>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</si>
  <si>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</si>
  <si>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</si>
  <si>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</si>
  <si>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</si>
  <si>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</si>
  <si>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</si>
  <si>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</si>
  <si>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</si>
  <si>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</si>
  <si>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</si>
  <si>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</si>
  <si>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</si>
  <si>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</si>
  <si>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</si>
  <si>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</si>
  <si>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</si>
  <si>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</si>
  <si>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</si>
  <si>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</si>
  <si>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</si>
  <si>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</si>
  <si>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</si>
  <si>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</si>
  <si>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</si>
  <si>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</si>
  <si>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</si>
  <si>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</si>
  <si>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</si>
  <si>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</si>
  <si>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</si>
  <si>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</si>
  <si>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</si>
  <si>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</si>
  <si>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</si>
  <si>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</si>
  <si>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</si>
  <si>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</si>
  <si>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</si>
  <si>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</si>
  <si>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</si>
  <si>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</si>
  <si>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</si>
  <si>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</si>
  <si>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</si>
  <si>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</si>
  <si>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</si>
  <si>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</si>
  <si>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</si>
  <si>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</si>
  <si>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</si>
  <si>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</si>
  <si>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</si>
  <si>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</si>
  <si>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</si>
  <si>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</si>
  <si>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</si>
  <si>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</si>
  <si>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</si>
  <si>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</si>
  <si>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</si>
  <si>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</si>
  <si>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</si>
  <si>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</si>
  <si>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</si>
  <si>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</si>
  <si>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</si>
  <si>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</si>
  <si>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</si>
  <si>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</si>
  <si>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</si>
  <si>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</si>
  <si>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</si>
  <si>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</si>
  <si>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</si>
  <si>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</si>
  <si>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</si>
  <si>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</si>
  <si>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</si>
  <si>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</si>
  <si>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</si>
  <si>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</si>
  <si>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</si>
  <si>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</si>
  <si>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</si>
  <si>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</si>
  <si>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</si>
  <si>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</si>
  <si>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</si>
  <si>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</si>
  <si>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</si>
  <si>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</si>
  <si>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</si>
  <si>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</si>
  <si>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</si>
  <si>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</si>
  <si>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</si>
  <si>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</si>
  <si>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</si>
  <si>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</si>
  <si>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</si>
  <si>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</si>
  <si>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</si>
  <si>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</si>
  <si>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</si>
  <si>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</si>
  <si>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</si>
  <si>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</si>
  <si>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</si>
  <si>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</si>
  <si>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</si>
  <si>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</si>
  <si>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</si>
  <si>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</si>
  <si>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</si>
  <si>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</si>
  <si>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</si>
  <si>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</si>
  <si>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</si>
  <si>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</si>
  <si>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</si>
  <si>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</si>
  <si>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</si>
  <si>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</si>
  <si>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</si>
  <si>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</si>
  <si>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</si>
  <si>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</si>
  <si>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</si>
  <si>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</si>
  <si>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</si>
  <si>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</si>
  <si>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</si>
  <si>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</si>
  <si>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</si>
  <si>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</si>
  <si>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</si>
  <si>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</si>
  <si>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</si>
  <si>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</si>
  <si>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</si>
  <si>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</si>
  <si>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</si>
  <si>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</si>
  <si>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</si>
  <si>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</si>
  <si>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</si>
  <si>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</si>
  <si>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</si>
  <si>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</si>
  <si>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</si>
  <si>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</si>
  <si>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</si>
  <si>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</si>
  <si>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</si>
  <si>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</si>
  <si>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</si>
  <si>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</si>
  <si>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</si>
  <si>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</si>
  <si>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</si>
  <si>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</si>
  <si>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</si>
  <si>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</si>
  <si>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</si>
  <si>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</si>
  <si>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</si>
  <si>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</si>
  <si>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</si>
  <si>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</si>
  <si>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</si>
  <si>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</si>
  <si>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</si>
  <si>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</si>
  <si>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</si>
  <si>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</si>
  <si>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</si>
  <si>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</si>
  <si>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</si>
  <si>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</si>
  <si>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</si>
  <si>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</si>
  <si>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</si>
  <si>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</si>
  <si>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</si>
  <si>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</si>
  <si>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</si>
  <si>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</si>
  <si>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</si>
  <si>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</si>
  <si>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</si>
  <si>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</si>
  <si>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</si>
  <si>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</si>
  <si>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</si>
  <si>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</si>
  <si>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</si>
  <si>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</si>
  <si>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</si>
  <si>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</si>
  <si>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</si>
  <si>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</si>
  <si>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</si>
  <si>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</si>
  <si>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</si>
  <si>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</si>
  <si>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</si>
  <si>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</si>
  <si>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</si>
  <si>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</si>
  <si>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</si>
  <si>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</si>
  <si>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</si>
  <si>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</si>
  <si>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</si>
  <si>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</si>
  <si>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</si>
  <si>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</si>
  <si>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</si>
  <si>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</si>
  <si>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</si>
  <si>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</si>
  <si>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</si>
  <si>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</si>
  <si>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</si>
  <si>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</si>
  <si>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</si>
  <si>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</si>
  <si>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</si>
  <si>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</si>
  <si>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</si>
  <si>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</si>
  <si>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</si>
  <si>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</si>
  <si>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</si>
  <si>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</si>
  <si>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</si>
  <si>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</si>
  <si>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</si>
  <si>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</si>
  <si>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</si>
  <si>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</si>
  <si>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</si>
  <si>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</si>
  <si>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</si>
  <si>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</si>
  <si>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</si>
  <si>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</si>
  <si>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</si>
  <si>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</si>
  <si>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</si>
  <si>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</si>
  <si>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</si>
  <si>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</si>
  <si>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</si>
  <si>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</si>
  <si>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</si>
  <si>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</si>
  <si>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</si>
  <si>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</si>
  <si>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</si>
  <si>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</si>
  <si>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</si>
  <si>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</si>
  <si>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</si>
  <si>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</si>
  <si>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</si>
  <si>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</si>
  <si>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</si>
  <si>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</si>
  <si>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</si>
  <si>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</si>
  <si>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</si>
  <si>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</si>
  <si>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</si>
  <si>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</si>
  <si>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</si>
  <si>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</si>
  <si>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</si>
  <si>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</si>
  <si>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</si>
  <si>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</si>
  <si>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</si>
  <si>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</si>
  <si>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</si>
  <si>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</si>
  <si>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</si>
  <si>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</si>
  <si>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</si>
  <si>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</si>
  <si>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</si>
  <si>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</si>
  <si>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</si>
  <si>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</si>
  <si>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</si>
  <si>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</si>
  <si>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</si>
  <si>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</si>
  <si>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</si>
  <si>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</si>
  <si>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</si>
  <si>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</si>
  <si>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</si>
  <si>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</si>
  <si>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</si>
  <si>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</si>
  <si>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</si>
  <si>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</si>
  <si>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</si>
  <si>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</si>
  <si>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</si>
  <si>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</si>
  <si>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</si>
  <si>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</si>
  <si>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</si>
  <si>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</si>
  <si>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</si>
  <si>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</si>
  <si>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</si>
  <si>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</si>
  <si>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</si>
  <si>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</si>
  <si>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</si>
  <si>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</si>
  <si>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</si>
  <si>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</si>
  <si>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</si>
  <si>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</si>
  <si>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</si>
  <si>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</si>
  <si>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</si>
  <si>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</si>
  <si>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</si>
  <si>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</si>
  <si>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</si>
  <si>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</si>
  <si>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</si>
  <si>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</si>
  <si>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</si>
  <si>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</si>
  <si>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</si>
  <si>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</si>
  <si>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</si>
  <si>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</si>
  <si>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</si>
  <si>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</si>
  <si>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</si>
  <si>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</si>
  <si>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</si>
  <si>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</si>
  <si>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</si>
  <si>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</si>
  <si>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</si>
  <si>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</si>
  <si>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</si>
  <si>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</si>
  <si>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</si>
  <si>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</si>
  <si>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</si>
  <si>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</si>
  <si>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</si>
  <si>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</si>
  <si>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</si>
  <si>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</si>
  <si>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</si>
  <si>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</si>
  <si>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</si>
  <si>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</si>
  <si>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</si>
  <si>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</si>
  <si>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</si>
  <si>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</si>
  <si>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</si>
  <si>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</si>
  <si>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</si>
  <si>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</si>
  <si>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</si>
  <si>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</si>
  <si>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</si>
  <si>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</si>
  <si>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</si>
  <si>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</si>
  <si>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</si>
  <si>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</si>
  <si>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</si>
  <si>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</si>
  <si>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</si>
  <si>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</si>
  <si>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</si>
  <si>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</si>
  <si>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</si>
  <si>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</si>
  <si>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</si>
  <si>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</si>
  <si>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</si>
  <si>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</si>
  <si>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</si>
  <si>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</si>
  <si>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</si>
  <si>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</si>
  <si>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</si>
  <si>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</si>
  <si>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</si>
  <si>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</si>
  <si>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</si>
  <si>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</si>
  <si>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</si>
  <si>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</si>
  <si>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</si>
  <si>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</si>
  <si>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</si>
  <si>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</si>
  <si>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</si>
  <si>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</si>
  <si>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</si>
  <si>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</si>
  <si>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</si>
  <si>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</si>
  <si>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</si>
  <si>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</si>
  <si>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</si>
  <si>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</si>
  <si>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</si>
  <si>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</si>
  <si>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</si>
  <si>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</si>
  <si>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</si>
  <si>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</si>
  <si>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</si>
  <si>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</si>
  <si>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</si>
  <si>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</si>
  <si>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</si>
  <si>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</si>
  <si>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</si>
  <si>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</si>
  <si>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</si>
  <si>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</si>
  <si>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</si>
  <si>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</si>
  <si>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</si>
  <si>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</si>
  <si>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</si>
  <si>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</si>
  <si>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</si>
  <si>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</si>
  <si>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</si>
  <si>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</si>
  <si>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</si>
  <si>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</si>
  <si>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</si>
  <si>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</si>
  <si>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</si>
  <si>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</si>
  <si>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</si>
  <si>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</si>
  <si>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</si>
  <si>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</si>
  <si>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</si>
  <si>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</si>
  <si>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</si>
  <si>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</si>
  <si>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</si>
  <si>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</si>
  <si>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</si>
  <si>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</si>
  <si>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</si>
  <si>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</si>
  <si>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</si>
  <si>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</si>
  <si>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</si>
  <si>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</si>
  <si>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</si>
  <si>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</si>
  <si>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</si>
  <si>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</si>
  <si>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</si>
  <si>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</si>
  <si>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</si>
  <si>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</si>
  <si>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</si>
  <si>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</si>
  <si>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</si>
  <si>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</si>
  <si>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</si>
  <si>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</si>
  <si>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</si>
  <si>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</si>
  <si>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</si>
  <si>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</si>
  <si>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</si>
  <si>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</si>
  <si>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</si>
  <si>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</si>
  <si>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</si>
  <si>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</si>
  <si>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</si>
  <si>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</si>
  <si>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</si>
  <si>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</si>
  <si>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</si>
  <si>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</si>
  <si>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</si>
  <si>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</si>
  <si>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</si>
  <si>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</si>
  <si>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</si>
  <si>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</si>
  <si>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</si>
  <si>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</si>
  <si>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</si>
  <si>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</si>
  <si>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</si>
  <si>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</si>
  <si>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</si>
  <si>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</si>
  <si>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</si>
  <si>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</si>
  <si>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</si>
  <si>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</si>
  <si>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</si>
  <si>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</si>
  <si>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</si>
  <si>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</si>
  <si>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</si>
  <si>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</si>
  <si>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</si>
  <si>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</si>
  <si>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</si>
  <si>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</si>
  <si>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</si>
  <si>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</si>
  <si>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</si>
  <si>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</si>
  <si>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</si>
  <si>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</si>
  <si>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</si>
  <si>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</si>
  <si>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</si>
  <si>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</si>
  <si>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</si>
  <si>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</si>
  <si>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</si>
  <si>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</si>
  <si>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</si>
  <si>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</si>
  <si>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</si>
  <si>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</si>
  <si>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</si>
  <si>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</si>
  <si>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</si>
  <si>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</si>
  <si>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</si>
  <si>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</si>
  <si>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</si>
  <si>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</si>
  <si>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</si>
  <si>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</si>
  <si>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</si>
  <si>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</si>
  <si>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</si>
  <si>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</si>
  <si>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</si>
  <si>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</si>
  <si>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</si>
  <si>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</si>
  <si>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</si>
  <si>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</si>
  <si>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</si>
  <si>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</si>
  <si>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</si>
  <si>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</si>
  <si>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</si>
  <si>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</si>
  <si>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</si>
  <si>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</si>
  <si>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</si>
  <si>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</si>
  <si>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</si>
  <si>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</si>
  <si>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</si>
  <si>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</si>
  <si>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</si>
  <si>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</si>
  <si>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</si>
  <si>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</si>
  <si>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</si>
  <si>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</si>
  <si>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</si>
  <si>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</si>
  <si>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</si>
  <si>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</si>
  <si>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</si>
  <si>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</si>
  <si>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</si>
  <si>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</si>
  <si>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</si>
  <si>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</si>
  <si>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</si>
  <si>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</si>
  <si>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</si>
  <si>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</si>
  <si>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</si>
  <si>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</si>
  <si>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</si>
  <si>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</si>
  <si>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</si>
  <si>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</si>
  <si>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</si>
  <si>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</si>
  <si>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</si>
  <si>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</si>
  <si>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</si>
  <si>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</si>
  <si>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</si>
  <si>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</si>
  <si>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</si>
  <si>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</si>
  <si>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</si>
  <si>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</si>
  <si>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</si>
  <si>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</si>
  <si>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</si>
  <si>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</si>
  <si>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</si>
  <si>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</si>
  <si>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</si>
  <si>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</si>
  <si>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</si>
  <si>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</si>
  <si>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</si>
  <si>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</si>
  <si>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</si>
  <si>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</si>
  <si>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</si>
  <si>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</si>
  <si>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</si>
  <si>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</si>
  <si>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</si>
  <si>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</si>
  <si>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</si>
  <si>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</si>
  <si>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</si>
  <si>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</si>
  <si>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</si>
  <si>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</si>
  <si>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</si>
  <si>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</si>
  <si>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</si>
  <si>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</si>
  <si>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</si>
  <si>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</si>
  <si>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</si>
  <si>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</si>
  <si>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</si>
  <si>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</si>
  <si>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</si>
  <si>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</si>
  <si>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</si>
  <si>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</si>
  <si>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</si>
  <si>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</si>
  <si>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</si>
  <si>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</si>
  <si>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</si>
  <si>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</si>
  <si>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</si>
  <si>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</si>
  <si>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</si>
  <si>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</si>
  <si>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</si>
  <si>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</si>
  <si>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</si>
  <si>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</si>
  <si>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</si>
  <si>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</si>
  <si>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</si>
  <si>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</si>
  <si>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</si>
  <si>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</si>
  <si>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</si>
  <si>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</si>
  <si>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</si>
  <si>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</si>
  <si>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</si>
  <si>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</si>
  <si>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</si>
  <si>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</si>
  <si>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</si>
  <si>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</si>
  <si>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</si>
  <si>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</si>
  <si>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</si>
  <si>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</si>
  <si>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</si>
  <si>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</si>
  <si>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</si>
  <si>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</si>
  <si>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</si>
  <si>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</si>
  <si>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</si>
  <si>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</si>
  <si>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</si>
  <si>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</si>
  <si>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</si>
  <si>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</si>
  <si>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</si>
  <si>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</si>
  <si>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</si>
  <si>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</si>
  <si>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</si>
  <si>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</si>
  <si>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</si>
  <si>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</si>
  <si>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</si>
  <si>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</si>
  <si>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</si>
  <si>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</si>
  <si>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</si>
  <si>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</si>
  <si>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</si>
  <si>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</si>
  <si>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</si>
  <si>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</si>
  <si>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</si>
  <si>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</si>
  <si>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</si>
  <si>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</si>
  <si>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</si>
  <si>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</si>
  <si>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</si>
  <si>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</si>
  <si>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</si>
  <si>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</si>
  <si>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</si>
  <si>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</si>
  <si>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</si>
  <si>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</si>
  <si>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</si>
  <si>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</si>
  <si>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</si>
  <si>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</si>
  <si>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</si>
  <si>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</si>
  <si>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</si>
  <si>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</si>
  <si>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</si>
  <si>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</si>
  <si>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</si>
  <si>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</si>
  <si>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</si>
  <si>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</si>
  <si>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</si>
  <si>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</si>
  <si>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</si>
  <si>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</si>
  <si>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</si>
  <si>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</si>
  <si>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</si>
  <si>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</si>
  <si>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</si>
  <si>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</si>
  <si>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</si>
  <si>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</si>
  <si>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</si>
  <si>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</si>
  <si>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</si>
  <si>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</si>
  <si>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</si>
  <si>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</si>
  <si>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</si>
  <si>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</si>
  <si>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</si>
  <si>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</si>
  <si>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</si>
  <si>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</si>
  <si>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</si>
  <si>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</si>
  <si>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</si>
  <si>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</si>
  <si>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</si>
  <si>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</si>
  <si>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</si>
  <si>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</si>
  <si>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</si>
  <si>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</si>
  <si>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</si>
  <si>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</si>
  <si>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</si>
  <si>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</si>
  <si>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</si>
  <si>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</si>
  <si>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</si>
  <si>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</si>
  <si>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</si>
  <si>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</si>
  <si>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</si>
  <si>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</si>
  <si>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</si>
  <si>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</si>
  <si>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</si>
  <si>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</si>
  <si>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</si>
  <si>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</si>
  <si>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</si>
  <si>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</si>
  <si>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</si>
  <si>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</si>
  <si>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</si>
  <si>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</si>
  <si>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</si>
  <si>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</si>
  <si>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</si>
  <si>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</si>
  <si>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</si>
  <si>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</si>
  <si>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</si>
  <si>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</si>
  <si>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</si>
  <si>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</si>
  <si>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</si>
  <si>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</si>
  <si>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</si>
  <si>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</si>
  <si>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</si>
  <si>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</si>
  <si>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</si>
  <si>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</si>
  <si>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</si>
  <si>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</si>
  <si>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</si>
  <si>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</si>
  <si>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</si>
  <si>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</si>
  <si>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</si>
  <si>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</si>
  <si>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</si>
  <si>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</si>
  <si>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</si>
  <si>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</si>
  <si>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</si>
  <si>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</si>
  <si>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</si>
  <si>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</si>
  <si>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</si>
  <si>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</si>
  <si>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</si>
  <si>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</si>
  <si>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</si>
  <si>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</si>
  <si>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</si>
  <si>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</si>
  <si>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</si>
  <si>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</si>
  <si>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</si>
  <si>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</si>
  <si>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</si>
  <si>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</si>
  <si>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</si>
  <si>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</si>
  <si>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</si>
  <si>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</si>
  <si>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</si>
  <si>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</si>
  <si>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</si>
  <si>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</si>
  <si>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</si>
  <si>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</si>
  <si>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</si>
  <si>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</si>
  <si>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</si>
  <si>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</si>
  <si>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</si>
  <si>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</si>
  <si>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</si>
  <si>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</si>
  <si>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</si>
  <si>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</si>
  <si>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</si>
  <si>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</si>
  <si>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</si>
  <si>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</si>
  <si>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</si>
  <si>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</si>
  <si>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</si>
  <si>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</si>
  <si>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</si>
  <si>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</si>
  <si>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</si>
  <si>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</si>
  <si>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</si>
  <si>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</si>
  <si>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</si>
  <si>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</si>
  <si>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</si>
  <si>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</si>
  <si>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</si>
  <si>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</si>
  <si>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</si>
  <si>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</si>
  <si>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</si>
  <si>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</si>
  <si>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</si>
  <si>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</si>
  <si>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</si>
  <si>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</si>
  <si>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</si>
  <si>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</si>
  <si>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</si>
  <si>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</si>
  <si>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</si>
  <si>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</si>
  <si>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</si>
  <si>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</si>
  <si>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</si>
  <si>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</si>
  <si>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</si>
  <si>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</si>
  <si>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</si>
  <si>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</si>
  <si>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</si>
  <si>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</si>
  <si>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</si>
  <si>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</si>
  <si>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</si>
  <si>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</si>
  <si>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</si>
  <si>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</si>
  <si>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</si>
  <si>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</si>
  <si>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</si>
  <si>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</si>
  <si>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</si>
  <si>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</si>
  <si>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</si>
  <si>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</si>
  <si>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</si>
  <si>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</si>
  <si>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</si>
  <si>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</si>
  <si>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</si>
  <si>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</si>
  <si>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</si>
  <si>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</si>
  <si>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</si>
  <si>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</si>
  <si>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</si>
  <si>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</si>
  <si>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</si>
  <si>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</si>
  <si>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</si>
  <si>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</si>
  <si>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</si>
  <si>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</si>
  <si>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</si>
  <si>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</si>
  <si>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</si>
  <si>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</si>
  <si>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</si>
  <si>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</si>
  <si>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</si>
  <si>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</si>
  <si>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</si>
  <si>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</si>
  <si>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</si>
  <si>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</si>
  <si>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</si>
  <si>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</si>
  <si>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</si>
  <si>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</si>
  <si>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</si>
  <si>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</si>
  <si>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</si>
  <si>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</si>
  <si>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</si>
  <si>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</si>
  <si>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</si>
  <si>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</si>
  <si>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</si>
  <si>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</si>
  <si>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</si>
  <si>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</si>
  <si>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</si>
  <si>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</si>
  <si>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</si>
  <si>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</si>
  <si>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</si>
  <si>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</si>
  <si>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</si>
  <si>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</si>
  <si>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</si>
  <si>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</si>
  <si>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</si>
  <si>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</si>
  <si>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</si>
  <si>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</si>
  <si>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</si>
  <si>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</si>
  <si>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</si>
  <si>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</si>
  <si>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</si>
  <si>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</si>
  <si>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</si>
  <si>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</si>
  <si>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</si>
  <si>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</si>
  <si>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</si>
  <si>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</si>
  <si>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</si>
  <si>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</si>
  <si>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</si>
  <si>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</si>
  <si>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</si>
  <si>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</si>
  <si>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</si>
  <si>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</si>
  <si>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</si>
  <si>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</si>
  <si>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</si>
  <si>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</si>
  <si>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</si>
  <si>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</si>
  <si>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</si>
  <si>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</si>
  <si>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</si>
  <si>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</si>
  <si>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</si>
  <si>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</si>
  <si>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</si>
  <si>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</si>
  <si>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</si>
  <si>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</si>
  <si>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</si>
  <si>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</si>
  <si>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</si>
  <si>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</si>
  <si>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</si>
  <si>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</si>
  <si>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</si>
  <si>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</si>
  <si>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</si>
  <si>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</si>
  <si>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</si>
  <si>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</si>
  <si>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</si>
  <si>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</si>
  <si>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</si>
  <si>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</si>
  <si>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</si>
  <si>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</si>
  <si>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</si>
  <si>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</si>
  <si>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</si>
  <si>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</si>
  <si>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</si>
  <si>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</si>
  <si>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</si>
  <si>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</si>
  <si>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</si>
  <si>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</si>
  <si>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</si>
  <si>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</si>
  <si>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</si>
  <si>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</si>
  <si>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</si>
  <si>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</si>
  <si>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</si>
  <si>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</si>
  <si>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</si>
  <si>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</si>
  <si>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</si>
  <si>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</si>
  <si>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</si>
  <si>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</si>
  <si>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</si>
  <si>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</si>
  <si>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</si>
  <si>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</si>
  <si>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</si>
  <si>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</si>
  <si>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</si>
  <si>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</si>
  <si>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</si>
  <si>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</si>
  <si>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</si>
  <si>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</si>
  <si>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</si>
  <si>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</si>
  <si>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</si>
  <si>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</si>
  <si>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</si>
  <si>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</si>
  <si>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</si>
  <si>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</si>
  <si>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</si>
  <si>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</si>
  <si>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</si>
  <si>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</si>
  <si>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</si>
  <si>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</si>
  <si>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</si>
  <si>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</si>
  <si>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</si>
  <si>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</si>
  <si>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</si>
  <si>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</si>
  <si>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</si>
  <si>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</si>
  <si>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</si>
  <si>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</si>
  <si>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</si>
  <si>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</si>
  <si>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</si>
  <si>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</si>
  <si>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</si>
  <si>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</si>
  <si>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</si>
  <si>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</si>
  <si>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</si>
  <si>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</si>
  <si>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</si>
  <si>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</si>
  <si>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</si>
  <si>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</si>
  <si>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</si>
  <si>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</si>
  <si>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</si>
  <si>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</si>
  <si>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</si>
  <si>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</si>
  <si>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</si>
  <si>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</si>
  <si>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</si>
  <si>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</si>
  <si>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</si>
  <si>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</si>
  <si>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</si>
  <si>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</si>
  <si>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</si>
  <si>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</si>
  <si>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</si>
  <si>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</si>
  <si>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</si>
  <si>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</si>
  <si>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</si>
  <si>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</si>
  <si>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</si>
  <si>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</si>
  <si>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</si>
  <si>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</si>
  <si>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</si>
  <si>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</si>
  <si>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</si>
  <si>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</si>
  <si>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</si>
  <si>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</si>
  <si>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</si>
  <si>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</si>
  <si>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</si>
  <si>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</si>
  <si>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</si>
  <si>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</si>
  <si>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</si>
  <si>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</si>
  <si>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</si>
  <si>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</si>
  <si>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</si>
  <si>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</si>
  <si>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</si>
  <si>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</si>
  <si>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</si>
  <si>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</si>
  <si>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</si>
  <si>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</si>
  <si>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</si>
  <si>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</si>
  <si>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</si>
  <si>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</si>
  <si>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</si>
  <si>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</si>
  <si>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</si>
  <si>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</si>
  <si>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</si>
  <si>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</si>
  <si>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</si>
  <si>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</si>
  <si>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</si>
  <si>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</si>
  <si>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</si>
  <si>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</si>
  <si>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</si>
  <si>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</si>
  <si>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</si>
  <si>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</si>
  <si>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</si>
  <si>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</si>
  <si>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</si>
  <si>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</si>
  <si>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</si>
  <si>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</si>
  <si>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</si>
  <si>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</si>
  <si>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</si>
  <si>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</si>
  <si>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</si>
  <si>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</si>
  <si>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</si>
  <si>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</si>
  <si>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</si>
  <si>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</si>
  <si>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</si>
  <si>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</si>
  <si>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</si>
  <si>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</si>
  <si>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</si>
  <si>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</si>
  <si>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</si>
  <si>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</si>
  <si>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</si>
  <si>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</si>
  <si>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</si>
  <si>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</si>
  <si>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</si>
  <si>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</si>
  <si>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</si>
  <si>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</si>
  <si>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</si>
  <si>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</si>
  <si>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</si>
  <si>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</si>
  <si>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</si>
  <si>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</si>
  <si>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</si>
  <si>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</si>
  <si>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</si>
  <si>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</si>
  <si>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</si>
  <si>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</si>
  <si>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</si>
  <si>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</si>
  <si>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</si>
  <si>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</si>
  <si>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</si>
  <si>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</si>
  <si>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</si>
  <si>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</si>
  <si>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</si>
  <si>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</si>
  <si>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</si>
  <si>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</si>
  <si>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</si>
  <si>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</si>
  <si>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</si>
  <si>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</si>
  <si>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</si>
  <si>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</si>
  <si>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</si>
  <si>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</si>
  <si>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</si>
  <si>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</si>
  <si>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</si>
  <si>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</si>
  <si>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</si>
  <si>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</si>
  <si>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</si>
  <si>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</si>
  <si>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</si>
  <si>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</si>
  <si>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</si>
  <si>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</si>
  <si>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</si>
  <si>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</si>
  <si>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</si>
  <si>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</si>
  <si>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</si>
  <si>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</si>
  <si>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</si>
  <si>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</si>
  <si>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</si>
  <si>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</si>
  <si>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</si>
  <si>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</si>
  <si>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</si>
  <si>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</si>
  <si>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</si>
  <si>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</si>
  <si>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</si>
  <si>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</si>
  <si>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</si>
  <si>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</si>
  <si>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</si>
  <si>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</si>
  <si>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</si>
  <si>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</si>
  <si>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</si>
  <si>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</si>
  <si>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</si>
  <si>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</si>
  <si>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</si>
  <si>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</si>
  <si>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</si>
  <si>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</si>
  <si>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</si>
  <si>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</si>
  <si>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</si>
  <si>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</si>
  <si>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</si>
  <si>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</si>
  <si>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</si>
  <si>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</si>
  <si>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</si>
  <si>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</si>
  <si>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</si>
  <si>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</si>
  <si>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</si>
  <si>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</si>
  <si>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</si>
  <si>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</si>
  <si>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</si>
  <si>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</si>
  <si>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</si>
  <si>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</si>
  <si>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</si>
  <si>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</si>
  <si>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</si>
  <si>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</si>
  <si>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</si>
  <si>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</si>
  <si>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</si>
  <si>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</si>
  <si>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</si>
  <si>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</si>
  <si>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</si>
  <si>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</si>
  <si>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</si>
  <si>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</si>
  <si>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</si>
  <si>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</si>
  <si>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</si>
  <si>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</si>
  <si>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</si>
  <si>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</si>
  <si>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</si>
  <si>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</si>
  <si>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</si>
  <si>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</si>
  <si>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</si>
  <si>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</si>
  <si>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</si>
  <si>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</si>
  <si>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</si>
  <si>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</si>
  <si>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</si>
  <si>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</si>
  <si>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</si>
  <si>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</si>
  <si>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</si>
  <si>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</si>
  <si>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</si>
  <si>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</si>
  <si>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</si>
  <si>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</si>
  <si>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</si>
  <si>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</si>
  <si>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</si>
  <si>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</si>
  <si>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</si>
  <si>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</si>
  <si>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</si>
  <si>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</si>
  <si>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</si>
  <si>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</si>
  <si>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</si>
  <si>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</si>
  <si>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</si>
  <si>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</si>
  <si>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</si>
  <si>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</si>
  <si>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</si>
  <si>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</si>
  <si>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</si>
  <si>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</si>
  <si>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</si>
  <si>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</si>
  <si>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</si>
  <si>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</si>
  <si>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</si>
  <si>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</si>
  <si>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</si>
  <si>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</si>
  <si>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</si>
  <si>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</si>
  <si>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</si>
  <si>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</si>
  <si>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</si>
  <si>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</si>
  <si>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</si>
  <si>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</si>
  <si>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</si>
  <si>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</si>
  <si>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</si>
  <si>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</si>
  <si>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</si>
  <si>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</si>
  <si>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</si>
  <si>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</si>
  <si>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</si>
  <si>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</si>
  <si>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</si>
  <si>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</si>
  <si>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</si>
  <si>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</si>
  <si>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</si>
  <si>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</si>
  <si>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</si>
  <si>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</si>
  <si>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</si>
  <si>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</si>
  <si>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</si>
  <si>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</si>
  <si>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</si>
  <si>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</si>
  <si>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</si>
  <si>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</si>
  <si>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</si>
  <si>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</si>
  <si>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</si>
  <si>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</si>
  <si>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</si>
  <si>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</si>
  <si>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</si>
  <si>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</si>
  <si>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</si>
  <si>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</si>
  <si>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</si>
  <si>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</si>
  <si>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</si>
  <si>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</si>
  <si>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</si>
  <si>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</si>
  <si>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</si>
  <si>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</si>
  <si>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</si>
  <si>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</si>
  <si>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</si>
  <si>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</si>
  <si>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</si>
  <si>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</si>
  <si>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</si>
  <si>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</si>
  <si>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</si>
  <si>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</si>
  <si>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</si>
  <si>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</si>
  <si>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</si>
  <si>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</si>
  <si>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</si>
  <si>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</si>
  <si>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</si>
  <si>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</si>
  <si>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</si>
  <si>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</si>
  <si>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</si>
  <si>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</si>
  <si>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</si>
  <si>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</si>
  <si>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</si>
  <si>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</si>
  <si>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</si>
  <si>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</si>
  <si>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</si>
  <si>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</si>
  <si>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</si>
  <si>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</si>
  <si>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</si>
  <si>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</si>
  <si>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</si>
  <si>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</si>
  <si>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</si>
  <si>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</si>
  <si>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</si>
  <si>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</si>
  <si>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</si>
  <si>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</si>
  <si>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</si>
  <si>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</si>
  <si>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</si>
  <si>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</si>
  <si>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</si>
  <si>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</si>
  <si>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</si>
  <si>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</si>
  <si>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</si>
  <si>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</si>
  <si>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</si>
  <si>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</si>
  <si>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</si>
  <si>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</si>
  <si>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</si>
  <si>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</si>
  <si>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</si>
  <si>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</si>
  <si>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</si>
  <si>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</si>
  <si>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</si>
  <si>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</si>
  <si>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</si>
  <si>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</si>
  <si>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</si>
  <si>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</si>
  <si>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</si>
  <si>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</si>
  <si>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</si>
  <si>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</si>
  <si>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</si>
  <si>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</si>
  <si>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</si>
  <si>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</si>
  <si>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</si>
  <si>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</si>
  <si>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</si>
  <si>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</si>
  <si>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</si>
  <si>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</si>
  <si>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</si>
  <si>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</si>
  <si>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</si>
  <si>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</si>
  <si>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</si>
  <si>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</si>
  <si>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</si>
  <si>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</si>
  <si>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</si>
  <si>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</si>
  <si>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</si>
  <si>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</si>
  <si>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</si>
  <si>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</si>
  <si>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</si>
  <si>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</si>
  <si>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</si>
  <si>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</si>
  <si>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</si>
  <si>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</si>
  <si>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</si>
  <si>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</si>
  <si>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</si>
  <si>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</si>
  <si>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</si>
  <si>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</si>
  <si>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</si>
  <si>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</si>
  <si>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</si>
  <si>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</si>
  <si>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</si>
  <si>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</si>
  <si>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</si>
  <si>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</si>
  <si>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</si>
  <si>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</si>
  <si>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</si>
  <si>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</si>
  <si>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</si>
  <si>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</si>
  <si>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</si>
  <si>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</si>
  <si>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</si>
  <si>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</si>
  <si>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</si>
  <si>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</si>
  <si>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</si>
  <si>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</si>
  <si>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</si>
  <si>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</si>
  <si>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</si>
  <si>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</si>
  <si>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</si>
  <si>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</si>
  <si>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</si>
  <si>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</si>
  <si>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</si>
  <si>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</si>
  <si>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</si>
  <si>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</si>
  <si>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</si>
  <si>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</si>
  <si>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</si>
  <si>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</si>
  <si>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</si>
  <si>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</si>
  <si>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</si>
  <si>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</si>
  <si>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</si>
  <si>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</si>
  <si>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</si>
  <si>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</si>
  <si>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</si>
  <si>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</si>
  <si>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</si>
  <si>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</si>
  <si>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</si>
  <si>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</si>
  <si>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</si>
  <si>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</si>
  <si>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</si>
  <si>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</si>
  <si>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</si>
  <si>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</si>
  <si>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</si>
  <si>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</si>
  <si>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</si>
  <si>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</si>
  <si>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</si>
  <si>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</si>
  <si>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</si>
  <si>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</si>
  <si>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</si>
  <si>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</si>
  <si>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</si>
  <si>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</si>
  <si>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</si>
  <si>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</si>
  <si>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</si>
  <si>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</si>
  <si>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</si>
  <si>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</si>
  <si>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</si>
  <si>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</si>
  <si>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</si>
  <si>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</si>
  <si>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</si>
  <si>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</si>
  <si>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</si>
  <si>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</si>
  <si>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</si>
  <si>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</si>
  <si>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</si>
  <si>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</si>
  <si>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</si>
  <si>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</si>
  <si>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</si>
  <si>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</si>
  <si>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</si>
  <si>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</si>
  <si>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</si>
  <si>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</si>
  <si>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</si>
  <si>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</si>
  <si>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</si>
  <si>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</si>
  <si>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</si>
  <si>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</si>
  <si>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</si>
  <si>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</si>
  <si>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</si>
  <si>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</si>
  <si>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</si>
  <si>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</si>
  <si>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</si>
  <si>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</si>
  <si>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</si>
  <si>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</si>
  <si>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</si>
  <si>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</si>
  <si>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</si>
  <si>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</si>
  <si>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</si>
  <si>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</si>
  <si>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</si>
  <si>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</si>
  <si>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</si>
  <si>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</si>
  <si>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</si>
  <si>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</si>
  <si>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</si>
  <si>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</si>
  <si>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</si>
  <si>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</si>
  <si>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</si>
  <si>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</si>
  <si>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</si>
  <si>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</si>
  <si>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</si>
  <si>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</si>
  <si>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</si>
  <si>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</si>
  <si>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</si>
  <si>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</si>
  <si>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</si>
  <si>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</si>
  <si>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</si>
  <si>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</si>
  <si>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</si>
  <si>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</si>
  <si>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</si>
  <si>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</si>
  <si>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</si>
  <si>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</si>
  <si>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</si>
  <si>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</si>
  <si>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</si>
  <si>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</si>
  <si>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</si>
  <si>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</si>
  <si>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</si>
  <si>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</si>
  <si>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</si>
  <si>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</si>
  <si>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</si>
  <si>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</si>
  <si>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</si>
  <si>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</si>
  <si>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</si>
  <si>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</si>
  <si>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</si>
  <si>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</si>
  <si>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</si>
  <si>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</si>
  <si>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</si>
  <si>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</si>
  <si>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</si>
  <si>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</si>
  <si>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</si>
  <si>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</si>
  <si>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</si>
  <si>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</si>
  <si>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</si>
  <si>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</si>
  <si>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</si>
  <si>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</si>
  <si>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</si>
  <si>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</si>
  <si>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</si>
  <si>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</si>
  <si>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</si>
  <si>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</si>
  <si>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</si>
  <si>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</si>
  <si>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</si>
  <si>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</si>
  <si>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</si>
  <si>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</si>
  <si>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</si>
  <si>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</si>
  <si>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</si>
  <si>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</si>
  <si>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</si>
  <si>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</si>
  <si>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</si>
  <si>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</si>
  <si>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</si>
  <si>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</si>
  <si>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</si>
  <si>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</si>
  <si>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</si>
  <si>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</si>
  <si>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</si>
  <si>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</si>
  <si>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</si>
  <si>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</si>
  <si>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</si>
  <si>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</si>
  <si>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</si>
  <si>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</si>
  <si>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</si>
  <si>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</si>
  <si>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</si>
  <si>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</si>
  <si>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</si>
  <si>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</si>
  <si>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</si>
  <si>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</si>
  <si>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</si>
  <si>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</si>
  <si>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</si>
  <si>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</si>
  <si>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</si>
  <si>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</si>
  <si>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</si>
  <si>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</si>
  <si>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</si>
  <si>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</si>
  <si>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</si>
  <si>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</si>
  <si>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</si>
  <si>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</si>
  <si>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</si>
  <si>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</si>
  <si>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</si>
  <si>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</si>
  <si>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</si>
  <si>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</si>
  <si>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</si>
  <si>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</si>
  <si>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</si>
  <si>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</si>
  <si>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</si>
  <si>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</si>
  <si>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</si>
  <si>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</si>
  <si>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</si>
  <si>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</si>
  <si>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</si>
  <si>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</si>
  <si>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</si>
  <si>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</si>
  <si>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</si>
  <si>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</si>
  <si>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</si>
  <si>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</si>
  <si>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</si>
  <si>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</si>
  <si>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</si>
  <si>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</si>
  <si>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</si>
  <si>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</si>
  <si>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</si>
  <si>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</si>
  <si>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</si>
  <si>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</si>
  <si>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</si>
  <si>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</si>
  <si>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</si>
  <si>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</si>
  <si>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</si>
  <si>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</si>
  <si>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</si>
  <si>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</si>
  <si>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</si>
  <si>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</si>
  <si>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</si>
  <si>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</si>
  <si>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</si>
  <si>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</si>
  <si>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</si>
  <si>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</si>
  <si>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</si>
  <si>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</si>
  <si>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</si>
  <si>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</si>
  <si>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</si>
  <si>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</si>
  <si>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</si>
  <si>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</si>
  <si>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</si>
  <si>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</si>
  <si>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</si>
  <si>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</si>
  <si>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</si>
  <si>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</si>
  <si>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</si>
  <si>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</si>
  <si>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</si>
  <si>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</si>
  <si>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</si>
  <si>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</si>
  <si>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</si>
  <si>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</si>
  <si>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</si>
  <si>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</si>
  <si>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</si>
  <si>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</si>
  <si>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</si>
  <si>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</si>
  <si>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</si>
  <si>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</si>
  <si>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</si>
  <si>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</si>
  <si>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</si>
  <si>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</si>
  <si>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</si>
  <si>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</si>
  <si>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</si>
  <si>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</si>
  <si>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</si>
  <si>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</si>
  <si>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</si>
  <si>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</si>
  <si>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</si>
  <si>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</si>
  <si>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</si>
  <si>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</si>
  <si>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</si>
  <si>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</si>
  <si>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</si>
  <si>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</si>
  <si>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</si>
  <si>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</si>
  <si>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</si>
  <si>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</si>
  <si>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</si>
  <si>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</si>
  <si>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</si>
  <si>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</si>
  <si>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</si>
  <si>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</si>
  <si>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</si>
  <si>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</si>
  <si>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</si>
  <si>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</si>
  <si>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</si>
  <si>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</si>
  <si>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</si>
  <si>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</si>
  <si>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</si>
  <si>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</si>
  <si>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</si>
  <si>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</si>
  <si>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</si>
  <si>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</si>
  <si>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</si>
  <si>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</si>
  <si>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</si>
  <si>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</si>
  <si>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</si>
  <si>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</si>
  <si>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</si>
  <si>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</si>
  <si>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</si>
  <si>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</si>
  <si>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</si>
  <si>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</si>
  <si>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</si>
  <si>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</si>
  <si>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</si>
  <si>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</si>
  <si>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</si>
  <si>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</si>
  <si>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</si>
  <si>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</si>
  <si>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</si>
  <si>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</si>
  <si>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</si>
  <si>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</si>
  <si>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</si>
  <si>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</si>
  <si>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</si>
  <si>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</si>
  <si>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</si>
  <si>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</si>
  <si>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</si>
  <si>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</si>
  <si>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</si>
  <si>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</si>
  <si>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</si>
  <si>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</si>
  <si>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</si>
  <si>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</si>
  <si>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</si>
  <si>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</si>
  <si>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</si>
  <si>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</si>
  <si>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</si>
  <si>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</si>
  <si>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</si>
  <si>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</si>
  <si>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</si>
  <si>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</si>
  <si>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</si>
  <si>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</si>
  <si>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</si>
  <si>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</si>
  <si>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</si>
  <si>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</si>
  <si>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</si>
  <si>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</si>
  <si>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</si>
  <si>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</si>
  <si>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</si>
  <si>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</si>
  <si>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</si>
  <si>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</si>
  <si>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</si>
  <si>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</si>
  <si>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</si>
  <si>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</si>
  <si>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</si>
  <si>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</si>
  <si>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</si>
  <si>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</si>
  <si>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</si>
  <si>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</si>
  <si>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</si>
  <si>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</si>
  <si>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</si>
  <si>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</si>
  <si>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</si>
  <si>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</si>
  <si>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</si>
  <si>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</si>
  <si>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</si>
  <si>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</si>
  <si>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</si>
  <si>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</si>
  <si>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</si>
  <si>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</si>
  <si>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</si>
  <si>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</si>
  <si>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</si>
  <si>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</si>
  <si>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</si>
  <si>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</si>
  <si>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</si>
  <si>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</si>
  <si>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</si>
  <si>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</si>
  <si>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</si>
  <si>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</si>
  <si>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</si>
  <si>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</si>
  <si>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</si>
  <si>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</si>
  <si>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</si>
  <si>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</si>
  <si>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</si>
  <si>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</si>
  <si>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</si>
  <si>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</si>
  <si>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</si>
  <si>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</si>
  <si>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</si>
  <si>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</si>
  <si>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</si>
  <si>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</si>
  <si>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</si>
  <si>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</si>
  <si>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</si>
  <si>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</si>
  <si>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</si>
  <si>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</si>
  <si>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</si>
  <si>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</si>
  <si>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</si>
  <si>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</si>
  <si>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</si>
  <si>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</si>
  <si>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</si>
  <si>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</si>
  <si>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</si>
  <si>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</si>
  <si>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</si>
  <si>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</si>
  <si>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</si>
  <si>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</si>
  <si>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</si>
  <si>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</si>
  <si>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</si>
  <si>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</si>
  <si>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</si>
  <si>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</si>
  <si>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</si>
  <si>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</si>
  <si>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</si>
  <si>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</si>
  <si>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</si>
  <si>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</si>
  <si>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</si>
  <si>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</si>
  <si>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</si>
  <si>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</si>
  <si>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</si>
  <si>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</si>
  <si>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</si>
  <si>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</si>
  <si>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</si>
  <si>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</si>
  <si>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</si>
  <si>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</si>
  <si>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</si>
  <si>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</si>
  <si>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</si>
  <si>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</si>
  <si>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</si>
  <si>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</si>
  <si>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</si>
  <si>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</si>
  <si>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</si>
  <si>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</si>
  <si>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</si>
  <si>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</si>
  <si>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</si>
  <si>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</si>
  <si>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</si>
  <si>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</si>
  <si>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</si>
  <si>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</si>
  <si>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</si>
  <si>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</si>
  <si>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</si>
  <si>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</si>
  <si>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</si>
  <si>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</si>
  <si>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</si>
  <si>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</si>
  <si>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</si>
  <si>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</si>
  <si>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</si>
  <si>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</si>
  <si>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</si>
  <si>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</si>
  <si>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</si>
  <si>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</si>
  <si>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</si>
  <si>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</si>
  <si>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</si>
  <si>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</si>
  <si>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</si>
  <si>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</si>
  <si>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</si>
  <si>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</si>
  <si>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</si>
  <si>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</si>
  <si>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</si>
  <si>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</si>
  <si>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</si>
  <si>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</si>
  <si>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</si>
  <si>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</si>
  <si>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</si>
  <si>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</si>
  <si>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</si>
  <si>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</si>
  <si>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</si>
  <si>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</si>
  <si>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</si>
  <si>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</si>
  <si>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</si>
  <si>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</si>
  <si>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</si>
  <si>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</si>
  <si>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</si>
  <si>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</si>
  <si>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</si>
  <si>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</si>
  <si>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</si>
  <si>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</si>
  <si>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</si>
  <si>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</si>
  <si>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</si>
  <si>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</si>
  <si>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</si>
  <si>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</si>
  <si>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</si>
  <si>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</si>
  <si>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</si>
  <si>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</si>
  <si>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</si>
  <si>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</si>
  <si>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</si>
  <si>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</si>
  <si>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</si>
  <si>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</si>
  <si>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</si>
  <si>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</si>
  <si>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</si>
  <si>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</si>
  <si>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</si>
  <si>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</si>
  <si>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</si>
  <si>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</si>
  <si>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</si>
  <si>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</si>
  <si>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</si>
  <si>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</si>
  <si>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</si>
  <si>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</si>
  <si>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</si>
  <si>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</si>
  <si>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</si>
  <si>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</si>
  <si>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</si>
  <si>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</si>
  <si>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</si>
  <si>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</si>
  <si>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</si>
  <si>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</si>
  <si>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</si>
  <si>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</si>
  <si>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</si>
  <si>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</si>
  <si>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</si>
  <si>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</si>
  <si>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</si>
  <si>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</si>
  <si>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</si>
  <si>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</si>
  <si>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</si>
  <si>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</si>
  <si>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</si>
  <si>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</si>
  <si>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</si>
  <si>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</si>
  <si>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</si>
  <si>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</si>
  <si>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</si>
  <si>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</si>
  <si>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</si>
  <si>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</si>
  <si>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</si>
  <si>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</si>
  <si>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</si>
  <si>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</si>
  <si>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</si>
  <si>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</si>
  <si>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</si>
  <si>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</si>
  <si>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</si>
  <si>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</si>
  <si>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</si>
  <si>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</si>
  <si>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</si>
  <si>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</si>
  <si>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</si>
  <si>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</si>
  <si>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</si>
  <si>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</si>
  <si>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</si>
  <si>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</si>
  <si>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</si>
  <si>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</si>
  <si>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</si>
  <si>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</si>
  <si>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</si>
  <si>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</si>
  <si>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</si>
  <si>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</si>
  <si>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</si>
  <si>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</si>
  <si>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</si>
  <si>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</si>
  <si>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</si>
  <si>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</si>
  <si>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</si>
  <si>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</si>
  <si>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</si>
  <si>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</si>
  <si>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</si>
  <si>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</si>
  <si>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</si>
  <si>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</si>
  <si>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</si>
  <si>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</si>
  <si>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</si>
  <si>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</si>
  <si>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</si>
  <si>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</si>
  <si>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</si>
  <si>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</si>
  <si>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</si>
  <si>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</si>
  <si>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</si>
  <si>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</si>
  <si>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</si>
  <si>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</si>
  <si>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</si>
  <si>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</si>
  <si>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</si>
  <si>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</si>
  <si>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</si>
  <si>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</si>
  <si>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</si>
  <si>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</si>
  <si>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</si>
  <si>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</si>
  <si>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</si>
  <si>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</si>
  <si>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</si>
  <si>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</si>
  <si>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</si>
  <si>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</si>
  <si>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</si>
  <si>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</si>
  <si>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</si>
  <si>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</si>
  <si>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</si>
  <si>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</si>
  <si>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</si>
  <si>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</si>
  <si>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</si>
  <si>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</si>
  <si>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</si>
  <si>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</si>
  <si>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</si>
  <si>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</si>
  <si>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</si>
  <si>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</si>
  <si>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</si>
  <si>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</si>
  <si>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</si>
  <si>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</si>
  <si>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</si>
  <si>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</si>
  <si>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</si>
  <si>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</si>
  <si>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</si>
  <si>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</si>
  <si>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</si>
  <si>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</si>
  <si>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</si>
  <si>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</si>
  <si>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</si>
  <si>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</si>
  <si>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</si>
  <si>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</si>
  <si>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</si>
  <si>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</si>
  <si>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</si>
  <si>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</si>
  <si>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</si>
  <si>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</si>
  <si>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</si>
  <si>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</si>
  <si>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</si>
  <si>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</si>
  <si>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</si>
  <si>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</si>
  <si>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</si>
  <si>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</si>
  <si>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</si>
  <si>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</si>
  <si>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</si>
  <si>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</si>
  <si>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</si>
  <si>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</si>
  <si>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</si>
  <si>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</si>
  <si>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</si>
  <si>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</si>
  <si>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</si>
  <si>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</si>
  <si>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</si>
  <si>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</si>
  <si>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</si>
  <si>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</si>
  <si>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</si>
  <si>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</si>
  <si>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</si>
  <si>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</si>
  <si>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</si>
  <si>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</si>
  <si>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</si>
  <si>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</si>
  <si>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</si>
  <si>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</si>
  <si>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</si>
  <si>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</si>
  <si>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</si>
  <si>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</si>
  <si>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</si>
  <si>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</si>
  <si>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</si>
  <si>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</si>
  <si>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</si>
  <si>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</si>
  <si>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</si>
  <si>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</si>
  <si>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</si>
  <si>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</si>
  <si>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</si>
  <si>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</si>
  <si>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</si>
  <si>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</si>
  <si>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</si>
  <si>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</si>
  <si>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</si>
  <si>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</si>
  <si>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</si>
  <si>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</si>
  <si>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</si>
  <si>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</si>
  <si>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</si>
  <si>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</si>
  <si>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</si>
  <si>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</si>
  <si>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</si>
  <si>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</si>
  <si>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</si>
  <si>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</si>
  <si>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</si>
  <si>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</si>
  <si>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</si>
  <si>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</si>
  <si>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</si>
  <si>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</si>
  <si>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</si>
  <si>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</si>
  <si>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</si>
  <si>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</si>
  <si>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</si>
  <si>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</si>
  <si>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</si>
  <si>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</si>
  <si>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</si>
  <si>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</si>
  <si>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</si>
  <si>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</si>
  <si>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</si>
  <si>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</si>
  <si>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</si>
  <si>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</si>
  <si>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</si>
  <si>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</si>
  <si>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</si>
  <si>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</si>
  <si>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</si>
  <si>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</si>
  <si>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</si>
  <si>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</si>
  <si>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</si>
  <si>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</si>
  <si>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</si>
  <si>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</si>
  <si>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</si>
  <si>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</si>
  <si>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</si>
  <si>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</si>
  <si>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</si>
  <si>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</si>
  <si>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</si>
  <si>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</si>
  <si>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</si>
  <si>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</si>
  <si>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</si>
  <si>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</si>
  <si>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</si>
  <si>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</si>
  <si>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</si>
  <si>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</si>
  <si>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</si>
  <si>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</si>
  <si>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</si>
  <si>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</si>
  <si>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</si>
  <si>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</si>
  <si>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</si>
  <si>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</si>
  <si>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</si>
  <si>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</si>
  <si>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</si>
  <si>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</si>
  <si>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</si>
  <si>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</si>
  <si>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</si>
  <si>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</si>
  <si>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</si>
  <si>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</si>
  <si>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</si>
  <si>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</si>
  <si>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</si>
  <si>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</si>
  <si>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</si>
  <si>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</si>
  <si>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</si>
  <si>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</si>
  <si>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</si>
  <si>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</si>
  <si>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</si>
  <si>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</si>
  <si>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</si>
  <si>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</si>
  <si>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</si>
  <si>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</si>
  <si>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</si>
  <si>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</si>
  <si>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</si>
  <si>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</si>
  <si>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</si>
  <si>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</si>
  <si>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</si>
  <si>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</si>
  <si>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</si>
  <si>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</si>
  <si>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</si>
  <si>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</si>
  <si>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</si>
  <si>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</si>
  <si>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</si>
  <si>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</si>
  <si>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</si>
  <si>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</si>
  <si>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</si>
  <si>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</si>
  <si>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</si>
  <si>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</si>
  <si>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</si>
  <si>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</si>
  <si>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</si>
  <si>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</si>
  <si>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</si>
  <si>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</si>
  <si>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</si>
  <si>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</si>
  <si>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</si>
  <si>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</si>
  <si>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</si>
  <si>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</si>
  <si>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</si>
  <si>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</si>
  <si>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</si>
  <si>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</si>
  <si>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</si>
  <si>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</si>
  <si>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</si>
  <si>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</si>
  <si>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</si>
  <si>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</si>
  <si>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</si>
  <si>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</si>
  <si>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</si>
  <si>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</si>
  <si>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</si>
  <si>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</si>
  <si>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</si>
  <si>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</si>
  <si>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</si>
  <si>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</si>
  <si>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</si>
  <si>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</si>
  <si>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</si>
  <si>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</si>
  <si>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</si>
  <si>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</si>
  <si>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</si>
  <si>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</si>
  <si>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</si>
  <si>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</si>
  <si>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</si>
  <si>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</si>
  <si>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</si>
  <si>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</si>
  <si>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</si>
  <si>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</si>
  <si>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</si>
  <si>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</si>
  <si>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</si>
  <si>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</si>
  <si>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</si>
  <si>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</si>
  <si>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</si>
  <si>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</si>
  <si>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</si>
  <si>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</si>
  <si>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</si>
  <si>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</si>
  <si>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</si>
  <si>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</si>
  <si>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</si>
  <si>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</si>
  <si>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</si>
  <si>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</si>
  <si>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</si>
  <si>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</si>
  <si>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</si>
  <si>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</si>
  <si>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</si>
  <si>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</si>
  <si>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</si>
  <si>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</si>
  <si>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</si>
  <si>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</si>
  <si>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</si>
  <si>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</si>
  <si>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</si>
  <si>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</si>
  <si>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</si>
  <si>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</si>
  <si>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</si>
  <si>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</si>
  <si>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</si>
  <si>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</si>
  <si>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</si>
  <si>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</si>
  <si>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</si>
  <si>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</si>
  <si>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</si>
  <si>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</si>
  <si>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</si>
  <si>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</si>
  <si>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</si>
  <si>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</si>
  <si>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</si>
  <si>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</si>
  <si>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</si>
  <si>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</si>
  <si>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</si>
  <si>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</si>
  <si>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</si>
  <si>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</si>
  <si>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</si>
  <si>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</si>
  <si>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</si>
  <si>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</si>
  <si>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</si>
  <si>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</si>
  <si>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</si>
  <si>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</si>
  <si>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</si>
  <si>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</si>
  <si>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</si>
  <si>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</si>
  <si>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</si>
  <si>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</si>
  <si>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</si>
  <si>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</si>
  <si>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</si>
  <si>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</si>
  <si>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</si>
  <si>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</si>
  <si>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</si>
  <si>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</si>
  <si>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</si>
  <si>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</si>
  <si>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</si>
  <si>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</si>
  <si>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</si>
  <si>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</si>
  <si>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</si>
  <si>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</si>
  <si>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</si>
  <si>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</si>
  <si>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</si>
  <si>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</si>
  <si>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</si>
  <si>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</si>
  <si>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</si>
  <si>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</si>
  <si>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</si>
  <si>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</si>
  <si>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</si>
  <si>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</si>
  <si>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</si>
  <si>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</si>
  <si>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</si>
  <si>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</si>
  <si>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</si>
  <si>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</si>
  <si>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</si>
  <si>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</si>
  <si>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</si>
  <si>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</si>
  <si>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</si>
  <si>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</si>
  <si>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</si>
  <si>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</si>
  <si>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</si>
  <si>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</si>
  <si>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</si>
  <si>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</si>
  <si>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</si>
  <si>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</si>
  <si>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</si>
  <si>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</si>
  <si>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</si>
  <si>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</si>
  <si>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</si>
  <si>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</si>
  <si>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</si>
  <si>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</si>
  <si>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</si>
  <si>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</si>
  <si>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</si>
  <si>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</si>
  <si>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</si>
  <si>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</si>
  <si>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</si>
  <si>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</si>
  <si>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</si>
  <si>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</si>
  <si>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</si>
  <si>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</si>
  <si>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</si>
  <si>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</si>
  <si>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</si>
  <si>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</si>
  <si>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</si>
  <si>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</si>
  <si>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</si>
  <si>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</si>
  <si>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</si>
  <si>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</si>
  <si>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</si>
  <si>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</si>
  <si>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</si>
  <si>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</si>
  <si>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</si>
  <si>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</si>
  <si>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</si>
  <si>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</si>
  <si>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</si>
  <si>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</si>
  <si>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</si>
  <si>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</si>
  <si>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</si>
  <si>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</si>
  <si>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</si>
  <si>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</si>
  <si>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</si>
  <si>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</si>
  <si>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</si>
  <si>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</si>
  <si>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</si>
  <si>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</si>
  <si>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</si>
  <si>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</si>
  <si>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</si>
  <si>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</si>
  <si>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</si>
  <si>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</si>
  <si>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</si>
  <si>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</si>
  <si>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</si>
  <si>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</si>
  <si>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</si>
  <si>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</si>
  <si>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</si>
  <si>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</si>
  <si>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</si>
  <si>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</si>
  <si>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</si>
  <si>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</si>
  <si>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</si>
  <si>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</si>
  <si>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</si>
  <si>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</si>
  <si>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</si>
  <si>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</si>
  <si>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</si>
  <si>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</si>
  <si>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</si>
  <si>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</si>
  <si>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</si>
  <si>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</si>
  <si>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</si>
  <si>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</si>
  <si>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</si>
  <si>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</si>
  <si>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</si>
  <si>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</si>
  <si>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</si>
  <si>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</si>
  <si>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</si>
  <si>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</si>
  <si>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</si>
  <si>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</si>
  <si>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</si>
  <si>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</si>
  <si>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</si>
  <si>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</si>
  <si>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</si>
  <si>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</si>
  <si>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</si>
  <si>
    <t>12 паллет - холодильники</t>
  </si>
  <si>
    <t>TSO001131383</t>
  </si>
  <si>
    <t>TSO001131376</t>
  </si>
  <si>
    <t>TSO001131415</t>
  </si>
  <si>
    <t>TSO001131430</t>
  </si>
  <si>
    <t>TSO001131414</t>
  </si>
  <si>
    <t>TSO001131413</t>
  </si>
  <si>
    <t>TSO001131436</t>
  </si>
  <si>
    <t>TSO001131423</t>
  </si>
  <si>
    <t>TSO001131281</t>
  </si>
  <si>
    <t>TSO001131293</t>
  </si>
  <si>
    <t>TSO001131428</t>
  </si>
  <si>
    <t>TSO001131438</t>
  </si>
  <si>
    <t>TSO001131392</t>
  </si>
  <si>
    <t>TSO001131446</t>
  </si>
  <si>
    <t>TSO001131495</t>
  </si>
  <si>
    <t>TSO001131566</t>
  </si>
  <si>
    <t>подписать - НА КРЫМ!!!</t>
  </si>
  <si>
    <t>повторно!!!</t>
  </si>
  <si>
    <t>ООО ЛП Тс211446-26 02.10.2026 Пушкарный 16659кг (Абдрахимов)</t>
  </si>
  <si>
    <t>ООО НВ ЮТс-04874-26 03.10.2026 Мелитополь 5615кг (Амелин)</t>
  </si>
  <si>
    <t>ООО НВ ЮТс-04875-26 03.10.2026 Бердянск 4639кг (Амелин)</t>
  </si>
  <si>
    <t>ООО НВ Тс211842-26 02.10.2026 Донецк 16216кг (Астапкин)</t>
  </si>
  <si>
    <t>ООО НВ Тс211843-26 02.10.2026 Донецк(2) 513кг (Астапкин)</t>
  </si>
  <si>
    <t>ООО ЛП Тс211868-26 05.10.2026 ПРС 1597кг (Галкин)</t>
  </si>
  <si>
    <t>ООО ЛП Тс211897-26 05.10.2026 НПК 4001кг (Галкин)</t>
  </si>
  <si>
    <t>ООО ЛП Тс211902-26 05.10.2026 Пушкарный(ВВ) 5568кг (Галкин)</t>
  </si>
  <si>
    <t>ООО ЛП Тс211903-26 05.10.2026 Обрыньба 6130кг (Галкин)</t>
  </si>
  <si>
    <t>ООО ЛП Тс213260-26 05.10.2026 Обрыньба(2) 20кг (Галкин)</t>
  </si>
  <si>
    <t>ООО ЛП Тс213261-26 05.10.2026 ПРС(2) 120кг (Галкин)</t>
  </si>
  <si>
    <t>ООО ЛП Тс213262-26 05.10.2026 Пушкарный(ВВ) 40кг (Галкин)</t>
  </si>
  <si>
    <t>ООО ЛП Тс213263-26 05.10.2026 НПК(2) 80кг (Галкин)</t>
  </si>
  <si>
    <t>ООО КСК ТРЕЙД Тс212939-26 04.10.2026 Крым 15777кг (Грушецкий)</t>
  </si>
  <si>
    <t>ООО КСК ТРЕЙД Тс212937-26 04.10.2026 Крым(2) 180кг (Грушецкий)</t>
  </si>
  <si>
    <t>ООО КСК ТРЕЙД Тс212938-26 04.10.2026 Крым(3) 541кг (Грушецкий)</t>
  </si>
  <si>
    <t>ООО КСК ТРЕЙД Тс213277-26 04.10.2026 Крым(4) 1184кг (Грушецкий)</t>
  </si>
  <si>
    <t>ООО НВ ЮТс-04815-26 02.10.2026 Павленко 11730кг (Должкову)</t>
  </si>
  <si>
    <t>ООО НВ Тс212102-26 03.10.2026 Бердянск 10789кг (Жуков)</t>
  </si>
  <si>
    <t>ООО НВ Тс212079-26 03.10.2026 Бердянск(2) 452кг (Жуков)</t>
  </si>
  <si>
    <t>ООО КСК ТРЕЙД Тс213051-26 02.10.2026 Поляков 17331кг (Красников)</t>
  </si>
  <si>
    <t>ООО КСК ТРЕЙД Тс212935-26 02.10.2026 Крым 17188кг (Ничипорук)</t>
  </si>
  <si>
    <t>ООО КСК ТРЕЙД Тс212936-26 02.10.2026 Крым 526кг (Ничипорук)</t>
  </si>
  <si>
    <t>ООО НВ Тс212845-26 03.10.2026 Луганск 16865кг (Половинка)</t>
  </si>
  <si>
    <t>ООО НВ Тс212092-26 03.10.2026 Луганск(2) 409кг (Половинка)</t>
  </si>
  <si>
    <t>ООО КСК ТРЕЙД Тс211355-26 03.10.2026 Крым 14672кг (Пыдык)</t>
  </si>
  <si>
    <t>ООО НВ ЮТс-04876-26 03.10.2026 Мариуполь 5235кг (Амелин)</t>
  </si>
  <si>
    <t>ООО НВ Тс211847-26 03.10.2026 Мариуполь 3821кг (Жуков)</t>
  </si>
  <si>
    <t>TSO001131751</t>
  </si>
  <si>
    <t>07,10,26</t>
  </si>
  <si>
    <t>TSO001131969</t>
  </si>
  <si>
    <t>TSO001131971</t>
  </si>
  <si>
    <t>ООО КСК ТРЕЙД Тс212805-26 05.10.2026 Крым 15004кг (Исаков)</t>
  </si>
  <si>
    <t>Химич отменил</t>
  </si>
  <si>
    <t>08,10,26</t>
  </si>
  <si>
    <t>TSO001132888</t>
  </si>
  <si>
    <t>TSO001132896</t>
  </si>
  <si>
    <t>TSO001132897</t>
  </si>
  <si>
    <t>TSO001131645</t>
  </si>
  <si>
    <t>ООО КСК ТРЕЙД Тс215224-26 06.10.2026 Крым 17372кг (Акшонин)</t>
  </si>
  <si>
    <t>ООО НВ Тс212094-26 06.10.2026 Бутырин 2230кг (Голубев)</t>
  </si>
  <si>
    <t>ООО НВ Тс215201-26 06.10.2026 Донецк 15531кг (Голубев)</t>
  </si>
  <si>
    <t>ООО НВ Тс215165-26 07.10.2026 Луганск 16998кг (Левин)</t>
  </si>
  <si>
    <t>ООО КСК ТРЕЙД Тс215117-26 06.10.2026 Крым 15455кг (Лопаткин)</t>
  </si>
  <si>
    <t>ООО КСК ТРЕЙД Тс215079-26 06.10.2026 Крым(2) 1909кг (Лопаткин)</t>
  </si>
  <si>
    <t>ООО КСК ТРЕЙД Тс215049-26 06.10.2026 Крым 17816кг (Максимов)</t>
  </si>
  <si>
    <t>ООО НВ ЮТс-04917-26 06.10.2026 Горняк-Донецк 7513кг (Медведь)</t>
  </si>
  <si>
    <t>ООО НВ ЮТс-04933-26 06.10.2026 Донецк 5779кг (Медведь)</t>
  </si>
  <si>
    <t>ООО НВ Тс214442-26 06.10.2026 Мелитополь 16689кг (Митин)</t>
  </si>
  <si>
    <t>ООО НВ Тс211904-26 06.10.2026 Мелитополь(2) 240кг (Митин)</t>
  </si>
  <si>
    <t>09,10,26</t>
  </si>
  <si>
    <t>TSO001133468</t>
  </si>
  <si>
    <t>10,10,26</t>
  </si>
  <si>
    <t>TSO001133562</t>
  </si>
  <si>
    <t>TSO001133489</t>
  </si>
  <si>
    <t>TSO001133490</t>
  </si>
  <si>
    <t>TSO001133509</t>
  </si>
  <si>
    <t>TSO001133564</t>
  </si>
  <si>
    <t>TSO001133569</t>
  </si>
  <si>
    <t>TSO001133583</t>
  </si>
  <si>
    <t>TSO001133582</t>
  </si>
  <si>
    <t>ООО КСК ТРЕЙД Тс215114-26 07.10.2026 Крым 11775кг (Васильченко)</t>
  </si>
  <si>
    <t>ООО КСК ТРЕЙД Тс215087-26 07.10.2026 Патяка 17119кг (Гурин)</t>
  </si>
  <si>
    <t>ООО НВ Тс215010-26 06.10.2026 Донецк 14969кг (Кадетов)</t>
  </si>
  <si>
    <t>ООО НВ Тс214995-26 07.10.2026 Мариуполь 2506кг (Кадетов).pdf</t>
  </si>
  <si>
    <t>11,10,26</t>
  </si>
  <si>
    <t>TSO001133969</t>
  </si>
  <si>
    <t>TSO001133968</t>
  </si>
  <si>
    <t>TSO001133972</t>
  </si>
  <si>
    <t>TSO001133971</t>
  </si>
  <si>
    <t>TSO001133960</t>
  </si>
  <si>
    <t>TSO001133959</t>
  </si>
  <si>
    <t>TSO001134013</t>
  </si>
  <si>
    <t>ООО КСК ТРЕЙД Тс215109-26 08.10.2026 Крым 17698кг (Абдрахимов)</t>
  </si>
  <si>
    <t>ООО НВ ЮТс-04918-26 08.10.2026 Луганск 5804кг (Бутько)</t>
  </si>
  <si>
    <t>ООО КСК ТРЕЙД Тс212950-26 08.10.2026 Колесник 5108кг (Жуков)</t>
  </si>
  <si>
    <t>ООО НВ Тс215326-26 08.10.2026 Бердянск 4014кг (Жуков)</t>
  </si>
  <si>
    <t>ООО НВ Тс215327-26 08.10.2026 Мелитополь 5922кг (Жуков)</t>
  </si>
  <si>
    <t>ООО НВ Тс215771-26 08.10.2026 Донецк 12473кг (Надеин)</t>
  </si>
  <si>
    <t>ООО НВ Тс215002-26 08.10.2026 Мариуполь 2768кг (Надеин)</t>
  </si>
  <si>
    <t>ООО ЛП Тс214104-26 08.10.2026 Бычков 9751кг (Ступак)</t>
  </si>
  <si>
    <t>ООО ЛП Тс214145-26 08.10.2026 Бычков(2) 2979кг (Ступак)</t>
  </si>
  <si>
    <t>TSO001134519</t>
  </si>
  <si>
    <t>12,10,26</t>
  </si>
  <si>
    <t>TSO001134643</t>
  </si>
  <si>
    <t>13,10,26</t>
  </si>
  <si>
    <t>TSO001134558</t>
  </si>
  <si>
    <t>TSO001134559</t>
  </si>
  <si>
    <t>TSO001134560</t>
  </si>
  <si>
    <t>TSO001134577</t>
  </si>
  <si>
    <t>TSO001134655</t>
  </si>
  <si>
    <t>14,10,26</t>
  </si>
  <si>
    <t>доставка на 17,10,26</t>
  </si>
  <si>
    <t>TSO001134569</t>
  </si>
  <si>
    <t>TSO001134685</t>
  </si>
  <si>
    <t>TSO001134746</t>
  </si>
  <si>
    <t>TSO001134747</t>
  </si>
  <si>
    <t>TSO001134750</t>
  </si>
  <si>
    <t>TSO001134776</t>
  </si>
  <si>
    <t>TSO001134779</t>
  </si>
  <si>
    <t>TSO001134782</t>
  </si>
  <si>
    <t>TSO001134777</t>
  </si>
  <si>
    <t>TSO001134688</t>
  </si>
  <si>
    <t>TSO001134687</t>
  </si>
  <si>
    <t>TSO001134703</t>
  </si>
  <si>
    <t>TSO001134708</t>
  </si>
  <si>
    <t>TSO001134739</t>
  </si>
  <si>
    <t>TSO001134743</t>
  </si>
  <si>
    <t>TSO001134744</t>
  </si>
  <si>
    <t>ООО НВ ЮТс-04989-26 08.10.2026 Горняк-Луганск 7641кг (Бутько)</t>
  </si>
  <si>
    <t>ООО КСК ТРЕЙД Тс216632-26 09.10.2026 Крым 17561кг (Соболев)</t>
  </si>
  <si>
    <t>ООО КСК ТРЕЙД Тс217961-26 10.10.2026 Крым 17813кг (Ерохов)</t>
  </si>
  <si>
    <t>ООО ЛП Тс215000-26 12.10.2026 Пушкарный 18256кг (Ковальчук)</t>
  </si>
  <si>
    <t>ООО КСК ТРЕЙД Тс216648-26 09.10.2026 Крым 16551кг (Мазур)</t>
  </si>
  <si>
    <t>ООО КСК ТРЕЙД Тс217596-26 09.10.2026 Крым(2) 603кг (Мазур)</t>
  </si>
  <si>
    <t>ООО НВ ЮТс-04991-26 11.10.2026 Мариуполь 6638кг (Митин)</t>
  </si>
  <si>
    <t>ООО НВ ЮТс-04998-26 11.10.2026 Донецк 7193кг (Митин)</t>
  </si>
  <si>
    <t>ООО КСК ТРЕЙД Тс215790-26 09.10.2026 Крым 15605кг (Молодов)</t>
  </si>
  <si>
    <t>ООО ЛП Тс214970-26 11.10.2026 Пушкарный 18006кг (Немченко)</t>
  </si>
  <si>
    <t>ООО НВ Тс217796-26 10.10.2026 Луганск 11999кг (Половинка)</t>
  </si>
  <si>
    <t>ООО НВ Тс217797-26 10.10.2026 Горняк-Луганск 5626кг (Половинка)</t>
  </si>
  <si>
    <t>ООО КСК ТРЕЙД Тс217792-26 09.10.2026 ЮгОпт 15870кг (Пусташев)</t>
  </si>
  <si>
    <t>ЮгОпт</t>
  </si>
  <si>
    <t>ООО НВ Тс212093-26 10.10.2026 Горняк-Горловка 1104кг (Чирков)</t>
  </si>
  <si>
    <t>ООО НВ Тс215319-26 10.10.2026 Горняк-Луганск 7388кг (Чирков)</t>
  </si>
  <si>
    <t>ООО НВ Тс215209-26 10.10.2026 Луганск 9277кг (Чирков)</t>
  </si>
  <si>
    <t>ООО ЛП Тс215009-26 09.10.2026 Пушкарный 18056кг (Шостак)</t>
  </si>
  <si>
    <t>ООО НВ Тс215805-26 12.10.2026 Мариуполь 3446кг (Латий)</t>
  </si>
  <si>
    <t>ООО НВ Тс217795-26 12.10.2026 Донецк 14134кг (Латий)</t>
  </si>
  <si>
    <t>ООО ЛП Тс217516-26 12.10.2026 Кочевой 5939кг (Пыдык)</t>
  </si>
  <si>
    <t>ООО ЛП Тс217537-26 12.10.2026 НПК 5837кг (Пыдык)</t>
  </si>
  <si>
    <t>ООО ЛП Тс217495-26 12.10.2026 Пушкарны(ВВ) 6351кг (Пыдык)</t>
  </si>
  <si>
    <t>ООО КСК ТРЕЙД Тс219108-26 12.10.2026 Крым 15501кг (Ислюков)</t>
  </si>
  <si>
    <t>ООО КСК ТРЕЙД Тс219109-26 12.10.2026 Николаенко 2108кг (Ислюков)</t>
  </si>
  <si>
    <t>ООО НВ Тс219380-26 13.10.2026 Бутырин 3125кг (Рева)</t>
  </si>
  <si>
    <t>ООО НВ Тс219383-26 13.10.2026 Донецк 14563кг (Рева)</t>
  </si>
  <si>
    <t>ООО КСК ТРЕЙД Тс217601-26 11.10.2026 Крым 14152кг (Огуров)</t>
  </si>
  <si>
    <t>ООО КСК ТРЕЙД Тс219505-26 13.10.2026 Крым 17216кг (Мазур)</t>
  </si>
  <si>
    <t>15,10,26</t>
  </si>
  <si>
    <t>TSO001136494</t>
  </si>
  <si>
    <t>TSO001136520</t>
  </si>
  <si>
    <t>ООО КСК ТРЕЙД Тс217690-26 13.10.2026 Крым 15032кг (Жуков)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</si>
</sst>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83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508"/>
  <sheetViews>
    <sheetView tabSelected="1" zoomScale="70" zoomScaleNormal="70" workbookViewId="0">
      <pane ySplit="2" topLeftCell="A7473" activePane="bottomLeft" state="frozen"/>
      <selection pane="bottomLeft" activeCell="Q7498" sqref="Q7498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20" width="12" style="2" bestFit="1" customWidth="1"/>
    <col min="21" max="1018" width="9.140625" style="2"/>
  </cols>
  <sheetData>
    <row r="1" spans="1:18" ht="19.5" customHeight="1" thickBot="1" x14ac:dyDescent="0.3">
      <c r="A1" s="1165" t="s">
        <v>0</v>
      </c>
      <c r="B1" s="1165"/>
      <c r="C1" s="1165"/>
      <c r="D1" s="1165"/>
      <c r="E1" s="1165"/>
      <c r="F1" s="1165"/>
      <c r="G1" s="1165"/>
      <c r="H1" s="1165"/>
      <c r="I1" s="1165"/>
      <c r="J1" s="1165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66">
        <v>1</v>
      </c>
      <c r="B3" s="116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66"/>
      <c r="B4" s="116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67">
        <v>3</v>
      </c>
      <c r="B6" s="116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67"/>
      <c r="B7" s="116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67"/>
      <c r="B8" s="116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67">
        <v>5</v>
      </c>
      <c r="B10" s="116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67"/>
      <c r="B11" s="116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68">
        <v>8</v>
      </c>
      <c r="B14" s="1168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68"/>
      <c r="B15" s="1168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67">
        <v>11</v>
      </c>
      <c r="B18" s="116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67"/>
      <c r="B19" s="116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67"/>
      <c r="B20" s="116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67"/>
      <c r="B21" s="116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67">
        <v>13</v>
      </c>
      <c r="B23" s="116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67"/>
      <c r="B24" s="116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68">
        <v>14</v>
      </c>
      <c r="B25" s="1168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68"/>
      <c r="B26" s="1168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67">
        <v>15</v>
      </c>
      <c r="B27" s="116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67"/>
      <c r="B28" s="116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67"/>
      <c r="B29" s="116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67"/>
      <c r="B30" s="116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68">
        <v>16</v>
      </c>
      <c r="B31" s="1168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68"/>
      <c r="B32" s="1168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68"/>
      <c r="B33" s="1168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68"/>
      <c r="B34" s="1168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67">
        <v>17</v>
      </c>
      <c r="B35" s="116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67"/>
      <c r="B36" s="116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67">
        <v>21</v>
      </c>
      <c r="B40" s="116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67"/>
      <c r="B41" s="116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67">
        <v>23</v>
      </c>
      <c r="B43" s="116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67"/>
      <c r="B44" s="116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67"/>
      <c r="B45" s="116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68">
        <v>24</v>
      </c>
      <c r="B46" s="1168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68"/>
      <c r="B47" s="1168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67">
        <v>25</v>
      </c>
      <c r="B48" s="116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67"/>
      <c r="B49" s="116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67"/>
      <c r="B50" s="116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68">
        <v>26</v>
      </c>
      <c r="B51" s="1168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68"/>
      <c r="B52" s="1168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67">
        <v>29</v>
      </c>
      <c r="B55" s="116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67"/>
      <c r="B56" s="116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68">
        <v>32</v>
      </c>
      <c r="B59" s="1168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68"/>
      <c r="B60" s="1168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68">
        <v>34</v>
      </c>
      <c r="B62" s="1168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68"/>
      <c r="B63" s="1168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68"/>
      <c r="B64" s="1168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68"/>
      <c r="B65" s="1168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68"/>
      <c r="B66" s="1168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67">
        <v>35</v>
      </c>
      <c r="B67" s="116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67"/>
      <c r="B68" s="116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41">
        <v>40</v>
      </c>
      <c r="B73" s="1168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41"/>
      <c r="B74" s="1168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42">
        <v>41</v>
      </c>
      <c r="B75" s="116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42"/>
      <c r="B76" s="116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42"/>
      <c r="B77" s="116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41">
        <v>42</v>
      </c>
      <c r="B78" s="1168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41"/>
      <c r="B79" s="1168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42">
        <v>49</v>
      </c>
      <c r="B86" s="116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42"/>
      <c r="B87" s="116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42"/>
      <c r="B88" s="116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41">
        <v>50</v>
      </c>
      <c r="B89" s="1168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41"/>
      <c r="B90" s="1168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42">
        <v>51</v>
      </c>
      <c r="B91" s="116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42"/>
      <c r="B92" s="116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42">
        <v>53</v>
      </c>
      <c r="B94" s="116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42"/>
      <c r="B95" s="116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41">
        <v>54</v>
      </c>
      <c r="B96" s="1168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41"/>
      <c r="B97" s="1168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41"/>
      <c r="B98" s="1168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41">
        <v>58</v>
      </c>
      <c r="B102" s="1168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41"/>
      <c r="B103" s="1168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41">
        <v>60</v>
      </c>
      <c r="B105" s="1168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41"/>
      <c r="B106" s="1168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41"/>
      <c r="B107" s="1168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42">
        <v>61</v>
      </c>
      <c r="B108" s="116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42"/>
      <c r="B109" s="116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42"/>
      <c r="B110" s="116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41">
        <v>64</v>
      </c>
      <c r="B113" s="1168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41"/>
      <c r="B114" s="1168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41">
        <v>66</v>
      </c>
      <c r="B116" s="1168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41"/>
      <c r="B117" s="1168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42">
        <v>67</v>
      </c>
      <c r="B118" s="116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42"/>
      <c r="B119" s="116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42"/>
      <c r="B120" s="116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41">
        <v>68</v>
      </c>
      <c r="B121" s="1168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41"/>
      <c r="B122" s="1168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42">
        <v>69</v>
      </c>
      <c r="B123" s="116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42"/>
      <c r="B124" s="116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41">
        <v>72</v>
      </c>
      <c r="B127" s="1168" t="s">
        <v>65</v>
      </c>
      <c r="C127" s="119" t="s">
        <v>26</v>
      </c>
      <c r="D127" s="120">
        <v>3.3</v>
      </c>
      <c r="E127" s="121"/>
      <c r="F127" s="122" t="s">
        <v>30</v>
      </c>
      <c r="G127" s="1162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41"/>
      <c r="B128" s="1168"/>
      <c r="C128" s="103" t="s">
        <v>26</v>
      </c>
      <c r="D128" s="88">
        <v>12.9</v>
      </c>
      <c r="E128" s="106"/>
      <c r="F128" s="107" t="s">
        <v>16</v>
      </c>
      <c r="G128" s="1162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41">
        <v>76</v>
      </c>
      <c r="B132" s="1169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41"/>
      <c r="B133" s="1169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41"/>
      <c r="B134" s="1169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41"/>
      <c r="B135" s="1169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41">
        <v>78</v>
      </c>
      <c r="B137" s="116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41"/>
      <c r="B138" s="116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70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70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41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41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41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42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42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41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41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42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42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42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42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42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42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42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42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41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41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41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41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41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41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42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64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42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64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41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41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41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41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41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41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41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41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41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42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42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41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41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42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42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41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41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42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42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42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42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42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41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41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42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42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42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41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41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42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42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41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41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42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42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41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41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41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42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42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41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62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41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62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41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41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42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42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42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42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41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41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41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41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41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41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42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42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41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41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41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41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42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42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41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41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41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41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41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42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42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41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41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42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42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41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53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41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53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42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42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41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62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41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62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41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41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41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41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41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41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41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41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42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42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41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41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42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42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41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41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41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41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42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42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42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42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42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42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42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42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41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41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42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64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42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64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42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42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42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42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42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42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42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42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42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42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42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42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42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42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41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41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42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42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41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41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41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41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42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42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42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42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42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42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41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41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42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42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42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42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47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42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47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41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41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41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41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41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41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41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41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41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41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41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41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42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42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41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41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42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42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42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42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42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42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42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42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41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41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42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42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42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41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41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42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42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42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47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42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47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41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41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41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41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41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41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61" t="s">
        <v>133</v>
      </c>
      <c r="J420" s="1161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42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42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41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41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42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42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41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41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41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41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42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42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42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42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42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41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41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41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42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42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41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41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42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42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41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44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41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44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42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42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41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41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41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41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41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41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45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45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45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41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41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42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42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41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41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41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41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41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41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41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41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42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42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42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42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41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41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41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42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42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42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47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42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47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41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41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42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57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42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57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41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57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41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57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41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57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41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41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41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41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41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41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42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42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42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41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41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41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42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42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42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42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42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41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41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41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42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42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42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42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42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42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41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41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41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42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42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42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42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41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41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41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42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42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42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41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44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41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44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41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41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41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41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41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42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42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42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42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41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41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41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42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42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42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41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41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41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41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41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41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42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42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42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42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42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42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42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42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41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41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41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42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47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42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47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42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42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41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41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41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41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41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41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41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41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41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41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41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41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42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42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42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41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41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41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42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42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42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42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42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41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41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42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42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42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41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41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41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41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42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42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42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42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42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42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41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41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41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42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47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42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47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42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42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59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42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59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42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41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41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41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42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42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42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41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41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42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42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42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42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42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42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41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41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42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42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41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41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41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41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41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41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41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41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41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42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47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42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47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60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60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60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42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42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42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60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60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42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42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42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60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60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41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41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41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42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42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42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41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41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41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41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41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41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41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41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42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42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42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42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42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42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42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41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58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41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58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41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41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41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41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41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42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42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42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42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42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42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42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41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41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41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41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71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71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71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71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71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71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42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47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42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47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41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41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41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42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42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42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4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4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4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4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4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42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42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42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42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42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72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72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42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42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42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41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41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42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42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41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41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41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41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42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42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42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42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42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42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42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41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41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41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41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42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42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41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44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41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44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42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42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42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42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42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42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42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42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42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42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42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42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42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41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41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41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42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42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42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41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41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42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42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42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42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41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41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41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42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42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42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42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42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42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42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42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42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41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41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41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41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41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41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41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41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41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41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42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42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42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41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41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41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41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41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42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42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41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41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41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42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42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42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41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41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41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41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41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41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41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42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42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41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41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41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42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42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42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41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41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42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42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41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41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42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42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41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41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42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42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42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42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41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44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41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44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42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42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42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42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42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41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41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42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42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42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42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42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42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42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42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41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41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41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41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41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41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73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73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41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41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42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42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41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41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41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41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41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42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42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42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42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42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41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41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41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42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42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42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41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41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41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42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47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42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47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41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41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41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42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42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41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41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41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42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42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42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42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42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41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41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45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45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41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41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42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42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41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41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41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41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41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41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41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42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42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41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41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42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42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41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41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41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42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42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41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41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42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47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42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47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41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41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41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42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42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41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41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42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42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42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41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41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42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42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42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42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42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42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42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42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41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41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41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41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41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42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42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41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41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42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42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42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41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41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41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42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42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41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44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41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44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42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42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42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42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42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42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42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42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41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41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42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42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42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42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41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41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42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42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42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41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41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42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42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42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42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41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44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41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44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42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42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41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41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41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41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42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42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41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41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42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42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41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41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42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42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42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42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41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41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41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41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41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41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41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41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42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42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42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42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41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44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41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44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41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41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42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42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41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41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41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41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42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42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41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41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42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42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42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42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42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42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42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41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41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41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41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41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41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41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44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41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44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41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41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42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42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41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41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42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42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42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42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41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41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41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41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42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42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42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42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42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42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42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42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42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42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42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42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42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41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41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42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42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41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41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42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42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41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44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41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44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42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42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42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42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41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41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41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41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42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42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42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42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41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41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41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41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41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41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41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41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41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41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42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42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41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41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41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41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42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47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42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47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42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42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41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41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41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42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42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41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41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42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42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42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42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42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42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42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42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42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42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42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42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42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41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41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42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42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42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74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42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74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41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41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41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42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42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42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41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41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41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41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42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42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42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42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41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41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42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42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41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41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41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41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41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41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42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42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42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47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42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47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42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42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41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41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42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42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41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41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42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42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42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42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41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41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42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47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42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47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42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47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42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47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41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41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42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42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42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42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42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42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42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47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42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47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42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42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42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42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41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41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42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42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42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42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42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41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41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41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41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41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41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41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41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42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42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41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41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41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42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47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42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47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42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42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42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42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41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41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42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42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42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42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42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42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42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42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42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41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41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42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42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41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44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41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44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42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42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41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41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41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42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42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42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42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42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42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42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42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41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41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42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42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41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41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41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42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47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42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47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42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42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42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41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41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41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41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41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42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42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41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41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41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41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41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42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42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41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41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41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42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42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41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41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42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42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41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41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41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41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41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41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42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42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42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42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42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42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42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42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41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41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42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42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41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41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41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44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41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44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41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41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41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42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42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42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42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42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42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42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42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42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42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42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41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41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41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41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42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42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42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42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42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41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41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42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47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42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47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41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41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41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41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41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41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41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41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42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42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42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41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44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41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44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41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41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41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41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41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42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42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42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42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42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42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42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41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41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41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41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41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42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42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41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41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41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42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47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42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47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42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42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41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41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41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41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41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41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41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42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42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41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41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41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41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42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42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41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41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42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42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41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41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42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47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42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47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42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47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41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41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42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42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42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41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41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42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42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42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42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41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44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41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44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42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42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42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42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42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42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42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42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41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41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41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41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41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41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41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41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41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41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42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42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42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42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42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42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41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41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42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42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42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42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47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42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47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41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41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41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42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42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42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42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42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42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42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42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42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42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42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42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42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42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41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41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42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47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42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47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41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41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42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42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41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41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41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42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42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42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42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42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42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42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42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42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42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42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42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41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41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42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47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42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47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42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42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41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41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41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41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42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42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42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42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41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41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41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42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42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42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42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42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42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41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44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41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44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42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42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42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42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41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41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41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41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42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42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41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41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41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41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41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41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41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42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42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42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41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41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41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41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41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41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41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41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41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42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42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41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41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41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41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42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42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41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41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41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45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45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45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41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41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41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41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42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47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42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47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42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42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41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41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42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42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41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41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41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42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47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42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47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42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42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42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42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42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41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41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42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42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41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41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41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42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42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42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42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41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44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41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44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42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42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41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41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41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41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41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41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42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42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41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41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41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42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42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41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41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41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41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42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42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42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41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41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42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42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41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41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42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42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41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41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41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41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41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41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41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41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42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42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42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42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41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41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42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42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41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41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41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41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42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42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41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41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41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41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41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41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41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42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42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5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55" t="s">
        <v>467</v>
      </c>
      <c r="H2160" s="414" t="s">
        <v>515</v>
      </c>
      <c r="I2160" s="415" t="s">
        <v>516</v>
      </c>
      <c r="J2160" s="1156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5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55"/>
      <c r="H2161" s="421" t="s">
        <v>515</v>
      </c>
      <c r="I2161" s="422" t="s">
        <v>516</v>
      </c>
      <c r="J2161" s="1156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5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55"/>
      <c r="H2162" s="429" t="s">
        <v>515</v>
      </c>
      <c r="I2162" s="430" t="s">
        <v>516</v>
      </c>
      <c r="J2162" s="1156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5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55" t="s">
        <v>467</v>
      </c>
      <c r="H2165" s="414" t="s">
        <v>516</v>
      </c>
      <c r="I2165" s="415" t="s">
        <v>516</v>
      </c>
      <c r="J2165" s="1156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5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55"/>
      <c r="H2166" s="429" t="s">
        <v>516</v>
      </c>
      <c r="I2166" s="430" t="s">
        <v>516</v>
      </c>
      <c r="J2166" s="1156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42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42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42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41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41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42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42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41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41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41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41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42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47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42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47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42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42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42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41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44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41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44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42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52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42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52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41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53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41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53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42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42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42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42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41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41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42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42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41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41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41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41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41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42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42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42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41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41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41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42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42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41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41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41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41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41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41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42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42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42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42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41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41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42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42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42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41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41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41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41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41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41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42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42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42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42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42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42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42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41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41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41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41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41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41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41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42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42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42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42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42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41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41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41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41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41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45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45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41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41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41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42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42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41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41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41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41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41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41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41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42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42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42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42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42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42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42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42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43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4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4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42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42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42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42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42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41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41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42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42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42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41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41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41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41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41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42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42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42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42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42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4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4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4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42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42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4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4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42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42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42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41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41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41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41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42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42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42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42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42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41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41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41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41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41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41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42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42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41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41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45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45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41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41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41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41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41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41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41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42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42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42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42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42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41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41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42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42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41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41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45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45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41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41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41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41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41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41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41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42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42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42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41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41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42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42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42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42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42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45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45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45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41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41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41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42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42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41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41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41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41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41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41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44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41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44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41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44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45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45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45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45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42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42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41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41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45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45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41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44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41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44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41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41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42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42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41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41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42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42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42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42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42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42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5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5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5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51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41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41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42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47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42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47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42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42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4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4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41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41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41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42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42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41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41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45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45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41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41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41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41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45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46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45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46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41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41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41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44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41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44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42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42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42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42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4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4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41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41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42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42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41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41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41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42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42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42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42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42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42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42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41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41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41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44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41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44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41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41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41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41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45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45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45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41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41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42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42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42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42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42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41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41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4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4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4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4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4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4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42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42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4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4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41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41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41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41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42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42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41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41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41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41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41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41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42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42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45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45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45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45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45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45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41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41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42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42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42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42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4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4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41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41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41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42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42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41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41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41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41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42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42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42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42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41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44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41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44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41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44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45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45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45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45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41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41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42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42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41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41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42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42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42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42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42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41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41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41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42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42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41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41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45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45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45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45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45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41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41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42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42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42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42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41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41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45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45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41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41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41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41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4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4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42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42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42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42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42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4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48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4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48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42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42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42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47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42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47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41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41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42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42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42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45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45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42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42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41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41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41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42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42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42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41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41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41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41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43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4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4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4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4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42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42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41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44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41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44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42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42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42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42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41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41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45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45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41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41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41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42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42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42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42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45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45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45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42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47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42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47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4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4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4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4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42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42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42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47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42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47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42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42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41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41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41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45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45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41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41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41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41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45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45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41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41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43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4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4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4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4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42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42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42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42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41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41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41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45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47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45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47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42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42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41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41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42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42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42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45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45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45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4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4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4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4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4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4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42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42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41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41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41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41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41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42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42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42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4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44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4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44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4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44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42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42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41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41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42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42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42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41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41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42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42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4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4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42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42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41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41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42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42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41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44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41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44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41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44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41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44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45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45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45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45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45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41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41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41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44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41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44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41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44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42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42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4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4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4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42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42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41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41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42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42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41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41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41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42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42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42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42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42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41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4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41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44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45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45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41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41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42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42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41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41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42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42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4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4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4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4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4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4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4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4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42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42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42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42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41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41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41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41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41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42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42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42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4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4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42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42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41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41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42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42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42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42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41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41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41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41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42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42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42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42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41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41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41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41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4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4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4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42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42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41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41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42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47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42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47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42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47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42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47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41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41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42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42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41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41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41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42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42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42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41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41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42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42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41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41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41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41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4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4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4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41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41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41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41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41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42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42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42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42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42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41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41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45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45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41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41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42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42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41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41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45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46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45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46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45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46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45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46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45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46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45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46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41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41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41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41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42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42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41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41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45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45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45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45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41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41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41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42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42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42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41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41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42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42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41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41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45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45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45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42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42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41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41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4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4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4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4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4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4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4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4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42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42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41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41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41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41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45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45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45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41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41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41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41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41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42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42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41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41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42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42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42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42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45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45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41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41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42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42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4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4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4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4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4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4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4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4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4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42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42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45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45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45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42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42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42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4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4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42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42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4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4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42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42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4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4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45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45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45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41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41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42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42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41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41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45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45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45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45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45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45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45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45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41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41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42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42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41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41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45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47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45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47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41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41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41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42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42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41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41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41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41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42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47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42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47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45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45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45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45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45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45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42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42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41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41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41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41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42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47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42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47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4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4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4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4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41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41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41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41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41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41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41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41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45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45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42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42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42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42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42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42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42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42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42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41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41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45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46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45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46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45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46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41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41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41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41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42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42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41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41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41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42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42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42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42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43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4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4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4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4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42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42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41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44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41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44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42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42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45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45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42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42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41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41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41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41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41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42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42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42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43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4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4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4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4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4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4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42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42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41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44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41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44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42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42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41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41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41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41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4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4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41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41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41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41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41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42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42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41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44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41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44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85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117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8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118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85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117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8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118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8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118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8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118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82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37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85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36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85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117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36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35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85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8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8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8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82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8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8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8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37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85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36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82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37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85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8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8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8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8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8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82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98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37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38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85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36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82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98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37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38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85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8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8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36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85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8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82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8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8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37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82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8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8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85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8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8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8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8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8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82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37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85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117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36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35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85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117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36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35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85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36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82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37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85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8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85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36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82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37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85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8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36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82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8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37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82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8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8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8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8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8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85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36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82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98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37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38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85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36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82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37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85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8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8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36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85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117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36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35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82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8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37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85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36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82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98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37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38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85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8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8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8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8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8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82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37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82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37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82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98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37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38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85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8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36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82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8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37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85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8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36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82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8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8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8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82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37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85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8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36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85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8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8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8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82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8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82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8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8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8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8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8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85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36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85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117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8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118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36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35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8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8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36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82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8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37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8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8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8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8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117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36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35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82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8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8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37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85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36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85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36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82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37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82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8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8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8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8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85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36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85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8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36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82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37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85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36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82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37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85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117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36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35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82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8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85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8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36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82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37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85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36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82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37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85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36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85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8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83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8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8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8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8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8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85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36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85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36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82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8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8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37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85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8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8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8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8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36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85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36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82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8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8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37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82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8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8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8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8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8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85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36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85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117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36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35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82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8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37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85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8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8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36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82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8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37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85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117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8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118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36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35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82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98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37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38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85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36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82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37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85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8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8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8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8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8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82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37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85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36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82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8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37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85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8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8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36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82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37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85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117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36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35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85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36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82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8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37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82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37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85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8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82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8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82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8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8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8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8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85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36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85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8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82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98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37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38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85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8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8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8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8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8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36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82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8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8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8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85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8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36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85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36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82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37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85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8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36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85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36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126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3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4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85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8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8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8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8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36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82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37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85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8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36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82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37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85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36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85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36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82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8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84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85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8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87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82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84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85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117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87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124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85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8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82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98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84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99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85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8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8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8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8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82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84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85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87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85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8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87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82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84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85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8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8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82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98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8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125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84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99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82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84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82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8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84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85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8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87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82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8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8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8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8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85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87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82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8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84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85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8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8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87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82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84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85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8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8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87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85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87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82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8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8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85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87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82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8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8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8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8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85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87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82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8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84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85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87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82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84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85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87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85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8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87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85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87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82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84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82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8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84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85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8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8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8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87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85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8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82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84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82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84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82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84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85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8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87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82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8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8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84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85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8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87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85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117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87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124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82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8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84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82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8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84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85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8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8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87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85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87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82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98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8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125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8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125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84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99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85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8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87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85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87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82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8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84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85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87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82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8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8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82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98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84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99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85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87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82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8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84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82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84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85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87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82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8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85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87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82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8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8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8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8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85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8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87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85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117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8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118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8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118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87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124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82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84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85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87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85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87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82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8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84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85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87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82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98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84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99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82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8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82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8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8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8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8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84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85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8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82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8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84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85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87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85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8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87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82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8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84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85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8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87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82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8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84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82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84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85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87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82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8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84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8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8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8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87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82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98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8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99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8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8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87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82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84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85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8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8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8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82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84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85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87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82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8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8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84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85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87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82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84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82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84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8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87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82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8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85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8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8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87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85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87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85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8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8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87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82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84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82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84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85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8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87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82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8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84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82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8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84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82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8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84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85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87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85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8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8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87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82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98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8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125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85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87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82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84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85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87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82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84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85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87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85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8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87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82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84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85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87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82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8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84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85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8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87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82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84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85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87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85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8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82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8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84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85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8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87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85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87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85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87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82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84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85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87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82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84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85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8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87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82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8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84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82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8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84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85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87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82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8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84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85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117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8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118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87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124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82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8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84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82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84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82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84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85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8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87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85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87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82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8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85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8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8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87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85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87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85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117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87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124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82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84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82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8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82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84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85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8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8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87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82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8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85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87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85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87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85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8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87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82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8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84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85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87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82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8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84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85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87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82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84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85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87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82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8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84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86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8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82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8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85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87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82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8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8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84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85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87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82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84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85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87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85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117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87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124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85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8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87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82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8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84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85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8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87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82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8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82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84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85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8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82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84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85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87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82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98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8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125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8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125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84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99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82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8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84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82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98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84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99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85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8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85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8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87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82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8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84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85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117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87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124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85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87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82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8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82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8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8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84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85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117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8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118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82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84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82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84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85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87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82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84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85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117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87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124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85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8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87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82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8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84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82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98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84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99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85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87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85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8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85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87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82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8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8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8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85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87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82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84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85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87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82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98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8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125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84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99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85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87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85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117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87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124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82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84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85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8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8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87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82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98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84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99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85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87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82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84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85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87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82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8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85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117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87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124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82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8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8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85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87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85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117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87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124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82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8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8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84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85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87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82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8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84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85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8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8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87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82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84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85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87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82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84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85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117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87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124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82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8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82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8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84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85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117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8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118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82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84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82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8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84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85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8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87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85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87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85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87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82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8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8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84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85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117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87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124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85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87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82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98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84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99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85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8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8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82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84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85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87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82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84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85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11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87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124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82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84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85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87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82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98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84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99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85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87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82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8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84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85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87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82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8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84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82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98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84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99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85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8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82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8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8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85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87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85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8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87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82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8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84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82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98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84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99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82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98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84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99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85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8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85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8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87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82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8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84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85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87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82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84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82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98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84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99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82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8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8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85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87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82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98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84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99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85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87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82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8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84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85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117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8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118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8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118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82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98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84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99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86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8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8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8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86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8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85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8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82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84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85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117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8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34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8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8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8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82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84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85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8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87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82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84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85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87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85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87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82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98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8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125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84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99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85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8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82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98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84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99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82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8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8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84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82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8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84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85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8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87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85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117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8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118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8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118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8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118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82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84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85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117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87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124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85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87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82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8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84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85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117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87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124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82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8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85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8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8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87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82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84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85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117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87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124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82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8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84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82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8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85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86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86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82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84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82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8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8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84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82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84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82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8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85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86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86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87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82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8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84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85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87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82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84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85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87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85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117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86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118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82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8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8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84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85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117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87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124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85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87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85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117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87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124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85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86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87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82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84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85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87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82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98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84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99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82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8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84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85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86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86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87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82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8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84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85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86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85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117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87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124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82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8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85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86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86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82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84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85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86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87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82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84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85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87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82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84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85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87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85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87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82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8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84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85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87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82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84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82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98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83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125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85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86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86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82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84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85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86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86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87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82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83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84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82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83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85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87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82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83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84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85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86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86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87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82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84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85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87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85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86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85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117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86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118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86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118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86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118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86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118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82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84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82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83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83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84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82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83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83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84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85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87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82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83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84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85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86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87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85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86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87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82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84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82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98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84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99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82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98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83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125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83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125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83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125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85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87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82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84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85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87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85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87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82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84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82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83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83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84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86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86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82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84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86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118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86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118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82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83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85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117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87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124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82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83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85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117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86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118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82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84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85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87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82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84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85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87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82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84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85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117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87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124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85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87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82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84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85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87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82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84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85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86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87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82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84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82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84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82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83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83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85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87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85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87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82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83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84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82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83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84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85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86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87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82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83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84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85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86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82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98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84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99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85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86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87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85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87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82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84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85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87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85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117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87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124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85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87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82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84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85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87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82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98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84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99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82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83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83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83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84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85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86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87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85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86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82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98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84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99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82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98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83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125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83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125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83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125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84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99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85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86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87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82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83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83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83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84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85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117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87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124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82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84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85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86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87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85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87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85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87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82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83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84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85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87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82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84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85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86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85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86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86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87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82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84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85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86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87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82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84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85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87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82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98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84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99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82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83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85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87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85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87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85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86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86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87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85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87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82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84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85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87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82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98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84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99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85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87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79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80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29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30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31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82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84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29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130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77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31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78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29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31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82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83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126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83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127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32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89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33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75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76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126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127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82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84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82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83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83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83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83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82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84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82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105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84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10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85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87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85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87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85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86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87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82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84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82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84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82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83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84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85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86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87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82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83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83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85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87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82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83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84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82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83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83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84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82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83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84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85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87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82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98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84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99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82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83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126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127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89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89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90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94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96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85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87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85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86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94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96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88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90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94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95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95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96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88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89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90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94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96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88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90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94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95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96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88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90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94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95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96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85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86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86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86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82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83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83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84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88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90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88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91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89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92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90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93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82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125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84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125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88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117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90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118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94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96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85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87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82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84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85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86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126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28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88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90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88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90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88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89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90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82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83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84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85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86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87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82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83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84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82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84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88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89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90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94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95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95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96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88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89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89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82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83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82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84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88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89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89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90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94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95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95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88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90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94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95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95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88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117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90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124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82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98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83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99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85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87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82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83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83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94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95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95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95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85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86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85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86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86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87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82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83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83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84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82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83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83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83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84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85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86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86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86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86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86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87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94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95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95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96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85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86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87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94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95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96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94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95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95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95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85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86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87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95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95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95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95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96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88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90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94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96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88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89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89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90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88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91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89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92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90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93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82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84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85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87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94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95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96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88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89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90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94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125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96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125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85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117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87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124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85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87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94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96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85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87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82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84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85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86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87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94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95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96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88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89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90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82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83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83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83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85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86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86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87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81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82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82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83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83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83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84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85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86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87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85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87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94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96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85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86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86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87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94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98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95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125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95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125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96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99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85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87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85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87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94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96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88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91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89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92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89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97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89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97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90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93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94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125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95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125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96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99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85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87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85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86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87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94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96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85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86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86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86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87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94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96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85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86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86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86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87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82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83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83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83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85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86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86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87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94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96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85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87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82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83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84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85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86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86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87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94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95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96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88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117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89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118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89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118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89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118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90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124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94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96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85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87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85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86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87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94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98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96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99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94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95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96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85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87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82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83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84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82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83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84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85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87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94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96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85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87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85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86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86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86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87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94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95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96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85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86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86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87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94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96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85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87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82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83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83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84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94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105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95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106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95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106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96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107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85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117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87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124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82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83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83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84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82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84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85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87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94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96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85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103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87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104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82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84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85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87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82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84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94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96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85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87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82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83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83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83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83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84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94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96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88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89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89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90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94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96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85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86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87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82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98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83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125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83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125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84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99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82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83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83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83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82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98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84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99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85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117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87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118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82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83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83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84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85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111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86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111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87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112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82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84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85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87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82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83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83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84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85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103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86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19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87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19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94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095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96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94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96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88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90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82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84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88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90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82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83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83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82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15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83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16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83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16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84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16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88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89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90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82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83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83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88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89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90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94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95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96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88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91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89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92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89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92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90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93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85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86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87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94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96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88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89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89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113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20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114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21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85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22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87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23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85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86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88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090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94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96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094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96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88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090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094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096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088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090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85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87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082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83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084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085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87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82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83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83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83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84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88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090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82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083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083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084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085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086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086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087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082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83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083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084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088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090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85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086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087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082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083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083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083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084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085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086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086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087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094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096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088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090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082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084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094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096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094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105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096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107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085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087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082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084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094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095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096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088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089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090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082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084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088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089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090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094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095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095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095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096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088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089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090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082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74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083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083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083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083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083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084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088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089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090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ht="19.5" hidden="1" thickBot="1" x14ac:dyDescent="0.3">
      <c r="A7321" s="1108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2842</v>
      </c>
      <c r="H7321" s="1004" t="s">
        <v>2739</v>
      </c>
      <c r="I7321" s="1005" t="s">
        <v>2766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2752</v>
      </c>
      <c r="P7321" s="867" t="s">
        <v>2877</v>
      </c>
    </row>
    <row r="7322" spans="1:16" ht="19.5" hidden="1" thickBot="1" x14ac:dyDescent="0.3">
      <c r="A7322" s="1109"/>
      <c r="B7322" s="1008" t="s">
        <v>2692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2739</v>
      </c>
      <c r="I7322" s="1014" t="s">
        <v>2766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2751</v>
      </c>
      <c r="P7322" s="867" t="s">
        <v>2876</v>
      </c>
    </row>
    <row r="7323" spans="1:16" ht="38.25" hidden="1" thickBot="1" x14ac:dyDescent="0.3">
      <c r="A7323" s="1109"/>
      <c r="B7323" s="1017" t="s">
        <v>2764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2843</v>
      </c>
      <c r="H7323" s="1020" t="s">
        <v>2739</v>
      </c>
      <c r="I7323" s="1020" t="s">
        <v>2766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2847</v>
      </c>
      <c r="P7323" s="867" t="s">
        <v>2878</v>
      </c>
    </row>
    <row r="7324" spans="1:16" ht="19.5" hidden="1" thickBot="1" x14ac:dyDescent="0.3">
      <c r="A7324" s="1110"/>
      <c r="B7324" s="1023" t="s">
        <v>2764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2739</v>
      </c>
      <c r="I7324" s="1026" t="s">
        <v>2766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2813</v>
      </c>
      <c r="P7324" s="867" t="s">
        <v>2879</v>
      </c>
    </row>
    <row r="7325" spans="1:16" ht="19.5" hidden="1" thickBot="1" x14ac:dyDescent="0.3">
      <c r="A7325" s="1085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ht="19.5" hidden="1" thickBot="1" x14ac:dyDescent="0.3">
      <c r="A7326" s="1086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hidden="1" thickBot="1" x14ac:dyDescent="0.3">
      <c r="A7327" s="1087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ht="19.5" hidden="1" thickBot="1" x14ac:dyDescent="0.3">
      <c r="A7328" s="1094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hidden="1" thickBot="1" x14ac:dyDescent="0.3">
      <c r="A7329" s="1096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ht="19.5" hidden="1" thickBot="1" x14ac:dyDescent="0.3">
      <c r="A7330" s="1088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hidden="1" thickBot="1" x14ac:dyDescent="0.3">
      <c r="A7331" s="1090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hidden="1" customHeight="1" x14ac:dyDescent="0.25">
      <c r="A7332" s="1094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100" t="s">
        <v>2765</v>
      </c>
      <c r="H7332" s="535" t="s">
        <v>2764</v>
      </c>
      <c r="I7332" s="537" t="s">
        <v>2844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hidden="1" customHeight="1" x14ac:dyDescent="0.25">
      <c r="A7333" s="1095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101"/>
      <c r="H7333" s="819" t="s">
        <v>2764</v>
      </c>
      <c r="I7333" s="782" t="s">
        <v>2844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hidden="1" customHeight="1" thickBot="1" x14ac:dyDescent="0.3">
      <c r="A7334" s="1096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102"/>
      <c r="H7334" s="801" t="s">
        <v>2764</v>
      </c>
      <c r="I7334" s="801" t="s">
        <v>2844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ht="19.5" hidden="1" thickBot="1" x14ac:dyDescent="0.3">
      <c r="A7335" s="1088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91" t="s">
        <v>1633</v>
      </c>
      <c r="H7335" s="483" t="s">
        <v>2764</v>
      </c>
      <c r="I7335" s="484" t="s">
        <v>2854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hidden="1" thickBot="1" x14ac:dyDescent="0.3">
      <c r="A7336" s="1090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93"/>
      <c r="H7336" s="808" t="s">
        <v>2764</v>
      </c>
      <c r="I7336" s="808" t="s">
        <v>2854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hidden="1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ht="19.5" hidden="1" thickBot="1" x14ac:dyDescent="0.3">
      <c r="A7338" s="1085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ht="19.5" hidden="1" thickBot="1" x14ac:dyDescent="0.3">
      <c r="A7339" s="1086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hidden="1" thickBot="1" x14ac:dyDescent="0.3">
      <c r="A7340" s="1087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ht="19.5" hidden="1" thickBot="1" x14ac:dyDescent="0.3">
      <c r="A7341" s="1082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hidden="1" thickBot="1" x14ac:dyDescent="0.3">
      <c r="A7342" s="1084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ht="19.5" hidden="1" thickBot="1" x14ac:dyDescent="0.3">
      <c r="A7344" s="1094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8" ht="19.5" hidden="1" thickBot="1" x14ac:dyDescent="0.3">
      <c r="A7345" s="1096"/>
      <c r="B7345" s="1040" t="s">
        <v>2844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2766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2886</v>
      </c>
      <c r="P7345" s="921" t="s">
        <v>1024</v>
      </c>
    </row>
    <row r="7346" spans="1:18" ht="19.5" hidden="1" thickBot="1" x14ac:dyDescent="0.3">
      <c r="A7346" s="1088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91" t="s">
        <v>1633</v>
      </c>
      <c r="H7346" s="483" t="s">
        <v>2766</v>
      </c>
      <c r="I7346" s="484" t="s">
        <v>2854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8" ht="19.5" hidden="1" thickBot="1" x14ac:dyDescent="0.3">
      <c r="A7347" s="1090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093"/>
      <c r="H7347" s="808" t="s">
        <v>2766</v>
      </c>
      <c r="I7347" s="808" t="s">
        <v>2905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8" ht="38.25" hidden="1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8" ht="19.5" hidden="1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8" ht="19.5" hidden="1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2818</v>
      </c>
      <c r="I7350" s="510" t="s">
        <v>2970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 t="s">
        <v>3010</v>
      </c>
      <c r="Q7350" s="847">
        <v>8493</v>
      </c>
      <c r="R7350" s="833" t="s">
        <v>3009</v>
      </c>
    </row>
    <row r="7351" spans="1:18" ht="19.5" hidden="1" thickBot="1" x14ac:dyDescent="0.3">
      <c r="A7351" s="1085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8" ht="19.5" hidden="1" thickBot="1" x14ac:dyDescent="0.3">
      <c r="A7352" s="1086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8" ht="19.5" hidden="1" thickBot="1" x14ac:dyDescent="0.3">
      <c r="A7353" s="1086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8" ht="19.5" hidden="1" thickBot="1" x14ac:dyDescent="0.3">
      <c r="A7354" s="1087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8" ht="19.5" hidden="1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8" ht="19.5" hidden="1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8" ht="19.5" hidden="1" thickBot="1" x14ac:dyDescent="0.3">
      <c r="A7357" s="1094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8" ht="19.5" hidden="1" thickBot="1" x14ac:dyDescent="0.3">
      <c r="A7358" s="1095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8" ht="19.5" hidden="1" thickBot="1" x14ac:dyDescent="0.3">
      <c r="A7359" s="1096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8" ht="19.5" hidden="1" thickBot="1" x14ac:dyDescent="0.3">
      <c r="A7360" s="1088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6" ht="19.5" hidden="1" thickBot="1" x14ac:dyDescent="0.3">
      <c r="A7361" s="1089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6" ht="19.5" hidden="1" thickBot="1" x14ac:dyDescent="0.3">
      <c r="A7362" s="1090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6" ht="19.5" hidden="1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6" ht="19.5" hidden="1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>
        <v>11.731</v>
      </c>
      <c r="F7364" s="518" t="s">
        <v>30</v>
      </c>
      <c r="G7364" s="519"/>
      <c r="H7364" s="518" t="s">
        <v>2849</v>
      </c>
      <c r="I7364" s="520" t="s">
        <v>2988</v>
      </c>
      <c r="J7364" s="521"/>
      <c r="K7364" s="518" t="str">
        <f t="shared" si="224"/>
        <v>10,26</v>
      </c>
      <c r="L7364" s="518" t="s">
        <v>28</v>
      </c>
      <c r="M7364" s="518">
        <v>11730.6</v>
      </c>
      <c r="N7364" s="522">
        <v>0.45833333333333331</v>
      </c>
      <c r="O7364" s="897" t="s">
        <v>2850</v>
      </c>
      <c r="P7364" s="867" t="s">
        <v>3071</v>
      </c>
    </row>
    <row r="7365" spans="1:16" ht="19.5" hidden="1" thickBot="1" x14ac:dyDescent="0.3">
      <c r="A7365" s="1094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7" t="str">
        <f t="shared" si="224"/>
        <v>09,26</v>
      </c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6" ht="19.5" hidden="1" thickBot="1" x14ac:dyDescent="0.3">
      <c r="A7366" s="1096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01" t="str">
        <f t="shared" si="224"/>
        <v>09,26</v>
      </c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6" ht="19.5" hidden="1" thickBot="1" x14ac:dyDescent="0.3">
      <c r="A7367" s="1088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2854</v>
      </c>
      <c r="I7367" s="484" t="s">
        <v>2854</v>
      </c>
      <c r="J7367" s="485"/>
      <c r="K7367" s="483" t="str">
        <f t="shared" si="224"/>
        <v>09,26</v>
      </c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6" ht="19.5" hidden="1" thickBot="1" x14ac:dyDescent="0.3">
      <c r="A7368" s="1089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860" t="str">
        <f t="shared" si="224"/>
        <v>09,26</v>
      </c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6" ht="19.5" hidden="1" thickBot="1" x14ac:dyDescent="0.3">
      <c r="A7369" s="1090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44" t="str">
        <f t="shared" si="224"/>
        <v>09,26</v>
      </c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6" ht="57" hidden="1" thickBot="1" x14ac:dyDescent="0.3">
      <c r="A7370" s="1094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2854</v>
      </c>
      <c r="I7370" s="537" t="s">
        <v>2909</v>
      </c>
      <c r="J7370" s="538"/>
      <c r="K7370" s="535" t="str">
        <f t="shared" si="224"/>
        <v>09,26</v>
      </c>
      <c r="L7370" s="535" t="s">
        <v>28</v>
      </c>
      <c r="M7370" s="535">
        <v>917.64</v>
      </c>
      <c r="N7370" s="539">
        <v>0.41666666666666669</v>
      </c>
      <c r="O7370" s="897" t="s">
        <v>2859</v>
      </c>
      <c r="P7370" s="867" t="s">
        <v>2981</v>
      </c>
    </row>
    <row r="7371" spans="1:16" ht="19.5" hidden="1" thickBot="1" x14ac:dyDescent="0.3">
      <c r="A7371" s="1095"/>
      <c r="B7371" s="824" t="s">
        <v>2818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2854</v>
      </c>
      <c r="I7371" s="782" t="s">
        <v>2909</v>
      </c>
      <c r="J7371" s="825"/>
      <c r="K7371" s="819" t="str">
        <f t="shared" si="224"/>
        <v>09,26</v>
      </c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 t="s">
        <v>2982</v>
      </c>
    </row>
    <row r="7372" spans="1:16" ht="19.5" hidden="1" thickBot="1" x14ac:dyDescent="0.3">
      <c r="A7372" s="1095"/>
      <c r="B7372" s="824" t="s">
        <v>2818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2854</v>
      </c>
      <c r="I7372" s="782" t="s">
        <v>2909</v>
      </c>
      <c r="J7372" s="825"/>
      <c r="K7372" s="819" t="str">
        <f t="shared" si="224"/>
        <v>09,26</v>
      </c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 t="s">
        <v>2984</v>
      </c>
    </row>
    <row r="7373" spans="1:16" ht="19.5" hidden="1" thickBot="1" x14ac:dyDescent="0.3">
      <c r="A7373" s="1095"/>
      <c r="B7373" s="813" t="s">
        <v>2909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2854</v>
      </c>
      <c r="I7373" s="816" t="s">
        <v>2909</v>
      </c>
      <c r="J7373" s="818"/>
      <c r="K7373" s="816" t="str">
        <f t="shared" si="224"/>
        <v>09,26</v>
      </c>
      <c r="L7373" s="816" t="s">
        <v>28</v>
      </c>
      <c r="M7373" s="816">
        <v>600</v>
      </c>
      <c r="N7373" s="811">
        <v>0.41666666666666669</v>
      </c>
      <c r="O7373" s="897" t="s">
        <v>2969</v>
      </c>
      <c r="P7373" s="867" t="s">
        <v>2985</v>
      </c>
    </row>
    <row r="7374" spans="1:16" ht="19.5" hidden="1" thickBot="1" x14ac:dyDescent="0.3">
      <c r="A7374" s="1096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788" t="str">
        <f t="shared" si="224"/>
        <v>09,26</v>
      </c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6" ht="19.5" hidden="1" thickBot="1" x14ac:dyDescent="0.3">
      <c r="A7375" s="1085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111" t="s">
        <v>2904</v>
      </c>
      <c r="H7375" s="527" t="s">
        <v>2854</v>
      </c>
      <c r="I7375" s="528" t="s">
        <v>2970</v>
      </c>
      <c r="J7375" s="529"/>
      <c r="K7375" s="527" t="str">
        <f t="shared" ref="K7375:K7430" si="227">RIGHT(I7375,5)</f>
        <v>10,26</v>
      </c>
      <c r="L7375" s="527" t="s">
        <v>266</v>
      </c>
      <c r="M7375" s="527">
        <v>920.1</v>
      </c>
      <c r="N7375" s="530">
        <v>0.45833333333333331</v>
      </c>
      <c r="O7375" s="897" t="s">
        <v>2863</v>
      </c>
      <c r="P7375" s="867" t="s">
        <v>3024</v>
      </c>
    </row>
    <row r="7376" spans="1:16" ht="19.5" hidden="1" thickBot="1" x14ac:dyDescent="0.3">
      <c r="A7376" s="1086"/>
      <c r="B7376" s="523" t="s">
        <v>2818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111"/>
      <c r="H7376" s="527" t="s">
        <v>2854</v>
      </c>
      <c r="I7376" s="528" t="s">
        <v>2970</v>
      </c>
      <c r="J7376" s="529"/>
      <c r="K7376" s="527" t="str">
        <f t="shared" si="227"/>
        <v>10,26</v>
      </c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  <c r="P7376" s="867" t="s">
        <v>3025</v>
      </c>
    </row>
    <row r="7377" spans="1:16" ht="19.5" hidden="1" thickBot="1" x14ac:dyDescent="0.3">
      <c r="A7377" s="1086"/>
      <c r="B7377" s="523" t="s">
        <v>2818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111"/>
      <c r="H7377" s="527" t="s">
        <v>2854</v>
      </c>
      <c r="I7377" s="528" t="s">
        <v>2970</v>
      </c>
      <c r="J7377" s="529"/>
      <c r="K7377" s="527" t="str">
        <f t="shared" si="227"/>
        <v>10,26</v>
      </c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 t="s">
        <v>3026</v>
      </c>
    </row>
    <row r="7378" spans="1:16" ht="19.5" hidden="1" thickBot="1" x14ac:dyDescent="0.3">
      <c r="A7378" s="1086"/>
      <c r="B7378" s="944" t="s">
        <v>2854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111"/>
      <c r="H7378" s="947" t="s">
        <v>2854</v>
      </c>
      <c r="I7378" s="947" t="s">
        <v>2970</v>
      </c>
      <c r="J7378" s="949"/>
      <c r="K7378" s="947" t="str">
        <f t="shared" si="227"/>
        <v>10,26</v>
      </c>
      <c r="L7378" s="947" t="s">
        <v>28</v>
      </c>
      <c r="M7378" s="947">
        <v>810</v>
      </c>
      <c r="N7378" s="530">
        <v>0.45833333333333331</v>
      </c>
      <c r="O7378" s="897" t="s">
        <v>2926</v>
      </c>
      <c r="P7378" s="867" t="s">
        <v>3027</v>
      </c>
    </row>
    <row r="7379" spans="1:16" ht="19.5" hidden="1" thickBot="1" x14ac:dyDescent="0.3">
      <c r="A7379" s="1087"/>
      <c r="B7379" s="1031" t="s">
        <v>2849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112"/>
      <c r="H7379" s="1035" t="s">
        <v>2890</v>
      </c>
      <c r="I7379" s="1036" t="s">
        <v>2970</v>
      </c>
      <c r="J7379" s="1037"/>
      <c r="K7379" s="1035" t="str">
        <f t="shared" si="227"/>
        <v>10,26</v>
      </c>
      <c r="L7379" s="1035" t="s">
        <v>266</v>
      </c>
      <c r="M7379" s="1035">
        <v>3755.04</v>
      </c>
      <c r="N7379" s="1038">
        <v>0.45833333333333331</v>
      </c>
      <c r="O7379" s="897" t="s">
        <v>2908</v>
      </c>
      <c r="P7379" s="867" t="s">
        <v>3023</v>
      </c>
    </row>
    <row r="7380" spans="1:16" ht="19.5" hidden="1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8" t="str">
        <f t="shared" si="227"/>
        <v>09,26</v>
      </c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6" ht="19.5" hidden="1" thickBot="1" x14ac:dyDescent="0.3">
      <c r="A7381" s="1085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83" t="str">
        <f t="shared" si="227"/>
        <v>09,26</v>
      </c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6" ht="19.5" hidden="1" thickBot="1" x14ac:dyDescent="0.3">
      <c r="A7382" s="1086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7" t="str">
        <f t="shared" si="227"/>
        <v>09,26</v>
      </c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6" ht="19.5" hidden="1" thickBot="1" x14ac:dyDescent="0.3">
      <c r="A7383" s="1086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7" t="str">
        <f t="shared" si="227"/>
        <v>09,26</v>
      </c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6" ht="19.5" hidden="1" thickBot="1" x14ac:dyDescent="0.3">
      <c r="A7384" s="1086"/>
      <c r="B7384" s="1039" t="s">
        <v>2854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2854</v>
      </c>
      <c r="I7384" s="795" t="s">
        <v>2909</v>
      </c>
      <c r="J7384" s="797"/>
      <c r="K7384" s="795" t="str">
        <f t="shared" si="227"/>
        <v>09,26</v>
      </c>
      <c r="L7384" s="795" t="s">
        <v>28</v>
      </c>
      <c r="M7384" s="795">
        <v>600</v>
      </c>
      <c r="N7384" s="502">
        <v>0.54166666666666663</v>
      </c>
      <c r="O7384" s="897" t="s">
        <v>2927</v>
      </c>
      <c r="P7384" s="867" t="s">
        <v>2983</v>
      </c>
    </row>
    <row r="7385" spans="1:16" ht="19.5" hidden="1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8" t="str">
        <f t="shared" si="227"/>
        <v>09,26</v>
      </c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6" ht="19.5" hidden="1" thickBot="1" x14ac:dyDescent="0.3">
      <c r="A7386" s="1085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83" t="str">
        <f t="shared" si="227"/>
        <v>09,26</v>
      </c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6" ht="19.5" hidden="1" thickBot="1" x14ac:dyDescent="0.3">
      <c r="A7387" s="1086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7" t="str">
        <f t="shared" si="227"/>
        <v>09,26</v>
      </c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6" ht="19.5" hidden="1" thickBot="1" x14ac:dyDescent="0.3">
      <c r="A7388" s="1087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6" t="str">
        <f t="shared" si="227"/>
        <v>09,26</v>
      </c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6" ht="19.5" hidden="1" thickBot="1" x14ac:dyDescent="0.3">
      <c r="A7389" s="1082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2890</v>
      </c>
      <c r="I7389" s="537" t="s">
        <v>2909</v>
      </c>
      <c r="J7389" s="538"/>
      <c r="K7389" s="535" t="str">
        <f t="shared" si="227"/>
        <v>09,26</v>
      </c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  <c r="P7389" s="867" t="s">
        <v>2977</v>
      </c>
    </row>
    <row r="7390" spans="1:16" ht="19.5" hidden="1" thickBot="1" x14ac:dyDescent="0.3">
      <c r="A7390" s="1083"/>
      <c r="B7390" s="563" t="s">
        <v>2844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2890</v>
      </c>
      <c r="I7390" s="569" t="s">
        <v>2909</v>
      </c>
      <c r="J7390" s="570"/>
      <c r="K7390" s="567" t="str">
        <f t="shared" si="227"/>
        <v>09,26</v>
      </c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  <c r="P7390" s="867" t="s">
        <v>2986</v>
      </c>
    </row>
    <row r="7391" spans="1:16" ht="19.5" hidden="1" thickBot="1" x14ac:dyDescent="0.3">
      <c r="A7391" s="1084"/>
      <c r="B7391" s="832" t="s">
        <v>2909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2890</v>
      </c>
      <c r="I7391" s="829" t="s">
        <v>2909</v>
      </c>
      <c r="J7391" s="831"/>
      <c r="K7391" s="829" t="str">
        <f t="shared" si="227"/>
        <v>09,26</v>
      </c>
      <c r="L7391" s="829" t="s">
        <v>28</v>
      </c>
      <c r="M7391" s="829">
        <v>810</v>
      </c>
      <c r="N7391" s="644">
        <v>0.41666666666666669</v>
      </c>
      <c r="O7391" s="897" t="s">
        <v>2968</v>
      </c>
      <c r="P7391" s="867" t="s">
        <v>3008</v>
      </c>
    </row>
    <row r="7392" spans="1:16" ht="19.5" hidden="1" thickBot="1" x14ac:dyDescent="0.3">
      <c r="A7392" s="1085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2890</v>
      </c>
      <c r="I7392" s="484" t="s">
        <v>2987</v>
      </c>
      <c r="J7392" s="485"/>
      <c r="K7392" s="483" t="str">
        <f t="shared" si="227"/>
        <v>09,26</v>
      </c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 t="s">
        <v>3004</v>
      </c>
    </row>
    <row r="7393" spans="1:16" ht="19.5" hidden="1" thickBot="1" x14ac:dyDescent="0.3">
      <c r="A7393" s="1086"/>
      <c r="B7393" s="523" t="s">
        <v>2844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2890</v>
      </c>
      <c r="I7393" s="528" t="s">
        <v>2987</v>
      </c>
      <c r="J7393" s="529"/>
      <c r="K7393" s="527" t="str">
        <f t="shared" si="227"/>
        <v>09,26</v>
      </c>
      <c r="L7393" s="527" t="s">
        <v>28</v>
      </c>
      <c r="M7393" s="527">
        <v>5486.38</v>
      </c>
      <c r="N7393" s="530">
        <v>0.45833333333333331</v>
      </c>
      <c r="O7393" s="897" t="s">
        <v>2896</v>
      </c>
      <c r="P7393" s="867" t="s">
        <v>3005</v>
      </c>
    </row>
    <row r="7394" spans="1:16" ht="19.5" hidden="1" thickBot="1" x14ac:dyDescent="0.3">
      <c r="A7394" s="1086"/>
      <c r="B7394" s="864" t="s">
        <v>2987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2890</v>
      </c>
      <c r="I7394" s="860" t="s">
        <v>2987</v>
      </c>
      <c r="J7394" s="865"/>
      <c r="K7394" s="860" t="str">
        <f t="shared" si="227"/>
        <v>09,26</v>
      </c>
      <c r="L7394" s="860" t="s">
        <v>28</v>
      </c>
      <c r="M7394" s="860">
        <v>405</v>
      </c>
      <c r="N7394" s="770">
        <v>0.45833333333333331</v>
      </c>
      <c r="O7394" s="897" t="s">
        <v>2994</v>
      </c>
      <c r="P7394" s="867" t="s">
        <v>3007</v>
      </c>
    </row>
    <row r="7395" spans="1:16" ht="19.5" hidden="1" thickBot="1" x14ac:dyDescent="0.3">
      <c r="A7395" s="1087"/>
      <c r="B7395" s="859" t="s">
        <v>2909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2890</v>
      </c>
      <c r="I7395" s="856" t="s">
        <v>2987</v>
      </c>
      <c r="J7395" s="858"/>
      <c r="K7395" s="856" t="str">
        <f t="shared" si="227"/>
        <v>09,26</v>
      </c>
      <c r="L7395" s="856" t="s">
        <v>28</v>
      </c>
      <c r="M7395" s="856">
        <v>600</v>
      </c>
      <c r="N7395" s="653">
        <v>0.45833333333333331</v>
      </c>
      <c r="O7395" s="897" t="s">
        <v>2973</v>
      </c>
      <c r="P7395" s="867" t="s">
        <v>3006</v>
      </c>
    </row>
    <row r="7396" spans="1:16" ht="19.5" hidden="1" thickBot="1" x14ac:dyDescent="0.3">
      <c r="A7396" s="551">
        <f>MAX(A7182:A7395)+1</f>
        <v>4519</v>
      </c>
      <c r="B7396" s="552" t="s">
        <v>2844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2890</v>
      </c>
      <c r="I7396" s="558" t="s">
        <v>2905</v>
      </c>
      <c r="J7396" s="559"/>
      <c r="K7396" s="556" t="str">
        <f t="shared" si="227"/>
        <v>09,26</v>
      </c>
      <c r="L7396" s="556" t="s">
        <v>28</v>
      </c>
      <c r="M7396" s="556">
        <v>17596.78</v>
      </c>
      <c r="N7396" s="560">
        <v>0.5</v>
      </c>
      <c r="O7396" s="897" t="s">
        <v>2897</v>
      </c>
      <c r="P7396" s="867" t="s">
        <v>2965</v>
      </c>
    </row>
    <row r="7397" spans="1:16" ht="19.5" hidden="1" thickBot="1" x14ac:dyDescent="0.3">
      <c r="A7397" s="1047">
        <f>MAX(A7183:A7396)+1</f>
        <v>4520</v>
      </c>
      <c r="B7397" s="1048" t="s">
        <v>2849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2905</v>
      </c>
      <c r="I7397" s="520" t="s">
        <v>2905</v>
      </c>
      <c r="J7397" s="521"/>
      <c r="K7397" s="518" t="str">
        <f t="shared" si="227"/>
        <v>09,26</v>
      </c>
      <c r="L7397" s="518" t="s">
        <v>265</v>
      </c>
      <c r="M7397" s="518">
        <v>14704.919999999998</v>
      </c>
      <c r="N7397" s="522">
        <v>4.1666666666666664E-2</v>
      </c>
      <c r="O7397" s="897" t="s">
        <v>2906</v>
      </c>
      <c r="P7397" s="867" t="s">
        <v>2960</v>
      </c>
    </row>
    <row r="7398" spans="1:16" ht="19.5" hidden="1" thickBot="1" x14ac:dyDescent="0.3">
      <c r="A7398" s="1095">
        <f>MAX(A7184:A7397)+1</f>
        <v>4521</v>
      </c>
      <c r="B7398" s="760" t="s">
        <v>2849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2905</v>
      </c>
      <c r="I7398" s="569" t="s">
        <v>2909</v>
      </c>
      <c r="J7398" s="570"/>
      <c r="K7398" s="567" t="str">
        <f t="shared" si="227"/>
        <v>09,26</v>
      </c>
      <c r="L7398" s="567" t="s">
        <v>265</v>
      </c>
      <c r="M7398" s="567">
        <v>17766.599999999999</v>
      </c>
      <c r="N7398" s="571">
        <v>4.1666666666666664E-2</v>
      </c>
      <c r="O7398" s="897" t="s">
        <v>2915</v>
      </c>
      <c r="P7398" s="867" t="s">
        <v>3012</v>
      </c>
    </row>
    <row r="7399" spans="1:16" ht="19.5" hidden="1" thickBot="1" x14ac:dyDescent="0.3">
      <c r="A7399" s="1095"/>
      <c r="B7399" s="852" t="s">
        <v>2909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2905</v>
      </c>
      <c r="I7399" s="839" t="s">
        <v>2909</v>
      </c>
      <c r="J7399" s="840"/>
      <c r="K7399" s="839" t="str">
        <f t="shared" si="227"/>
        <v>09,26</v>
      </c>
      <c r="L7399" s="839" t="s">
        <v>265</v>
      </c>
      <c r="M7399" s="839">
        <v>1230</v>
      </c>
      <c r="N7399" s="598">
        <v>4.1666666666666664E-2</v>
      </c>
      <c r="O7399" s="897" t="s">
        <v>2966</v>
      </c>
      <c r="P7399" s="867" t="s">
        <v>2978</v>
      </c>
    </row>
    <row r="7400" spans="1:16" ht="19.5" hidden="1" thickBot="1" x14ac:dyDescent="0.3">
      <c r="A7400" s="1096"/>
      <c r="B7400" s="798" t="s">
        <v>2905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2905</v>
      </c>
      <c r="I7400" s="801" t="s">
        <v>2905</v>
      </c>
      <c r="J7400" s="803"/>
      <c r="K7400" s="801" t="str">
        <f t="shared" si="227"/>
        <v>09,26</v>
      </c>
      <c r="L7400" s="801" t="s">
        <v>265</v>
      </c>
      <c r="M7400" s="801">
        <v>1185</v>
      </c>
      <c r="N7400" s="804">
        <v>4.1666666666666664E-2</v>
      </c>
      <c r="O7400" s="897" t="s">
        <v>2952</v>
      </c>
      <c r="P7400" s="867" t="s">
        <v>2955</v>
      </c>
    </row>
    <row r="7401" spans="1:16" ht="19.5" hidden="1" thickBot="1" x14ac:dyDescent="0.3">
      <c r="A7401" s="1088">
        <f>MAX(A7185:A7398)+1</f>
        <v>4522</v>
      </c>
      <c r="B7401" s="610" t="s">
        <v>2849</v>
      </c>
      <c r="C7401" s="480" t="s">
        <v>47</v>
      </c>
      <c r="D7401" s="481">
        <v>17.055</v>
      </c>
      <c r="E7401" s="482">
        <v>16.864999999999998</v>
      </c>
      <c r="F7401" s="483" t="s">
        <v>16</v>
      </c>
      <c r="G7401" s="1091" t="s">
        <v>1634</v>
      </c>
      <c r="H7401" s="483" t="s">
        <v>2905</v>
      </c>
      <c r="I7401" s="484" t="s">
        <v>2989</v>
      </c>
      <c r="J7401" s="485"/>
      <c r="K7401" s="483" t="str">
        <f t="shared" si="227"/>
        <v>10,26</v>
      </c>
      <c r="L7401" s="483" t="s">
        <v>28</v>
      </c>
      <c r="M7401" s="483">
        <v>17258.82</v>
      </c>
      <c r="N7401" s="486">
        <v>0.41666666666666669</v>
      </c>
      <c r="O7401" s="897" t="s">
        <v>2916</v>
      </c>
      <c r="P7401" s="867" t="s">
        <v>3077</v>
      </c>
    </row>
    <row r="7402" spans="1:16" ht="19.5" hidden="1" thickBot="1" x14ac:dyDescent="0.3">
      <c r="A7402" s="1090"/>
      <c r="B7402" s="841" t="s">
        <v>2909</v>
      </c>
      <c r="C7402" s="842" t="s">
        <v>47</v>
      </c>
      <c r="D7402" s="843">
        <v>0.40500000000000003</v>
      </c>
      <c r="E7402" s="843">
        <v>0.40899999999999997</v>
      </c>
      <c r="F7402" s="844" t="s">
        <v>16</v>
      </c>
      <c r="G7402" s="1097"/>
      <c r="H7402" s="844" t="s">
        <v>2905</v>
      </c>
      <c r="I7402" s="844" t="s">
        <v>2989</v>
      </c>
      <c r="J7402" s="845"/>
      <c r="K7402" s="844" t="str">
        <f t="shared" si="227"/>
        <v>10,26</v>
      </c>
      <c r="L7402" s="844" t="s">
        <v>28</v>
      </c>
      <c r="M7402" s="844">
        <v>405</v>
      </c>
      <c r="N7402" s="846">
        <v>0.41666666666666669</v>
      </c>
      <c r="O7402" s="897" t="s">
        <v>2972</v>
      </c>
      <c r="P7402" s="867" t="s">
        <v>3078</v>
      </c>
    </row>
    <row r="7403" spans="1:16" ht="19.5" hidden="1" thickBot="1" x14ac:dyDescent="0.3">
      <c r="A7403" s="1094">
        <f>MAX(A7186:A7401)+1</f>
        <v>4523</v>
      </c>
      <c r="B7403" s="759" t="s">
        <v>2849</v>
      </c>
      <c r="C7403" s="532" t="s">
        <v>23</v>
      </c>
      <c r="D7403" s="533">
        <v>16.55</v>
      </c>
      <c r="E7403" s="534">
        <v>16.216000000000001</v>
      </c>
      <c r="F7403" s="535" t="s">
        <v>16</v>
      </c>
      <c r="G7403" s="1098" t="s">
        <v>1633</v>
      </c>
      <c r="H7403" s="535" t="s">
        <v>2905</v>
      </c>
      <c r="I7403" s="537" t="s">
        <v>2988</v>
      </c>
      <c r="J7403" s="538"/>
      <c r="K7403" s="535" t="str">
        <f t="shared" si="227"/>
        <v>10,26</v>
      </c>
      <c r="L7403" s="535" t="s">
        <v>28</v>
      </c>
      <c r="M7403" s="535">
        <v>16703.240000000002</v>
      </c>
      <c r="N7403" s="539">
        <v>0.45833333333333331</v>
      </c>
      <c r="O7403" s="897" t="s">
        <v>2917</v>
      </c>
      <c r="P7403" s="867" t="s">
        <v>3057</v>
      </c>
    </row>
    <row r="7404" spans="1:16" ht="19.5" hidden="1" thickBot="1" x14ac:dyDescent="0.3">
      <c r="A7404" s="1096"/>
      <c r="B7404" s="785" t="s">
        <v>2909</v>
      </c>
      <c r="C7404" s="786" t="s">
        <v>23</v>
      </c>
      <c r="D7404" s="787">
        <v>0.51</v>
      </c>
      <c r="E7404" s="787">
        <v>0.51400000000000001</v>
      </c>
      <c r="F7404" s="788" t="s">
        <v>16</v>
      </c>
      <c r="G7404" s="1099"/>
      <c r="H7404" s="788" t="s">
        <v>2905</v>
      </c>
      <c r="I7404" s="788" t="s">
        <v>2988</v>
      </c>
      <c r="J7404" s="790"/>
      <c r="K7404" s="788" t="str">
        <f t="shared" si="227"/>
        <v>10,26</v>
      </c>
      <c r="L7404" s="788" t="s">
        <v>28</v>
      </c>
      <c r="M7404" s="788">
        <v>510</v>
      </c>
      <c r="N7404" s="784">
        <v>0.45833333333333331</v>
      </c>
      <c r="O7404" s="897" t="s">
        <v>2975</v>
      </c>
      <c r="P7404" s="867" t="s">
        <v>3058</v>
      </c>
    </row>
    <row r="7405" spans="1:16" ht="19.5" hidden="1" thickBot="1" x14ac:dyDescent="0.3">
      <c r="A7405" s="1085">
        <f>MAX(A7187:A7403)+1</f>
        <v>4524</v>
      </c>
      <c r="B7405" s="523" t="s">
        <v>2849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2905</v>
      </c>
      <c r="I7405" s="528" t="s">
        <v>2909</v>
      </c>
      <c r="J7405" s="529"/>
      <c r="K7405" s="527" t="str">
        <f t="shared" si="227"/>
        <v>09,26</v>
      </c>
      <c r="L7405" s="527" t="s">
        <v>28</v>
      </c>
      <c r="M7405" s="527">
        <v>11419.76</v>
      </c>
      <c r="N7405" s="530">
        <v>0.41666666666666669</v>
      </c>
      <c r="O7405" s="897" t="s">
        <v>2913</v>
      </c>
      <c r="P7405" s="867" t="s">
        <v>2957</v>
      </c>
    </row>
    <row r="7406" spans="1:16" ht="19.5" hidden="1" thickBot="1" x14ac:dyDescent="0.3">
      <c r="A7406" s="1087"/>
      <c r="B7406" s="645" t="s">
        <v>2849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2905</v>
      </c>
      <c r="I7406" s="651" t="s">
        <v>2909</v>
      </c>
      <c r="J7406" s="652"/>
      <c r="K7406" s="649" t="str">
        <f t="shared" si="227"/>
        <v>09,26</v>
      </c>
      <c r="L7406" s="649" t="s">
        <v>28</v>
      </c>
      <c r="M7406" s="649">
        <v>1982.72</v>
      </c>
      <c r="N7406" s="653">
        <v>0.41666666666666669</v>
      </c>
      <c r="O7406" s="897" t="s">
        <v>2911</v>
      </c>
      <c r="P7406" s="867" t="s">
        <v>2958</v>
      </c>
    </row>
    <row r="7407" spans="1:16" ht="19.5" hidden="1" thickBot="1" x14ac:dyDescent="0.3">
      <c r="A7407" s="1095">
        <f>MAX(A7189:A7406)+1</f>
        <v>4525</v>
      </c>
      <c r="B7407" s="760" t="s">
        <v>2849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2909</v>
      </c>
      <c r="I7407" s="569" t="s">
        <v>2987</v>
      </c>
      <c r="J7407" s="570"/>
      <c r="K7407" s="567" t="str">
        <f t="shared" si="227"/>
        <v>09,26</v>
      </c>
      <c r="L7407" s="567" t="s">
        <v>265</v>
      </c>
      <c r="M7407" s="567">
        <v>17744.580000000002</v>
      </c>
      <c r="N7407" s="571">
        <v>4.1666666666666664E-2</v>
      </c>
      <c r="O7407" s="897" t="s">
        <v>2918</v>
      </c>
      <c r="P7407" s="867" t="s">
        <v>3003</v>
      </c>
    </row>
    <row r="7408" spans="1:16" ht="19.5" hidden="1" thickBot="1" x14ac:dyDescent="0.3">
      <c r="A7408" s="1096"/>
      <c r="B7408" s="798" t="s">
        <v>2909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2909</v>
      </c>
      <c r="I7408" s="801" t="s">
        <v>2987</v>
      </c>
      <c r="J7408" s="803"/>
      <c r="K7408" s="801" t="str">
        <f t="shared" si="227"/>
        <v>09,26</v>
      </c>
      <c r="L7408" s="801" t="s">
        <v>265</v>
      </c>
      <c r="M7408" s="801">
        <v>525</v>
      </c>
      <c r="N7408" s="804">
        <v>4.1666666666666664E-2</v>
      </c>
      <c r="O7408" s="897" t="s">
        <v>2967</v>
      </c>
      <c r="P7408" s="867" t="s">
        <v>3011</v>
      </c>
    </row>
    <row r="7409" spans="1:16" ht="19.5" hidden="1" thickBot="1" x14ac:dyDescent="0.3">
      <c r="A7409" s="1088">
        <f>MAX(A7190:A7407)+1</f>
        <v>4526</v>
      </c>
      <c r="B7409" s="610" t="s">
        <v>2849</v>
      </c>
      <c r="C7409" s="480" t="s">
        <v>15</v>
      </c>
      <c r="D7409" s="481">
        <v>10.916</v>
      </c>
      <c r="E7409" s="482">
        <v>10.789</v>
      </c>
      <c r="F7409" s="483" t="s">
        <v>16</v>
      </c>
      <c r="G7409" s="1091" t="s">
        <v>2910</v>
      </c>
      <c r="H7409" s="483" t="s">
        <v>2909</v>
      </c>
      <c r="I7409" s="484" t="s">
        <v>2989</v>
      </c>
      <c r="J7409" s="485"/>
      <c r="K7409" s="483" t="str">
        <f t="shared" si="227"/>
        <v>10,26</v>
      </c>
      <c r="L7409" s="483" t="s">
        <v>28</v>
      </c>
      <c r="M7409" s="483">
        <v>11063.15</v>
      </c>
      <c r="N7409" s="486">
        <v>0.41666666666666669</v>
      </c>
      <c r="O7409" s="897" t="s">
        <v>2919</v>
      </c>
      <c r="P7409" s="867" t="s">
        <v>3072</v>
      </c>
    </row>
    <row r="7410" spans="1:16" ht="19.5" hidden="1" thickBot="1" x14ac:dyDescent="0.3">
      <c r="A7410" s="1089"/>
      <c r="B7410" s="769" t="s">
        <v>2849</v>
      </c>
      <c r="C7410" s="764" t="s">
        <v>20</v>
      </c>
      <c r="D7410" s="765">
        <v>4.0220000000000002</v>
      </c>
      <c r="E7410" s="766">
        <v>3.8210000000000002</v>
      </c>
      <c r="F7410" s="763" t="s">
        <v>16</v>
      </c>
      <c r="G7410" s="1092"/>
      <c r="H7410" s="763" t="s">
        <v>2909</v>
      </c>
      <c r="I7410" s="768" t="s">
        <v>2989</v>
      </c>
      <c r="J7410" s="779"/>
      <c r="K7410" s="763" t="str">
        <f t="shared" si="227"/>
        <v>10,26</v>
      </c>
      <c r="L7410" s="763" t="s">
        <v>28</v>
      </c>
      <c r="M7410" s="763">
        <v>4115.1400000000003</v>
      </c>
      <c r="N7410" s="770">
        <v>0.41666666666666669</v>
      </c>
      <c r="O7410" s="897" t="s">
        <v>2920</v>
      </c>
      <c r="P7410" s="867" t="s">
        <v>3081</v>
      </c>
    </row>
    <row r="7411" spans="1:16" ht="19.5" hidden="1" thickBot="1" x14ac:dyDescent="0.3">
      <c r="A7411" s="1090"/>
      <c r="B7411" s="805" t="s">
        <v>2909</v>
      </c>
      <c r="C7411" s="806" t="s">
        <v>15</v>
      </c>
      <c r="D7411" s="807">
        <v>0.45</v>
      </c>
      <c r="E7411" s="807">
        <v>0.45200000000000001</v>
      </c>
      <c r="F7411" s="808" t="s">
        <v>16</v>
      </c>
      <c r="G7411" s="1093"/>
      <c r="H7411" s="808" t="s">
        <v>2909</v>
      </c>
      <c r="I7411" s="808" t="s">
        <v>2989</v>
      </c>
      <c r="J7411" s="810"/>
      <c r="K7411" s="808" t="str">
        <f t="shared" si="227"/>
        <v>10,26</v>
      </c>
      <c r="L7411" s="808" t="s">
        <v>28</v>
      </c>
      <c r="M7411" s="808">
        <v>450</v>
      </c>
      <c r="N7411" s="778">
        <v>0.41666666666666669</v>
      </c>
      <c r="O7411" s="897" t="s">
        <v>2974</v>
      </c>
      <c r="P7411" s="867" t="s">
        <v>3073</v>
      </c>
    </row>
    <row r="7412" spans="1:16" ht="19.5" hidden="1" thickBot="1" x14ac:dyDescent="0.3">
      <c r="A7412" s="1094">
        <f>MAX(A7192:A7411)+1</f>
        <v>4527</v>
      </c>
      <c r="B7412" s="759" t="s">
        <v>2849</v>
      </c>
      <c r="C7412" s="532" t="s">
        <v>24</v>
      </c>
      <c r="D7412" s="533">
        <v>16.771000000000001</v>
      </c>
      <c r="E7412" s="534">
        <v>16.689</v>
      </c>
      <c r="F7412" s="535" t="s">
        <v>16</v>
      </c>
      <c r="G7412" s="1098" t="s">
        <v>1633</v>
      </c>
      <c r="H7412" s="535" t="s">
        <v>2909</v>
      </c>
      <c r="I7412" s="537" t="s">
        <v>3033</v>
      </c>
      <c r="J7412" s="538"/>
      <c r="K7412" s="535" t="str">
        <f t="shared" si="227"/>
        <v>10,26</v>
      </c>
      <c r="L7412" s="535" t="s">
        <v>28</v>
      </c>
      <c r="M7412" s="535">
        <v>16905.98</v>
      </c>
      <c r="N7412" s="539">
        <v>0.45833333333333331</v>
      </c>
      <c r="O7412" s="897" t="s">
        <v>2921</v>
      </c>
      <c r="P7412" s="867" t="s">
        <v>3102</v>
      </c>
    </row>
    <row r="7413" spans="1:16" ht="19.5" hidden="1" thickBot="1" x14ac:dyDescent="0.3">
      <c r="A7413" s="1096"/>
      <c r="B7413" s="785" t="s">
        <v>2909</v>
      </c>
      <c r="C7413" s="786" t="s">
        <v>24</v>
      </c>
      <c r="D7413" s="787">
        <v>0.24</v>
      </c>
      <c r="E7413" s="787">
        <v>0.24</v>
      </c>
      <c r="F7413" s="788" t="s">
        <v>16</v>
      </c>
      <c r="G7413" s="1099"/>
      <c r="H7413" s="788" t="s">
        <v>2909</v>
      </c>
      <c r="I7413" s="788" t="s">
        <v>3033</v>
      </c>
      <c r="J7413" s="790"/>
      <c r="K7413" s="788" t="str">
        <f t="shared" si="227"/>
        <v>10,26</v>
      </c>
      <c r="L7413" s="788" t="s">
        <v>28</v>
      </c>
      <c r="M7413" s="788">
        <v>240</v>
      </c>
      <c r="N7413" s="784">
        <v>0.45833333333333331</v>
      </c>
      <c r="O7413" s="897" t="s">
        <v>2976</v>
      </c>
      <c r="P7413" s="867" t="s">
        <v>3103</v>
      </c>
    </row>
    <row r="7414" spans="1:16" ht="19.5" hidden="1" thickBot="1" x14ac:dyDescent="0.3">
      <c r="A7414" s="513">
        <f>MAX(A7193:A7412)+1</f>
        <v>4528</v>
      </c>
      <c r="B7414" s="514" t="s">
        <v>2849</v>
      </c>
      <c r="C7414" s="515" t="s">
        <v>25</v>
      </c>
      <c r="D7414" s="516">
        <v>18.077000000000002</v>
      </c>
      <c r="E7414" s="517">
        <v>17.331</v>
      </c>
      <c r="F7414" s="518" t="s">
        <v>16</v>
      </c>
      <c r="G7414" s="519"/>
      <c r="H7414" s="518" t="s">
        <v>2909</v>
      </c>
      <c r="I7414" s="520" t="s">
        <v>2988</v>
      </c>
      <c r="J7414" s="521"/>
      <c r="K7414" s="518" t="str">
        <f t="shared" si="227"/>
        <v>10,26</v>
      </c>
      <c r="L7414" s="518" t="s">
        <v>265</v>
      </c>
      <c r="M7414" s="518">
        <v>18187.610000000004</v>
      </c>
      <c r="N7414" s="522">
        <v>0.5</v>
      </c>
      <c r="O7414" s="897" t="s">
        <v>2922</v>
      </c>
      <c r="P7414" s="867" t="s">
        <v>3074</v>
      </c>
    </row>
    <row r="7415" spans="1:16" ht="19.5" hidden="1" thickBot="1" x14ac:dyDescent="0.3">
      <c r="A7415" s="1082">
        <f>MAX(A7194:A7414)+1</f>
        <v>4529</v>
      </c>
      <c r="B7415" s="531" t="s">
        <v>2849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2909</v>
      </c>
      <c r="I7415" s="537" t="s">
        <v>2909</v>
      </c>
      <c r="J7415" s="538"/>
      <c r="K7415" s="535" t="str">
        <f t="shared" si="227"/>
        <v>09,26</v>
      </c>
      <c r="L7415" s="535" t="s">
        <v>266</v>
      </c>
      <c r="M7415" s="535">
        <v>2750.16</v>
      </c>
      <c r="N7415" s="539">
        <v>0.41666666666666669</v>
      </c>
      <c r="O7415" s="897" t="s">
        <v>2912</v>
      </c>
      <c r="P7415" s="867" t="s">
        <v>2979</v>
      </c>
    </row>
    <row r="7416" spans="1:16" ht="19.5" hidden="1" thickBot="1" x14ac:dyDescent="0.3">
      <c r="A7416" s="1084"/>
      <c r="B7416" s="636" t="s">
        <v>2849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2909</v>
      </c>
      <c r="I7416" s="642" t="s">
        <v>2909</v>
      </c>
      <c r="J7416" s="643"/>
      <c r="K7416" s="640" t="str">
        <f t="shared" si="227"/>
        <v>09,26</v>
      </c>
      <c r="L7416" s="640" t="s">
        <v>28</v>
      </c>
      <c r="M7416" s="640">
        <v>9550.6400000000012</v>
      </c>
      <c r="N7416" s="644">
        <v>0.41666666666666669</v>
      </c>
      <c r="O7416" s="897" t="s">
        <v>2914</v>
      </c>
      <c r="P7416" s="867" t="s">
        <v>2980</v>
      </c>
    </row>
    <row r="7417" spans="1:16" ht="19.5" hidden="1" thickBot="1" x14ac:dyDescent="0.3">
      <c r="A7417" s="572">
        <f>MAX(A7196:A7416)+1</f>
        <v>4530</v>
      </c>
      <c r="B7417" s="573" t="s">
        <v>2909</v>
      </c>
      <c r="C7417" s="574" t="s">
        <v>32</v>
      </c>
      <c r="D7417" s="575">
        <v>18.062000000000001</v>
      </c>
      <c r="E7417" s="576">
        <v>16.658999999999999</v>
      </c>
      <c r="F7417" s="577" t="s">
        <v>16</v>
      </c>
      <c r="G7417" s="578"/>
      <c r="H7417" s="577" t="s">
        <v>2970</v>
      </c>
      <c r="I7417" s="579" t="s">
        <v>2988</v>
      </c>
      <c r="J7417" s="580"/>
      <c r="K7417" s="577" t="str">
        <f t="shared" si="227"/>
        <v>10,26</v>
      </c>
      <c r="L7417" s="577" t="s">
        <v>266</v>
      </c>
      <c r="M7417" s="577">
        <v>18138.23</v>
      </c>
      <c r="N7417" s="581">
        <v>0.41666666666666669</v>
      </c>
      <c r="O7417" s="897" t="s">
        <v>2971</v>
      </c>
      <c r="P7417" s="867" t="s">
        <v>3054</v>
      </c>
    </row>
    <row r="7418" spans="1:16" ht="19.5" hidden="1" thickBot="1" x14ac:dyDescent="0.3">
      <c r="A7418" s="1094">
        <f>MAX(A7197:A7417)+1</f>
        <v>4531</v>
      </c>
      <c r="B7418" s="759" t="s">
        <v>2987</v>
      </c>
      <c r="C7418" s="532" t="s">
        <v>26</v>
      </c>
      <c r="D7418" s="533">
        <v>17.568999999999999</v>
      </c>
      <c r="E7418" s="534">
        <v>17.187999999999999</v>
      </c>
      <c r="F7418" s="535" t="s">
        <v>16</v>
      </c>
      <c r="G7418" s="1049"/>
      <c r="H7418" s="535" t="s">
        <v>2988</v>
      </c>
      <c r="I7418" s="537" t="s">
        <v>2988</v>
      </c>
      <c r="J7418" s="538"/>
      <c r="K7418" s="535" t="str">
        <f t="shared" si="227"/>
        <v>10,26</v>
      </c>
      <c r="L7418" s="535" t="s">
        <v>265</v>
      </c>
      <c r="M7418" s="535">
        <v>17700.500000000004</v>
      </c>
      <c r="N7418" s="539">
        <v>4.1666666666666664E-2</v>
      </c>
      <c r="O7418" s="897" t="s">
        <v>2993</v>
      </c>
      <c r="P7418" s="867" t="s">
        <v>3075</v>
      </c>
    </row>
    <row r="7419" spans="1:16" ht="19.5" hidden="1" thickBot="1" x14ac:dyDescent="0.3">
      <c r="A7419" s="1095"/>
      <c r="B7419" s="852" t="s">
        <v>2988</v>
      </c>
      <c r="C7419" s="837" t="s">
        <v>26</v>
      </c>
      <c r="D7419" s="838">
        <v>0.5</v>
      </c>
      <c r="E7419" s="838">
        <v>0.52600000000000002</v>
      </c>
      <c r="F7419" s="839" t="s">
        <v>16</v>
      </c>
      <c r="G7419" s="850"/>
      <c r="H7419" s="839" t="s">
        <v>2988</v>
      </c>
      <c r="I7419" s="839" t="s">
        <v>2988</v>
      </c>
      <c r="J7419" s="840"/>
      <c r="K7419" s="839" t="str">
        <f t="shared" si="227"/>
        <v>10,26</v>
      </c>
      <c r="L7419" s="839" t="s">
        <v>265</v>
      </c>
      <c r="M7419" s="839">
        <v>525</v>
      </c>
      <c r="N7419" s="598">
        <v>4.1666666666666664E-2</v>
      </c>
      <c r="O7419" s="897" t="s">
        <v>3030</v>
      </c>
      <c r="P7419" s="867" t="s">
        <v>3076</v>
      </c>
    </row>
    <row r="7420" spans="1:16" ht="19.5" hidden="1" thickBot="1" x14ac:dyDescent="0.3">
      <c r="A7420" s="1096"/>
      <c r="B7420" s="798" t="s">
        <v>2988</v>
      </c>
      <c r="C7420" s="799" t="s">
        <v>26</v>
      </c>
      <c r="D7420" s="800">
        <v>0.52</v>
      </c>
      <c r="E7420" s="800">
        <v>0.54100000000000004</v>
      </c>
      <c r="F7420" s="801" t="s">
        <v>16</v>
      </c>
      <c r="G7420" s="802" t="s">
        <v>76</v>
      </c>
      <c r="H7420" s="801" t="s">
        <v>2988</v>
      </c>
      <c r="I7420" s="801" t="s">
        <v>3013</v>
      </c>
      <c r="J7420" s="803"/>
      <c r="K7420" s="801" t="str">
        <f t="shared" si="227"/>
        <v>10,26</v>
      </c>
      <c r="L7420" s="801" t="s">
        <v>265</v>
      </c>
      <c r="M7420" s="801">
        <v>540</v>
      </c>
      <c r="N7420" s="804">
        <v>4.1666666666666664E-2</v>
      </c>
      <c r="O7420" s="897" t="s">
        <v>3028</v>
      </c>
      <c r="P7420" s="867" t="s">
        <v>3069</v>
      </c>
    </row>
    <row r="7421" spans="1:16" ht="19.5" hidden="1" thickBot="1" x14ac:dyDescent="0.3">
      <c r="A7421" s="1088">
        <f>MAX(A7198:A7418)+1</f>
        <v>4532</v>
      </c>
      <c r="B7421" s="610" t="s">
        <v>2987</v>
      </c>
      <c r="C7421" s="480" t="s">
        <v>26</v>
      </c>
      <c r="D7421" s="481">
        <v>17.094999999999999</v>
      </c>
      <c r="E7421" s="482">
        <v>15.776999999999999</v>
      </c>
      <c r="F7421" s="483" t="s">
        <v>16</v>
      </c>
      <c r="G7421" s="1056"/>
      <c r="H7421" s="483" t="s">
        <v>2988</v>
      </c>
      <c r="I7421" s="484" t="s">
        <v>3013</v>
      </c>
      <c r="J7421" s="485"/>
      <c r="K7421" s="483" t="str">
        <f t="shared" si="227"/>
        <v>10,26</v>
      </c>
      <c r="L7421" s="483" t="s">
        <v>265</v>
      </c>
      <c r="M7421" s="483">
        <v>17119.800000000003</v>
      </c>
      <c r="N7421" s="486">
        <v>8.3333333333333329E-2</v>
      </c>
      <c r="O7421" s="897" t="s">
        <v>2995</v>
      </c>
      <c r="P7421" s="867" t="s">
        <v>3067</v>
      </c>
    </row>
    <row r="7422" spans="1:16" ht="19.5" hidden="1" thickBot="1" x14ac:dyDescent="0.3">
      <c r="A7422" s="1089"/>
      <c r="B7422" s="864" t="s">
        <v>2989</v>
      </c>
      <c r="C7422" s="861" t="s">
        <v>26</v>
      </c>
      <c r="D7422" s="862">
        <v>2.9</v>
      </c>
      <c r="E7422" s="862">
        <v>1.909</v>
      </c>
      <c r="F7422" s="860" t="s">
        <v>16</v>
      </c>
      <c r="G7422" s="863" t="s">
        <v>76</v>
      </c>
      <c r="H7422" s="860" t="s">
        <v>2988</v>
      </c>
      <c r="I7422" s="860" t="s">
        <v>3033</v>
      </c>
      <c r="J7422" s="865"/>
      <c r="K7422" s="860" t="str">
        <f t="shared" si="227"/>
        <v>10,26</v>
      </c>
      <c r="L7422" s="860" t="s">
        <v>265</v>
      </c>
      <c r="M7422" s="860">
        <v>2910</v>
      </c>
      <c r="N7422" s="770">
        <v>8.3333333333333329E-2</v>
      </c>
      <c r="O7422" s="897" t="s">
        <v>3092</v>
      </c>
      <c r="P7422" s="867" t="s">
        <v>3098</v>
      </c>
    </row>
    <row r="7423" spans="1:16" ht="19.5" hidden="1" thickBot="1" x14ac:dyDescent="0.3">
      <c r="A7423" s="1090"/>
      <c r="B7423" s="805" t="s">
        <v>2988</v>
      </c>
      <c r="C7423" s="806" t="s">
        <v>26</v>
      </c>
      <c r="D7423" s="807">
        <v>0.18</v>
      </c>
      <c r="E7423" s="807">
        <v>0.18</v>
      </c>
      <c r="F7423" s="808" t="s">
        <v>16</v>
      </c>
      <c r="G7423" s="809" t="s">
        <v>76</v>
      </c>
      <c r="H7423" s="808" t="s">
        <v>2988</v>
      </c>
      <c r="I7423" s="808" t="s">
        <v>3013</v>
      </c>
      <c r="J7423" s="810"/>
      <c r="K7423" s="808" t="str">
        <f t="shared" si="227"/>
        <v>10,26</v>
      </c>
      <c r="L7423" s="808" t="s">
        <v>265</v>
      </c>
      <c r="M7423" s="808">
        <v>180</v>
      </c>
      <c r="N7423" s="778">
        <v>8.3333333333333329E-2</v>
      </c>
      <c r="O7423" s="897" t="s">
        <v>3029</v>
      </c>
      <c r="P7423" s="867" t="s">
        <v>3068</v>
      </c>
    </row>
    <row r="7424" spans="1:16" ht="19.5" hidden="1" thickBot="1" x14ac:dyDescent="0.3">
      <c r="A7424" s="1082">
        <f>MAX(A7199:A7421)+1</f>
        <v>4533</v>
      </c>
      <c r="B7424" s="563" t="s">
        <v>2987</v>
      </c>
      <c r="C7424" s="564" t="s">
        <v>15</v>
      </c>
      <c r="D7424" s="565">
        <v>4.6390000000000002</v>
      </c>
      <c r="E7424" s="566">
        <v>4.6390000000000002</v>
      </c>
      <c r="F7424" s="567" t="s">
        <v>30</v>
      </c>
      <c r="G7424" s="568"/>
      <c r="H7424" s="567" t="s">
        <v>2988</v>
      </c>
      <c r="I7424" s="569" t="s">
        <v>2989</v>
      </c>
      <c r="J7424" s="570"/>
      <c r="K7424" s="567" t="str">
        <f t="shared" si="227"/>
        <v>10,26</v>
      </c>
      <c r="L7424" s="567" t="s">
        <v>28</v>
      </c>
      <c r="M7424" s="567">
        <v>4639.88</v>
      </c>
      <c r="N7424" s="571">
        <v>0.41666666666666669</v>
      </c>
      <c r="O7424" s="897" t="s">
        <v>2991</v>
      </c>
      <c r="P7424" s="867" t="s">
        <v>3056</v>
      </c>
    </row>
    <row r="7425" spans="1:17" ht="19.5" hidden="1" customHeight="1" x14ac:dyDescent="0.25">
      <c r="A7425" s="1083"/>
      <c r="B7425" s="563" t="s">
        <v>2987</v>
      </c>
      <c r="C7425" s="564" t="s">
        <v>24</v>
      </c>
      <c r="D7425" s="565">
        <v>5.6150000000000002</v>
      </c>
      <c r="E7425" s="566">
        <v>5.6150000000000002</v>
      </c>
      <c r="F7425" s="567" t="s">
        <v>30</v>
      </c>
      <c r="G7425" s="568"/>
      <c r="H7425" s="567" t="s">
        <v>2988</v>
      </c>
      <c r="I7425" s="569" t="s">
        <v>2989</v>
      </c>
      <c r="J7425" s="570"/>
      <c r="K7425" s="567" t="str">
        <f t="shared" si="227"/>
        <v>10,26</v>
      </c>
      <c r="L7425" s="567" t="s">
        <v>28</v>
      </c>
      <c r="M7425" s="567">
        <v>5615.6400000000012</v>
      </c>
      <c r="N7425" s="571">
        <v>0.41666666666666669</v>
      </c>
      <c r="O7425" s="897" t="s">
        <v>2990</v>
      </c>
      <c r="P7425" s="867" t="s">
        <v>3055</v>
      </c>
    </row>
    <row r="7426" spans="1:17" ht="19.5" hidden="1" thickBot="1" x14ac:dyDescent="0.3">
      <c r="A7426" s="1084"/>
      <c r="B7426" s="636" t="s">
        <v>2987</v>
      </c>
      <c r="C7426" s="637" t="s">
        <v>20</v>
      </c>
      <c r="D7426" s="638">
        <v>5.7270000000000003</v>
      </c>
      <c r="E7426" s="639">
        <v>5.2350000000000003</v>
      </c>
      <c r="F7426" s="640" t="s">
        <v>30</v>
      </c>
      <c r="G7426" s="641"/>
      <c r="H7426" s="640" t="s">
        <v>2988</v>
      </c>
      <c r="I7426" s="642" t="s">
        <v>2989</v>
      </c>
      <c r="J7426" s="643"/>
      <c r="K7426" s="640" t="str">
        <f t="shared" si="227"/>
        <v>10,26</v>
      </c>
      <c r="L7426" s="640" t="s">
        <v>28</v>
      </c>
      <c r="M7426" s="640">
        <v>5727.1200000000008</v>
      </c>
      <c r="N7426" s="644">
        <v>0.41666666666666669</v>
      </c>
      <c r="O7426" s="897" t="s">
        <v>2992</v>
      </c>
      <c r="P7426" s="867" t="s">
        <v>3080</v>
      </c>
    </row>
    <row r="7427" spans="1:17" ht="19.5" hidden="1" thickBot="1" x14ac:dyDescent="0.3">
      <c r="A7427" s="513">
        <f>MAX(A7202:A7426)+1</f>
        <v>4534</v>
      </c>
      <c r="B7427" s="514" t="s">
        <v>2987</v>
      </c>
      <c r="C7427" s="515" t="s">
        <v>26</v>
      </c>
      <c r="D7427" s="516">
        <v>14.672000000000001</v>
      </c>
      <c r="E7427" s="517">
        <v>14.672000000000001</v>
      </c>
      <c r="F7427" s="518" t="s">
        <v>30</v>
      </c>
      <c r="G7427" s="519"/>
      <c r="H7427" s="518" t="s">
        <v>2988</v>
      </c>
      <c r="I7427" s="520" t="s">
        <v>2989</v>
      </c>
      <c r="J7427" s="521"/>
      <c r="K7427" s="518" t="str">
        <f t="shared" si="227"/>
        <v>10,26</v>
      </c>
      <c r="L7427" s="518" t="s">
        <v>265</v>
      </c>
      <c r="M7427" s="518">
        <v>14672.52</v>
      </c>
      <c r="N7427" s="522">
        <v>4.1666666666666664E-2</v>
      </c>
      <c r="O7427" s="897" t="s">
        <v>2997</v>
      </c>
      <c r="P7427" s="867" t="s">
        <v>3079</v>
      </c>
    </row>
    <row r="7428" spans="1:17" ht="19.5" hidden="1" thickBot="1" x14ac:dyDescent="0.3">
      <c r="A7428" s="503">
        <f>MAX(A7203:A7427)+1</f>
        <v>4535</v>
      </c>
      <c r="B7428" s="504" t="s">
        <v>2987</v>
      </c>
      <c r="C7428" s="505" t="s">
        <v>26</v>
      </c>
      <c r="D7428" s="506">
        <v>17.728999999999999</v>
      </c>
      <c r="E7428" s="507">
        <v>17.698</v>
      </c>
      <c r="F7428" s="508" t="s">
        <v>16</v>
      </c>
      <c r="G7428" s="509"/>
      <c r="H7428" s="508" t="s">
        <v>2989</v>
      </c>
      <c r="I7428" s="510" t="s">
        <v>3088</v>
      </c>
      <c r="J7428" s="511"/>
      <c r="K7428" s="508" t="str">
        <f t="shared" si="227"/>
        <v>10,26</v>
      </c>
      <c r="L7428" s="508" t="s">
        <v>265</v>
      </c>
      <c r="M7428" s="508">
        <v>17889.14</v>
      </c>
      <c r="N7428" s="512">
        <v>4.1666666666666664E-2</v>
      </c>
      <c r="O7428" s="897" t="s">
        <v>2996</v>
      </c>
      <c r="P7428" s="867" t="s">
        <v>3127</v>
      </c>
    </row>
    <row r="7429" spans="1:17" ht="19.5" hidden="1" thickBot="1" x14ac:dyDescent="0.3">
      <c r="A7429" s="1085">
        <f>MAX(A7204:A7428)+1</f>
        <v>4536</v>
      </c>
      <c r="B7429" s="479" t="s">
        <v>2987</v>
      </c>
      <c r="C7429" s="480" t="s">
        <v>23</v>
      </c>
      <c r="D7429" s="481">
        <v>14.750999999999999</v>
      </c>
      <c r="E7429" s="482">
        <v>14.968999999999999</v>
      </c>
      <c r="F7429" s="483" t="s">
        <v>16</v>
      </c>
      <c r="G7429" s="549"/>
      <c r="H7429" s="483" t="s">
        <v>2989</v>
      </c>
      <c r="I7429" s="484" t="s">
        <v>3033</v>
      </c>
      <c r="J7429" s="485"/>
      <c r="K7429" s="483" t="str">
        <f t="shared" si="227"/>
        <v>10,26</v>
      </c>
      <c r="L7429" s="483" t="s">
        <v>28</v>
      </c>
      <c r="M7429" s="483">
        <v>14923.7</v>
      </c>
      <c r="N7429" s="486">
        <v>0.41666666666666669</v>
      </c>
      <c r="O7429" s="897" t="s">
        <v>2999</v>
      </c>
      <c r="P7429" s="867" t="s">
        <v>3117</v>
      </c>
    </row>
    <row r="7430" spans="1:17" ht="19.5" hidden="1" thickBot="1" x14ac:dyDescent="0.3">
      <c r="A7430" s="1087"/>
      <c r="B7430" s="645" t="s">
        <v>2987</v>
      </c>
      <c r="C7430" s="646" t="s">
        <v>20</v>
      </c>
      <c r="D7430" s="647">
        <v>2.7170000000000001</v>
      </c>
      <c r="E7430" s="648">
        <v>2.5059999999999998</v>
      </c>
      <c r="F7430" s="649" t="s">
        <v>16</v>
      </c>
      <c r="G7430" s="650"/>
      <c r="H7430" s="649" t="s">
        <v>2989</v>
      </c>
      <c r="I7430" s="651" t="s">
        <v>3083</v>
      </c>
      <c r="J7430" s="652"/>
      <c r="K7430" s="649" t="str">
        <f t="shared" si="227"/>
        <v>10,26</v>
      </c>
      <c r="L7430" s="649" t="s">
        <v>28</v>
      </c>
      <c r="M7430" s="649">
        <v>2809.78</v>
      </c>
      <c r="N7430" s="653">
        <v>0.41666666666666669</v>
      </c>
      <c r="O7430" s="897" t="s">
        <v>2998</v>
      </c>
      <c r="P7430" s="867" t="s">
        <v>3118</v>
      </c>
    </row>
    <row r="7431" spans="1:17" ht="56.25" x14ac:dyDescent="0.25">
      <c r="A7431" s="1082">
        <f>MAX(A7206:A7430)+1</f>
        <v>4537</v>
      </c>
      <c r="B7431" s="531" t="s">
        <v>2987</v>
      </c>
      <c r="C7431" s="532" t="s">
        <v>587</v>
      </c>
      <c r="D7431" s="533">
        <v>1.075</v>
      </c>
      <c r="E7431" s="534">
        <v>1.1040000000000001</v>
      </c>
      <c r="F7431" s="535" t="s">
        <v>16</v>
      </c>
      <c r="G7431" s="536" t="s">
        <v>794</v>
      </c>
      <c r="H7431" s="535" t="s">
        <v>2989</v>
      </c>
      <c r="I7431" s="537" t="s">
        <v>3106</v>
      </c>
      <c r="J7431" s="538"/>
      <c r="K7431" s="531"/>
      <c r="L7431" s="535" t="s">
        <v>28</v>
      </c>
      <c r="M7431" s="535">
        <v>1075.04</v>
      </c>
      <c r="N7431" s="539">
        <v>0.45833333333333331</v>
      </c>
      <c r="O7431" s="897" t="s">
        <v>3001</v>
      </c>
      <c r="P7431" s="867" t="s">
        <v>3177</v>
      </c>
    </row>
    <row r="7432" spans="1:17" x14ac:dyDescent="0.25">
      <c r="A7432" s="1083"/>
      <c r="B7432" s="563" t="s">
        <v>2987</v>
      </c>
      <c r="C7432" s="564" t="s">
        <v>587</v>
      </c>
      <c r="D7432" s="565">
        <v>7.423</v>
      </c>
      <c r="E7432" s="566">
        <v>7.3879999999999999</v>
      </c>
      <c r="F7432" s="567" t="s">
        <v>16</v>
      </c>
      <c r="G7432" s="568" t="s">
        <v>47</v>
      </c>
      <c r="H7432" s="567" t="s">
        <v>2989</v>
      </c>
      <c r="I7432" s="569" t="s">
        <v>3106</v>
      </c>
      <c r="J7432" s="570"/>
      <c r="K7432" s="563"/>
      <c r="L7432" s="567" t="s">
        <v>28</v>
      </c>
      <c r="M7432" s="567">
        <v>7423.5599999999995</v>
      </c>
      <c r="N7432" s="571">
        <v>0.45833333333333331</v>
      </c>
      <c r="O7432" s="897" t="s">
        <v>3002</v>
      </c>
      <c r="P7432" s="867" t="s">
        <v>3178</v>
      </c>
    </row>
    <row r="7433" spans="1:17" ht="19.5" thickBot="1" x14ac:dyDescent="0.3">
      <c r="A7433" s="1083"/>
      <c r="B7433" s="590" t="s">
        <v>2987</v>
      </c>
      <c r="C7433" s="591" t="s">
        <v>47</v>
      </c>
      <c r="D7433" s="592">
        <v>9.1080000000000005</v>
      </c>
      <c r="E7433" s="593">
        <v>9.2769999999999992</v>
      </c>
      <c r="F7433" s="594" t="s">
        <v>16</v>
      </c>
      <c r="G7433" s="595"/>
      <c r="H7433" s="594" t="s">
        <v>2989</v>
      </c>
      <c r="I7433" s="596" t="s">
        <v>3106</v>
      </c>
      <c r="J7433" s="597"/>
      <c r="K7433" s="590"/>
      <c r="L7433" s="594" t="s">
        <v>28</v>
      </c>
      <c r="M7433" s="594">
        <v>9340.3799999999992</v>
      </c>
      <c r="N7433" s="598">
        <v>0.45833333333333331</v>
      </c>
      <c r="O7433" s="897" t="s">
        <v>3000</v>
      </c>
      <c r="P7433" s="867" t="s">
        <v>3179</v>
      </c>
    </row>
    <row r="7434" spans="1:17" x14ac:dyDescent="0.25">
      <c r="A7434" s="1085">
        <f>MAX(A7209:A7433)+1</f>
        <v>4538</v>
      </c>
      <c r="B7434" s="479" t="s">
        <v>2970</v>
      </c>
      <c r="C7434" s="480" t="s">
        <v>480</v>
      </c>
      <c r="D7434" s="481">
        <v>4.0999999999999996</v>
      </c>
      <c r="E7434" s="482">
        <f>4.001+0.08</f>
        <v>4.0810000000000004</v>
      </c>
      <c r="F7434" s="483" t="s">
        <v>16</v>
      </c>
      <c r="G7434" s="549"/>
      <c r="H7434" s="483" t="s">
        <v>2989</v>
      </c>
      <c r="I7434" s="484" t="s">
        <v>3031</v>
      </c>
      <c r="J7434" s="485"/>
      <c r="K7434" s="479"/>
      <c r="L7434" s="483" t="s">
        <v>266</v>
      </c>
      <c r="M7434" s="483">
        <v>4163.92</v>
      </c>
      <c r="N7434" s="486">
        <v>0.5</v>
      </c>
      <c r="O7434" s="897" t="s">
        <v>3021</v>
      </c>
      <c r="P7434" s="867" t="s">
        <v>3060</v>
      </c>
      <c r="Q7434" s="847" t="s">
        <v>3066</v>
      </c>
    </row>
    <row r="7435" spans="1:17" x14ac:dyDescent="0.25">
      <c r="A7435" s="1086"/>
      <c r="B7435" s="523" t="s">
        <v>2970</v>
      </c>
      <c r="C7435" s="524" t="s">
        <v>981</v>
      </c>
      <c r="D7435" s="525">
        <v>6.2190000000000003</v>
      </c>
      <c r="E7435" s="526">
        <f>6.13+0.02</f>
        <v>6.1499999999999995</v>
      </c>
      <c r="F7435" s="527" t="s">
        <v>16</v>
      </c>
      <c r="G7435" s="561"/>
      <c r="H7435" s="527" t="s">
        <v>2989</v>
      </c>
      <c r="I7435" s="528" t="s">
        <v>3031</v>
      </c>
      <c r="J7435" s="529"/>
      <c r="K7435" s="523"/>
      <c r="L7435" s="527" t="s">
        <v>266</v>
      </c>
      <c r="M7435" s="527">
        <v>6222.5400000000009</v>
      </c>
      <c r="N7435" s="530">
        <v>0.5</v>
      </c>
      <c r="O7435" s="897" t="s">
        <v>3018</v>
      </c>
      <c r="P7435" s="867" t="s">
        <v>3062</v>
      </c>
      <c r="Q7435" s="847" t="s">
        <v>3063</v>
      </c>
    </row>
    <row r="7436" spans="1:17" x14ac:dyDescent="0.25">
      <c r="A7436" s="1086"/>
      <c r="B7436" s="523" t="s">
        <v>2970</v>
      </c>
      <c r="C7436" s="524" t="s">
        <v>32</v>
      </c>
      <c r="D7436" s="525">
        <v>5.59</v>
      </c>
      <c r="E7436" s="526">
        <f>5.568+0.04</f>
        <v>5.6079999999999997</v>
      </c>
      <c r="F7436" s="527" t="s">
        <v>16</v>
      </c>
      <c r="G7436" s="561" t="s">
        <v>1702</v>
      </c>
      <c r="H7436" s="527" t="s">
        <v>2989</v>
      </c>
      <c r="I7436" s="528" t="s">
        <v>3031</v>
      </c>
      <c r="J7436" s="529"/>
      <c r="K7436" s="523"/>
      <c r="L7436" s="527" t="s">
        <v>266</v>
      </c>
      <c r="M7436" s="527">
        <v>5593.7000000000007</v>
      </c>
      <c r="N7436" s="530">
        <v>0.5</v>
      </c>
      <c r="O7436" s="897" t="s">
        <v>3019</v>
      </c>
      <c r="P7436" s="867" t="s">
        <v>3061</v>
      </c>
      <c r="Q7436" s="847" t="s">
        <v>3065</v>
      </c>
    </row>
    <row r="7437" spans="1:17" ht="19.5" thickBot="1" x14ac:dyDescent="0.3">
      <c r="A7437" s="1087"/>
      <c r="B7437" s="495" t="s">
        <v>2970</v>
      </c>
      <c r="C7437" s="496" t="s">
        <v>913</v>
      </c>
      <c r="D7437" s="497">
        <v>1.8380000000000001</v>
      </c>
      <c r="E7437" s="498">
        <f>1.597+0.12</f>
        <v>1.7170000000000001</v>
      </c>
      <c r="F7437" s="499" t="s">
        <v>16</v>
      </c>
      <c r="G7437" s="1057"/>
      <c r="H7437" s="499" t="s">
        <v>2989</v>
      </c>
      <c r="I7437" s="500" t="s">
        <v>3031</v>
      </c>
      <c r="J7437" s="501"/>
      <c r="K7437" s="495"/>
      <c r="L7437" s="499" t="s">
        <v>266</v>
      </c>
      <c r="M7437" s="499">
        <v>1846.2</v>
      </c>
      <c r="N7437" s="502">
        <v>0.5</v>
      </c>
      <c r="O7437" s="897" t="s">
        <v>3020</v>
      </c>
      <c r="P7437" s="867" t="s">
        <v>3059</v>
      </c>
      <c r="Q7437" s="847" t="s">
        <v>3064</v>
      </c>
    </row>
    <row r="7438" spans="1:17" x14ac:dyDescent="0.25">
      <c r="A7438" s="1094">
        <f>MAX(A7213:A7437)+1</f>
        <v>4539</v>
      </c>
      <c r="B7438" s="759" t="s">
        <v>2970</v>
      </c>
      <c r="C7438" s="532" t="s">
        <v>26</v>
      </c>
      <c r="D7438" s="533">
        <v>15.757999999999999</v>
      </c>
      <c r="E7438" s="534">
        <v>15.455</v>
      </c>
      <c r="F7438" s="535" t="s">
        <v>16</v>
      </c>
      <c r="G7438" s="1058"/>
      <c r="H7438" s="535" t="s">
        <v>3013</v>
      </c>
      <c r="I7438" s="537" t="s">
        <v>3033</v>
      </c>
      <c r="J7438" s="538"/>
      <c r="K7438" s="531"/>
      <c r="L7438" s="535" t="s">
        <v>265</v>
      </c>
      <c r="M7438" s="535">
        <v>15933.300000000001</v>
      </c>
      <c r="N7438" s="539">
        <v>4.1666666666666664E-2</v>
      </c>
      <c r="O7438" s="897" t="s">
        <v>3016</v>
      </c>
      <c r="P7438" s="867" t="s">
        <v>3097</v>
      </c>
    </row>
    <row r="7439" spans="1:17" x14ac:dyDescent="0.25">
      <c r="A7439" s="1095"/>
      <c r="B7439" s="824" t="s">
        <v>3031</v>
      </c>
      <c r="C7439" s="820" t="s">
        <v>952</v>
      </c>
      <c r="D7439" s="821">
        <v>1.9990000000000001</v>
      </c>
      <c r="E7439" s="822"/>
      <c r="F7439" s="819" t="s">
        <v>16</v>
      </c>
      <c r="G7439" s="1059" t="s">
        <v>3053</v>
      </c>
      <c r="H7439" s="819" t="s">
        <v>3013</v>
      </c>
      <c r="I7439" s="782"/>
      <c r="J7439" s="825"/>
      <c r="K7439" s="849"/>
      <c r="L7439" s="819" t="s">
        <v>265</v>
      </c>
      <c r="M7439" s="819">
        <v>2066.52</v>
      </c>
      <c r="N7439" s="811">
        <v>4.1666666666666664E-2</v>
      </c>
      <c r="O7439" s="897" t="s">
        <v>3082</v>
      </c>
    </row>
    <row r="7440" spans="1:17" ht="38.25" thickBot="1" x14ac:dyDescent="0.3">
      <c r="A7440" s="1096"/>
      <c r="B7440" s="951" t="s">
        <v>2970</v>
      </c>
      <c r="C7440" s="870" t="s">
        <v>952</v>
      </c>
      <c r="D7440" s="871">
        <v>1.9990000000000001</v>
      </c>
      <c r="E7440" s="872">
        <v>1.1839999999999999</v>
      </c>
      <c r="F7440" s="873" t="s">
        <v>16</v>
      </c>
      <c r="G7440" s="789" t="s">
        <v>3052</v>
      </c>
      <c r="H7440" s="873" t="s">
        <v>3013</v>
      </c>
      <c r="I7440" s="875" t="s">
        <v>3013</v>
      </c>
      <c r="J7440" s="876"/>
      <c r="K7440" s="869"/>
      <c r="L7440" s="873" t="s">
        <v>265</v>
      </c>
      <c r="M7440" s="873">
        <v>2066.52</v>
      </c>
      <c r="N7440" s="784">
        <v>4.1666666666666664E-2</v>
      </c>
      <c r="O7440" s="897" t="s">
        <v>3017</v>
      </c>
      <c r="P7440" s="867" t="s">
        <v>3070</v>
      </c>
    </row>
    <row r="7441" spans="1:16" x14ac:dyDescent="0.25">
      <c r="A7441" s="1085">
        <f>MAX(A7215:A7440)+1</f>
        <v>4540</v>
      </c>
      <c r="B7441" s="523" t="s">
        <v>2970</v>
      </c>
      <c r="C7441" s="524" t="s">
        <v>839</v>
      </c>
      <c r="D7441" s="525">
        <v>2.2000000000000002</v>
      </c>
      <c r="E7441" s="526">
        <v>2.23</v>
      </c>
      <c r="F7441" s="527" t="s">
        <v>16</v>
      </c>
      <c r="G7441" s="561"/>
      <c r="H7441" s="527" t="s">
        <v>3013</v>
      </c>
      <c r="I7441" s="528" t="s">
        <v>3033</v>
      </c>
      <c r="J7441" s="529"/>
      <c r="K7441" s="523"/>
      <c r="L7441" s="527" t="s">
        <v>28</v>
      </c>
      <c r="M7441" s="527">
        <v>2218.1999999999998</v>
      </c>
      <c r="N7441" s="530">
        <v>0.41666666666666669</v>
      </c>
      <c r="O7441" s="897" t="s">
        <v>3014</v>
      </c>
      <c r="P7441" s="867" t="s">
        <v>3094</v>
      </c>
    </row>
    <row r="7442" spans="1:16" ht="19.5" thickBot="1" x14ac:dyDescent="0.3">
      <c r="A7442" s="1087"/>
      <c r="B7442" s="645" t="s">
        <v>2970</v>
      </c>
      <c r="C7442" s="646" t="s">
        <v>23</v>
      </c>
      <c r="D7442" s="647">
        <v>15.404999999999999</v>
      </c>
      <c r="E7442" s="648">
        <v>15.531000000000001</v>
      </c>
      <c r="F7442" s="649" t="s">
        <v>16</v>
      </c>
      <c r="G7442" s="650"/>
      <c r="H7442" s="649" t="s">
        <v>3013</v>
      </c>
      <c r="I7442" s="651" t="s">
        <v>3033</v>
      </c>
      <c r="J7442" s="652"/>
      <c r="K7442" s="645"/>
      <c r="L7442" s="649" t="s">
        <v>28</v>
      </c>
      <c r="M7442" s="649">
        <v>15542.44</v>
      </c>
      <c r="N7442" s="653">
        <v>0.41666666666666669</v>
      </c>
      <c r="O7442" s="897" t="s">
        <v>3015</v>
      </c>
      <c r="P7442" s="867" t="s">
        <v>3095</v>
      </c>
    </row>
    <row r="7443" spans="1:16" ht="19.5" thickBot="1" x14ac:dyDescent="0.3">
      <c r="A7443" s="1050">
        <f>MAX(A7217:A7442)+1</f>
        <v>4541</v>
      </c>
      <c r="B7443" s="552" t="s">
        <v>2970</v>
      </c>
      <c r="C7443" s="553" t="s">
        <v>21</v>
      </c>
      <c r="D7443" s="554">
        <v>17.045999999999999</v>
      </c>
      <c r="E7443" s="555">
        <v>17.119</v>
      </c>
      <c r="F7443" s="556" t="s">
        <v>16</v>
      </c>
      <c r="G7443" s="1053"/>
      <c r="H7443" s="556" t="s">
        <v>3013</v>
      </c>
      <c r="I7443" s="558" t="s">
        <v>3083</v>
      </c>
      <c r="J7443" s="559"/>
      <c r="K7443" s="552"/>
      <c r="L7443" s="556" t="s">
        <v>265</v>
      </c>
      <c r="M7443" s="556">
        <v>17098.8</v>
      </c>
      <c r="N7443" s="560">
        <v>0.45833333333333331</v>
      </c>
      <c r="O7443" s="897" t="s">
        <v>3022</v>
      </c>
      <c r="P7443" s="867" t="s">
        <v>3116</v>
      </c>
    </row>
    <row r="7444" spans="1:16" ht="19.5" thickBot="1" x14ac:dyDescent="0.3">
      <c r="A7444" s="513">
        <f>MAX(A7218:A7443)+1</f>
        <v>4542</v>
      </c>
      <c r="B7444" s="514" t="s">
        <v>2988</v>
      </c>
      <c r="C7444" s="515" t="s">
        <v>26</v>
      </c>
      <c r="D7444" s="516">
        <v>17.558</v>
      </c>
      <c r="E7444" s="517">
        <v>17.372</v>
      </c>
      <c r="F7444" s="518" t="s">
        <v>16</v>
      </c>
      <c r="G7444" s="519"/>
      <c r="H7444" s="518" t="s">
        <v>3031</v>
      </c>
      <c r="I7444" s="520" t="s">
        <v>3033</v>
      </c>
      <c r="J7444" s="521"/>
      <c r="K7444" s="514"/>
      <c r="L7444" s="518" t="s">
        <v>265</v>
      </c>
      <c r="M7444" s="518">
        <v>17716.500000000004</v>
      </c>
      <c r="N7444" s="522">
        <v>4.1666666666666664E-2</v>
      </c>
      <c r="O7444" s="897" t="s">
        <v>3044</v>
      </c>
      <c r="P7444" s="867" t="s">
        <v>3093</v>
      </c>
    </row>
    <row r="7445" spans="1:16" ht="19.5" thickBot="1" x14ac:dyDescent="0.3">
      <c r="A7445" s="503">
        <f>MAX(A7219:A7444)+1</f>
        <v>4543</v>
      </c>
      <c r="B7445" s="504" t="s">
        <v>2988</v>
      </c>
      <c r="C7445" s="505" t="s">
        <v>26</v>
      </c>
      <c r="D7445" s="506">
        <v>15.004</v>
      </c>
      <c r="E7445" s="507">
        <v>15.004</v>
      </c>
      <c r="F7445" s="508" t="s">
        <v>30</v>
      </c>
      <c r="G7445" s="509"/>
      <c r="H7445" s="508" t="s">
        <v>3031</v>
      </c>
      <c r="I7445" s="510" t="s">
        <v>3031</v>
      </c>
      <c r="J7445" s="511"/>
      <c r="K7445" s="504"/>
      <c r="L7445" s="508" t="s">
        <v>265</v>
      </c>
      <c r="M7445" s="508">
        <v>15004.08</v>
      </c>
      <c r="N7445" s="512">
        <v>4.1666666666666664E-2</v>
      </c>
      <c r="O7445" s="897" t="s">
        <v>3034</v>
      </c>
      <c r="P7445" s="867" t="s">
        <v>3086</v>
      </c>
    </row>
    <row r="7446" spans="1:16" x14ac:dyDescent="0.25">
      <c r="A7446" s="1085">
        <f>MAX(A7220:A7445)+1</f>
        <v>4544</v>
      </c>
      <c r="B7446" s="479" t="s">
        <v>2988</v>
      </c>
      <c r="C7446" s="480" t="s">
        <v>23</v>
      </c>
      <c r="D7446" s="481">
        <v>12.334</v>
      </c>
      <c r="E7446" s="482">
        <v>12.473000000000001</v>
      </c>
      <c r="F7446" s="483" t="s">
        <v>16</v>
      </c>
      <c r="G7446" s="1103" t="s">
        <v>3032</v>
      </c>
      <c r="H7446" s="483" t="s">
        <v>3031</v>
      </c>
      <c r="I7446" s="484" t="s">
        <v>3088</v>
      </c>
      <c r="J7446" s="485"/>
      <c r="K7446" s="479"/>
      <c r="L7446" s="483" t="s">
        <v>28</v>
      </c>
      <c r="M7446" s="483">
        <v>12474.890000000003</v>
      </c>
      <c r="N7446" s="486">
        <v>0.41666666666666669</v>
      </c>
      <c r="O7446" s="897" t="s">
        <v>3036</v>
      </c>
      <c r="P7446" s="867" t="s">
        <v>3132</v>
      </c>
    </row>
    <row r="7447" spans="1:16" ht="19.5" thickBot="1" x14ac:dyDescent="0.3">
      <c r="A7447" s="1087"/>
      <c r="B7447" s="645" t="s">
        <v>2988</v>
      </c>
      <c r="C7447" s="646" t="s">
        <v>20</v>
      </c>
      <c r="D7447" s="647">
        <v>2.67</v>
      </c>
      <c r="E7447" s="648">
        <v>2.7679999999999998</v>
      </c>
      <c r="F7447" s="649" t="s">
        <v>16</v>
      </c>
      <c r="G7447" s="1104"/>
      <c r="H7447" s="649" t="s">
        <v>3031</v>
      </c>
      <c r="I7447" s="651" t="s">
        <v>3088</v>
      </c>
      <c r="J7447" s="652"/>
      <c r="K7447" s="645"/>
      <c r="L7447" s="649" t="s">
        <v>28</v>
      </c>
      <c r="M7447" s="649">
        <v>2770.3900000000003</v>
      </c>
      <c r="N7447" s="653">
        <v>0.41666666666666669</v>
      </c>
      <c r="O7447" s="897" t="s">
        <v>3037</v>
      </c>
      <c r="P7447" s="867" t="s">
        <v>3133</v>
      </c>
    </row>
    <row r="7448" spans="1:16" ht="38.25" thickBot="1" x14ac:dyDescent="0.3">
      <c r="A7448" s="503">
        <f>MAX(A7222:A7447)+1</f>
        <v>4545</v>
      </c>
      <c r="B7448" s="504" t="s">
        <v>2988</v>
      </c>
      <c r="C7448" s="505" t="s">
        <v>47</v>
      </c>
      <c r="D7448" s="506">
        <v>16.86</v>
      </c>
      <c r="E7448" s="507">
        <v>16.998000000000001</v>
      </c>
      <c r="F7448" s="508" t="s">
        <v>16</v>
      </c>
      <c r="G7448" s="509" t="s">
        <v>1633</v>
      </c>
      <c r="H7448" s="508" t="s">
        <v>3031</v>
      </c>
      <c r="I7448" s="510" t="s">
        <v>3083</v>
      </c>
      <c r="J7448" s="511"/>
      <c r="K7448" s="504"/>
      <c r="L7448" s="508" t="s">
        <v>28</v>
      </c>
      <c r="M7448" s="508">
        <v>17039.13</v>
      </c>
      <c r="N7448" s="512">
        <v>0.45833333333333331</v>
      </c>
      <c r="O7448" s="897" t="s">
        <v>3048</v>
      </c>
      <c r="P7448" s="867" t="s">
        <v>3096</v>
      </c>
    </row>
    <row r="7449" spans="1:16" x14ac:dyDescent="0.25">
      <c r="A7449" s="1085">
        <f>MAX(A7223:A7448)+1</f>
        <v>4546</v>
      </c>
      <c r="B7449" s="479" t="s">
        <v>2988</v>
      </c>
      <c r="C7449" s="480" t="s">
        <v>587</v>
      </c>
      <c r="D7449" s="481">
        <v>7.5279999999999996</v>
      </c>
      <c r="E7449" s="482">
        <v>7.5129999999999999</v>
      </c>
      <c r="F7449" s="483" t="s">
        <v>30</v>
      </c>
      <c r="G7449" s="1051" t="s">
        <v>23</v>
      </c>
      <c r="H7449" s="483" t="s">
        <v>3031</v>
      </c>
      <c r="I7449" s="484" t="s">
        <v>3033</v>
      </c>
      <c r="J7449" s="485"/>
      <c r="K7449" s="479"/>
      <c r="L7449" s="483" t="s">
        <v>28</v>
      </c>
      <c r="M7449" s="483">
        <v>7528.88</v>
      </c>
      <c r="N7449" s="486">
        <v>0.41666666666666669</v>
      </c>
      <c r="O7449" s="897" t="s">
        <v>3043</v>
      </c>
      <c r="P7449" s="867" t="s">
        <v>3100</v>
      </c>
    </row>
    <row r="7450" spans="1:16" ht="19.5" thickBot="1" x14ac:dyDescent="0.3">
      <c r="A7450" s="1087"/>
      <c r="B7450" s="645" t="s">
        <v>2988</v>
      </c>
      <c r="C7450" s="646" t="s">
        <v>23</v>
      </c>
      <c r="D7450" s="647">
        <v>5.7789999999999999</v>
      </c>
      <c r="E7450" s="648">
        <v>5.7789999999999999</v>
      </c>
      <c r="F7450" s="649" t="s">
        <v>30</v>
      </c>
      <c r="G7450" s="1055"/>
      <c r="H7450" s="649" t="s">
        <v>3031</v>
      </c>
      <c r="I7450" s="651" t="s">
        <v>3033</v>
      </c>
      <c r="J7450" s="652"/>
      <c r="K7450" s="645"/>
      <c r="L7450" s="649" t="s">
        <v>28</v>
      </c>
      <c r="M7450" s="649">
        <v>5779.5199999999995</v>
      </c>
      <c r="N7450" s="653">
        <v>0.41666666666666669</v>
      </c>
      <c r="O7450" s="897" t="s">
        <v>3038</v>
      </c>
      <c r="P7450" s="867" t="s">
        <v>3101</v>
      </c>
    </row>
    <row r="7451" spans="1:16" x14ac:dyDescent="0.25">
      <c r="A7451" s="1082">
        <f>MAX(A7225:A7450)+1</f>
        <v>4547</v>
      </c>
      <c r="B7451" s="531" t="s">
        <v>2988</v>
      </c>
      <c r="C7451" s="532" t="s">
        <v>587</v>
      </c>
      <c r="D7451" s="533">
        <v>7.641</v>
      </c>
      <c r="E7451" s="534">
        <v>7.641</v>
      </c>
      <c r="F7451" s="535" t="s">
        <v>30</v>
      </c>
      <c r="G7451" s="1052" t="s">
        <v>47</v>
      </c>
      <c r="H7451" s="535" t="s">
        <v>3031</v>
      </c>
      <c r="I7451" s="537" t="s">
        <v>3088</v>
      </c>
      <c r="J7451" s="538"/>
      <c r="K7451" s="531"/>
      <c r="L7451" s="535" t="s">
        <v>28</v>
      </c>
      <c r="M7451" s="535">
        <v>7641.4800000000005</v>
      </c>
      <c r="N7451" s="539">
        <v>0.45833333333333331</v>
      </c>
      <c r="O7451" s="897" t="s">
        <v>3039</v>
      </c>
      <c r="P7451" s="867" t="s">
        <v>3163</v>
      </c>
    </row>
    <row r="7452" spans="1:16" ht="19.5" thickBot="1" x14ac:dyDescent="0.3">
      <c r="A7452" s="1084"/>
      <c r="B7452" s="636" t="s">
        <v>2988</v>
      </c>
      <c r="C7452" s="637" t="s">
        <v>47</v>
      </c>
      <c r="D7452" s="638">
        <v>5.8040000000000003</v>
      </c>
      <c r="E7452" s="639">
        <v>5.8040000000000003</v>
      </c>
      <c r="F7452" s="640" t="s">
        <v>30</v>
      </c>
      <c r="G7452" s="1054"/>
      <c r="H7452" s="640" t="s">
        <v>3031</v>
      </c>
      <c r="I7452" s="642" t="s">
        <v>3088</v>
      </c>
      <c r="J7452" s="643"/>
      <c r="K7452" s="636"/>
      <c r="L7452" s="640" t="s">
        <v>28</v>
      </c>
      <c r="M7452" s="640">
        <v>5804.4</v>
      </c>
      <c r="N7452" s="644">
        <v>0.45833333333333331</v>
      </c>
      <c r="O7452" s="897" t="s">
        <v>3046</v>
      </c>
      <c r="P7452" s="867" t="s">
        <v>3128</v>
      </c>
    </row>
    <row r="7453" spans="1:16" ht="19.5" thickBot="1" x14ac:dyDescent="0.3">
      <c r="A7453" s="513">
        <f>MAX(A7227:A7452)+1</f>
        <v>4548</v>
      </c>
      <c r="B7453" s="514" t="s">
        <v>2988</v>
      </c>
      <c r="C7453" s="515" t="s">
        <v>26</v>
      </c>
      <c r="D7453" s="516">
        <v>17.600999999999999</v>
      </c>
      <c r="E7453" s="517">
        <v>17.815999999999999</v>
      </c>
      <c r="F7453" s="518" t="s">
        <v>16</v>
      </c>
      <c r="G7453" s="519"/>
      <c r="H7453" s="518" t="s">
        <v>3033</v>
      </c>
      <c r="I7453" s="520" t="s">
        <v>3033</v>
      </c>
      <c r="J7453" s="521"/>
      <c r="K7453" s="514"/>
      <c r="L7453" s="518" t="s">
        <v>265</v>
      </c>
      <c r="M7453" s="518">
        <v>17798.7</v>
      </c>
      <c r="N7453" s="522">
        <v>4.1666666666666664E-2</v>
      </c>
      <c r="O7453" s="897" t="s">
        <v>3045</v>
      </c>
      <c r="P7453" s="867" t="s">
        <v>3099</v>
      </c>
    </row>
    <row r="7454" spans="1:16" x14ac:dyDescent="0.25">
      <c r="A7454" s="1082">
        <f>MAX(A7228:A7453)+1</f>
        <v>4549</v>
      </c>
      <c r="B7454" s="531" t="s">
        <v>2988</v>
      </c>
      <c r="C7454" s="532" t="s">
        <v>2714</v>
      </c>
      <c r="D7454" s="533">
        <v>5.0339999999999998</v>
      </c>
      <c r="E7454" s="534">
        <v>5.1079999999999997</v>
      </c>
      <c r="F7454" s="535" t="s">
        <v>16</v>
      </c>
      <c r="G7454" s="1105" t="s">
        <v>2910</v>
      </c>
      <c r="H7454" s="535" t="s">
        <v>3033</v>
      </c>
      <c r="I7454" s="537" t="s">
        <v>3088</v>
      </c>
      <c r="J7454" s="538"/>
      <c r="K7454" s="531"/>
      <c r="L7454" s="535" t="s">
        <v>265</v>
      </c>
      <c r="M7454" s="535">
        <v>5082.3600000000006</v>
      </c>
      <c r="N7454" s="539">
        <v>0.41666666666666669</v>
      </c>
      <c r="O7454" s="897" t="s">
        <v>3050</v>
      </c>
      <c r="P7454" s="867" t="s">
        <v>3129</v>
      </c>
    </row>
    <row r="7455" spans="1:16" x14ac:dyDescent="0.25">
      <c r="A7455" s="1083"/>
      <c r="B7455" s="563" t="s">
        <v>2988</v>
      </c>
      <c r="C7455" s="564" t="s">
        <v>15</v>
      </c>
      <c r="D7455" s="565">
        <v>3.8580000000000001</v>
      </c>
      <c r="E7455" s="566">
        <v>4.0140000000000002</v>
      </c>
      <c r="F7455" s="567" t="s">
        <v>16</v>
      </c>
      <c r="G7455" s="1106"/>
      <c r="H7455" s="567" t="s">
        <v>3033</v>
      </c>
      <c r="I7455" s="569" t="s">
        <v>3088</v>
      </c>
      <c r="J7455" s="570"/>
      <c r="K7455" s="563"/>
      <c r="L7455" s="567" t="s">
        <v>28</v>
      </c>
      <c r="M7455" s="567">
        <v>4000.5099999999998</v>
      </c>
      <c r="N7455" s="571">
        <v>0.41666666666666669</v>
      </c>
      <c r="O7455" s="897" t="s">
        <v>3040</v>
      </c>
      <c r="P7455" s="867" t="s">
        <v>3130</v>
      </c>
    </row>
    <row r="7456" spans="1:16" ht="19.5" thickBot="1" x14ac:dyDescent="0.3">
      <c r="A7456" s="1084"/>
      <c r="B7456" s="636" t="s">
        <v>2988</v>
      </c>
      <c r="C7456" s="637" t="s">
        <v>24</v>
      </c>
      <c r="D7456" s="638">
        <v>5.8319999999999999</v>
      </c>
      <c r="E7456" s="639">
        <v>5.9219999999999997</v>
      </c>
      <c r="F7456" s="640" t="s">
        <v>16</v>
      </c>
      <c r="G7456" s="1107"/>
      <c r="H7456" s="640" t="s">
        <v>3033</v>
      </c>
      <c r="I7456" s="642" t="s">
        <v>3088</v>
      </c>
      <c r="J7456" s="643"/>
      <c r="K7456" s="636"/>
      <c r="L7456" s="640" t="s">
        <v>28</v>
      </c>
      <c r="M7456" s="640">
        <v>5923.8099999999995</v>
      </c>
      <c r="N7456" s="644">
        <v>0.41666666666666669</v>
      </c>
      <c r="O7456" s="897" t="s">
        <v>3041</v>
      </c>
      <c r="P7456" s="867" t="s">
        <v>3131</v>
      </c>
    </row>
    <row r="7457" spans="1:16" ht="38.25" thickBot="1" x14ac:dyDescent="0.3">
      <c r="A7457" s="662">
        <f>MAX(A7231:A7456)+1</f>
        <v>4550</v>
      </c>
      <c r="B7457" s="663" t="s">
        <v>2988</v>
      </c>
      <c r="C7457" s="664" t="s">
        <v>25</v>
      </c>
      <c r="D7457" s="665">
        <v>16.893000000000001</v>
      </c>
      <c r="E7457" s="666" t="s">
        <v>1496</v>
      </c>
      <c r="F7457" s="667" t="s">
        <v>16</v>
      </c>
      <c r="G7457" s="668" t="s">
        <v>3087</v>
      </c>
      <c r="H7457" s="667" t="s">
        <v>3033</v>
      </c>
      <c r="I7457" s="669" t="s">
        <v>1496</v>
      </c>
      <c r="J7457" s="670"/>
      <c r="K7457" s="663"/>
      <c r="L7457" s="667" t="s">
        <v>265</v>
      </c>
      <c r="M7457" s="667">
        <v>17023.750000000004</v>
      </c>
      <c r="N7457" s="671">
        <v>0.5</v>
      </c>
      <c r="O7457" s="920" t="s">
        <v>3049</v>
      </c>
      <c r="P7457" s="921" t="s">
        <v>1024</v>
      </c>
    </row>
    <row r="7458" spans="1:16" x14ac:dyDescent="0.25">
      <c r="A7458" s="1082">
        <f>MAX(A7232:A7457)+1</f>
        <v>4551</v>
      </c>
      <c r="B7458" s="531" t="s">
        <v>2988</v>
      </c>
      <c r="C7458" s="532" t="s">
        <v>20</v>
      </c>
      <c r="D7458" s="533">
        <v>6.6379999999999999</v>
      </c>
      <c r="E7458" s="534">
        <v>6.6379999999999999</v>
      </c>
      <c r="F7458" s="535" t="s">
        <v>30</v>
      </c>
      <c r="G7458" s="1052"/>
      <c r="H7458" s="535" t="s">
        <v>3033</v>
      </c>
      <c r="I7458" s="537" t="s">
        <v>3119</v>
      </c>
      <c r="J7458" s="538"/>
      <c r="K7458" s="531"/>
      <c r="L7458" s="535" t="s">
        <v>28</v>
      </c>
      <c r="M7458" s="535">
        <v>6638.9600000000009</v>
      </c>
      <c r="N7458" s="539">
        <v>0.41666666666666669</v>
      </c>
      <c r="O7458" s="897" t="s">
        <v>3042</v>
      </c>
      <c r="P7458" s="867" t="s">
        <v>3169</v>
      </c>
    </row>
    <row r="7459" spans="1:16" ht="19.5" thickBot="1" x14ac:dyDescent="0.3">
      <c r="A7459" s="1084"/>
      <c r="B7459" s="636" t="s">
        <v>2988</v>
      </c>
      <c r="C7459" s="637" t="s">
        <v>23</v>
      </c>
      <c r="D7459" s="638">
        <v>7.1879999999999997</v>
      </c>
      <c r="E7459" s="639">
        <v>7.1929999999999996</v>
      </c>
      <c r="F7459" s="640" t="s">
        <v>30</v>
      </c>
      <c r="G7459" s="1054"/>
      <c r="H7459" s="640" t="s">
        <v>3033</v>
      </c>
      <c r="I7459" s="642" t="s">
        <v>3119</v>
      </c>
      <c r="J7459" s="643"/>
      <c r="K7459" s="636"/>
      <c r="L7459" s="640" t="s">
        <v>28</v>
      </c>
      <c r="M7459" s="640">
        <v>7188.24</v>
      </c>
      <c r="N7459" s="644">
        <v>0.41666666666666669</v>
      </c>
      <c r="O7459" s="897" t="s">
        <v>3047</v>
      </c>
      <c r="P7459" s="867" t="s">
        <v>3170</v>
      </c>
    </row>
    <row r="7460" spans="1:16" ht="57" thickBot="1" x14ac:dyDescent="0.3">
      <c r="A7460" s="513">
        <f t="shared" ref="A7460:A7467" si="228">MAX(A7234:A7459)+1</f>
        <v>4552</v>
      </c>
      <c r="B7460" s="514" t="s">
        <v>2988</v>
      </c>
      <c r="C7460" s="515" t="s">
        <v>26</v>
      </c>
      <c r="D7460" s="516">
        <v>11.6</v>
      </c>
      <c r="E7460" s="517">
        <v>11.775</v>
      </c>
      <c r="F7460" s="518" t="s">
        <v>16</v>
      </c>
      <c r="G7460" s="519" t="s">
        <v>3035</v>
      </c>
      <c r="H7460" s="518" t="s">
        <v>3033</v>
      </c>
      <c r="I7460" s="520" t="s">
        <v>3083</v>
      </c>
      <c r="J7460" s="521"/>
      <c r="K7460" s="514"/>
      <c r="L7460" s="518" t="s">
        <v>265</v>
      </c>
      <c r="M7460" s="518">
        <v>11727.48</v>
      </c>
      <c r="N7460" s="522">
        <v>0.58333333333333337</v>
      </c>
      <c r="O7460" s="897" t="s">
        <v>3051</v>
      </c>
      <c r="P7460" s="867" t="s">
        <v>3115</v>
      </c>
    </row>
    <row r="7461" spans="1:16" x14ac:dyDescent="0.25">
      <c r="A7461" s="1082">
        <f t="shared" si="228"/>
        <v>4553</v>
      </c>
      <c r="B7461" s="531" t="s">
        <v>3031</v>
      </c>
      <c r="C7461" s="532" t="s">
        <v>55</v>
      </c>
      <c r="D7461" s="533">
        <v>2.96</v>
      </c>
      <c r="E7461" s="534">
        <v>2.9790000000000001</v>
      </c>
      <c r="F7461" s="535" t="s">
        <v>16</v>
      </c>
      <c r="G7461" s="1060" t="s">
        <v>844</v>
      </c>
      <c r="H7461" s="535" t="s">
        <v>3083</v>
      </c>
      <c r="I7461" s="537" t="s">
        <v>3088</v>
      </c>
      <c r="J7461" s="538"/>
      <c r="K7461" s="531"/>
      <c r="L7461" s="535" t="s">
        <v>266</v>
      </c>
      <c r="M7461" s="535">
        <v>2960.6099999999997</v>
      </c>
      <c r="N7461" s="539">
        <v>0.5</v>
      </c>
      <c r="O7461" s="897" t="s">
        <v>3084</v>
      </c>
      <c r="P7461" s="867" t="s">
        <v>3135</v>
      </c>
    </row>
    <row r="7462" spans="1:16" ht="19.5" thickBot="1" x14ac:dyDescent="0.3">
      <c r="A7462" s="1083"/>
      <c r="B7462" s="590" t="s">
        <v>3031</v>
      </c>
      <c r="C7462" s="591" t="s">
        <v>55</v>
      </c>
      <c r="D7462" s="592">
        <v>9.7780000000000005</v>
      </c>
      <c r="E7462" s="593">
        <v>9.7509999999999994</v>
      </c>
      <c r="F7462" s="594" t="s">
        <v>16</v>
      </c>
      <c r="G7462" s="1061" t="s">
        <v>845</v>
      </c>
      <c r="H7462" s="594" t="s">
        <v>3083</v>
      </c>
      <c r="I7462" s="596" t="s">
        <v>3088</v>
      </c>
      <c r="J7462" s="597"/>
      <c r="K7462" s="590"/>
      <c r="L7462" s="594" t="s">
        <v>266</v>
      </c>
      <c r="M7462" s="594">
        <v>9778.23</v>
      </c>
      <c r="N7462" s="598">
        <v>0.5</v>
      </c>
      <c r="O7462" s="897" t="s">
        <v>3085</v>
      </c>
      <c r="P7462" s="867" t="s">
        <v>3134</v>
      </c>
    </row>
    <row r="7463" spans="1:16" ht="19.5" thickBot="1" x14ac:dyDescent="0.3">
      <c r="A7463" s="513">
        <f t="shared" si="228"/>
        <v>4554</v>
      </c>
      <c r="B7463" s="514" t="s">
        <v>3033</v>
      </c>
      <c r="C7463" s="515" t="s">
        <v>32</v>
      </c>
      <c r="D7463" s="516">
        <v>18.061</v>
      </c>
      <c r="E7463" s="517">
        <v>18.256</v>
      </c>
      <c r="F7463" s="518" t="s">
        <v>16</v>
      </c>
      <c r="G7463" s="519"/>
      <c r="H7463" s="518" t="s">
        <v>3088</v>
      </c>
      <c r="I7463" s="520" t="s">
        <v>3137</v>
      </c>
      <c r="J7463" s="521"/>
      <c r="K7463" s="514"/>
      <c r="L7463" s="518" t="s">
        <v>266</v>
      </c>
      <c r="M7463" s="518">
        <v>18200.600000000006</v>
      </c>
      <c r="N7463" s="522">
        <v>0.41666666666666669</v>
      </c>
      <c r="O7463" s="897" t="s">
        <v>3089</v>
      </c>
      <c r="P7463" s="867" t="s">
        <v>3166</v>
      </c>
    </row>
    <row r="7464" spans="1:16" ht="19.5" thickBot="1" x14ac:dyDescent="0.3">
      <c r="A7464" s="503">
        <f t="shared" si="228"/>
        <v>4555</v>
      </c>
      <c r="B7464" s="504" t="s">
        <v>3033</v>
      </c>
      <c r="C7464" s="505" t="s">
        <v>32</v>
      </c>
      <c r="D7464" s="506">
        <v>18.026</v>
      </c>
      <c r="E7464" s="507">
        <v>18.056000000000001</v>
      </c>
      <c r="F7464" s="508" t="s">
        <v>16</v>
      </c>
      <c r="G7464" s="509"/>
      <c r="H7464" s="508" t="s">
        <v>3088</v>
      </c>
      <c r="I7464" s="510" t="s">
        <v>3104</v>
      </c>
      <c r="J7464" s="511"/>
      <c r="K7464" s="504"/>
      <c r="L7464" s="508" t="s">
        <v>266</v>
      </c>
      <c r="M7464" s="508">
        <v>18150.86</v>
      </c>
      <c r="N7464" s="512">
        <v>0.45833333333333331</v>
      </c>
      <c r="O7464" s="897" t="s">
        <v>3091</v>
      </c>
      <c r="P7464" s="867" t="s">
        <v>3180</v>
      </c>
    </row>
    <row r="7465" spans="1:16" ht="19.5" thickBot="1" x14ac:dyDescent="0.3">
      <c r="A7465" s="1062">
        <f t="shared" si="228"/>
        <v>4556</v>
      </c>
      <c r="B7465" s="573" t="s">
        <v>3033</v>
      </c>
      <c r="C7465" s="574" t="s">
        <v>32</v>
      </c>
      <c r="D7465" s="575">
        <v>18</v>
      </c>
      <c r="E7465" s="576">
        <v>18.006</v>
      </c>
      <c r="F7465" s="577" t="s">
        <v>16</v>
      </c>
      <c r="G7465" s="1063"/>
      <c r="H7465" s="577" t="s">
        <v>3088</v>
      </c>
      <c r="I7465" s="579" t="s">
        <v>3119</v>
      </c>
      <c r="J7465" s="580"/>
      <c r="K7465" s="573"/>
      <c r="L7465" s="577" t="s">
        <v>266</v>
      </c>
      <c r="M7465" s="577">
        <v>18014.400000000001</v>
      </c>
      <c r="N7465" s="581">
        <v>0.5</v>
      </c>
      <c r="O7465" s="897" t="s">
        <v>3090</v>
      </c>
      <c r="P7465" s="867" t="s">
        <v>3172</v>
      </c>
    </row>
    <row r="7466" spans="1:16" ht="19.5" thickBot="1" x14ac:dyDescent="0.3">
      <c r="A7466" s="503">
        <f t="shared" si="228"/>
        <v>4557</v>
      </c>
      <c r="B7466" s="552" t="s">
        <v>3083</v>
      </c>
      <c r="C7466" s="553" t="s">
        <v>26</v>
      </c>
      <c r="D7466" s="554">
        <v>17.561</v>
      </c>
      <c r="E7466" s="555">
        <v>17.561</v>
      </c>
      <c r="F7466" s="556" t="s">
        <v>16</v>
      </c>
      <c r="G7466" s="1073"/>
      <c r="H7466" s="556" t="s">
        <v>3104</v>
      </c>
      <c r="I7466" s="558" t="s">
        <v>3104</v>
      </c>
      <c r="J7466" s="559"/>
      <c r="K7466" s="552"/>
      <c r="L7466" s="556" t="s">
        <v>265</v>
      </c>
      <c r="M7466" s="556">
        <v>17728.400000000001</v>
      </c>
      <c r="N7466" s="560">
        <v>4.1666666666666664E-2</v>
      </c>
      <c r="O7466" s="897" t="s">
        <v>3105</v>
      </c>
      <c r="P7466" s="867" t="s">
        <v>3164</v>
      </c>
    </row>
    <row r="7467" spans="1:16" x14ac:dyDescent="0.25">
      <c r="A7467" s="1088">
        <f t="shared" si="228"/>
        <v>4558</v>
      </c>
      <c r="B7467" s="610" t="s">
        <v>3083</v>
      </c>
      <c r="C7467" s="480" t="s">
        <v>26</v>
      </c>
      <c r="D7467" s="481">
        <v>17.178999999999998</v>
      </c>
      <c r="E7467" s="482">
        <v>16.550999999999998</v>
      </c>
      <c r="F7467" s="483" t="s">
        <v>16</v>
      </c>
      <c r="G7467" s="1072"/>
      <c r="H7467" s="483" t="s">
        <v>3104</v>
      </c>
      <c r="I7467" s="484" t="s">
        <v>3104</v>
      </c>
      <c r="J7467" s="485"/>
      <c r="K7467" s="479"/>
      <c r="L7467" s="483" t="s">
        <v>265</v>
      </c>
      <c r="M7467" s="483">
        <v>17408.010000000002</v>
      </c>
      <c r="N7467" s="486">
        <v>8.3333333333333329E-2</v>
      </c>
      <c r="O7467" s="897" t="s">
        <v>3108</v>
      </c>
      <c r="P7467" s="867" t="s">
        <v>3167</v>
      </c>
    </row>
    <row r="7468" spans="1:16" ht="19.5" thickBot="1" x14ac:dyDescent="0.3">
      <c r="A7468" s="1090"/>
      <c r="B7468" s="805" t="s">
        <v>3104</v>
      </c>
      <c r="C7468" s="806" t="s">
        <v>26</v>
      </c>
      <c r="D7468" s="807">
        <v>0.6</v>
      </c>
      <c r="E7468" s="807">
        <v>0.60299999999999998</v>
      </c>
      <c r="F7468" s="808" t="s">
        <v>16</v>
      </c>
      <c r="G7468" s="809" t="s">
        <v>76</v>
      </c>
      <c r="H7468" s="808" t="s">
        <v>3104</v>
      </c>
      <c r="I7468" s="808" t="s">
        <v>3104</v>
      </c>
      <c r="J7468" s="810"/>
      <c r="K7468" s="887"/>
      <c r="L7468" s="808" t="s">
        <v>265</v>
      </c>
      <c r="M7468" s="808">
        <v>600</v>
      </c>
      <c r="N7468" s="778">
        <v>8.3333333333333329E-2</v>
      </c>
      <c r="O7468" s="897" t="s">
        <v>3136</v>
      </c>
      <c r="P7468" s="867" t="s">
        <v>3168</v>
      </c>
    </row>
    <row r="7469" spans="1:16" ht="19.5" thickBot="1" x14ac:dyDescent="0.3">
      <c r="A7469" s="503">
        <f>MAX(A7242:A7467)+1</f>
        <v>4559</v>
      </c>
      <c r="B7469" s="636" t="s">
        <v>3083</v>
      </c>
      <c r="C7469" s="637" t="s">
        <v>3176</v>
      </c>
      <c r="D7469" s="638">
        <v>15.561</v>
      </c>
      <c r="E7469" s="639">
        <v>15.87</v>
      </c>
      <c r="F7469" s="640" t="s">
        <v>16</v>
      </c>
      <c r="G7469" s="1074" t="s">
        <v>715</v>
      </c>
      <c r="H7469" s="640" t="s">
        <v>3104</v>
      </c>
      <c r="I7469" s="642" t="s">
        <v>3104</v>
      </c>
      <c r="J7469" s="643"/>
      <c r="K7469" s="636"/>
      <c r="L7469" s="640" t="s">
        <v>265</v>
      </c>
      <c r="M7469" s="640">
        <v>15784.580000000002</v>
      </c>
      <c r="N7469" s="644">
        <v>0.125</v>
      </c>
      <c r="O7469" s="897" t="s">
        <v>3109</v>
      </c>
      <c r="P7469" s="867" t="s">
        <v>3175</v>
      </c>
    </row>
    <row r="7470" spans="1:16" ht="19.5" thickBot="1" x14ac:dyDescent="0.3">
      <c r="A7470" s="513">
        <f>MAX(A7243:A7469)+1</f>
        <v>4560</v>
      </c>
      <c r="B7470" s="514" t="s">
        <v>3083</v>
      </c>
      <c r="C7470" s="515" t="s">
        <v>26</v>
      </c>
      <c r="D7470" s="516">
        <v>15.605</v>
      </c>
      <c r="E7470" s="517">
        <v>15.605</v>
      </c>
      <c r="F7470" s="518" t="s">
        <v>30</v>
      </c>
      <c r="G7470" s="519"/>
      <c r="H7470" s="518" t="s">
        <v>3104</v>
      </c>
      <c r="I7470" s="520" t="s">
        <v>3104</v>
      </c>
      <c r="J7470" s="521"/>
      <c r="K7470" s="514"/>
      <c r="L7470" s="518" t="s">
        <v>265</v>
      </c>
      <c r="M7470" s="518">
        <v>15605.36</v>
      </c>
      <c r="N7470" s="522">
        <v>4.1666666666666664E-2</v>
      </c>
      <c r="O7470" s="897" t="s">
        <v>3107</v>
      </c>
      <c r="P7470" s="867" t="s">
        <v>3171</v>
      </c>
    </row>
    <row r="7471" spans="1:16" ht="19.5" thickBot="1" x14ac:dyDescent="0.3">
      <c r="A7471" s="503">
        <f>MAX(A7244:A7470)+1</f>
        <v>4561</v>
      </c>
      <c r="B7471" s="504" t="s">
        <v>3083</v>
      </c>
      <c r="C7471" s="505" t="s">
        <v>26</v>
      </c>
      <c r="D7471" s="506">
        <v>17.713999999999999</v>
      </c>
      <c r="E7471" s="507">
        <v>17.812999999999999</v>
      </c>
      <c r="F7471" s="508" t="s">
        <v>16</v>
      </c>
      <c r="G7471" s="509"/>
      <c r="H7471" s="508" t="s">
        <v>3106</v>
      </c>
      <c r="I7471" s="510" t="s">
        <v>3106</v>
      </c>
      <c r="J7471" s="511"/>
      <c r="K7471" s="504"/>
      <c r="L7471" s="508" t="s">
        <v>265</v>
      </c>
      <c r="M7471" s="508">
        <v>17929.160000000003</v>
      </c>
      <c r="N7471" s="512">
        <v>4.1666666666666664E-2</v>
      </c>
      <c r="O7471" s="897" t="s">
        <v>3110</v>
      </c>
      <c r="P7471" s="867" t="s">
        <v>3165</v>
      </c>
    </row>
    <row r="7472" spans="1:16" x14ac:dyDescent="0.25">
      <c r="A7472" s="1085">
        <f>MAX(A7245:A7471)+1</f>
        <v>4562</v>
      </c>
      <c r="B7472" s="479" t="s">
        <v>3083</v>
      </c>
      <c r="C7472" s="480" t="s">
        <v>23</v>
      </c>
      <c r="D7472" s="481">
        <v>13.973000000000001</v>
      </c>
      <c r="E7472" s="482">
        <v>14.134</v>
      </c>
      <c r="F7472" s="483" t="s">
        <v>16</v>
      </c>
      <c r="G7472" s="1065"/>
      <c r="H7472" s="483" t="s">
        <v>3106</v>
      </c>
      <c r="I7472" s="484" t="s">
        <v>3137</v>
      </c>
      <c r="J7472" s="485"/>
      <c r="K7472" s="479"/>
      <c r="L7472" s="483" t="s">
        <v>28</v>
      </c>
      <c r="M7472" s="483">
        <v>14102.140000000001</v>
      </c>
      <c r="N7472" s="486">
        <v>0.41666666666666669</v>
      </c>
      <c r="O7472" s="897" t="s">
        <v>3112</v>
      </c>
      <c r="P7472" s="867" t="s">
        <v>3182</v>
      </c>
    </row>
    <row r="7473" spans="1:16" ht="19.5" thickBot="1" x14ac:dyDescent="0.3">
      <c r="A7473" s="1087"/>
      <c r="B7473" s="645" t="s">
        <v>3083</v>
      </c>
      <c r="C7473" s="646" t="s">
        <v>20</v>
      </c>
      <c r="D7473" s="647">
        <v>3.5840000000000001</v>
      </c>
      <c r="E7473" s="648">
        <v>3.4460000000000002</v>
      </c>
      <c r="F7473" s="649" t="s">
        <v>16</v>
      </c>
      <c r="G7473" s="1064"/>
      <c r="H7473" s="649" t="s">
        <v>3106</v>
      </c>
      <c r="I7473" s="651" t="s">
        <v>3137</v>
      </c>
      <c r="J7473" s="652"/>
      <c r="K7473" s="645"/>
      <c r="L7473" s="649" t="s">
        <v>28</v>
      </c>
      <c r="M7473" s="649">
        <v>3696.49</v>
      </c>
      <c r="N7473" s="653">
        <v>0.41666666666666669</v>
      </c>
      <c r="O7473" s="897" t="s">
        <v>3111</v>
      </c>
      <c r="P7473" s="867" t="s">
        <v>3181</v>
      </c>
    </row>
    <row r="7474" spans="1:16" x14ac:dyDescent="0.25">
      <c r="A7474" s="1082">
        <f>MAX(A7247:A7473)+1</f>
        <v>4563</v>
      </c>
      <c r="B7474" s="531" t="s">
        <v>3083</v>
      </c>
      <c r="C7474" s="532" t="s">
        <v>587</v>
      </c>
      <c r="D7474" s="533">
        <v>5.5819999999999999</v>
      </c>
      <c r="E7474" s="534">
        <v>5.6260000000000003</v>
      </c>
      <c r="F7474" s="535" t="s">
        <v>16</v>
      </c>
      <c r="G7474" s="1066" t="s">
        <v>47</v>
      </c>
      <c r="H7474" s="535" t="s">
        <v>3106</v>
      </c>
      <c r="I7474" s="537" t="s">
        <v>3106</v>
      </c>
      <c r="J7474" s="538"/>
      <c r="K7474" s="531"/>
      <c r="L7474" s="535" t="s">
        <v>28</v>
      </c>
      <c r="M7474" s="535">
        <v>5582.8</v>
      </c>
      <c r="N7474" s="539">
        <v>0.45833333333333331</v>
      </c>
      <c r="O7474" s="897" t="s">
        <v>3113</v>
      </c>
      <c r="P7474" s="867" t="s">
        <v>3174</v>
      </c>
    </row>
    <row r="7475" spans="1:16" ht="19.5" thickBot="1" x14ac:dyDescent="0.3">
      <c r="A7475" s="1083"/>
      <c r="B7475" s="590" t="s">
        <v>3083</v>
      </c>
      <c r="C7475" s="591" t="s">
        <v>47</v>
      </c>
      <c r="D7475" s="592">
        <v>12.006</v>
      </c>
      <c r="E7475" s="593">
        <v>11.999000000000001</v>
      </c>
      <c r="F7475" s="594" t="s">
        <v>16</v>
      </c>
      <c r="G7475" s="1070"/>
      <c r="H7475" s="594" t="s">
        <v>3106</v>
      </c>
      <c r="I7475" s="596" t="s">
        <v>3106</v>
      </c>
      <c r="J7475" s="597"/>
      <c r="K7475" s="590"/>
      <c r="L7475" s="594" t="s">
        <v>28</v>
      </c>
      <c r="M7475" s="594">
        <v>12198.04</v>
      </c>
      <c r="N7475" s="598">
        <v>0.45833333333333331</v>
      </c>
      <c r="O7475" s="897" t="s">
        <v>3114</v>
      </c>
      <c r="P7475" s="867" t="s">
        <v>3173</v>
      </c>
    </row>
    <row r="7476" spans="1:16" x14ac:dyDescent="0.25">
      <c r="A7476" s="1085">
        <f>MAX(A7249:A7475)+1</f>
        <v>4564</v>
      </c>
      <c r="B7476" s="479" t="s">
        <v>3088</v>
      </c>
      <c r="C7476" s="480" t="s">
        <v>26</v>
      </c>
      <c r="D7476" s="481">
        <v>15.461</v>
      </c>
      <c r="E7476" s="482">
        <v>15.500999999999999</v>
      </c>
      <c r="F7476" s="483" t="s">
        <v>16</v>
      </c>
      <c r="G7476" s="1067"/>
      <c r="H7476" s="483" t="s">
        <v>3119</v>
      </c>
      <c r="I7476" s="484" t="s">
        <v>3137</v>
      </c>
      <c r="J7476" s="485"/>
      <c r="K7476" s="479"/>
      <c r="L7476" s="483" t="s">
        <v>265</v>
      </c>
      <c r="M7476" s="483">
        <v>15593.119999999999</v>
      </c>
      <c r="N7476" s="486">
        <v>4.1666666666666664E-2</v>
      </c>
      <c r="O7476" s="897" t="s">
        <v>3125</v>
      </c>
      <c r="P7476" s="867" t="s">
        <v>3186</v>
      </c>
    </row>
    <row r="7477" spans="1:16" ht="19.5" thickBot="1" x14ac:dyDescent="0.3">
      <c r="A7477" s="1087"/>
      <c r="B7477" s="645" t="s">
        <v>3088</v>
      </c>
      <c r="C7477" s="646" t="s">
        <v>952</v>
      </c>
      <c r="D7477" s="647">
        <v>2.0259999999999998</v>
      </c>
      <c r="E7477" s="648">
        <v>2.1080000000000001</v>
      </c>
      <c r="F7477" s="649" t="s">
        <v>16</v>
      </c>
      <c r="G7477" s="1069"/>
      <c r="H7477" s="649" t="s">
        <v>3119</v>
      </c>
      <c r="I7477" s="651" t="s">
        <v>3137</v>
      </c>
      <c r="J7477" s="652"/>
      <c r="K7477" s="645"/>
      <c r="L7477" s="649" t="s">
        <v>265</v>
      </c>
      <c r="M7477" s="649">
        <v>2102.7200000000003</v>
      </c>
      <c r="N7477" s="653">
        <v>4.1666666666666664E-2</v>
      </c>
      <c r="O7477" s="897" t="s">
        <v>3124</v>
      </c>
      <c r="P7477" s="867" t="s">
        <v>3187</v>
      </c>
    </row>
    <row r="7478" spans="1:16" x14ac:dyDescent="0.25">
      <c r="A7478" s="1082">
        <f>MAX(A7251:A7477)+1</f>
        <v>4565</v>
      </c>
      <c r="B7478" s="531" t="s">
        <v>3088</v>
      </c>
      <c r="C7478" s="532" t="s">
        <v>21</v>
      </c>
      <c r="D7478" s="533">
        <v>4.0999999999999996</v>
      </c>
      <c r="E7478" s="534"/>
      <c r="F7478" s="535" t="s">
        <v>16</v>
      </c>
      <c r="G7478" s="1068"/>
      <c r="H7478" s="535" t="s">
        <v>3119</v>
      </c>
      <c r="I7478" s="537"/>
      <c r="J7478" s="538"/>
      <c r="K7478" s="531"/>
      <c r="L7478" s="535" t="s">
        <v>265</v>
      </c>
      <c r="M7478" s="535">
        <v>4158.96</v>
      </c>
      <c r="N7478" s="539">
        <v>0.41666666666666669</v>
      </c>
      <c r="O7478" s="897" t="s">
        <v>3126</v>
      </c>
    </row>
    <row r="7479" spans="1:16" x14ac:dyDescent="0.25">
      <c r="A7479" s="1083"/>
      <c r="B7479" s="563" t="s">
        <v>3088</v>
      </c>
      <c r="C7479" s="564" t="s">
        <v>15</v>
      </c>
      <c r="D7479" s="565">
        <v>8.4</v>
      </c>
      <c r="E7479" s="566"/>
      <c r="F7479" s="567" t="s">
        <v>16</v>
      </c>
      <c r="G7479" s="568"/>
      <c r="H7479" s="567" t="s">
        <v>3119</v>
      </c>
      <c r="I7479" s="569"/>
      <c r="J7479" s="570"/>
      <c r="K7479" s="563"/>
      <c r="L7479" s="567" t="s">
        <v>28</v>
      </c>
      <c r="M7479" s="567">
        <v>8560.6200000000008</v>
      </c>
      <c r="N7479" s="571">
        <v>0.41666666666666669</v>
      </c>
      <c r="O7479" s="897" t="s">
        <v>3120</v>
      </c>
    </row>
    <row r="7480" spans="1:16" ht="19.5" thickBot="1" x14ac:dyDescent="0.3">
      <c r="A7480" s="1084"/>
      <c r="B7480" s="636" t="s">
        <v>3088</v>
      </c>
      <c r="C7480" s="637" t="s">
        <v>24</v>
      </c>
      <c r="D7480" s="638">
        <v>4.8550000000000004</v>
      </c>
      <c r="E7480" s="639"/>
      <c r="F7480" s="640" t="s">
        <v>16</v>
      </c>
      <c r="G7480" s="1071"/>
      <c r="H7480" s="640" t="s">
        <v>3119</v>
      </c>
      <c r="I7480" s="642"/>
      <c r="J7480" s="643"/>
      <c r="K7480" s="636"/>
      <c r="L7480" s="640" t="s">
        <v>28</v>
      </c>
      <c r="M7480" s="640">
        <v>4960.67</v>
      </c>
      <c r="N7480" s="644">
        <v>0.41666666666666669</v>
      </c>
      <c r="O7480" s="897" t="s">
        <v>3121</v>
      </c>
    </row>
    <row r="7481" spans="1:16" ht="19.5" thickBot="1" x14ac:dyDescent="0.3">
      <c r="A7481" s="1085">
        <f>MAX(A7254:A7480)+1</f>
        <v>4566</v>
      </c>
      <c r="B7481" s="479" t="s">
        <v>3088</v>
      </c>
      <c r="C7481" s="480" t="s">
        <v>839</v>
      </c>
      <c r="D7481" s="481">
        <v>3.1</v>
      </c>
      <c r="E7481" s="482">
        <v>3.125</v>
      </c>
      <c r="F7481" s="483" t="s">
        <v>16</v>
      </c>
      <c r="G7481" s="1081"/>
      <c r="H7481" s="483" t="s">
        <v>3119</v>
      </c>
      <c r="I7481" s="484" t="s">
        <v>3139</v>
      </c>
      <c r="J7481" s="485"/>
      <c r="K7481" s="479"/>
      <c r="L7481" s="483" t="s">
        <v>28</v>
      </c>
      <c r="M7481" s="483">
        <v>3111.66</v>
      </c>
      <c r="N7481" s="486">
        <v>0.45833333333333331</v>
      </c>
      <c r="O7481" s="897" t="s">
        <v>3122</v>
      </c>
      <c r="P7481" s="867" t="s">
        <v>3188</v>
      </c>
    </row>
    <row r="7482" spans="1:16" ht="19.5" thickBot="1" x14ac:dyDescent="0.3">
      <c r="A7482" s="1086"/>
      <c r="B7482" s="495" t="s">
        <v>3088</v>
      </c>
      <c r="C7482" s="496" t="s">
        <v>23</v>
      </c>
      <c r="D7482" s="497">
        <v>14.444000000000001</v>
      </c>
      <c r="E7482" s="498">
        <v>14.563000000000001</v>
      </c>
      <c r="F7482" s="499" t="s">
        <v>16</v>
      </c>
      <c r="G7482" s="1079"/>
      <c r="H7482" s="499" t="s">
        <v>3119</v>
      </c>
      <c r="I7482" s="500" t="s">
        <v>3139</v>
      </c>
      <c r="J7482" s="501"/>
      <c r="K7482" s="495"/>
      <c r="L7482" s="499" t="s">
        <v>28</v>
      </c>
      <c r="M7482" s="499">
        <v>14539.51</v>
      </c>
      <c r="N7482" s="502">
        <v>0.45833333333333331</v>
      </c>
      <c r="O7482" s="897" t="s">
        <v>3123</v>
      </c>
      <c r="P7482" s="867" t="s">
        <v>3189</v>
      </c>
    </row>
    <row r="7483" spans="1:16" x14ac:dyDescent="0.25">
      <c r="A7483" s="1082">
        <f t="shared" ref="A7483:A7494" si="229">MAX(A7256:A7482)+1</f>
        <v>4567</v>
      </c>
      <c r="B7483" s="531" t="s">
        <v>3104</v>
      </c>
      <c r="C7483" s="532" t="s">
        <v>1382</v>
      </c>
      <c r="D7483" s="533">
        <v>5.8680000000000003</v>
      </c>
      <c r="E7483" s="534">
        <v>5.9390000000000001</v>
      </c>
      <c r="F7483" s="535" t="s">
        <v>16</v>
      </c>
      <c r="G7483" s="1080"/>
      <c r="H7483" s="535" t="s">
        <v>3119</v>
      </c>
      <c r="I7483" s="537" t="s">
        <v>3137</v>
      </c>
      <c r="J7483" s="538"/>
      <c r="K7483" s="531"/>
      <c r="L7483" s="535" t="s">
        <v>266</v>
      </c>
      <c r="M7483" s="535">
        <v>5915.28</v>
      </c>
      <c r="N7483" s="539">
        <v>0.5</v>
      </c>
      <c r="O7483" s="897" t="s">
        <v>3142</v>
      </c>
      <c r="P7483" s="867" t="s">
        <v>3183</v>
      </c>
    </row>
    <row r="7484" spans="1:16" x14ac:dyDescent="0.25">
      <c r="A7484" s="1083"/>
      <c r="B7484" s="563" t="s">
        <v>3104</v>
      </c>
      <c r="C7484" s="564" t="s">
        <v>480</v>
      </c>
      <c r="D7484" s="565">
        <v>5.73</v>
      </c>
      <c r="E7484" s="566">
        <v>5.8369999999999997</v>
      </c>
      <c r="F7484" s="567" t="s">
        <v>16</v>
      </c>
      <c r="G7484" s="568"/>
      <c r="H7484" s="567" t="s">
        <v>3119</v>
      </c>
      <c r="I7484" s="569" t="s">
        <v>3137</v>
      </c>
      <c r="J7484" s="570"/>
      <c r="K7484" s="563"/>
      <c r="L7484" s="567" t="s">
        <v>266</v>
      </c>
      <c r="M7484" s="567">
        <v>5851.6800000000012</v>
      </c>
      <c r="N7484" s="571">
        <v>0.5</v>
      </c>
      <c r="O7484" s="897" t="s">
        <v>3141</v>
      </c>
      <c r="P7484" s="867" t="s">
        <v>3184</v>
      </c>
    </row>
    <row r="7485" spans="1:16" ht="19.5" thickBot="1" x14ac:dyDescent="0.3">
      <c r="A7485" s="1084"/>
      <c r="B7485" s="636" t="s">
        <v>3104</v>
      </c>
      <c r="C7485" s="637" t="s">
        <v>32</v>
      </c>
      <c r="D7485" s="638">
        <v>6.27</v>
      </c>
      <c r="E7485" s="639">
        <v>6.351</v>
      </c>
      <c r="F7485" s="640" t="s">
        <v>16</v>
      </c>
      <c r="G7485" s="1078" t="s">
        <v>1702</v>
      </c>
      <c r="H7485" s="640" t="s">
        <v>3119</v>
      </c>
      <c r="I7485" s="642" t="s">
        <v>3137</v>
      </c>
      <c r="J7485" s="643"/>
      <c r="K7485" s="636"/>
      <c r="L7485" s="640" t="s">
        <v>266</v>
      </c>
      <c r="M7485" s="640">
        <v>6303.6200000000008</v>
      </c>
      <c r="N7485" s="644">
        <v>0.5</v>
      </c>
      <c r="O7485" s="897" t="s">
        <v>3140</v>
      </c>
      <c r="P7485" s="867" t="s">
        <v>3185</v>
      </c>
    </row>
    <row r="7486" spans="1:16" ht="19.5" thickBot="1" x14ac:dyDescent="0.3">
      <c r="A7486" s="513">
        <f t="shared" si="229"/>
        <v>4568</v>
      </c>
      <c r="B7486" s="514" t="s">
        <v>3104</v>
      </c>
      <c r="C7486" s="515" t="s">
        <v>26</v>
      </c>
      <c r="D7486" s="516">
        <v>14.151999999999999</v>
      </c>
      <c r="E7486" s="517">
        <v>14.151999999999999</v>
      </c>
      <c r="F7486" s="518" t="s">
        <v>30</v>
      </c>
      <c r="G7486" s="519"/>
      <c r="H7486" s="518" t="s">
        <v>3119</v>
      </c>
      <c r="I7486" s="520" t="s">
        <v>3119</v>
      </c>
      <c r="J7486" s="521"/>
      <c r="K7486" s="514"/>
      <c r="L7486" s="518" t="s">
        <v>265</v>
      </c>
      <c r="M7486" s="518">
        <v>14152.36</v>
      </c>
      <c r="N7486" s="522">
        <v>4.1666666666666664E-2</v>
      </c>
      <c r="O7486" s="897" t="s">
        <v>3138</v>
      </c>
      <c r="P7486" s="867" t="s">
        <v>3190</v>
      </c>
    </row>
    <row r="7487" spans="1:16" ht="19.5" thickBot="1" x14ac:dyDescent="0.3">
      <c r="A7487" s="503">
        <f t="shared" si="229"/>
        <v>4569</v>
      </c>
      <c r="B7487" s="504" t="s">
        <v>3104</v>
      </c>
      <c r="C7487" s="505" t="s">
        <v>26</v>
      </c>
      <c r="D7487" s="506">
        <v>17.513000000000002</v>
      </c>
      <c r="E7487" s="507">
        <v>17.216000000000001</v>
      </c>
      <c r="F7487" s="508" t="s">
        <v>16</v>
      </c>
      <c r="G7487" s="509"/>
      <c r="H7487" s="508" t="s">
        <v>3137</v>
      </c>
      <c r="I7487" s="510" t="s">
        <v>3139</v>
      </c>
      <c r="J7487" s="511"/>
      <c r="K7487" s="504"/>
      <c r="L7487" s="508" t="s">
        <v>265</v>
      </c>
      <c r="M7487" s="508">
        <v>17699.060000000001</v>
      </c>
      <c r="N7487" s="512">
        <v>4.1666666666666664E-2</v>
      </c>
      <c r="O7487" s="897" t="s">
        <v>3147</v>
      </c>
      <c r="P7487" s="867" t="s">
        <v>3191</v>
      </c>
    </row>
    <row r="7488" spans="1:16" x14ac:dyDescent="0.25">
      <c r="A7488" s="1085">
        <f t="shared" si="229"/>
        <v>4570</v>
      </c>
      <c r="B7488" s="479" t="s">
        <v>3104</v>
      </c>
      <c r="C7488" s="480" t="s">
        <v>15</v>
      </c>
      <c r="D7488" s="481">
        <v>3.339</v>
      </c>
      <c r="E7488" s="482"/>
      <c r="F7488" s="483" t="s">
        <v>16</v>
      </c>
      <c r="G7488" s="1077"/>
      <c r="H7488" s="483" t="s">
        <v>3137</v>
      </c>
      <c r="I7488" s="484"/>
      <c r="J7488" s="485"/>
      <c r="K7488" s="479"/>
      <c r="L7488" s="483" t="s">
        <v>28</v>
      </c>
      <c r="M7488" s="483">
        <v>3466.6200000000003</v>
      </c>
      <c r="N7488" s="486">
        <v>0.41666666666666669</v>
      </c>
      <c r="O7488" s="897" t="s">
        <v>3157</v>
      </c>
    </row>
    <row r="7489" spans="1:16" x14ac:dyDescent="0.25">
      <c r="A7489" s="1086"/>
      <c r="B7489" s="523" t="s">
        <v>3104</v>
      </c>
      <c r="C7489" s="524" t="s">
        <v>24</v>
      </c>
      <c r="D7489" s="525">
        <v>10.218</v>
      </c>
      <c r="E7489" s="526"/>
      <c r="F7489" s="527" t="s">
        <v>16</v>
      </c>
      <c r="G7489" s="561"/>
      <c r="H7489" s="527" t="s">
        <v>3137</v>
      </c>
      <c r="I7489" s="528"/>
      <c r="J7489" s="529"/>
      <c r="K7489" s="523"/>
      <c r="L7489" s="527" t="s">
        <v>28</v>
      </c>
      <c r="M7489" s="527">
        <v>10412.210000000003</v>
      </c>
      <c r="N7489" s="530">
        <v>0.41666666666666669</v>
      </c>
      <c r="O7489" s="897" t="s">
        <v>3148</v>
      </c>
    </row>
    <row r="7490" spans="1:16" ht="19.5" thickBot="1" x14ac:dyDescent="0.3">
      <c r="A7490" s="1087"/>
      <c r="B7490" s="645" t="s">
        <v>3104</v>
      </c>
      <c r="C7490" s="646" t="s">
        <v>20</v>
      </c>
      <c r="D7490" s="647">
        <v>3.891</v>
      </c>
      <c r="E7490" s="648"/>
      <c r="F7490" s="649" t="s">
        <v>16</v>
      </c>
      <c r="G7490" s="1076"/>
      <c r="H7490" s="649" t="s">
        <v>3137</v>
      </c>
      <c r="I7490" s="651"/>
      <c r="J7490" s="652"/>
      <c r="K7490" s="645"/>
      <c r="L7490" s="649" t="s">
        <v>28</v>
      </c>
      <c r="M7490" s="649">
        <v>4034.2400000000007</v>
      </c>
      <c r="N7490" s="653">
        <v>0.41666666666666669</v>
      </c>
      <c r="O7490" s="897" t="s">
        <v>3156</v>
      </c>
    </row>
    <row r="7491" spans="1:16" ht="19.5" thickBot="1" x14ac:dyDescent="0.3">
      <c r="A7491" s="503">
        <f t="shared" si="229"/>
        <v>4571</v>
      </c>
      <c r="B7491" s="504" t="s">
        <v>3104</v>
      </c>
      <c r="C7491" s="505" t="s">
        <v>47</v>
      </c>
      <c r="D7491" s="506">
        <v>17.593</v>
      </c>
      <c r="E7491" s="507"/>
      <c r="F7491" s="508" t="s">
        <v>16</v>
      </c>
      <c r="G7491" s="509"/>
      <c r="H7491" s="508" t="s">
        <v>3137</v>
      </c>
      <c r="I7491" s="510"/>
      <c r="J7491" s="511"/>
      <c r="K7491" s="504"/>
      <c r="L7491" s="508" t="s">
        <v>28</v>
      </c>
      <c r="M7491" s="508">
        <v>17814.129999999997</v>
      </c>
      <c r="N7491" s="512">
        <v>0.45833333333333331</v>
      </c>
      <c r="O7491" s="897" t="s">
        <v>3158</v>
      </c>
    </row>
    <row r="7492" spans="1:16" ht="38.25" thickBot="1" x14ac:dyDescent="0.3">
      <c r="A7492" s="513">
        <f t="shared" si="229"/>
        <v>4572</v>
      </c>
      <c r="B7492" s="514" t="s">
        <v>3104</v>
      </c>
      <c r="C7492" s="515" t="s">
        <v>23</v>
      </c>
      <c r="D7492" s="516">
        <v>16.576000000000001</v>
      </c>
      <c r="E7492" s="517"/>
      <c r="F7492" s="518" t="s">
        <v>16</v>
      </c>
      <c r="G7492" s="519" t="s">
        <v>1633</v>
      </c>
      <c r="H7492" s="518" t="s">
        <v>3137</v>
      </c>
      <c r="I7492" s="520"/>
      <c r="J7492" s="521"/>
      <c r="K7492" s="514"/>
      <c r="L7492" s="518" t="s">
        <v>28</v>
      </c>
      <c r="M7492" s="518">
        <v>16723.899999999998</v>
      </c>
      <c r="N7492" s="522">
        <v>0.5</v>
      </c>
      <c r="O7492" s="897" t="s">
        <v>3159</v>
      </c>
    </row>
    <row r="7493" spans="1:16" ht="19.5" thickBot="1" x14ac:dyDescent="0.3">
      <c r="A7493" s="503">
        <f t="shared" si="229"/>
        <v>4573</v>
      </c>
      <c r="B7493" s="504" t="s">
        <v>3104</v>
      </c>
      <c r="C7493" s="505" t="s">
        <v>47</v>
      </c>
      <c r="D7493" s="506">
        <v>11.917999999999999</v>
      </c>
      <c r="E7493" s="507"/>
      <c r="F7493" s="508" t="s">
        <v>30</v>
      </c>
      <c r="G7493" s="509"/>
      <c r="H7493" s="508" t="s">
        <v>3137</v>
      </c>
      <c r="I7493" s="510"/>
      <c r="J7493" s="511"/>
      <c r="K7493" s="504"/>
      <c r="L7493" s="508" t="s">
        <v>28</v>
      </c>
      <c r="M7493" s="508">
        <v>11918.440000000002</v>
      </c>
      <c r="N7493" s="512">
        <v>0.45833333333333331</v>
      </c>
      <c r="O7493" s="897" t="s">
        <v>3151</v>
      </c>
    </row>
    <row r="7494" spans="1:16" ht="19.5" thickBot="1" x14ac:dyDescent="0.3">
      <c r="A7494" s="513">
        <f t="shared" si="229"/>
        <v>4574</v>
      </c>
      <c r="B7494" s="514" t="s">
        <v>3104</v>
      </c>
      <c r="C7494" s="515" t="s">
        <v>587</v>
      </c>
      <c r="D7494" s="516">
        <v>12.26</v>
      </c>
      <c r="E7494" s="517"/>
      <c r="F7494" s="518" t="s">
        <v>30</v>
      </c>
      <c r="G7494" s="519" t="s">
        <v>23</v>
      </c>
      <c r="H7494" s="518" t="s">
        <v>3137</v>
      </c>
      <c r="I7494" s="520"/>
      <c r="J7494" s="521"/>
      <c r="K7494" s="514"/>
      <c r="L7494" s="518" t="s">
        <v>28</v>
      </c>
      <c r="M7494" s="518">
        <v>12260.56</v>
      </c>
      <c r="N7494" s="522">
        <v>0.5</v>
      </c>
      <c r="O7494" s="897" t="s">
        <v>3152</v>
      </c>
    </row>
    <row r="7495" spans="1:16" x14ac:dyDescent="0.25">
      <c r="A7495" s="1082">
        <f t="shared" ref="A7495:A7508" si="230">MAX(A7268:A7494)+1</f>
        <v>4575</v>
      </c>
      <c r="B7495" s="531" t="s">
        <v>3104</v>
      </c>
      <c r="C7495" s="532" t="s">
        <v>913</v>
      </c>
      <c r="D7495" s="533">
        <v>2.395</v>
      </c>
      <c r="E7495" s="534"/>
      <c r="F7495" s="535" t="s">
        <v>30</v>
      </c>
      <c r="G7495" s="1080"/>
      <c r="H7495" s="535" t="s">
        <v>3137</v>
      </c>
      <c r="I7495" s="537"/>
      <c r="J7495" s="538"/>
      <c r="K7495" s="531"/>
      <c r="L7495" s="535" t="s">
        <v>266</v>
      </c>
      <c r="M7495" s="535">
        <v>2395.6799999999998</v>
      </c>
      <c r="N7495" s="539">
        <v>0.41666666666666669</v>
      </c>
      <c r="O7495" s="897" t="s">
        <v>3150</v>
      </c>
    </row>
    <row r="7496" spans="1:16" ht="19.5" thickBot="1" x14ac:dyDescent="0.3">
      <c r="A7496" s="1084"/>
      <c r="B7496" s="636" t="s">
        <v>3104</v>
      </c>
      <c r="C7496" s="637" t="s">
        <v>23</v>
      </c>
      <c r="D7496" s="638">
        <v>9.9280000000000008</v>
      </c>
      <c r="E7496" s="639"/>
      <c r="F7496" s="640" t="s">
        <v>30</v>
      </c>
      <c r="G7496" s="1078"/>
      <c r="H7496" s="640" t="s">
        <v>3137</v>
      </c>
      <c r="I7496" s="642"/>
      <c r="J7496" s="643"/>
      <c r="K7496" s="636"/>
      <c r="L7496" s="640" t="s">
        <v>28</v>
      </c>
      <c r="M7496" s="640">
        <v>9928.64</v>
      </c>
      <c r="N7496" s="644">
        <v>0.41666666666666669</v>
      </c>
      <c r="O7496" s="897" t="s">
        <v>3149</v>
      </c>
    </row>
    <row r="7497" spans="1:16" ht="19.5" thickBot="1" x14ac:dyDescent="0.3">
      <c r="A7497" s="513">
        <f t="shared" si="230"/>
        <v>4576</v>
      </c>
      <c r="B7497" s="514" t="s">
        <v>3104</v>
      </c>
      <c r="C7497" s="515" t="s">
        <v>26</v>
      </c>
      <c r="D7497" s="516">
        <v>17.483000000000001</v>
      </c>
      <c r="E7497" s="517"/>
      <c r="F7497" s="518" t="s">
        <v>16</v>
      </c>
      <c r="G7497" s="519"/>
      <c r="H7497" s="518" t="s">
        <v>3139</v>
      </c>
      <c r="I7497" s="520"/>
      <c r="J7497" s="521"/>
      <c r="K7497" s="514"/>
      <c r="L7497" s="518" t="s">
        <v>265</v>
      </c>
      <c r="M7497" s="518">
        <v>17698.190000000002</v>
      </c>
      <c r="N7497" s="522">
        <v>4.1666666666666664E-2</v>
      </c>
      <c r="O7497" s="897" t="s">
        <v>3143</v>
      </c>
    </row>
    <row r="7498" spans="1:16" ht="19.5" thickBot="1" x14ac:dyDescent="0.3">
      <c r="A7498" s="503">
        <f t="shared" si="230"/>
        <v>4577</v>
      </c>
      <c r="B7498" s="504" t="s">
        <v>3104</v>
      </c>
      <c r="C7498" s="505" t="s">
        <v>26</v>
      </c>
      <c r="D7498" s="506">
        <v>15.032</v>
      </c>
      <c r="E7498" s="507">
        <v>15.032</v>
      </c>
      <c r="F7498" s="508" t="s">
        <v>30</v>
      </c>
      <c r="G7498" s="509"/>
      <c r="H7498" s="508" t="s">
        <v>3139</v>
      </c>
      <c r="I7498" s="510" t="s">
        <v>3139</v>
      </c>
      <c r="J7498" s="511"/>
      <c r="K7498" s="504"/>
      <c r="L7498" s="508" t="s">
        <v>265</v>
      </c>
      <c r="M7498" s="508">
        <v>15032.2</v>
      </c>
      <c r="N7498" s="512">
        <v>4.1666666666666664E-2</v>
      </c>
      <c r="O7498" s="897" t="s">
        <v>3144</v>
      </c>
      <c r="P7498" s="867" t="s">
        <v>3195</v>
      </c>
    </row>
    <row r="7499" spans="1:16" ht="38.25" thickBot="1" x14ac:dyDescent="0.3">
      <c r="A7499" s="513">
        <f t="shared" si="230"/>
        <v>4578</v>
      </c>
      <c r="B7499" s="514" t="s">
        <v>3104</v>
      </c>
      <c r="C7499" s="515" t="s">
        <v>47</v>
      </c>
      <c r="D7499" s="516">
        <v>17.097999999999999</v>
      </c>
      <c r="E7499" s="517"/>
      <c r="F7499" s="518" t="s">
        <v>16</v>
      </c>
      <c r="G7499" s="519" t="s">
        <v>1634</v>
      </c>
      <c r="H7499" s="518" t="s">
        <v>3139</v>
      </c>
      <c r="I7499" s="520"/>
      <c r="J7499" s="521"/>
      <c r="K7499" s="514"/>
      <c r="L7499" s="518" t="s">
        <v>28</v>
      </c>
      <c r="M7499" s="518">
        <v>17222.939999999999</v>
      </c>
      <c r="N7499" s="522">
        <v>0.41666666666666669</v>
      </c>
      <c r="O7499" s="897" t="s">
        <v>3160</v>
      </c>
    </row>
    <row r="7500" spans="1:16" ht="19.5" thickBot="1" x14ac:dyDescent="0.3">
      <c r="A7500" s="503">
        <f t="shared" si="230"/>
        <v>4579</v>
      </c>
      <c r="B7500" s="504" t="s">
        <v>3104</v>
      </c>
      <c r="C7500" s="505" t="s">
        <v>23</v>
      </c>
      <c r="D7500" s="506">
        <v>17.587</v>
      </c>
      <c r="E7500" s="507"/>
      <c r="F7500" s="508" t="s">
        <v>16</v>
      </c>
      <c r="G7500" s="509"/>
      <c r="H7500" s="508" t="s">
        <v>3139</v>
      </c>
      <c r="I7500" s="510"/>
      <c r="J7500" s="511"/>
      <c r="K7500" s="504"/>
      <c r="L7500" s="508" t="s">
        <v>28</v>
      </c>
      <c r="M7500" s="508">
        <v>17705.48</v>
      </c>
      <c r="N7500" s="512">
        <v>0.45833333333333331</v>
      </c>
      <c r="O7500" s="897" t="s">
        <v>3161</v>
      </c>
    </row>
    <row r="7501" spans="1:16" x14ac:dyDescent="0.25">
      <c r="A7501" s="1085">
        <f t="shared" si="230"/>
        <v>4580</v>
      </c>
      <c r="B7501" s="479" t="s">
        <v>3104</v>
      </c>
      <c r="C7501" s="480" t="s">
        <v>15</v>
      </c>
      <c r="D7501" s="481">
        <v>5.6550000000000002</v>
      </c>
      <c r="E7501" s="482"/>
      <c r="F7501" s="483" t="s">
        <v>30</v>
      </c>
      <c r="G7501" s="1077"/>
      <c r="H7501" s="483" t="s">
        <v>3139</v>
      </c>
      <c r="I7501" s="484"/>
      <c r="J7501" s="485"/>
      <c r="K7501" s="479"/>
      <c r="L7501" s="483" t="s">
        <v>28</v>
      </c>
      <c r="M7501" s="483">
        <v>5655.6</v>
      </c>
      <c r="N7501" s="486">
        <v>0.41666666666666669</v>
      </c>
      <c r="O7501" s="897" t="s">
        <v>3153</v>
      </c>
    </row>
    <row r="7502" spans="1:16" x14ac:dyDescent="0.25">
      <c r="A7502" s="1086"/>
      <c r="B7502" s="523" t="s">
        <v>3104</v>
      </c>
      <c r="C7502" s="524" t="s">
        <v>24</v>
      </c>
      <c r="D7502" s="525">
        <v>5.7779999999999996</v>
      </c>
      <c r="E7502" s="526"/>
      <c r="F7502" s="527" t="s">
        <v>30</v>
      </c>
      <c r="G7502" s="561"/>
      <c r="H7502" s="527" t="s">
        <v>3139</v>
      </c>
      <c r="I7502" s="528"/>
      <c r="J7502" s="529"/>
      <c r="K7502" s="523"/>
      <c r="L7502" s="527" t="s">
        <v>28</v>
      </c>
      <c r="M7502" s="527">
        <v>5778.7599999999993</v>
      </c>
      <c r="N7502" s="530">
        <v>0.41666666666666669</v>
      </c>
      <c r="O7502" s="897" t="s">
        <v>3155</v>
      </c>
    </row>
    <row r="7503" spans="1:16" ht="19.5" thickBot="1" x14ac:dyDescent="0.3">
      <c r="A7503" s="1087"/>
      <c r="B7503" s="645" t="s">
        <v>3104</v>
      </c>
      <c r="C7503" s="646" t="s">
        <v>20</v>
      </c>
      <c r="D7503" s="647">
        <v>3.6389999999999998</v>
      </c>
      <c r="E7503" s="648"/>
      <c r="F7503" s="649" t="s">
        <v>30</v>
      </c>
      <c r="G7503" s="1076"/>
      <c r="H7503" s="649" t="s">
        <v>3139</v>
      </c>
      <c r="I7503" s="651"/>
      <c r="J7503" s="652"/>
      <c r="K7503" s="645"/>
      <c r="L7503" s="649" t="s">
        <v>28</v>
      </c>
      <c r="M7503" s="649">
        <v>3639.96</v>
      </c>
      <c r="N7503" s="653">
        <v>0.41666666666666669</v>
      </c>
      <c r="O7503" s="897" t="s">
        <v>3154</v>
      </c>
    </row>
    <row r="7504" spans="1:16" ht="38.25" thickBot="1" x14ac:dyDescent="0.3">
      <c r="A7504" s="503">
        <f t="shared" si="230"/>
        <v>4581</v>
      </c>
      <c r="B7504" s="504" t="s">
        <v>3137</v>
      </c>
      <c r="C7504" s="505" t="s">
        <v>25</v>
      </c>
      <c r="D7504" s="506">
        <v>16.893000000000001</v>
      </c>
      <c r="E7504" s="507"/>
      <c r="F7504" s="508" t="s">
        <v>16</v>
      </c>
      <c r="G7504" s="509" t="s">
        <v>3146</v>
      </c>
      <c r="H7504" s="508" t="s">
        <v>3145</v>
      </c>
      <c r="I7504" s="510"/>
      <c r="J7504" s="511"/>
      <c r="K7504" s="504"/>
      <c r="L7504" s="508" t="s">
        <v>265</v>
      </c>
      <c r="M7504" s="508">
        <v>17023.750000000004</v>
      </c>
      <c r="N7504" s="512">
        <v>0.375</v>
      </c>
      <c r="O7504" s="897" t="s">
        <v>3162</v>
      </c>
    </row>
    <row r="7505" spans="1:15" ht="19.5" thickBot="1" x14ac:dyDescent="0.3">
      <c r="A7505" s="513">
        <f t="shared" si="230"/>
        <v>4582</v>
      </c>
      <c r="B7505" s="514" t="s">
        <v>3139</v>
      </c>
      <c r="C7505" s="515" t="s">
        <v>32</v>
      </c>
      <c r="D7505" s="516">
        <v>18.027000000000001</v>
      </c>
      <c r="E7505" s="517"/>
      <c r="F7505" s="518" t="s">
        <v>16</v>
      </c>
      <c r="G7505" s="519"/>
      <c r="H7505" s="518" t="s">
        <v>3192</v>
      </c>
      <c r="I7505" s="520"/>
      <c r="J7505" s="521"/>
      <c r="K7505" s="514"/>
      <c r="L7505" s="518" t="s">
        <v>266</v>
      </c>
      <c r="M7505" s="518">
        <v>18027.12</v>
      </c>
      <c r="N7505" s="522">
        <v>0.41666666666666669</v>
      </c>
      <c r="O7505" s="897" t="s">
        <v>3193</v>
      </c>
    </row>
    <row r="7506" spans="1:15" ht="19.5" thickBot="1" x14ac:dyDescent="0.3">
      <c r="A7506" s="503">
        <f t="shared" si="230"/>
        <v>4583</v>
      </c>
      <c r="B7506" s="504" t="s">
        <v>3139</v>
      </c>
      <c r="C7506" s="505" t="s">
        <v>840</v>
      </c>
      <c r="D7506" s="506">
        <v>16.571000000000002</v>
      </c>
      <c r="E7506" s="507"/>
      <c r="F7506" s="508" t="s">
        <v>16</v>
      </c>
      <c r="G7506" s="509"/>
      <c r="H7506" s="508" t="s">
        <v>3192</v>
      </c>
      <c r="I7506" s="510"/>
      <c r="J7506" s="511"/>
      <c r="K7506" s="504"/>
      <c r="L7506" s="508" t="s">
        <v>266</v>
      </c>
      <c r="M7506" s="508">
        <v>16571.16</v>
      </c>
      <c r="N7506" s="512">
        <v>0.45833333333333331</v>
      </c>
      <c r="O7506" s="897" t="s">
        <v>3194</v>
      </c>
    </row>
    <row r="7507" spans="1:15" x14ac:dyDescent="0.25">
      <c r="A7507" s="676">
        <f t="shared" si="230"/>
        <v>4584</v>
      </c>
      <c r="B7507" s="676"/>
      <c r="C7507" s="473"/>
      <c r="D7507" s="474"/>
      <c r="E7507" s="475"/>
      <c r="F7507" s="676"/>
      <c r="G7507" s="476"/>
      <c r="H7507" s="676"/>
      <c r="I7507" s="477"/>
      <c r="J7507" s="1075"/>
      <c r="K7507" s="676"/>
      <c r="L7507" s="676"/>
      <c r="M7507" s="676"/>
      <c r="N7507" s="676"/>
    </row>
    <row r="7508" spans="1:15" x14ac:dyDescent="0.25">
      <c r="A7508" s="676">
        <f t="shared" si="230"/>
        <v>4585</v>
      </c>
      <c r="B7508" s="676"/>
      <c r="C7508" s="473"/>
      <c r="D7508" s="474"/>
      <c r="E7508" s="475"/>
      <c r="F7508" s="676"/>
      <c r="G7508" s="476"/>
      <c r="H7508" s="676"/>
      <c r="I7508" s="477"/>
      <c r="J7508" s="1075"/>
      <c r="K7508" s="676"/>
      <c r="L7508" s="676"/>
      <c r="M7508" s="676"/>
      <c r="N7508" s="676"/>
    </row>
  </sheetData>
  <autoFilter ref="A2:R7508" xr:uid="{9E4C531E-AD50-422A-AC7C-8C5AF4C19268}">
    <filterColumn colId="10">
      <filters blank="1"/>
    </filterColumn>
  </autoFilter>
  <mergeCells count="2004">
    <mergeCell ref="A7501:A7503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7058:A7061"/>
    <mergeCell ref="G6948:G6950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6985:A6986"/>
    <mergeCell ref="A6987:A6988"/>
    <mergeCell ref="A6968:A6969"/>
    <mergeCell ref="A6948:A6950"/>
    <mergeCell ref="A6695:A6697"/>
    <mergeCell ref="A6700:A6702"/>
    <mergeCell ref="G6721:G6722"/>
    <mergeCell ref="A5623:A5624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7017:A7019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595:A6599"/>
    <mergeCell ref="G6718:G6720"/>
    <mergeCell ref="A6604:A6605"/>
    <mergeCell ref="A6673:A6674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5606:A5607"/>
    <mergeCell ref="A6617:A6618"/>
    <mergeCell ref="A6678:A6679"/>
    <mergeCell ref="G6604:G6605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5625:A5626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35:A6637"/>
    <mergeCell ref="A6709:A6712"/>
    <mergeCell ref="A6698:A6699"/>
    <mergeCell ref="A6611:A6612"/>
    <mergeCell ref="G6560:G6561"/>
    <mergeCell ref="A6763:A6765"/>
    <mergeCell ref="A6771:A6774"/>
    <mergeCell ref="A6640:A6642"/>
    <mergeCell ref="A6675:A6676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589:A6590"/>
    <mergeCell ref="A6668:A6669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G5489:G5490"/>
    <mergeCell ref="G5534:G5538"/>
    <mergeCell ref="A5575:A5576"/>
    <mergeCell ref="G5549:G5550"/>
    <mergeCell ref="A5518:A5522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402:A5403"/>
    <mergeCell ref="A5497:A5498"/>
    <mergeCell ref="A5499:A5500"/>
    <mergeCell ref="A5599:A5600"/>
    <mergeCell ref="A6601:A6602"/>
    <mergeCell ref="A6552:A6554"/>
    <mergeCell ref="A6663:A6664"/>
    <mergeCell ref="A6644:A664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335:A7336"/>
    <mergeCell ref="G7335:G7336"/>
    <mergeCell ref="A7351:A7354"/>
    <mergeCell ref="A7398:A7400"/>
    <mergeCell ref="A7330:A7331"/>
    <mergeCell ref="A7332:A7334"/>
    <mergeCell ref="G7332:G7334"/>
    <mergeCell ref="A7461:A7462"/>
    <mergeCell ref="A7418:A7420"/>
    <mergeCell ref="A7421:A7423"/>
    <mergeCell ref="A7446:A7447"/>
    <mergeCell ref="G7446:G7447"/>
    <mergeCell ref="A7449:A7450"/>
    <mergeCell ref="A7451:A7452"/>
    <mergeCell ref="A7454:A7456"/>
    <mergeCell ref="G7454:G7456"/>
    <mergeCell ref="A7424:A7426"/>
    <mergeCell ref="A7429:A7430"/>
    <mergeCell ref="A7431:A7433"/>
    <mergeCell ref="A7407:A7408"/>
    <mergeCell ref="A7415:A7416"/>
    <mergeCell ref="A7370:A7374"/>
    <mergeCell ref="A7375:A7379"/>
    <mergeCell ref="A7458:A7459"/>
    <mergeCell ref="A7483:A7485"/>
    <mergeCell ref="A7488:A7490"/>
    <mergeCell ref="A7495:A7496"/>
    <mergeCell ref="A7476:A7477"/>
    <mergeCell ref="A7478:A7480"/>
    <mergeCell ref="A7481:A7482"/>
    <mergeCell ref="A7405:A7406"/>
    <mergeCell ref="A7409:A7411"/>
    <mergeCell ref="G7409:G7411"/>
    <mergeCell ref="A7434:A7437"/>
    <mergeCell ref="A7438:A7440"/>
    <mergeCell ref="A7441:A7442"/>
    <mergeCell ref="A7401:A7402"/>
    <mergeCell ref="G7401:G7402"/>
    <mergeCell ref="A7403:A7404"/>
    <mergeCell ref="G7403:G7404"/>
    <mergeCell ref="A7412:A7413"/>
    <mergeCell ref="G7412:G7413"/>
    <mergeCell ref="A7467:A7468"/>
    <mergeCell ref="A7472:A7473"/>
    <mergeCell ref="A7474:A747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2026-10-13T12:53:37Z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