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CE16BE69-372D-473C-8F63-66616D99666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Лист1!$A$2:$N$5350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351" i="1" l="1"/>
  <c r="A5354" i="1" l="1"/>
  <c r="E5330" i="1"/>
  <c r="A5355" i="1" l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A5358" i="1" l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A5360" i="1" l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/>
  <c r="A5313" i="1" l="1"/>
  <c r="A5314" i="1"/>
  <c r="A5315" i="1" l="1"/>
  <c r="A5316" i="1" s="1"/>
  <c r="A5318" i="1" l="1"/>
  <c r="A5319" i="1" l="1"/>
  <c r="A5320" i="1" l="1"/>
  <c r="A5321" i="1" l="1"/>
  <c r="A5326" i="1" l="1"/>
  <c r="A5329" i="1" l="1"/>
  <c r="A5328" i="1"/>
  <c r="A5330" i="1" l="1"/>
  <c r="A5331" i="1" l="1"/>
  <c r="A5336" i="1" s="1"/>
  <c r="A5335" i="1"/>
  <c r="A5337" i="1" l="1"/>
  <c r="A5338" i="1" l="1"/>
  <c r="A5342" i="1" l="1"/>
  <c r="A5344" i="1" l="1"/>
  <c r="A5345" i="1" s="1"/>
  <c r="A5346" i="1" s="1"/>
  <c r="A5347" i="1" s="1"/>
  <c r="A5348" i="1" s="1"/>
</calcChain>
</file>

<file path=xl/sharedStrings.xml><?xml version="1.0" encoding="utf-8"?>
<sst xmlns="http://schemas.openxmlformats.org/spreadsheetml/2006/main" count="32760" uniqueCount="1179">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</sst>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70"/>
  <sheetViews>
    <sheetView tabSelected="1" zoomScale="85" zoomScaleNormal="85" workbookViewId="0">
      <pane ySplit="2" topLeftCell="A5342" activePane="bottomLeft" state="frozen"/>
      <selection pane="bottomLeft" activeCell="K5364" sqref="K536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15" t="s">
        <v>0</v>
      </c>
      <c r="B1" s="715"/>
      <c r="C1" s="715"/>
      <c r="D1" s="715"/>
      <c r="E1" s="715"/>
      <c r="F1" s="715"/>
      <c r="G1" s="715"/>
      <c r="H1" s="715"/>
      <c r="I1" s="715"/>
      <c r="J1" s="71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16">
        <v>1</v>
      </c>
      <c r="B3" s="71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16"/>
      <c r="B4" s="71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13">
        <v>3</v>
      </c>
      <c r="B6" s="71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13"/>
      <c r="B7" s="71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13"/>
      <c r="B8" s="71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13">
        <v>5</v>
      </c>
      <c r="B10" s="71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13"/>
      <c r="B11" s="71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14">
        <v>8</v>
      </c>
      <c r="B14" s="71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14"/>
      <c r="B15" s="71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13">
        <v>11</v>
      </c>
      <c r="B18" s="71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13"/>
      <c r="B19" s="71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13"/>
      <c r="B20" s="71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13"/>
      <c r="B21" s="71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13">
        <v>13</v>
      </c>
      <c r="B23" s="71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13"/>
      <c r="B24" s="71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14">
        <v>14</v>
      </c>
      <c r="B25" s="71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14"/>
      <c r="B26" s="71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13">
        <v>15</v>
      </c>
      <c r="B27" s="71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13"/>
      <c r="B28" s="71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13"/>
      <c r="B29" s="71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13"/>
      <c r="B30" s="71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14">
        <v>16</v>
      </c>
      <c r="B31" s="71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14"/>
      <c r="B32" s="71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14"/>
      <c r="B33" s="71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14"/>
      <c r="B34" s="71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13">
        <v>17</v>
      </c>
      <c r="B35" s="71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13"/>
      <c r="B36" s="71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13">
        <v>21</v>
      </c>
      <c r="B40" s="71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13"/>
      <c r="B41" s="71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13">
        <v>23</v>
      </c>
      <c r="B43" s="71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13"/>
      <c r="B44" s="71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13"/>
      <c r="B45" s="71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14">
        <v>24</v>
      </c>
      <c r="B46" s="71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14"/>
      <c r="B47" s="71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13">
        <v>25</v>
      </c>
      <c r="B48" s="71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13"/>
      <c r="B49" s="71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13"/>
      <c r="B50" s="71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14">
        <v>26</v>
      </c>
      <c r="B51" s="71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14"/>
      <c r="B52" s="71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13">
        <v>29</v>
      </c>
      <c r="B55" s="71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13"/>
      <c r="B56" s="71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14">
        <v>32</v>
      </c>
      <c r="B59" s="71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14"/>
      <c r="B60" s="71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14">
        <v>34</v>
      </c>
      <c r="B62" s="71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14"/>
      <c r="B63" s="71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14"/>
      <c r="B64" s="71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14"/>
      <c r="B65" s="71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14"/>
      <c r="B66" s="71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13">
        <v>35</v>
      </c>
      <c r="B67" s="71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13"/>
      <c r="B68" s="71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3">
        <v>40</v>
      </c>
      <c r="B73" s="71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3"/>
      <c r="B74" s="71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4">
        <v>41</v>
      </c>
      <c r="B75" s="71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4"/>
      <c r="B76" s="71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4"/>
      <c r="B77" s="71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3">
        <v>42</v>
      </c>
      <c r="B78" s="71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3"/>
      <c r="B79" s="71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4">
        <v>49</v>
      </c>
      <c r="B86" s="71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4"/>
      <c r="B87" s="71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4"/>
      <c r="B88" s="71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3">
        <v>50</v>
      </c>
      <c r="B89" s="71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3"/>
      <c r="B90" s="71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4">
        <v>51</v>
      </c>
      <c r="B91" s="71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4"/>
      <c r="B92" s="71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4">
        <v>53</v>
      </c>
      <c r="B94" s="71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4"/>
      <c r="B95" s="71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3">
        <v>54</v>
      </c>
      <c r="B96" s="71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3"/>
      <c r="B97" s="71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3"/>
      <c r="B98" s="71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3">
        <v>58</v>
      </c>
      <c r="B102" s="71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3"/>
      <c r="B103" s="71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3">
        <v>60</v>
      </c>
      <c r="B105" s="71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3"/>
      <c r="B106" s="71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3"/>
      <c r="B107" s="71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4">
        <v>61</v>
      </c>
      <c r="B108" s="71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4"/>
      <c r="B109" s="71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4"/>
      <c r="B110" s="71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3">
        <v>64</v>
      </c>
      <c r="B113" s="71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3"/>
      <c r="B114" s="71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3">
        <v>66</v>
      </c>
      <c r="B116" s="71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3"/>
      <c r="B117" s="71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4">
        <v>67</v>
      </c>
      <c r="B118" s="71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4"/>
      <c r="B119" s="71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4"/>
      <c r="B120" s="71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3">
        <v>68</v>
      </c>
      <c r="B121" s="71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3"/>
      <c r="B122" s="71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4">
        <v>69</v>
      </c>
      <c r="B123" s="71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4"/>
      <c r="B124" s="71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3">
        <v>72</v>
      </c>
      <c r="B127" s="714" t="s">
        <v>65</v>
      </c>
      <c r="C127" s="119" t="s">
        <v>26</v>
      </c>
      <c r="D127" s="120">
        <v>3.3</v>
      </c>
      <c r="E127" s="121"/>
      <c r="F127" s="122" t="s">
        <v>30</v>
      </c>
      <c r="G127" s="71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3"/>
      <c r="B128" s="714"/>
      <c r="C128" s="103" t="s">
        <v>26</v>
      </c>
      <c r="D128" s="88">
        <v>12.9</v>
      </c>
      <c r="E128" s="106"/>
      <c r="F128" s="107" t="s">
        <v>16</v>
      </c>
      <c r="G128" s="71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3">
        <v>76</v>
      </c>
      <c r="B132" s="71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3"/>
      <c r="B133" s="71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3"/>
      <c r="B134" s="71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3"/>
      <c r="B135" s="71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3">
        <v>78</v>
      </c>
      <c r="B137" s="71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3"/>
      <c r="B138" s="71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1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1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0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0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1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1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2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2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1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1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0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0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7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7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7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7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1" t="s">
        <v>133</v>
      </c>
      <c r="J420" s="721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6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6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2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2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2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7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7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3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3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3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3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3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6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6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7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7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7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7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4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4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7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7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5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5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7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7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1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1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6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6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6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6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0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0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7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7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2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2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7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7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6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6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6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6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6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6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6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6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6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6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7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7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7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7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7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7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7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7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7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7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7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7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6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6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7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7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6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6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7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7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6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6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7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7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4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7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7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7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6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6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3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3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3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7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7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7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7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4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4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7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7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6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6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4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3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3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2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2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2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7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7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4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7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7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4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6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6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4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3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4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3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8" t="s">
        <v>467</v>
      </c>
      <c r="H2160" s="414" t="s">
        <v>515</v>
      </c>
      <c r="I2160" s="415" t="s">
        <v>516</v>
      </c>
      <c r="J2160" s="729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8"/>
      <c r="H2161" s="421" t="s">
        <v>515</v>
      </c>
      <c r="I2161" s="422" t="s">
        <v>516</v>
      </c>
      <c r="J2161" s="729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8"/>
      <c r="H2162" s="429" t="s">
        <v>515</v>
      </c>
      <c r="I2162" s="430" t="s">
        <v>516</v>
      </c>
      <c r="J2162" s="729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8" t="s">
        <v>467</v>
      </c>
      <c r="H2165" s="414" t="s">
        <v>516</v>
      </c>
      <c r="I2165" s="415" t="s">
        <v>516</v>
      </c>
      <c r="J2165" s="729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8"/>
      <c r="H2166" s="429" t="s">
        <v>516</v>
      </c>
      <c r="I2166" s="430" t="s">
        <v>516</v>
      </c>
      <c r="J2166" s="729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4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7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7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4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6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6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4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30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30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2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2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4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4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3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3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3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2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2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4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9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4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4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4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2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2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4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2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2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4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22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2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2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3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6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6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6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2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2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2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2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4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2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2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6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6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4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3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3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3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32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7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7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3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2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2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2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33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2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33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6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6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3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6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6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2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2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2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3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3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22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2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2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2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2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2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6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6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6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2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2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2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2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4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2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2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2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2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2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2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2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5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5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4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7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7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2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2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4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9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6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6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2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2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2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2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2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7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7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7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7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2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2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2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2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9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4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2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7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2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7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2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2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2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6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6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6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4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6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6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6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6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2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2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2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2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2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6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6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6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6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2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2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7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7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7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2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2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2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33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2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33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2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33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2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33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2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33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2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33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2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2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2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2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3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2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2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2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2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2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2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2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2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22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2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2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4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2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2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2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2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2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2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2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2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2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2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2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2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7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2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7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7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7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22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2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2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2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2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2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7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7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2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2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2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33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2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33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2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33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9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6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6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2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2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9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6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6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6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6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93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9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01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93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9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01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01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01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6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93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93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9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8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93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6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93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6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93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6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6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9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93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6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6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9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93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93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6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93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6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93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9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8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93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9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8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93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6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93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93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6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93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6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93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6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6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9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93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6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93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93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9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8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6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93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6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6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9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93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6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6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6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6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9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93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6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93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6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93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93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93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93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9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01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8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9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6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9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9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9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8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6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93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93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6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93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93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6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93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6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93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9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8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93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6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93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6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93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93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1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93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93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6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93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93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6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93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93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9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8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6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93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6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93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9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01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8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6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6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9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93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6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93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6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93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6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93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6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93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9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8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93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6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6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93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93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93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6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6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9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93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93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93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6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93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93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4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4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4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93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6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93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6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93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93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93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93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9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0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93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6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7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93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93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93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93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6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7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93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93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93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93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93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93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93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93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93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93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93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93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93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93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93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93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9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0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93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93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6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7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93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93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93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6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7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93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93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93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93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93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9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01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01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0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93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93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93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6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7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93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93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93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93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93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9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7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9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93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93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93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9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93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93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93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93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93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93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6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93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93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93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93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93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93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93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93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93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93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93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93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93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93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93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9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01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0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93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93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93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93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93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9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0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93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93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93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93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93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93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93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93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93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93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93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9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0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93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93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93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93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6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7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6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7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93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93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93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9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0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93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93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9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01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93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93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9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0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93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6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7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93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93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93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93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93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6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7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93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93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9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0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93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6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7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93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93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93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9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0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93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93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9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0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93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93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93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93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9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0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93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9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01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93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93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93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93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9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0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93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6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7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93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93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93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0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93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6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7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93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93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6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7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93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93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93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6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7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6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7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93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93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93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6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7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93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6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7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93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93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9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01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01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6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7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93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93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9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4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93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93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93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6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7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93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6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7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93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93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9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01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01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01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93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9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0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93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93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9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0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93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9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93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9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9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0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93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93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9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93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9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93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9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93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9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01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93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9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9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00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93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9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93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9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9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00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93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9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93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9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6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7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93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9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93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93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9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9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00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93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9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9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93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9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9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93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9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93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9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93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9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9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9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9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93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9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9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9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9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6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9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98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93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9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9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9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9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93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9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9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9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9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9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9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9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9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9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9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4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08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90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9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9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93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9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9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9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x14ac:dyDescent="0.25">
      <c r="A5309" s="690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1"/>
      <c r="L5309" s="535" t="s">
        <v>28</v>
      </c>
      <c r="M5309" s="535">
        <v>5792.3600000000006</v>
      </c>
      <c r="N5309" s="539">
        <v>0.41666666666666669</v>
      </c>
    </row>
    <row r="5310" spans="1:14" ht="19.5" thickBot="1" x14ac:dyDescent="0.3">
      <c r="A5310" s="69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36"/>
      <c r="L5310" s="640" t="s">
        <v>28</v>
      </c>
      <c r="M5310" s="640">
        <v>4984.3200000000006</v>
      </c>
      <c r="N5310" s="644">
        <v>0.41666666666666669</v>
      </c>
    </row>
    <row r="5311" spans="1:14" x14ac:dyDescent="0.25">
      <c r="A5311" s="693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79"/>
      <c r="L5311" s="483" t="s">
        <v>28</v>
      </c>
      <c r="M5311" s="483">
        <v>8609.3200000000015</v>
      </c>
      <c r="N5311" s="486">
        <v>0.45833333333333331</v>
      </c>
    </row>
    <row r="5312" spans="1:14" ht="19.5" thickBot="1" x14ac:dyDescent="0.3">
      <c r="A5312" s="69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5"/>
      <c r="L5312" s="649" t="s">
        <v>28</v>
      </c>
      <c r="M5312" s="649">
        <v>1879.08</v>
      </c>
      <c r="N5312" s="653">
        <v>0.45833333333333331</v>
      </c>
    </row>
    <row r="5313" spans="1:14" ht="19.5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4"/>
      <c r="L5313" s="508" t="s">
        <v>28</v>
      </c>
      <c r="M5313" s="508">
        <v>12207.6</v>
      </c>
      <c r="N5313" s="512">
        <v>0.5</v>
      </c>
    </row>
    <row r="5314" spans="1:14" ht="19.5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4"/>
      <c r="L5314" s="518" t="s">
        <v>266</v>
      </c>
      <c r="M5314" s="518">
        <v>18093.02</v>
      </c>
      <c r="N5314" s="522">
        <v>0.5</v>
      </c>
    </row>
    <row r="5315" spans="1:14" ht="38.25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4"/>
      <c r="L5315" s="508" t="s">
        <v>266</v>
      </c>
      <c r="M5315" s="508">
        <v>18067.68</v>
      </c>
      <c r="N5315" s="512">
        <v>0.41666666666666669</v>
      </c>
    </row>
    <row r="5316" spans="1:14" x14ac:dyDescent="0.25">
      <c r="A5316" s="693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79"/>
      <c r="L5316" s="483" t="s">
        <v>266</v>
      </c>
      <c r="M5316" s="483">
        <v>12842.31</v>
      </c>
      <c r="N5316" s="486">
        <v>0.5</v>
      </c>
    </row>
    <row r="5317" spans="1:14" ht="19.5" thickBot="1" x14ac:dyDescent="0.3">
      <c r="A5317" s="69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5"/>
      <c r="L5317" s="499" t="s">
        <v>266</v>
      </c>
      <c r="M5317" s="499">
        <v>1142.7099999999998</v>
      </c>
      <c r="N5317" s="502">
        <v>0.5</v>
      </c>
    </row>
    <row r="5318" spans="1:14" ht="19.5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4"/>
      <c r="L5318" s="508" t="s">
        <v>266</v>
      </c>
      <c r="M5318" s="508">
        <v>18087</v>
      </c>
      <c r="N5318" s="512">
        <v>0.41666666666666669</v>
      </c>
    </row>
    <row r="5319" spans="1:14" ht="19.5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4"/>
      <c r="L5319" s="518" t="s">
        <v>266</v>
      </c>
      <c r="M5319" s="518">
        <v>18041.800000000003</v>
      </c>
      <c r="N5319" s="522">
        <v>0.45833333333333331</v>
      </c>
    </row>
    <row r="5320" spans="1:14" ht="19.5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4"/>
      <c r="L5320" s="508" t="s">
        <v>266</v>
      </c>
      <c r="M5320" s="508">
        <v>18024.599999999999</v>
      </c>
      <c r="N5320" s="512">
        <v>0.5</v>
      </c>
    </row>
    <row r="5321" spans="1:14" x14ac:dyDescent="0.25">
      <c r="A5321" s="693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99" t="s">
        <v>1172</v>
      </c>
      <c r="H5321" s="483" t="s">
        <v>1171</v>
      </c>
      <c r="I5321" s="484" t="s">
        <v>1171</v>
      </c>
      <c r="J5321" s="485"/>
      <c r="K5321" s="479"/>
      <c r="L5321" s="483" t="s">
        <v>266</v>
      </c>
      <c r="M5321" s="483">
        <v>384.36</v>
      </c>
      <c r="N5321" s="486">
        <v>0.54166666666666663</v>
      </c>
    </row>
    <row r="5322" spans="1:14" x14ac:dyDescent="0.25">
      <c r="A5322" s="69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01"/>
      <c r="H5322" s="527" t="s">
        <v>1171</v>
      </c>
      <c r="I5322" s="528" t="s">
        <v>1171</v>
      </c>
      <c r="J5322" s="529"/>
      <c r="K5322" s="523"/>
      <c r="L5322" s="527" t="s">
        <v>266</v>
      </c>
      <c r="M5322" s="527">
        <v>813.79999999999984</v>
      </c>
      <c r="N5322" s="530">
        <v>0.54166666666666663</v>
      </c>
    </row>
    <row r="5323" spans="1:14" x14ac:dyDescent="0.25">
      <c r="A5323" s="69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01"/>
      <c r="H5323" s="527" t="s">
        <v>1171</v>
      </c>
      <c r="I5323" s="528" t="s">
        <v>1171</v>
      </c>
      <c r="J5323" s="529"/>
      <c r="K5323" s="523"/>
      <c r="L5323" s="527" t="s">
        <v>266</v>
      </c>
      <c r="M5323" s="527">
        <v>4801.24</v>
      </c>
      <c r="N5323" s="530">
        <v>0.54166666666666663</v>
      </c>
    </row>
    <row r="5324" spans="1:14" x14ac:dyDescent="0.25">
      <c r="A5324" s="69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01"/>
      <c r="H5324" s="527" t="s">
        <v>1171</v>
      </c>
      <c r="I5324" s="528" t="s">
        <v>1171</v>
      </c>
      <c r="J5324" s="529"/>
      <c r="K5324" s="523"/>
      <c r="L5324" s="527" t="s">
        <v>266</v>
      </c>
      <c r="M5324" s="527">
        <v>6275.77</v>
      </c>
      <c r="N5324" s="530">
        <v>0.54166666666666663</v>
      </c>
    </row>
    <row r="5325" spans="1:14" ht="19.5" thickBot="1" x14ac:dyDescent="0.3">
      <c r="A5325" s="69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01"/>
      <c r="H5325" s="499" t="s">
        <v>1171</v>
      </c>
      <c r="I5325" s="500" t="s">
        <v>1171</v>
      </c>
      <c r="J5325" s="501"/>
      <c r="K5325" s="495"/>
      <c r="L5325" s="499" t="s">
        <v>266</v>
      </c>
      <c r="M5325" s="499">
        <v>2880</v>
      </c>
      <c r="N5325" s="502">
        <v>0.54166666666666663</v>
      </c>
    </row>
    <row r="5326" spans="1:14" x14ac:dyDescent="0.25">
      <c r="A5326" s="690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1"/>
      <c r="L5326" s="535" t="s">
        <v>265</v>
      </c>
      <c r="M5326" s="535">
        <v>10138.939999999999</v>
      </c>
      <c r="N5326" s="539">
        <v>0.375</v>
      </c>
    </row>
    <row r="5327" spans="1:14" ht="19.5" thickBot="1" x14ac:dyDescent="0.3">
      <c r="A5327" s="69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36"/>
      <c r="L5327" s="640" t="s">
        <v>265</v>
      </c>
      <c r="M5327" s="640">
        <v>7099.3099999999995</v>
      </c>
      <c r="N5327" s="644">
        <v>0.375</v>
      </c>
    </row>
    <row r="5328" spans="1:14" ht="19.5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4"/>
      <c r="L5328" s="518" t="s">
        <v>265</v>
      </c>
      <c r="M5328" s="518">
        <v>17680.660000000003</v>
      </c>
      <c r="N5328" s="522">
        <v>0.41666666666666669</v>
      </c>
    </row>
    <row r="5329" spans="1:14" ht="19.5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/>
      <c r="F5329" s="508" t="s">
        <v>16</v>
      </c>
      <c r="G5329" s="509"/>
      <c r="H5329" s="508" t="s">
        <v>1174</v>
      </c>
      <c r="I5329" s="510"/>
      <c r="J5329" s="511"/>
      <c r="K5329" s="504"/>
      <c r="L5329" s="508" t="s">
        <v>265</v>
      </c>
      <c r="M5329" s="508">
        <v>17669.8</v>
      </c>
      <c r="N5329" s="512">
        <v>0.375</v>
      </c>
    </row>
    <row r="5330" spans="1:14" ht="19.5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/>
      <c r="K5330" s="514"/>
      <c r="L5330" s="518" t="s">
        <v>265</v>
      </c>
      <c r="M5330" s="518">
        <v>12874.200000000003</v>
      </c>
      <c r="N5330" s="522">
        <v>0.375</v>
      </c>
    </row>
    <row r="5331" spans="1:14" x14ac:dyDescent="0.25">
      <c r="A5331" s="690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/>
      <c r="F5331" s="535" t="s">
        <v>16</v>
      </c>
      <c r="G5331" s="536"/>
      <c r="H5331" s="535" t="s">
        <v>1174</v>
      </c>
      <c r="I5331" s="537"/>
      <c r="J5331" s="538"/>
      <c r="K5331" s="531"/>
      <c r="L5331" s="535" t="s">
        <v>28</v>
      </c>
      <c r="M5331" s="535">
        <v>3482.9600000000005</v>
      </c>
      <c r="N5331" s="539">
        <v>0.41666666666666669</v>
      </c>
    </row>
    <row r="5332" spans="1:14" x14ac:dyDescent="0.25">
      <c r="A5332" s="691"/>
      <c r="B5332" s="563" t="s">
        <v>1169</v>
      </c>
      <c r="C5332" s="564" t="s">
        <v>839</v>
      </c>
      <c r="D5332" s="565">
        <v>1.508</v>
      </c>
      <c r="E5332" s="566"/>
      <c r="F5332" s="567" t="s">
        <v>16</v>
      </c>
      <c r="G5332" s="568"/>
      <c r="H5332" s="567" t="s">
        <v>1174</v>
      </c>
      <c r="I5332" s="569"/>
      <c r="J5332" s="570"/>
      <c r="K5332" s="563"/>
      <c r="L5332" s="567" t="s">
        <v>28</v>
      </c>
      <c r="M5332" s="567">
        <v>1553.7</v>
      </c>
      <c r="N5332" s="571">
        <v>0.41666666666666669</v>
      </c>
    </row>
    <row r="5333" spans="1:14" x14ac:dyDescent="0.25">
      <c r="A5333" s="691"/>
      <c r="B5333" s="563" t="s">
        <v>1169</v>
      </c>
      <c r="C5333" s="564" t="s">
        <v>47</v>
      </c>
      <c r="D5333" s="565">
        <v>9.359</v>
      </c>
      <c r="E5333" s="566"/>
      <c r="F5333" s="567" t="s">
        <v>16</v>
      </c>
      <c r="G5333" s="568"/>
      <c r="H5333" s="567" t="s">
        <v>1174</v>
      </c>
      <c r="I5333" s="569"/>
      <c r="J5333" s="570"/>
      <c r="K5333" s="563"/>
      <c r="L5333" s="567" t="s">
        <v>28</v>
      </c>
      <c r="M5333" s="567">
        <v>9460.02</v>
      </c>
      <c r="N5333" s="571">
        <v>0.41666666666666669</v>
      </c>
    </row>
    <row r="5334" spans="1:14" ht="19.5" thickBot="1" x14ac:dyDescent="0.3">
      <c r="A5334" s="692"/>
      <c r="B5334" s="636" t="s">
        <v>1169</v>
      </c>
      <c r="C5334" s="637" t="s">
        <v>24</v>
      </c>
      <c r="D5334" s="638">
        <v>3.15</v>
      </c>
      <c r="E5334" s="639"/>
      <c r="F5334" s="640" t="s">
        <v>16</v>
      </c>
      <c r="G5334" s="641"/>
      <c r="H5334" s="640" t="s">
        <v>1174</v>
      </c>
      <c r="I5334" s="642"/>
      <c r="J5334" s="643"/>
      <c r="K5334" s="636"/>
      <c r="L5334" s="640" t="s">
        <v>28</v>
      </c>
      <c r="M5334" s="640">
        <v>3236.5000000000005</v>
      </c>
      <c r="N5334" s="644">
        <v>0.41666666666666669</v>
      </c>
    </row>
    <row r="5335" spans="1:14" ht="19.5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/>
      <c r="F5335" s="518" t="s">
        <v>16</v>
      </c>
      <c r="G5335" s="519"/>
      <c r="H5335" s="518" t="s">
        <v>1174</v>
      </c>
      <c r="I5335" s="520"/>
      <c r="J5335" s="521"/>
      <c r="K5335" s="514"/>
      <c r="L5335" s="518" t="s">
        <v>28</v>
      </c>
      <c r="M5335" s="518">
        <v>17811.72</v>
      </c>
      <c r="N5335" s="522">
        <v>0.45833333333333331</v>
      </c>
    </row>
    <row r="5336" spans="1:14" ht="19.5" thickBot="1" x14ac:dyDescent="0.3">
      <c r="A5336" s="688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/>
      <c r="F5336" s="556" t="s">
        <v>16</v>
      </c>
      <c r="G5336" s="557"/>
      <c r="H5336" s="556" t="s">
        <v>1174</v>
      </c>
      <c r="I5336" s="558"/>
      <c r="J5336" s="559"/>
      <c r="K5336" s="552"/>
      <c r="L5336" s="556" t="s">
        <v>28</v>
      </c>
      <c r="M5336" s="556">
        <v>17162.96</v>
      </c>
      <c r="N5336" s="560">
        <v>0.5</v>
      </c>
    </row>
    <row r="5337" spans="1:14" ht="19.5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/>
      <c r="F5337" s="518" t="s">
        <v>16</v>
      </c>
      <c r="G5337" s="519" t="s">
        <v>467</v>
      </c>
      <c r="H5337" s="518" t="s">
        <v>1174</v>
      </c>
      <c r="I5337" s="520"/>
      <c r="J5337" s="521"/>
      <c r="K5337" s="514"/>
      <c r="L5337" s="518" t="s">
        <v>266</v>
      </c>
      <c r="M5337" s="518">
        <v>8343.11</v>
      </c>
      <c r="N5337" s="522">
        <v>0.54166666666666663</v>
      </c>
    </row>
    <row r="5338" spans="1:14" x14ac:dyDescent="0.25">
      <c r="A5338" s="690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/>
      <c r="F5338" s="535" t="s">
        <v>16</v>
      </c>
      <c r="G5338" s="536" t="s">
        <v>47</v>
      </c>
      <c r="H5338" s="535" t="s">
        <v>1174</v>
      </c>
      <c r="I5338" s="537"/>
      <c r="J5338" s="538"/>
      <c r="K5338" s="531"/>
      <c r="L5338" s="535" t="s">
        <v>28</v>
      </c>
      <c r="M5338" s="535">
        <v>7684.6799999999994</v>
      </c>
      <c r="N5338" s="539">
        <v>0.58333333333333337</v>
      </c>
    </row>
    <row r="5339" spans="1:14" ht="56.25" x14ac:dyDescent="0.25">
      <c r="A5339" s="691"/>
      <c r="B5339" s="563" t="s">
        <v>1171</v>
      </c>
      <c r="C5339" s="564" t="s">
        <v>587</v>
      </c>
      <c r="D5339" s="565">
        <v>0.72</v>
      </c>
      <c r="E5339" s="566"/>
      <c r="F5339" s="567" t="s">
        <v>16</v>
      </c>
      <c r="G5339" s="568" t="s">
        <v>794</v>
      </c>
      <c r="H5339" s="567" t="s">
        <v>1174</v>
      </c>
      <c r="I5339" s="569"/>
      <c r="J5339" s="570"/>
      <c r="K5339" s="563"/>
      <c r="L5339" s="567" t="s">
        <v>28</v>
      </c>
      <c r="M5339" s="567">
        <v>720</v>
      </c>
      <c r="N5339" s="571">
        <v>0.58333333333333337</v>
      </c>
    </row>
    <row r="5340" spans="1:14" x14ac:dyDescent="0.25">
      <c r="A5340" s="691"/>
      <c r="B5340" s="563" t="s">
        <v>1171</v>
      </c>
      <c r="C5340" s="564" t="s">
        <v>23</v>
      </c>
      <c r="D5340" s="565">
        <v>4.4169999999999998</v>
      </c>
      <c r="E5340" s="566"/>
      <c r="F5340" s="567" t="s">
        <v>16</v>
      </c>
      <c r="G5340" s="568"/>
      <c r="H5340" s="567" t="s">
        <v>1174</v>
      </c>
      <c r="I5340" s="569"/>
      <c r="J5340" s="570"/>
      <c r="K5340" s="563"/>
      <c r="L5340" s="567" t="s">
        <v>28</v>
      </c>
      <c r="M5340" s="567">
        <v>4473</v>
      </c>
      <c r="N5340" s="571">
        <v>0.58333333333333337</v>
      </c>
    </row>
    <row r="5341" spans="1:14" ht="19.5" thickBot="1" x14ac:dyDescent="0.3">
      <c r="A5341" s="692"/>
      <c r="B5341" s="636" t="s">
        <v>1171</v>
      </c>
      <c r="C5341" s="637" t="s">
        <v>47</v>
      </c>
      <c r="D5341" s="638">
        <v>4.21</v>
      </c>
      <c r="E5341" s="639"/>
      <c r="F5341" s="640" t="s">
        <v>16</v>
      </c>
      <c r="G5341" s="641"/>
      <c r="H5341" s="640" t="s">
        <v>1174</v>
      </c>
      <c r="I5341" s="642"/>
      <c r="J5341" s="643"/>
      <c r="K5341" s="636"/>
      <c r="L5341" s="640" t="s">
        <v>28</v>
      </c>
      <c r="M5341" s="640">
        <v>4294.9800000000005</v>
      </c>
      <c r="N5341" s="644">
        <v>0.58333333333333337</v>
      </c>
    </row>
    <row r="5342" spans="1:14" x14ac:dyDescent="0.25">
      <c r="A5342" s="693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/>
      <c r="F5342" s="483" t="s">
        <v>16</v>
      </c>
      <c r="G5342" s="549"/>
      <c r="H5342" s="483" t="s">
        <v>1175</v>
      </c>
      <c r="I5342" s="484"/>
      <c r="J5342" s="485"/>
      <c r="K5342" s="479"/>
      <c r="L5342" s="483" t="s">
        <v>265</v>
      </c>
      <c r="M5342" s="483">
        <v>16566.260000000002</v>
      </c>
      <c r="N5342" s="486">
        <v>0.375</v>
      </c>
    </row>
    <row r="5343" spans="1:14" ht="19.5" thickBot="1" x14ac:dyDescent="0.3">
      <c r="A5343" s="695"/>
      <c r="B5343" s="645" t="s">
        <v>1171</v>
      </c>
      <c r="C5343" s="646" t="s">
        <v>952</v>
      </c>
      <c r="D5343" s="647">
        <v>0.97699999999999998</v>
      </c>
      <c r="E5343" s="648"/>
      <c r="F5343" s="649" t="s">
        <v>16</v>
      </c>
      <c r="G5343" s="650"/>
      <c r="H5343" s="649" t="s">
        <v>1175</v>
      </c>
      <c r="I5343" s="651"/>
      <c r="J5343" s="652"/>
      <c r="K5343" s="645"/>
      <c r="L5343" s="649" t="s">
        <v>266</v>
      </c>
      <c r="M5343" s="649">
        <v>1035.9000000000001</v>
      </c>
      <c r="N5343" s="653">
        <v>0.375</v>
      </c>
    </row>
    <row r="5344" spans="1:14" ht="19.5" thickBot="1" x14ac:dyDescent="0.3">
      <c r="A5344" s="689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/>
      <c r="F5344" s="556" t="s">
        <v>30</v>
      </c>
      <c r="G5344" s="557"/>
      <c r="H5344" s="556" t="s">
        <v>1174</v>
      </c>
      <c r="I5344" s="558"/>
      <c r="J5344" s="559"/>
      <c r="K5344" s="552"/>
      <c r="L5344" s="556" t="s">
        <v>265</v>
      </c>
      <c r="M5344" s="556">
        <v>12970.28</v>
      </c>
      <c r="N5344" s="560">
        <v>0.375</v>
      </c>
    </row>
    <row r="5345" spans="1:14" ht="19.5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/>
      <c r="F5345" s="518" t="s">
        <v>30</v>
      </c>
      <c r="G5345" s="519" t="s">
        <v>23</v>
      </c>
      <c r="H5345" s="518" t="s">
        <v>1175</v>
      </c>
      <c r="I5345" s="520"/>
      <c r="J5345" s="521"/>
      <c r="K5345" s="514"/>
      <c r="L5345" s="518" t="s">
        <v>28</v>
      </c>
      <c r="M5345" s="518">
        <v>10232.040000000001</v>
      </c>
      <c r="N5345" s="522">
        <v>0.41666666666666669</v>
      </c>
    </row>
    <row r="5346" spans="1:14" ht="38.25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/>
      <c r="F5346" s="508" t="s">
        <v>16</v>
      </c>
      <c r="G5346" s="509" t="s">
        <v>1176</v>
      </c>
      <c r="H5346" s="508" t="s">
        <v>1175</v>
      </c>
      <c r="I5346" s="510"/>
      <c r="J5346" s="511"/>
      <c r="K5346" s="504"/>
      <c r="L5346" s="508" t="s">
        <v>28</v>
      </c>
      <c r="M5346" s="508">
        <v>9352.43</v>
      </c>
      <c r="N5346" s="512">
        <v>0.41666666666666669</v>
      </c>
    </row>
    <row r="5347" spans="1:14" ht="19.5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/>
      <c r="F5347" s="518" t="s">
        <v>16</v>
      </c>
      <c r="G5347" s="519"/>
      <c r="H5347" s="518" t="s">
        <v>1177</v>
      </c>
      <c r="I5347" s="520"/>
      <c r="J5347" s="521"/>
      <c r="K5347" s="514"/>
      <c r="L5347" s="518" t="s">
        <v>265</v>
      </c>
      <c r="M5347" s="518">
        <v>17679.04</v>
      </c>
      <c r="N5347" s="522">
        <v>0.375</v>
      </c>
    </row>
    <row r="5348" spans="1:14" x14ac:dyDescent="0.25">
      <c r="A5348" s="690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/>
      <c r="F5348" s="535" t="s">
        <v>16</v>
      </c>
      <c r="G5348" s="536"/>
      <c r="H5348" s="535" t="s">
        <v>1177</v>
      </c>
      <c r="I5348" s="537"/>
      <c r="J5348" s="538"/>
      <c r="K5348" s="531"/>
      <c r="L5348" s="535" t="s">
        <v>28</v>
      </c>
      <c r="M5348" s="535">
        <v>2512.1399999999994</v>
      </c>
      <c r="N5348" s="539">
        <v>0.41666666666666669</v>
      </c>
    </row>
    <row r="5349" spans="1:14" x14ac:dyDescent="0.25">
      <c r="A5349" s="691"/>
      <c r="B5349" s="563" t="s">
        <v>1173</v>
      </c>
      <c r="C5349" s="564" t="s">
        <v>24</v>
      </c>
      <c r="D5349" s="565">
        <v>3.0779999999999998</v>
      </c>
      <c r="E5349" s="566"/>
      <c r="F5349" s="567" t="s">
        <v>16</v>
      </c>
      <c r="G5349" s="568"/>
      <c r="H5349" s="567" t="s">
        <v>1177</v>
      </c>
      <c r="I5349" s="569"/>
      <c r="J5349" s="570"/>
      <c r="K5349" s="563"/>
      <c r="L5349" s="567" t="s">
        <v>28</v>
      </c>
      <c r="M5349" s="567">
        <v>3218.0199999999995</v>
      </c>
      <c r="N5349" s="571">
        <v>0.41666666666666669</v>
      </c>
    </row>
    <row r="5350" spans="1:14" ht="19.5" thickBot="1" x14ac:dyDescent="0.3">
      <c r="A5350" s="692"/>
      <c r="B5350" s="636" t="s">
        <v>1173</v>
      </c>
      <c r="C5350" s="637" t="s">
        <v>25</v>
      </c>
      <c r="D5350" s="638">
        <v>11.61</v>
      </c>
      <c r="E5350" s="639"/>
      <c r="F5350" s="640" t="s">
        <v>16</v>
      </c>
      <c r="G5350" s="641"/>
      <c r="H5350" s="640" t="s">
        <v>1177</v>
      </c>
      <c r="I5350" s="642"/>
      <c r="J5350" s="643"/>
      <c r="K5350" s="636"/>
      <c r="L5350" s="640" t="s">
        <v>28</v>
      </c>
      <c r="M5350" s="640">
        <v>11699.039999999997</v>
      </c>
      <c r="N5350" s="644">
        <v>0.41666666666666669</v>
      </c>
    </row>
    <row r="5351" spans="1:14" x14ac:dyDescent="0.25">
      <c r="A5351" s="693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/>
      <c r="F5351" s="483" t="s">
        <v>16</v>
      </c>
      <c r="G5351" s="549"/>
      <c r="H5351" s="483" t="s">
        <v>1177</v>
      </c>
      <c r="I5351" s="484"/>
      <c r="J5351" s="485"/>
      <c r="K5351" s="479"/>
      <c r="L5351" s="483" t="s">
        <v>266</v>
      </c>
      <c r="M5351" s="483">
        <v>3627.5400000000004</v>
      </c>
      <c r="N5351" s="486">
        <v>0.45833333333333331</v>
      </c>
    </row>
    <row r="5352" spans="1:14" x14ac:dyDescent="0.25">
      <c r="A5352" s="694"/>
      <c r="B5352" s="523" t="s">
        <v>1173</v>
      </c>
      <c r="C5352" s="524" t="s">
        <v>23</v>
      </c>
      <c r="D5352" s="525">
        <v>12.170999999999999</v>
      </c>
      <c r="E5352" s="526"/>
      <c r="F5352" s="527" t="s">
        <v>16</v>
      </c>
      <c r="G5352" s="561"/>
      <c r="H5352" s="527" t="s">
        <v>1177</v>
      </c>
      <c r="I5352" s="528"/>
      <c r="J5352" s="529"/>
      <c r="K5352" s="523"/>
      <c r="L5352" s="527" t="s">
        <v>28</v>
      </c>
      <c r="M5352" s="527">
        <v>12302.29</v>
      </c>
      <c r="N5352" s="530">
        <v>0.45833333333333331</v>
      </c>
    </row>
    <row r="5353" spans="1:14" ht="19.5" thickBot="1" x14ac:dyDescent="0.3">
      <c r="A5353" s="695"/>
      <c r="B5353" s="645" t="s">
        <v>1173</v>
      </c>
      <c r="C5353" s="646" t="s">
        <v>47</v>
      </c>
      <c r="D5353" s="647">
        <v>1.24</v>
      </c>
      <c r="E5353" s="648"/>
      <c r="F5353" s="649" t="s">
        <v>16</v>
      </c>
      <c r="G5353" s="650"/>
      <c r="H5353" s="649" t="s">
        <v>1177</v>
      </c>
      <c r="I5353" s="651"/>
      <c r="J5353" s="652"/>
      <c r="K5353" s="645"/>
      <c r="L5353" s="649" t="s">
        <v>28</v>
      </c>
      <c r="M5353" s="649">
        <v>1254.5999999999999</v>
      </c>
      <c r="N5353" s="653">
        <v>0.45833333333333331</v>
      </c>
    </row>
    <row r="5354" spans="1:14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/>
      <c r="F5354" s="508" t="s">
        <v>16</v>
      </c>
      <c r="G5354" s="509"/>
      <c r="H5354" s="508" t="s">
        <v>1178</v>
      </c>
      <c r="I5354" s="510"/>
      <c r="J5354" s="511"/>
      <c r="K5354" s="504"/>
      <c r="L5354" s="508" t="s">
        <v>265</v>
      </c>
      <c r="M5354" s="508">
        <v>17678.260000000002</v>
      </c>
      <c r="N5354" s="512">
        <v>0.375</v>
      </c>
    </row>
    <row r="5355" spans="1:14" x14ac:dyDescent="0.25">
      <c r="A5355" s="693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/>
      <c r="F5355" s="483" t="s">
        <v>30</v>
      </c>
      <c r="G5355" s="549"/>
      <c r="H5355" s="483" t="s">
        <v>1177</v>
      </c>
      <c r="I5355" s="484"/>
      <c r="J5355" s="485"/>
      <c r="K5355" s="479"/>
      <c r="L5355" s="483" t="s">
        <v>28</v>
      </c>
      <c r="M5355" s="483">
        <v>3180.08</v>
      </c>
      <c r="N5355" s="486">
        <v>0.41666666666666669</v>
      </c>
    </row>
    <row r="5356" spans="1:14" x14ac:dyDescent="0.25">
      <c r="A5356" s="694"/>
      <c r="B5356" s="523" t="s">
        <v>1173</v>
      </c>
      <c r="C5356" s="524" t="s">
        <v>587</v>
      </c>
      <c r="D5356" s="525">
        <v>4.0110000000000001</v>
      </c>
      <c r="E5356" s="526"/>
      <c r="F5356" s="527" t="s">
        <v>30</v>
      </c>
      <c r="G5356" s="561" t="s">
        <v>23</v>
      </c>
      <c r="H5356" s="527" t="s">
        <v>1177</v>
      </c>
      <c r="I5356" s="528"/>
      <c r="J5356" s="529"/>
      <c r="K5356" s="523"/>
      <c r="L5356" s="527" t="s">
        <v>28</v>
      </c>
      <c r="M5356" s="527">
        <v>4011.2000000000003</v>
      </c>
      <c r="N5356" s="530">
        <v>0.41666666666666669</v>
      </c>
    </row>
    <row r="5357" spans="1:14" ht="19.5" thickBot="1" x14ac:dyDescent="0.3">
      <c r="A5357" s="695"/>
      <c r="B5357" s="645" t="s">
        <v>1173</v>
      </c>
      <c r="C5357" s="646" t="s">
        <v>587</v>
      </c>
      <c r="D5357" s="647">
        <v>4.758</v>
      </c>
      <c r="E5357" s="648"/>
      <c r="F5357" s="649" t="s">
        <v>30</v>
      </c>
      <c r="G5357" s="650" t="s">
        <v>47</v>
      </c>
      <c r="H5357" s="649" t="s">
        <v>1177</v>
      </c>
      <c r="I5357" s="651"/>
      <c r="J5357" s="652"/>
      <c r="K5357" s="645"/>
      <c r="L5357" s="649" t="s">
        <v>28</v>
      </c>
      <c r="M5357" s="649">
        <v>4758.6000000000004</v>
      </c>
      <c r="N5357" s="653">
        <v>0.41666666666666669</v>
      </c>
    </row>
    <row r="5358" spans="1:14" x14ac:dyDescent="0.25">
      <c r="A5358" s="690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/>
      <c r="F5358" s="535" t="s">
        <v>30</v>
      </c>
      <c r="G5358" s="536"/>
      <c r="H5358" s="535" t="s">
        <v>1177</v>
      </c>
      <c r="I5358" s="537"/>
      <c r="J5358" s="538"/>
      <c r="K5358" s="531"/>
      <c r="L5358" s="535" t="s">
        <v>28</v>
      </c>
      <c r="M5358" s="535">
        <v>4566.4000000000005</v>
      </c>
      <c r="N5358" s="539">
        <v>0.45833333333333331</v>
      </c>
    </row>
    <row r="5359" spans="1:14" ht="19.5" thickBot="1" x14ac:dyDescent="0.3">
      <c r="A5359" s="692"/>
      <c r="B5359" s="636" t="s">
        <v>1173</v>
      </c>
      <c r="C5359" s="637" t="s">
        <v>24</v>
      </c>
      <c r="D5359" s="638">
        <v>7.8540000000000001</v>
      </c>
      <c r="E5359" s="639"/>
      <c r="F5359" s="640" t="s">
        <v>30</v>
      </c>
      <c r="G5359" s="641"/>
      <c r="H5359" s="640" t="s">
        <v>1177</v>
      </c>
      <c r="I5359" s="642"/>
      <c r="J5359" s="643"/>
      <c r="K5359" s="636"/>
      <c r="L5359" s="640" t="s">
        <v>28</v>
      </c>
      <c r="M5359" s="640">
        <v>7854.0400000000009</v>
      </c>
      <c r="N5359" s="644">
        <v>0.45833333333333331</v>
      </c>
    </row>
    <row r="5360" spans="1:14" ht="19.5" thickBot="1" x14ac:dyDescent="0.3">
      <c r="A5360" s="513">
        <f t="shared" si="151"/>
        <v>3039</v>
      </c>
      <c r="B5360" s="514" t="s">
        <v>1173</v>
      </c>
      <c r="C5360" s="515" t="s">
        <v>47</v>
      </c>
      <c r="D5360" s="516">
        <v>10.992000000000001</v>
      </c>
      <c r="E5360" s="517"/>
      <c r="F5360" s="518" t="s">
        <v>30</v>
      </c>
      <c r="G5360" s="519"/>
      <c r="H5360" s="518" t="s">
        <v>1177</v>
      </c>
      <c r="I5360" s="520"/>
      <c r="J5360" s="521"/>
      <c r="K5360" s="514"/>
      <c r="L5360" s="518" t="s">
        <v>28</v>
      </c>
      <c r="M5360" s="518">
        <v>10992.880000000001</v>
      </c>
      <c r="N5360" s="522">
        <v>0.5</v>
      </c>
    </row>
    <row r="5361" spans="1:14" x14ac:dyDescent="0.25">
      <c r="A5361" s="682">
        <f t="shared" si="151"/>
        <v>3040</v>
      </c>
      <c r="B5361" s="682"/>
      <c r="C5361" s="473"/>
      <c r="D5361" s="474"/>
      <c r="E5361" s="475"/>
      <c r="F5361" s="682"/>
      <c r="G5361" s="476"/>
      <c r="H5361" s="682"/>
      <c r="I5361" s="477"/>
      <c r="J5361" s="478"/>
      <c r="K5361" s="682"/>
      <c r="L5361" s="682"/>
      <c r="M5361" s="682"/>
      <c r="N5361" s="682"/>
    </row>
    <row r="5362" spans="1:14" x14ac:dyDescent="0.25">
      <c r="A5362" s="682">
        <f t="shared" si="151"/>
        <v>3041</v>
      </c>
      <c r="B5362" s="682"/>
      <c r="C5362" s="473"/>
      <c r="D5362" s="474"/>
      <c r="E5362" s="475"/>
      <c r="F5362" s="682"/>
      <c r="G5362" s="476"/>
      <c r="H5362" s="682"/>
      <c r="I5362" s="477"/>
      <c r="J5362" s="478"/>
      <c r="K5362" s="682"/>
      <c r="L5362" s="682"/>
      <c r="M5362" s="682"/>
      <c r="N5362" s="682"/>
    </row>
    <row r="5363" spans="1:14" x14ac:dyDescent="0.25">
      <c r="A5363" s="682">
        <f t="shared" si="151"/>
        <v>3042</v>
      </c>
      <c r="B5363" s="682"/>
      <c r="C5363" s="473"/>
      <c r="D5363" s="474"/>
      <c r="E5363" s="475"/>
      <c r="F5363" s="682"/>
      <c r="G5363" s="476"/>
      <c r="H5363" s="682"/>
      <c r="I5363" s="477"/>
      <c r="J5363" s="478"/>
      <c r="K5363" s="682"/>
      <c r="L5363" s="682"/>
      <c r="M5363" s="682"/>
      <c r="N5363" s="682"/>
    </row>
    <row r="5364" spans="1:14" x14ac:dyDescent="0.25">
      <c r="A5364" s="682">
        <f t="shared" si="151"/>
        <v>3043</v>
      </c>
      <c r="B5364" s="682"/>
      <c r="C5364" s="473"/>
      <c r="D5364" s="474"/>
      <c r="E5364" s="475"/>
      <c r="F5364" s="682"/>
      <c r="G5364" s="476"/>
      <c r="H5364" s="682"/>
      <c r="I5364" s="477"/>
      <c r="J5364" s="478"/>
      <c r="K5364" s="682"/>
      <c r="L5364" s="682"/>
      <c r="M5364" s="682"/>
      <c r="N5364" s="682"/>
    </row>
    <row r="5365" spans="1:14" x14ac:dyDescent="0.25">
      <c r="A5365" s="682">
        <f t="shared" ref="A5365:A5370" si="153">MAX(A5350:A5364)+1</f>
        <v>3044</v>
      </c>
      <c r="B5365" s="682"/>
      <c r="C5365" s="473"/>
      <c r="D5365" s="474"/>
      <c r="E5365" s="475"/>
      <c r="F5365" s="682"/>
      <c r="G5365" s="476"/>
      <c r="H5365" s="682"/>
      <c r="I5365" s="477"/>
      <c r="J5365" s="478"/>
      <c r="K5365" s="682"/>
      <c r="L5365" s="682"/>
      <c r="M5365" s="682"/>
      <c r="N5365" s="682"/>
    </row>
    <row r="5366" spans="1:14" x14ac:dyDescent="0.25">
      <c r="A5366" s="682">
        <f t="shared" si="153"/>
        <v>3045</v>
      </c>
      <c r="B5366" s="682"/>
      <c r="C5366" s="473"/>
      <c r="D5366" s="474"/>
      <c r="E5366" s="475"/>
      <c r="F5366" s="682"/>
      <c r="G5366" s="476"/>
      <c r="H5366" s="682"/>
      <c r="I5366" s="477"/>
      <c r="J5366" s="478"/>
      <c r="K5366" s="682"/>
      <c r="L5366" s="682"/>
      <c r="M5366" s="682"/>
      <c r="N5366" s="682"/>
    </row>
    <row r="5367" spans="1:14" x14ac:dyDescent="0.25">
      <c r="A5367" s="682">
        <f t="shared" si="153"/>
        <v>3046</v>
      </c>
      <c r="B5367" s="682"/>
      <c r="C5367" s="473"/>
      <c r="D5367" s="474"/>
      <c r="E5367" s="475"/>
      <c r="F5367" s="682"/>
      <c r="G5367" s="476"/>
      <c r="H5367" s="682"/>
      <c r="I5367" s="477"/>
      <c r="J5367" s="478"/>
      <c r="K5367" s="682"/>
      <c r="L5367" s="682"/>
      <c r="M5367" s="682"/>
      <c r="N5367" s="682"/>
    </row>
    <row r="5368" spans="1:14" x14ac:dyDescent="0.25">
      <c r="A5368" s="682">
        <f t="shared" si="153"/>
        <v>3047</v>
      </c>
      <c r="B5368" s="682"/>
      <c r="C5368" s="473"/>
      <c r="D5368" s="474"/>
      <c r="E5368" s="475"/>
      <c r="F5368" s="682"/>
      <c r="G5368" s="476"/>
      <c r="H5368" s="682"/>
      <c r="I5368" s="477"/>
      <c r="J5368" s="478"/>
      <c r="K5368" s="682"/>
      <c r="L5368" s="682"/>
      <c r="M5368" s="682"/>
      <c r="N5368" s="682"/>
    </row>
    <row r="5369" spans="1:14" x14ac:dyDescent="0.25">
      <c r="A5369" s="682">
        <f t="shared" si="153"/>
        <v>3048</v>
      </c>
      <c r="B5369" s="682"/>
      <c r="C5369" s="473"/>
      <c r="D5369" s="474"/>
      <c r="E5369" s="475"/>
      <c r="F5369" s="682"/>
      <c r="G5369" s="476"/>
      <c r="H5369" s="682"/>
      <c r="I5369" s="477"/>
      <c r="J5369" s="478"/>
      <c r="K5369" s="682"/>
      <c r="L5369" s="682"/>
      <c r="M5369" s="682"/>
      <c r="N5369" s="682"/>
    </row>
    <row r="5370" spans="1:14" x14ac:dyDescent="0.25">
      <c r="A5370" s="682">
        <f t="shared" si="153"/>
        <v>3049</v>
      </c>
      <c r="B5370" s="682"/>
      <c r="C5370" s="473"/>
      <c r="D5370" s="474"/>
      <c r="E5370" s="475"/>
      <c r="F5370" s="682"/>
      <c r="G5370" s="476"/>
      <c r="H5370" s="682"/>
      <c r="I5370" s="477"/>
      <c r="J5370" s="478"/>
      <c r="K5370" s="682"/>
      <c r="L5370" s="682"/>
      <c r="M5370" s="682"/>
      <c r="N5370" s="682"/>
    </row>
  </sheetData>
  <autoFilter ref="A2:N5350" xr:uid="{79D26EB9-2ECC-4189-8AEF-8CA7CBA20027}">
    <filterColumn colId="10">
      <filters blank="1"/>
    </filterColumn>
  </autoFilter>
  <mergeCells count="1595"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926:A4929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A615:A617"/>
    <mergeCell ref="G362:G363"/>
    <mergeCell ref="A381:A382"/>
    <mergeCell ref="A383:A384"/>
    <mergeCell ref="A400:A402"/>
    <mergeCell ref="A385:A390"/>
    <mergeCell ref="A490:A492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644:A646"/>
    <mergeCell ref="A727:A733"/>
    <mergeCell ref="A734:A740"/>
    <mergeCell ref="A599:A600"/>
    <mergeCell ref="A612:A613"/>
    <mergeCell ref="A878:A880"/>
    <mergeCell ref="A817:A819"/>
    <mergeCell ref="A823:A829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897:A898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A618:A620"/>
    <mergeCell ref="A659:A662"/>
    <mergeCell ref="A4960:A4961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410:A411"/>
    <mergeCell ref="A403:A404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6:A838"/>
    <mergeCell ref="A917:A918"/>
    <mergeCell ref="A919:A920"/>
    <mergeCell ref="A842:A843"/>
    <mergeCell ref="A931:A933"/>
    <mergeCell ref="A891:A893"/>
    <mergeCell ref="A4939:A4941"/>
    <mergeCell ref="A955:A956"/>
    <mergeCell ref="A957:A958"/>
    <mergeCell ref="A937:A938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247:A5249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5094:A5097"/>
    <mergeCell ref="G5091:G5092"/>
    <mergeCell ref="A5082:A5083"/>
    <mergeCell ref="A5084:A5086"/>
    <mergeCell ref="A5087:A5088"/>
    <mergeCell ref="G5084:G5086"/>
    <mergeCell ref="G4930:G4931"/>
    <mergeCell ref="A5059:A5060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A5286:A5289"/>
    <mergeCell ref="A5290:A5292"/>
    <mergeCell ref="A5196:A5197"/>
    <mergeCell ref="A5188:A5189"/>
    <mergeCell ref="A5176:A5178"/>
    <mergeCell ref="A5179:A5180"/>
    <mergeCell ref="A5181:A5182"/>
    <mergeCell ref="A5183:A5184"/>
    <mergeCell ref="A5282:A528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2025-12-11T08:47:38Z</cp:lastPrinted>
  <dcterms:created xsi:type="dcterms:W3CDTF">2015-06-05T18:19:34Z</dcterms:created>
  <dcterms:modified xsi:type="dcterms:W3CDTF">2025-12-12T11:35:59Z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