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14FA373-9284-4209-B61B-80CF15B8378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Лист1!$A$2:$R$7479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473" i="1" l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l="1"/>
  <c r="A7428" i="1" s="1"/>
  <c r="A7429" i="1" s="1"/>
  <c r="A7431" i="1" s="1"/>
  <c r="A7434" i="1" s="1"/>
  <c r="A7438" i="1" s="1"/>
  <c r="A7441" i="1" s="1"/>
  <c r="A7443" i="1" l="1"/>
  <c r="A7444" i="1" s="1"/>
  <c r="A7445" i="1" s="1"/>
  <c r="A7446" i="1" s="1"/>
  <c r="A7448" i="1" s="1"/>
  <c r="A7449" i="1" l="1"/>
  <c r="A7451" i="1"/>
  <c r="A7453" i="1" s="1"/>
  <c r="A7454" i="1" s="1"/>
  <c r="A7457" i="1" s="1"/>
  <c r="A7458" i="1" s="1"/>
  <c r="A7460" i="1" l="1"/>
  <c r="A7461" i="1" l="1"/>
  <c r="A7463" i="1" s="1"/>
  <c r="A7464" i="1" l="1"/>
  <c r="A7465" i="1"/>
  <c r="A7466" i="1" s="1"/>
  <c r="A7467" i="1" s="1"/>
  <c r="A7468" i="1" l="1"/>
  <c r="A7469" i="1" s="1"/>
  <c r="A7470" i="1" s="1"/>
  <c r="A7471" i="1" s="1"/>
  <c r="A7475" i="1" s="1"/>
  <c r="A7476" i="1" s="1"/>
  <c r="A7477" i="1" s="1"/>
  <c r="A7478" i="1" s="1"/>
  <c r="A7479" i="1" s="1"/>
</calcChain>
</file>

<file path=xl/sharedStrings.xml><?xml version="1.0" encoding="utf-8"?>
<sst xmlns="http://schemas.openxmlformats.org/spreadsheetml/2006/main" count="48610" uniqueCount="3116">
  <si>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</si>
  <si>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</si>
  <si>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</si>
  <si>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</si>
  <si>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</si>
  <si>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</si>
  <si>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</si>
  <si>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</si>
  <si>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</si>
  <si>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</si>
  <si>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</si>
  <si>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</si>
  <si>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</si>
  <si>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</si>
  <si>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</si>
  <si>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</si>
  <si>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</si>
  <si>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</si>
  <si>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</si>
  <si>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</si>
  <si>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</si>
  <si>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</si>
  <si>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</si>
  <si>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</si>
  <si>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</si>
  <si>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</si>
  <si>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</si>
  <si>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</si>
  <si>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</si>
  <si>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</si>
  <si>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</si>
  <si>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</si>
  <si>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</si>
  <si>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</si>
  <si>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</si>
  <si>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</si>
  <si>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</si>
  <si>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</si>
  <si>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</si>
  <si>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</si>
  <si>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</si>
  <si>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</si>
  <si>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</si>
  <si>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</si>
  <si>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</si>
  <si>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</si>
  <si>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</si>
  <si>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</si>
  <si>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</si>
  <si>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</si>
  <si>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</si>
  <si>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</si>
  <si>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</si>
  <si>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</si>
  <si>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</si>
  <si>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</si>
  <si>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</si>
  <si>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</si>
  <si>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</si>
  <si>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</si>
  <si>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</si>
  <si>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</si>
  <si>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</si>
  <si>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</si>
  <si>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</si>
  <si>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</si>
  <si>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</si>
  <si>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</si>
  <si>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</si>
  <si>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</si>
  <si>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</si>
  <si>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</si>
  <si>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</si>
  <si>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</si>
  <si>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</si>
  <si>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</si>
  <si>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</si>
  <si>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</si>
  <si>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</si>
  <si>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</si>
  <si>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</si>
  <si>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</si>
  <si>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</si>
  <si>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</si>
  <si>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</si>
  <si>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</si>
  <si>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</si>
  <si>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</si>
  <si>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</si>
  <si>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</si>
  <si>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</si>
  <si>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</si>
  <si>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</si>
  <si>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</si>
  <si>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</si>
  <si>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</si>
  <si>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</si>
  <si>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</si>
  <si>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</si>
  <si>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</si>
  <si>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</si>
  <si>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</si>
  <si>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</si>
  <si>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</si>
  <si>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</si>
  <si>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</si>
  <si>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</si>
  <si>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</si>
  <si>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</si>
  <si>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</si>
  <si>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</si>
  <si>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</si>
  <si>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</si>
  <si>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</si>
  <si>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</si>
  <si>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</si>
  <si>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</si>
  <si>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</si>
  <si>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</si>
  <si>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</si>
  <si>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</si>
  <si>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</si>
  <si>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</si>
  <si>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</si>
  <si>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</si>
  <si>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</si>
  <si>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</si>
  <si>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</si>
  <si>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</si>
  <si>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</si>
  <si>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</si>
  <si>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</si>
  <si>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</si>
  <si>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</si>
  <si>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</si>
  <si>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</si>
  <si>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</si>
  <si>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</si>
  <si>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</si>
  <si>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</si>
  <si>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</si>
  <si>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</si>
  <si>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</si>
  <si>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</si>
  <si>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</si>
  <si>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</si>
  <si>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</si>
  <si>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</si>
  <si>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</si>
  <si>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</si>
  <si>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</si>
  <si>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</si>
  <si>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</si>
  <si>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</si>
  <si>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</si>
  <si>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</si>
  <si>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</si>
  <si>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</si>
  <si>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</si>
  <si>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</si>
  <si>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</si>
  <si>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</si>
  <si>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</si>
  <si>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</si>
  <si>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</si>
  <si>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</si>
  <si>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</si>
  <si>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</si>
  <si>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</si>
  <si>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</si>
  <si>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</si>
  <si>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</si>
  <si>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</si>
  <si>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</si>
  <si>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</si>
  <si>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</si>
  <si>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</si>
  <si>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</si>
  <si>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</si>
  <si>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</si>
  <si>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</si>
  <si>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</si>
  <si>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</si>
  <si>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</si>
  <si>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</si>
  <si>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</si>
  <si>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</si>
  <si>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</si>
  <si>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</si>
  <si>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</si>
  <si>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</si>
  <si>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</si>
  <si>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</si>
  <si>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</si>
  <si>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</si>
  <si>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</si>
  <si>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</si>
  <si>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</si>
  <si>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</si>
  <si>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</si>
  <si>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</si>
  <si>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</si>
  <si>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</si>
  <si>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</si>
  <si>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</si>
  <si>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</si>
  <si>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</si>
  <si>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</si>
  <si>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</si>
  <si>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</si>
  <si>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</si>
  <si>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</si>
  <si>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</si>
  <si>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</si>
  <si>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</si>
  <si>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</si>
  <si>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</si>
  <si>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</si>
  <si>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</si>
  <si>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</si>
  <si>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</si>
  <si>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</si>
  <si>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</si>
  <si>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</si>
  <si>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</si>
  <si>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</si>
  <si>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</si>
  <si>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</si>
  <si>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</si>
  <si>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</si>
  <si>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</si>
  <si>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</si>
  <si>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</si>
  <si>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</si>
  <si>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</si>
  <si>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</si>
  <si>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</si>
  <si>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</si>
  <si>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</si>
  <si>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</si>
  <si>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</si>
  <si>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</si>
  <si>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</si>
  <si>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</si>
  <si>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</si>
  <si>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</si>
  <si>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</si>
  <si>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</si>
  <si>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</si>
  <si>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</si>
  <si>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</si>
  <si>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</si>
  <si>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</si>
  <si>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</si>
  <si>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</si>
  <si>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</si>
  <si>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</si>
  <si>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</si>
  <si>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</si>
  <si>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</si>
  <si>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</si>
  <si>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</si>
  <si>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</si>
  <si>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</si>
  <si>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</si>
  <si>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</si>
  <si>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</si>
  <si>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</si>
  <si>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</si>
  <si>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</si>
  <si>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</si>
  <si>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</si>
  <si>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</si>
  <si>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</si>
  <si>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</si>
  <si>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</si>
  <si>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</si>
  <si>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</si>
  <si>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</si>
  <si>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</si>
  <si>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</si>
  <si>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</si>
  <si>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</si>
  <si>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</si>
  <si>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</si>
  <si>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</si>
  <si>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</si>
  <si>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</si>
  <si>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</si>
  <si>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</si>
  <si>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</si>
  <si>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</si>
  <si>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</si>
  <si>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</si>
  <si>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</si>
  <si>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</si>
  <si>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</si>
  <si>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</si>
  <si>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</si>
  <si>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</si>
  <si>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</si>
  <si>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</si>
  <si>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</si>
  <si>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</si>
  <si>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</si>
  <si>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</si>
  <si>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</si>
  <si>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</si>
  <si>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</si>
  <si>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</si>
  <si>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</si>
  <si>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</si>
  <si>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</si>
  <si>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</si>
  <si>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</si>
  <si>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</si>
  <si>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</si>
  <si>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</si>
  <si>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</si>
  <si>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</si>
  <si>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</si>
  <si>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</si>
  <si>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</si>
  <si>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</si>
  <si>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</si>
  <si>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</si>
  <si>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</si>
  <si>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</si>
  <si>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</si>
  <si>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</si>
  <si>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</si>
  <si>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</si>
  <si>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</si>
  <si>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</si>
  <si>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</si>
  <si>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</si>
  <si>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</si>
  <si>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</si>
  <si>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</si>
  <si>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</si>
  <si>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</si>
  <si>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</si>
  <si>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</si>
  <si>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</si>
  <si>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</si>
  <si>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</si>
  <si>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</si>
  <si>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</si>
  <si>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</si>
  <si>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</si>
  <si>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</si>
  <si>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</si>
  <si>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</si>
  <si>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</si>
  <si>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</si>
  <si>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</si>
  <si>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</si>
  <si>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</si>
  <si>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</si>
  <si>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</si>
  <si>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</si>
  <si>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</si>
  <si>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</si>
  <si>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</si>
  <si>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</si>
  <si>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</si>
  <si>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</si>
  <si>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</si>
  <si>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</si>
  <si>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</si>
  <si>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</si>
  <si>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</si>
  <si>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</si>
  <si>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</si>
  <si>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</si>
  <si>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</si>
  <si>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</si>
  <si>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</si>
  <si>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</si>
  <si>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</si>
  <si>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</si>
  <si>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</si>
  <si>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</si>
  <si>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</si>
  <si>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</si>
  <si>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</si>
  <si>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</si>
  <si>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</si>
  <si>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</si>
  <si>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</si>
  <si>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</si>
  <si>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</si>
  <si>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</si>
  <si>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</si>
  <si>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</si>
  <si>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</si>
  <si>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</si>
  <si>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</si>
  <si>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</si>
  <si>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</si>
  <si>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</si>
  <si>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</si>
  <si>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</si>
  <si>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</si>
  <si>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</si>
  <si>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</si>
  <si>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</si>
  <si>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</si>
  <si>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</si>
  <si>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</si>
  <si>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</si>
  <si>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</si>
  <si>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</si>
  <si>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</si>
  <si>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</si>
  <si>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</si>
  <si>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</si>
  <si>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</si>
  <si>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</si>
  <si>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</si>
  <si>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</si>
  <si>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</si>
  <si>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</si>
  <si>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</si>
  <si>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</si>
  <si>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</si>
  <si>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</si>
  <si>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</si>
  <si>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</si>
  <si>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</si>
  <si>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</si>
  <si>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</si>
  <si>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</si>
  <si>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</si>
  <si>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</si>
  <si>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</si>
  <si>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</si>
  <si>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</si>
  <si>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</si>
  <si>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</si>
  <si>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</si>
  <si>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</si>
  <si>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</si>
  <si>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</si>
  <si>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</si>
  <si>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</si>
  <si>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</si>
  <si>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</si>
  <si>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</si>
  <si>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</si>
  <si>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</si>
  <si>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</si>
  <si>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</si>
  <si>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</si>
  <si>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</si>
  <si>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</si>
  <si>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</si>
  <si>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</si>
  <si>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</si>
  <si>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</si>
  <si>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</si>
  <si>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</si>
  <si>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</si>
  <si>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</si>
  <si>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</si>
  <si>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</si>
  <si>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</si>
  <si>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</si>
  <si>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</si>
  <si>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</si>
  <si>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</si>
  <si>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</si>
  <si>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</si>
  <si>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</si>
  <si>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</si>
  <si>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</si>
  <si>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</si>
  <si>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</si>
  <si>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</si>
  <si>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</si>
  <si>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</si>
  <si>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</si>
  <si>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</si>
  <si>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</si>
  <si>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</si>
  <si>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</si>
  <si>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</si>
  <si>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</si>
  <si>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</si>
  <si>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</si>
  <si>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</si>
  <si>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</si>
  <si>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</si>
  <si>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</si>
  <si>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</si>
  <si>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</si>
  <si>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</si>
  <si>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</si>
  <si>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</si>
  <si>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</si>
  <si>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</si>
  <si>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</si>
  <si>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</si>
  <si>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</si>
  <si>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</si>
  <si>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</si>
  <si>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</si>
  <si>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</si>
  <si>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</si>
  <si>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</si>
  <si>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</si>
  <si>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</si>
  <si>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</si>
  <si>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</si>
  <si>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</si>
  <si>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</si>
  <si>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</si>
  <si>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</si>
  <si>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</si>
  <si>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</si>
  <si>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</si>
  <si>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</si>
  <si>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</si>
  <si>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</si>
  <si>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</si>
  <si>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</si>
  <si>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</si>
  <si>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</si>
  <si>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</si>
  <si>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</si>
  <si>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</si>
  <si>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</si>
  <si>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</si>
  <si>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</si>
  <si>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</si>
  <si>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</si>
  <si>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</si>
  <si>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</si>
  <si>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</si>
  <si>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</si>
  <si>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</si>
  <si>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</si>
  <si>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</si>
  <si>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</si>
  <si>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</si>
  <si>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</si>
  <si>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</si>
  <si>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</si>
  <si>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</si>
  <si>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</si>
  <si>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</si>
  <si>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</si>
  <si>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</si>
  <si>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</si>
  <si>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</si>
  <si>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</si>
  <si>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</si>
  <si>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</si>
  <si>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</si>
  <si>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</si>
  <si>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</si>
  <si>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</si>
  <si>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</si>
  <si>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</si>
  <si>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</si>
  <si>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</si>
  <si>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</si>
  <si>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</si>
  <si>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</si>
  <si>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</si>
  <si>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</si>
  <si>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</si>
  <si>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</si>
  <si>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</si>
  <si>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</si>
  <si>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</si>
  <si>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</si>
  <si>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</si>
  <si>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</si>
  <si>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</si>
  <si>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</si>
  <si>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</si>
  <si>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</si>
  <si>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</si>
  <si>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</si>
  <si>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</si>
  <si>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</si>
  <si>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</si>
  <si>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</si>
  <si>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</si>
  <si>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</si>
  <si>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</si>
  <si>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</si>
  <si>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</si>
  <si>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</si>
  <si>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</si>
  <si>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</si>
  <si>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</si>
  <si>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</si>
  <si>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</si>
  <si>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</si>
  <si>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</si>
  <si>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</si>
  <si>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</si>
  <si>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</si>
  <si>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</si>
  <si>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</si>
  <si>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</si>
  <si>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</si>
  <si>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</si>
  <si>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</si>
  <si>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</si>
  <si>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</si>
  <si>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</si>
  <si>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</si>
  <si>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</si>
  <si>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</si>
  <si>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</si>
  <si>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</si>
  <si>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</si>
  <si>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</si>
  <si>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</si>
  <si>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</si>
  <si>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</si>
  <si>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</si>
  <si>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</si>
  <si>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</si>
  <si>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</si>
  <si>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</si>
  <si>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</si>
  <si>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</si>
  <si>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</si>
  <si>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</si>
  <si>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</si>
  <si>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</si>
  <si>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</si>
  <si>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</si>
  <si>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</si>
  <si>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</si>
  <si>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</si>
  <si>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</si>
  <si>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</si>
  <si>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</si>
  <si>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</si>
  <si>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</si>
  <si>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</si>
  <si>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</si>
  <si>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</si>
  <si>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</si>
  <si>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</si>
  <si>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</si>
  <si>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</si>
  <si>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</si>
  <si>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</si>
  <si>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</si>
  <si>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</si>
  <si>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</si>
  <si>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</si>
  <si>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</si>
  <si>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</si>
  <si>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</si>
  <si>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</si>
  <si>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</si>
  <si>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</si>
  <si>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</si>
  <si>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</si>
  <si>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</si>
  <si>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</si>
  <si>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</si>
  <si>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</si>
  <si>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</si>
  <si>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</si>
  <si>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</si>
  <si>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</si>
  <si>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</si>
  <si>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</si>
  <si>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</si>
  <si>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</si>
  <si>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</si>
  <si>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</si>
  <si>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</si>
  <si>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</si>
  <si>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</si>
  <si>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</si>
  <si>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</si>
  <si>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</si>
  <si>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</si>
  <si>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</si>
  <si>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</si>
  <si>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</si>
  <si>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</si>
  <si>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</si>
  <si>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</si>
  <si>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</si>
  <si>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</si>
  <si>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</si>
  <si>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</si>
  <si>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</si>
  <si>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</si>
  <si>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</si>
  <si>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</si>
  <si>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</si>
  <si>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</si>
  <si>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</si>
  <si>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</si>
  <si>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</si>
  <si>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</si>
  <si>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</si>
  <si>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</si>
  <si>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</si>
  <si>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</si>
  <si>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</si>
  <si>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</si>
  <si>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</si>
  <si>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</si>
  <si>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</si>
  <si>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</si>
  <si>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</si>
  <si>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</si>
  <si>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</si>
  <si>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</si>
  <si>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</si>
  <si>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</si>
  <si>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</si>
  <si>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</si>
  <si>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</si>
  <si>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</si>
  <si>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</si>
  <si>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</si>
  <si>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</si>
  <si>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</si>
  <si>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</si>
  <si>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</si>
  <si>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</si>
  <si>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</si>
  <si>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</si>
  <si>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</si>
  <si>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</si>
  <si>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</si>
  <si>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</si>
  <si>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</si>
  <si>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</si>
  <si>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</si>
  <si>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</si>
  <si>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</si>
  <si>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</si>
  <si>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</si>
  <si>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</si>
  <si>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</si>
  <si>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</si>
  <si>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</si>
  <si>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</si>
  <si>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</si>
  <si>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</si>
  <si>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</si>
  <si>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</si>
  <si>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</si>
  <si>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</si>
  <si>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</si>
  <si>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</si>
  <si>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</si>
  <si>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</si>
  <si>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</si>
  <si>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</si>
  <si>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</si>
  <si>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</si>
  <si>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</si>
  <si>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</si>
  <si>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</si>
  <si>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</si>
  <si>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</si>
  <si>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</si>
  <si>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</si>
  <si>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</si>
  <si>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</si>
  <si>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</si>
  <si>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</si>
  <si>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</si>
  <si>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</si>
  <si>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</si>
  <si>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</si>
  <si>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</si>
  <si>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</si>
  <si>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</si>
  <si>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</si>
  <si>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</si>
  <si>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</si>
  <si>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</si>
  <si>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</si>
  <si>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</si>
  <si>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</si>
  <si>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</si>
  <si>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</si>
  <si>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</si>
  <si>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</si>
  <si>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</si>
  <si>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</si>
  <si>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</si>
  <si>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</si>
  <si>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</si>
  <si>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</si>
  <si>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</si>
  <si>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</si>
  <si>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</si>
  <si>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</si>
  <si>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</si>
  <si>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</si>
  <si>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</si>
  <si>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</si>
  <si>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</si>
  <si>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</si>
  <si>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</si>
  <si>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</si>
  <si>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</si>
  <si>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</si>
  <si>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</si>
  <si>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</si>
  <si>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</si>
  <si>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</si>
  <si>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</si>
  <si>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</si>
  <si>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</si>
  <si>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</si>
  <si>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</si>
  <si>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</si>
  <si>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</si>
  <si>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</si>
  <si>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</si>
  <si>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</si>
  <si>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</si>
  <si>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</si>
  <si>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</si>
  <si>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</si>
  <si>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</si>
  <si>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</si>
  <si>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</si>
  <si>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</si>
  <si>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</si>
  <si>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</si>
  <si>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</si>
  <si>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</si>
  <si>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</si>
  <si>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</si>
  <si>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</si>
  <si>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</si>
  <si>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</si>
  <si>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</si>
  <si>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</si>
  <si>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</si>
  <si>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</si>
  <si>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</si>
  <si>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</si>
  <si>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</si>
  <si>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</si>
  <si>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</si>
  <si>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</si>
  <si>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</si>
  <si>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</si>
  <si>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</si>
  <si>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</si>
  <si>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</si>
  <si>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</si>
  <si>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</si>
  <si>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</si>
  <si>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</si>
  <si>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</si>
  <si>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</si>
  <si>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</si>
  <si>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</si>
  <si>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</si>
  <si>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</si>
  <si>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</si>
  <si>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</si>
  <si>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</si>
  <si>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</si>
  <si>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</si>
  <si>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</si>
  <si>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</si>
  <si>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</si>
  <si>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</si>
  <si>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</si>
  <si>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</si>
  <si>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</si>
  <si>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</si>
  <si>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</si>
  <si>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</si>
  <si>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</si>
  <si>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</si>
  <si>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</si>
  <si>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</si>
  <si>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</si>
  <si>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</si>
  <si>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</si>
  <si>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</si>
  <si>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</si>
  <si>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</si>
  <si>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</si>
  <si>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</si>
  <si>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</si>
  <si>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</si>
  <si>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</si>
  <si>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</si>
  <si>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</si>
  <si>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</si>
  <si>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</si>
  <si>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</si>
  <si>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</si>
  <si>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</si>
  <si>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</si>
  <si>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</si>
  <si>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</si>
  <si>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</si>
  <si>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</si>
  <si>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</si>
  <si>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</si>
  <si>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</si>
  <si>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</si>
  <si>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</si>
  <si>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</si>
  <si>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</si>
  <si>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</si>
  <si>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</si>
  <si>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</si>
  <si>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</si>
  <si>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</si>
  <si>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</si>
  <si>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</si>
  <si>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</si>
  <si>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</si>
  <si>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</si>
  <si>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</si>
  <si>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</si>
  <si>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</si>
  <si>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</si>
  <si>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</si>
  <si>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</si>
  <si>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</si>
  <si>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</si>
  <si>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</si>
  <si>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</si>
  <si>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</si>
  <si>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</si>
  <si>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</si>
  <si>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</si>
  <si>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</si>
  <si>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</si>
  <si>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</si>
  <si>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</si>
  <si>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</si>
  <si>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</si>
  <si>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</si>
  <si>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</si>
  <si>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</si>
  <si>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</si>
  <si>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</si>
  <si>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</si>
  <si>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</si>
  <si>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</si>
  <si>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</si>
  <si>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</si>
  <si>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</si>
  <si>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</si>
  <si>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</si>
  <si>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</si>
  <si>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</si>
  <si>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</si>
  <si>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</si>
  <si>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</si>
  <si>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</si>
  <si>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</si>
  <si>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</si>
  <si>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</si>
  <si>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</si>
  <si>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</si>
  <si>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</si>
  <si>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</si>
  <si>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</si>
  <si>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</si>
  <si>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</si>
  <si>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</si>
  <si>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</si>
  <si>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</si>
  <si>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</si>
  <si>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</si>
  <si>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</si>
  <si>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</si>
  <si>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</si>
  <si>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</si>
  <si>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</si>
  <si>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</si>
  <si>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</si>
  <si>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</si>
  <si>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</si>
  <si>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</si>
  <si>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</si>
  <si>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</si>
  <si>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</si>
  <si>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</si>
  <si>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</si>
  <si>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</si>
  <si>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</si>
  <si>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</si>
  <si>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</si>
  <si>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</si>
  <si>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</si>
  <si>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</si>
  <si>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</si>
  <si>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</si>
  <si>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</si>
  <si>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</si>
  <si>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</si>
  <si>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</si>
  <si>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</si>
  <si>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</si>
  <si>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</si>
  <si>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</si>
  <si>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</si>
  <si>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</si>
  <si>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</si>
  <si>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</si>
  <si>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</si>
  <si>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</si>
  <si>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</si>
  <si>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</si>
  <si>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</si>
  <si>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</si>
  <si>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</si>
  <si>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</si>
  <si>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</si>
  <si>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</si>
  <si>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</si>
  <si>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</si>
  <si>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</si>
  <si>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</si>
  <si>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</si>
  <si>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</si>
  <si>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</si>
  <si>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</si>
  <si>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</si>
  <si>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</si>
  <si>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</si>
  <si>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</si>
  <si>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</si>
  <si>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</si>
  <si>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</si>
  <si>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</si>
  <si>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</si>
  <si>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</si>
  <si>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</si>
  <si>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</si>
  <si>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</si>
  <si>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</si>
  <si>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</si>
  <si>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</si>
  <si>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</si>
  <si>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</si>
  <si>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</si>
  <si>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</si>
  <si>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</si>
  <si>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</si>
  <si>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</si>
  <si>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</si>
  <si>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</si>
  <si>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</si>
  <si>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</si>
  <si>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</si>
  <si>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</si>
  <si>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</si>
  <si>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</si>
  <si>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</si>
  <si>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</si>
  <si>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</si>
  <si>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</si>
  <si>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</si>
  <si>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</si>
  <si>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</si>
  <si>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</si>
  <si>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</si>
  <si>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</si>
  <si>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</si>
  <si>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</si>
  <si>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</si>
  <si>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</si>
  <si>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</si>
  <si>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</si>
  <si>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</si>
  <si>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</si>
  <si>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</si>
  <si>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</si>
  <si>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</si>
  <si>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</si>
  <si>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</si>
  <si>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</si>
  <si>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</si>
  <si>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</si>
  <si>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</si>
  <si>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</si>
  <si>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</si>
  <si>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</si>
  <si>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</si>
  <si>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</si>
  <si>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</si>
  <si>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</si>
  <si>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</si>
  <si>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</si>
  <si>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</si>
  <si>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</si>
  <si>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</si>
  <si>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</si>
  <si>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</si>
  <si>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</si>
  <si>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</si>
  <si>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</si>
  <si>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</si>
  <si>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</si>
  <si>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</si>
  <si>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</si>
  <si>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</si>
  <si>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</si>
  <si>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</si>
  <si>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</si>
  <si>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</si>
  <si>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</si>
  <si>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</si>
  <si>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</si>
  <si>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</si>
  <si>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</si>
  <si>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</si>
  <si>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</si>
  <si>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</si>
  <si>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</si>
  <si>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</si>
  <si>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</si>
  <si>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</si>
  <si>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</si>
  <si>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</si>
  <si>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</si>
  <si>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</si>
  <si>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</si>
  <si>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</si>
  <si>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</si>
  <si>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</si>
  <si>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</si>
  <si>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</si>
  <si>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</si>
  <si>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</si>
  <si>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</si>
  <si>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</si>
  <si>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</si>
  <si>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</si>
  <si>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</si>
  <si>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</si>
  <si>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</si>
  <si>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</si>
  <si>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</si>
  <si>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</si>
  <si>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</si>
  <si>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</si>
  <si>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</si>
  <si>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</si>
  <si>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</si>
  <si>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</si>
  <si>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</si>
  <si>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</si>
  <si>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</si>
  <si>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</si>
  <si>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</si>
  <si>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</si>
  <si>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</si>
  <si>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</si>
  <si>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</si>
  <si>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</si>
  <si>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</si>
  <si>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</si>
  <si>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</si>
  <si>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</si>
  <si>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</si>
  <si>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</si>
  <si>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</si>
  <si>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</si>
  <si>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</si>
  <si>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</si>
  <si>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</si>
  <si>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</si>
  <si>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</si>
  <si>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</si>
  <si>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</si>
  <si>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</si>
  <si>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</si>
  <si>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</si>
  <si>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</si>
  <si>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</si>
  <si>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</si>
  <si>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</si>
  <si>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</si>
  <si>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</si>
  <si>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</si>
  <si>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</si>
  <si>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</si>
  <si>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</si>
  <si>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</si>
  <si>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</si>
  <si>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</si>
  <si>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</si>
  <si>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</si>
  <si>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</si>
  <si>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</si>
  <si>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</si>
  <si>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</si>
  <si>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</si>
  <si>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</si>
  <si>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</si>
  <si>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</si>
  <si>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</si>
  <si>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</si>
  <si>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</si>
  <si>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</si>
  <si>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</si>
  <si>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</si>
  <si>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</si>
  <si>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</si>
  <si>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</si>
  <si>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</si>
  <si>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</si>
  <si>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</si>
  <si>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</si>
  <si>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</si>
  <si>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</si>
  <si>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</si>
  <si>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</si>
  <si>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</si>
  <si>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</si>
  <si>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</si>
  <si>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</si>
  <si>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</si>
  <si>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</si>
  <si>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</si>
  <si>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</si>
  <si>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</si>
  <si>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</si>
  <si>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</si>
  <si>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</si>
  <si>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</si>
  <si>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</si>
  <si>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</si>
  <si>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</si>
  <si>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</si>
  <si>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</si>
  <si>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</si>
  <si>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</si>
  <si>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</si>
  <si>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</si>
  <si>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</si>
  <si>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</si>
  <si>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</si>
  <si>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</si>
  <si>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</si>
  <si>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</si>
  <si>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</si>
  <si>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</si>
  <si>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</si>
  <si>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</si>
  <si>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</si>
  <si>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</si>
  <si>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</si>
  <si>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</si>
  <si>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</si>
  <si>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</si>
  <si>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</si>
  <si>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</si>
  <si>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</si>
  <si>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</si>
  <si>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</si>
  <si>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</si>
  <si>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</si>
  <si>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</si>
  <si>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</si>
  <si>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</si>
  <si>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</si>
  <si>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</si>
  <si>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</si>
  <si>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</si>
  <si>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</si>
  <si>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</si>
  <si>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</si>
  <si>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</si>
  <si>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</si>
  <si>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</si>
  <si>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</si>
  <si>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</si>
  <si>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</si>
  <si>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</si>
  <si>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</si>
  <si>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</si>
  <si>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</si>
  <si>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</si>
  <si>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</si>
  <si>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</si>
  <si>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</si>
  <si>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</si>
  <si>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</si>
  <si>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</si>
  <si>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</si>
  <si>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</si>
  <si>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</si>
  <si>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</si>
  <si>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</si>
  <si>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</si>
  <si>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</si>
  <si>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</si>
  <si>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</si>
  <si>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</si>
  <si>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</si>
  <si>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</si>
  <si>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</si>
  <si>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</si>
  <si>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</si>
  <si>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</si>
  <si>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</si>
  <si>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</si>
  <si>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</si>
  <si>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</si>
  <si>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</si>
  <si>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</si>
  <si>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</si>
  <si>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</si>
  <si>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</si>
  <si>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</si>
  <si>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</si>
  <si>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</si>
  <si>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</si>
  <si>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</si>
  <si>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</si>
  <si>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</si>
  <si>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</si>
  <si>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</si>
  <si>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</si>
  <si>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</si>
  <si>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</si>
  <si>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</si>
  <si>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</si>
  <si>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</si>
  <si>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</si>
  <si>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</si>
  <si>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</si>
  <si>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</si>
  <si>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</si>
  <si>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</si>
  <si>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</si>
  <si>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</si>
  <si>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</si>
  <si>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</si>
  <si>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</si>
  <si>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</si>
  <si>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</si>
  <si>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</si>
  <si>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</si>
  <si>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</si>
  <si>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</si>
  <si>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</si>
  <si>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</si>
  <si>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</si>
  <si>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</si>
  <si>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</si>
  <si>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</si>
  <si>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</si>
  <si>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</si>
  <si>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</si>
  <si>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</si>
  <si>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</si>
  <si>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</si>
  <si>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</si>
  <si>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</si>
  <si>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</si>
  <si>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</si>
  <si>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</si>
  <si>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</si>
  <si>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</si>
  <si>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</si>
  <si>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</si>
  <si>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</si>
  <si>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</si>
  <si>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</si>
  <si>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</si>
  <si>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</si>
  <si>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</si>
  <si>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</si>
  <si>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</si>
  <si>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</si>
  <si>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</si>
  <si>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</si>
  <si>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</si>
  <si>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</si>
  <si>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</si>
  <si>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</si>
  <si>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</si>
  <si>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</si>
  <si>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</si>
  <si>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</si>
  <si>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</si>
  <si>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</si>
  <si>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</si>
  <si>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</si>
  <si>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</si>
  <si>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</si>
  <si>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</si>
  <si>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</si>
  <si>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</si>
  <si>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</si>
  <si>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</si>
  <si>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</si>
  <si>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</si>
  <si>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</si>
  <si>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</si>
  <si>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</si>
  <si>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</si>
  <si>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</si>
  <si>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</si>
  <si>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</si>
  <si>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</si>
  <si>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</si>
  <si>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</si>
  <si>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</si>
  <si>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</si>
  <si>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</si>
  <si>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</si>
  <si>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</si>
  <si>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</si>
  <si>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</si>
  <si>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</si>
  <si>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</si>
  <si>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</si>
  <si>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</si>
  <si>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</si>
  <si>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</si>
  <si>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</si>
  <si>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</si>
  <si>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</si>
  <si>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</si>
  <si>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</si>
  <si>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</si>
  <si>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</si>
  <si>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</si>
  <si>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</si>
  <si>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</si>
  <si>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</si>
  <si>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</si>
  <si>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</si>
  <si>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</si>
  <si>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</si>
  <si>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</si>
  <si>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</si>
  <si>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</si>
  <si>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</si>
  <si>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</si>
  <si>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</si>
  <si>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</si>
  <si>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</si>
  <si>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</si>
  <si>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</si>
  <si>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</si>
  <si>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</si>
  <si>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</si>
  <si>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</si>
  <si>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</si>
  <si>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</si>
  <si>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</si>
  <si>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</si>
  <si>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</si>
  <si>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</si>
  <si>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</si>
  <si>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</si>
  <si>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</si>
  <si>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</si>
  <si>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</si>
  <si>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</si>
  <si>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</si>
  <si>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</si>
  <si>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</si>
  <si>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</si>
  <si>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</si>
  <si>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</si>
  <si>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</si>
  <si>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</si>
  <si>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</si>
  <si>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</si>
  <si>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</si>
  <si>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</si>
  <si>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</si>
  <si>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</si>
  <si>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</si>
  <si>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</si>
  <si>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</si>
  <si>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</si>
  <si>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</si>
  <si>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</si>
  <si>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</si>
  <si>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</si>
  <si>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</si>
  <si>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</si>
  <si>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</si>
  <si>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</si>
  <si>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</si>
  <si>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</si>
  <si>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</si>
  <si>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</si>
  <si>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</si>
  <si>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</si>
  <si>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</si>
  <si>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</si>
  <si>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</si>
  <si>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</si>
  <si>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</si>
  <si>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</si>
  <si>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</si>
  <si>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</si>
  <si>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</si>
  <si>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</si>
  <si>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</si>
  <si>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</si>
  <si>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</si>
  <si>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</si>
  <si>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</si>
  <si>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</si>
  <si>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</si>
  <si>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</si>
  <si>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</si>
  <si>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</si>
  <si>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</si>
  <si>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</si>
  <si>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</si>
  <si>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</si>
  <si>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</si>
  <si>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</si>
  <si>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</si>
  <si>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</si>
  <si>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</si>
  <si>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</si>
  <si>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</si>
  <si>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</si>
  <si>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</si>
  <si>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</si>
  <si>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</si>
  <si>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</si>
  <si>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</si>
  <si>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</si>
  <si>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</si>
  <si>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</si>
  <si>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</si>
  <si>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</si>
  <si>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</si>
  <si>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</si>
  <si>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</si>
  <si>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</si>
  <si>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</si>
  <si>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</si>
  <si>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</si>
  <si>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</si>
  <si>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</si>
  <si>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</si>
  <si>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</si>
  <si>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</si>
  <si>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</si>
  <si>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</si>
  <si>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</si>
  <si>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</si>
  <si>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</si>
  <si>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</si>
  <si>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</si>
  <si>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</si>
  <si>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</si>
  <si>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</si>
  <si>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</si>
  <si>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</si>
  <si>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</si>
  <si>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</si>
  <si>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</si>
  <si>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</si>
  <si>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</si>
  <si>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</si>
  <si>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</si>
  <si>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</si>
  <si>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</si>
  <si>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</si>
  <si>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</si>
  <si>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</si>
  <si>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</si>
  <si>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</si>
  <si>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</si>
  <si>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</si>
  <si>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</si>
  <si>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</si>
  <si>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</si>
  <si>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</si>
  <si>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</si>
  <si>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</si>
  <si>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</si>
  <si>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</si>
  <si>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</si>
  <si>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</si>
  <si>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</si>
  <si>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</si>
  <si>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</si>
  <si>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</si>
  <si>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</si>
  <si>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</si>
  <si>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</si>
  <si>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</si>
  <si>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</si>
  <si>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</si>
  <si>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</si>
  <si>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</si>
  <si>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</si>
  <si>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</si>
  <si>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</si>
  <si>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</si>
  <si>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</si>
  <si>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</si>
  <si>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</si>
  <si>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</si>
  <si>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</si>
  <si>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</si>
  <si>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</si>
  <si>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</si>
  <si>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</si>
  <si>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</si>
  <si>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</si>
  <si>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</si>
  <si>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</si>
  <si>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</si>
  <si>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</si>
  <si>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</si>
  <si>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</si>
  <si>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</si>
  <si>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</si>
  <si>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</si>
  <si>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</si>
  <si>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</si>
  <si>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</si>
  <si>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</si>
  <si>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</si>
  <si>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</si>
  <si>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</si>
  <si>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</si>
  <si>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</si>
  <si>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</si>
  <si>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</si>
  <si>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</si>
  <si>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</si>
  <si>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</si>
  <si>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</si>
  <si>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</si>
  <si>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</si>
  <si>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</si>
  <si>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</si>
  <si>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</si>
  <si>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</si>
  <si>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</si>
  <si>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</si>
  <si>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</si>
  <si>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</si>
  <si>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</si>
  <si>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</si>
  <si>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</si>
  <si>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</si>
  <si>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</si>
  <si>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</si>
  <si>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</si>
  <si>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</si>
  <si>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</si>
  <si>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</si>
  <si>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</si>
  <si>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</si>
  <si>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</si>
  <si>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</si>
  <si>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</si>
  <si>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</si>
  <si>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</si>
  <si>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</si>
  <si>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</si>
  <si>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</si>
  <si>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</si>
  <si>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</si>
  <si>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</si>
  <si>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</si>
  <si>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</si>
  <si>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</si>
  <si>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</si>
  <si>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</si>
  <si>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</si>
  <si>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</si>
  <si>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</si>
  <si>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</si>
  <si>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</si>
  <si>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</si>
  <si>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</si>
  <si>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</si>
  <si>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</si>
  <si>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</si>
  <si>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</si>
  <si>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</si>
  <si>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</si>
  <si>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</si>
  <si>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</si>
  <si>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</si>
  <si>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</si>
  <si>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</si>
  <si>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</si>
  <si>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</si>
  <si>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</si>
  <si>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</si>
  <si>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</si>
  <si>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</si>
  <si>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</si>
  <si>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</si>
  <si>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</si>
  <si>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</si>
  <si>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</si>
  <si>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</si>
  <si>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</si>
  <si>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</si>
  <si>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</si>
  <si>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</si>
  <si>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</si>
  <si>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</si>
  <si>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</si>
  <si>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</si>
  <si>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</si>
  <si>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</si>
  <si>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</si>
  <si>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</si>
  <si>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</si>
  <si>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</si>
  <si>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</si>
  <si>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</si>
  <si>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</si>
  <si>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</si>
  <si>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</si>
  <si>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</si>
  <si>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</si>
  <si>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</si>
  <si>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</si>
  <si>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</si>
  <si>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</si>
  <si>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</si>
  <si>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</si>
  <si>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</si>
  <si>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</si>
  <si>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</si>
  <si>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</si>
  <si>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</si>
  <si>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</si>
  <si>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</si>
  <si>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</si>
  <si>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</si>
  <si>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</si>
  <si>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</si>
  <si>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</si>
  <si>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</si>
  <si>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</si>
  <si>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</si>
  <si>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</si>
  <si>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</si>
  <si>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</si>
  <si>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</si>
  <si>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</si>
  <si>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</si>
  <si>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</si>
  <si>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</si>
  <si>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</si>
  <si>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</si>
  <si>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</si>
  <si>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</si>
  <si>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</si>
  <si>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</si>
  <si>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</si>
  <si>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</si>
  <si>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</si>
  <si>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</si>
  <si>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</si>
  <si>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</si>
  <si>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</si>
  <si>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</si>
  <si>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</si>
  <si>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</si>
  <si>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</si>
  <si>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</si>
  <si>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</si>
  <si>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</si>
  <si>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</si>
  <si>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</si>
  <si>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</si>
  <si>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</si>
  <si>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</si>
  <si>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</si>
  <si>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</si>
  <si>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</si>
  <si>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</si>
  <si>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</si>
  <si>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</si>
  <si>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</si>
  <si>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</si>
  <si>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</si>
  <si>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</si>
  <si>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</si>
  <si>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</si>
  <si>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</si>
  <si>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</si>
  <si>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</si>
  <si>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</si>
  <si>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</si>
  <si>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</si>
  <si>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</si>
  <si>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</si>
  <si>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</si>
  <si>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</si>
  <si>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</si>
  <si>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</si>
  <si>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</si>
  <si>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</si>
  <si>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</si>
  <si>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</si>
  <si>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</si>
  <si>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</si>
  <si>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</si>
  <si>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</si>
  <si>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</si>
  <si>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</si>
  <si>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</si>
  <si>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</si>
  <si>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</si>
  <si>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</si>
  <si>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</si>
  <si>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</si>
  <si>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</si>
  <si>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</si>
  <si>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</si>
  <si>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</si>
  <si>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</si>
  <si>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</si>
  <si>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</si>
  <si>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</si>
  <si>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</si>
  <si>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</si>
  <si>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</si>
  <si>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</si>
  <si>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</si>
  <si>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</si>
  <si>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</si>
  <si>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</si>
  <si>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</si>
  <si>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</si>
  <si>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</si>
  <si>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</si>
  <si>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</si>
  <si>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</si>
  <si>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</si>
  <si>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</si>
  <si>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</si>
  <si>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</si>
  <si>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</si>
  <si>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</si>
  <si>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</si>
  <si>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</si>
  <si>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</si>
  <si>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</si>
  <si>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</si>
  <si>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</si>
  <si>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</si>
  <si>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</si>
  <si>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</si>
  <si>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</si>
  <si>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</si>
  <si>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</si>
  <si>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</si>
  <si>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</si>
  <si>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</si>
  <si>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</si>
  <si>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</si>
  <si>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</si>
  <si>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</si>
  <si>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</si>
  <si>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</si>
  <si>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</si>
  <si>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</si>
  <si>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</si>
  <si>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</si>
  <si>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</si>
  <si>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</si>
  <si>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</si>
  <si>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</si>
  <si>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</si>
  <si>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</si>
  <si>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</si>
  <si>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</si>
  <si>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</si>
  <si>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</si>
  <si>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</si>
  <si>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</si>
  <si>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</si>
  <si>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</si>
  <si>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</si>
  <si>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</si>
  <si>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</si>
  <si>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</si>
  <si>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</si>
  <si>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</si>
  <si>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</si>
  <si>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</si>
  <si>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</si>
  <si>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</si>
  <si>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</si>
  <si>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</si>
  <si>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</si>
  <si>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</si>
  <si>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</si>
  <si>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</si>
  <si>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</si>
  <si>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</si>
  <si>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</si>
  <si>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</si>
  <si>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</si>
  <si>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</si>
  <si>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</si>
  <si>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</si>
  <si>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</si>
  <si>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</si>
  <si>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</si>
  <si>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</si>
  <si>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</si>
  <si>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</si>
  <si>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</si>
  <si>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</si>
  <si>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</si>
  <si>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</si>
  <si>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</si>
  <si>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</si>
  <si>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</si>
  <si>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</si>
  <si>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</si>
  <si>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</si>
  <si>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</si>
  <si>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</si>
  <si>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</si>
  <si>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</si>
  <si>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</si>
  <si>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</si>
  <si>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</si>
  <si>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</si>
  <si>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</si>
  <si>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</si>
  <si>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</si>
  <si>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</si>
  <si>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</si>
  <si>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</si>
  <si>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</si>
  <si>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</si>
  <si>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</si>
  <si>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</si>
  <si>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</si>
  <si>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</si>
  <si>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</si>
  <si>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</si>
  <si>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</si>
  <si>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</si>
  <si>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</si>
  <si>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</si>
  <si>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</si>
  <si>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</si>
  <si>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</si>
  <si>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</si>
  <si>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</si>
  <si>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</si>
  <si>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</si>
  <si>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</si>
  <si>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</si>
  <si>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</si>
  <si>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</si>
  <si>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</si>
  <si>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</si>
  <si>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</si>
  <si>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</si>
  <si>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</si>
  <si>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</si>
  <si>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</si>
  <si>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</si>
  <si>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</si>
  <si>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</si>
  <si>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</si>
  <si>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</si>
  <si>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</si>
  <si>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</si>
  <si>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</si>
  <si>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</si>
  <si>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</si>
  <si>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</si>
  <si>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</si>
  <si>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</si>
  <si>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</si>
  <si>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</si>
  <si>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</si>
  <si>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</si>
  <si>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</si>
  <si>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</si>
  <si>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</si>
  <si>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</si>
  <si>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</si>
  <si>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</si>
  <si>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</si>
  <si>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</si>
  <si>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</si>
  <si>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</si>
  <si>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</si>
  <si>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</si>
  <si>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</si>
  <si>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</si>
  <si>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</si>
  <si>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</si>
  <si>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</si>
  <si>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</si>
  <si>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</si>
  <si>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</si>
  <si>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</si>
  <si>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</si>
  <si>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</si>
  <si>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</si>
  <si>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</si>
  <si>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</si>
  <si>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</si>
  <si>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</si>
  <si>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</si>
  <si>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</si>
  <si>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</si>
  <si>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</si>
  <si>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</si>
  <si>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</si>
  <si>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</si>
  <si>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</si>
  <si>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</si>
  <si>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</si>
  <si>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</si>
  <si>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</si>
  <si>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</si>
  <si>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</si>
  <si>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</si>
  <si>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</si>
  <si>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</si>
  <si>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</si>
  <si>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</si>
  <si>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</si>
  <si>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</si>
  <si>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</si>
  <si>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</si>
  <si>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</si>
  <si>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</si>
  <si>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</si>
  <si>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</si>
  <si>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</si>
  <si>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</si>
  <si>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</si>
  <si>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</si>
  <si>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</si>
  <si>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</si>
  <si>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</si>
  <si>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</si>
  <si>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</si>
  <si>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</si>
  <si>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</si>
  <si>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</si>
  <si>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</si>
  <si>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</si>
  <si>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</si>
  <si>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</si>
  <si>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</si>
  <si>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</si>
  <si>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</si>
  <si>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</si>
  <si>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</si>
  <si>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</si>
  <si>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</si>
  <si>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</si>
  <si>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</si>
  <si>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</si>
  <si>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</si>
  <si>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</si>
  <si>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</si>
  <si>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</si>
  <si>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</si>
  <si>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</si>
  <si>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</si>
  <si>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</si>
  <si>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</si>
  <si>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</si>
  <si>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</si>
  <si>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</si>
  <si>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</si>
  <si>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</si>
  <si>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</si>
  <si>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</si>
  <si>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</si>
  <si>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</si>
  <si>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</si>
  <si>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</si>
  <si>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</si>
  <si>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</si>
  <si>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</si>
  <si>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</si>
  <si>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</si>
  <si>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</si>
  <si>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</si>
  <si>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</si>
  <si>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</si>
  <si>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</si>
  <si>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</si>
  <si>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</si>
  <si>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</si>
  <si>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</si>
  <si>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</si>
  <si>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</si>
  <si>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</si>
  <si>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</si>
  <si>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</si>
  <si>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</si>
  <si>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</si>
  <si>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</si>
  <si>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</si>
  <si>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</si>
  <si>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</si>
  <si>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</si>
  <si>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</si>
  <si>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</si>
  <si>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</si>
  <si>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</si>
  <si>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</si>
  <si>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</si>
  <si>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</si>
  <si>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</si>
  <si>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</si>
  <si>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</si>
  <si>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</si>
  <si>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</si>
  <si>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</si>
  <si>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</si>
  <si>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</si>
  <si>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</si>
  <si>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</si>
  <si>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</si>
  <si>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</si>
  <si>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</si>
  <si>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</si>
  <si>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</si>
  <si>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</si>
  <si>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</si>
  <si>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</si>
  <si>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</si>
  <si>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</si>
  <si>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</si>
  <si>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</si>
  <si>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</si>
  <si>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</si>
  <si>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</si>
  <si>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</si>
  <si>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</si>
  <si>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</si>
  <si>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</si>
  <si>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</si>
  <si>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</si>
  <si>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</si>
  <si>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</si>
  <si>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</si>
  <si>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</si>
  <si>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</si>
  <si>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</si>
  <si>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</si>
  <si>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</si>
  <si>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</si>
  <si>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</si>
  <si>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</si>
  <si>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</si>
  <si>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</si>
  <si>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</si>
  <si>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</si>
  <si>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</si>
  <si>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</si>
  <si>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</si>
  <si>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</si>
  <si>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</si>
  <si>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</si>
  <si>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</si>
  <si>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</si>
  <si>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</si>
  <si>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</si>
  <si>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</si>
  <si>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</si>
  <si>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</si>
  <si>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</si>
  <si>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</si>
  <si>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</si>
  <si>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</si>
  <si>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</si>
  <si>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</si>
  <si>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</si>
  <si>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</si>
  <si>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</si>
  <si>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</si>
  <si>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</si>
  <si>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</si>
  <si>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</si>
  <si>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</si>
  <si>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</si>
  <si>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</si>
  <si>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</si>
  <si>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</si>
  <si>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</si>
  <si>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</si>
  <si>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</si>
  <si>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</si>
  <si>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</si>
  <si>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</si>
  <si>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</si>
  <si>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</si>
  <si>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</si>
  <si>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</si>
  <si>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</si>
  <si>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</si>
  <si>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</si>
  <si>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</si>
  <si>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</si>
  <si>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</si>
  <si>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</si>
  <si>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</si>
  <si>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</si>
  <si>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</si>
  <si>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</si>
  <si>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</si>
  <si>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</si>
  <si>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</si>
  <si>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</si>
  <si>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</si>
  <si>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</si>
  <si>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</si>
  <si>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</si>
  <si>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</si>
  <si>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</si>
  <si>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</si>
  <si>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</si>
  <si>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</si>
  <si>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</si>
  <si>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</si>
  <si>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</si>
  <si>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</si>
  <si>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</si>
  <si>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</si>
  <si>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</si>
  <si>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</si>
  <si>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</si>
  <si>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</si>
  <si>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</si>
  <si>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</si>
  <si>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</si>
  <si>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</si>
  <si>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</si>
  <si>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</si>
  <si>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</si>
  <si>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</si>
  <si>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</si>
  <si>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</si>
  <si>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</si>
  <si>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</si>
  <si>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</si>
  <si>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</si>
  <si>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</si>
  <si>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</si>
  <si>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</si>
  <si>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</si>
  <si>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</si>
  <si>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</si>
  <si>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</si>
  <si>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</si>
  <si>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</si>
  <si>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</si>
  <si>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</si>
  <si>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</si>
  <si>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</si>
  <si>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</si>
  <si>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</si>
  <si>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</si>
  <si>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</si>
  <si>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</si>
  <si>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</si>
  <si>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</si>
  <si>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</si>
  <si>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</si>
  <si>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</si>
  <si>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</si>
  <si>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</si>
  <si>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</si>
  <si>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</si>
  <si>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</si>
  <si>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</si>
  <si>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</si>
  <si>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</si>
  <si>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</si>
  <si>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</si>
  <si>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</si>
  <si>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</si>
  <si>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</si>
  <si>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</si>
  <si>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</si>
  <si>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</si>
  <si>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</si>
  <si>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</si>
  <si>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</si>
  <si>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</si>
  <si>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</si>
  <si>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</si>
  <si>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</si>
  <si>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</si>
  <si>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</si>
  <si>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</si>
  <si>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</si>
  <si>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</si>
  <si>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</si>
  <si>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</si>
  <si>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</si>
  <si>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</si>
  <si>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</si>
  <si>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</si>
  <si>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</si>
  <si>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</si>
  <si>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</si>
  <si>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</si>
  <si>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</si>
  <si>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</si>
  <si>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</si>
  <si>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</si>
  <si>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</si>
  <si>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</si>
  <si>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</si>
  <si>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</si>
  <si>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</si>
  <si>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</si>
  <si>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</si>
  <si>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</si>
  <si>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</si>
  <si>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</si>
  <si>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</si>
  <si>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</si>
  <si>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</si>
  <si>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</si>
  <si>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</si>
  <si>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</si>
  <si>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</si>
  <si>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</si>
  <si>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</si>
  <si>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</si>
  <si>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</si>
  <si>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</si>
  <si>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</si>
  <si>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</si>
  <si>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</si>
  <si>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</si>
  <si>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</si>
  <si>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</si>
  <si>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</si>
  <si>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</si>
  <si>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</si>
  <si>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</si>
  <si>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</si>
  <si>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</si>
  <si>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</si>
  <si>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</si>
  <si>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</si>
  <si>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</si>
  <si>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</si>
  <si>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</si>
  <si>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</si>
  <si>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</si>
  <si>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</si>
  <si>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</si>
  <si>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</si>
  <si>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</si>
  <si>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</si>
  <si>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</si>
  <si>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</si>
  <si>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</si>
  <si>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</si>
  <si>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</si>
  <si>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</si>
  <si>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</si>
  <si>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</si>
  <si>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</si>
  <si>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</si>
  <si>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</si>
  <si>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</si>
  <si>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</si>
  <si>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</si>
  <si>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</si>
  <si>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</si>
  <si>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</si>
  <si>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</si>
  <si>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</si>
  <si>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</si>
  <si>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</si>
  <si>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</si>
  <si>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</si>
  <si>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</si>
  <si>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</si>
  <si>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</si>
  <si>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</si>
  <si>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</si>
  <si>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</si>
  <si>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</si>
  <si>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</si>
  <si>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</si>
  <si>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</si>
  <si>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</si>
  <si>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</si>
  <si>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</si>
  <si>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</si>
  <si>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</si>
  <si>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</si>
  <si>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</si>
  <si>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</si>
  <si>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</si>
  <si>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</si>
  <si>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</si>
  <si>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</si>
  <si>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</si>
  <si>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</si>
  <si>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</si>
  <si>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</si>
  <si>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</si>
  <si>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</si>
  <si>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</si>
  <si>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</si>
  <si>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</si>
  <si>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</si>
  <si>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</si>
  <si>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</si>
  <si>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</si>
  <si>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</si>
  <si>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</si>
  <si>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</si>
  <si>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</si>
  <si>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</si>
  <si>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</si>
  <si>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</si>
  <si>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</si>
  <si>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</si>
  <si>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</si>
  <si>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</si>
  <si>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</si>
  <si>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</si>
  <si>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</si>
  <si>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</si>
  <si>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</si>
  <si>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</si>
  <si>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</si>
  <si>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</si>
  <si>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</si>
  <si>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</si>
  <si>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</si>
  <si>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</si>
  <si>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</si>
  <si>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</si>
  <si>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</si>
  <si>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</si>
  <si>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</si>
  <si>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</si>
  <si>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</si>
  <si>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</si>
  <si>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</si>
  <si>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</si>
  <si>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</si>
  <si>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</si>
  <si>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</si>
  <si>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</si>
  <si>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</si>
  <si>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</si>
  <si>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</si>
  <si>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</si>
  <si>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</si>
  <si>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</si>
  <si>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</si>
  <si>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</si>
  <si>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</si>
  <si>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</si>
  <si>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</si>
  <si>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</si>
  <si>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</si>
  <si>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</si>
  <si>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</si>
  <si>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</si>
  <si>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</si>
  <si>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</si>
  <si>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</si>
  <si>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</si>
  <si>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</si>
  <si>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</si>
  <si>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</si>
  <si>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</si>
  <si>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</si>
  <si>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</si>
  <si>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</si>
  <si>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</si>
  <si>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</si>
  <si>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</si>
  <si>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</si>
  <si>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</si>
  <si>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</si>
  <si>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</si>
  <si>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</si>
  <si>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</si>
  <si>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</si>
  <si>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</si>
  <si>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</si>
  <si>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</si>
  <si>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</si>
  <si>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</si>
  <si>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</si>
  <si>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</si>
  <si>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</si>
  <si>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</si>
  <si>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</si>
  <si>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</si>
  <si>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</si>
  <si>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</si>
  <si>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</si>
  <si>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</si>
  <si>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</si>
  <si>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</si>
  <si>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</si>
  <si>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</si>
  <si>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</si>
  <si>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</si>
  <si>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</si>
  <si>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</si>
  <si>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</si>
  <si>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</si>
  <si>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</si>
  <si>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</si>
  <si>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</si>
  <si>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</si>
  <si>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</si>
  <si>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</si>
  <si>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</si>
  <si>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</si>
  <si>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</si>
  <si>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</si>
  <si>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</si>
  <si>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</si>
  <si>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</si>
  <si>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</si>
  <si>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</si>
  <si>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</si>
  <si>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</si>
  <si>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</si>
  <si>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</si>
  <si>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</si>
  <si>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</si>
  <si>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</si>
  <si>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</si>
  <si>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</si>
  <si>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</si>
  <si>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</si>
  <si>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</si>
  <si>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</si>
  <si>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</si>
  <si>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</si>
  <si>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</si>
  <si>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</si>
  <si>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</si>
  <si>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</si>
  <si>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</si>
  <si>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</si>
  <si>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</si>
  <si>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</si>
  <si>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</si>
  <si>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</si>
  <si>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</si>
  <si>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</si>
  <si>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</si>
  <si>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</si>
  <si>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</si>
  <si>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</si>
  <si>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</si>
  <si>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</si>
  <si>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</si>
  <si>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</si>
  <si>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</si>
  <si>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</si>
  <si>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</si>
  <si>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</si>
  <si>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</si>
  <si>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</si>
  <si>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</si>
  <si>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</si>
  <si>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</si>
  <si>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</si>
  <si>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</si>
  <si>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</si>
  <si>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</si>
  <si>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</si>
  <si>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</si>
  <si>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</si>
  <si>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</si>
  <si>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</si>
  <si>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</si>
  <si>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</si>
  <si>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</si>
  <si>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</si>
  <si>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</si>
  <si>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</si>
  <si>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</si>
  <si>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</si>
  <si>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</si>
  <si>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</si>
  <si>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</si>
  <si>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</si>
  <si>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</si>
  <si>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</si>
  <si>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</si>
  <si>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</si>
  <si>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</si>
  <si>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</si>
  <si>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</si>
  <si>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</si>
  <si>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</si>
  <si>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</si>
  <si>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</si>
  <si>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</si>
  <si>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</si>
  <si>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</si>
  <si>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</si>
  <si>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</si>
  <si>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</si>
  <si>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</si>
  <si>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</si>
  <si>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</si>
  <si>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</si>
  <si>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</si>
  <si>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</si>
  <si>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</si>
  <si>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</si>
  <si>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</si>
  <si>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</si>
  <si>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</si>
  <si>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</si>
  <si>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</si>
  <si>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</si>
  <si>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</si>
  <si>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</si>
  <si>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</si>
  <si>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</si>
  <si>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</si>
  <si>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</si>
  <si>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</si>
  <si>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</si>
  <si>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</si>
  <si>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</si>
  <si>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</si>
  <si>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</si>
  <si>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</si>
  <si>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</si>
  <si>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</si>
  <si>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</si>
  <si>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</si>
  <si>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</si>
  <si>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</si>
  <si>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</si>
  <si>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</si>
  <si>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</si>
  <si>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</si>
  <si>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</si>
  <si>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</si>
  <si>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</si>
  <si>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</si>
  <si>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</si>
  <si>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</si>
  <si>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</si>
  <si>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</si>
  <si>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</si>
  <si>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</si>
  <si>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</si>
  <si>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</si>
  <si>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</si>
  <si>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</si>
  <si>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</si>
  <si>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</si>
  <si>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</si>
  <si>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</si>
  <si>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</si>
  <si>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</si>
  <si>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</si>
  <si>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</si>
  <si>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</si>
  <si>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</si>
  <si>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</si>
  <si>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</si>
  <si>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</si>
  <si>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</si>
  <si>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</si>
  <si>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</si>
  <si>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</si>
  <si>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</si>
  <si>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</si>
  <si>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</si>
  <si>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</si>
  <si>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</si>
  <si>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</si>
  <si>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</si>
  <si>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</si>
  <si>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</si>
  <si>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</si>
  <si>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</si>
  <si>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</si>
  <si>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</si>
  <si>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</si>
  <si>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</si>
  <si>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</si>
  <si>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</si>
  <si>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</si>
  <si>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</si>
  <si>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</si>
  <si>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</si>
  <si>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</si>
  <si>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</si>
  <si>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</si>
  <si>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</si>
  <si>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</si>
  <si>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</si>
  <si>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</si>
  <si>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</si>
  <si>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</si>
  <si>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</si>
  <si>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</si>
  <si>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</si>
  <si>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</si>
  <si>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</si>
  <si>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</si>
  <si>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</si>
  <si>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</si>
  <si>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</si>
  <si>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</si>
  <si>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</si>
  <si>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</si>
  <si>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</si>
  <si>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</si>
  <si>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</si>
  <si>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</si>
  <si>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</si>
  <si>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</si>
  <si>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</si>
  <si>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</si>
  <si>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</si>
  <si>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</si>
  <si>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</si>
  <si>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</si>
  <si>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</si>
  <si>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</si>
  <si>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</si>
  <si>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</si>
  <si>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</si>
  <si>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</si>
  <si>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</si>
  <si>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</si>
  <si>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</si>
  <si>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</si>
  <si>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</si>
  <si>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</si>
  <si>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</si>
  <si>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</si>
  <si>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</si>
  <si>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</si>
  <si>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</si>
  <si>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</si>
  <si>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</si>
  <si>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</si>
  <si>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</si>
  <si>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</si>
  <si>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</si>
  <si>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</si>
  <si>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</si>
  <si>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</si>
  <si>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</si>
  <si>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</si>
  <si>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</si>
  <si>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</si>
  <si>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</si>
  <si>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</si>
  <si>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</si>
  <si>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</si>
  <si>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</si>
  <si>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</si>
  <si>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</si>
  <si>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</si>
  <si>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</si>
  <si>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</si>
  <si>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</si>
  <si>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</si>
  <si>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</si>
  <si>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</si>
  <si>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</si>
  <si>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</si>
  <si>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</si>
  <si>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</si>
  <si>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</si>
  <si>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</si>
  <si>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</si>
  <si>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</si>
  <si>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</si>
  <si>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</si>
  <si>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</si>
  <si>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</si>
  <si>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</si>
  <si>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</si>
  <si>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</si>
  <si>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</si>
  <si>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</si>
  <si>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</si>
  <si>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</si>
  <si>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</si>
  <si>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</si>
  <si>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</si>
  <si>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</si>
  <si>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</si>
  <si>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</si>
  <si>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</si>
  <si>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</si>
  <si>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</si>
  <si>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</si>
  <si>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</si>
  <si>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</si>
  <si>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</si>
  <si>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</si>
  <si>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</si>
  <si>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</si>
  <si>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</si>
  <si>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</si>
  <si>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</si>
  <si>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</si>
  <si>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</si>
  <si>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</si>
  <si>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</si>
  <si>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</si>
  <si>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</si>
  <si>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</si>
  <si>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</si>
  <si>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</si>
  <si>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</si>
  <si>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</si>
  <si>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</si>
  <si>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</si>
  <si>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</si>
  <si>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</si>
  <si>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</si>
  <si>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</si>
  <si>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</si>
  <si>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</si>
  <si>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</si>
  <si>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</si>
  <si>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</si>
  <si>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</si>
  <si>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</si>
  <si>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</si>
  <si>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</si>
  <si>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</si>
  <si>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</si>
  <si>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</si>
  <si>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</si>
  <si>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</si>
  <si>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</si>
  <si>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</si>
  <si>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</si>
  <si>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</si>
  <si>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</si>
  <si>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</si>
  <si>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</si>
  <si>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</si>
  <si>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</si>
  <si>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</si>
  <si>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</si>
  <si>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</si>
  <si>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</si>
  <si>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</si>
  <si>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</si>
  <si>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</si>
  <si>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</si>
  <si>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</si>
  <si>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</si>
  <si>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</si>
  <si>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</si>
  <si>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</si>
  <si>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</si>
  <si>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</si>
  <si>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</si>
  <si>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</si>
  <si>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</si>
  <si>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</si>
  <si>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</si>
  <si>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</si>
  <si>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</si>
  <si>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</si>
  <si>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</si>
  <si>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</si>
  <si>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</si>
  <si>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</si>
  <si>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</si>
  <si>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</si>
  <si>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</si>
  <si>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</si>
  <si>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</si>
  <si>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</si>
  <si>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</si>
  <si>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</si>
  <si>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</si>
  <si>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</si>
  <si>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</si>
  <si>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</si>
  <si>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</si>
  <si>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</si>
  <si>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</si>
  <si>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</si>
  <si>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</si>
  <si>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</si>
  <si>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</si>
  <si>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</si>
  <si>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</si>
  <si>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</si>
  <si>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</si>
  <si>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</si>
  <si>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</si>
  <si>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</si>
  <si>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</si>
  <si>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</si>
  <si>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</si>
  <si>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</si>
  <si>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</si>
  <si>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</si>
  <si>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</si>
  <si>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</si>
  <si>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</si>
  <si>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</si>
  <si>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</si>
  <si>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</si>
  <si>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</si>
  <si>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</si>
  <si>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</si>
  <si>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</si>
  <si>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</si>
  <si>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</si>
  <si>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</si>
  <si>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</si>
  <si>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</si>
  <si>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</si>
  <si>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</si>
  <si>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</si>
  <si>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</si>
  <si>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</si>
  <si>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</si>
  <si>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</si>
  <si>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</si>
  <si>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</si>
  <si>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</si>
  <si>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</si>
  <si>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</si>
  <si>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</si>
  <si>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</si>
  <si>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</si>
  <si>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</si>
  <si>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</si>
  <si>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</si>
  <si>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</si>
  <si>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</si>
  <si>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</si>
  <si>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</si>
  <si>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</si>
  <si>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</si>
  <si>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</si>
  <si>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</si>
  <si>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</si>
  <si>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</si>
  <si>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</si>
  <si>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</si>
  <si>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</si>
  <si>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</si>
  <si>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</si>
  <si>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</si>
  <si>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</si>
  <si>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</si>
  <si>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</si>
  <si>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</si>
  <si>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</si>
  <si>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</si>
  <si>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</si>
  <si>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</si>
  <si>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</si>
  <si>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</si>
  <si>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</si>
  <si>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</si>
  <si>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</si>
  <si>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</si>
  <si>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</si>
  <si>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</si>
  <si>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</si>
  <si>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</si>
  <si>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</si>
  <si>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</si>
  <si>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</si>
  <si>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</si>
  <si>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</si>
  <si>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</si>
  <si>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</si>
  <si>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</si>
  <si>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</si>
  <si>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</si>
  <si>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</si>
  <si>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</si>
  <si>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</si>
  <si>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</si>
  <si>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</si>
  <si>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</si>
  <si>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</si>
  <si>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</si>
  <si>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</si>
  <si>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</si>
  <si>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</si>
  <si>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</si>
  <si>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</si>
  <si>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</si>
  <si>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</si>
  <si>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</si>
  <si>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</si>
  <si>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</si>
  <si>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</si>
  <si>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</si>
  <si>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</si>
  <si>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</si>
  <si>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</si>
  <si>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</si>
  <si>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</si>
  <si>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</si>
  <si>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</si>
  <si>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</si>
  <si>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</si>
  <si>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</si>
  <si>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</si>
  <si>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</si>
  <si>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</si>
  <si>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</si>
  <si>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</si>
  <si>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</si>
  <si>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</si>
  <si>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</si>
  <si>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</si>
  <si>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</si>
  <si>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</si>
  <si>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</si>
  <si>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</si>
  <si>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</si>
  <si>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</si>
  <si>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</si>
  <si>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</si>
  <si>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</si>
  <si>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</si>
  <si>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</si>
  <si>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</si>
  <si>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</si>
  <si>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</si>
  <si>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</si>
  <si>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</si>
  <si>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</si>
  <si>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</si>
  <si>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</si>
  <si>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</si>
  <si>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</si>
  <si>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</si>
  <si>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</si>
  <si>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</si>
  <si>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</si>
  <si>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</si>
  <si>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</si>
  <si>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</si>
  <si>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</si>
  <si>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</si>
  <si>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</si>
  <si>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</si>
  <si>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</si>
  <si>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</si>
  <si>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</si>
  <si>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</si>
  <si>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</si>
  <si>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</si>
  <si>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</si>
  <si>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</si>
  <si>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</si>
  <si>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</si>
  <si>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</si>
  <si>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</si>
  <si>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</si>
  <si>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</si>
  <si>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</si>
  <si>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</si>
  <si>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</si>
  <si>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Юг Опт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</si>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</sst>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7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79"/>
  <sheetViews>
    <sheetView tabSelected="1" zoomScale="70" zoomScaleNormal="70" workbookViewId="0">
      <pane ySplit="2" topLeftCell="A7456" activePane="bottomLeft" state="frozen"/>
      <selection pane="bottomLeft" activeCell="P7476" sqref="P747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26" t="s">
        <v>0</v>
      </c>
      <c r="B1" s="1126"/>
      <c r="C1" s="1126"/>
      <c r="D1" s="1126"/>
      <c r="E1" s="1126"/>
      <c r="F1" s="1126"/>
      <c r="G1" s="1126"/>
      <c r="H1" s="1126"/>
      <c r="I1" s="1126"/>
      <c r="J1" s="1126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27">
        <v>1</v>
      </c>
      <c r="B3" s="112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27"/>
      <c r="B4" s="112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23">
        <v>3</v>
      </c>
      <c r="B6" s="112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23"/>
      <c r="B7" s="112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23"/>
      <c r="B8" s="112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23">
        <v>5</v>
      </c>
      <c r="B10" s="112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23"/>
      <c r="B11" s="112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21">
        <v>8</v>
      </c>
      <c r="B14" s="112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21"/>
      <c r="B15" s="112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23">
        <v>11</v>
      </c>
      <c r="B18" s="112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23"/>
      <c r="B19" s="112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23"/>
      <c r="B20" s="112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23"/>
      <c r="B21" s="112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23">
        <v>13</v>
      </c>
      <c r="B23" s="112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23"/>
      <c r="B24" s="112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21">
        <v>14</v>
      </c>
      <c r="B25" s="112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21"/>
      <c r="B26" s="112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23">
        <v>15</v>
      </c>
      <c r="B27" s="112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23"/>
      <c r="B28" s="112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23"/>
      <c r="B29" s="112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23"/>
      <c r="B30" s="112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21">
        <v>16</v>
      </c>
      <c r="B31" s="112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21"/>
      <c r="B32" s="112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21"/>
      <c r="B33" s="112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21"/>
      <c r="B34" s="112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23">
        <v>17</v>
      </c>
      <c r="B35" s="112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23"/>
      <c r="B36" s="112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23">
        <v>21</v>
      </c>
      <c r="B40" s="112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23"/>
      <c r="B41" s="112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23">
        <v>23</v>
      </c>
      <c r="B43" s="112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23"/>
      <c r="B44" s="112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23"/>
      <c r="B45" s="112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21">
        <v>24</v>
      </c>
      <c r="B46" s="112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21"/>
      <c r="B47" s="112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23">
        <v>25</v>
      </c>
      <c r="B48" s="112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23"/>
      <c r="B49" s="112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23"/>
      <c r="B50" s="112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21">
        <v>26</v>
      </c>
      <c r="B51" s="112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21"/>
      <c r="B52" s="112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23">
        <v>29</v>
      </c>
      <c r="B55" s="112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23"/>
      <c r="B56" s="112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21">
        <v>32</v>
      </c>
      <c r="B59" s="112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21"/>
      <c r="B60" s="112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21">
        <v>34</v>
      </c>
      <c r="B62" s="112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21"/>
      <c r="B63" s="112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21"/>
      <c r="B64" s="112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21"/>
      <c r="B65" s="112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21"/>
      <c r="B66" s="112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23">
        <v>35</v>
      </c>
      <c r="B67" s="112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23"/>
      <c r="B68" s="112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08">
        <v>40</v>
      </c>
      <c r="B73" s="112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08"/>
      <c r="B74" s="112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07">
        <v>41</v>
      </c>
      <c r="B75" s="112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07"/>
      <c r="B76" s="112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07"/>
      <c r="B77" s="112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08">
        <v>42</v>
      </c>
      <c r="B78" s="112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08"/>
      <c r="B79" s="112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07">
        <v>49</v>
      </c>
      <c r="B86" s="112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07"/>
      <c r="B87" s="112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07"/>
      <c r="B88" s="112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08">
        <v>50</v>
      </c>
      <c r="B89" s="112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08"/>
      <c r="B90" s="112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07">
        <v>51</v>
      </c>
      <c r="B91" s="112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07"/>
      <c r="B92" s="112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07">
        <v>53</v>
      </c>
      <c r="B94" s="112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07"/>
      <c r="B95" s="112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08">
        <v>54</v>
      </c>
      <c r="B96" s="112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08"/>
      <c r="B97" s="112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08"/>
      <c r="B98" s="112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08">
        <v>58</v>
      </c>
      <c r="B102" s="112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08"/>
      <c r="B103" s="112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08">
        <v>60</v>
      </c>
      <c r="B105" s="112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08"/>
      <c r="B106" s="112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08"/>
      <c r="B107" s="112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07">
        <v>61</v>
      </c>
      <c r="B108" s="112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07"/>
      <c r="B109" s="112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07"/>
      <c r="B110" s="112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08">
        <v>64</v>
      </c>
      <c r="B113" s="112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08"/>
      <c r="B114" s="112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08">
        <v>66</v>
      </c>
      <c r="B116" s="112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08"/>
      <c r="B117" s="112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07">
        <v>67</v>
      </c>
      <c r="B118" s="112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07"/>
      <c r="B119" s="112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07"/>
      <c r="B120" s="112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08">
        <v>68</v>
      </c>
      <c r="B121" s="112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08"/>
      <c r="B122" s="112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07">
        <v>69</v>
      </c>
      <c r="B123" s="112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07"/>
      <c r="B124" s="112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08">
        <v>72</v>
      </c>
      <c r="B127" s="1121" t="s">
        <v>65</v>
      </c>
      <c r="C127" s="119" t="s">
        <v>26</v>
      </c>
      <c r="D127" s="120">
        <v>3.3</v>
      </c>
      <c r="E127" s="121"/>
      <c r="F127" s="122" t="s">
        <v>30</v>
      </c>
      <c r="G127" s="112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08"/>
      <c r="B128" s="1121"/>
      <c r="C128" s="103" t="s">
        <v>26</v>
      </c>
      <c r="D128" s="88">
        <v>12.9</v>
      </c>
      <c r="E128" s="106"/>
      <c r="F128" s="107" t="s">
        <v>16</v>
      </c>
      <c r="G128" s="112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08">
        <v>76</v>
      </c>
      <c r="B132" s="112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08"/>
      <c r="B133" s="112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08"/>
      <c r="B134" s="112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08"/>
      <c r="B135" s="112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08">
        <v>78</v>
      </c>
      <c r="B137" s="112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08"/>
      <c r="B138" s="112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2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2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0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0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0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0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0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0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0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0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0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0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0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0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0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0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0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0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0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0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0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0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0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0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25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0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25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0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0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0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0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0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0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0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0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0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0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0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0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0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0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0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0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0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0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0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0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0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0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0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0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0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0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0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0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0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0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0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0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0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0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0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0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0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0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0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0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0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2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0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2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0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0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0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0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0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0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0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0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0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0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0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0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0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0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0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0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0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0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0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0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0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0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0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0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0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0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0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0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0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0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0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0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3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0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3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0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0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0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2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0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2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0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0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0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0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0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0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0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0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0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0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0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0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0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0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0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0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0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0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0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0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0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0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0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0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0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0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0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0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0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25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0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25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0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0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0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0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0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0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0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0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0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0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0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0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0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0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0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0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0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0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0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0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0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0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0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0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0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0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0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0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0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0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0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0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0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0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1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0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1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0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0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0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0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0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0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0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0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0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0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0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0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0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0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0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0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0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0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0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0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0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0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0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0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0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0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0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0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0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0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0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0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0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0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1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0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1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0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0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0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0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0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0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28" t="s">
        <v>133</v>
      </c>
      <c r="J420" s="112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0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0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0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0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0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0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0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0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0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0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0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0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0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0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0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0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0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0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0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0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0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0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0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0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0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1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0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1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0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0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0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0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0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0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0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0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1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1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1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0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0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0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0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0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0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0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0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0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0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0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0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0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0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0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0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0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0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0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0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0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0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1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0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1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0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0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0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3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0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3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0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3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0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3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0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3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0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0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0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0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0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0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0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0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0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0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0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0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0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0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0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0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0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0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0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0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0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0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0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0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0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0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0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0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0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0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0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0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0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0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0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0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0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0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0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0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1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0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1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0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0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0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0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0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0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0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0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0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0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0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0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0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0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0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0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0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0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0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0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0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0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0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0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0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0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0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0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0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0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0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0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0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1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0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1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0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0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0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0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0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0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0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0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0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0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0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0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0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0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0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0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0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0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0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0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0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0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0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0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0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0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0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0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0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0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0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0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0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0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0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0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0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0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0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0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0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0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0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0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1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0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1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0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0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0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1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0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0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0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0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0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0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0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0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0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0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0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0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0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0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0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0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0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0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0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0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0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0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0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0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0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0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0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0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0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1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0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1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1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1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1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0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0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0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1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1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0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0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0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1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1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0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0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0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0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0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0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0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0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0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0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0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0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0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0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0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0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0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0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0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0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0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0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0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0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0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0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0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0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0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0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0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0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0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0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0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0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0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0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0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1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1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1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1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1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1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0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1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0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1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0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0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0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0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0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0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1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1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1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1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1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0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0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0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0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0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1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1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0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0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0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0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0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0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0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0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0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0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0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0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0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0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0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0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0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0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0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0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0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0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0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0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0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1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0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1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0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0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0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0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0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0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0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0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0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0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0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0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0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0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0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0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0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0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0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0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0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0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0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0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0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0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0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0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0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0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0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0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0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0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0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0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0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0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0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0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0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0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0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0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0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0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0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0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0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0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0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0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0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0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0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0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0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0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0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0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0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0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0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0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0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0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0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0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0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0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0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0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0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0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0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0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0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0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0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0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0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0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0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0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0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0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0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0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0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0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0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0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0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1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0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1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0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0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0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0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0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0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0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0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0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0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0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0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0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0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0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0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0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0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0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0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0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0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0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0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0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0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0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0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0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0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0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0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0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0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0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0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0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0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0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0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0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0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0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0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0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1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0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1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0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0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0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0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0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0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0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0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0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0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0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0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0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0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0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1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1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0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0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0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0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0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0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0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0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0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0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0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0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0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0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0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0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0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0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0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0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0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0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0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0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0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1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0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1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0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0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0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0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0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0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0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0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0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0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0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0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0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0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0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0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0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0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0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0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0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0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0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0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0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0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0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0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0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0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0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0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0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0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0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0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0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0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1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0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1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0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0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0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0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0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0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0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0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0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0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0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0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0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0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0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0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0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0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0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0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0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0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0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0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0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0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1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0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1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0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0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0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0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0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0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0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0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0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0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0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0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0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0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0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0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0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0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0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0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0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0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0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0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0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0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0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0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0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0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0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1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0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1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0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0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0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0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0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0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0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0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0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0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0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0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0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0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0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0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0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0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0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0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0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0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0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0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0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0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1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0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1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0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0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0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0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0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0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0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0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0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0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0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0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0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0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0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0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0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0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0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0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0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0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0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0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0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0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0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0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0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0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0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0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0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0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0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0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1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0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1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0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0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0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0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0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0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0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0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0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0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0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0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0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0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0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0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0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0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0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0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0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0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0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0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0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0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0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0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0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1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0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1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0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0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0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0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0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0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0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0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0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0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0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0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0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0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0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0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0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0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0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0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0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0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0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0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0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0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0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1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0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1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0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0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0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0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0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0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0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0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0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0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0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0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0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0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0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0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0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0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0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0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0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0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0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0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0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0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0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1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0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1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0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0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0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0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0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0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0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0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0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0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0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0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0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0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0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1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0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1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0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1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0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1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0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0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0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0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0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0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0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0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0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1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0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1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0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0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0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0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0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0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0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0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0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0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0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0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0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0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0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0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0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0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0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0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0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0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0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0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0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1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0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1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0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0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0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0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0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0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0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0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0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0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0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0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0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0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0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0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0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0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0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0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1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0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1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0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0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0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0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0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0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0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0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0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0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0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0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0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0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0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0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0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0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0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0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0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1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0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1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0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0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0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0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0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0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0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0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0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0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0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0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0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0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0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0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0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0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0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0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0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0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0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0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0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0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0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0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0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0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0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0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0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0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0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0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0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0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0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0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0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0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0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0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0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0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0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1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0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1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0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0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0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0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0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0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0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0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0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0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0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0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0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0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0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0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0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0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0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0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0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0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0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0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0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0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1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0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1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0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0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0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0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0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0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0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0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0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0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0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0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1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0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1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0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0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0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0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0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0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0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0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0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0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0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0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0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0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0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0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0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0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0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0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0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0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0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1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0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1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0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0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0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0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0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0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0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0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0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0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0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0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0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0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0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0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0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0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0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0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0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0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0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0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1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0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1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0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1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0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0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0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0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0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0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0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0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0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0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0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0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1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0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1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0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0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0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0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0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0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0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0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0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0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0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0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0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0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0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0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0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0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0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0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0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0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0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0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0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0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0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0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0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0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1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0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1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0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0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0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0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0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0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0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0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0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0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0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0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0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0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0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0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0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0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0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0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1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0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1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0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0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0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0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0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0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0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0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0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0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0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0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0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0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0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0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0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0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0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0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0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0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1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0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1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0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0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0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0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0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0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0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0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0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0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0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0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0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0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0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0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0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0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0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0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1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0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1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0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0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0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0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0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0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0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0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0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0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0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0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0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0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0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0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0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0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0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0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0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0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0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0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0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0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0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0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0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0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0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0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0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0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0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0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0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0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0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0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1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1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1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0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0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0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0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0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1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0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1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0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0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0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0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0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0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0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0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0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0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1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0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1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0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0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0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0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0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0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0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0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0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0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0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0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0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0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0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0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0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1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0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1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0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0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0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0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0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0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0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0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0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0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0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0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0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0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0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0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0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0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0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0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0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0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0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0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0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0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0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0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0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0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0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0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0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0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0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0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0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0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0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0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0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0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0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0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0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0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0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0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0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0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0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0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0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0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0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0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0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0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0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0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0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3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5" t="s">
        <v>467</v>
      </c>
      <c r="H2160" s="414" t="s">
        <v>515</v>
      </c>
      <c r="I2160" s="415" t="s">
        <v>516</v>
      </c>
      <c r="J2160" s="113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3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5"/>
      <c r="H2161" s="421" t="s">
        <v>515</v>
      </c>
      <c r="I2161" s="422" t="s">
        <v>516</v>
      </c>
      <c r="J2161" s="113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3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5"/>
      <c r="H2162" s="429" t="s">
        <v>515</v>
      </c>
      <c r="I2162" s="430" t="s">
        <v>516</v>
      </c>
      <c r="J2162" s="113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3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5" t="s">
        <v>467</v>
      </c>
      <c r="H2165" s="414" t="s">
        <v>516</v>
      </c>
      <c r="I2165" s="415" t="s">
        <v>516</v>
      </c>
      <c r="J2165" s="113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3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5"/>
      <c r="H2166" s="429" t="s">
        <v>516</v>
      </c>
      <c r="I2166" s="430" t="s">
        <v>516</v>
      </c>
      <c r="J2166" s="113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0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0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0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0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0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0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0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0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0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0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0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0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1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0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1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0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0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0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0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1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0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1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0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3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0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3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0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3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0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3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0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0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0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0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0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0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0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0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0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0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0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0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0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0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0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0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0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0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0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0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0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0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0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0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0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0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0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0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0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0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0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0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0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0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0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0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0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0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0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0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0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0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0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0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0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0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0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0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0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0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0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0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0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0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0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0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0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0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0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0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0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0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0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0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0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0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1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1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0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0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0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0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0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0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0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0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0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0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0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0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0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0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0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0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0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0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0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0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1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1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1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0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0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0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0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0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0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0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0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0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0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0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0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0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0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0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0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0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0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0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0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1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1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1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0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0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1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1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0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0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0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0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0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0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0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0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0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0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0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0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0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0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0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0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0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0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0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0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0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0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1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1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0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0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0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0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0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0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0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0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0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0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0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0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0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0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0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0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0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0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1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1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0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0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0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0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0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0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0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0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0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0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0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0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0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0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0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0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0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1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1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1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0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0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0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0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0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0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0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0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0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0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0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1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0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1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0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1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1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1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1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1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0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0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0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0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1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1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0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1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0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1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0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0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0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0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0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0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0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0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0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0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0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0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3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3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3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3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0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0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0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1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0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1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0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0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1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1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0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0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0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0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0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0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0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1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1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0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0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0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0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1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4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1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4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0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0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0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1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0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1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0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0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0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0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1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1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0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0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0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0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0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0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0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0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0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0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0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0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0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0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0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0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0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1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0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1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0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0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0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0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1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1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1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0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0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0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0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0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0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0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0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0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1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1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1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1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1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1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0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0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4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4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0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0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0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0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0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0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0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0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0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0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0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0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0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0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1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1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1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1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1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1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0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0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0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0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0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0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1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1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0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0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0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0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0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0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0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0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0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0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0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0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0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0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1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0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1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0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1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1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1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1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1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0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0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0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0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0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0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0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0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0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0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0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0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0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0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0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0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0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0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1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1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1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1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1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0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0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0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0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0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0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0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0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1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1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0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0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0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0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1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1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0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0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0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0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0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1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4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1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4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0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0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0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1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0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1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0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0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0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0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0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1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1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0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0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0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0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0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0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0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0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0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0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0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0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1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1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1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1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1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0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0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0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1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0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1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0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0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0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0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0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0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1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1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0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0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0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0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0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0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0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1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1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1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0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1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0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1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1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1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1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1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0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0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0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1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0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1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0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0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0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0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0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1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1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0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0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0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0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1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1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0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0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1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1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1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1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1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0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0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0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0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0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0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0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1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1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1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1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0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0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0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0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0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0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0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1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1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1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1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1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1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1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1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1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0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0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0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0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0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0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0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0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0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0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1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1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1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1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1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1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0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0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0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0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0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0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0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0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0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0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0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1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1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0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0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0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0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0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0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0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1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0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1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0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1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0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1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1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1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1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1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1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0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0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0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1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0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1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0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1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0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0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1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1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1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0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0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0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0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0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0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0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0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0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0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0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0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0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0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0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0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1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1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1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0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0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0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0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0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0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0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0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1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1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1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1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1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1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1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1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0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0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0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0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0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0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0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0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0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0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0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0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1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1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0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0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0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0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0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0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0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0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0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0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0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0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0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0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0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0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0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0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0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0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1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1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1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0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0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0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0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0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1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0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1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0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1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0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1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0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0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0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0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0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0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0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0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0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0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0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0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0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0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0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0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0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0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1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1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1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0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0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0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0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0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0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0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0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0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0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0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0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1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1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0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0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0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0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0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0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1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4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1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4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1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4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1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4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1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4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1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4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0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0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0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0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0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0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0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0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1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1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1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1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0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0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0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0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0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0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0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0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0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0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0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0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1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1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1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0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0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0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0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1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1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1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1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1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1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1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1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0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0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0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0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0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0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1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1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1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0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0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0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0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0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0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0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0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0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0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0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0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0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1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1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0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0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0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0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1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1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1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1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1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1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1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1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1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0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0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1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1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1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0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0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0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1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1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0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0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1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1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0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0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1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1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1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1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1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0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0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0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0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0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0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1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1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1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1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1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1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1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1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0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0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0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0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0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0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1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1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1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1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0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0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0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0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0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0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0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0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0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0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1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0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1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1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1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1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1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1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1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0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0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0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0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0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0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0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1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0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1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1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1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1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1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0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0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0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0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0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0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0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0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1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1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0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0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0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0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0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0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0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0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0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0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0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1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4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1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4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1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4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0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0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0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0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0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0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0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0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0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0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0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0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0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1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1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1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1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1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0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0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0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1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0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1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0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0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1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1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0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0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0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0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0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0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0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0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0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0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1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1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1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1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1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1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1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0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0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0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1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0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1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0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0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0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0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0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0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1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1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0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0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0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0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0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0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0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0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1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0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1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7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8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9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7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8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9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9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9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72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4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7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4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7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8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4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4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7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72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4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7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4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72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4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7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72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9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4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4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7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4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72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9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4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4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7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4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7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72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4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72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7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72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4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7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8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4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4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7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8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4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4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7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4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72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4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7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7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4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72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4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7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4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72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4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72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7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4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72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9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4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4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7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4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72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4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7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4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7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8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4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4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72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4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7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4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72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9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4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4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7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7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4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72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4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72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9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4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4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7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4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72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4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7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4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72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72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4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7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4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7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72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72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7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4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7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8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9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4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4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7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4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7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4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7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7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8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4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4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72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4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7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4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7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4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72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4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72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7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4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7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4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72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4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7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4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72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4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7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8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4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4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72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7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4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72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4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7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4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72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4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7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4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7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7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4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7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4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72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4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7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4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7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4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72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4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72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7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4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7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8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4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4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72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4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7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4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72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4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7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8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9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4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4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72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9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4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4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7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4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72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4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7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72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4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7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4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72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4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7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4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72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4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7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8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4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4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7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4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72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4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72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4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7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72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72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7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4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7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72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9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4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4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7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4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72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7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4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7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4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72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4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7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4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7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4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0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4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4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7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4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72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4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7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4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72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4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7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4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7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4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72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7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7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72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7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8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7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8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7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72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9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7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72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7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7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7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7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72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7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72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9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72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72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7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7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72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7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7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72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7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7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72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7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7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7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7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72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7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7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72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7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7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72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7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7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72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7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7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7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7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7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7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72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72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7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7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7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72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72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72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7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7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72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7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7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7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8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7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8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72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72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7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7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7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7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72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9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7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7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7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7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72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7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7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72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72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9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7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7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72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72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7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7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72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7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7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72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7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7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7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8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9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9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7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8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72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7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7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7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7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72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7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7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72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9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72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72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7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72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7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7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7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7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72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7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7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72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72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7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7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7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7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7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7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9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7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7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72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7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72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7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7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72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7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7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7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7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7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7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7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7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7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7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7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7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7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72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72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7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7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72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72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72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7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7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7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7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72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9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7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7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72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7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7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72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7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7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7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7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72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7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7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72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7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7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72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7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7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7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72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7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7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7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7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7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7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72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7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7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72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7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7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72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72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7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7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72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7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8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9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7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8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72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72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72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7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7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7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7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72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7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7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7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7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7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8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7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8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72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72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72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7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7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72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7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7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7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7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7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7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72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7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7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72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7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7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72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7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7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72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9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72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7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7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72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7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7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72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7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7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7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8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7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8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7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7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72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7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7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72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72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7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72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7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7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72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9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72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72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9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7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7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7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72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7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8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7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8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7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7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72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72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7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8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9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72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72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7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7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72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7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8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7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8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7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7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72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72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9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7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7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7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7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7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72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7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7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72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7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7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72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9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7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7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7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8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7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8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72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7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7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72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9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7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7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72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7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7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72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7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8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7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8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72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7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7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7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8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7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8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72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7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7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72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7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7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72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7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7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72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7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8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7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8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72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72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7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8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9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72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72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7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7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7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7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7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7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72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7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8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7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8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7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7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72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9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7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72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7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7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72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7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8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7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8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72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7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7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72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9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7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7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72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7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7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72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72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9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7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72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7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7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7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7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72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72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9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72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9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7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7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7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72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7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7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72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72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9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72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7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7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72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9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7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7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72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7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8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9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9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72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9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9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9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7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72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7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8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4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72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7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7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72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7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7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7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7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72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9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7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72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9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72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72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7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7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7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8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9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9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9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72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7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8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7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8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7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7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72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7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8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7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8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72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7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7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72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7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8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7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8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72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72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7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72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72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72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72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7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7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72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7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7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72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7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7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7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8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9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72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7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8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7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8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7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7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7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8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7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8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7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7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72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7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7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72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9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72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7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7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72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7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7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8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7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8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72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7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72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7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7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72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7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7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72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7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7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7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7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72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7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7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72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72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9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7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72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7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7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72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7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7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7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72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7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9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9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7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72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7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7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7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9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7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8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9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9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9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9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9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9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9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9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72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72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72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7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7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72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7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9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7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7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9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7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72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72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9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72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9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7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7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72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7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7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7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7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72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72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9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9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72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9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9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9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9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72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7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8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7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8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72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7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8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9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9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72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7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7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72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7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7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72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7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8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7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8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7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7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72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7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7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72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7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9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7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72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72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72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7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7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7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7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72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72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7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9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7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72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7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9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72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9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7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9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7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7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7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72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7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7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7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8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7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8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7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7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72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7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7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72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9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72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7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9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7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7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9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72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9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72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9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7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9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7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72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7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8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7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8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72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7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9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7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7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7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7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7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72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7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7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72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7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9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7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9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9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7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72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7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9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7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72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7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7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72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9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72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7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7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7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7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7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9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9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7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7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7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72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7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7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72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9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7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7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0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0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5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5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5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72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5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5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0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5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0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5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5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72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0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0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5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8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5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0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1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0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0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72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72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72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72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9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9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7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7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7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7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7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9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7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72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72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72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7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9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7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72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7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7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72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72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72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7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7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72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9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72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0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0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8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8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8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7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7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7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7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7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9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7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7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8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8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7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7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7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7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8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8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8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7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7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8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8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7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7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7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8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8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7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7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7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7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9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9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9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72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8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8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8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8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8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8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8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72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8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8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8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9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7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7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7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7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72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7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9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0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5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8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8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8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8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8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8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8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72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7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9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7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72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72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8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8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8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7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7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7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7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8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8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8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72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72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8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8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8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8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7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7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7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8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8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7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7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7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8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8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8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8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72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9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7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7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72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7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7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7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7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7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9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7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9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9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7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72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72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7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9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9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9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9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9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7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7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7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7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7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7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9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7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7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7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7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7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7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7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7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7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9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7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7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7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7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7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7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87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8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7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7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87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8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8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8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87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8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8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8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8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72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7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7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7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7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7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87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8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8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7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7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7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8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7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8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7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7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7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7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7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7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72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7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9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7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7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7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7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87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8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8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72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7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9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93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7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9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0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72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7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9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7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7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7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7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7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7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9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9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7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7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9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7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7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7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7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7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7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7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7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7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87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8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8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8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9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8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9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8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86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7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0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7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0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7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7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7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7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93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7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76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7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7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93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93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93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7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76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7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7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93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93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93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7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72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7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93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93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7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76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7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7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7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72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3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7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93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93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7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76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7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7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87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82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8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9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8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9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8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9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8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83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76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7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7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7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7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93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7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76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97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7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76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79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7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7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7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72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3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72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3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7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7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76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7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7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7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7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93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93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93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7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76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79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7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7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93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93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7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76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7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7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7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72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3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76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9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79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91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79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91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7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92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7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82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7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83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72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8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8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3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72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3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7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7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76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7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7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7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7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7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72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3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7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7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72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3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76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7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7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7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72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3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76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7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87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8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8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89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76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7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7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93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7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72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97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0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0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3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1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72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72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97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3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1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7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82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71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96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72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3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7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94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93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94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7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95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72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3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7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7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72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8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3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7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7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93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58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7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58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76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79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7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76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77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87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89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72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3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87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89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72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8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8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72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56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8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57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8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57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3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57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87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88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89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72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8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8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87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88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89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76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79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77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87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84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88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5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88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5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89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86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70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93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71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76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77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87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88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88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63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59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64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60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70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61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71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62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70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93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87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89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76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77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76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77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87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89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76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77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87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89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70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71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72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8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73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70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71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72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8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8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8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3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87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89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72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8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8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73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70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93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93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71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72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8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8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73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87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89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70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93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71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72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8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8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8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73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70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93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93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71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76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77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87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89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72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73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76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77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76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90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77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92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70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71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72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73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76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79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77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87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88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89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72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73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87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88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89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76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79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79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79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77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87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88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89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72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8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8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8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8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8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73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87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88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89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65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66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66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67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70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93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71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76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77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87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89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76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68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79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69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77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70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87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84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89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86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70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93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71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72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73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76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77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87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84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89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86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70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93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93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71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76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79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77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87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88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89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76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77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87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88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089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76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79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79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79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77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70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94" t="s">
        <v>2904</v>
      </c>
      <c r="H7375" s="527" t="s">
        <v>2854</v>
      </c>
      <c r="I7375" s="528" t="s">
        <v>2970</v>
      </c>
      <c r="J7375" s="529"/>
      <c r="K7375" s="527" t="str">
        <f t="shared" ref="K7375:K740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93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94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93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94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93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94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71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95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70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93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93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93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70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93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71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72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78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73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70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93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93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71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79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79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77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87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84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089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98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76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97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77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81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70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71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79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77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x14ac:dyDescent="0.25">
      <c r="A7409" s="1087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84" t="s">
        <v>2910</v>
      </c>
      <c r="H7409" s="483" t="s">
        <v>2909</v>
      </c>
      <c r="I7409" s="484" t="s">
        <v>2989</v>
      </c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x14ac:dyDescent="0.25">
      <c r="A7410" s="1088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85"/>
      <c r="H7410" s="763" t="s">
        <v>2909</v>
      </c>
      <c r="I7410" s="768" t="s">
        <v>2989</v>
      </c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thickBot="1" x14ac:dyDescent="0.3">
      <c r="A7411" s="1089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86"/>
      <c r="H7411" s="808" t="s">
        <v>2909</v>
      </c>
      <c r="I7411" s="808" t="s">
        <v>2989</v>
      </c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x14ac:dyDescent="0.25">
      <c r="A7412" s="1076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097" t="s">
        <v>1633</v>
      </c>
      <c r="H7412" s="535" t="s">
        <v>2909</v>
      </c>
      <c r="I7412" s="537" t="s">
        <v>3033</v>
      </c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thickBot="1" x14ac:dyDescent="0.3">
      <c r="A7413" s="1077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081"/>
      <c r="H7413" s="788" t="s">
        <v>2909</v>
      </c>
      <c r="I7413" s="788" t="s">
        <v>3033</v>
      </c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x14ac:dyDescent="0.25">
      <c r="A7415" s="1072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thickBot="1" x14ac:dyDescent="0.3">
      <c r="A7416" s="1073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x14ac:dyDescent="0.25">
      <c r="A7418" s="1076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50"/>
      <c r="H7418" s="535" t="s">
        <v>2988</v>
      </c>
      <c r="I7418" s="537" t="s">
        <v>2988</v>
      </c>
      <c r="J7418" s="538"/>
      <c r="K7418" s="531"/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x14ac:dyDescent="0.25">
      <c r="A7419" s="1079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6"/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thickBot="1" x14ac:dyDescent="0.3">
      <c r="A7420" s="1077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48"/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x14ac:dyDescent="0.25">
      <c r="A7421" s="1087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7"/>
      <c r="H7421" s="483" t="s">
        <v>2988</v>
      </c>
      <c r="I7421" s="484" t="s">
        <v>3013</v>
      </c>
      <c r="J7421" s="485"/>
      <c r="K7421" s="479"/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x14ac:dyDescent="0.25">
      <c r="A7422" s="1088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1047"/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thickBot="1" x14ac:dyDescent="0.3">
      <c r="A7423" s="1089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87"/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x14ac:dyDescent="0.25">
      <c r="A7424" s="1072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3"/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8" ht="19.5" customHeight="1" x14ac:dyDescent="0.25">
      <c r="A7425" s="1078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3"/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8" ht="19.5" thickBot="1" x14ac:dyDescent="0.3">
      <c r="A7426" s="1073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36"/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8" ht="19.5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4"/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8" ht="19.5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/>
      <c r="F7428" s="508" t="s">
        <v>16</v>
      </c>
      <c r="G7428" s="509"/>
      <c r="H7428" s="508" t="s">
        <v>2989</v>
      </c>
      <c r="I7428" s="510"/>
      <c r="J7428" s="511"/>
      <c r="K7428" s="504"/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>
        <v>6324962</v>
      </c>
    </row>
    <row r="7429" spans="1:18" x14ac:dyDescent="0.25">
      <c r="A7429" s="1070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/>
      <c r="F7429" s="483" t="s">
        <v>16</v>
      </c>
      <c r="G7429" s="549"/>
      <c r="H7429" s="483" t="s">
        <v>2989</v>
      </c>
      <c r="I7429" s="484"/>
      <c r="J7429" s="485"/>
      <c r="K7429" s="479"/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>
        <v>6324553</v>
      </c>
      <c r="Q7429" s="847">
        <v>14970</v>
      </c>
      <c r="R7429" s="833" t="s">
        <v>3009</v>
      </c>
    </row>
    <row r="7430" spans="1:18" ht="19.5" thickBot="1" x14ac:dyDescent="0.3">
      <c r="A7430" s="1071"/>
      <c r="B7430" s="645" t="s">
        <v>2987</v>
      </c>
      <c r="C7430" s="646" t="s">
        <v>20</v>
      </c>
      <c r="D7430" s="647">
        <v>2.7170000000000001</v>
      </c>
      <c r="E7430" s="648"/>
      <c r="F7430" s="649" t="s">
        <v>16</v>
      </c>
      <c r="G7430" s="650"/>
      <c r="H7430" s="649" t="s">
        <v>2989</v>
      </c>
      <c r="I7430" s="651"/>
      <c r="J7430" s="652"/>
      <c r="K7430" s="645"/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>
        <v>6324547</v>
      </c>
      <c r="Q7430" s="847">
        <v>2506</v>
      </c>
      <c r="R7430" s="833" t="s">
        <v>3009</v>
      </c>
    </row>
    <row r="7431" spans="1:18" ht="56.25" x14ac:dyDescent="0.25">
      <c r="A7431" s="1072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/>
      <c r="F7431" s="535" t="s">
        <v>16</v>
      </c>
      <c r="G7431" s="536" t="s">
        <v>794</v>
      </c>
      <c r="H7431" s="535" t="s">
        <v>2989</v>
      </c>
      <c r="I7431" s="537"/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>
        <v>6324559</v>
      </c>
    </row>
    <row r="7432" spans="1:18" x14ac:dyDescent="0.25">
      <c r="A7432" s="1078"/>
      <c r="B7432" s="563" t="s">
        <v>2987</v>
      </c>
      <c r="C7432" s="564" t="s">
        <v>587</v>
      </c>
      <c r="D7432" s="565">
        <v>7.423</v>
      </c>
      <c r="E7432" s="566"/>
      <c r="F7432" s="567" t="s">
        <v>16</v>
      </c>
      <c r="G7432" s="568" t="s">
        <v>47</v>
      </c>
      <c r="H7432" s="567" t="s">
        <v>2989</v>
      </c>
      <c r="I7432" s="569"/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>
        <v>6324564</v>
      </c>
    </row>
    <row r="7433" spans="1:18" ht="19.5" thickBot="1" x14ac:dyDescent="0.3">
      <c r="A7433" s="1078"/>
      <c r="B7433" s="590" t="s">
        <v>2987</v>
      </c>
      <c r="C7433" s="591" t="s">
        <v>47</v>
      </c>
      <c r="D7433" s="592">
        <v>9.1080000000000005</v>
      </c>
      <c r="E7433" s="593"/>
      <c r="F7433" s="594" t="s">
        <v>16</v>
      </c>
      <c r="G7433" s="595"/>
      <c r="H7433" s="594" t="s">
        <v>2989</v>
      </c>
      <c r="I7433" s="596"/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>
        <v>6324561</v>
      </c>
      <c r="R7433"/>
    </row>
    <row r="7434" spans="1:18" x14ac:dyDescent="0.25">
      <c r="A7434" s="1070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8" x14ac:dyDescent="0.25">
      <c r="A7435" s="1093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8" x14ac:dyDescent="0.25">
      <c r="A7436" s="1093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8" ht="19.5" thickBot="1" x14ac:dyDescent="0.3">
      <c r="A7437" s="1071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58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8" x14ac:dyDescent="0.25">
      <c r="A7438" s="1076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1059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8" x14ac:dyDescent="0.25">
      <c r="A7439" s="1079"/>
      <c r="B7439" s="824" t="s">
        <v>3031</v>
      </c>
      <c r="C7439" s="820" t="s">
        <v>952</v>
      </c>
      <c r="D7439" s="821">
        <v>1.9990000000000001</v>
      </c>
      <c r="E7439" s="822"/>
      <c r="F7439" s="819" t="s">
        <v>16</v>
      </c>
      <c r="G7439" s="1060" t="s">
        <v>3053</v>
      </c>
      <c r="H7439" s="819" t="s">
        <v>3013</v>
      </c>
      <c r="I7439" s="782"/>
      <c r="J7439" s="825"/>
      <c r="K7439" s="849"/>
      <c r="L7439" s="819" t="s">
        <v>265</v>
      </c>
      <c r="M7439" s="819">
        <v>2066.52</v>
      </c>
      <c r="N7439" s="811">
        <v>4.1666666666666664E-2</v>
      </c>
      <c r="O7439" s="897" t="s">
        <v>3082</v>
      </c>
    </row>
    <row r="7440" spans="1:18" ht="38.25" thickBot="1" x14ac:dyDescent="0.3">
      <c r="A7440" s="1077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8" x14ac:dyDescent="0.25">
      <c r="A7441" s="1070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8" ht="19.5" thickBot="1" x14ac:dyDescent="0.3">
      <c r="A7442" s="1071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8" ht="19.5" thickBot="1" x14ac:dyDescent="0.3">
      <c r="A7443" s="1051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/>
      <c r="F7443" s="556" t="s">
        <v>16</v>
      </c>
      <c r="G7443" s="1054"/>
      <c r="H7443" s="556" t="s">
        <v>3013</v>
      </c>
      <c r="I7443" s="558"/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>
        <v>6325097</v>
      </c>
    </row>
    <row r="7444" spans="1:18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8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8" x14ac:dyDescent="0.25">
      <c r="A7446" s="1070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/>
      <c r="F7446" s="483" t="s">
        <v>16</v>
      </c>
      <c r="G7446" s="1074" t="s">
        <v>3032</v>
      </c>
      <c r="H7446" s="483" t="s">
        <v>3031</v>
      </c>
      <c r="I7446" s="484"/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>
        <v>6326188</v>
      </c>
      <c r="R7446"/>
    </row>
    <row r="7447" spans="1:18" ht="19.5" thickBot="1" x14ac:dyDescent="0.3">
      <c r="A7447" s="1071"/>
      <c r="B7447" s="645" t="s">
        <v>2988</v>
      </c>
      <c r="C7447" s="646" t="s">
        <v>20</v>
      </c>
      <c r="D7447" s="647">
        <v>2.67</v>
      </c>
      <c r="E7447" s="648"/>
      <c r="F7447" s="649" t="s">
        <v>16</v>
      </c>
      <c r="G7447" s="1075"/>
      <c r="H7447" s="649" t="s">
        <v>3031</v>
      </c>
      <c r="I7447" s="651"/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>
        <v>6326083</v>
      </c>
      <c r="R7447"/>
    </row>
    <row r="7448" spans="1:18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8" x14ac:dyDescent="0.25">
      <c r="A7449" s="1070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1052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8" ht="19.5" thickBot="1" x14ac:dyDescent="0.3">
      <c r="A7450" s="1071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1056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8" x14ac:dyDescent="0.25">
      <c r="A7451" s="1072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/>
      <c r="F7451" s="535" t="s">
        <v>30</v>
      </c>
      <c r="G7451" s="1053" t="s">
        <v>47</v>
      </c>
      <c r="H7451" s="535" t="s">
        <v>3031</v>
      </c>
      <c r="I7451" s="537"/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>
        <v>6326150</v>
      </c>
      <c r="R7451"/>
    </row>
    <row r="7452" spans="1:18" ht="19.5" thickBot="1" x14ac:dyDescent="0.3">
      <c r="A7452" s="1073"/>
      <c r="B7452" s="636" t="s">
        <v>2988</v>
      </c>
      <c r="C7452" s="637" t="s">
        <v>47</v>
      </c>
      <c r="D7452" s="638">
        <v>5.8040000000000003</v>
      </c>
      <c r="E7452" s="639"/>
      <c r="F7452" s="640" t="s">
        <v>30</v>
      </c>
      <c r="G7452" s="1055"/>
      <c r="H7452" s="640" t="s">
        <v>3031</v>
      </c>
      <c r="I7452" s="642"/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>
        <v>6326153</v>
      </c>
      <c r="R7452"/>
    </row>
    <row r="7453" spans="1:18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8" x14ac:dyDescent="0.25">
      <c r="A7454" s="1072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/>
      <c r="F7454" s="535" t="s">
        <v>16</v>
      </c>
      <c r="G7454" s="1090" t="s">
        <v>2910</v>
      </c>
      <c r="H7454" s="535" t="s">
        <v>3033</v>
      </c>
      <c r="I7454" s="537"/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</row>
    <row r="7455" spans="1:18" x14ac:dyDescent="0.25">
      <c r="A7455" s="1078"/>
      <c r="B7455" s="563" t="s">
        <v>2988</v>
      </c>
      <c r="C7455" s="564" t="s">
        <v>15</v>
      </c>
      <c r="D7455" s="565">
        <v>3.8580000000000001</v>
      </c>
      <c r="E7455" s="566"/>
      <c r="F7455" s="567" t="s">
        <v>16</v>
      </c>
      <c r="G7455" s="1091"/>
      <c r="H7455" s="567" t="s">
        <v>3033</v>
      </c>
      <c r="I7455" s="569"/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>
        <v>6326123</v>
      </c>
      <c r="R7455"/>
    </row>
    <row r="7456" spans="1:18" ht="19.5" thickBot="1" x14ac:dyDescent="0.3">
      <c r="A7456" s="1073"/>
      <c r="B7456" s="636" t="s">
        <v>2988</v>
      </c>
      <c r="C7456" s="637" t="s">
        <v>24</v>
      </c>
      <c r="D7456" s="638">
        <v>5.8319999999999999</v>
      </c>
      <c r="E7456" s="639"/>
      <c r="F7456" s="640" t="s">
        <v>16</v>
      </c>
      <c r="G7456" s="1092"/>
      <c r="H7456" s="640" t="s">
        <v>3033</v>
      </c>
      <c r="I7456" s="642"/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>
        <v>6326145</v>
      </c>
      <c r="R7456"/>
    </row>
    <row r="7457" spans="1:18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8" x14ac:dyDescent="0.25">
      <c r="A7458" s="1072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/>
      <c r="F7458" s="535" t="s">
        <v>30</v>
      </c>
      <c r="G7458" s="1053"/>
      <c r="H7458" s="535" t="s">
        <v>3033</v>
      </c>
      <c r="I7458" s="537"/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>
        <v>6326138</v>
      </c>
      <c r="R7458"/>
    </row>
    <row r="7459" spans="1:18" ht="19.5" thickBot="1" x14ac:dyDescent="0.3">
      <c r="A7459" s="1073"/>
      <c r="B7459" s="636" t="s">
        <v>2988</v>
      </c>
      <c r="C7459" s="637" t="s">
        <v>23</v>
      </c>
      <c r="D7459" s="638">
        <v>7.1879999999999997</v>
      </c>
      <c r="E7459" s="639"/>
      <c r="F7459" s="640" t="s">
        <v>30</v>
      </c>
      <c r="G7459" s="1055"/>
      <c r="H7459" s="640" t="s">
        <v>3033</v>
      </c>
      <c r="I7459" s="642"/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>
        <v>6326142</v>
      </c>
      <c r="R7459"/>
    </row>
    <row r="7460" spans="1:18" ht="57" thickBot="1" x14ac:dyDescent="0.3">
      <c r="A7460" s="513">
        <f t="shared" ref="A7460:A7479" si="228">MAX(A7234:A7459)+1</f>
        <v>4552</v>
      </c>
      <c r="B7460" s="514" t="s">
        <v>2988</v>
      </c>
      <c r="C7460" s="515" t="s">
        <v>26</v>
      </c>
      <c r="D7460" s="516">
        <v>11.6</v>
      </c>
      <c r="E7460" s="517"/>
      <c r="F7460" s="518" t="s">
        <v>16</v>
      </c>
      <c r="G7460" s="519" t="s">
        <v>3035</v>
      </c>
      <c r="H7460" s="518" t="s">
        <v>3033</v>
      </c>
      <c r="I7460" s="520"/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Q7460" s="847">
        <v>11775</v>
      </c>
      <c r="R7460" s="833" t="s">
        <v>3009</v>
      </c>
    </row>
    <row r="7461" spans="1:18" x14ac:dyDescent="0.25">
      <c r="A7461" s="1072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/>
      <c r="F7461" s="535" t="s">
        <v>16</v>
      </c>
      <c r="G7461" s="1061" t="s">
        <v>844</v>
      </c>
      <c r="H7461" s="535" t="s">
        <v>3083</v>
      </c>
      <c r="I7461" s="537"/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</row>
    <row r="7462" spans="1:18" ht="19.5" thickBot="1" x14ac:dyDescent="0.3">
      <c r="A7462" s="1078"/>
      <c r="B7462" s="590" t="s">
        <v>3031</v>
      </c>
      <c r="C7462" s="591" t="s">
        <v>55</v>
      </c>
      <c r="D7462" s="592">
        <v>9.7780000000000005</v>
      </c>
      <c r="E7462" s="593"/>
      <c r="F7462" s="594" t="s">
        <v>16</v>
      </c>
      <c r="G7462" s="1062" t="s">
        <v>845</v>
      </c>
      <c r="H7462" s="594" t="s">
        <v>3083</v>
      </c>
      <c r="I7462" s="596"/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</row>
    <row r="7463" spans="1:18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/>
      <c r="F7463" s="518" t="s">
        <v>16</v>
      </c>
      <c r="G7463" s="519"/>
      <c r="H7463" s="518" t="s">
        <v>3088</v>
      </c>
      <c r="I7463" s="520"/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</row>
    <row r="7464" spans="1:18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/>
      <c r="F7464" s="508" t="s">
        <v>16</v>
      </c>
      <c r="G7464" s="509"/>
      <c r="H7464" s="508" t="s">
        <v>3088</v>
      </c>
      <c r="I7464" s="510"/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</row>
    <row r="7465" spans="1:18" ht="19.5" thickBot="1" x14ac:dyDescent="0.3">
      <c r="A7465" s="1064">
        <f t="shared" si="228"/>
        <v>4556</v>
      </c>
      <c r="B7465" s="573" t="s">
        <v>3033</v>
      </c>
      <c r="C7465" s="574" t="s">
        <v>32</v>
      </c>
      <c r="D7465" s="575">
        <v>18</v>
      </c>
      <c r="E7465" s="576"/>
      <c r="F7465" s="577" t="s">
        <v>16</v>
      </c>
      <c r="G7465" s="1065"/>
      <c r="H7465" s="577" t="s">
        <v>3088</v>
      </c>
      <c r="I7465" s="579"/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</row>
    <row r="7466" spans="1:18" ht="19.5" thickBot="1" x14ac:dyDescent="0.3">
      <c r="A7466" s="503">
        <f t="shared" si="228"/>
        <v>4557</v>
      </c>
      <c r="B7466" s="504" t="s">
        <v>3083</v>
      </c>
      <c r="C7466" s="505" t="s">
        <v>26</v>
      </c>
      <c r="D7466" s="506">
        <v>17.561</v>
      </c>
      <c r="E7466" s="507"/>
      <c r="F7466" s="508" t="s">
        <v>16</v>
      </c>
      <c r="G7466" s="509"/>
      <c r="H7466" s="508" t="s">
        <v>3104</v>
      </c>
      <c r="I7466" s="510"/>
      <c r="J7466" s="511"/>
      <c r="K7466" s="504"/>
      <c r="L7466" s="508" t="s">
        <v>265</v>
      </c>
      <c r="M7466" s="508">
        <v>17728.400000000001</v>
      </c>
      <c r="N7466" s="512">
        <v>4.1666666666666664E-2</v>
      </c>
      <c r="O7466" s="897" t="s">
        <v>3106</v>
      </c>
    </row>
    <row r="7467" spans="1:18" ht="19.5" thickBot="1" x14ac:dyDescent="0.3">
      <c r="A7467" s="513">
        <f t="shared" si="228"/>
        <v>4558</v>
      </c>
      <c r="B7467" s="514" t="s">
        <v>3083</v>
      </c>
      <c r="C7467" s="515" t="s">
        <v>26</v>
      </c>
      <c r="D7467" s="516">
        <v>17.178999999999998</v>
      </c>
      <c r="E7467" s="517"/>
      <c r="F7467" s="518" t="s">
        <v>16</v>
      </c>
      <c r="G7467" s="519"/>
      <c r="H7467" s="518" t="s">
        <v>3104</v>
      </c>
      <c r="I7467" s="520"/>
      <c r="J7467" s="521"/>
      <c r="K7467" s="514"/>
      <c r="L7467" s="518" t="s">
        <v>265</v>
      </c>
      <c r="M7467" s="518">
        <v>17408.010000000002</v>
      </c>
      <c r="N7467" s="522">
        <v>8.3333333333333329E-2</v>
      </c>
      <c r="O7467" s="897" t="s">
        <v>3109</v>
      </c>
    </row>
    <row r="7468" spans="1:18" ht="19.5" thickBot="1" x14ac:dyDescent="0.3">
      <c r="A7468" s="503">
        <f t="shared" si="228"/>
        <v>4559</v>
      </c>
      <c r="B7468" s="504" t="s">
        <v>3083</v>
      </c>
      <c r="C7468" s="505" t="s">
        <v>3105</v>
      </c>
      <c r="D7468" s="506">
        <v>15.561</v>
      </c>
      <c r="E7468" s="507"/>
      <c r="F7468" s="508" t="s">
        <v>16</v>
      </c>
      <c r="G7468" s="509" t="s">
        <v>715</v>
      </c>
      <c r="H7468" s="508" t="s">
        <v>3104</v>
      </c>
      <c r="I7468" s="510"/>
      <c r="J7468" s="511"/>
      <c r="K7468" s="504"/>
      <c r="L7468" s="508" t="s">
        <v>265</v>
      </c>
      <c r="M7468" s="508">
        <v>15784.580000000002</v>
      </c>
      <c r="N7468" s="512">
        <v>0.125</v>
      </c>
      <c r="O7468" s="897" t="s">
        <v>3110</v>
      </c>
    </row>
    <row r="7469" spans="1:18" ht="19.5" thickBot="1" x14ac:dyDescent="0.3">
      <c r="A7469" s="513">
        <f t="shared" si="228"/>
        <v>4560</v>
      </c>
      <c r="B7469" s="514" t="s">
        <v>3083</v>
      </c>
      <c r="C7469" s="515" t="s">
        <v>26</v>
      </c>
      <c r="D7469" s="516">
        <v>15.605</v>
      </c>
      <c r="E7469" s="517"/>
      <c r="F7469" s="518" t="s">
        <v>30</v>
      </c>
      <c r="G7469" s="519"/>
      <c r="H7469" s="518" t="s">
        <v>3104</v>
      </c>
      <c r="I7469" s="520"/>
      <c r="J7469" s="521"/>
      <c r="K7469" s="514"/>
      <c r="L7469" s="518" t="s">
        <v>265</v>
      </c>
      <c r="M7469" s="518">
        <v>15605.36</v>
      </c>
      <c r="N7469" s="522">
        <v>4.1666666666666664E-2</v>
      </c>
      <c r="O7469" s="897" t="s">
        <v>3108</v>
      </c>
    </row>
    <row r="7470" spans="1:18" ht="19.5" thickBot="1" x14ac:dyDescent="0.3">
      <c r="A7470" s="503">
        <f t="shared" si="228"/>
        <v>4561</v>
      </c>
      <c r="B7470" s="504" t="s">
        <v>3083</v>
      </c>
      <c r="C7470" s="505" t="s">
        <v>26</v>
      </c>
      <c r="D7470" s="506">
        <v>17.713999999999999</v>
      </c>
      <c r="E7470" s="507"/>
      <c r="F7470" s="508" t="s">
        <v>16</v>
      </c>
      <c r="G7470" s="509"/>
      <c r="H7470" s="508" t="s">
        <v>3107</v>
      </c>
      <c r="I7470" s="510"/>
      <c r="J7470" s="511"/>
      <c r="K7470" s="504"/>
      <c r="L7470" s="508" t="s">
        <v>265</v>
      </c>
      <c r="M7470" s="508">
        <v>17929.160000000003</v>
      </c>
      <c r="N7470" s="512">
        <v>4.1666666666666664E-2</v>
      </c>
      <c r="O7470" s="897" t="s">
        <v>3111</v>
      </c>
    </row>
    <row r="7471" spans="1:18" x14ac:dyDescent="0.25">
      <c r="A7471" s="1070">
        <f t="shared" si="228"/>
        <v>4562</v>
      </c>
      <c r="B7471" s="479" t="s">
        <v>3083</v>
      </c>
      <c r="C7471" s="480" t="s">
        <v>23</v>
      </c>
      <c r="D7471" s="481">
        <v>13.973000000000001</v>
      </c>
      <c r="E7471" s="482"/>
      <c r="F7471" s="483" t="s">
        <v>16</v>
      </c>
      <c r="G7471" s="1067"/>
      <c r="H7471" s="483" t="s">
        <v>3107</v>
      </c>
      <c r="I7471" s="484"/>
      <c r="J7471" s="485"/>
      <c r="K7471" s="479"/>
      <c r="L7471" s="483" t="s">
        <v>28</v>
      </c>
      <c r="M7471" s="483">
        <v>14102.140000000001</v>
      </c>
      <c r="N7471" s="486">
        <v>0.41666666666666669</v>
      </c>
      <c r="O7471" s="897" t="s">
        <v>3113</v>
      </c>
      <c r="P7471" s="867">
        <v>6329154</v>
      </c>
    </row>
    <row r="7472" spans="1:18" ht="19.5" thickBot="1" x14ac:dyDescent="0.3">
      <c r="A7472" s="1071"/>
      <c r="B7472" s="645" t="s">
        <v>3083</v>
      </c>
      <c r="C7472" s="646" t="s">
        <v>20</v>
      </c>
      <c r="D7472" s="647">
        <v>3.5840000000000001</v>
      </c>
      <c r="E7472" s="648"/>
      <c r="F7472" s="649" t="s">
        <v>16</v>
      </c>
      <c r="G7472" s="1066"/>
      <c r="H7472" s="649" t="s">
        <v>3107</v>
      </c>
      <c r="I7472" s="651"/>
      <c r="J7472" s="652"/>
      <c r="K7472" s="645"/>
      <c r="L7472" s="649" t="s">
        <v>28</v>
      </c>
      <c r="M7472" s="649">
        <v>3696.49</v>
      </c>
      <c r="N7472" s="653">
        <v>0.41666666666666669</v>
      </c>
      <c r="O7472" s="897" t="s">
        <v>3112</v>
      </c>
      <c r="P7472" s="867">
        <v>6329152</v>
      </c>
    </row>
    <row r="7473" spans="1:16" x14ac:dyDescent="0.25">
      <c r="A7473" s="1072">
        <f t="shared" si="228"/>
        <v>4563</v>
      </c>
      <c r="B7473" s="531" t="s">
        <v>3083</v>
      </c>
      <c r="C7473" s="532" t="s">
        <v>587</v>
      </c>
      <c r="D7473" s="533">
        <v>5.5819999999999999</v>
      </c>
      <c r="E7473" s="534"/>
      <c r="F7473" s="535" t="s">
        <v>16</v>
      </c>
      <c r="G7473" s="1069" t="s">
        <v>47</v>
      </c>
      <c r="H7473" s="535" t="s">
        <v>3107</v>
      </c>
      <c r="I7473" s="537"/>
      <c r="J7473" s="538"/>
      <c r="K7473" s="531"/>
      <c r="L7473" s="535" t="s">
        <v>28</v>
      </c>
      <c r="M7473" s="535">
        <v>5582.8</v>
      </c>
      <c r="N7473" s="539">
        <v>0.45833333333333331</v>
      </c>
      <c r="O7473" s="897" t="s">
        <v>3114</v>
      </c>
      <c r="P7473" s="867">
        <v>6329194</v>
      </c>
    </row>
    <row r="7474" spans="1:16" ht="19.5" thickBot="1" x14ac:dyDescent="0.3">
      <c r="A7474" s="1073"/>
      <c r="B7474" s="636" t="s">
        <v>3083</v>
      </c>
      <c r="C7474" s="637" t="s">
        <v>47</v>
      </c>
      <c r="D7474" s="638">
        <v>12.006</v>
      </c>
      <c r="E7474" s="639"/>
      <c r="F7474" s="640" t="s">
        <v>16</v>
      </c>
      <c r="G7474" s="1068"/>
      <c r="H7474" s="640" t="s">
        <v>3107</v>
      </c>
      <c r="I7474" s="642"/>
      <c r="J7474" s="643"/>
      <c r="K7474" s="636"/>
      <c r="L7474" s="640" t="s">
        <v>28</v>
      </c>
      <c r="M7474" s="640">
        <v>12198.04</v>
      </c>
      <c r="N7474" s="644">
        <v>0.45833333333333331</v>
      </c>
      <c r="O7474" s="897" t="s">
        <v>3115</v>
      </c>
      <c r="P7474" s="867">
        <v>6329201</v>
      </c>
    </row>
    <row r="7475" spans="1:16" x14ac:dyDescent="0.25">
      <c r="A7475" s="676">
        <f t="shared" si="228"/>
        <v>4564</v>
      </c>
      <c r="B7475" s="676"/>
      <c r="C7475" s="473"/>
      <c r="D7475" s="474"/>
      <c r="E7475" s="475"/>
      <c r="F7475" s="676"/>
      <c r="G7475" s="476"/>
      <c r="H7475" s="676"/>
      <c r="I7475" s="477"/>
      <c r="J7475" s="1063"/>
      <c r="K7475" s="676"/>
      <c r="L7475" s="676"/>
      <c r="M7475" s="676"/>
      <c r="N7475" s="676"/>
    </row>
    <row r="7476" spans="1:16" x14ac:dyDescent="0.25">
      <c r="A7476" s="676">
        <f t="shared" si="228"/>
        <v>4565</v>
      </c>
      <c r="B7476" s="676"/>
      <c r="C7476" s="473"/>
      <c r="D7476" s="474"/>
      <c r="E7476" s="475"/>
      <c r="F7476" s="676"/>
      <c r="G7476" s="476"/>
      <c r="H7476" s="676"/>
      <c r="I7476" s="477"/>
      <c r="J7476" s="1063"/>
      <c r="K7476" s="676"/>
      <c r="L7476" s="676"/>
      <c r="M7476" s="676"/>
      <c r="N7476" s="676"/>
    </row>
    <row r="7477" spans="1:16" x14ac:dyDescent="0.25">
      <c r="A7477" s="676">
        <f t="shared" si="228"/>
        <v>4566</v>
      </c>
      <c r="B7477" s="676"/>
      <c r="C7477" s="473"/>
      <c r="D7477" s="474"/>
      <c r="E7477" s="475"/>
      <c r="F7477" s="676"/>
      <c r="G7477" s="476"/>
      <c r="H7477" s="676"/>
      <c r="I7477" s="477"/>
      <c r="J7477" s="1063"/>
      <c r="K7477" s="676"/>
      <c r="L7477" s="676"/>
      <c r="M7477" s="676"/>
      <c r="N7477" s="676"/>
    </row>
    <row r="7478" spans="1:16" x14ac:dyDescent="0.25">
      <c r="A7478" s="676">
        <f t="shared" si="228"/>
        <v>4567</v>
      </c>
      <c r="B7478" s="676"/>
      <c r="C7478" s="473"/>
      <c r="D7478" s="474"/>
      <c r="E7478" s="475"/>
      <c r="F7478" s="676"/>
      <c r="G7478" s="476"/>
      <c r="H7478" s="676"/>
      <c r="I7478" s="477"/>
      <c r="J7478" s="1063"/>
      <c r="K7478" s="676"/>
      <c r="L7478" s="676"/>
      <c r="M7478" s="676"/>
      <c r="N7478" s="676"/>
    </row>
    <row r="7479" spans="1:16" x14ac:dyDescent="0.25">
      <c r="A7479" s="676">
        <f t="shared" si="228"/>
        <v>4568</v>
      </c>
      <c r="B7479" s="676"/>
      <c r="C7479" s="473"/>
      <c r="D7479" s="474"/>
      <c r="E7479" s="475"/>
      <c r="F7479" s="676"/>
      <c r="G7479" s="476"/>
      <c r="H7479" s="676"/>
      <c r="I7479" s="477"/>
      <c r="J7479" s="1063"/>
      <c r="K7479" s="676"/>
      <c r="L7479" s="676"/>
      <c r="M7479" s="676"/>
      <c r="N7479" s="676"/>
    </row>
  </sheetData>
  <autoFilter ref="A2:R7479" xr:uid="{9E4C531E-AD50-422A-AC7C-8C5AF4C19268}">
    <filterColumn colId="10">
      <filters blank="1"/>
    </filterColumn>
  </autoFilter>
  <mergeCells count="1996"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7104:A7105"/>
    <mergeCell ref="A6999:A7003"/>
    <mergeCell ref="G6999:G7003"/>
    <mergeCell ref="A7004:A7005"/>
    <mergeCell ref="A7076:A7077"/>
    <mergeCell ref="A7078:A7079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471:A7472"/>
    <mergeCell ref="A7473:A7474"/>
    <mergeCell ref="A7080:A7081"/>
    <mergeCell ref="G7080:G7081"/>
    <mergeCell ref="A6985:A6986"/>
    <mergeCell ref="A6987:A6988"/>
    <mergeCell ref="A7058:A7061"/>
    <mergeCell ref="A6968:A6969"/>
    <mergeCell ref="A6948:A6950"/>
    <mergeCell ref="G6948:G6950"/>
    <mergeCell ref="A7458:A745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2026-10-07T12:58:22Z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